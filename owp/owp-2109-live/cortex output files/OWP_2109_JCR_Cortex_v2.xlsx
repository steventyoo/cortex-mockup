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Overview" sheetId="1" state="visible" r:id="rId3"/>
    <sheet name="02 Job Info" sheetId="2" state="visible" r:id="rId4"/>
    <sheet name="03 Contract" sheetId="3" state="visible" r:id="rId5"/>
    <sheet name="04 SOV-PayApps" sheetId="4" state="visible" r:id="rId6"/>
    <sheet name="05 Change Orders" sheetId="5" state="visible" r:id="rId7"/>
    <sheet name="06 Cost Codes" sheetId="6" state="visible" r:id="rId8"/>
    <sheet name="07 Cost Categories" sheetId="7" state="visible" r:id="rId9"/>
    <sheet name="08 BVA" sheetId="8" state="visible" r:id="rId10"/>
    <sheet name="09 Vendor Analysis" sheetId="9" state="visible" r:id="rId11"/>
    <sheet name="10 Crew Roster" sheetId="10" state="visible" r:id="rId12"/>
    <sheet name="11 Wage Tiers" sheetId="11" state="visible" r:id="rId13"/>
    <sheet name="12 Productivity" sheetId="12" state="visible" r:id="rId14"/>
    <sheet name="13 Benchmarks" sheetId="13" state="visible" r:id="rId15"/>
    <sheet name="14 Predictive Signals" sheetId="14" state="visible" r:id="rId16"/>
    <sheet name="15 Reconciliation" sheetId="15" state="visible" r:id="rId17"/>
    <sheet name="16 Metric Registry" sheetId="16" state="visible" r:id="rId18"/>
    <sheet name="17 Change Log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<sst xmlns="http://schemas.openxmlformats.org/spreadsheetml/2006/main" count="332" uniqueCount="235">
  <si>
    <t xml:space="preserve">OWP #2109 · Marysville Ph2</t>
  </si>
  <si>
    <t xml:space="preserve">Intracorp · 246 units · CANCELLED</t>
  </si>
  <si>
    <t xml:space="preserve">Forecast at Completion (Revised Basis)</t>
  </si>
  <si>
    <t xml:space="preserve">Revised contract value</t>
  </si>
  <si>
    <t xml:space="preserve">Revised budget (expenses)</t>
  </si>
  <si>
    <t xml:space="preserve">Forecast net profit</t>
  </si>
  <si>
    <t xml:space="preserve">Forecast margin</t>
  </si>
  <si>
    <t xml:space="preserve">Progress to Date</t>
  </si>
  <si>
    <t xml:space="preserve">Work complete (billed)</t>
  </si>
  <si>
    <t xml:space="preserve">Retention held</t>
  </si>
  <si>
    <t xml:space="preserve">Earned less retention</t>
  </si>
  <si>
    <t xml:space="preserve">Balance to finish</t>
  </si>
  <si>
    <t xml:space="preserve">Percent complete</t>
  </si>
  <si>
    <t xml:space="preserve">Transaction Totals by Source</t>
  </si>
  <si>
    <t xml:space="preserve">Source</t>
  </si>
  <si>
    <t xml:space="preserve">Dollars</t>
  </si>
  <si>
    <t xml:space="preserve">GL</t>
  </si>
  <si>
    <t xml:space="preserve">AP</t>
  </si>
  <si>
    <t xml:space="preserve">PR</t>
  </si>
  <si>
    <t xml:space="preserve">AR</t>
  </si>
  <si>
    <t xml:space="preserve">Job Information</t>
  </si>
  <si>
    <t xml:space="preserve">Job ID</t>
  </si>
  <si>
    <t xml:space="preserve">2109</t>
  </si>
  <si>
    <t xml:space="preserve">Project name</t>
  </si>
  <si>
    <t xml:space="preserve">Marysville Ph2</t>
  </si>
  <si>
    <t xml:space="preserve">General contractor</t>
  </si>
  <si>
    <t xml:space="preserve">Intracorp</t>
  </si>
  <si>
    <t xml:space="preserve">Owner</t>
  </si>
  <si>
    <t xml:space="preserve">TBD</t>
  </si>
  <si>
    <t xml:space="preserve">Units</t>
  </si>
  <si>
    <t xml:space="preserve">Insurance</t>
  </si>
  <si>
    <t xml:space="preserve">Job start</t>
  </si>
  <si>
    <t xml:space="preserve">2026-04</t>
  </si>
  <si>
    <t xml:space="preserve">Expected completion</t>
  </si>
  <si>
    <t xml:space="preserve">Architect</t>
  </si>
  <si>
    <t xml:space="preserve">MEP Engineer</t>
  </si>
  <si>
    <t xml:space="preserve">Status</t>
  </si>
  <si>
    <t xml:space="preserve">CANCELLED</t>
  </si>
  <si>
    <t xml:space="preserve">JDR report date</t>
  </si>
  <si>
    <t xml:space="preserve">Apr 3, 2026</t>
  </si>
  <si>
    <t xml:space="preserve">Contract Summary</t>
  </si>
  <si>
    <t xml:space="preserve">Item</t>
  </si>
  <si>
    <t xml:space="preserve">Original</t>
  </si>
  <si>
    <t xml:space="preserve">Revised</t>
  </si>
  <si>
    <t xml:space="preserve">Delta</t>
  </si>
  <si>
    <t xml:space="preserve">Base construction contract</t>
  </si>
  <si>
    <t xml:space="preserve">Executed change orders (net)</t>
  </si>
  <si>
    <t xml:space="preserve">Total contract value</t>
  </si>
  <si>
    <t xml:space="preserve">Executed Change Orders</t>
  </si>
  <si>
    <t xml:space="preserve">CO #</t>
  </si>
  <si>
    <t xml:space="preserve">Description</t>
  </si>
  <si>
    <t xml:space="preserve">Amount</t>
  </si>
  <si>
    <t xml:space="preserve">Schedule of Values / Pay Application History</t>
  </si>
  <si>
    <t xml:space="preserve">Pay App</t>
  </si>
  <si>
    <t xml:space="preserve">Period End</t>
  </si>
  <si>
    <t xml:space="preserve">This Period</t>
  </si>
  <si>
    <t xml:space="preserve">Completed to Date</t>
  </si>
  <si>
    <t xml:space="preserve">Retention Held</t>
  </si>
  <si>
    <t xml:space="preserve">Previous Billed</t>
  </si>
  <si>
    <t xml:space="preserve">Current Balance</t>
  </si>
  <si>
    <t xml:space="preserve">Change Order Log</t>
  </si>
  <si>
    <t xml:space="preserve">#</t>
  </si>
  <si>
    <t xml:space="preserve">Type</t>
  </si>
  <si>
    <t xml:space="preserve">Cost Code Detail (Revised Basis)</t>
  </si>
  <si>
    <t xml:space="preserve">Code</t>
  </si>
  <si>
    <t xml:space="preserve">Actual</t>
  </si>
  <si>
    <t xml:space="preserve">Variance</t>
  </si>
  <si>
    <t xml:space="preserve">Net Due</t>
  </si>
  <si>
    <t xml:space="preserve">% Complete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</si>
  <si>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</si>
  <si>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</si>
  <si>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</si>
  <si>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</si>
  <si>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141</t>
  </si>
  <si>
    <t xml:space="preserve">Water Main/Insulation Lab</t>
  </si>
  <si>
    <t xml:space="preserve">150</t>
  </si>
  <si>
    <t xml:space="preserve">Warranty Labor</t>
  </si>
  <si>
    <t xml:space="preserve">151</t>
  </si>
  <si>
    <t xml:space="preserve">T&amp;M Labor</t>
  </si>
  <si>
    <t xml:space="preserve">210</t>
  </si>
  <si>
    <t xml:space="preserve">Underground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</si>
  <si>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</si>
  <si>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</si>
  <si>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</si>
  <si>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</si>
  <si>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</si>
  <si>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</si>
  <si>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</si>
  <si>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</si>
  <si>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</si>
  <si>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</si>
  <si>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</si>
  <si>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</si>
  <si>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</si>
  <si>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</si>
  <si>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</si>
  <si>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</si>
  <si>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</si>
  <si>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</si>
  <si>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</si>
  <si>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</si>
  <si>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</si>
  <si>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</si>
  <si>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</si>
  <si>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</si>
  <si>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TOTAL</t>
  </si>
  <si>
    <t xml:space="preserve">Cost Category Rollup</t>
  </si>
  <si>
    <t xml:space="preserve">Category</t>
  </si>
  <si>
    <t xml:space="preserve"># Codes</t>
  </si>
  <si>
    <t xml:space="preserve">Revised Budget</t>
  </si>
  <si>
    <t xml:space="preserve">Labor</t>
  </si>
  <si>
    <t xml:space="preserve">Material</t>
  </si>
  <si>
    <t xml:space="preserve">Overhead</t>
  </si>
  <si>
    <t xml:space="preserve">Burden</t>
  </si>
  <si>
    <t xml:space="preserve">Budget vs Actual — Flag list</t>
  </si>
  <si>
    <t xml:space="preserve">Revised budget is canonical basis. Flags: OVER &gt;10%, CRITICAL &gt;50%, ON ±10%, UNDER &lt;-10%.</t>
  </si>
  <si>
    <t xml:space="preserve">% Var</t>
  </si>
  <si>
    <t xml:space="preserve">Vendor Spend (AP source)</t>
  </si>
  <si>
    <t xml:space="preserve">Vendor</t>
  </si>
  <si>
    <t xml:space="preserve">Spend ($)</t>
  </si>
  <si>
    <t xml:space="preserve">Invoices</t>
  </si>
  <si>
    <t xml:space="preserve">% of Total AP</t>
  </si>
  <si>
    <t xml:space="preserve">Pacific Plumbing Supply Co., LLC</t>
  </si>
  <si>
    <t xml:space="preserve">Consolidated Supply Co.</t>
  </si>
  <si>
    <t xml:space="preserve">Rosen Supply Kirkland</t>
  </si>
  <si>
    <t xml:space="preserve">California Hydronics Corp</t>
  </si>
  <si>
    <t xml:space="preserve">Keller Supply Company</t>
  </si>
  <si>
    <t xml:space="preserve">Franklin Engineering</t>
  </si>
  <si>
    <t xml:space="preserve">Williams Scotsman, Inc. $Mobile Mini</t>
  </si>
  <si>
    <t xml:space="preserve">Ferguson Enterprises, Inc. #3007</t>
  </si>
  <si>
    <t xml:space="preserve">ACME Corp</t>
  </si>
  <si>
    <t xml:space="preserve">All Pro Repair Service LLC</t>
  </si>
  <si>
    <t xml:space="preserve">Capital One Credit Card</t>
  </si>
  <si>
    <t xml:space="preserve">A.R. Brown Backflow Testing</t>
  </si>
  <si>
    <t xml:space="preserve">Bank of America CC</t>
  </si>
  <si>
    <t xml:space="preserve">TOTAL AP</t>
  </si>
  <si>
    <t xml:space="preserve">Crew Roster (PR source)</t>
  </si>
  <si>
    <t xml:space="preserve">Worker</t>
  </si>
  <si>
    <t xml:space="preserve">Hours</t>
  </si>
  <si>
    <t xml:space="preserve">Labor $</t>
  </si>
  <si>
    <t xml:space="preserve">Avg $/hr</t>
  </si>
  <si>
    <t xml:space="preserve">Tier</t>
  </si>
  <si>
    <t xml:space="preserve">Gerard, Jeffrey S</t>
  </si>
  <si>
    <t xml:space="preserve">LEAD/SUPERVISOR</t>
  </si>
  <si>
    <t xml:space="preserve">Gerard, Jordan E</t>
  </si>
  <si>
    <t xml:space="preserve">Romero Garza, Jesus I</t>
  </si>
  <si>
    <t xml:space="preserve">APPRENTICE/HELPER</t>
  </si>
  <si>
    <t xml:space="preserve">Wilson, Garret A</t>
  </si>
  <si>
    <t xml:space="preserve">Johnson, Jake E</t>
  </si>
  <si>
    <t xml:space="preserve">Goodwin, Marcus A</t>
  </si>
  <si>
    <t xml:space="preserve">JOURNEYMAN</t>
  </si>
  <si>
    <t xml:space="preserve">Barnhart, Joseph N</t>
  </si>
  <si>
    <t xml:space="preserve">Aquino, Juan</t>
  </si>
  <si>
    <t xml:space="preserve">OT-ONLY</t>
  </si>
  <si>
    <t xml:space="preserve">Castro, Marcus J</t>
  </si>
  <si>
    <t xml:space="preserve">Araque, Mario W</t>
  </si>
  <si>
    <t xml:space="preserve">Ramos Herrera, Franklin J</t>
  </si>
  <si>
    <t xml:space="preserve">Young, Joshua S</t>
  </si>
  <si>
    <t xml:space="preserve">Fox, Tamron P</t>
  </si>
  <si>
    <t xml:space="preserve">Reed, Reuben H</t>
  </si>
  <si>
    <t xml:space="preserve">Del Villar, Flabio</t>
  </si>
  <si>
    <t xml:space="preserve">Balderas Ortiz, Ricardo I</t>
  </si>
  <si>
    <t xml:space="preserve">Guerrero Espinoza, Mario</t>
  </si>
  <si>
    <t xml:space="preserve">Rodriguez Arevalos, Christian</t>
  </si>
  <si>
    <t xml:space="preserve">Perez Araque, Manuel A</t>
  </si>
  <si>
    <t xml:space="preserve">Cornejo Orellana, Carlos E</t>
  </si>
  <si>
    <t xml:space="preserve">Ross, Kelli M</t>
  </si>
  <si>
    <t xml:space="preserve">Merino Martinez, Humberto</t>
  </si>
  <si>
    <t xml:space="preserve">Portillo Soriano, Walter A</t>
  </si>
  <si>
    <t xml:space="preserve">Gochez Molina, Douglas O</t>
  </si>
  <si>
    <t xml:space="preserve">Castro Hernandez, Jose A</t>
  </si>
  <si>
    <t xml:space="preserve">Cruz, Azael S</t>
  </si>
  <si>
    <t xml:space="preserve">Gorman, Nathan W</t>
  </si>
  <si>
    <t xml:space="preserve">Taylor, Evan R</t>
  </si>
  <si>
    <t xml:space="preserve">Valeriano Romero, Oswaldo</t>
  </si>
  <si>
    <t xml:space="preserve">Gerard, Mitchell J</t>
  </si>
  <si>
    <t xml:space="preserve">Wage Tier Distribution</t>
  </si>
  <si>
    <t xml:space="preserve"># Workers</t>
  </si>
  <si>
    <t xml:space="preserve">% of Hours</t>
  </si>
  <si>
    <t xml:space="preserve">Productivity Metrics</t>
  </si>
  <si>
    <t xml:space="preserve">Total labor hours (to date)</t>
  </si>
  <si>
    <t xml:space="preserve">Active workers</t>
  </si>
  <si>
    <t xml:space="preserve">Hours per unit (to date)</t>
  </si>
  <si>
    <t xml:space="preserve">Revenue per labor hour (billed)</t>
  </si>
  <si>
    <t xml:space="preserve">Portfolio Benchmarks (vs. closed jobs)</t>
  </si>
  <si>
    <t xml:space="preserve">Metric</t>
  </si>
  <si>
    <t xml:space="preserve">This Job</t>
  </si>
  <si>
    <t xml:space="preserve">Portfolio Median</t>
  </si>
  <si>
    <t xml:space="preserve">Forecast margin %</t>
  </si>
  <si>
    <t xml:space="preserve">Roughin labor share (code 120)</t>
  </si>
  <si>
    <t xml:space="preserve">Top vendor concentration</t>
  </si>
  <si>
    <t xml:space="preserve">Hours per unit</t>
  </si>
  <si>
    <t xml:space="preserve">Predictive Signals (cancelled project)</t>
  </si>
  <si>
    <t xml:space="preserve">Signal</t>
  </si>
  <si>
    <t xml:space="preserve">Notes</t>
  </si>
  <si>
    <t xml:space="preserve">Engineering/Plans (601) CRITICAL overrun</t>
  </si>
  <si>
    <t xml:space="preserve">⚠ WATCH</t>
  </si>
  <si>
    <t xml:space="preserve">Actual $22,320 vs revised $5,850 (+282%) — needs immediate attention</t>
  </si>
  <si>
    <t xml:space="preserve">Top vendor concentration (Pacific Plumbing Sup)</t>
  </si>
  <si>
    <t xml:space="preserve">47% of AP ($500,869) — high, monitor</t>
  </si>
  <si>
    <t xml:space="preserve">Retention aging</t>
  </si>
  <si>
    <t xml:space="preserve">✓ OK</t>
  </si>
  <si>
    <t xml:space="preserve">$153,880 held · 4.3% of billed · zero (cancelled)</t>
  </si>
  <si>
    <t xml:space="preserve">43.0% forecast margin — healthy</t>
  </si>
  <si>
    <t xml:space="preserve">JDR Reconciliation</t>
  </si>
  <si>
    <t xml:space="preserve">Reported</t>
  </si>
  <si>
    <t xml:space="preserve">Calculated</t>
  </si>
  <si>
    <t xml:space="preserve">Total expenses (from code totals)</t>
  </si>
  <si>
    <t xml:space="preserve">Revenue billed (AR ·-1)</t>
  </si>
  <si>
    <t xml:space="preserve">AP source total</t>
  </si>
  <si>
    <t xml:space="preserve">PR source total</t>
  </si>
  <si>
    <t xml:space="preserve">GL source total</t>
  </si>
  <si>
    <t xml:space="preserve">Metric Registry</t>
  </si>
  <si>
    <t xml:space="preserve">Source Tab</t>
  </si>
  <si>
    <t xml:space="preserve">Definition</t>
  </si>
  <si>
    <t xml:space="preserve">01 Overview</t>
  </si>
  <si>
    <t xml:space="preserve">Forecast net profit / Revised contract value</t>
  </si>
  <si>
    <t xml:space="preserve">Billed to date / Revised contract value</t>
  </si>
  <si>
    <t xml:space="preserve">Roughin labor share</t>
  </si>
  <si>
    <t xml:space="preserve">06 Cost Codes</t>
  </si>
  <si>
    <t xml:space="preserve">Code 120 revised / Total labor revised budget</t>
  </si>
  <si>
    <t xml:space="preserve">09 Vendor Analysis</t>
  </si>
  <si>
    <t xml:space="preserve">Largest single vendor AP spend / Total AP</t>
  </si>
  <si>
    <t xml:space="preserve">12 Productivity</t>
  </si>
  <si>
    <t xml:space="preserve">Total PR hours to date / Unit count</t>
  </si>
  <si>
    <t xml:space="preserve">BVA status codes</t>
  </si>
  <si>
    <t xml:space="preserve">08 BVA</t>
  </si>
  <si>
    <t xml:space="preserve">OVER / CRITICAL / UNDER / ON / UNBUDGETED on revised basis</t>
  </si>
  <si>
    <t xml:space="preserve">Workbook Change Log</t>
  </si>
  <si>
    <t xml:space="preserve">Date</t>
  </si>
  <si>
    <t xml:space="preserve">Version</t>
  </si>
  <si>
    <t xml:space="preserve">Note</t>
  </si>
  <si>
    <t xml:space="preserve">2026-04-25</t>
  </si>
  <si>
    <t xml:space="preserve">v1.0 · cancelled</t>
  </si>
  <si>
    <t xml:space="preserve">Initial build for #2109 cancelled project. 17-tab JCR schema on revised budget basis.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</si>
</sst>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"/>
    <numFmt numFmtId="168" formatCode="#,##0.0"/>
    <numFmt numFmtId="169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2B29"/>
      <name val="Arial"/>
      <family val="0"/>
      <charset val="1"/>
    </font>
    <font>
      <i val="true"/>
      <sz val="9"/>
      <color rgb="FF70655C"/>
      <name val="Arial"/>
      <family val="0"/>
      <charset val="1"/>
    </font>
    <font>
      <b val="true"/>
      <sz val="12"/>
      <color rgb="FF2C2B29"/>
      <name val="Arial"/>
      <family val="0"/>
      <charset val="1"/>
    </font>
    <font>
      <sz val="10"/>
      <color rgb="FF2C2B2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C2B2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2B29"/>
        <bgColor rgb="FF333300"/>
      </patternFill>
    </fill>
    <fill>
      <patternFill patternType="solid">
        <fgColor rgb="FFE8CEC3"/>
        <bgColor rgb="FFD5DEC5"/>
      </patternFill>
    </fill>
    <fill>
      <patternFill patternType="solid">
        <fgColor rgb="FFD5DEC5"/>
        <bgColor rgb="FFE8CEC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8AE"/>
      </left>
      <right style="thin">
        <color rgb="FFBFB8AE"/>
      </right>
      <top style="thin">
        <color rgb="FFBFB8AE"/>
      </top>
      <bottom style="thin">
        <color rgb="FFBFB8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8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EC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CEC3"/>
      <rgbColor rgb="FF3366FF"/>
      <rgbColor rgb="FF33CCCC"/>
      <rgbColor rgb="FF99CC00"/>
      <rgbColor rgb="FFFFCC00"/>
      <rgbColor rgb="FFFF9900"/>
      <rgbColor rgb="FFFF6600"/>
      <rgbColor rgb="FF70655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B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3718851</v>
      </c>
    </row>
    <row r="6" customFormat="false" ht="15" hidden="false" customHeight="false" outlineLevel="0" collapsed="false">
      <c r="A6" s="4" t="s">
        <v>4</v>
      </c>
      <c r="B6" s="5" t="n">
        <v>2119967.36</v>
      </c>
    </row>
    <row r="7" customFormat="false" ht="15" hidden="false" customHeight="false" outlineLevel="0" collapsed="false">
      <c r="A7" s="4" t="s">
        <v>5</v>
      </c>
      <c r="B7" s="6" t="n">
        <f aca="false">B5-B6</f>
        <v>1598883.64</v>
      </c>
    </row>
    <row r="8" customFormat="false" ht="15" hidden="false" customHeight="false" outlineLevel="0" collapsed="false">
      <c r="A8" s="4" t="s">
        <v>6</v>
      </c>
      <c r="B8" s="7" t="n">
        <f aca="false">IFERROR(B7/B5,0)</f>
        <v>0.429940226161253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4" t="s">
        <v>8</v>
      </c>
      <c r="B11" s="5" t="n">
        <v>3570012</v>
      </c>
    </row>
    <row r="12" customFormat="false" ht="15" hidden="false" customHeight="false" outlineLevel="0" collapsed="false">
      <c r="A12" s="4" t="s">
        <v>9</v>
      </c>
      <c r="B12" s="5" t="n">
        <v>153880.15</v>
      </c>
    </row>
    <row r="13" customFormat="false" ht="15" hidden="false" customHeight="false" outlineLevel="0" collapsed="false">
      <c r="A13" s="4" t="s">
        <v>10</v>
      </c>
      <c r="B13" s="6" t="n">
        <f aca="false">B11-B12</f>
        <v>3416131.85</v>
      </c>
    </row>
    <row r="14" customFormat="false" ht="15" hidden="false" customHeight="false" outlineLevel="0" collapsed="false">
      <c r="A14" s="4" t="s">
        <v>11</v>
      </c>
      <c r="B14" s="6" t="n">
        <f aca="false">B5-B11</f>
        <v>148839</v>
      </c>
    </row>
    <row r="15" customFormat="false" ht="15" hidden="false" customHeight="false" outlineLevel="0" collapsed="false">
      <c r="A15" s="4" t="s">
        <v>12</v>
      </c>
      <c r="B15" s="7" t="n">
        <f aca="false">IFERROR(B11/B5,0)</f>
        <v>0.959977154233929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8" t="s">
        <v>14</v>
      </c>
      <c r="B18" s="8" t="s">
        <v>15</v>
      </c>
    </row>
    <row r="19" customFormat="false" ht="15" hidden="false" customHeight="false" outlineLevel="0" collapsed="false">
      <c r="A19" s="4" t="s">
        <v>16</v>
      </c>
      <c r="B19" s="9" t="n">
        <v>-349534.48</v>
      </c>
    </row>
    <row r="20" customFormat="false" ht="15" hidden="false" customHeight="false" outlineLevel="0" collapsed="false">
      <c r="A20" s="4" t="s">
        <v>17</v>
      </c>
      <c r="B20" s="9" t="n">
        <v>1071980.16</v>
      </c>
    </row>
    <row r="21" customFormat="false" ht="15" hidden="false" customHeight="false" outlineLevel="0" collapsed="false">
      <c r="A21" s="4" t="s">
        <v>18</v>
      </c>
      <c r="B21" s="9" t="n">
        <v>1468646.78</v>
      </c>
    </row>
    <row r="22" customFormat="false" ht="15" hidden="false" customHeight="false" outlineLevel="0" collapsed="false">
      <c r="A22" s="4" t="s">
        <v>19</v>
      </c>
      <c r="B22" s="9" t="n">
        <v>-3077603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</cols>
  <sheetData>
    <row r="1" customFormat="false" ht="19.7" hidden="false" customHeight="false" outlineLevel="0" collapsed="false">
      <c r="A1" s="1" t="s">
        <v>20</v>
      </c>
    </row>
    <row r="3" customFormat="false" ht="15" hidden="false" customHeight="false" outlineLevel="0" collapsed="false">
      <c r="A3" s="10" t="s">
        <v>21</v>
      </c>
      <c r="B3" s="4" t="s">
        <v>22</v>
      </c>
    </row>
    <row r="4" customFormat="false" ht="15" hidden="false" customHeight="false" outlineLevel="0" collapsed="false">
      <c r="A4" s="10" t="s">
        <v>23</v>
      </c>
      <c r="B4" s="4" t="s">
        <v>24</v>
      </c>
    </row>
    <row r="5" customFormat="false" ht="15" hidden="false" customHeight="false" outlineLevel="0" collapsed="false">
      <c r="A5" s="10" t="s">
        <v>25</v>
      </c>
      <c r="B5" s="4" t="s">
        <v>26</v>
      </c>
    </row>
    <row r="6" customFormat="false" ht="15" hidden="false" customHeight="false" outlineLevel="0" collapsed="false">
      <c r="A6" s="10" t="s">
        <v>27</v>
      </c>
      <c r="B6" s="4" t="s">
        <v>28</v>
      </c>
    </row>
    <row r="7" customFormat="false" ht="15" hidden="false" customHeight="false" outlineLevel="0" collapsed="false">
      <c r="A7" s="10" t="s">
        <v>29</v>
      </c>
      <c r="B7" s="4" t="n">
        <v>246</v>
      </c>
    </row>
    <row r="8" customFormat="false" ht="15" hidden="false" customHeight="false" outlineLevel="0" collapsed="false">
      <c r="A8" s="10" t="s">
        <v>30</v>
      </c>
      <c r="B8" s="4" t="s">
        <v>28</v>
      </c>
    </row>
    <row r="9" customFormat="false" ht="15" hidden="false" customHeight="false" outlineLevel="0" collapsed="false">
      <c r="A9" s="10" t="s">
        <v>31</v>
      </c>
      <c r="B9" s="4" t="s">
        <v>32</v>
      </c>
    </row>
    <row r="10" customFormat="false" ht="15" hidden="false" customHeight="false" outlineLevel="0" collapsed="false">
      <c r="A10" s="10" t="s">
        <v>33</v>
      </c>
      <c r="B10" s="4" t="s">
        <v>28</v>
      </c>
    </row>
    <row r="11" customFormat="false" ht="15" hidden="false" customHeight="false" outlineLevel="0" collapsed="false">
      <c r="A11" s="10" t="s">
        <v>34</v>
      </c>
      <c r="B11" s="4" t="s">
        <v>28</v>
      </c>
    </row>
    <row r="12" customFormat="false" ht="15" hidden="false" customHeight="false" outlineLevel="0" collapsed="false">
      <c r="A12" s="10" t="s">
        <v>35</v>
      </c>
      <c r="B12" s="4" t="s">
        <v>28</v>
      </c>
    </row>
    <row r="13" customFormat="false" ht="15" hidden="false" customHeight="false" outlineLevel="0" collapsed="false">
      <c r="A13" s="10" t="s">
        <v>36</v>
      </c>
      <c r="B13" s="4" t="s">
        <v>37</v>
      </c>
    </row>
    <row r="14" customFormat="false" ht="15" hidden="false" customHeight="false" outlineLevel="0" collapsed="false">
      <c r="A14" s="10" t="s">
        <v>38</v>
      </c>
      <c r="B14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</cols>
  <sheetData>
    <row r="1" customFormat="false" ht="19.7" hidden="false" customHeight="false" outlineLevel="0" collapsed="false">
      <c r="A1" s="1" t="s">
        <v>40</v>
      </c>
    </row>
    <row r="3" customFormat="false" ht="15" hidden="false" customHeight="false" outlineLevel="0" collapsed="false">
      <c r="A3" s="11" t="s">
        <v>41</v>
      </c>
      <c r="B3" s="11" t="s">
        <v>42</v>
      </c>
      <c r="C3" s="11" t="s">
        <v>43</v>
      </c>
      <c r="D3" s="11" t="s">
        <v>44</v>
      </c>
    </row>
    <row r="4" customFormat="false" ht="15" hidden="false" customHeight="false" outlineLevel="0" collapsed="false">
      <c r="A4" s="4" t="s">
        <v>45</v>
      </c>
      <c r="B4" s="5" t="n">
        <v>3700937</v>
      </c>
      <c r="C4" s="5" t="n">
        <v>3718851</v>
      </c>
      <c r="D4" s="9" t="n">
        <f aca="false">C4-B4</f>
        <v>17914</v>
      </c>
    </row>
    <row r="5" customFormat="false" ht="15" hidden="false" customHeight="false" outlineLevel="0" collapsed="false">
      <c r="A5" s="4" t="s">
        <v>46</v>
      </c>
      <c r="B5" s="5" t="n">
        <v>0</v>
      </c>
      <c r="C5" s="5" t="n">
        <v>17914</v>
      </c>
      <c r="D5" s="9" t="n">
        <f aca="false">C5-B5</f>
        <v>17914</v>
      </c>
    </row>
    <row r="6" customFormat="false" ht="15" hidden="false" customHeight="false" outlineLevel="0" collapsed="false">
      <c r="A6" s="10" t="s">
        <v>47</v>
      </c>
      <c r="B6" s="6" t="n">
        <f aca="false">SUM(B4:B5)</f>
        <v>3700937</v>
      </c>
      <c r="C6" s="6" t="n">
        <f aca="false">SUM(C4:C5)</f>
        <v>3736765</v>
      </c>
      <c r="D6" s="6" t="n">
        <f aca="false">SUM(D4:D5)</f>
        <v>35828</v>
      </c>
    </row>
    <row r="9" customFormat="false" ht="15" hidden="false" customHeight="false" outlineLevel="0" collapsed="false">
      <c r="A9" s="3" t="s">
        <v>48</v>
      </c>
    </row>
    <row r="10" customFormat="false" ht="15" hidden="false" customHeight="false" outlineLevel="0" collapsed="false">
      <c r="A10" s="11" t="s">
        <v>49</v>
      </c>
      <c r="B10" s="11" t="s">
        <v>50</v>
      </c>
      <c r="C10" s="11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7" min="3" style="0" width="16"/>
  </cols>
  <sheetData>
    <row r="1" customFormat="false" ht="19.7" hidden="false" customHeight="false" outlineLevel="0" collapsed="false">
      <c r="A1" s="1" t="s">
        <v>52</v>
      </c>
    </row>
    <row r="3" customFormat="false" ht="15" hidden="false" customHeight="false" outlineLevel="0" collapsed="false">
      <c r="A3" s="11" t="s">
        <v>53</v>
      </c>
      <c r="B3" s="11" t="s">
        <v>54</v>
      </c>
      <c r="C3" s="11" t="s">
        <v>55</v>
      </c>
      <c r="D3" s="11" t="s">
        <v>56</v>
      </c>
      <c r="E3" s="11" t="s">
        <v>57</v>
      </c>
      <c r="F3" s="11" t="s">
        <v>58</v>
      </c>
      <c r="G3" s="11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60</v>
      </c>
    </row>
    <row r="3" customFormat="false" ht="15" hidden="false" customHeight="false" outlineLevel="0" collapsed="false">
      <c r="A3" s="11" t="s">
        <v>61</v>
      </c>
      <c r="B3" s="11" t="s">
        <v>62</v>
      </c>
      <c r="C3" s="11" t="s">
        <v>50</v>
      </c>
      <c r="D3" s="11" t="s">
        <v>51</v>
      </c>
      <c r="E3" s="11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8" min="3" style="0" width="14"/>
  </cols>
  <sheetData>
    <row r="1" customFormat="false" ht="19.7" hidden="false" customHeight="false" outlineLevel="0" collapsed="false">
      <c r="A1" s="1" t="s">
        <v>63</v>
      </c>
    </row>
    <row r="3" customFormat="false" ht="15" hidden="false" customHeight="false" outlineLevel="0" collapsed="false">
      <c r="A3" s="11" t="s">
        <v>64</v>
      </c>
      <c r="B3" s="11" t="s">
        <v>50</v>
      </c>
      <c r="C3" s="11" t="s">
        <v>42</v>
      </c>
      <c r="D3" s="11" t="s">
        <v>43</v>
      </c>
      <c r="E3" s="11" t="s">
        <v>65</v>
      </c>
      <c r="F3" s="11" t="s">
        <v>66</v>
      </c>
      <c r="G3" s="11" t="s">
        <v>67</v>
      </c>
      <c r="H3" s="11" t="s">
        <v>68</v>
      </c>
    </row>
    <row r="4" customFormat="false" ht="15" hidden="false" customHeight="false" outlineLevel="0" collapsed="false">
      <c r="A4" s="4" t="s">
        <v>69</v>
      </c>
      <c r="B4" s="4" t="s">
        <v>70</v>
      </c>
      <c r="C4" s="5" t="n">
        <v>18450</v>
      </c>
      <c r="D4" s="5" t="n">
        <v>18450</v>
      </c>
      <c r="E4" s="5" t="n">
        <v>4071</v>
      </c>
      <c r="F4" s="9" t="n">
        <f aca="false">D4-E4</f>
        <v>14379</v>
      </c>
      <c r="G4" s="5" t="n">
        <v>0</v>
      </c>
      <c r="H4" s="12" t="n">
        <f aca="false">IFERROR(E4/D4,0)</f>
        <v>0.220650406504065</v>
      </c>
    </row>
    <row r="5" customFormat="false" ht="15" hidden="false" customHeight="false" outlineLevel="0" collapsed="false">
      <c r="A5" s="4" t="s">
        <v>71</v>
      </c>
      <c r="B5" s="4" t="s">
        <v>72</v>
      </c>
      <c r="C5" s="5" t="n">
        <v>24600</v>
      </c>
      <c r="D5" s="5" t="n">
        <v>24600</v>
      </c>
      <c r="E5" s="5" t="n">
        <v>15235</v>
      </c>
      <c r="F5" s="9" t="n">
        <f aca="false">D5-E5</f>
        <v>9365</v>
      </c>
      <c r="G5" s="5" t="n">
        <v>0</v>
      </c>
      <c r="H5" s="12" t="n">
        <f aca="false">IFERROR(E5/D5,0)</f>
        <v>0.619308943089431</v>
      </c>
    </row>
    <row r="6" customFormat="false" ht="15" hidden="false" customHeight="false" outlineLevel="0" collapsed="false">
      <c r="A6" s="4" t="s">
        <v>73</v>
      </c>
      <c r="B6" s="4" t="s">
        <v>74</v>
      </c>
      <c r="C6" s="5" t="n">
        <v>0</v>
      </c>
      <c r="D6" s="5" t="n">
        <v>0</v>
      </c>
      <c r="E6" s="5" t="n">
        <v>0</v>
      </c>
      <c r="F6" s="9" t="n">
        <f aca="false">D6-E6</f>
        <v>0</v>
      </c>
      <c r="G6" s="5" t="n">
        <v>0</v>
      </c>
      <c r="H6" s="12" t="n">
        <f aca="false">IFERROR(E6/D6,0)</f>
        <v>0</v>
      </c>
    </row>
    <row r="7" customFormat="false" ht="15" hidden="false" customHeight="false" outlineLevel="0" collapsed="false">
      <c r="A7" s="4" t="s">
        <v>75</v>
      </c>
      <c r="B7" s="4" t="s">
        <v>76</v>
      </c>
      <c r="C7" s="5" t="n">
        <v>0</v>
      </c>
      <c r="D7" s="5" t="n">
        <v>0</v>
      </c>
      <c r="E7" s="5" t="n">
        <v>14.25</v>
      </c>
      <c r="F7" s="9" t="n">
        <f aca="false">D7-E7</f>
        <v>-14.25</v>
      </c>
      <c r="G7" s="5" t="n">
        <v>0</v>
      </c>
      <c r="H7" s="12" t="n">
        <f aca="false">IFERROR(E7/D7,0)</f>
        <v>0</v>
      </c>
    </row>
    <row r="8" customFormat="false" ht="15" hidden="false" customHeight="false" outlineLevel="0" collapsed="false">
      <c r="A8" s="4" t="s">
        <v>77</v>
      </c>
      <c r="B8" s="4" t="s">
        <v>78</v>
      </c>
      <c r="C8" s="5" t="n">
        <v>0</v>
      </c>
      <c r="D8" s="5" t="n">
        <v>675</v>
      </c>
      <c r="E8" s="5" t="n">
        <v>670</v>
      </c>
      <c r="F8" s="9" t="n">
        <f aca="false">D8-E8</f>
        <v>5</v>
      </c>
      <c r="G8" s="5" t="n">
        <v>0</v>
      </c>
      <c r="H8" s="12" t="n">
        <f aca="false">IFERROR(E8/D8,0)</f>
        <v>0.992592592592593</v>
      </c>
    </row>
    <row r="9" customFormat="false" ht="15" hidden="false" customHeight="false" outlineLevel="0" collapsed="false">
      <c r="A9" s="4" t="s">
        <v>79</v>
      </c>
      <c r="B9" s="4" t="s">
        <v>80</v>
      </c>
      <c r="C9" s="5" t="n">
        <v>96801</v>
      </c>
      <c r="D9" s="5" t="n">
        <v>96801</v>
      </c>
      <c r="E9" s="5" t="n">
        <v>55460.25</v>
      </c>
      <c r="F9" s="9" t="n">
        <f aca="false">D9-E9</f>
        <v>41340.75</v>
      </c>
      <c r="G9" s="5" t="n">
        <v>0</v>
      </c>
      <c r="H9" s="12" t="n">
        <f aca="false">IFERROR(E9/D9,0)</f>
        <v>0.572930548238138</v>
      </c>
    </row>
    <row r="10" customFormat="false" ht="15" hidden="false" customHeight="false" outlineLevel="0" collapsed="false">
      <c r="A10" s="4" t="s">
        <v>81</v>
      </c>
      <c r="B10" s="4" t="s">
        <v>82</v>
      </c>
      <c r="C10" s="5" t="n">
        <v>454876</v>
      </c>
      <c r="D10" s="5" t="n">
        <v>454876</v>
      </c>
      <c r="E10" s="5" t="n">
        <v>464398.31</v>
      </c>
      <c r="F10" s="9" t="n">
        <f aca="false">D10-E10</f>
        <v>-9522.31</v>
      </c>
      <c r="G10" s="5" t="n">
        <v>8449.81</v>
      </c>
      <c r="H10" s="12" t="n">
        <f aca="false">IFERROR(E10/D10,0)</f>
        <v>1.02093385889781</v>
      </c>
    </row>
    <row r="11" customFormat="false" ht="15" hidden="false" customHeight="false" outlineLevel="0" collapsed="false">
      <c r="A11" s="4" t="s">
        <v>83</v>
      </c>
      <c r="B11" s="4" t="s">
        <v>84</v>
      </c>
      <c r="C11" s="5" t="n">
        <v>835857</v>
      </c>
      <c r="D11" s="5" t="n">
        <v>838640</v>
      </c>
      <c r="E11" s="5" t="n">
        <v>621810.17</v>
      </c>
      <c r="F11" s="9" t="n">
        <f aca="false">D11-E11</f>
        <v>216829.83</v>
      </c>
      <c r="G11" s="5" t="n">
        <v>95810.87</v>
      </c>
      <c r="H11" s="12" t="n">
        <f aca="false">IFERROR(E11/D11,0)</f>
        <v>0.741450646284461</v>
      </c>
    </row>
    <row r="12" customFormat="false" ht="15" hidden="false" customHeight="false" outlineLevel="0" collapsed="false">
      <c r="A12" s="4" t="s">
        <v>85</v>
      </c>
      <c r="B12" s="4" t="s">
        <v>86</v>
      </c>
      <c r="C12" s="5" t="n">
        <v>0</v>
      </c>
      <c r="D12" s="5" t="n">
        <v>0</v>
      </c>
      <c r="E12" s="5" t="n">
        <v>0</v>
      </c>
      <c r="F12" s="9" t="n">
        <f aca="false">D12-E12</f>
        <v>0</v>
      </c>
      <c r="G12" s="5" t="n">
        <v>0</v>
      </c>
      <c r="H12" s="12" t="n">
        <f aca="false">IFERROR(E12/D12,0)</f>
        <v>0</v>
      </c>
    </row>
    <row r="13" customFormat="false" ht="15" hidden="false" customHeight="false" outlineLevel="0" collapsed="false">
      <c r="A13" s="4" t="s">
        <v>87</v>
      </c>
      <c r="B13" s="4" t="s">
        <v>88</v>
      </c>
      <c r="C13" s="5" t="n">
        <v>0</v>
      </c>
      <c r="D13" s="5" t="n">
        <v>0</v>
      </c>
      <c r="E13" s="5" t="n">
        <v>0</v>
      </c>
      <c r="F13" s="9" t="n">
        <f aca="false">D13-E13</f>
        <v>0</v>
      </c>
      <c r="G13" s="5" t="n">
        <v>0</v>
      </c>
      <c r="H13" s="12" t="n">
        <f aca="false">IFERROR(E13/D13,0)</f>
        <v>0</v>
      </c>
    </row>
    <row r="14" customFormat="false" ht="15" hidden="false" customHeight="false" outlineLevel="0" collapsed="false">
      <c r="A14" s="4" t="s">
        <v>89</v>
      </c>
      <c r="B14" s="4" t="s">
        <v>90</v>
      </c>
      <c r="C14" s="5" t="n">
        <v>0</v>
      </c>
      <c r="D14" s="5" t="n">
        <v>0</v>
      </c>
      <c r="E14" s="5" t="n">
        <v>2568.72</v>
      </c>
      <c r="F14" s="9" t="n">
        <f aca="false">D14-E14</f>
        <v>-2568.72</v>
      </c>
      <c r="G14" s="5" t="n">
        <v>2517.35</v>
      </c>
      <c r="H14" s="12" t="n">
        <f aca="false">IFERROR(E14/D14,0)</f>
        <v>0</v>
      </c>
    </row>
    <row r="15" customFormat="false" ht="15" hidden="false" customHeight="false" outlineLevel="0" collapsed="false">
      <c r="A15" s="4" t="s">
        <v>91</v>
      </c>
      <c r="B15" s="4" t="s">
        <v>92</v>
      </c>
      <c r="C15" s="5" t="n">
        <v>26000</v>
      </c>
      <c r="D15" s="5" t="n">
        <v>26000</v>
      </c>
      <c r="E15" s="5" t="n">
        <v>2409.88</v>
      </c>
      <c r="F15" s="9" t="n">
        <f aca="false">D15-E15</f>
        <v>23590.12</v>
      </c>
      <c r="G15" s="5" t="n">
        <v>1334.68</v>
      </c>
      <c r="H15" s="12" t="n">
        <f aca="false">IFERROR(E15/D15,0)</f>
        <v>0.0926876923076923</v>
      </c>
    </row>
    <row r="16" customFormat="false" ht="15" hidden="false" customHeight="false" outlineLevel="0" collapsed="false">
      <c r="A16" s="4" t="s">
        <v>93</v>
      </c>
      <c r="B16" s="4" t="s">
        <v>94</v>
      </c>
      <c r="C16" s="5" t="n">
        <v>5850</v>
      </c>
      <c r="D16" s="5" t="n">
        <v>5850</v>
      </c>
      <c r="E16" s="5" t="n">
        <v>22320</v>
      </c>
      <c r="F16" s="9" t="n">
        <f aca="false">D16-E16</f>
        <v>-16470</v>
      </c>
      <c r="G16" s="5" t="n">
        <v>0</v>
      </c>
      <c r="H16" s="12" t="n">
        <f aca="false">IFERROR(E16/D16,0)</f>
        <v>3.81538461538462</v>
      </c>
    </row>
    <row r="17" customFormat="false" ht="15" hidden="false" customHeight="false" outlineLevel="0" collapsed="false">
      <c r="A17" s="4" t="s">
        <v>95</v>
      </c>
      <c r="B17" s="4" t="s">
        <v>96</v>
      </c>
      <c r="C17" s="5" t="n">
        <v>0</v>
      </c>
      <c r="D17" s="5" t="n">
        <v>0</v>
      </c>
      <c r="E17" s="5" t="n">
        <v>2472.45</v>
      </c>
      <c r="F17" s="9" t="n">
        <f aca="false">D17-E17</f>
        <v>-2472.45</v>
      </c>
      <c r="G17" s="5" t="n">
        <v>262.14</v>
      </c>
      <c r="H17" s="12" t="n">
        <f aca="false">IFERROR(E17/D17,0)</f>
        <v>0</v>
      </c>
    </row>
    <row r="18" customFormat="false" ht="15" hidden="false" customHeight="false" outlineLevel="0" collapsed="false">
      <c r="A18" s="4" t="s">
        <v>97</v>
      </c>
      <c r="B18" s="4" t="s">
        <v>98</v>
      </c>
      <c r="C18" s="5" t="n">
        <v>102758</v>
      </c>
      <c r="D18" s="5" t="n">
        <v>102758</v>
      </c>
      <c r="E18" s="5" t="n">
        <v>39307.9</v>
      </c>
      <c r="F18" s="9" t="n">
        <f aca="false">D18-E18</f>
        <v>63450.1</v>
      </c>
      <c r="G18" s="5" t="n">
        <v>0</v>
      </c>
      <c r="H18" s="12" t="n">
        <f aca="false">IFERROR(E18/D18,0)</f>
        <v>0.382528854201133</v>
      </c>
    </row>
    <row r="19" customFormat="false" ht="15" hidden="false" customHeight="false" outlineLevel="0" collapsed="false">
      <c r="A19" s="4" t="s">
        <v>99</v>
      </c>
      <c r="B19" s="4" t="s">
        <v>100</v>
      </c>
      <c r="C19" s="5" t="n">
        <v>12450</v>
      </c>
      <c r="D19" s="5" t="n">
        <v>12450</v>
      </c>
      <c r="E19" s="5" t="n">
        <v>5515</v>
      </c>
      <c r="F19" s="9" t="n">
        <f aca="false">D19-E19</f>
        <v>6935</v>
      </c>
      <c r="G19" s="5" t="n">
        <v>0</v>
      </c>
      <c r="H19" s="12" t="n">
        <f aca="false">IFERROR(E19/D19,0)</f>
        <v>0.442971887550201</v>
      </c>
    </row>
    <row r="20" customFormat="false" ht="15" hidden="false" customHeight="false" outlineLevel="0" collapsed="false">
      <c r="A20" s="4" t="s">
        <v>101</v>
      </c>
      <c r="B20" s="4" t="s">
        <v>102</v>
      </c>
      <c r="C20" s="5" t="n">
        <v>444827.57</v>
      </c>
      <c r="D20" s="5" t="n">
        <v>448466.07</v>
      </c>
      <c r="E20" s="5" t="n">
        <v>428740.41</v>
      </c>
      <c r="F20" s="9" t="n">
        <f aca="false">D20-E20</f>
        <v>19725.66</v>
      </c>
      <c r="G20" s="5" t="n">
        <v>0</v>
      </c>
      <c r="H20" s="12" t="n">
        <f aca="false">IFERROR(E20/D20,0)</f>
        <v>0.956015267777114</v>
      </c>
    </row>
    <row r="21" customFormat="false" ht="15" hidden="false" customHeight="false" outlineLevel="0" collapsed="false">
      <c r="A21" s="4" t="s">
        <v>103</v>
      </c>
      <c r="B21" s="4" t="s">
        <v>104</v>
      </c>
      <c r="C21" s="5" t="n">
        <v>89668.8</v>
      </c>
      <c r="D21" s="5" t="n">
        <v>90401.29</v>
      </c>
      <c r="E21" s="5" t="n">
        <v>73899.85</v>
      </c>
      <c r="F21" s="9" t="n">
        <f aca="false">D21-E21</f>
        <v>16501.44</v>
      </c>
      <c r="G21" s="5" t="n">
        <v>0</v>
      </c>
      <c r="H21" s="12" t="n">
        <f aca="false">IFERROR(E21/D21,0)</f>
        <v>0.817464551667349</v>
      </c>
    </row>
    <row r="22" customFormat="false" ht="15" hidden="false" customHeight="false" outlineLevel="0" collapsed="false">
      <c r="A22" s="10" t="s">
        <v>105</v>
      </c>
      <c r="C22" s="6" t="n">
        <f aca="false">SUM(C4:C21)</f>
        <v>2112138.37</v>
      </c>
      <c r="D22" s="6" t="n">
        <f aca="false">SUM(D4:D21)</f>
        <v>2119967.36</v>
      </c>
      <c r="E22" s="6" t="n">
        <f aca="false">SUM(E4:E21)</f>
        <v>1738893.19</v>
      </c>
      <c r="F22" s="6" t="n">
        <f aca="false">SUM(F4:F21)</f>
        <v>381074.17</v>
      </c>
      <c r="G22" s="6" t="n">
        <f aca="false">SUM(G4:G21)</f>
        <v>108374.85</v>
      </c>
      <c r="H22" s="7" t="n">
        <f aca="false">IFERROR(E22/D22,0)</f>
        <v>0.820245265474276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6" min="3" style="0" width="16"/>
  </cols>
  <sheetData>
    <row r="1" customFormat="false" ht="19.7" hidden="false" customHeight="false" outlineLevel="0" collapsed="false">
      <c r="A1" s="1" t="s">
        <v>106</v>
      </c>
    </row>
    <row r="3" customFormat="false" ht="15" hidden="false" customHeight="false" outlineLevel="0" collapsed="false">
      <c r="A3" s="11" t="s">
        <v>107</v>
      </c>
      <c r="B3" s="11" t="s">
        <v>108</v>
      </c>
      <c r="C3" s="11" t="s">
        <v>109</v>
      </c>
      <c r="D3" s="11" t="s">
        <v>65</v>
      </c>
      <c r="E3" s="11" t="s">
        <v>66</v>
      </c>
      <c r="F3" s="11" t="s">
        <v>68</v>
      </c>
    </row>
    <row r="4" customFormat="false" ht="15" hidden="false" customHeight="false" outlineLevel="0" collapsed="false">
      <c r="A4" s="10" t="s">
        <v>110</v>
      </c>
      <c r="B4" s="4" t="n">
        <v>4</v>
      </c>
      <c r="C4" s="5" t="n">
        <v>43050</v>
      </c>
      <c r="D4" s="5" t="n">
        <v>19320.25</v>
      </c>
      <c r="E4" s="9" t="n">
        <f aca="false">C4-D4</f>
        <v>23729.75</v>
      </c>
      <c r="F4" s="12" t="n">
        <f aca="false">IFERROR(D4/C4,0)</f>
        <v>0.448786295005807</v>
      </c>
    </row>
    <row r="5" customFormat="false" ht="15" hidden="false" customHeight="false" outlineLevel="0" collapsed="false">
      <c r="A5" s="10" t="s">
        <v>111</v>
      </c>
      <c r="B5" s="4" t="n">
        <v>6</v>
      </c>
      <c r="C5" s="5" t="n">
        <v>1390317</v>
      </c>
      <c r="D5" s="5" t="n">
        <v>1144237.45</v>
      </c>
      <c r="E5" s="9" t="n">
        <f aca="false">C5-D5</f>
        <v>246079.55</v>
      </c>
      <c r="F5" s="12" t="n">
        <f aca="false">IFERROR(D5/C5,0)</f>
        <v>0.823004717629145</v>
      </c>
    </row>
    <row r="6" customFormat="false" ht="15" hidden="false" customHeight="false" outlineLevel="0" collapsed="false">
      <c r="A6" s="10" t="s">
        <v>112</v>
      </c>
      <c r="B6" s="4" t="n">
        <v>5</v>
      </c>
      <c r="C6" s="5" t="n">
        <v>147058</v>
      </c>
      <c r="D6" s="5" t="n">
        <v>72025.23</v>
      </c>
      <c r="E6" s="9" t="n">
        <f aca="false">C6-D6</f>
        <v>75032.77</v>
      </c>
      <c r="F6" s="12" t="n">
        <f aca="false">IFERROR(D6/C6,0)</f>
        <v>0.489774306736118</v>
      </c>
    </row>
    <row r="7" customFormat="false" ht="15" hidden="false" customHeight="false" outlineLevel="0" collapsed="false">
      <c r="A7" s="10" t="s">
        <v>113</v>
      </c>
      <c r="B7" s="4" t="n">
        <v>2</v>
      </c>
      <c r="C7" s="5" t="n">
        <v>538867.36</v>
      </c>
      <c r="D7" s="5" t="n">
        <v>502640.26</v>
      </c>
      <c r="E7" s="9" t="n">
        <f aca="false">C7-D7</f>
        <v>36227.1</v>
      </c>
      <c r="F7" s="12" t="n">
        <f aca="false">IFERROR(D7/C7,0)</f>
        <v>0.932771767805718</v>
      </c>
    </row>
    <row r="8" customFormat="false" ht="15" hidden="false" customHeight="false" outlineLevel="0" collapsed="false">
      <c r="A8" s="10" t="s">
        <v>105</v>
      </c>
      <c r="B8" s="13" t="n">
        <f aca="false">SUM(B4:B7)</f>
        <v>17</v>
      </c>
      <c r="C8" s="6" t="n">
        <f aca="false">SUM(C4:C7)</f>
        <v>2119292.36</v>
      </c>
      <c r="D8" s="6" t="n">
        <f aca="false">SUM(D4:D7)</f>
        <v>1738223.19</v>
      </c>
      <c r="E8" s="6" t="n">
        <f aca="false">SUM(E4:E7)</f>
        <v>381069.17</v>
      </c>
      <c r="F8" s="7" t="n">
        <f aca="false">IFERROR(D8/C8,0)</f>
        <v>0.820190372412799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5" min="3" style="0" width="14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114</v>
      </c>
    </row>
    <row r="2" customFormat="false" ht="15" hidden="false" customHeight="false" outlineLevel="0" collapsed="false">
      <c r="A2" s="2" t="s">
        <v>115</v>
      </c>
    </row>
    <row r="4" customFormat="false" ht="15" hidden="false" customHeight="false" outlineLevel="0" collapsed="false">
      <c r="A4" s="11" t="s">
        <v>64</v>
      </c>
      <c r="B4" s="11" t="s">
        <v>50</v>
      </c>
      <c r="C4" s="11" t="s">
        <v>43</v>
      </c>
      <c r="D4" s="11" t="s">
        <v>65</v>
      </c>
      <c r="E4" s="11" t="s">
        <v>66</v>
      </c>
      <c r="F4" s="11" t="s">
        <v>116</v>
      </c>
      <c r="G4" s="11" t="s">
        <v>36</v>
      </c>
    </row>
    <row r="5" customFormat="false" ht="15" hidden="false" customHeight="false" outlineLevel="0" collapsed="false">
      <c r="A5" s="4" t="s">
        <v>69</v>
      </c>
      <c r="B5" s="4" t="s">
        <v>70</v>
      </c>
      <c r="C5" s="5" t="n">
        <v>18450</v>
      </c>
      <c r="D5" s="5" t="n">
        <v>4071</v>
      </c>
      <c r="E5" s="9" t="n">
        <f aca="false">C5-D5</f>
        <v>14379</v>
      </c>
      <c r="F5" s="12" t="n">
        <f aca="false">IFERROR((D5-C5)/C5,0)</f>
        <v>-0.779349593495935</v>
      </c>
      <c r="G5" s="14" t="str">
        <f aca="false">IF(C5=0,"UNBUDGETED",IF(F5&gt;0.5,"CRITICAL",IF(F5&gt;0.1,"OVER",IF(F5&lt;-0.1,"UNDER","ON"))))</f>
        <v>UNDER</v>
      </c>
    </row>
    <row r="6" customFormat="false" ht="15" hidden="false" customHeight="false" outlineLevel="0" collapsed="false">
      <c r="A6" s="4" t="s">
        <v>71</v>
      </c>
      <c r="B6" s="4" t="s">
        <v>72</v>
      </c>
      <c r="C6" s="5" t="n">
        <v>24600</v>
      </c>
      <c r="D6" s="5" t="n">
        <v>15235</v>
      </c>
      <c r="E6" s="9" t="n">
        <f aca="false">C6-D6</f>
        <v>9365</v>
      </c>
      <c r="F6" s="12" t="n">
        <f aca="false">IFERROR((D6-C6)/C6,0)</f>
        <v>-0.380691056910569</v>
      </c>
      <c r="G6" s="14" t="str">
        <f aca="false">IF(C6=0,"UNBUDGETED",IF(F6&gt;0.5,"CRITICAL",IF(F6&gt;0.1,"OVER",IF(F6&lt;-0.1,"UNDER","ON"))))</f>
        <v>UNDER</v>
      </c>
    </row>
    <row r="7" customFormat="false" ht="15" hidden="false" customHeight="false" outlineLevel="0" collapsed="false">
      <c r="A7" s="4" t="s">
        <v>75</v>
      </c>
      <c r="B7" s="4" t="s">
        <v>76</v>
      </c>
      <c r="C7" s="5" t="n">
        <v>0</v>
      </c>
      <c r="D7" s="5" t="n">
        <v>14.25</v>
      </c>
      <c r="E7" s="9" t="n">
        <f aca="false">C7-D7</f>
        <v>-14.25</v>
      </c>
      <c r="F7" s="12" t="n">
        <f aca="false">IFERROR((D7-C7)/C7,0)</f>
        <v>0</v>
      </c>
      <c r="G7" s="14" t="str">
        <f aca="false">IF(C7=0,"UNBUDGETED",IF(F7&gt;0.5,"CRITICAL",IF(F7&gt;0.1,"OVER",IF(F7&lt;-0.1,"UNDER","ON"))))</f>
        <v>UNBUDGETED</v>
      </c>
    </row>
    <row r="8" customFormat="false" ht="15" hidden="false" customHeight="false" outlineLevel="0" collapsed="false">
      <c r="A8" s="4" t="s">
        <v>77</v>
      </c>
      <c r="B8" s="4" t="s">
        <v>78</v>
      </c>
      <c r="C8" s="5" t="n">
        <v>675</v>
      </c>
      <c r="D8" s="5" t="n">
        <v>670</v>
      </c>
      <c r="E8" s="9" t="n">
        <f aca="false">C8-D8</f>
        <v>5</v>
      </c>
      <c r="F8" s="12" t="n">
        <f aca="false">IFERROR((D8-C8)/C8,0)</f>
        <v>-0.00740740740740741</v>
      </c>
      <c r="G8" s="14" t="str">
        <f aca="false">IF(C8=0,"UNBUDGETED",IF(F8&gt;0.5,"CRITICAL",IF(F8&gt;0.1,"OVER",IF(F8&lt;-0.1,"UNDER","ON"))))</f>
        <v>ON</v>
      </c>
    </row>
    <row r="9" customFormat="false" ht="15" hidden="false" customHeight="false" outlineLevel="0" collapsed="false">
      <c r="A9" s="4" t="s">
        <v>79</v>
      </c>
      <c r="B9" s="4" t="s">
        <v>80</v>
      </c>
      <c r="C9" s="5" t="n">
        <v>96801</v>
      </c>
      <c r="D9" s="5" t="n">
        <v>55460.25</v>
      </c>
      <c r="E9" s="9" t="n">
        <f aca="false">C9-D9</f>
        <v>41340.75</v>
      </c>
      <c r="F9" s="12" t="n">
        <f aca="false">IFERROR((D9-C9)/C9,0)</f>
        <v>-0.427069451761862</v>
      </c>
      <c r="G9" s="14" t="str">
        <f aca="false">IF(C9=0,"UNBUDGETED",IF(F9&gt;0.5,"CRITICAL",IF(F9&gt;0.1,"OVER",IF(F9&lt;-0.1,"UNDER","ON"))))</f>
        <v>UNDER</v>
      </c>
    </row>
    <row r="10" customFormat="false" ht="15" hidden="false" customHeight="false" outlineLevel="0" collapsed="false">
      <c r="A10" s="4" t="s">
        <v>81</v>
      </c>
      <c r="B10" s="4" t="s">
        <v>82</v>
      </c>
      <c r="C10" s="5" t="n">
        <v>454876</v>
      </c>
      <c r="D10" s="5" t="n">
        <v>464398.31</v>
      </c>
      <c r="E10" s="9" t="n">
        <f aca="false">C10-D10</f>
        <v>-9522.31</v>
      </c>
      <c r="F10" s="12" t="n">
        <f aca="false">IFERROR((D10-C10)/C10,0)</f>
        <v>0.0209338588978095</v>
      </c>
      <c r="G10" s="14" t="str">
        <f aca="false">IF(C10=0,"UNBUDGETED",IF(F10&gt;0.5,"CRITICAL",IF(F10&gt;0.1,"OVER",IF(F10&lt;-0.1,"UNDER","ON"))))</f>
        <v>ON</v>
      </c>
    </row>
    <row r="11" customFormat="false" ht="15" hidden="false" customHeight="false" outlineLevel="0" collapsed="false">
      <c r="A11" s="4" t="s">
        <v>83</v>
      </c>
      <c r="B11" s="4" t="s">
        <v>84</v>
      </c>
      <c r="C11" s="5" t="n">
        <v>838640</v>
      </c>
      <c r="D11" s="5" t="n">
        <v>621810.17</v>
      </c>
      <c r="E11" s="9" t="n">
        <f aca="false">C11-D11</f>
        <v>216829.83</v>
      </c>
      <c r="F11" s="12" t="n">
        <f aca="false">IFERROR((D11-C11)/C11,0)</f>
        <v>-0.258549353715539</v>
      </c>
      <c r="G11" s="14" t="str">
        <f aca="false">IF(C11=0,"UNBUDGETED",IF(F11&gt;0.5,"CRITICAL",IF(F11&gt;0.1,"OVER",IF(F11&lt;-0.1,"UNDER","ON"))))</f>
        <v>UNDER</v>
      </c>
    </row>
    <row r="12" customFormat="false" ht="15" hidden="false" customHeight="false" outlineLevel="0" collapsed="false">
      <c r="A12" s="4" t="s">
        <v>89</v>
      </c>
      <c r="B12" s="4" t="s">
        <v>90</v>
      </c>
      <c r="C12" s="5" t="n">
        <v>0</v>
      </c>
      <c r="D12" s="5" t="n">
        <v>2568.72</v>
      </c>
      <c r="E12" s="9" t="n">
        <f aca="false">C12-D12</f>
        <v>-2568.72</v>
      </c>
      <c r="F12" s="12" t="n">
        <f aca="false">IFERROR((D12-C12)/C12,0)</f>
        <v>0</v>
      </c>
      <c r="G12" s="14" t="str">
        <f aca="false">IF(C12=0,"UNBUDGETED",IF(F12&gt;0.5,"CRITICAL",IF(F12&gt;0.1,"OVER",IF(F12&lt;-0.1,"UNDER","ON"))))</f>
        <v>UNBUDGETED</v>
      </c>
    </row>
    <row r="13" customFormat="false" ht="15" hidden="false" customHeight="false" outlineLevel="0" collapsed="false">
      <c r="A13" s="4" t="s">
        <v>91</v>
      </c>
      <c r="B13" s="4" t="s">
        <v>92</v>
      </c>
      <c r="C13" s="5" t="n">
        <v>26000</v>
      </c>
      <c r="D13" s="5" t="n">
        <v>2409.88</v>
      </c>
      <c r="E13" s="9" t="n">
        <f aca="false">C13-D13</f>
        <v>23590.12</v>
      </c>
      <c r="F13" s="12" t="n">
        <f aca="false">IFERROR((D13-C13)/C13,0)</f>
        <v>-0.907312307692308</v>
      </c>
      <c r="G13" s="14" t="str">
        <f aca="false">IF(C13=0,"UNBUDGETED",IF(F13&gt;0.5,"CRITICAL",IF(F13&gt;0.1,"OVER",IF(F13&lt;-0.1,"UNDER","ON"))))</f>
        <v>UNDER</v>
      </c>
    </row>
    <row r="14" customFormat="false" ht="15" hidden="false" customHeight="false" outlineLevel="0" collapsed="false">
      <c r="A14" s="4" t="s">
        <v>93</v>
      </c>
      <c r="B14" s="4" t="s">
        <v>94</v>
      </c>
      <c r="C14" s="5" t="n">
        <v>5850</v>
      </c>
      <c r="D14" s="5" t="n">
        <v>22320</v>
      </c>
      <c r="E14" s="9" t="n">
        <f aca="false">C14-D14</f>
        <v>-16470</v>
      </c>
      <c r="F14" s="12" t="n">
        <f aca="false">IFERROR((D14-C14)/C14,0)</f>
        <v>2.81538461538462</v>
      </c>
      <c r="G14" s="14" t="str">
        <f aca="false">IF(C14=0,"UNBUDGETED",IF(F14&gt;0.5,"CRITICAL",IF(F14&gt;0.1,"OVER",IF(F14&lt;-0.1,"UNDER","ON"))))</f>
        <v>CRITICAL</v>
      </c>
    </row>
    <row r="15" customFormat="false" ht="15" hidden="false" customHeight="false" outlineLevel="0" collapsed="false">
      <c r="A15" s="4" t="s">
        <v>95</v>
      </c>
      <c r="B15" s="4" t="s">
        <v>96</v>
      </c>
      <c r="C15" s="5" t="n">
        <v>0</v>
      </c>
      <c r="D15" s="5" t="n">
        <v>2472.45</v>
      </c>
      <c r="E15" s="9" t="n">
        <f aca="false">C15-D15</f>
        <v>-2472.45</v>
      </c>
      <c r="F15" s="12" t="n">
        <f aca="false">IFERROR((D15-C15)/C15,0)</f>
        <v>0</v>
      </c>
      <c r="G15" s="14" t="str">
        <f aca="false">IF(C15=0,"UNBUDGETED",IF(F15&gt;0.5,"CRITICAL",IF(F15&gt;0.1,"OVER",IF(F15&lt;-0.1,"UNDER","ON"))))</f>
        <v>UNBUDGETED</v>
      </c>
    </row>
    <row r="16" customFormat="false" ht="15" hidden="false" customHeight="false" outlineLevel="0" collapsed="false">
      <c r="A16" s="4" t="s">
        <v>97</v>
      </c>
      <c r="B16" s="4" t="s">
        <v>98</v>
      </c>
      <c r="C16" s="5" t="n">
        <v>102758</v>
      </c>
      <c r="D16" s="5" t="n">
        <v>39307.9</v>
      </c>
      <c r="E16" s="9" t="n">
        <f aca="false">C16-D16</f>
        <v>63450.1</v>
      </c>
      <c r="F16" s="12" t="n">
        <f aca="false">IFERROR((D16-C16)/C16,0)</f>
        <v>-0.617471145798867</v>
      </c>
      <c r="G16" s="14" t="str">
        <f aca="false">IF(C16=0,"UNBUDGETED",IF(F16&gt;0.5,"CRITICAL",IF(F16&gt;0.1,"OVER",IF(F16&lt;-0.1,"UNDER","ON"))))</f>
        <v>UNDER</v>
      </c>
    </row>
    <row r="17" customFormat="false" ht="15" hidden="false" customHeight="false" outlineLevel="0" collapsed="false">
      <c r="A17" s="4" t="s">
        <v>99</v>
      </c>
      <c r="B17" s="4" t="s">
        <v>100</v>
      </c>
      <c r="C17" s="5" t="n">
        <v>12450</v>
      </c>
      <c r="D17" s="5" t="n">
        <v>5515</v>
      </c>
      <c r="E17" s="9" t="n">
        <f aca="false">C17-D17</f>
        <v>6935</v>
      </c>
      <c r="F17" s="12" t="n">
        <f aca="false">IFERROR((D17-C17)/C17,0)</f>
        <v>-0.557028112449799</v>
      </c>
      <c r="G17" s="14" t="str">
        <f aca="false">IF(C17=0,"UNBUDGETED",IF(F17&gt;0.5,"CRITICAL",IF(F17&gt;0.1,"OVER",IF(F17&lt;-0.1,"UNDER","ON"))))</f>
        <v>UNDER</v>
      </c>
    </row>
    <row r="18" customFormat="false" ht="15" hidden="false" customHeight="false" outlineLevel="0" collapsed="false">
      <c r="A18" s="4" t="s">
        <v>101</v>
      </c>
      <c r="B18" s="4" t="s">
        <v>102</v>
      </c>
      <c r="C18" s="5" t="n">
        <v>448466.07</v>
      </c>
      <c r="D18" s="5" t="n">
        <v>428740.41</v>
      </c>
      <c r="E18" s="9" t="n">
        <f aca="false">C18-D18</f>
        <v>19725.66</v>
      </c>
      <c r="F18" s="12" t="n">
        <f aca="false">IFERROR((D18-C18)/C18,0)</f>
        <v>-0.043984732222886</v>
      </c>
      <c r="G18" s="14" t="str">
        <f aca="false">IF(C18=0,"UNBUDGETED",IF(F18&gt;0.5,"CRITICAL",IF(F18&gt;0.1,"OVER",IF(F18&lt;-0.1,"UNDER","ON"))))</f>
        <v>ON</v>
      </c>
    </row>
    <row r="19" customFormat="false" ht="15" hidden="false" customHeight="false" outlineLevel="0" collapsed="false">
      <c r="A19" s="4" t="s">
        <v>103</v>
      </c>
      <c r="B19" s="4" t="s">
        <v>104</v>
      </c>
      <c r="C19" s="5" t="n">
        <v>90401.29</v>
      </c>
      <c r="D19" s="5" t="n">
        <v>73899.85</v>
      </c>
      <c r="E19" s="9" t="n">
        <f aca="false">C19-D19</f>
        <v>16501.44</v>
      </c>
      <c r="F19" s="12" t="n">
        <f aca="false">IFERROR((D19-C19)/C19,0)</f>
        <v>-0.182535448332651</v>
      </c>
      <c r="G19" s="14" t="str">
        <f aca="false">IF(C19=0,"UNBUDGETED",IF(F19&gt;0.5,"CRITICAL",IF(F19&gt;0.1,"OVER",IF(F19&lt;-0.1,"UNDER","ON"))))</f>
        <v>UNDER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117</v>
      </c>
    </row>
    <row r="3" customFormat="false" ht="15" hidden="false" customHeight="false" outlineLevel="0" collapsed="false">
      <c r="A3" s="11" t="s">
        <v>118</v>
      </c>
      <c r="B3" s="11" t="s">
        <v>119</v>
      </c>
      <c r="C3" s="11" t="s">
        <v>120</v>
      </c>
      <c r="D3" s="11" t="s">
        <v>121</v>
      </c>
    </row>
    <row r="4" customFormat="false" ht="15" hidden="false" customHeight="false" outlineLevel="0" collapsed="false">
      <c r="A4" s="4" t="s">
        <v>122</v>
      </c>
      <c r="B4" s="5" t="n">
        <v>500869.06</v>
      </c>
      <c r="C4" s="4" t="n">
        <v>169</v>
      </c>
      <c r="D4" s="12" t="n">
        <f aca="false">IFERROR(B4/SUM(B$4:B$16),0)</f>
        <v>0.467237248122204</v>
      </c>
    </row>
    <row r="5" customFormat="false" ht="15" hidden="false" customHeight="false" outlineLevel="0" collapsed="false">
      <c r="A5" s="4" t="s">
        <v>123</v>
      </c>
      <c r="B5" s="5" t="n">
        <v>305149.79</v>
      </c>
      <c r="C5" s="4" t="n">
        <v>107</v>
      </c>
      <c r="D5" s="12" t="n">
        <f aca="false">IFERROR(B5/SUM(B$4:B$16),0)</f>
        <v>0.284659923183653</v>
      </c>
    </row>
    <row r="6" customFormat="false" ht="15" hidden="false" customHeight="false" outlineLevel="0" collapsed="false">
      <c r="A6" s="4" t="s">
        <v>124</v>
      </c>
      <c r="B6" s="5" t="n">
        <v>103987.31</v>
      </c>
      <c r="C6" s="4" t="n">
        <v>94</v>
      </c>
      <c r="D6" s="12" t="n">
        <f aca="false">IFERROR(B6/SUM(B$4:B$16),0)</f>
        <v>0.0970048830008198</v>
      </c>
    </row>
    <row r="7" customFormat="false" ht="15" hidden="false" customHeight="false" outlineLevel="0" collapsed="false">
      <c r="A7" s="4" t="s">
        <v>125</v>
      </c>
      <c r="B7" s="5" t="n">
        <v>76546</v>
      </c>
      <c r="C7" s="4" t="n">
        <v>6</v>
      </c>
      <c r="D7" s="12" t="n">
        <f aca="false">IFERROR(B7/SUM(B$4:B$16),0)</f>
        <v>0.071406172293338</v>
      </c>
    </row>
    <row r="8" customFormat="false" ht="15" hidden="false" customHeight="false" outlineLevel="0" collapsed="false">
      <c r="A8" s="4" t="s">
        <v>126</v>
      </c>
      <c r="B8" s="5" t="n">
        <v>52035.97</v>
      </c>
      <c r="C8" s="4" t="n">
        <v>24</v>
      </c>
      <c r="D8" s="12" t="n">
        <f aca="false">IFERROR(B8/SUM(B$4:B$16),0)</f>
        <v>0.0485419151787287</v>
      </c>
    </row>
    <row r="9" customFormat="false" ht="15" hidden="false" customHeight="false" outlineLevel="0" collapsed="false">
      <c r="A9" s="4" t="s">
        <v>127</v>
      </c>
      <c r="B9" s="5" t="n">
        <v>22320</v>
      </c>
      <c r="C9" s="4" t="n">
        <v>1</v>
      </c>
      <c r="D9" s="12" t="n">
        <f aca="false">IFERROR(B9/SUM(B$4:B$16),0)</f>
        <v>0.0208212808714669</v>
      </c>
    </row>
    <row r="10" customFormat="false" ht="15" hidden="false" customHeight="false" outlineLevel="0" collapsed="false">
      <c r="A10" s="4" t="s">
        <v>128</v>
      </c>
      <c r="B10" s="5" t="n">
        <v>2472.45</v>
      </c>
      <c r="C10" s="4" t="n">
        <v>10</v>
      </c>
      <c r="D10" s="12" t="n">
        <f aca="false">IFERROR(B10/SUM(B$4:B$16),0)</f>
        <v>0.00230643261158863</v>
      </c>
    </row>
    <row r="11" customFormat="false" ht="15" hidden="false" customHeight="false" outlineLevel="0" collapsed="false">
      <c r="A11" s="4" t="s">
        <v>129</v>
      </c>
      <c r="B11" s="5" t="n">
        <v>2408</v>
      </c>
      <c r="C11" s="4" t="n">
        <v>1</v>
      </c>
      <c r="D11" s="12" t="n">
        <f aca="false">IFERROR(B11/SUM(B$4:B$16),0)</f>
        <v>0.00224631023021919</v>
      </c>
    </row>
    <row r="12" customFormat="false" ht="15" hidden="false" customHeight="false" outlineLevel="0" collapsed="false">
      <c r="A12" s="4" t="s">
        <v>130</v>
      </c>
      <c r="B12" s="5" t="n">
        <v>1983.84</v>
      </c>
      <c r="C12" s="4" t="n">
        <v>7</v>
      </c>
      <c r="D12" s="12" t="n">
        <f aca="false">IFERROR(B12/SUM(B$4:B$16),0)</f>
        <v>0.00185063126541446</v>
      </c>
    </row>
    <row r="13" customFormat="false" ht="15" hidden="false" customHeight="false" outlineLevel="0" collapsed="false">
      <c r="A13" s="4" t="s">
        <v>131</v>
      </c>
      <c r="B13" s="5" t="n">
        <v>1865.27</v>
      </c>
      <c r="C13" s="4" t="n">
        <v>3</v>
      </c>
      <c r="D13" s="12" t="n">
        <f aca="false">IFERROR(B13/SUM(B$4:B$16),0)</f>
        <v>0.00174002287505023</v>
      </c>
    </row>
    <row r="14" customFormat="false" ht="15" hidden="false" customHeight="false" outlineLevel="0" collapsed="false">
      <c r="A14" s="4" t="s">
        <v>132</v>
      </c>
      <c r="B14" s="5" t="n">
        <v>1602.9</v>
      </c>
      <c r="C14" s="4" t="n">
        <v>10</v>
      </c>
      <c r="D14" s="12" t="n">
        <f aca="false">IFERROR(B14/SUM(B$4:B$16),0)</f>
        <v>0.00149527021097107</v>
      </c>
    </row>
    <row r="15" customFormat="false" ht="15" hidden="false" customHeight="false" outlineLevel="0" collapsed="false">
      <c r="A15" s="4" t="s">
        <v>133</v>
      </c>
      <c r="B15" s="5" t="n">
        <v>544.61</v>
      </c>
      <c r="C15" s="4" t="n">
        <v>2</v>
      </c>
      <c r="D15" s="12" t="n">
        <f aca="false">IFERROR(B15/SUM(B$4:B$16),0)</f>
        <v>0.000508041118969963</v>
      </c>
    </row>
    <row r="16" customFormat="false" ht="15" hidden="false" customHeight="false" outlineLevel="0" collapsed="false">
      <c r="A16" s="4" t="s">
        <v>134</v>
      </c>
      <c r="B16" s="5" t="n">
        <v>194.96</v>
      </c>
      <c r="C16" s="4" t="n">
        <v>2</v>
      </c>
      <c r="D16" s="12" t="n">
        <f aca="false">IFERROR(B16/SUM(B$4:B$16),0)</f>
        <v>0.000181869037576218</v>
      </c>
    </row>
    <row r="17" customFormat="false" ht="15" hidden="false" customHeight="false" outlineLevel="0" collapsed="false">
      <c r="A17" s="10" t="s">
        <v>135</v>
      </c>
      <c r="B17" s="6" t="n">
        <f aca="false">SUM(B4:B16)</f>
        <v>1071980.16</v>
      </c>
      <c r="C17" s="15" t="n">
        <f aca="false">SUM(C4:C16)</f>
        <v>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2"/>
  </cols>
  <sheetData>
    <row r="1" customFormat="false" ht="19.7" hidden="false" customHeight="false" outlineLevel="0" collapsed="false">
      <c r="A1" s="1" t="s">
        <v>136</v>
      </c>
    </row>
    <row r="3" customFormat="false" ht="15" hidden="false" customHeight="false" outlineLevel="0" collapsed="false">
      <c r="A3" s="11" t="s">
        <v>137</v>
      </c>
      <c r="B3" s="11" t="s">
        <v>138</v>
      </c>
      <c r="C3" s="11" t="s">
        <v>139</v>
      </c>
      <c r="D3" s="11" t="s">
        <v>140</v>
      </c>
      <c r="E3" s="11" t="s">
        <v>141</v>
      </c>
    </row>
    <row r="4" customFormat="false" ht="15" hidden="false" customHeight="false" outlineLevel="0" collapsed="false">
      <c r="A4" s="4" t="s">
        <v>142</v>
      </c>
      <c r="B4" s="16" t="n">
        <v>168</v>
      </c>
      <c r="C4" s="5" t="n">
        <v>11592</v>
      </c>
      <c r="D4" s="17" t="n">
        <f aca="false">IFERROR(C4/B4,0)</f>
        <v>69</v>
      </c>
      <c r="E4" s="4" t="s">
        <v>143</v>
      </c>
    </row>
    <row r="5" customFormat="false" ht="15" hidden="false" customHeight="false" outlineLevel="0" collapsed="false">
      <c r="A5" s="4" t="s">
        <v>144</v>
      </c>
      <c r="B5" s="16" t="n">
        <v>98</v>
      </c>
      <c r="C5" s="5" t="n">
        <v>5831</v>
      </c>
      <c r="D5" s="17" t="n">
        <f aca="false">IFERROR(C5/B5,0)</f>
        <v>59.5</v>
      </c>
      <c r="E5" s="4" t="s">
        <v>143</v>
      </c>
    </row>
    <row r="6" customFormat="false" ht="15" hidden="false" customHeight="false" outlineLevel="0" collapsed="false">
      <c r="A6" s="4" t="s">
        <v>145</v>
      </c>
      <c r="B6" s="16" t="n">
        <v>60</v>
      </c>
      <c r="C6" s="5" t="n">
        <v>0</v>
      </c>
      <c r="D6" s="17" t="n">
        <f aca="false">IFERROR(C6/B6,0)</f>
        <v>0</v>
      </c>
      <c r="E6" s="4" t="s">
        <v>146</v>
      </c>
    </row>
    <row r="7" customFormat="false" ht="15" hidden="false" customHeight="false" outlineLevel="0" collapsed="false">
      <c r="A7" s="4" t="s">
        <v>147</v>
      </c>
      <c r="B7" s="16" t="n">
        <v>28.8</v>
      </c>
      <c r="C7" s="5" t="n">
        <v>1553</v>
      </c>
      <c r="D7" s="17" t="n">
        <f aca="false">IFERROR(C7/B7,0)</f>
        <v>53.9236111111111</v>
      </c>
      <c r="E7" s="4" t="s">
        <v>143</v>
      </c>
    </row>
    <row r="8" customFormat="false" ht="15" hidden="false" customHeight="false" outlineLevel="0" collapsed="false">
      <c r="A8" s="4" t="s">
        <v>148</v>
      </c>
      <c r="B8" s="16" t="n">
        <v>11</v>
      </c>
      <c r="C8" s="5" t="n">
        <v>572</v>
      </c>
      <c r="D8" s="17" t="n">
        <f aca="false">IFERROR(C8/B8,0)</f>
        <v>52</v>
      </c>
      <c r="E8" s="4" t="s">
        <v>143</v>
      </c>
    </row>
    <row r="9" customFormat="false" ht="15" hidden="false" customHeight="false" outlineLevel="0" collapsed="false">
      <c r="A9" s="4" t="s">
        <v>149</v>
      </c>
      <c r="B9" s="16" t="n">
        <v>8.5</v>
      </c>
      <c r="C9" s="5" t="n">
        <v>238</v>
      </c>
      <c r="D9" s="17" t="n">
        <f aca="false">IFERROR(C9/B9,0)</f>
        <v>28</v>
      </c>
      <c r="E9" s="4" t="s">
        <v>150</v>
      </c>
    </row>
    <row r="10" customFormat="false" ht="15" hidden="false" customHeight="false" outlineLevel="0" collapsed="false">
      <c r="A10" s="4" t="s">
        <v>151</v>
      </c>
      <c r="B10" s="16" t="n">
        <v>3</v>
      </c>
      <c r="C10" s="5" t="n">
        <v>204</v>
      </c>
      <c r="D10" s="17" t="n">
        <f aca="false">IFERROR(C10/B10,0)</f>
        <v>68</v>
      </c>
      <c r="E10" s="4" t="s">
        <v>143</v>
      </c>
    </row>
    <row r="11" customFormat="false" ht="15" hidden="false" customHeight="false" outlineLevel="0" collapsed="false">
      <c r="A11" s="4" t="s">
        <v>152</v>
      </c>
      <c r="B11" s="16" t="n">
        <v>0</v>
      </c>
      <c r="C11" s="5" t="n">
        <v>0</v>
      </c>
      <c r="D11" s="17" t="n">
        <f aca="false">IFERROR(C11/B11,0)</f>
        <v>0</v>
      </c>
      <c r="E11" s="4" t="s">
        <v>153</v>
      </c>
    </row>
    <row r="12" customFormat="false" ht="15" hidden="false" customHeight="false" outlineLevel="0" collapsed="false">
      <c r="A12" s="4" t="s">
        <v>154</v>
      </c>
      <c r="B12" s="16" t="n">
        <v>0</v>
      </c>
      <c r="C12" s="5" t="n">
        <v>0</v>
      </c>
      <c r="D12" s="17" t="n">
        <f aca="false">IFERROR(C12/B12,0)</f>
        <v>0</v>
      </c>
      <c r="E12" s="4" t="s">
        <v>153</v>
      </c>
    </row>
    <row r="13" customFormat="false" ht="15" hidden="false" customHeight="false" outlineLevel="0" collapsed="false">
      <c r="A13" s="4" t="s">
        <v>155</v>
      </c>
      <c r="B13" s="16" t="n">
        <v>0</v>
      </c>
      <c r="C13" s="5" t="n">
        <v>0</v>
      </c>
      <c r="D13" s="17" t="n">
        <f aca="false">IFERROR(C13/B13,0)</f>
        <v>0</v>
      </c>
      <c r="E13" s="4" t="s">
        <v>153</v>
      </c>
    </row>
    <row r="14" customFormat="false" ht="15" hidden="false" customHeight="false" outlineLevel="0" collapsed="false">
      <c r="A14" s="4" t="s">
        <v>156</v>
      </c>
      <c r="B14" s="16" t="n">
        <v>0</v>
      </c>
      <c r="C14" s="5" t="n">
        <v>0</v>
      </c>
      <c r="D14" s="17" t="n">
        <f aca="false">IFERROR(C14/B14,0)</f>
        <v>0</v>
      </c>
      <c r="E14" s="4" t="s">
        <v>153</v>
      </c>
    </row>
    <row r="15" customFormat="false" ht="15" hidden="false" customHeight="false" outlineLevel="0" collapsed="false">
      <c r="A15" s="4" t="s">
        <v>157</v>
      </c>
      <c r="B15" s="16" t="n">
        <v>0</v>
      </c>
      <c r="C15" s="5" t="n">
        <v>0</v>
      </c>
      <c r="D15" s="17" t="n">
        <f aca="false">IFERROR(C15/B15,0)</f>
        <v>0</v>
      </c>
      <c r="E15" s="4" t="s">
        <v>153</v>
      </c>
    </row>
    <row r="16" customFormat="false" ht="15" hidden="false" customHeight="false" outlineLevel="0" collapsed="false">
      <c r="A16" s="4" t="s">
        <v>158</v>
      </c>
      <c r="B16" s="16" t="n">
        <v>0</v>
      </c>
      <c r="C16" s="5" t="n">
        <v>0</v>
      </c>
      <c r="D16" s="17" t="n">
        <f aca="false">IFERROR(C16/B16,0)</f>
        <v>0</v>
      </c>
      <c r="E16" s="4" t="s">
        <v>153</v>
      </c>
    </row>
    <row r="17" customFormat="false" ht="15" hidden="false" customHeight="false" outlineLevel="0" collapsed="false">
      <c r="A17" s="4" t="s">
        <v>159</v>
      </c>
      <c r="B17" s="16" t="n">
        <v>0</v>
      </c>
      <c r="C17" s="5" t="n">
        <v>0</v>
      </c>
      <c r="D17" s="17" t="n">
        <f aca="false">IFERROR(C17/B17,0)</f>
        <v>0</v>
      </c>
      <c r="E17" s="4" t="s">
        <v>153</v>
      </c>
    </row>
    <row r="18" customFormat="false" ht="15" hidden="false" customHeight="false" outlineLevel="0" collapsed="false">
      <c r="A18" s="4" t="s">
        <v>160</v>
      </c>
      <c r="B18" s="16" t="n">
        <v>0</v>
      </c>
      <c r="C18" s="5" t="n">
        <v>0</v>
      </c>
      <c r="D18" s="17" t="n">
        <f aca="false">IFERROR(C18/B18,0)</f>
        <v>0</v>
      </c>
      <c r="E18" s="4" t="s">
        <v>153</v>
      </c>
    </row>
    <row r="19" customFormat="false" ht="15" hidden="false" customHeight="false" outlineLevel="0" collapsed="false">
      <c r="A19" s="4" t="s">
        <v>161</v>
      </c>
      <c r="B19" s="16" t="n">
        <v>0</v>
      </c>
      <c r="C19" s="5" t="n">
        <v>0</v>
      </c>
      <c r="D19" s="17" t="n">
        <f aca="false">IFERROR(C19/B19,0)</f>
        <v>0</v>
      </c>
      <c r="E19" s="4" t="s">
        <v>153</v>
      </c>
    </row>
    <row r="20" customFormat="false" ht="15" hidden="false" customHeight="false" outlineLevel="0" collapsed="false">
      <c r="A20" s="4" t="s">
        <v>162</v>
      </c>
      <c r="B20" s="16" t="n">
        <v>0</v>
      </c>
      <c r="C20" s="5" t="n">
        <v>0</v>
      </c>
      <c r="D20" s="17" t="n">
        <f aca="false">IFERROR(C20/B20,0)</f>
        <v>0</v>
      </c>
      <c r="E20" s="4" t="s">
        <v>153</v>
      </c>
    </row>
    <row r="21" customFormat="false" ht="15" hidden="false" customHeight="false" outlineLevel="0" collapsed="false">
      <c r="A21" s="4" t="s">
        <v>163</v>
      </c>
      <c r="B21" s="16" t="n">
        <v>0</v>
      </c>
      <c r="C21" s="5" t="n">
        <v>0</v>
      </c>
      <c r="D21" s="17" t="n">
        <f aca="false">IFERROR(C21/B21,0)</f>
        <v>0</v>
      </c>
      <c r="E21" s="4" t="s">
        <v>153</v>
      </c>
    </row>
    <row r="22" customFormat="false" ht="15" hidden="false" customHeight="false" outlineLevel="0" collapsed="false">
      <c r="A22" s="4" t="s">
        <v>164</v>
      </c>
      <c r="B22" s="16" t="n">
        <v>0</v>
      </c>
      <c r="C22" s="5" t="n">
        <v>0</v>
      </c>
      <c r="D22" s="17" t="n">
        <f aca="false">IFERROR(C22/B22,0)</f>
        <v>0</v>
      </c>
      <c r="E22" s="4" t="s">
        <v>153</v>
      </c>
    </row>
    <row r="23" customFormat="false" ht="15" hidden="false" customHeight="false" outlineLevel="0" collapsed="false">
      <c r="A23" s="4" t="s">
        <v>165</v>
      </c>
      <c r="B23" s="16" t="n">
        <v>0</v>
      </c>
      <c r="C23" s="5" t="n">
        <v>0</v>
      </c>
      <c r="D23" s="17" t="n">
        <f aca="false">IFERROR(C23/B23,0)</f>
        <v>0</v>
      </c>
      <c r="E23" s="4" t="s">
        <v>153</v>
      </c>
    </row>
    <row r="24" customFormat="false" ht="15" hidden="false" customHeight="false" outlineLevel="0" collapsed="false">
      <c r="A24" s="4" t="s">
        <v>166</v>
      </c>
      <c r="B24" s="16" t="n">
        <v>0</v>
      </c>
      <c r="C24" s="5" t="n">
        <v>0</v>
      </c>
      <c r="D24" s="17" t="n">
        <f aca="false">IFERROR(C24/B24,0)</f>
        <v>0</v>
      </c>
      <c r="E24" s="4" t="s">
        <v>153</v>
      </c>
    </row>
    <row r="25" customFormat="false" ht="15" hidden="false" customHeight="false" outlineLevel="0" collapsed="false">
      <c r="A25" s="4" t="s">
        <v>167</v>
      </c>
      <c r="B25" s="16" t="n">
        <v>0</v>
      </c>
      <c r="C25" s="5" t="n">
        <v>0</v>
      </c>
      <c r="D25" s="17" t="n">
        <f aca="false">IFERROR(C25/B25,0)</f>
        <v>0</v>
      </c>
      <c r="E25" s="4" t="s">
        <v>153</v>
      </c>
    </row>
    <row r="26" customFormat="false" ht="15" hidden="false" customHeight="false" outlineLevel="0" collapsed="false">
      <c r="A26" s="4" t="s">
        <v>168</v>
      </c>
      <c r="B26" s="16" t="n">
        <v>0</v>
      </c>
      <c r="C26" s="5" t="n">
        <v>0</v>
      </c>
      <c r="D26" s="17" t="n">
        <f aca="false">IFERROR(C26/B26,0)</f>
        <v>0</v>
      </c>
      <c r="E26" s="4" t="s">
        <v>153</v>
      </c>
    </row>
    <row r="27" customFormat="false" ht="15" hidden="false" customHeight="false" outlineLevel="0" collapsed="false">
      <c r="A27" s="4" t="s">
        <v>169</v>
      </c>
      <c r="B27" s="16" t="n">
        <v>0</v>
      </c>
      <c r="C27" s="5" t="n">
        <v>0</v>
      </c>
      <c r="D27" s="17" t="n">
        <f aca="false">IFERROR(C27/B27,0)</f>
        <v>0</v>
      </c>
      <c r="E27" s="4" t="s">
        <v>153</v>
      </c>
    </row>
    <row r="28" customFormat="false" ht="15" hidden="false" customHeight="false" outlineLevel="0" collapsed="false">
      <c r="A28" s="4" t="s">
        <v>170</v>
      </c>
      <c r="B28" s="16" t="n">
        <v>0</v>
      </c>
      <c r="C28" s="5" t="n">
        <v>0</v>
      </c>
      <c r="D28" s="17" t="n">
        <f aca="false">IFERROR(C28/B28,0)</f>
        <v>0</v>
      </c>
      <c r="E28" s="4" t="s">
        <v>153</v>
      </c>
    </row>
    <row r="29" customFormat="false" ht="15" hidden="false" customHeight="false" outlineLevel="0" collapsed="false">
      <c r="A29" s="4" t="s">
        <v>171</v>
      </c>
      <c r="B29" s="16" t="n">
        <v>0</v>
      </c>
      <c r="C29" s="5" t="n">
        <v>0</v>
      </c>
      <c r="D29" s="17" t="n">
        <f aca="false">IFERROR(C29/B29,0)</f>
        <v>0</v>
      </c>
      <c r="E29" s="4" t="s">
        <v>153</v>
      </c>
    </row>
    <row r="30" customFormat="false" ht="15" hidden="false" customHeight="false" outlineLevel="0" collapsed="false">
      <c r="A30" s="4" t="s">
        <v>172</v>
      </c>
      <c r="B30" s="16" t="n">
        <v>0</v>
      </c>
      <c r="C30" s="5" t="n">
        <v>0</v>
      </c>
      <c r="D30" s="17" t="n">
        <f aca="false">IFERROR(C30/B30,0)</f>
        <v>0</v>
      </c>
      <c r="E30" s="4" t="s">
        <v>153</v>
      </c>
    </row>
    <row r="31" customFormat="false" ht="15" hidden="false" customHeight="false" outlineLevel="0" collapsed="false">
      <c r="A31" s="4" t="s">
        <v>173</v>
      </c>
      <c r="B31" s="16" t="n">
        <v>0</v>
      </c>
      <c r="C31" s="5" t="n">
        <v>0</v>
      </c>
      <c r="D31" s="17" t="n">
        <f aca="false">IFERROR(C31/B31,0)</f>
        <v>0</v>
      </c>
      <c r="E31" s="4" t="s">
        <v>153</v>
      </c>
    </row>
    <row r="32" customFormat="false" ht="15" hidden="false" customHeight="false" outlineLevel="0" collapsed="false">
      <c r="A32" s="4" t="s">
        <v>174</v>
      </c>
      <c r="B32" s="16" t="n">
        <v>0</v>
      </c>
      <c r="C32" s="5" t="n">
        <v>0</v>
      </c>
      <c r="D32" s="17" t="n">
        <f aca="false">IFERROR(C32/B32,0)</f>
        <v>0</v>
      </c>
      <c r="E32" s="4" t="s">
        <v>153</v>
      </c>
    </row>
    <row r="33" customFormat="false" ht="15" hidden="false" customHeight="false" outlineLevel="0" collapsed="false">
      <c r="A33" s="4" t="s">
        <v>175</v>
      </c>
      <c r="B33" s="16" t="n">
        <v>0</v>
      </c>
      <c r="C33" s="5" t="n">
        <v>0</v>
      </c>
      <c r="D33" s="17" t="n">
        <f aca="false">IFERROR(C33/B33,0)</f>
        <v>0</v>
      </c>
      <c r="E33" s="4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4"/>
  </cols>
  <sheetData>
    <row r="1" customFormat="false" ht="19.7" hidden="false" customHeight="false" outlineLevel="0" collapsed="false">
      <c r="A1" s="1" t="s">
        <v>176</v>
      </c>
    </row>
    <row r="3" customFormat="false" ht="15" hidden="false" customHeight="false" outlineLevel="0" collapsed="false">
      <c r="A3" s="11" t="s">
        <v>141</v>
      </c>
      <c r="B3" s="11" t="s">
        <v>177</v>
      </c>
      <c r="C3" s="11" t="s">
        <v>138</v>
      </c>
      <c r="D3" s="11" t="s">
        <v>139</v>
      </c>
      <c r="E3" s="11" t="s">
        <v>178</v>
      </c>
    </row>
    <row r="4" customFormat="false" ht="15" hidden="false" customHeight="false" outlineLevel="0" collapsed="false">
      <c r="A4" s="10" t="s">
        <v>143</v>
      </c>
      <c r="B4" s="4" t="n">
        <v>5</v>
      </c>
      <c r="C4" s="16" t="n">
        <v>308.8</v>
      </c>
      <c r="D4" s="5" t="n">
        <v>19752</v>
      </c>
      <c r="E4" s="12" t="n">
        <f aca="false">IFERROR(C4/SUM(C$4:C$7),0)</f>
        <v>0.818446859263186</v>
      </c>
    </row>
    <row r="5" customFormat="false" ht="15" hidden="false" customHeight="false" outlineLevel="0" collapsed="false">
      <c r="A5" s="10" t="s">
        <v>150</v>
      </c>
      <c r="B5" s="4" t="n">
        <v>1</v>
      </c>
      <c r="C5" s="16" t="n">
        <v>8.5</v>
      </c>
      <c r="D5" s="5" t="n">
        <v>238</v>
      </c>
      <c r="E5" s="12" t="n">
        <f aca="false">IFERROR(C5/SUM(C$4:C$7),0)</f>
        <v>0.022528491916247</v>
      </c>
    </row>
    <row r="6" customFormat="false" ht="15" hidden="false" customHeight="false" outlineLevel="0" collapsed="false">
      <c r="A6" s="10" t="s">
        <v>146</v>
      </c>
      <c r="B6" s="4" t="n">
        <v>1</v>
      </c>
      <c r="C6" s="16" t="n">
        <v>60</v>
      </c>
      <c r="D6" s="5" t="n">
        <v>0</v>
      </c>
      <c r="E6" s="12" t="n">
        <f aca="false">IFERROR(C6/SUM(C$4:C$7),0)</f>
        <v>0.159024648820567</v>
      </c>
    </row>
    <row r="7" customFormat="false" ht="15" hidden="false" customHeight="false" outlineLevel="0" collapsed="false">
      <c r="A7" s="10" t="s">
        <v>153</v>
      </c>
      <c r="B7" s="4" t="n">
        <v>23</v>
      </c>
      <c r="C7" s="16" t="n">
        <v>0</v>
      </c>
      <c r="D7" s="5" t="n">
        <v>0</v>
      </c>
      <c r="E7" s="12" t="n">
        <f aca="false">IFERROR(C7/SUM(C$4:C$7),0)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179</v>
      </c>
    </row>
    <row r="3" customFormat="false" ht="15" hidden="false" customHeight="false" outlineLevel="0" collapsed="false">
      <c r="A3" s="4" t="s">
        <v>180</v>
      </c>
      <c r="B3" s="16" t="n">
        <v>377</v>
      </c>
    </row>
    <row r="4" customFormat="false" ht="15" hidden="false" customHeight="false" outlineLevel="0" collapsed="false">
      <c r="A4" s="4" t="s">
        <v>181</v>
      </c>
      <c r="B4" s="18" t="n">
        <v>30</v>
      </c>
    </row>
    <row r="5" customFormat="false" ht="15" hidden="false" customHeight="false" outlineLevel="0" collapsed="false">
      <c r="A5" s="4" t="s">
        <v>182</v>
      </c>
      <c r="B5" s="16" t="n">
        <v>1.5</v>
      </c>
    </row>
    <row r="6" customFormat="false" ht="15" hidden="false" customHeight="false" outlineLevel="0" collapsed="false">
      <c r="A6" s="4" t="s">
        <v>183</v>
      </c>
      <c r="B6" s="19" t="n">
        <v>9463.25</v>
      </c>
    </row>
    <row r="7" customFormat="false" ht="15" hidden="false" customHeight="false" outlineLevel="0" collapsed="false">
      <c r="A7" s="4" t="s">
        <v>12</v>
      </c>
      <c r="B7" s="20" t="n">
        <v>0.959977154233929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</cols>
  <sheetData>
    <row r="1" customFormat="false" ht="19.7" hidden="false" customHeight="false" outlineLevel="0" collapsed="false">
      <c r="A1" s="1" t="s">
        <v>184</v>
      </c>
    </row>
    <row r="3" customFormat="false" ht="15" hidden="false" customHeight="false" outlineLevel="0" collapsed="false">
      <c r="A3" s="11" t="s">
        <v>185</v>
      </c>
      <c r="B3" s="11" t="s">
        <v>186</v>
      </c>
      <c r="C3" s="11" t="s">
        <v>187</v>
      </c>
      <c r="D3" s="11" t="s">
        <v>44</v>
      </c>
    </row>
    <row r="4" customFormat="false" ht="15" hidden="false" customHeight="false" outlineLevel="0" collapsed="false">
      <c r="A4" s="4" t="s">
        <v>188</v>
      </c>
      <c r="B4" s="20" t="n">
        <v>0.429940226161253</v>
      </c>
      <c r="C4" s="20" t="n">
        <v>0.34</v>
      </c>
      <c r="D4" s="12" t="n">
        <f aca="false">B4-C4</f>
        <v>0.0899402261612525</v>
      </c>
    </row>
    <row r="5" customFormat="false" ht="15" hidden="false" customHeight="false" outlineLevel="0" collapsed="false">
      <c r="A5" s="4" t="s">
        <v>189</v>
      </c>
      <c r="B5" s="20" t="n">
        <v>0</v>
      </c>
      <c r="C5" s="20" t="n">
        <v>0.45</v>
      </c>
      <c r="D5" s="12" t="n">
        <f aca="false">B5-C5</f>
        <v>-0.45</v>
      </c>
    </row>
    <row r="6" customFormat="false" ht="15" hidden="false" customHeight="false" outlineLevel="0" collapsed="false">
      <c r="A6" s="4" t="s">
        <v>190</v>
      </c>
      <c r="B6" s="20" t="n">
        <v>0.467237248122204</v>
      </c>
      <c r="C6" s="20" t="n">
        <v>0.38</v>
      </c>
      <c r="D6" s="12" t="n">
        <f aca="false">B6-C6</f>
        <v>0.0872372481222041</v>
      </c>
    </row>
    <row r="7" customFormat="false" ht="15" hidden="false" customHeight="false" outlineLevel="0" collapsed="false">
      <c r="A7" s="4" t="s">
        <v>191</v>
      </c>
      <c r="B7" s="16" t="n">
        <v>1.53353658536585</v>
      </c>
      <c r="C7" s="16" t="n">
        <v>95</v>
      </c>
      <c r="D7" s="21" t="n">
        <f aca="false">B7-C7</f>
        <v>-93.4664634146342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9.7" hidden="false" customHeight="false" outlineLevel="0" collapsed="false">
      <c r="A1" s="1" t="s">
        <v>192</v>
      </c>
    </row>
    <row r="3" customFormat="false" ht="15" hidden="false" customHeight="false" outlineLevel="0" collapsed="false">
      <c r="A3" s="11" t="s">
        <v>193</v>
      </c>
      <c r="B3" s="11" t="s">
        <v>36</v>
      </c>
      <c r="C3" s="11" t="s">
        <v>194</v>
      </c>
    </row>
    <row r="4" customFormat="false" ht="15" hidden="false" customHeight="false" outlineLevel="0" collapsed="false">
      <c r="A4" s="4" t="s">
        <v>195</v>
      </c>
      <c r="B4" s="22" t="s">
        <v>196</v>
      </c>
      <c r="C4" s="4" t="s">
        <v>197</v>
      </c>
    </row>
    <row r="5" customFormat="false" ht="15" hidden="false" customHeight="false" outlineLevel="0" collapsed="false">
      <c r="A5" s="4" t="s">
        <v>198</v>
      </c>
      <c r="B5" s="22" t="s">
        <v>196</v>
      </c>
      <c r="C5" s="4" t="s">
        <v>199</v>
      </c>
    </row>
    <row r="6" customFormat="false" ht="15" hidden="false" customHeight="false" outlineLevel="0" collapsed="false">
      <c r="A6" s="4" t="s">
        <v>200</v>
      </c>
      <c r="B6" s="23" t="s">
        <v>201</v>
      </c>
      <c r="C6" s="4" t="s">
        <v>202</v>
      </c>
    </row>
    <row r="7" customFormat="false" ht="15" hidden="false" customHeight="false" outlineLevel="0" collapsed="false">
      <c r="A7" s="4" t="s">
        <v>6</v>
      </c>
      <c r="B7" s="23" t="s">
        <v>201</v>
      </c>
      <c r="C7" s="4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</cols>
  <sheetData>
    <row r="1" customFormat="false" ht="19.7" hidden="false" customHeight="false" outlineLevel="0" collapsed="false">
      <c r="A1" s="1" t="s">
        <v>204</v>
      </c>
    </row>
    <row r="3" customFormat="false" ht="15" hidden="false" customHeight="false" outlineLevel="0" collapsed="false">
      <c r="A3" s="11" t="s">
        <v>14</v>
      </c>
      <c r="B3" s="11" t="s">
        <v>205</v>
      </c>
      <c r="C3" s="11" t="s">
        <v>206</v>
      </c>
      <c r="D3" s="11" t="s">
        <v>44</v>
      </c>
    </row>
    <row r="4" customFormat="false" ht="15" hidden="false" customHeight="false" outlineLevel="0" collapsed="false">
      <c r="A4" s="4" t="s">
        <v>207</v>
      </c>
      <c r="B4" s="5" t="n">
        <v>2683501.46</v>
      </c>
      <c r="C4" s="5" t="n">
        <v>1738893.19</v>
      </c>
      <c r="D4" s="9" t="n">
        <f aca="false">IF(ISNUMBER(B4),B4-C4,"—")</f>
        <v>944608.27</v>
      </c>
    </row>
    <row r="5" customFormat="false" ht="15" hidden="false" customHeight="false" outlineLevel="0" collapsed="false">
      <c r="A5" s="4" t="s">
        <v>208</v>
      </c>
      <c r="B5" s="5" t="n">
        <v>-3570012</v>
      </c>
      <c r="C5" s="5" t="n">
        <v>3077603</v>
      </c>
      <c r="D5" s="9" t="n">
        <f aca="false">IF(ISNUMBER(B5),B5-C5,"—")</f>
        <v>-6647615</v>
      </c>
    </row>
    <row r="6" customFormat="false" ht="15" hidden="false" customHeight="false" outlineLevel="0" collapsed="false">
      <c r="A6" s="4" t="s">
        <v>209</v>
      </c>
      <c r="C6" s="5" t="n">
        <v>1071980.16</v>
      </c>
      <c r="D6" s="9" t="str">
        <f aca="false">IF(ISNUMBER(B6),B6-C6,"—")</f>
        <v>—</v>
      </c>
    </row>
    <row r="7" customFormat="false" ht="15" hidden="false" customHeight="false" outlineLevel="0" collapsed="false">
      <c r="A7" s="4" t="s">
        <v>210</v>
      </c>
      <c r="C7" s="5" t="n">
        <v>1468646.78</v>
      </c>
      <c r="D7" s="9" t="str">
        <f aca="false">IF(ISNUMBER(B7),B7-C7,"—")</f>
        <v>—</v>
      </c>
    </row>
    <row r="8" customFormat="false" ht="15" hidden="false" customHeight="false" outlineLevel="0" collapsed="false">
      <c r="A8" s="4" t="s">
        <v>211</v>
      </c>
      <c r="C8" s="5" t="n">
        <v>-349534.48</v>
      </c>
      <c r="D8" s="9" t="str">
        <f aca="false">IF(ISNUMBER(B8),B8-C8,"—")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" t="s">
        <v>212</v>
      </c>
    </row>
    <row r="3" customFormat="false" ht="15" hidden="false" customHeight="false" outlineLevel="0" collapsed="false">
      <c r="A3" s="11" t="s">
        <v>185</v>
      </c>
      <c r="B3" s="11" t="s">
        <v>213</v>
      </c>
      <c r="C3" s="11" t="s">
        <v>214</v>
      </c>
    </row>
    <row r="4" customFormat="false" ht="15" hidden="false" customHeight="false" outlineLevel="0" collapsed="false">
      <c r="A4" s="24" t="s">
        <v>188</v>
      </c>
      <c r="B4" s="24" t="s">
        <v>215</v>
      </c>
      <c r="C4" s="24" t="s">
        <v>216</v>
      </c>
    </row>
    <row r="5" customFormat="false" ht="15" hidden="false" customHeight="false" outlineLevel="0" collapsed="false">
      <c r="A5" s="24" t="s">
        <v>12</v>
      </c>
      <c r="B5" s="24" t="s">
        <v>215</v>
      </c>
      <c r="C5" s="24" t="s">
        <v>217</v>
      </c>
    </row>
    <row r="6" customFormat="false" ht="15" hidden="false" customHeight="false" outlineLevel="0" collapsed="false">
      <c r="A6" s="24" t="s">
        <v>218</v>
      </c>
      <c r="B6" s="24" t="s">
        <v>219</v>
      </c>
      <c r="C6" s="24" t="s">
        <v>220</v>
      </c>
    </row>
    <row r="7" customFormat="false" ht="15" hidden="false" customHeight="false" outlineLevel="0" collapsed="false">
      <c r="A7" s="24" t="s">
        <v>190</v>
      </c>
      <c r="B7" s="24" t="s">
        <v>221</v>
      </c>
      <c r="C7" s="24" t="s">
        <v>222</v>
      </c>
    </row>
    <row r="8" customFormat="false" ht="15" hidden="false" customHeight="false" outlineLevel="0" collapsed="false">
      <c r="A8" s="24" t="s">
        <v>191</v>
      </c>
      <c r="B8" s="24" t="s">
        <v>223</v>
      </c>
      <c r="C8" s="24" t="s">
        <v>224</v>
      </c>
    </row>
    <row r="9" customFormat="false" ht="23.85" hidden="false" customHeight="false" outlineLevel="0" collapsed="false">
      <c r="A9" s="24" t="s">
        <v>225</v>
      </c>
      <c r="B9" s="24" t="s">
        <v>226</v>
      </c>
      <c r="C9" s="24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" t="s">
        <v>228</v>
      </c>
    </row>
    <row r="3" customFormat="false" ht="15" hidden="false" customHeight="false" outlineLevel="0" collapsed="false">
      <c r="A3" s="11" t="s">
        <v>229</v>
      </c>
      <c r="B3" s="11" t="s">
        <v>230</v>
      </c>
      <c r="C3" s="11" t="s">
        <v>231</v>
      </c>
    </row>
    <row r="4" customFormat="false" ht="15" hidden="false" customHeight="false" outlineLevel="0" collapsed="false">
      <c r="A4" s="4" t="s">
        <v>232</v>
      </c>
      <c r="B4" s="4" t="s">
        <v>233</v>
      </c>
      <c r="C4" s="4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2026-04-27T19:53:05Z</dcterms:created>
  <dc:creator>openpyxl</dc:creator>
  <dc:description/>
  <dc:language>en-US</dc:language>
  <cp:lastModifiedBy/>
  <dcterms:modified xsi:type="dcterms:W3CDTF">2026-04-27T19:53:05Z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