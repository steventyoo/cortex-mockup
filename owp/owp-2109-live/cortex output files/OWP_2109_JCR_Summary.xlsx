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<sst xmlns="http://schemas.openxmlformats.org/spreadsheetml/2006/main" count="620" uniqueCount="311">
  <si>
    <t xml:space="preserve">Job #2109 · Marysville Phase 2</t>
  </si>
  <si>
    <t xml:space="preserve">Cortex JCR Summary  •  Intracorp (Owner: Intracorp (owner-GC))</t>
  </si>
  <si>
    <t xml:space="preserve">PROJECT OVERVIEW</t>
  </si>
  <si>
    <t xml:space="preserve">Project Job #</t>
  </si>
  <si>
    <t xml:space="preserve">2109</t>
  </si>
  <si>
    <t xml:space="preserve">Project Name:</t>
  </si>
  <si>
    <t xml:space="preserve">Marysville Phase 2</t>
  </si>
  <si>
    <t xml:space="preserve">General Contractor</t>
  </si>
  <si>
    <t xml:space="preserve">Intracorp (Owner: Intracorp (owner-GC))</t>
  </si>
  <si>
    <t xml:space="preserve">Location</t>
  </si>
  <si>
    <t xml:space="preserve">Marysville, WA</t>
  </si>
  <si>
    <t xml:space="preserve">Project Duration</t>
  </si>
  <si>
    <t xml:space="preserve">Apr 2026 (active) – Feb 2028 (estimated) (~22 months · Roughin in progress)</t>
  </si>
  <si>
    <t xml:space="preserve">Status</t>
  </si>
  <si>
    <t xml:space="preserve">ACTIVE · Roughin phase</t>
  </si>
  <si>
    <t xml:space="preserve">CONTRACT VALUE</t>
  </si>
  <si>
    <t xml:space="preserve">FORECAST NET PROFIT</t>
  </si>
  <si>
    <t xml:space="preserve">DIRECT COST</t>
  </si>
  <si>
    <t xml:space="preserve">LABOR HOURS</t>
  </si>
  <si>
    <t xml:space="preserve">$3,718,851</t>
  </si>
  <si>
    <t xml:space="preserve">$1,035,350</t>
  </si>
  <si>
    <t xml:space="preserve">$2,683,501</t>
  </si>
  <si>
    <t xml:space="preserve">377</t>
  </si>
  <si>
    <t xml:space="preserve">$3,700,937 orig + $17,914 COs</t>
  </si>
  <si>
    <t xml:space="preserve">27.8% margin</t>
  </si>
  <si>
    <t xml:space="preserve">72.2% of revenue</t>
  </si>
  <si>
    <t xml:space="preserve">30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</si>
  <si>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</si>
  <si>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</si>
  <si>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</si>
  <si>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</si>
  <si>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</si>
  <si>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</si>
  <si>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</si>
  <si>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</si>
  <si>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</si>
  <si>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</si>
  <si>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</si>
  <si>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</si>
  <si>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</si>
  <si>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Plumbing Units</t>
  </si>
  <si>
    <t xml:space="preserve">Total Fixtures</t>
  </si>
  <si>
    <t xml:space="preserve">TBD</t>
  </si>
  <si>
    <t xml:space="preserve">Fixtures / Unit</t>
  </si>
  <si>
    <t xml:space="preserve">GC</t>
  </si>
  <si>
    <t xml:space="preserve">Intracorp</t>
  </si>
  <si>
    <t xml:space="preserve">Owner</t>
  </si>
  <si>
    <t xml:space="preserve">Intracorp (owner-GC)</t>
  </si>
  <si>
    <t xml:space="preserve">Insurance</t>
  </si>
  <si>
    <t xml:space="preserve">Standard COI</t>
  </si>
  <si>
    <t xml:space="preserve">Duration</t>
  </si>
  <si>
    <t xml:space="preserve">~22 months · Roughin in progress</t>
  </si>
  <si>
    <t xml:space="preserve">Permit</t>
  </si>
  <si>
    <t xml:space="preserve">NARRATIVE</t>
  </si>
  <si>
    <t xml:space="preserve">Active project — Roughin in progress. OWP has billed $3.57M of $3.72M revised contract (96% complete by billing). Direct cost $2.68M = 72% of revenue → forecast 28% margin. Top vendor concentration: Pacific Plumbing $500k (47%) + Consolidated $305k (28%) + Rosen $104k (10%) = Top 3 dominate. Engineering overrun (601: actual $22.3k vs revised $5.85k = +281%) needs CO coverage check before trim.</t>
  </si>
  <si>
    <t xml:space="preserve">SOURCES</t>
  </si>
  <si>
    <t xml:space="preserve">Job #2109 — Marysville Phase 2  •  GC: Intracorp  •  Status: ACTIVE · Roughin phase</t>
  </si>
  <si>
    <t xml:space="preserve">Canonical source: 2109_data.json (Sage Timberline JDR · Apr 3 2026 run)</t>
  </si>
  <si>
    <t xml:space="preserve">Dashboard arrays: 2109_dashboard_arrays.json (mirrors index.html PROJECTS['2109'])</t>
  </si>
  <si>
    <t xml:space="preserve">Project profile: 246 units · Marysville, WA · ~22 months · Roughin in progress</t>
  </si>
  <si>
    <t xml:space="preserve">Design team: Franklin Engineering (MEP per AP $22.3k)</t>
  </si>
  <si>
    <t xml:space="preserve">Contract: Subcontract executed — final contract $3,718,851</t>
  </si>
  <si>
    <t xml:space="preserve">Billing: AR $3.57M billed (96% of revised). Retention $153,880 held.</t>
  </si>
  <si>
    <t xml:space="preserve">Permit: TBD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</si>
  <si>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</si>
  <si>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</si>
  <si>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</si>
  <si>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</si>
  <si>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</si>
  <si>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</si>
  <si>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</si>
  <si>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</si>
  <si>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</si>
  <si>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</si>
  <si>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</si>
  <si>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141</t>
  </si>
  <si>
    <t xml:space="preserve">Water Main/Insulation Lab</t>
  </si>
  <si>
    <t xml:space="preserve">150</t>
  </si>
  <si>
    <t xml:space="preserve">Warranty Labor</t>
  </si>
  <si>
    <t xml:space="preserve">151</t>
  </si>
  <si>
    <t xml:space="preserve">T&amp;M Labor</t>
  </si>
  <si>
    <t xml:space="preserve">MATERIAL</t>
  </si>
  <si>
    <t xml:space="preserve">210</t>
  </si>
  <si>
    <t xml:space="preserve">Underground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</si>
  <si>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</si>
  <si>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</si>
  <si>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</si>
  <si>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</si>
  <si>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</si>
  <si>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</si>
  <si>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</si>
  <si>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</si>
  <si>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</si>
  <si>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</si>
  <si>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</si>
  <si>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</si>
  <si>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</si>
  <si>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</si>
  <si>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</si>
  <si>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</si>
  <si>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</si>
  <si>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</si>
  <si>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</si>
  <si>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</si>
  <si>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</si>
  <si>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</si>
  <si>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</si>
  <si>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</si>
  <si>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</si>
  <si>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</si>
  <si>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TOTAL Direct Cost</t>
  </si>
  <si>
    <t xml:space="preserve">Cost Breakdown — Category Deep Dive</t>
  </si>
  <si>
    <t xml:space="preserve">A. CATEGORY SHARE OF DIRECT COST</t>
  </si>
  <si>
    <t xml:space="preserve"># Codes</t>
  </si>
  <si>
    <t xml:space="preserve">Other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</si>
  <si>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</si>
  <si>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</si>
  <si>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</si>
  <si>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</si>
  <si>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</si>
  <si>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</si>
  <si>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</si>
  <si>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6 material cost codes  •  $1,144,237 JDR material  •  13 AP vendors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</si>
  <si>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</si>
  <si>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</si>
  <si>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</si>
  <si>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</si>
  <si>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</si>
  <si>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</si>
  <si>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</si>
  <si>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</si>
  <si>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Pacific Plumbing Supply Co., LLC</t>
  </si>
  <si>
    <t xml:space="preserve">Consolidated Supply Co.</t>
  </si>
  <si>
    <t xml:space="preserve">Rosen Supply Kirkland</t>
  </si>
  <si>
    <t xml:space="preserve">California Hydronics Corp</t>
  </si>
  <si>
    <t xml:space="preserve">Keller Supply Company</t>
  </si>
  <si>
    <t xml:space="preserve">Franklin Engineering</t>
  </si>
  <si>
    <t xml:space="preserve">Williams Scotsman, Inc. $Mobile Mini</t>
  </si>
  <si>
    <t xml:space="preserve">Ferguson Enterprises, Inc. #3007</t>
  </si>
  <si>
    <t xml:space="preserve">ACME Corp</t>
  </si>
  <si>
    <t xml:space="preserve">All Pro Repair Service LLC</t>
  </si>
  <si>
    <t xml:space="preserve">Capital One Credit Card</t>
  </si>
  <si>
    <t xml:space="preserve">A.R. Brown Backflow Testing</t>
  </si>
  <si>
    <t xml:space="preserve">Bank of America CC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</si>
  <si>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</si>
  <si>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</si>
  <si>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</si>
  <si>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</si>
  <si>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</si>
  <si>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</si>
  <si>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Gerard, Jeffrey S</t>
  </si>
  <si>
    <t xml:space="preserve">Senior</t>
  </si>
  <si>
    <t xml:space="preserve">Gerard, Jordan E</t>
  </si>
  <si>
    <t xml:space="preserve">Romero Garza, Jesus I</t>
  </si>
  <si>
    <t xml:space="preserve">Apprentice</t>
  </si>
  <si>
    <t xml:space="preserve">Wilson, Garret A</t>
  </si>
  <si>
    <t xml:space="preserve">Johnson, Jake E</t>
  </si>
  <si>
    <t xml:space="preserve">Goodwin, Marcus A</t>
  </si>
  <si>
    <t xml:space="preserve">Barnhart, Joseph N</t>
  </si>
  <si>
    <t xml:space="preserve">Aquino, Juan</t>
  </si>
  <si>
    <t xml:space="preserve">Castro, Marcus J</t>
  </si>
  <si>
    <t xml:space="preserve">Araque, Mario W</t>
  </si>
  <si>
    <t xml:space="preserve">Ramos Herrera, Franklin J</t>
  </si>
  <si>
    <t xml:space="preserve">Young, Joshua S</t>
  </si>
  <si>
    <t xml:space="preserve">Fox, Tamron P</t>
  </si>
  <si>
    <t xml:space="preserve">Reed, Reuben H</t>
  </si>
  <si>
    <t xml:space="preserve">Del Villar, Flabio</t>
  </si>
  <si>
    <t xml:space="preserve">Balderas Ortiz, Ricardo I</t>
  </si>
  <si>
    <t xml:space="preserve">Guerrero Espinoza, Mario</t>
  </si>
  <si>
    <t xml:space="preserve">Rodriguez Arevalos, Christian</t>
  </si>
  <si>
    <t xml:space="preserve">Perez Araque, Manuel A</t>
  </si>
  <si>
    <t xml:space="preserve">Cornejo Orellana, Carlos E</t>
  </si>
  <si>
    <t xml:space="preserve">Ross, Kelli M</t>
  </si>
  <si>
    <t xml:space="preserve">Merino Martinez, Humberto</t>
  </si>
  <si>
    <t xml:space="preserve">Portillo Soriano, Walter A</t>
  </si>
  <si>
    <t xml:space="preserve">Gochez Molina, Douglas O</t>
  </si>
  <si>
    <t xml:space="preserve">Castro Hernandez, Jose A</t>
  </si>
  <si>
    <t xml:space="preserve">Cruz, Azael S</t>
  </si>
  <si>
    <t xml:space="preserve">Gorman, Nathan W</t>
  </si>
  <si>
    <t xml:space="preserve">Taylor, Evan R</t>
  </si>
  <si>
    <t xml:space="preserve">Valeriano Romero, Oswaldo</t>
  </si>
  <si>
    <t xml:space="preserve">Gerard, Mitchell J</t>
  </si>
  <si>
    <t xml:space="preserve">Crew Analytics — Tier Distribution &amp; Wages</t>
  </si>
  <si>
    <t xml:space="preserve">A. TIER DISTRIBUTION</t>
  </si>
  <si>
    <t xml:space="preserve"># Workers</t>
  </si>
  <si>
    <t xml:space="preserve">% of Hours</t>
  </si>
  <si>
    <t xml:space="preserve">84.1%</t>
  </si>
  <si>
    <t xml:space="preserve">15.9%</t>
  </si>
  <si>
    <t xml:space="preserve">B. WAGE STATISTICS</t>
  </si>
  <si>
    <t xml:space="preserve">Blended labor rate ($/hr)</t>
  </si>
  <si>
    <t xml:space="preserve">Foreman labor rate ($/hr)</t>
  </si>
  <si>
    <t xml:space="preserve">Burden multiplier</t>
  </si>
  <si>
    <t xml:space="preserve">Min wage ($/hr)</t>
  </si>
  <si>
    <t xml:space="preserve">Max wage ($/hr)</t>
  </si>
  <si>
    <t xml:space="preserve">Avg hours per worker</t>
  </si>
  <si>
    <t xml:space="preserve">Productivity — Phases by Hours</t>
  </si>
  <si>
    <t xml:space="preserve">Phase</t>
  </si>
  <si>
    <t xml:space="preserve">% of Total</t>
  </si>
  <si>
    <t xml:space="preserve">Hours/Unit</t>
  </si>
  <si>
    <t xml:space="preserve">19.6%</t>
  </si>
  <si>
    <t xml:space="preserve">Takeoff &amp; Purchasing</t>
  </si>
  <si>
    <t xml:space="preserve">80.3%</t>
  </si>
  <si>
    <t xml:space="preserve">Warranty</t>
  </si>
  <si>
    <t xml:space="preserve">0.1%</t>
  </si>
  <si>
    <t xml:space="preserve">PRODUCTIVITY RATIOS</t>
  </si>
  <si>
    <t xml:space="preserve">Revenue per unit</t>
  </si>
  <si>
    <t xml:space="preserve">$15,117</t>
  </si>
  <si>
    <t xml:space="preserve">Direct cost per unit</t>
  </si>
  <si>
    <t xml:space="preserve">$10,909</t>
  </si>
  <si>
    <t xml:space="preserve">Hours per unit</t>
  </si>
  <si>
    <t xml:space="preserve">1.22</t>
  </si>
  <si>
    <t xml:space="preserve">Revenue per hour</t>
  </si>
  <si>
    <t xml:space="preserve">$12,365</t>
  </si>
  <si>
    <t xml:space="preserve">Profit per hour</t>
  </si>
  <si>
    <t xml:space="preserve">$3,443</t>
  </si>
  <si>
    <t xml:space="preserve">PO Commitments — Vendor Concentration</t>
  </si>
  <si>
    <t xml:space="preserve">Per-PO records live in GDrive. This tab summarizes commitments by vendor concentration.</t>
  </si>
  <si>
    <t xml:space="preserve">#</t>
  </si>
  <si>
    <t xml:space="preserve">46.7%</t>
  </si>
  <si>
    <t xml:space="preserve">Top 5</t>
  </si>
  <si>
    <t xml:space="preserve">28.5%</t>
  </si>
  <si>
    <t xml:space="preserve">9.7%</t>
  </si>
  <si>
    <t xml:space="preserve">7.1%</t>
  </si>
  <si>
    <t xml:space="preserve">4.9%</t>
  </si>
  <si>
    <t xml:space="preserve">2.1%</t>
  </si>
  <si>
    <t xml:space="preserve">Top 10</t>
  </si>
  <si>
    <t xml:space="preserve">0.2%</t>
  </si>
  <si>
    <t xml:space="preserve">Long tail</t>
  </si>
  <si>
    <t xml:space="preserve">0.0%</t>
  </si>
  <si>
    <t xml:space="preserve">Billing &amp; Statement of Values</t>
  </si>
  <si>
    <t xml:space="preserve">STATEMENT OF VALUES — SUMMARY</t>
  </si>
  <si>
    <t xml:space="preserve">Original Contract</t>
  </si>
  <si>
    <t xml:space="preserve">$3,700,937</t>
  </si>
  <si>
    <t xml:space="preserve">Net Change Orders</t>
  </si>
  <si>
    <t xml:space="preserve">$17,914</t>
  </si>
  <si>
    <t xml:space="preserve">Final Contract</t>
  </si>
  <si>
    <t xml:space="preserve">Retainage Held</t>
  </si>
  <si>
    <t xml:space="preserve">$153,880</t>
  </si>
  <si>
    <t xml:space="preserve">Net Paid to OWP</t>
  </si>
  <si>
    <t xml:space="preserve">$3,416,132</t>
  </si>
  <si>
    <t xml:space="preserve">PAY APPLICATION HISTORY</t>
  </si>
  <si>
    <t xml:space="preserve">No pay-app history in dashboard. Source: Sage AR module aggregate only.</t>
  </si>
  <si>
    <t xml:space="preserve">Key Insights — 10 Themes</t>
  </si>
  <si>
    <t xml:space="preserve">Theme</t>
  </si>
  <si>
    <t xml:space="preserve">Insight</t>
  </si>
  <si>
    <t xml:space="preserve">MARGIN PROFILE</t>
  </si>
  <si>
    <t xml:space="preserve">Forecast profit of $1,979,958 on $3,718,851 revenue = 53.2% gross margin. Direct cost $1,738,893 absorbs 46.8% of revenue.</t>
  </si>
  <si>
    <t xml:space="preserve">VENDOR CONCENTRATION</t>
  </si>
  <si>
    <t xml:space="preserve">Pacific Plumbing Supply Co., LLC alone = $500,869 (46.7% of all AP) across 169 invoices. Total 13 AP vendors, $1,071,980 total AP spend.</t>
  </si>
  <si>
    <t xml:space="preserve">CREW PROFILE</t>
  </si>
  <si>
    <t xml:space="preserve">30 workers for 377 hours = 13 avg hrs/worker. Top 3 workers logged 326 hrs combined (86% of all labor).</t>
  </si>
  <si>
    <t xml:space="preserve">ROUGHIN DOMINANCE</t>
  </si>
  <si>
    <t xml:space="preserve">Code 120 Roughin Labor = 0 hrs (0% of all labor) and $0 actual. Code 230 Finish Material = $621,810.</t>
  </si>
  <si>
    <t xml:space="preserve">BUDGET DELIVERY</t>
  </si>
  <si>
    <t xml:space="preserve">Revised expense budget was $2,119,967; actual direct cost $1,738,893 → $381,074 variance (+18.0%).</t>
  </si>
  <si>
    <t xml:space="preserve">CONTRACT GROWTH</t>
  </si>
  <si>
    <t xml:space="preserve">Contract grew from $3,700,937 to $3,718,851 — net +$17,914 (+0.5%). Retainage of $153,880 (4%) held.</t>
  </si>
  <si>
    <t xml:space="preserve">BURDEN RATIO</t>
  </si>
  <si>
    <t xml:space="preserve">Burden codes 995 + 998 = $502,640 on $19,320 labor base = 2601.6%. Outside OWP's typical 48–50% labor burden.</t>
  </si>
  <si>
    <t xml:space="preserve">PROJECT SCALE</t>
  </si>
  <si>
    <t xml:space="preserve">246 units · — fixtures. Revenue/unit $15,117, hours/unit 1.5, profit/unit $8,049.</t>
  </si>
  <si>
    <t xml:space="preserve">PRODUCTIVITY</t>
  </si>
  <si>
    <t xml:space="preserve">Blended labor rate $52.99/hr. Revenue/hour $9858. Profit/hour $5248.</t>
  </si>
  <si>
    <t xml:space="preserve">CO PROFILE</t>
  </si>
  <si>
    <t xml:space="preserve">0 executed COs, 0 CORs. Net CO impact $17,914 (+0.5%).</t>
  </si>
  <si>
    <t xml:space="preserve">Benchmark KPIs — Industry Reference Points</t>
  </si>
  <si>
    <t xml:space="preserve">KPI</t>
  </si>
  <si>
    <t xml:space="preserve">This Project</t>
  </si>
  <si>
    <t xml:space="preserve">OWP Median</t>
  </si>
  <si>
    <t xml:space="preserve">Industry Reference</t>
  </si>
  <si>
    <t xml:space="preserve">Gross Margin</t>
  </si>
  <si>
    <t xml:space="preserve">27.8%</t>
  </si>
  <si>
    <t xml:space="preserve">32-38%</t>
  </si>
  <si>
    <t xml:space="preserve">30-40%</t>
  </si>
  <si>
    <t xml:space="preserve">INFO</t>
  </si>
  <si>
    <t xml:space="preserve">$10-15k</t>
  </si>
  <si>
    <t xml:space="preserve">$8-20k</t>
  </si>
  <si>
    <t xml:space="preserve">$7-10k</t>
  </si>
  <si>
    <t xml:space="preserve">$6-15k</t>
  </si>
  <si>
    <t xml:space="preserve">Top vendor % of AP</t>
  </si>
  <si>
    <t xml:space="preserve">Pending vendor agg</t>
  </si>
  <si>
    <t xml:space="preserve">&lt;35%</t>
  </si>
  <si>
    <t xml:space="preserve">&lt;40%</t>
  </si>
  <si>
    <t xml:space="preserve">Burden ratio</t>
  </si>
  <si>
    <t xml:space="preserve">2602%</t>
  </si>
  <si>
    <t xml:space="preserve">48-50%</t>
  </si>
  <si>
    <t xml:space="preserve">40-55%</t>
  </si>
  <si>
    <t xml:space="preserve">WATCH</t>
  </si>
  <si>
    <t xml:space="preserve">Reconciliation — Data Source Cross-Check</t>
  </si>
  <si>
    <t xml:space="preserve">Check</t>
  </si>
  <si>
    <t xml:space="preserve">Expected</t>
  </si>
  <si>
    <t xml:space="preserve">Delta</t>
  </si>
  <si>
    <t xml:space="preserve">Contract: hero block vs JDR</t>
  </si>
  <si>
    <t xml:space="preserve">—</t>
  </si>
  <si>
    <t xml:space="preserve">OK</t>
  </si>
  <si>
    <t xml:space="preserve">Billed: hero block vs JDR</t>
  </si>
  <si>
    <t xml:space="preserve">$3,570,012</t>
  </si>
  <si>
    <t xml:space="preserve">Direct cost: meta vs costCats</t>
  </si>
  <si>
    <t xml:space="preserve">$1,738,892</t>
  </si>
  <si>
    <t xml:space="preserve">DELTA</t>
  </si>
  <si>
    <t xml:space="preserve">Worker count: dashboard vs meta</t>
  </si>
  <si>
    <t xml:space="preserve">AP vendor count vs JDR</t>
  </si>
  <si>
    <t xml:space="preserve">Source aggregate</t>
  </si>
  <si>
    <t xml:space="preserve">Vendor Analysis</t>
  </si>
  <si>
    <t xml:space="preserve">Notes</t>
  </si>
  <si>
    <t xml:space="preserve">Concentration flag</t>
  </si>
  <si>
    <t xml:space="preserve">Secondary plumbing supply</t>
  </si>
  <si>
    <t xml:space="preserve">Trim/finish supplier</t>
  </si>
  <si>
    <t xml:space="preserve">Roughin material</t>
  </si>
  <si>
    <t xml:space="preserve">Design/MEP fees</t>
  </si>
  <si>
    <t xml:space="preserve">Roughin + finish supplier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</si>
</sst>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9"/>
      <name val="Inter"/>
      <family val="0"/>
      <charset val="1"/>
    </font>
    <font>
      <i val="true"/>
      <sz val="9"/>
      <color rgb="FF787774"/>
      <name val="Inter"/>
      <family val="0"/>
      <charset val="1"/>
    </font>
    <font>
      <b val="true"/>
      <sz val="11"/>
      <color rgb="FF191919"/>
      <name val="Inter"/>
      <family val="0"/>
      <charset val="1"/>
    </font>
    <font>
      <b val="true"/>
      <sz val="10"/>
      <color rgb="FF191919"/>
      <name val="Inter"/>
      <family val="0"/>
      <charset val="1"/>
    </font>
    <font>
      <sz val="10"/>
      <color rgb="FF191919"/>
      <name val="Inter"/>
      <family val="0"/>
      <charset val="1"/>
    </font>
    <font>
      <sz val="9"/>
      <color rgb="FF787774"/>
      <name val="Inter"/>
      <family val="0"/>
      <charset val="1"/>
    </font>
    <font>
      <b val="true"/>
      <sz val="22"/>
      <color rgb="FF191919"/>
      <name val="Inter"/>
      <family val="0"/>
      <charset val="1"/>
    </font>
    <font>
      <b val="true"/>
      <sz val="10"/>
      <color rgb="FFFFFFFF"/>
      <name val="Inter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F1EF"/>
        <bgColor rgb="FFFBF7F0"/>
      </patternFill>
    </fill>
    <fill>
      <patternFill patternType="solid">
        <fgColor rgb="FFFBF7F0"/>
        <bgColor rgb="FFF1F1EF"/>
      </patternFill>
    </fill>
    <fill>
      <patternFill patternType="solid">
        <fgColor rgb="FF37352F"/>
        <bgColor rgb="FF333300"/>
      </patternFill>
    </fill>
    <fill>
      <patternFill patternType="solid">
        <fgColor rgb="FFFCF1CD"/>
        <bgColor rgb="FFFBF7F0"/>
      </patternFill>
    </fill>
    <fill>
      <patternFill patternType="solid">
        <fgColor rgb="FFDDEDEA"/>
        <bgColor rgb="FFE0E0DC"/>
      </patternFill>
    </fill>
    <fill>
      <patternFill patternType="solid">
        <fgColor rgb="FFFBE4E4"/>
        <bgColor rgb="FFF1F1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FCF1CD"/>
      <rgbColor rgb="FFDDEDEA"/>
      <rgbColor rgb="FF660066"/>
      <rgbColor rgb="FFFF8080"/>
      <rgbColor rgb="FF0066CC"/>
      <rgbColor rgb="FFE0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F"/>
      <rgbColor rgb="FFFBF7F0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  <c r="D6" s="6"/>
      <c r="E6" s="6"/>
      <c r="F6" s="6"/>
      <c r="G6" s="6"/>
      <c r="H6" s="6"/>
    </row>
    <row r="7" customFormat="false" ht="15" hidden="false" customHeight="false" outlineLevel="0" collapsed="false">
      <c r="B7" s="5" t="s">
        <v>5</v>
      </c>
      <c r="C7" s="6" t="s">
        <v>6</v>
      </c>
      <c r="D7" s="6"/>
      <c r="E7" s="6"/>
      <c r="F7" s="6"/>
      <c r="G7" s="6"/>
      <c r="H7" s="6"/>
    </row>
    <row r="8" customFormat="false" ht="15" hidden="false" customHeight="false" outlineLevel="0" collapsed="false">
      <c r="B8" s="5" t="s">
        <v>7</v>
      </c>
      <c r="C8" s="6" t="s">
        <v>8</v>
      </c>
      <c r="D8" s="6"/>
      <c r="E8" s="6"/>
      <c r="F8" s="6"/>
      <c r="G8" s="6"/>
      <c r="H8" s="6"/>
    </row>
    <row r="9" customFormat="false" ht="15" hidden="false" customHeight="false" outlineLevel="0" collapsed="false">
      <c r="B9" s="5" t="s">
        <v>9</v>
      </c>
      <c r="C9" s="6" t="s">
        <v>10</v>
      </c>
      <c r="D9" s="6"/>
      <c r="E9" s="6"/>
      <c r="F9" s="6"/>
      <c r="G9" s="6"/>
      <c r="H9" s="6"/>
    </row>
    <row r="10" customFormat="false" ht="15" hidden="false" customHeight="false" outlineLevel="0" collapsed="false">
      <c r="B10" s="5" t="s">
        <v>11</v>
      </c>
      <c r="C10" s="6" t="s">
        <v>12</v>
      </c>
      <c r="D10" s="6"/>
      <c r="E10" s="6"/>
      <c r="F10" s="6"/>
      <c r="G10" s="6"/>
      <c r="H10" s="6"/>
    </row>
    <row r="11" customFormat="false" ht="15" hidden="false" customHeight="false" outlineLevel="0" collapsed="false">
      <c r="B11" s="5" t="s">
        <v>13</v>
      </c>
      <c r="C11" s="6" t="s">
        <v>14</v>
      </c>
      <c r="D11" s="6"/>
      <c r="E11" s="6"/>
      <c r="F11" s="6"/>
      <c r="G11" s="6"/>
      <c r="H11" s="6"/>
    </row>
    <row r="13" customFormat="false" ht="15" hidden="false" customHeight="false" outlineLevel="0" collapsed="false">
      <c r="B13" s="7" t="s">
        <v>15</v>
      </c>
      <c r="C13" s="7"/>
      <c r="D13" s="7" t="s">
        <v>16</v>
      </c>
      <c r="E13" s="7"/>
      <c r="F13" s="7" t="s">
        <v>17</v>
      </c>
      <c r="G13" s="7"/>
      <c r="H13" s="7" t="s">
        <v>18</v>
      </c>
      <c r="I13" s="7"/>
    </row>
    <row r="14" customFormat="false" ht="26.8" hidden="false" customHeight="false" outlineLevel="0" collapsed="false">
      <c r="B14" s="8" t="s">
        <v>19</v>
      </c>
      <c r="C14" s="8"/>
      <c r="D14" s="8" t="s">
        <v>20</v>
      </c>
      <c r="E14" s="8"/>
      <c r="F14" s="8" t="s">
        <v>21</v>
      </c>
      <c r="G14" s="8"/>
      <c r="H14" s="8" t="s">
        <v>22</v>
      </c>
      <c r="I14" s="8"/>
    </row>
    <row r="15" customFormat="false" ht="15" hidden="false" customHeight="false" outlineLevel="0" collapsed="false">
      <c r="B15" s="9" t="s">
        <v>23</v>
      </c>
      <c r="C15" s="9"/>
      <c r="D15" s="9" t="s">
        <v>24</v>
      </c>
      <c r="E15" s="9"/>
      <c r="F15" s="9" t="s">
        <v>25</v>
      </c>
      <c r="G15" s="9"/>
      <c r="H15" s="9" t="s">
        <v>26</v>
      </c>
      <c r="I15" s="9"/>
    </row>
    <row r="18" customFormat="false" ht="15" hidden="false" customHeight="false" outlineLevel="0" collapsed="false">
      <c r="B18" s="4" t="s">
        <v>27</v>
      </c>
    </row>
    <row r="19" customFormat="false" ht="15" hidden="false" customHeight="fals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false" outlineLevel="0" collapsed="false">
      <c r="B20" s="11" t="s">
        <v>34</v>
      </c>
      <c r="C20" s="11" t="n">
        <v>43050</v>
      </c>
      <c r="D20" s="11" t="n">
        <v>19320</v>
      </c>
      <c r="E20" s="11" t="n">
        <f aca="false">C20-D20</f>
        <v>23730</v>
      </c>
      <c r="F20" s="11" t="n">
        <f aca="false">IF(C20=0,0,D20/C20)</f>
        <v>0.448780487804878</v>
      </c>
      <c r="G20" s="11" t="n">
        <f aca="false">IF($D$24=0,0,D20/$D$24)</f>
        <v>0.0111148058188195</v>
      </c>
    </row>
    <row r="21" customFormat="false" ht="15" hidden="false" customHeight="false" outlineLevel="0" collapsed="false">
      <c r="B21" s="11" t="s">
        <v>35</v>
      </c>
      <c r="C21" s="11" t="n">
        <v>1390317</v>
      </c>
      <c r="D21" s="11" t="n">
        <v>1144237</v>
      </c>
      <c r="E21" s="11" t="n">
        <f aca="false">C21-D21</f>
        <v>246080</v>
      </c>
      <c r="F21" s="11" t="n">
        <f aca="false">IF(C21=0,0,D21/C21)</f>
        <v>0.823004393961953</v>
      </c>
      <c r="G21" s="11" t="n">
        <f aca="false">IF($D$24=0,0,D21/$D$24)</f>
        <v>0.658280127624665</v>
      </c>
    </row>
    <row r="22" customFormat="false" ht="15" hidden="false" customHeight="false" outlineLevel="0" collapsed="false">
      <c r="B22" s="11" t="s">
        <v>36</v>
      </c>
      <c r="C22" s="11" t="n">
        <v>147058</v>
      </c>
      <c r="D22" s="11" t="n">
        <v>72025</v>
      </c>
      <c r="E22" s="11" t="n">
        <f aca="false">C22-D22</f>
        <v>75033</v>
      </c>
      <c r="F22" s="11" t="n">
        <f aca="false">IF(C22=0,0,D22/C22)</f>
        <v>0.489772742727359</v>
      </c>
      <c r="G22" s="11" t="n">
        <f aca="false">IF($D$24=0,0,D22/$D$24)</f>
        <v>0.0414360191045793</v>
      </c>
    </row>
    <row r="23" customFormat="false" ht="15" hidden="false" customHeight="false" outlineLevel="0" collapsed="false">
      <c r="B23" s="11" t="s">
        <v>37</v>
      </c>
      <c r="C23" s="11" t="n">
        <v>538867</v>
      </c>
      <c r="D23" s="11" t="n">
        <v>502640</v>
      </c>
      <c r="E23" s="11" t="n">
        <f aca="false">C23-D23</f>
        <v>36227</v>
      </c>
      <c r="F23" s="11" t="n">
        <f aca="false">IF(C23=0,0,D23/C23)</f>
        <v>0.93277190846721</v>
      </c>
      <c r="G23" s="11" t="n">
        <f aca="false">IF($D$24=0,0,D23/$D$24)</f>
        <v>0.289169047451937</v>
      </c>
    </row>
    <row r="24" customFormat="false" ht="15" hidden="false" customHeight="false" outlineLevel="0" collapsed="false">
      <c r="B24" s="5" t="s">
        <v>38</v>
      </c>
      <c r="C24" s="5" t="n">
        <f aca="false">SUM(C20:C23)</f>
        <v>2119292</v>
      </c>
      <c r="D24" s="5" t="n">
        <f aca="false">SUM(D20:D23)</f>
        <v>1738222</v>
      </c>
      <c r="E24" s="5" t="n">
        <f aca="false">C24-D24</f>
        <v>381070</v>
      </c>
      <c r="F24" s="5" t="n">
        <f aca="false">IF(C24=0,0,D24/C24)</f>
        <v>0.820189950228661</v>
      </c>
      <c r="G24" s="5" t="n">
        <v>1</v>
      </c>
    </row>
    <row r="27" customFormat="false" ht="15" hidden="false" customHeight="false" outlineLevel="0" collapsed="false">
      <c r="B27" s="4" t="s">
        <v>39</v>
      </c>
    </row>
    <row r="28" customFormat="false" ht="15" hidden="false" customHeight="false" outlineLevel="0" collapsed="false">
      <c r="B28" s="5" t="s">
        <v>40</v>
      </c>
      <c r="C28" s="11" t="n">
        <v>246</v>
      </c>
      <c r="D28" s="5" t="s">
        <v>41</v>
      </c>
      <c r="E28" s="11" t="s">
        <v>42</v>
      </c>
      <c r="F28" s="5" t="s">
        <v>43</v>
      </c>
      <c r="G28" s="11" t="s">
        <v>42</v>
      </c>
    </row>
    <row r="29" customFormat="false" ht="15" hidden="false" customHeight="false" outlineLevel="0" collapsed="false">
      <c r="B29" s="5" t="s">
        <v>44</v>
      </c>
      <c r="C29" s="11" t="s">
        <v>45</v>
      </c>
      <c r="D29" s="5" t="s">
        <v>46</v>
      </c>
      <c r="E29" s="11" t="s">
        <v>47</v>
      </c>
      <c r="F29" s="5" t="s">
        <v>48</v>
      </c>
      <c r="G29" s="11" t="s">
        <v>49</v>
      </c>
    </row>
    <row r="30" customFormat="false" ht="15" hidden="false" customHeight="false" outlineLevel="0" collapsed="false">
      <c r="B30" s="5" t="s">
        <v>13</v>
      </c>
      <c r="C30" s="11" t="s">
        <v>14</v>
      </c>
      <c r="D30" s="5" t="s">
        <v>50</v>
      </c>
      <c r="E30" s="11" t="s">
        <v>51</v>
      </c>
      <c r="F30" s="5" t="s">
        <v>52</v>
      </c>
      <c r="G30" s="11" t="s">
        <v>42</v>
      </c>
    </row>
    <row r="33" customFormat="false" ht="15" hidden="false" customHeight="false" outlineLevel="0" collapsed="false">
      <c r="B33" s="4" t="s">
        <v>53</v>
      </c>
    </row>
    <row r="34" customFormat="false" ht="79.5" hidden="false" customHeight="true" outlineLevel="0" collapsed="false">
      <c r="B34" s="12" t="s">
        <v>54</v>
      </c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B39" s="12"/>
      <c r="C39" s="12"/>
      <c r="D39" s="12"/>
      <c r="E39" s="12"/>
      <c r="F39" s="12"/>
      <c r="G39" s="12"/>
      <c r="H39" s="12"/>
    </row>
    <row r="41" customFormat="false" ht="15" hidden="false" customHeight="false" outlineLevel="0" collapsed="false">
      <c r="B41" s="4" t="s">
        <v>55</v>
      </c>
    </row>
    <row r="42" customFormat="false" ht="15" hidden="false" customHeight="false" outlineLevel="0" collapsed="false">
      <c r="B42" s="3" t="s">
        <v>56</v>
      </c>
    </row>
    <row r="43" customFormat="false" ht="15" hidden="false" customHeight="false" outlineLevel="0" collapsed="false">
      <c r="B43" s="3" t="s">
        <v>57</v>
      </c>
    </row>
    <row r="44" customFormat="false" ht="15" hidden="false" customHeight="false" outlineLevel="0" collapsed="false">
      <c r="B44" s="3" t="s">
        <v>58</v>
      </c>
    </row>
    <row r="45" customFormat="false" ht="15" hidden="false" customHeight="false" outlineLevel="0" collapsed="false">
      <c r="B45" s="3" t="s">
        <v>59</v>
      </c>
    </row>
    <row r="46" customFormat="false" ht="15" hidden="false" customHeight="false" outlineLevel="0" collapsed="false">
      <c r="B46" s="3" t="s">
        <v>60</v>
      </c>
    </row>
    <row r="47" customFormat="false" ht="15" hidden="false" customHeight="false" outlineLevel="0" collapsed="false">
      <c r="B47" s="3" t="s">
        <v>61</v>
      </c>
    </row>
    <row r="48" customFormat="false" ht="15" hidden="false" customHeight="false" outlineLevel="0" collapsed="false">
      <c r="B48" s="3" t="s">
        <v>62</v>
      </c>
    </row>
    <row r="49" customFormat="false" ht="15" hidden="false" customHeight="false" outlineLevel="0" collapsed="false">
      <c r="B49" s="3" t="s">
        <v>63</v>
      </c>
    </row>
  </sheetData>
  <mergeCells count="19">
    <mergeCell ref="C6:H6"/>
    <mergeCell ref="C7:H7"/>
    <mergeCell ref="C8:H8"/>
    <mergeCell ref="C9:H9"/>
    <mergeCell ref="C10:H10"/>
    <mergeCell ref="C11:H11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7" min="4" style="1" width="13"/>
    <col collapsed="false" customWidth="true" hidden="false" outlineLevel="0" max="8" min="8" style="1" width="10"/>
  </cols>
  <sheetData>
    <row r="2" customFormat="false" ht="22.05" hidden="false" customHeight="false" outlineLevel="0" collapsed="false">
      <c r="B2" s="2" t="s">
        <v>64</v>
      </c>
    </row>
    <row r="4" customFormat="false" ht="15" hidden="false" customHeight="false" outlineLevel="0" collapsed="false">
      <c r="B4" s="10" t="s">
        <v>65</v>
      </c>
      <c r="C4" s="10" t="s">
        <v>66</v>
      </c>
      <c r="D4" s="10" t="s">
        <v>67</v>
      </c>
      <c r="E4" s="10" t="s">
        <v>68</v>
      </c>
      <c r="F4" s="10" t="s">
        <v>30</v>
      </c>
      <c r="G4" s="10" t="s">
        <v>31</v>
      </c>
      <c r="H4" s="10" t="s">
        <v>69</v>
      </c>
    </row>
    <row r="5" customFormat="false" ht="15" hidden="false" customHeight="false" outlineLevel="0" collapsed="false">
      <c r="B5" s="13" t="s">
        <v>70</v>
      </c>
    </row>
    <row r="6" customFormat="false" ht="15" hidden="false" customHeight="false" outlineLevel="0" collapsed="false">
      <c r="B6" s="11" t="s">
        <v>71</v>
      </c>
      <c r="C6" s="11" t="s">
        <v>72</v>
      </c>
      <c r="D6" s="11" t="n">
        <v>18450</v>
      </c>
      <c r="E6" s="11" t="n">
        <v>18450</v>
      </c>
      <c r="F6" s="11" t="n">
        <v>4071</v>
      </c>
      <c r="G6" s="11" t="n">
        <f aca="false">E6-F6</f>
        <v>14379</v>
      </c>
      <c r="H6" s="11" t="n">
        <f aca="false">IF(E6=0,0,F6/E6)</f>
        <v>0.220650406504065</v>
      </c>
    </row>
    <row r="7" customFormat="false" ht="15" hidden="false" customHeight="false" outlineLevel="0" collapsed="false">
      <c r="B7" s="11" t="s">
        <v>73</v>
      </c>
      <c r="C7" s="11" t="s">
        <v>74</v>
      </c>
      <c r="D7" s="11" t="n">
        <v>24600</v>
      </c>
      <c r="E7" s="11" t="n">
        <v>24600</v>
      </c>
      <c r="F7" s="11" t="n">
        <v>15235</v>
      </c>
      <c r="G7" s="11" t="n">
        <f aca="false">E7-F7</f>
        <v>9365</v>
      </c>
      <c r="H7" s="11" t="n">
        <f aca="false">IF(E7=0,0,F7/E7)</f>
        <v>0.619308943089431</v>
      </c>
    </row>
    <row r="8" customFormat="false" ht="15" hidden="false" customHeight="false" outlineLevel="0" collapsed="false">
      <c r="B8" s="11" t="s">
        <v>75</v>
      </c>
      <c r="C8" s="11" t="s">
        <v>76</v>
      </c>
      <c r="D8" s="11" t="n">
        <v>0</v>
      </c>
      <c r="E8" s="11" t="n">
        <v>0</v>
      </c>
      <c r="F8" s="11" t="n">
        <v>0</v>
      </c>
      <c r="G8" s="11" t="n">
        <f aca="false">E8-F8</f>
        <v>0</v>
      </c>
      <c r="H8" s="11" t="n">
        <f aca="false">IF(E8=0,0,F8/E8)</f>
        <v>0</v>
      </c>
    </row>
    <row r="9" customFormat="false" ht="15" hidden="false" customHeight="false" outlineLevel="0" collapsed="false">
      <c r="B9" s="11" t="s">
        <v>77</v>
      </c>
      <c r="C9" s="11" t="s">
        <v>78</v>
      </c>
      <c r="D9" s="11" t="n">
        <v>0</v>
      </c>
      <c r="E9" s="11" t="n">
        <v>0</v>
      </c>
      <c r="F9" s="11" t="n">
        <v>14</v>
      </c>
      <c r="G9" s="11" t="n">
        <f aca="false">E9-F9</f>
        <v>-14</v>
      </c>
      <c r="H9" s="11" t="n">
        <f aca="false">IF(E9=0,0,F9/E9)</f>
        <v>0</v>
      </c>
    </row>
    <row r="10" customFormat="false" ht="15" hidden="false" customHeight="false" outlineLevel="0" collapsed="false">
      <c r="B10" s="11" t="s">
        <v>79</v>
      </c>
      <c r="C10" s="11" t="s">
        <v>80</v>
      </c>
      <c r="D10" s="11" t="n">
        <v>675</v>
      </c>
      <c r="E10" s="11" t="n">
        <v>675</v>
      </c>
      <c r="F10" s="11" t="n">
        <v>670</v>
      </c>
      <c r="G10" s="11" t="n">
        <f aca="false">E10-F10</f>
        <v>5</v>
      </c>
      <c r="H10" s="11" t="n">
        <f aca="false">IF(E10=0,0,F10/E10)</f>
        <v>0.992592592592593</v>
      </c>
    </row>
    <row r="11" customFormat="false" ht="15" hidden="false" customHeight="false" outlineLevel="0" collapsed="false">
      <c r="B11" s="13" t="s">
        <v>81</v>
      </c>
    </row>
    <row r="12" customFormat="false" ht="15" hidden="false" customHeight="false" outlineLevel="0" collapsed="false">
      <c r="B12" s="11" t="s">
        <v>82</v>
      </c>
      <c r="C12" s="11" t="s">
        <v>83</v>
      </c>
      <c r="D12" s="11" t="n">
        <v>96801</v>
      </c>
      <c r="E12" s="11" t="n">
        <v>96801</v>
      </c>
      <c r="F12" s="11" t="n">
        <v>55460</v>
      </c>
      <c r="G12" s="11" t="n">
        <f aca="false">E12-F12</f>
        <v>41341</v>
      </c>
      <c r="H12" s="11" t="n">
        <f aca="false">IF(E12=0,0,F12/E12)</f>
        <v>0.57292796562019</v>
      </c>
    </row>
    <row r="13" customFormat="false" ht="15" hidden="false" customHeight="false" outlineLevel="0" collapsed="false">
      <c r="B13" s="11" t="s">
        <v>84</v>
      </c>
      <c r="C13" s="11" t="s">
        <v>85</v>
      </c>
      <c r="D13" s="11" t="n">
        <v>454876</v>
      </c>
      <c r="E13" s="11" t="n">
        <v>454876</v>
      </c>
      <c r="F13" s="11" t="n">
        <v>464398</v>
      </c>
      <c r="G13" s="11" t="n">
        <f aca="false">E13-F13</f>
        <v>-9522</v>
      </c>
      <c r="H13" s="11" t="n">
        <f aca="false">IF(E13=0,0,F13/E13)</f>
        <v>1.0209331773934</v>
      </c>
    </row>
    <row r="14" customFormat="false" ht="15" hidden="false" customHeight="false" outlineLevel="0" collapsed="false">
      <c r="B14" s="11" t="s">
        <v>86</v>
      </c>
      <c r="C14" s="11" t="s">
        <v>87</v>
      </c>
      <c r="D14" s="11" t="n">
        <v>838640</v>
      </c>
      <c r="E14" s="11" t="n">
        <v>838640</v>
      </c>
      <c r="F14" s="11" t="n">
        <v>621810</v>
      </c>
      <c r="G14" s="11" t="n">
        <f aca="false">E14-F14</f>
        <v>216830</v>
      </c>
      <c r="H14" s="11" t="n">
        <f aca="false">IF(E14=0,0,F14/E14)</f>
        <v>0.741450443575312</v>
      </c>
    </row>
    <row r="15" customFormat="false" ht="15" hidden="false" customHeight="false" outlineLevel="0" collapsed="false">
      <c r="B15" s="11" t="s">
        <v>88</v>
      </c>
      <c r="C15" s="11" t="s">
        <v>89</v>
      </c>
      <c r="D15" s="11" t="n">
        <v>0</v>
      </c>
      <c r="E15" s="11" t="n">
        <v>0</v>
      </c>
      <c r="F15" s="11" t="n">
        <v>0</v>
      </c>
      <c r="G15" s="11" t="n">
        <f aca="false">E15-F15</f>
        <v>0</v>
      </c>
      <c r="H15" s="11" t="n">
        <f aca="false">IF(E15=0,0,F15/E15)</f>
        <v>0</v>
      </c>
    </row>
    <row r="16" customFormat="false" ht="15" hidden="false" customHeight="false" outlineLevel="0" collapsed="false">
      <c r="B16" s="11" t="s">
        <v>90</v>
      </c>
      <c r="C16" s="11" t="s">
        <v>91</v>
      </c>
      <c r="D16" s="11" t="n">
        <v>0</v>
      </c>
      <c r="E16" s="11" t="n">
        <v>0</v>
      </c>
      <c r="F16" s="11" t="n">
        <v>0</v>
      </c>
      <c r="G16" s="11" t="n">
        <f aca="false">E16-F16</f>
        <v>0</v>
      </c>
      <c r="H16" s="11" t="n">
        <f aca="false">IF(E16=0,0,F16/E16)</f>
        <v>0</v>
      </c>
    </row>
    <row r="17" customFormat="false" ht="15" hidden="false" customHeight="false" outlineLevel="0" collapsed="false">
      <c r="B17" s="11" t="s">
        <v>92</v>
      </c>
      <c r="C17" s="11" t="s">
        <v>93</v>
      </c>
      <c r="D17" s="11" t="n">
        <v>0</v>
      </c>
      <c r="E17" s="11" t="n">
        <v>0</v>
      </c>
      <c r="F17" s="11" t="n">
        <v>2569</v>
      </c>
      <c r="G17" s="11" t="n">
        <f aca="false">E17-F17</f>
        <v>-2569</v>
      </c>
      <c r="H17" s="11" t="n">
        <f aca="false">IF(E17=0,0,F17/E17)</f>
        <v>0</v>
      </c>
    </row>
    <row r="18" customFormat="false" ht="15" hidden="false" customHeight="false" outlineLevel="0" collapsed="false">
      <c r="B18" s="13" t="s">
        <v>94</v>
      </c>
    </row>
    <row r="19" customFormat="false" ht="15" hidden="false" customHeight="false" outlineLevel="0" collapsed="false">
      <c r="B19" s="11" t="s">
        <v>95</v>
      </c>
      <c r="C19" s="11" t="s">
        <v>96</v>
      </c>
      <c r="D19" s="11" t="n">
        <v>26000</v>
      </c>
      <c r="E19" s="11" t="n">
        <v>26000</v>
      </c>
      <c r="F19" s="11" t="n">
        <v>2410</v>
      </c>
      <c r="G19" s="11" t="n">
        <f aca="false">E19-F19</f>
        <v>23590</v>
      </c>
      <c r="H19" s="11" t="n">
        <f aca="false">IF(E19=0,0,F19/E19)</f>
        <v>0.0926923076923077</v>
      </c>
    </row>
    <row r="20" customFormat="false" ht="15" hidden="false" customHeight="false" outlineLevel="0" collapsed="false">
      <c r="B20" s="11" t="s">
        <v>97</v>
      </c>
      <c r="C20" s="11" t="s">
        <v>98</v>
      </c>
      <c r="D20" s="11" t="n">
        <v>5850</v>
      </c>
      <c r="E20" s="11" t="n">
        <v>5850</v>
      </c>
      <c r="F20" s="11" t="n">
        <v>22320</v>
      </c>
      <c r="G20" s="11" t="n">
        <f aca="false">E20-F20</f>
        <v>-16470</v>
      </c>
      <c r="H20" s="11" t="n">
        <f aca="false">IF(E20=0,0,F20/E20)</f>
        <v>3.81538461538462</v>
      </c>
    </row>
    <row r="21" customFormat="false" ht="15" hidden="false" customHeight="false" outlineLevel="0" collapsed="false">
      <c r="B21" s="11" t="s">
        <v>99</v>
      </c>
      <c r="C21" s="11" t="s">
        <v>100</v>
      </c>
      <c r="D21" s="11" t="n">
        <v>0</v>
      </c>
      <c r="E21" s="11" t="n">
        <v>0</v>
      </c>
      <c r="F21" s="11" t="n">
        <v>2472</v>
      </c>
      <c r="G21" s="11" t="n">
        <f aca="false">E21-F21</f>
        <v>-2472</v>
      </c>
      <c r="H21" s="11" t="n">
        <f aca="false">IF(E21=0,0,F21/E21)</f>
        <v>0</v>
      </c>
    </row>
    <row r="22" customFormat="false" ht="15" hidden="false" customHeight="false" outlineLevel="0" collapsed="false">
      <c r="B22" s="11" t="s">
        <v>101</v>
      </c>
      <c r="C22" s="11" t="s">
        <v>102</v>
      </c>
      <c r="D22" s="11" t="n">
        <v>102758</v>
      </c>
      <c r="E22" s="11" t="n">
        <v>102758</v>
      </c>
      <c r="F22" s="11" t="n">
        <v>39308</v>
      </c>
      <c r="G22" s="11" t="n">
        <f aca="false">E22-F22</f>
        <v>63450</v>
      </c>
      <c r="H22" s="11" t="n">
        <f aca="false">IF(E22=0,0,F22/E22)</f>
        <v>0.382529827361373</v>
      </c>
    </row>
    <row r="23" customFormat="false" ht="15" hidden="false" customHeight="false" outlineLevel="0" collapsed="false">
      <c r="B23" s="11" t="s">
        <v>103</v>
      </c>
      <c r="C23" s="11" t="s">
        <v>104</v>
      </c>
      <c r="D23" s="11" t="n">
        <v>12450</v>
      </c>
      <c r="E23" s="11" t="n">
        <v>12450</v>
      </c>
      <c r="F23" s="11" t="n">
        <v>5515</v>
      </c>
      <c r="G23" s="11" t="n">
        <f aca="false">E23-F23</f>
        <v>6935</v>
      </c>
      <c r="H23" s="11" t="n">
        <f aca="false">IF(E23=0,0,F23/E23)</f>
        <v>0.442971887550201</v>
      </c>
    </row>
    <row r="24" customFormat="false" ht="15" hidden="false" customHeight="false" outlineLevel="0" collapsed="false">
      <c r="B24" s="13" t="s">
        <v>105</v>
      </c>
    </row>
    <row r="25" customFormat="false" ht="15" hidden="false" customHeight="false" outlineLevel="0" collapsed="false">
      <c r="B25" s="11" t="s">
        <v>106</v>
      </c>
      <c r="C25" s="11" t="s">
        <v>107</v>
      </c>
      <c r="D25" s="11" t="n">
        <v>448466</v>
      </c>
      <c r="E25" s="11" t="n">
        <v>448466</v>
      </c>
      <c r="F25" s="11" t="n">
        <v>428740</v>
      </c>
      <c r="G25" s="11" t="n">
        <f aca="false">E25-F25</f>
        <v>19726</v>
      </c>
      <c r="H25" s="11" t="n">
        <f aca="false">IF(E25=0,0,F25/E25)</f>
        <v>0.956014502771671</v>
      </c>
    </row>
    <row r="26" customFormat="false" ht="15" hidden="false" customHeight="false" outlineLevel="0" collapsed="false">
      <c r="B26" s="11" t="s">
        <v>108</v>
      </c>
      <c r="C26" s="11" t="s">
        <v>109</v>
      </c>
      <c r="D26" s="11" t="n">
        <v>90401</v>
      </c>
      <c r="E26" s="11" t="n">
        <v>90401</v>
      </c>
      <c r="F26" s="11" t="n">
        <v>73900</v>
      </c>
      <c r="G26" s="11" t="n">
        <f aca="false">E26-F26</f>
        <v>16501</v>
      </c>
      <c r="H26" s="11" t="n">
        <f aca="false">IF(E26=0,0,F26/E26)</f>
        <v>0.817468833309366</v>
      </c>
    </row>
    <row r="28" customFormat="false" ht="15" hidden="false" customHeight="false" outlineLevel="0" collapsed="false">
      <c r="B28" s="5" t="s">
        <v>110</v>
      </c>
      <c r="D28" s="5" t="n">
        <v>2683501.46</v>
      </c>
      <c r="E28" s="5" t="n">
        <v>2683501.46</v>
      </c>
      <c r="F28" s="5" t="n">
        <v>2683501.46</v>
      </c>
    </row>
    <row r="31" customFormat="false" ht="15" hidden="false" customHeight="false" outlineLevel="0" collapsed="false">
      <c r="B31" s="4" t="s">
        <v>55</v>
      </c>
    </row>
    <row r="32" customFormat="false" ht="15" hidden="false" customHeight="false" outlineLevel="0" collapsed="false">
      <c r="B32" s="3" t="s">
        <v>56</v>
      </c>
    </row>
    <row r="33" customFormat="false" ht="15" hidden="false" customHeight="false" outlineLevel="0" collapsed="false">
      <c r="B33" s="3" t="s">
        <v>57</v>
      </c>
    </row>
    <row r="34" customFormat="false" ht="15" hidden="false" customHeight="false" outlineLevel="0" collapsed="false">
      <c r="B34" s="3" t="s">
        <v>58</v>
      </c>
    </row>
    <row r="35" customFormat="false" ht="15" hidden="false" customHeight="false" outlineLevel="0" collapsed="false">
      <c r="B35" s="3" t="s">
        <v>59</v>
      </c>
    </row>
    <row r="36" customFormat="false" ht="15" hidden="false" customHeight="false" outlineLevel="0" collapsed="false">
      <c r="B36" s="3" t="s">
        <v>60</v>
      </c>
    </row>
    <row r="37" customFormat="false" ht="15" hidden="false" customHeight="false" outlineLevel="0" collapsed="false">
      <c r="B37" s="3" t="s">
        <v>61</v>
      </c>
    </row>
    <row r="38" customFormat="false" ht="15" hidden="false" customHeight="false" outlineLevel="0" collapsed="false">
      <c r="B38" s="3" t="s">
        <v>62</v>
      </c>
    </row>
    <row r="39" customFormat="false" ht="15" hidden="false" customHeight="false" outlineLevel="0" collapsed="false">
      <c r="B39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6" min="4" style="1" width="13"/>
    <col collapsed="false" customWidth="true" hidden="false" outlineLevel="0" max="8" min="7" style="1" width="10"/>
  </cols>
  <sheetData>
    <row r="2" customFormat="false" ht="22.05" hidden="false" customHeight="false" outlineLevel="0" collapsed="false">
      <c r="B2" s="2" t="s">
        <v>111</v>
      </c>
    </row>
    <row r="4" customFormat="false" ht="15" hidden="false" customHeight="false" outlineLevel="0" collapsed="false">
      <c r="B4" s="4" t="s">
        <v>112</v>
      </c>
    </row>
    <row r="5" customFormat="false" ht="15" hidden="false" customHeight="false" outlineLevel="0" collapsed="false">
      <c r="B5" s="14" t="s">
        <v>28</v>
      </c>
      <c r="C5" s="14" t="s">
        <v>113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</row>
    <row r="6" customFormat="false" ht="15" hidden="false" customHeight="false" outlineLevel="0" collapsed="false">
      <c r="B6" s="5" t="s">
        <v>34</v>
      </c>
      <c r="C6" s="11" t="n">
        <v>4</v>
      </c>
      <c r="D6" s="11" t="n">
        <v>43050</v>
      </c>
      <c r="E6" s="11" t="n">
        <v>19320</v>
      </c>
      <c r="F6" s="11" t="n">
        <f aca="false">D6-E6</f>
        <v>23730</v>
      </c>
      <c r="G6" s="11" t="n">
        <f aca="false">IF(D6=0,0,E6/D6)</f>
        <v>0.448780487804878</v>
      </c>
      <c r="H6" s="11" t="n">
        <f aca="false">IF(1738892=0,0,E6/1738892)</f>
        <v>0.011110523252738</v>
      </c>
    </row>
    <row r="7" customFormat="false" ht="15" hidden="false" customHeight="false" outlineLevel="0" collapsed="false">
      <c r="B7" s="5" t="s">
        <v>35</v>
      </c>
      <c r="C7" s="11" t="n">
        <v>6</v>
      </c>
      <c r="D7" s="11" t="n">
        <v>1390317</v>
      </c>
      <c r="E7" s="11" t="n">
        <v>1144237</v>
      </c>
      <c r="F7" s="11" t="n">
        <f aca="false">D7-E7</f>
        <v>246080</v>
      </c>
      <c r="G7" s="11" t="n">
        <f aca="false">IF(D7=0,0,E7/D7)</f>
        <v>0.823004393961953</v>
      </c>
      <c r="H7" s="11" t="n">
        <f aca="false">IF(1738892=0,0,E7/1738892)</f>
        <v>0.658026490431838</v>
      </c>
    </row>
    <row r="8" customFormat="false" ht="15" hidden="false" customHeight="false" outlineLevel="0" collapsed="false">
      <c r="B8" s="5" t="s">
        <v>36</v>
      </c>
      <c r="C8" s="11" t="n">
        <v>5</v>
      </c>
      <c r="D8" s="11" t="n">
        <v>147058</v>
      </c>
      <c r="E8" s="11" t="n">
        <v>72025</v>
      </c>
      <c r="F8" s="11" t="n">
        <f aca="false">D8-E8</f>
        <v>75033</v>
      </c>
      <c r="G8" s="11" t="n">
        <f aca="false">IF(D8=0,0,E8/D8)</f>
        <v>0.489772742727359</v>
      </c>
      <c r="H8" s="11" t="n">
        <f aca="false">IF(1738892=0,0,E8/1738892)</f>
        <v>0.0414200536893608</v>
      </c>
    </row>
    <row r="9" customFormat="false" ht="15" hidden="false" customHeight="false" outlineLevel="0" collapsed="false">
      <c r="B9" s="5" t="s">
        <v>37</v>
      </c>
      <c r="C9" s="11" t="n">
        <v>2</v>
      </c>
      <c r="D9" s="11" t="n">
        <v>538867</v>
      </c>
      <c r="E9" s="11" t="n">
        <v>502640</v>
      </c>
      <c r="F9" s="11" t="n">
        <f aca="false">D9-E9</f>
        <v>36227</v>
      </c>
      <c r="G9" s="11" t="n">
        <f aca="false">IF(D9=0,0,E9/D9)</f>
        <v>0.93277190846721</v>
      </c>
      <c r="H9" s="11" t="n">
        <f aca="false">IF(1738892=0,0,E9/1738892)</f>
        <v>0.289057629801046</v>
      </c>
    </row>
    <row r="10" customFormat="false" ht="15" hidden="false" customHeight="false" outlineLevel="0" collapsed="false">
      <c r="B10" s="5" t="s">
        <v>114</v>
      </c>
      <c r="C10" s="11" t="n">
        <v>1</v>
      </c>
      <c r="D10" s="11" t="n">
        <v>675</v>
      </c>
      <c r="E10" s="11" t="n">
        <v>670</v>
      </c>
      <c r="F10" s="11" t="n">
        <f aca="false">D10-E10</f>
        <v>5</v>
      </c>
      <c r="G10" s="11" t="n">
        <f aca="false">IF(D10=0,0,E10/D10)</f>
        <v>0.992592592592593</v>
      </c>
      <c r="H10" s="11" t="n">
        <f aca="false">IF(1738892=0,0,E10/1738892)</f>
        <v>0.00038530282501731</v>
      </c>
    </row>
    <row r="13" customFormat="false" ht="15" hidden="false" customHeight="false" outlineLevel="0" collapsed="false">
      <c r="B13" s="4" t="s">
        <v>115</v>
      </c>
    </row>
    <row r="14" customFormat="false" ht="15" hidden="false" customHeight="false" outlineLevel="0" collapsed="false">
      <c r="B14" s="14" t="s">
        <v>65</v>
      </c>
      <c r="C14" s="14" t="s">
        <v>66</v>
      </c>
      <c r="D14" s="14" t="s">
        <v>68</v>
      </c>
      <c r="E14" s="14" t="s">
        <v>30</v>
      </c>
      <c r="F14" s="14" t="s">
        <v>116</v>
      </c>
      <c r="G14" s="14" t="s">
        <v>117</v>
      </c>
    </row>
    <row r="15" customFormat="false" ht="15" hidden="false" customHeight="false" outlineLevel="0" collapsed="false">
      <c r="B15" s="11" t="s">
        <v>97</v>
      </c>
      <c r="C15" s="11" t="s">
        <v>98</v>
      </c>
      <c r="D15" s="11" t="n">
        <v>5850</v>
      </c>
      <c r="E15" s="11" t="n">
        <v>22320</v>
      </c>
      <c r="F15" s="11" t="n">
        <f aca="false">E15-D15</f>
        <v>16470</v>
      </c>
      <c r="G15" s="11" t="n">
        <f aca="false">IF(D15=0,0,F15/D15)</f>
        <v>2.81538461538462</v>
      </c>
    </row>
    <row r="16" customFormat="false" ht="15" hidden="false" customHeight="false" outlineLevel="0" collapsed="false">
      <c r="B16" s="11" t="s">
        <v>84</v>
      </c>
      <c r="C16" s="11" t="s">
        <v>85</v>
      </c>
      <c r="D16" s="11" t="n">
        <v>454876</v>
      </c>
      <c r="E16" s="11" t="n">
        <v>464398</v>
      </c>
      <c r="F16" s="11" t="n">
        <f aca="false">E16-D16</f>
        <v>9522</v>
      </c>
      <c r="G16" s="11" t="n">
        <f aca="false">IF(D16=0,0,F16/D16)</f>
        <v>0.0209331773933995</v>
      </c>
    </row>
    <row r="17" customFormat="false" ht="15" hidden="false" customHeight="false" outlineLevel="0" collapsed="false">
      <c r="B17" s="11" t="s">
        <v>92</v>
      </c>
      <c r="C17" s="11" t="s">
        <v>93</v>
      </c>
      <c r="D17" s="11" t="n">
        <v>0</v>
      </c>
      <c r="E17" s="11" t="n">
        <v>2569</v>
      </c>
      <c r="F17" s="11" t="n">
        <f aca="false">E17-D17</f>
        <v>2569</v>
      </c>
      <c r="G17" s="11" t="n">
        <f aca="false">IF(D17=0,0,F17/D17)</f>
        <v>0</v>
      </c>
    </row>
    <row r="18" customFormat="false" ht="15" hidden="false" customHeight="false" outlineLevel="0" collapsed="false">
      <c r="B18" s="11" t="s">
        <v>99</v>
      </c>
      <c r="C18" s="11" t="s">
        <v>100</v>
      </c>
      <c r="D18" s="11" t="n">
        <v>0</v>
      </c>
      <c r="E18" s="11" t="n">
        <v>2472</v>
      </c>
      <c r="F18" s="11" t="n">
        <f aca="false">E18-D18</f>
        <v>2472</v>
      </c>
      <c r="G18" s="11" t="n">
        <f aca="false">IF(D18=0,0,F18/D18)</f>
        <v>0</v>
      </c>
    </row>
    <row r="19" customFormat="false" ht="15" hidden="false" customHeight="false" outlineLevel="0" collapsed="false">
      <c r="B19" s="11" t="s">
        <v>77</v>
      </c>
      <c r="C19" s="11" t="s">
        <v>78</v>
      </c>
      <c r="D19" s="11" t="n">
        <v>0</v>
      </c>
      <c r="E19" s="11" t="n">
        <v>14</v>
      </c>
      <c r="F19" s="11" t="n">
        <f aca="false">E19-D19</f>
        <v>14</v>
      </c>
      <c r="G19" s="11" t="n">
        <f aca="false">IF(D19=0,0,F19/D19)</f>
        <v>0</v>
      </c>
    </row>
    <row r="22" customFormat="false" ht="15" hidden="false" customHeight="false" outlineLevel="0" collapsed="false">
      <c r="B22" s="4" t="s">
        <v>118</v>
      </c>
    </row>
    <row r="23" customFormat="false" ht="15" hidden="false" customHeight="false" outlineLevel="0" collapsed="false">
      <c r="B23" s="14" t="s">
        <v>65</v>
      </c>
      <c r="C23" s="14" t="s">
        <v>66</v>
      </c>
      <c r="D23" s="14" t="s">
        <v>68</v>
      </c>
      <c r="E23" s="14" t="s">
        <v>30</v>
      </c>
      <c r="F23" s="14" t="s">
        <v>119</v>
      </c>
      <c r="G23" s="14" t="s">
        <v>120</v>
      </c>
    </row>
    <row r="24" customFormat="false" ht="15" hidden="false" customHeight="false" outlineLevel="0" collapsed="false">
      <c r="B24" s="11" t="s">
        <v>86</v>
      </c>
      <c r="C24" s="11" t="s">
        <v>87</v>
      </c>
      <c r="D24" s="11" t="n">
        <v>838640</v>
      </c>
      <c r="E24" s="11" t="n">
        <v>621810</v>
      </c>
      <c r="F24" s="11" t="n">
        <f aca="false">D24-E24</f>
        <v>216830</v>
      </c>
      <c r="G24" s="11" t="n">
        <f aca="false">IF(D24=0,0,F24/D24)</f>
        <v>0.258549556424688</v>
      </c>
    </row>
    <row r="25" customFormat="false" ht="15" hidden="false" customHeight="false" outlineLevel="0" collapsed="false">
      <c r="B25" s="11" t="s">
        <v>101</v>
      </c>
      <c r="C25" s="11" t="s">
        <v>102</v>
      </c>
      <c r="D25" s="11" t="n">
        <v>102758</v>
      </c>
      <c r="E25" s="11" t="n">
        <v>39308</v>
      </c>
      <c r="F25" s="11" t="n">
        <f aca="false">D25-E25</f>
        <v>63450</v>
      </c>
      <c r="G25" s="11" t="n">
        <f aca="false">IF(D25=0,0,F25/D25)</f>
        <v>0.617470172638627</v>
      </c>
    </row>
    <row r="26" customFormat="false" ht="15" hidden="false" customHeight="false" outlineLevel="0" collapsed="false">
      <c r="B26" s="11" t="s">
        <v>82</v>
      </c>
      <c r="C26" s="11" t="s">
        <v>83</v>
      </c>
      <c r="D26" s="11" t="n">
        <v>96801</v>
      </c>
      <c r="E26" s="11" t="n">
        <v>55460</v>
      </c>
      <c r="F26" s="11" t="n">
        <f aca="false">D26-E26</f>
        <v>41341</v>
      </c>
      <c r="G26" s="11" t="n">
        <f aca="false">IF(D26=0,0,F26/D26)</f>
        <v>0.42707203437981</v>
      </c>
    </row>
    <row r="27" customFormat="false" ht="15" hidden="false" customHeight="false" outlineLevel="0" collapsed="false">
      <c r="B27" s="11" t="s">
        <v>95</v>
      </c>
      <c r="C27" s="11" t="s">
        <v>96</v>
      </c>
      <c r="D27" s="11" t="n">
        <v>26000</v>
      </c>
      <c r="E27" s="11" t="n">
        <v>2410</v>
      </c>
      <c r="F27" s="11" t="n">
        <f aca="false">D27-E27</f>
        <v>23590</v>
      </c>
      <c r="G27" s="11" t="n">
        <f aca="false">IF(D27=0,0,F27/D27)</f>
        <v>0.907307692307692</v>
      </c>
    </row>
    <row r="28" customFormat="false" ht="15" hidden="false" customHeight="false" outlineLevel="0" collapsed="false">
      <c r="B28" s="11" t="s">
        <v>106</v>
      </c>
      <c r="C28" s="11" t="s">
        <v>107</v>
      </c>
      <c r="D28" s="11" t="n">
        <v>448466</v>
      </c>
      <c r="E28" s="11" t="n">
        <v>428740</v>
      </c>
      <c r="F28" s="11" t="n">
        <f aca="false">D28-E28</f>
        <v>19726</v>
      </c>
      <c r="G28" s="11" t="n">
        <f aca="false">IF(D28=0,0,F28/D28)</f>
        <v>0.0439854972283295</v>
      </c>
    </row>
    <row r="29" customFormat="false" ht="15" hidden="false" customHeight="false" outlineLevel="0" collapsed="false">
      <c r="B29" s="11" t="s">
        <v>108</v>
      </c>
      <c r="C29" s="11" t="s">
        <v>109</v>
      </c>
      <c r="D29" s="11" t="n">
        <v>90401</v>
      </c>
      <c r="E29" s="11" t="n">
        <v>73900</v>
      </c>
      <c r="F29" s="11" t="n">
        <f aca="false">D29-E29</f>
        <v>16501</v>
      </c>
      <c r="G29" s="11" t="n">
        <f aca="false">IF(D29=0,0,F29/D29)</f>
        <v>0.182531166690634</v>
      </c>
    </row>
    <row r="30" customFormat="false" ht="15" hidden="false" customHeight="false" outlineLevel="0" collapsed="false">
      <c r="B30" s="11" t="s">
        <v>71</v>
      </c>
      <c r="C30" s="11" t="s">
        <v>72</v>
      </c>
      <c r="D30" s="11" t="n">
        <v>18450</v>
      </c>
      <c r="E30" s="11" t="n">
        <v>4071</v>
      </c>
      <c r="F30" s="11" t="n">
        <f aca="false">D30-E30</f>
        <v>14379</v>
      </c>
      <c r="G30" s="11" t="n">
        <f aca="false">IF(D30=0,0,F30/D30)</f>
        <v>0.779349593495935</v>
      </c>
    </row>
    <row r="31" customFormat="false" ht="15" hidden="false" customHeight="false" outlineLevel="0" collapsed="false">
      <c r="B31" s="11" t="s">
        <v>73</v>
      </c>
      <c r="C31" s="11" t="s">
        <v>74</v>
      </c>
      <c r="D31" s="11" t="n">
        <v>24600</v>
      </c>
      <c r="E31" s="11" t="n">
        <v>15235</v>
      </c>
      <c r="F31" s="11" t="n">
        <f aca="false">D31-E31</f>
        <v>9365</v>
      </c>
      <c r="G31" s="11" t="n">
        <f aca="false">IF(D31=0,0,F31/D31)</f>
        <v>0.380691056910569</v>
      </c>
    </row>
    <row r="32" customFormat="false" ht="15" hidden="false" customHeight="false" outlineLevel="0" collapsed="false">
      <c r="B32" s="11" t="s">
        <v>103</v>
      </c>
      <c r="C32" s="11" t="s">
        <v>104</v>
      </c>
      <c r="D32" s="11" t="n">
        <v>12450</v>
      </c>
      <c r="E32" s="11" t="n">
        <v>5515</v>
      </c>
      <c r="F32" s="11" t="n">
        <f aca="false">D32-E32</f>
        <v>6935</v>
      </c>
      <c r="G32" s="11" t="n">
        <f aca="false">IF(D32=0,0,F32/D32)</f>
        <v>0.557028112449799</v>
      </c>
    </row>
    <row r="33" customFormat="false" ht="15" hidden="false" customHeight="false" outlineLevel="0" collapsed="false">
      <c r="B33" s="11" t="s">
        <v>79</v>
      </c>
      <c r="C33" s="11" t="s">
        <v>80</v>
      </c>
      <c r="D33" s="11" t="n">
        <v>675</v>
      </c>
      <c r="E33" s="11" t="n">
        <v>670</v>
      </c>
      <c r="F33" s="11" t="n">
        <f aca="false">D33-E33</f>
        <v>5</v>
      </c>
      <c r="G33" s="11" t="n">
        <f aca="false">IF(D33=0,0,F33/D33)</f>
        <v>0.00740740740740741</v>
      </c>
    </row>
    <row r="36" customFormat="false" ht="15" hidden="false" customHeight="false" outlineLevel="0" collapsed="false">
      <c r="B36" s="4" t="s">
        <v>55</v>
      </c>
    </row>
    <row r="37" customFormat="false" ht="15" hidden="false" customHeight="false" outlineLevel="0" collapsed="false">
      <c r="B37" s="3" t="s">
        <v>56</v>
      </c>
    </row>
    <row r="38" customFormat="false" ht="15" hidden="false" customHeight="false" outlineLevel="0" collapsed="false">
      <c r="B38" s="3" t="s">
        <v>57</v>
      </c>
    </row>
    <row r="39" customFormat="false" ht="15" hidden="false" customHeight="false" outlineLevel="0" collapsed="false">
      <c r="B39" s="3" t="s">
        <v>58</v>
      </c>
    </row>
    <row r="40" customFormat="false" ht="15" hidden="false" customHeight="false" outlineLevel="0" collapsed="false">
      <c r="B40" s="3" t="s">
        <v>59</v>
      </c>
    </row>
    <row r="41" customFormat="false" ht="15" hidden="false" customHeight="false" outlineLevel="0" collapsed="false">
      <c r="B41" s="3" t="s">
        <v>60</v>
      </c>
    </row>
    <row r="42" customFormat="false" ht="15" hidden="false" customHeight="false" outlineLevel="0" collapsed="false">
      <c r="B42" s="3" t="s">
        <v>61</v>
      </c>
    </row>
    <row r="43" customFormat="false" ht="15" hidden="false" customHeight="false" outlineLevel="0" collapsed="false">
      <c r="B43" s="3" t="s">
        <v>62</v>
      </c>
    </row>
    <row r="44" customFormat="false" ht="15" hidden="false" customHeight="false" outlineLevel="0" collapsed="false">
      <c r="B44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5" min="4" style="1" width="16"/>
    <col collapsed="false" customWidth="true" hidden="false" outlineLevel="0" max="6" min="6" style="1" width="13"/>
    <col collapsed="false" customWidth="true" hidden="false" outlineLevel="0" max="8" min="7" style="1" width="10"/>
  </cols>
  <sheetData>
    <row r="2" customFormat="false" ht="22.05" hidden="false" customHeight="false" outlineLevel="0" collapsed="false">
      <c r="B2" s="2" t="s">
        <v>121</v>
      </c>
    </row>
    <row r="3" customFormat="false" ht="15" hidden="false" customHeight="false" outlineLevel="0" collapsed="false">
      <c r="B3" s="3" t="s">
        <v>122</v>
      </c>
    </row>
    <row r="5" customFormat="false" ht="15" hidden="false" customHeight="false" outlineLevel="0" collapsed="false">
      <c r="B5" s="4" t="s">
        <v>123</v>
      </c>
    </row>
    <row r="6" customFormat="false" ht="15" hidden="false" customHeight="false" outlineLevel="0" collapsed="false">
      <c r="B6" s="14" t="s">
        <v>65</v>
      </c>
      <c r="C6" s="14" t="s">
        <v>66</v>
      </c>
      <c r="D6" s="14" t="s">
        <v>68</v>
      </c>
      <c r="E6" s="14" t="s">
        <v>30</v>
      </c>
      <c r="F6" s="14" t="s">
        <v>31</v>
      </c>
      <c r="G6" s="14" t="s">
        <v>69</v>
      </c>
      <c r="H6" s="14" t="s">
        <v>124</v>
      </c>
    </row>
    <row r="7" customFormat="false" ht="15" hidden="false" customHeight="false" outlineLevel="0" collapsed="false">
      <c r="B7" s="11" t="s">
        <v>82</v>
      </c>
      <c r="C7" s="11" t="s">
        <v>83</v>
      </c>
      <c r="D7" s="11" t="n">
        <v>96801</v>
      </c>
      <c r="E7" s="11" t="n">
        <v>55460</v>
      </c>
      <c r="F7" s="11" t="n">
        <f aca="false">D7-E7</f>
        <v>41341</v>
      </c>
      <c r="G7" s="11" t="n">
        <f aca="false">IF(D7=0,0,E7/D7)</f>
        <v>0.57292796562019</v>
      </c>
      <c r="H7" s="11" t="n">
        <f aca="false">IF(1144237=0,0,E7/1144237)</f>
        <v>0.0484689797655556</v>
      </c>
    </row>
    <row r="8" customFormat="false" ht="15" hidden="false" customHeight="false" outlineLevel="0" collapsed="false">
      <c r="B8" s="11" t="s">
        <v>84</v>
      </c>
      <c r="C8" s="11" t="s">
        <v>85</v>
      </c>
      <c r="D8" s="11" t="n">
        <v>454876</v>
      </c>
      <c r="E8" s="11" t="n">
        <v>464398</v>
      </c>
      <c r="F8" s="11" t="n">
        <f aca="false">D8-E8</f>
        <v>-9522</v>
      </c>
      <c r="G8" s="11" t="n">
        <f aca="false">IF(D8=0,0,E8/D8)</f>
        <v>1.0209331773934</v>
      </c>
      <c r="H8" s="11" t="n">
        <f aca="false">IF(1144237=0,0,E8/1144237)</f>
        <v>0.405858226923269</v>
      </c>
    </row>
    <row r="9" customFormat="false" ht="15" hidden="false" customHeight="false" outlineLevel="0" collapsed="false">
      <c r="B9" s="11" t="s">
        <v>86</v>
      </c>
      <c r="C9" s="11" t="s">
        <v>87</v>
      </c>
      <c r="D9" s="11" t="n">
        <v>838640</v>
      </c>
      <c r="E9" s="11" t="n">
        <v>621810</v>
      </c>
      <c r="F9" s="11" t="n">
        <f aca="false">D9-E9</f>
        <v>216830</v>
      </c>
      <c r="G9" s="11" t="n">
        <f aca="false">IF(D9=0,0,E9/D9)</f>
        <v>0.741450443575312</v>
      </c>
      <c r="H9" s="11" t="n">
        <f aca="false">IF(1144237=0,0,E9/1144237)</f>
        <v>0.543427629066356</v>
      </c>
    </row>
    <row r="10" customFormat="false" ht="15" hidden="false" customHeight="false" outlineLevel="0" collapsed="false">
      <c r="B10" s="11" t="s">
        <v>88</v>
      </c>
      <c r="C10" s="11" t="s">
        <v>89</v>
      </c>
      <c r="D10" s="11" t="n">
        <v>0</v>
      </c>
      <c r="E10" s="11" t="n">
        <v>0</v>
      </c>
      <c r="F10" s="11" t="n">
        <f aca="false">D10-E10</f>
        <v>0</v>
      </c>
      <c r="G10" s="11" t="n">
        <f aca="false">IF(D10=0,0,E10/D10)</f>
        <v>0</v>
      </c>
      <c r="H10" s="11" t="n">
        <f aca="false">IF(1144237=0,0,E10/1144237)</f>
        <v>0</v>
      </c>
    </row>
    <row r="11" customFormat="false" ht="15" hidden="false" customHeight="false" outlineLevel="0" collapsed="false">
      <c r="B11" s="11" t="s">
        <v>90</v>
      </c>
      <c r="C11" s="11" t="s">
        <v>91</v>
      </c>
      <c r="D11" s="11" t="n">
        <v>0</v>
      </c>
      <c r="E11" s="11" t="n">
        <v>0</v>
      </c>
      <c r="F11" s="11" t="n">
        <f aca="false">D11-E11</f>
        <v>0</v>
      </c>
      <c r="G11" s="11" t="n">
        <f aca="false">IF(D11=0,0,E11/D11)</f>
        <v>0</v>
      </c>
      <c r="H11" s="11" t="n">
        <f aca="false">IF(1144237=0,0,E11/1144237)</f>
        <v>0</v>
      </c>
    </row>
    <row r="12" customFormat="false" ht="15" hidden="false" customHeight="false" outlineLevel="0" collapsed="false">
      <c r="B12" s="11" t="s">
        <v>92</v>
      </c>
      <c r="C12" s="11" t="s">
        <v>93</v>
      </c>
      <c r="D12" s="11" t="n">
        <v>0</v>
      </c>
      <c r="E12" s="11" t="n">
        <v>2569</v>
      </c>
      <c r="F12" s="11" t="n">
        <f aca="false">D12-E12</f>
        <v>-2569</v>
      </c>
      <c r="G12" s="11" t="n">
        <f aca="false">IF(D12=0,0,E12/D12)</f>
        <v>0</v>
      </c>
      <c r="H12" s="11" t="n">
        <f aca="false">IF(1144237=0,0,E12/1144237)</f>
        <v>0.00224516424481991</v>
      </c>
    </row>
    <row r="13" customFormat="false" ht="15" hidden="false" customHeight="false" outlineLevel="0" collapsed="false">
      <c r="B13" s="5" t="s">
        <v>38</v>
      </c>
      <c r="C13" s="5" t="s">
        <v>125</v>
      </c>
      <c r="D13" s="5" t="n">
        <f aca="false">SUM(D7:D12)</f>
        <v>1390317</v>
      </c>
      <c r="E13" s="5" t="n">
        <f aca="false">SUM(E7:E12)</f>
        <v>1144237</v>
      </c>
      <c r="F13" s="5" t="n">
        <f aca="false">D13-E13</f>
        <v>246080</v>
      </c>
      <c r="G13" s="5" t="n">
        <f aca="false">IF(D13=0,0,E13/D13)</f>
        <v>0.823004393961953</v>
      </c>
      <c r="H13" s="5" t="n">
        <v>1</v>
      </c>
    </row>
    <row r="16" customFormat="false" ht="15" hidden="false" customHeight="false" outlineLevel="0" collapsed="false">
      <c r="B16" s="4" t="s">
        <v>126</v>
      </c>
    </row>
    <row r="17" customFormat="false" ht="15" hidden="false" customHeight="false" outlineLevel="0" collapsed="false">
      <c r="B17" s="14" t="s">
        <v>127</v>
      </c>
      <c r="C17" s="14" t="s">
        <v>128</v>
      </c>
      <c r="D17" s="14" t="s">
        <v>129</v>
      </c>
      <c r="E17" s="14" t="s">
        <v>130</v>
      </c>
    </row>
    <row r="18" customFormat="false" ht="15" hidden="false" customHeight="false" outlineLevel="0" collapsed="false">
      <c r="B18" s="11" t="s">
        <v>131</v>
      </c>
      <c r="C18" s="11" t="n">
        <v>169</v>
      </c>
      <c r="D18" s="11" t="n">
        <v>500869</v>
      </c>
      <c r="E18" s="11" t="n">
        <f aca="false">IF(1071980=0,0,D18/1071980)</f>
        <v>0.467237261889214</v>
      </c>
    </row>
    <row r="19" customFormat="false" ht="15" hidden="false" customHeight="false" outlineLevel="0" collapsed="false">
      <c r="B19" s="11" t="s">
        <v>132</v>
      </c>
      <c r="C19" s="11" t="n">
        <v>107</v>
      </c>
      <c r="D19" s="11" t="n">
        <v>305150</v>
      </c>
      <c r="E19" s="11" t="n">
        <f aca="false">IF(1071980=0,0,D19/1071980)</f>
        <v>0.284660161570179</v>
      </c>
    </row>
    <row r="20" customFormat="false" ht="15" hidden="false" customHeight="false" outlineLevel="0" collapsed="false">
      <c r="B20" s="11" t="s">
        <v>133</v>
      </c>
      <c r="C20" s="11" t="n">
        <v>94</v>
      </c>
      <c r="D20" s="11" t="n">
        <v>103987</v>
      </c>
      <c r="E20" s="11" t="n">
        <f aca="false">IF(1071980=0,0,D20/1071980)</f>
        <v>0.0970046082949309</v>
      </c>
    </row>
    <row r="21" customFormat="false" ht="15" hidden="false" customHeight="false" outlineLevel="0" collapsed="false">
      <c r="B21" s="11" t="s">
        <v>134</v>
      </c>
      <c r="C21" s="11" t="n">
        <v>6</v>
      </c>
      <c r="D21" s="11" t="n">
        <v>76546</v>
      </c>
      <c r="E21" s="11" t="n">
        <f aca="false">IF(1071980=0,0,D21/1071980)</f>
        <v>0.0714061829511745</v>
      </c>
    </row>
    <row r="22" customFormat="false" ht="15" hidden="false" customHeight="false" outlineLevel="0" collapsed="false">
      <c r="B22" s="11" t="s">
        <v>135</v>
      </c>
      <c r="C22" s="11" t="n">
        <v>24</v>
      </c>
      <c r="D22" s="11" t="n">
        <v>52036</v>
      </c>
      <c r="E22" s="11" t="n">
        <f aca="false">IF(1071980=0,0,D22/1071980)</f>
        <v>0.0485419504095226</v>
      </c>
    </row>
    <row r="23" customFormat="false" ht="15" hidden="false" customHeight="false" outlineLevel="0" collapsed="false">
      <c r="B23" s="11" t="s">
        <v>136</v>
      </c>
      <c r="C23" s="11" t="n">
        <v>1</v>
      </c>
      <c r="D23" s="11" t="n">
        <v>22320</v>
      </c>
      <c r="E23" s="11" t="n">
        <f aca="false">IF(1071980=0,0,D23/1071980)</f>
        <v>0.0208212839791787</v>
      </c>
    </row>
    <row r="24" customFormat="false" ht="15" hidden="false" customHeight="false" outlineLevel="0" collapsed="false">
      <c r="B24" s="11" t="s">
        <v>137</v>
      </c>
      <c r="C24" s="11" t="n">
        <v>10</v>
      </c>
      <c r="D24" s="11" t="n">
        <v>2472</v>
      </c>
      <c r="E24" s="11" t="n">
        <f aca="false">IF(1071980=0,0,D24/1071980)</f>
        <v>0.00230601317188754</v>
      </c>
    </row>
    <row r="25" customFormat="false" ht="15" hidden="false" customHeight="false" outlineLevel="0" collapsed="false">
      <c r="B25" s="11" t="s">
        <v>138</v>
      </c>
      <c r="C25" s="11" t="n">
        <v>1</v>
      </c>
      <c r="D25" s="11" t="n">
        <v>2408</v>
      </c>
      <c r="E25" s="11" t="n">
        <f aca="false">IF(1071980=0,0,D25/1071980)</f>
        <v>0.00224631056549562</v>
      </c>
    </row>
    <row r="26" customFormat="false" ht="15" hidden="false" customHeight="false" outlineLevel="0" collapsed="false">
      <c r="B26" s="11" t="s">
        <v>139</v>
      </c>
      <c r="C26" s="11" t="n">
        <v>7</v>
      </c>
      <c r="D26" s="11" t="n">
        <v>1984</v>
      </c>
      <c r="E26" s="11" t="n">
        <f aca="false">IF(1071980=0,0,D26/1071980)</f>
        <v>0.00185078079814922</v>
      </c>
    </row>
    <row r="27" customFormat="false" ht="15" hidden="false" customHeight="false" outlineLevel="0" collapsed="false">
      <c r="B27" s="11" t="s">
        <v>140</v>
      </c>
      <c r="C27" s="11" t="n">
        <v>3</v>
      </c>
      <c r="D27" s="11" t="n">
        <v>1865</v>
      </c>
      <c r="E27" s="11" t="n">
        <f aca="false">IF(1071980=0,0,D27/1071980)</f>
        <v>0.00173977126438926</v>
      </c>
    </row>
    <row r="28" customFormat="false" ht="15" hidden="false" customHeight="false" outlineLevel="0" collapsed="false">
      <c r="B28" s="11" t="s">
        <v>141</v>
      </c>
      <c r="C28" s="11" t="n">
        <v>10</v>
      </c>
      <c r="D28" s="11" t="n">
        <v>1603</v>
      </c>
      <c r="E28" s="11" t="n">
        <f aca="false">IF(1071980=0,0,D28/1071980)</f>
        <v>0.00149536371947238</v>
      </c>
    </row>
    <row r="29" customFormat="false" ht="15" hidden="false" customHeight="false" outlineLevel="0" collapsed="false">
      <c r="B29" s="11" t="s">
        <v>142</v>
      </c>
      <c r="C29" s="11" t="n">
        <v>2</v>
      </c>
      <c r="D29" s="11" t="n">
        <v>545</v>
      </c>
      <c r="E29" s="11" t="n">
        <f aca="false">IF(1071980=0,0,D29/1071980)</f>
        <v>0.000508405007556111</v>
      </c>
    </row>
    <row r="30" customFormat="false" ht="15" hidden="false" customHeight="false" outlineLevel="0" collapsed="false">
      <c r="B30" s="11" t="s">
        <v>143</v>
      </c>
      <c r="C30" s="11" t="n">
        <v>2</v>
      </c>
      <c r="D30" s="11" t="n">
        <v>195</v>
      </c>
      <c r="E30" s="11" t="n">
        <f aca="false">IF(1071980=0,0,D30/1071980)</f>
        <v>0.000181906378850352</v>
      </c>
    </row>
    <row r="31" customFormat="false" ht="15" hidden="false" customHeight="false" outlineLevel="0" collapsed="false">
      <c r="B31" s="5" t="s">
        <v>38</v>
      </c>
      <c r="C31" s="5" t="n">
        <f aca="false">SUM(C18:C30)</f>
        <v>436</v>
      </c>
      <c r="D31" s="5" t="n">
        <f aca="false">SUM(D18:D30)</f>
        <v>1071980</v>
      </c>
      <c r="E31" s="5" t="n">
        <v>1</v>
      </c>
    </row>
    <row r="34" customFormat="false" ht="15" hidden="false" customHeight="false" outlineLevel="0" collapsed="false">
      <c r="B34" s="4" t="s">
        <v>55</v>
      </c>
    </row>
    <row r="35" customFormat="false" ht="15" hidden="false" customHeight="false" outlineLevel="0" collapsed="false">
      <c r="B35" s="3" t="s">
        <v>56</v>
      </c>
    </row>
    <row r="36" customFormat="false" ht="15" hidden="false" customHeight="false" outlineLevel="0" collapsed="false">
      <c r="B36" s="3" t="s">
        <v>57</v>
      </c>
    </row>
    <row r="37" customFormat="false" ht="15" hidden="false" customHeight="false" outlineLevel="0" collapsed="false">
      <c r="B37" s="3" t="s">
        <v>58</v>
      </c>
    </row>
    <row r="38" customFormat="false" ht="15" hidden="false" customHeight="false" outlineLevel="0" collapsed="false">
      <c r="B38" s="3" t="s">
        <v>59</v>
      </c>
    </row>
    <row r="39" customFormat="false" ht="15" hidden="false" customHeight="false" outlineLevel="0" collapsed="false">
      <c r="B39" s="3" t="s">
        <v>60</v>
      </c>
    </row>
    <row r="40" customFormat="false" ht="15" hidden="false" customHeight="false" outlineLevel="0" collapsed="false">
      <c r="B40" s="3" t="s">
        <v>61</v>
      </c>
    </row>
    <row r="41" customFormat="false" ht="15" hidden="false" customHeight="false" outlineLevel="0" collapsed="false">
      <c r="B41" s="3" t="s">
        <v>62</v>
      </c>
    </row>
    <row r="42" customFormat="false" ht="15" hidden="false" customHeight="false" outlineLevel="0" collapsed="false">
      <c r="B42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</cols>
  <sheetData>
    <row r="2" customFormat="false" ht="22.05" hidden="false" customHeight="false" outlineLevel="0" collapsed="false">
      <c r="B2" s="2" t="s">
        <v>144</v>
      </c>
    </row>
    <row r="4" customFormat="false" ht="15" hidden="false" customHeight="false" outlineLevel="0" collapsed="false">
      <c r="B4" s="14" t="s">
        <v>145</v>
      </c>
      <c r="C4" s="14" t="s">
        <v>146</v>
      </c>
      <c r="D4" s="14" t="s">
        <v>147</v>
      </c>
      <c r="E4" s="14" t="s">
        <v>148</v>
      </c>
      <c r="F4" s="14" t="s">
        <v>149</v>
      </c>
    </row>
    <row r="5" customFormat="false" ht="15" hidden="false" customHeight="false" outlineLevel="0" collapsed="false">
      <c r="B5" s="11" t="s">
        <v>150</v>
      </c>
      <c r="C5" s="11" t="n">
        <v>168</v>
      </c>
      <c r="D5" s="11" t="n">
        <v>11592</v>
      </c>
      <c r="E5" s="11" t="n">
        <f aca="false">IF(C5=0,0,D5/C5)</f>
        <v>69</v>
      </c>
      <c r="F5" s="11" t="s">
        <v>151</v>
      </c>
    </row>
    <row r="6" customFormat="false" ht="15" hidden="false" customHeight="false" outlineLevel="0" collapsed="false">
      <c r="B6" s="11" t="s">
        <v>152</v>
      </c>
      <c r="C6" s="11" t="n">
        <v>98</v>
      </c>
      <c r="D6" s="11" t="n">
        <v>5831</v>
      </c>
      <c r="E6" s="11" t="n">
        <f aca="false">IF(C6=0,0,D6/C6)</f>
        <v>59.5</v>
      </c>
      <c r="F6" s="11" t="s">
        <v>151</v>
      </c>
    </row>
    <row r="7" customFormat="false" ht="15" hidden="false" customHeight="false" outlineLevel="0" collapsed="false">
      <c r="B7" s="11" t="s">
        <v>153</v>
      </c>
      <c r="C7" s="11" t="n">
        <v>60</v>
      </c>
      <c r="D7" s="11" t="n">
        <v>0</v>
      </c>
      <c r="E7" s="11" t="n">
        <f aca="false">IF(C7=0,0,D7/C7)</f>
        <v>0</v>
      </c>
      <c r="F7" s="11" t="s">
        <v>154</v>
      </c>
    </row>
    <row r="8" customFormat="false" ht="15" hidden="false" customHeight="false" outlineLevel="0" collapsed="false">
      <c r="B8" s="11" t="s">
        <v>155</v>
      </c>
      <c r="C8" s="11" t="n">
        <v>28.75</v>
      </c>
      <c r="D8" s="11" t="n">
        <v>1553</v>
      </c>
      <c r="E8" s="11" t="n">
        <f aca="false">IF(C8=0,0,D8/C8)</f>
        <v>54.0173913043478</v>
      </c>
      <c r="F8" s="11" t="s">
        <v>151</v>
      </c>
    </row>
    <row r="9" customFormat="false" ht="15" hidden="false" customHeight="false" outlineLevel="0" collapsed="false">
      <c r="B9" s="11" t="s">
        <v>156</v>
      </c>
      <c r="C9" s="11" t="n">
        <v>11</v>
      </c>
      <c r="D9" s="11" t="n">
        <v>572</v>
      </c>
      <c r="E9" s="11" t="n">
        <f aca="false">IF(C9=0,0,D9/C9)</f>
        <v>52</v>
      </c>
      <c r="F9" s="11" t="s">
        <v>151</v>
      </c>
    </row>
    <row r="10" customFormat="false" ht="15" hidden="false" customHeight="false" outlineLevel="0" collapsed="false">
      <c r="B10" s="11" t="s">
        <v>157</v>
      </c>
      <c r="C10" s="11" t="n">
        <v>8.5</v>
      </c>
      <c r="D10" s="11" t="n">
        <v>238</v>
      </c>
      <c r="E10" s="11" t="n">
        <f aca="false">IF(C10=0,0,D10/C10)</f>
        <v>28</v>
      </c>
      <c r="F10" s="11" t="s">
        <v>151</v>
      </c>
    </row>
    <row r="11" customFormat="false" ht="15" hidden="false" customHeight="false" outlineLevel="0" collapsed="false">
      <c r="B11" s="11" t="s">
        <v>158</v>
      </c>
      <c r="C11" s="11" t="n">
        <v>3</v>
      </c>
      <c r="D11" s="11" t="n">
        <v>204</v>
      </c>
      <c r="E11" s="11" t="n">
        <f aca="false">IF(C11=0,0,D11/C11)</f>
        <v>68</v>
      </c>
      <c r="F11" s="11" t="s">
        <v>151</v>
      </c>
    </row>
    <row r="12" customFormat="false" ht="15" hidden="false" customHeight="false" outlineLevel="0" collapsed="false">
      <c r="B12" s="11" t="s">
        <v>159</v>
      </c>
      <c r="C12" s="11" t="n">
        <v>0</v>
      </c>
      <c r="D12" s="11" t="n">
        <v>0</v>
      </c>
      <c r="E12" s="11" t="n">
        <f aca="false">IF(C12=0,0,D12/C12)</f>
        <v>0</v>
      </c>
      <c r="F12" s="11" t="s">
        <v>154</v>
      </c>
    </row>
    <row r="13" customFormat="false" ht="15" hidden="false" customHeight="false" outlineLevel="0" collapsed="false">
      <c r="B13" s="11" t="s">
        <v>160</v>
      </c>
      <c r="C13" s="11" t="n">
        <v>0</v>
      </c>
      <c r="D13" s="11" t="n">
        <v>0</v>
      </c>
      <c r="E13" s="11" t="n">
        <f aca="false">IF(C13=0,0,D13/C13)</f>
        <v>0</v>
      </c>
      <c r="F13" s="11" t="s">
        <v>154</v>
      </c>
    </row>
    <row r="14" customFormat="false" ht="15" hidden="false" customHeight="false" outlineLevel="0" collapsed="false">
      <c r="B14" s="11" t="s">
        <v>161</v>
      </c>
      <c r="C14" s="11" t="n">
        <v>0</v>
      </c>
      <c r="D14" s="11" t="n">
        <v>0</v>
      </c>
      <c r="E14" s="11" t="n">
        <f aca="false">IF(C14=0,0,D14/C14)</f>
        <v>0</v>
      </c>
      <c r="F14" s="11" t="s">
        <v>154</v>
      </c>
    </row>
    <row r="15" customFormat="false" ht="15" hidden="false" customHeight="false" outlineLevel="0" collapsed="false">
      <c r="B15" s="11" t="s">
        <v>162</v>
      </c>
      <c r="C15" s="11" t="n">
        <v>0</v>
      </c>
      <c r="D15" s="11" t="n">
        <v>0</v>
      </c>
      <c r="E15" s="11" t="n">
        <f aca="false">IF(C15=0,0,D15/C15)</f>
        <v>0</v>
      </c>
      <c r="F15" s="11" t="s">
        <v>154</v>
      </c>
    </row>
    <row r="16" customFormat="false" ht="15" hidden="false" customHeight="false" outlineLevel="0" collapsed="false">
      <c r="B16" s="11" t="s">
        <v>163</v>
      </c>
      <c r="C16" s="11" t="n">
        <v>0</v>
      </c>
      <c r="D16" s="11" t="n">
        <v>0</v>
      </c>
      <c r="E16" s="11" t="n">
        <f aca="false">IF(C16=0,0,D16/C16)</f>
        <v>0</v>
      </c>
      <c r="F16" s="11" t="s">
        <v>154</v>
      </c>
    </row>
    <row r="17" customFormat="false" ht="15" hidden="false" customHeight="false" outlineLevel="0" collapsed="false">
      <c r="B17" s="11" t="s">
        <v>164</v>
      </c>
      <c r="C17" s="11" t="n">
        <v>0</v>
      </c>
      <c r="D17" s="11" t="n">
        <v>0</v>
      </c>
      <c r="E17" s="11" t="n">
        <f aca="false">IF(C17=0,0,D17/C17)</f>
        <v>0</v>
      </c>
      <c r="F17" s="11" t="s">
        <v>154</v>
      </c>
    </row>
    <row r="18" customFormat="false" ht="15" hidden="false" customHeight="false" outlineLevel="0" collapsed="false">
      <c r="B18" s="11" t="s">
        <v>165</v>
      </c>
      <c r="C18" s="11" t="n">
        <v>0</v>
      </c>
      <c r="D18" s="11" t="n">
        <v>0</v>
      </c>
      <c r="E18" s="11" t="n">
        <f aca="false">IF(C18=0,0,D18/C18)</f>
        <v>0</v>
      </c>
      <c r="F18" s="11" t="s">
        <v>154</v>
      </c>
    </row>
    <row r="19" customFormat="false" ht="15" hidden="false" customHeight="false" outlineLevel="0" collapsed="false">
      <c r="B19" s="11" t="s">
        <v>166</v>
      </c>
      <c r="C19" s="11" t="n">
        <v>0</v>
      </c>
      <c r="D19" s="11" t="n">
        <v>0</v>
      </c>
      <c r="E19" s="11" t="n">
        <f aca="false">IF(C19=0,0,D19/C19)</f>
        <v>0</v>
      </c>
      <c r="F19" s="11" t="s">
        <v>154</v>
      </c>
    </row>
    <row r="20" customFormat="false" ht="15" hidden="false" customHeight="false" outlineLevel="0" collapsed="false">
      <c r="B20" s="11" t="s">
        <v>167</v>
      </c>
      <c r="C20" s="11" t="n">
        <v>0</v>
      </c>
      <c r="D20" s="11" t="n">
        <v>0</v>
      </c>
      <c r="E20" s="11" t="n">
        <f aca="false">IF(C20=0,0,D20/C20)</f>
        <v>0</v>
      </c>
      <c r="F20" s="11" t="s">
        <v>154</v>
      </c>
    </row>
    <row r="21" customFormat="false" ht="15" hidden="false" customHeight="false" outlineLevel="0" collapsed="false">
      <c r="B21" s="11" t="s">
        <v>168</v>
      </c>
      <c r="C21" s="11" t="n">
        <v>0</v>
      </c>
      <c r="D21" s="11" t="n">
        <v>0</v>
      </c>
      <c r="E21" s="11" t="n">
        <f aca="false">IF(C21=0,0,D21/C21)</f>
        <v>0</v>
      </c>
      <c r="F21" s="11" t="s">
        <v>154</v>
      </c>
    </row>
    <row r="22" customFormat="false" ht="15" hidden="false" customHeight="false" outlineLevel="0" collapsed="false">
      <c r="B22" s="11" t="s">
        <v>169</v>
      </c>
      <c r="C22" s="11" t="n">
        <v>0</v>
      </c>
      <c r="D22" s="11" t="n">
        <v>0</v>
      </c>
      <c r="E22" s="11" t="n">
        <f aca="false">IF(C22=0,0,D22/C22)</f>
        <v>0</v>
      </c>
      <c r="F22" s="11" t="s">
        <v>154</v>
      </c>
    </row>
    <row r="23" customFormat="false" ht="15" hidden="false" customHeight="false" outlineLevel="0" collapsed="false">
      <c r="B23" s="11" t="s">
        <v>170</v>
      </c>
      <c r="C23" s="11" t="n">
        <v>0</v>
      </c>
      <c r="D23" s="11" t="n">
        <v>0</v>
      </c>
      <c r="E23" s="11" t="n">
        <f aca="false">IF(C23=0,0,D23/C23)</f>
        <v>0</v>
      </c>
      <c r="F23" s="11" t="s">
        <v>154</v>
      </c>
    </row>
    <row r="24" customFormat="false" ht="15" hidden="false" customHeight="false" outlineLevel="0" collapsed="false">
      <c r="B24" s="11" t="s">
        <v>171</v>
      </c>
      <c r="C24" s="11" t="n">
        <v>0</v>
      </c>
      <c r="D24" s="11" t="n">
        <v>0</v>
      </c>
      <c r="E24" s="11" t="n">
        <f aca="false">IF(C24=0,0,D24/C24)</f>
        <v>0</v>
      </c>
      <c r="F24" s="11" t="s">
        <v>154</v>
      </c>
    </row>
    <row r="25" customFormat="false" ht="15" hidden="false" customHeight="false" outlineLevel="0" collapsed="false">
      <c r="B25" s="11" t="s">
        <v>172</v>
      </c>
      <c r="C25" s="11" t="n">
        <v>0</v>
      </c>
      <c r="D25" s="11" t="n">
        <v>0</v>
      </c>
      <c r="E25" s="11" t="n">
        <f aca="false">IF(C25=0,0,D25/C25)</f>
        <v>0</v>
      </c>
      <c r="F25" s="11" t="s">
        <v>154</v>
      </c>
    </row>
    <row r="26" customFormat="false" ht="15" hidden="false" customHeight="false" outlineLevel="0" collapsed="false">
      <c r="B26" s="11" t="s">
        <v>173</v>
      </c>
      <c r="C26" s="11" t="n">
        <v>0</v>
      </c>
      <c r="D26" s="11" t="n">
        <v>0</v>
      </c>
      <c r="E26" s="11" t="n">
        <f aca="false">IF(C26=0,0,D26/C26)</f>
        <v>0</v>
      </c>
      <c r="F26" s="11" t="s">
        <v>154</v>
      </c>
    </row>
    <row r="27" customFormat="false" ht="15" hidden="false" customHeight="false" outlineLevel="0" collapsed="false">
      <c r="B27" s="11" t="s">
        <v>174</v>
      </c>
      <c r="C27" s="11" t="n">
        <v>0</v>
      </c>
      <c r="D27" s="11" t="n">
        <v>0</v>
      </c>
      <c r="E27" s="11" t="n">
        <f aca="false">IF(C27=0,0,D27/C27)</f>
        <v>0</v>
      </c>
      <c r="F27" s="11" t="s">
        <v>154</v>
      </c>
    </row>
    <row r="28" customFormat="false" ht="15" hidden="false" customHeight="false" outlineLevel="0" collapsed="false">
      <c r="B28" s="11" t="s">
        <v>175</v>
      </c>
      <c r="C28" s="11" t="n">
        <v>0</v>
      </c>
      <c r="D28" s="11" t="n">
        <v>0</v>
      </c>
      <c r="E28" s="11" t="n">
        <f aca="false">IF(C28=0,0,D28/C28)</f>
        <v>0</v>
      </c>
      <c r="F28" s="11" t="s">
        <v>154</v>
      </c>
    </row>
    <row r="29" customFormat="false" ht="15" hidden="false" customHeight="false" outlineLevel="0" collapsed="false">
      <c r="B29" s="11" t="s">
        <v>176</v>
      </c>
      <c r="C29" s="11" t="n">
        <v>0</v>
      </c>
      <c r="D29" s="11" t="n">
        <v>0</v>
      </c>
      <c r="E29" s="11" t="n">
        <f aca="false">IF(C29=0,0,D29/C29)</f>
        <v>0</v>
      </c>
      <c r="F29" s="11" t="s">
        <v>154</v>
      </c>
    </row>
    <row r="30" customFormat="false" ht="15" hidden="false" customHeight="false" outlineLevel="0" collapsed="false">
      <c r="B30" s="11" t="s">
        <v>177</v>
      </c>
      <c r="C30" s="11" t="n">
        <v>0</v>
      </c>
      <c r="D30" s="11" t="n">
        <v>0</v>
      </c>
      <c r="E30" s="11" t="n">
        <f aca="false">IF(C30=0,0,D30/C30)</f>
        <v>0</v>
      </c>
      <c r="F30" s="11" t="s">
        <v>154</v>
      </c>
    </row>
    <row r="31" customFormat="false" ht="15" hidden="false" customHeight="false" outlineLevel="0" collapsed="false">
      <c r="B31" s="11" t="s">
        <v>178</v>
      </c>
      <c r="C31" s="11" t="n">
        <v>0</v>
      </c>
      <c r="D31" s="11" t="n">
        <v>0</v>
      </c>
      <c r="E31" s="11" t="n">
        <f aca="false">IF(C31=0,0,D31/C31)</f>
        <v>0</v>
      </c>
      <c r="F31" s="11" t="s">
        <v>154</v>
      </c>
    </row>
    <row r="32" customFormat="false" ht="15" hidden="false" customHeight="false" outlineLevel="0" collapsed="false">
      <c r="B32" s="11" t="s">
        <v>179</v>
      </c>
      <c r="C32" s="11" t="n">
        <v>0</v>
      </c>
      <c r="D32" s="11" t="n">
        <v>0</v>
      </c>
      <c r="E32" s="11" t="n">
        <f aca="false">IF(C32=0,0,D32/C32)</f>
        <v>0</v>
      </c>
      <c r="F32" s="11" t="s">
        <v>154</v>
      </c>
    </row>
    <row r="33" customFormat="false" ht="15" hidden="false" customHeight="false" outlineLevel="0" collapsed="false">
      <c r="B33" s="11" t="s">
        <v>180</v>
      </c>
      <c r="C33" s="11" t="n">
        <v>0</v>
      </c>
      <c r="D33" s="11" t="n">
        <v>0</v>
      </c>
      <c r="E33" s="11" t="n">
        <f aca="false">IF(C33=0,0,D33/C33)</f>
        <v>0</v>
      </c>
      <c r="F33" s="11" t="s">
        <v>154</v>
      </c>
    </row>
    <row r="34" customFormat="false" ht="15" hidden="false" customHeight="false" outlineLevel="0" collapsed="false">
      <c r="B34" s="11" t="s">
        <v>181</v>
      </c>
      <c r="C34" s="11" t="n">
        <v>0</v>
      </c>
      <c r="D34" s="11" t="n">
        <v>0</v>
      </c>
      <c r="E34" s="11" t="n">
        <f aca="false">IF(C34=0,0,D34/C34)</f>
        <v>0</v>
      </c>
      <c r="F34" s="11" t="s">
        <v>154</v>
      </c>
    </row>
    <row r="37" customFormat="false" ht="15" hidden="false" customHeight="false" outlineLevel="0" collapsed="false">
      <c r="B37" s="4" t="s">
        <v>55</v>
      </c>
    </row>
    <row r="38" customFormat="false" ht="15" hidden="false" customHeight="false" outlineLevel="0" collapsed="false">
      <c r="B38" s="3" t="s">
        <v>56</v>
      </c>
    </row>
    <row r="39" customFormat="false" ht="15" hidden="false" customHeight="false" outlineLevel="0" collapsed="false">
      <c r="B39" s="3" t="s">
        <v>57</v>
      </c>
    </row>
    <row r="40" customFormat="false" ht="15" hidden="false" customHeight="false" outlineLevel="0" collapsed="false">
      <c r="B40" s="3" t="s">
        <v>58</v>
      </c>
    </row>
    <row r="41" customFormat="false" ht="15" hidden="false" customHeight="false" outlineLevel="0" collapsed="false">
      <c r="B41" s="3" t="s">
        <v>59</v>
      </c>
    </row>
    <row r="42" customFormat="false" ht="15" hidden="false" customHeight="false" outlineLevel="0" collapsed="false">
      <c r="B42" s="3" t="s">
        <v>60</v>
      </c>
    </row>
    <row r="43" customFormat="false" ht="15" hidden="false" customHeight="false" outlineLevel="0" collapsed="false">
      <c r="B43" s="3" t="s">
        <v>61</v>
      </c>
    </row>
    <row r="44" customFormat="false" ht="15" hidden="false" customHeight="false" outlineLevel="0" collapsed="false">
      <c r="B44" s="3" t="s">
        <v>62</v>
      </c>
    </row>
    <row r="45" customFormat="false" ht="15" hidden="false" customHeight="false" outlineLevel="0" collapsed="false">
      <c r="B45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6" min="5" style="1" width="13"/>
  </cols>
  <sheetData>
    <row r="2" customFormat="false" ht="22.05" hidden="false" customHeight="false" outlineLevel="0" collapsed="false">
      <c r="B2" s="2" t="s">
        <v>182</v>
      </c>
    </row>
    <row r="4" customFormat="false" ht="15" hidden="false" customHeight="false" outlineLevel="0" collapsed="false">
      <c r="B4" s="4" t="s">
        <v>183</v>
      </c>
    </row>
    <row r="5" customFormat="false" ht="15" hidden="false" customHeight="false" outlineLevel="0" collapsed="false">
      <c r="B5" s="14" t="s">
        <v>149</v>
      </c>
      <c r="C5" s="14" t="s">
        <v>184</v>
      </c>
      <c r="D5" s="14" t="s">
        <v>146</v>
      </c>
      <c r="E5" s="14" t="s">
        <v>147</v>
      </c>
      <c r="F5" s="14" t="s">
        <v>185</v>
      </c>
    </row>
    <row r="6" customFormat="false" ht="15" hidden="false" customHeight="false" outlineLevel="0" collapsed="false">
      <c r="B6" s="5" t="s">
        <v>151</v>
      </c>
      <c r="C6" s="11" t="n">
        <v>6</v>
      </c>
      <c r="D6" s="11" t="n">
        <v>317.25</v>
      </c>
      <c r="E6" s="11" t="n">
        <v>19990</v>
      </c>
      <c r="F6" s="11" t="s">
        <v>186</v>
      </c>
    </row>
    <row r="7" customFormat="false" ht="15" hidden="false" customHeight="false" outlineLevel="0" collapsed="false">
      <c r="B7" s="5" t="s">
        <v>154</v>
      </c>
      <c r="C7" s="11" t="n">
        <v>24</v>
      </c>
      <c r="D7" s="11" t="n">
        <v>60</v>
      </c>
      <c r="E7" s="11" t="n">
        <v>0</v>
      </c>
      <c r="F7" s="11" t="s">
        <v>187</v>
      </c>
    </row>
    <row r="10" customFormat="false" ht="15" hidden="false" customHeight="false" outlineLevel="0" collapsed="false">
      <c r="B10" s="4" t="s">
        <v>188</v>
      </c>
    </row>
    <row r="11" customFormat="false" ht="15" hidden="false" customHeight="false" outlineLevel="0" collapsed="false">
      <c r="B11" s="5" t="s">
        <v>189</v>
      </c>
      <c r="C11" s="11" t="n">
        <v>52.99</v>
      </c>
    </row>
    <row r="12" customFormat="false" ht="15" hidden="false" customHeight="false" outlineLevel="0" collapsed="false">
      <c r="B12" s="5" t="s">
        <v>190</v>
      </c>
      <c r="C12" s="11" t="n">
        <v>69</v>
      </c>
    </row>
    <row r="13" customFormat="false" ht="15" hidden="false" customHeight="false" outlineLevel="0" collapsed="false">
      <c r="B13" s="5" t="s">
        <v>191</v>
      </c>
      <c r="C13" s="11" t="n">
        <v>2.464</v>
      </c>
    </row>
    <row r="14" customFormat="false" ht="15" hidden="false" customHeight="false" outlineLevel="0" collapsed="false">
      <c r="B14" s="5" t="s">
        <v>192</v>
      </c>
      <c r="C14" s="11" t="n">
        <v>28</v>
      </c>
    </row>
    <row r="15" customFormat="false" ht="15" hidden="false" customHeight="false" outlineLevel="0" collapsed="false">
      <c r="B15" s="5" t="s">
        <v>193</v>
      </c>
      <c r="C15" s="11" t="n">
        <v>69</v>
      </c>
    </row>
    <row r="16" customFormat="false" ht="15" hidden="false" customHeight="false" outlineLevel="0" collapsed="false">
      <c r="B16" s="5" t="s">
        <v>194</v>
      </c>
      <c r="C16" s="11" t="n">
        <v>12.6</v>
      </c>
    </row>
    <row r="19" customFormat="false" ht="15" hidden="false" customHeight="false" outlineLevel="0" collapsed="false">
      <c r="B19" s="4" t="s">
        <v>55</v>
      </c>
    </row>
    <row r="20" customFormat="false" ht="15" hidden="false" customHeight="false" outlineLevel="0" collapsed="false">
      <c r="B20" s="3" t="s">
        <v>56</v>
      </c>
    </row>
    <row r="21" customFormat="false" ht="15" hidden="false" customHeight="false" outlineLevel="0" collapsed="false">
      <c r="B21" s="3" t="s">
        <v>57</v>
      </c>
    </row>
    <row r="22" customFormat="false" ht="15" hidden="false" customHeight="false" outlineLevel="0" collapsed="false">
      <c r="B22" s="3" t="s">
        <v>58</v>
      </c>
    </row>
    <row r="23" customFormat="false" ht="15" hidden="false" customHeight="false" outlineLevel="0" collapsed="false">
      <c r="B23" s="3" t="s">
        <v>59</v>
      </c>
    </row>
    <row r="24" customFormat="false" ht="15" hidden="false" customHeight="false" outlineLevel="0" collapsed="false">
      <c r="B24" s="3" t="s">
        <v>60</v>
      </c>
    </row>
    <row r="25" customFormat="false" ht="15" hidden="false" customHeight="false" outlineLevel="0" collapsed="false">
      <c r="B25" s="3" t="s">
        <v>61</v>
      </c>
    </row>
    <row r="26" customFormat="false" ht="15" hidden="false" customHeight="false" outlineLevel="0" collapsed="false">
      <c r="B26" s="3" t="s">
        <v>62</v>
      </c>
    </row>
    <row r="27" customFormat="false" ht="15" hidden="false" customHeight="false" outlineLevel="0" collapsed="false">
      <c r="B27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2"/>
  </cols>
  <sheetData>
    <row r="2" customFormat="false" ht="22.05" hidden="false" customHeight="false" outlineLevel="0" collapsed="false">
      <c r="B2" s="2" t="s">
        <v>195</v>
      </c>
    </row>
    <row r="4" customFormat="false" ht="15" hidden="false" customHeight="false" outlineLevel="0" collapsed="false">
      <c r="B4" s="14" t="s">
        <v>196</v>
      </c>
      <c r="C4" s="14" t="s">
        <v>65</v>
      </c>
      <c r="D4" s="14" t="s">
        <v>146</v>
      </c>
      <c r="E4" s="14" t="s">
        <v>197</v>
      </c>
      <c r="F4" s="14" t="s">
        <v>198</v>
      </c>
    </row>
    <row r="5" customFormat="false" ht="15" hidden="false" customHeight="false" outlineLevel="0" collapsed="false">
      <c r="B5" s="5" t="s">
        <v>72</v>
      </c>
      <c r="C5" s="11" t="s">
        <v>71</v>
      </c>
      <c r="D5" s="11" t="n">
        <v>59</v>
      </c>
      <c r="E5" s="11" t="s">
        <v>199</v>
      </c>
      <c r="F5" s="11" t="n">
        <v>0.24</v>
      </c>
    </row>
    <row r="6" customFormat="false" ht="15" hidden="false" customHeight="false" outlineLevel="0" collapsed="false">
      <c r="B6" s="5" t="s">
        <v>200</v>
      </c>
      <c r="C6" s="11" t="s">
        <v>73</v>
      </c>
      <c r="D6" s="11" t="n">
        <v>241.5</v>
      </c>
      <c r="E6" s="11" t="s">
        <v>201</v>
      </c>
      <c r="F6" s="11" t="n">
        <v>0.98</v>
      </c>
    </row>
    <row r="7" customFormat="false" ht="15" hidden="false" customHeight="false" outlineLevel="0" collapsed="false">
      <c r="B7" s="5" t="s">
        <v>202</v>
      </c>
      <c r="C7" s="11" t="s">
        <v>77</v>
      </c>
      <c r="D7" s="11" t="n">
        <v>0.25</v>
      </c>
      <c r="E7" s="11" t="s">
        <v>203</v>
      </c>
      <c r="F7" s="11" t="n">
        <v>0</v>
      </c>
    </row>
    <row r="9" customFormat="false" ht="15" hidden="false" customHeight="false" outlineLevel="0" collapsed="false">
      <c r="B9" s="5" t="s">
        <v>38</v>
      </c>
      <c r="D9" s="5" t="n">
        <v>300.75</v>
      </c>
    </row>
    <row r="11" customFormat="false" ht="15" hidden="false" customHeight="false" outlineLevel="0" collapsed="false">
      <c r="B11" s="4" t="s">
        <v>204</v>
      </c>
    </row>
    <row r="12" customFormat="false" ht="15" hidden="false" customHeight="false" outlineLevel="0" collapsed="false">
      <c r="B12" s="5" t="s">
        <v>205</v>
      </c>
      <c r="C12" s="11" t="s">
        <v>206</v>
      </c>
    </row>
    <row r="13" customFormat="false" ht="15" hidden="false" customHeight="false" outlineLevel="0" collapsed="false">
      <c r="B13" s="5" t="s">
        <v>207</v>
      </c>
      <c r="C13" s="11" t="s">
        <v>208</v>
      </c>
    </row>
    <row r="14" customFormat="false" ht="15" hidden="false" customHeight="false" outlineLevel="0" collapsed="false">
      <c r="B14" s="5" t="s">
        <v>209</v>
      </c>
      <c r="C14" s="11" t="s">
        <v>210</v>
      </c>
    </row>
    <row r="15" customFormat="false" ht="15" hidden="false" customHeight="false" outlineLevel="0" collapsed="false">
      <c r="B15" s="5" t="s">
        <v>211</v>
      </c>
      <c r="C15" s="11" t="s">
        <v>212</v>
      </c>
    </row>
    <row r="16" customFormat="false" ht="15" hidden="false" customHeight="false" outlineLevel="0" collapsed="false">
      <c r="B16" s="5" t="s">
        <v>213</v>
      </c>
      <c r="C16" s="11" t="s">
        <v>214</v>
      </c>
    </row>
    <row r="19" customFormat="false" ht="15" hidden="false" customHeight="false" outlineLevel="0" collapsed="false">
      <c r="B19" s="4" t="s">
        <v>55</v>
      </c>
    </row>
    <row r="20" customFormat="false" ht="15" hidden="false" customHeight="false" outlineLevel="0" collapsed="false">
      <c r="B20" s="3" t="s">
        <v>56</v>
      </c>
    </row>
    <row r="21" customFormat="false" ht="15" hidden="false" customHeight="false" outlineLevel="0" collapsed="false">
      <c r="B21" s="3" t="s">
        <v>57</v>
      </c>
    </row>
    <row r="22" customFormat="false" ht="15" hidden="false" customHeight="false" outlineLevel="0" collapsed="false">
      <c r="B22" s="3" t="s">
        <v>58</v>
      </c>
    </row>
    <row r="23" customFormat="false" ht="15" hidden="false" customHeight="false" outlineLevel="0" collapsed="false">
      <c r="B23" s="3" t="s">
        <v>59</v>
      </c>
    </row>
    <row r="24" customFormat="false" ht="15" hidden="false" customHeight="false" outlineLevel="0" collapsed="false">
      <c r="B24" s="3" t="s">
        <v>60</v>
      </c>
    </row>
    <row r="25" customFormat="false" ht="15" hidden="false" customHeight="false" outlineLevel="0" collapsed="false">
      <c r="B25" s="3" t="s">
        <v>61</v>
      </c>
    </row>
    <row r="26" customFormat="false" ht="15" hidden="false" customHeight="false" outlineLevel="0" collapsed="false">
      <c r="B26" s="3" t="s">
        <v>62</v>
      </c>
    </row>
    <row r="27" customFormat="false" ht="15" hidden="false" customHeight="false" outlineLevel="0" collapsed="false">
      <c r="B27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</cols>
  <sheetData>
    <row r="2" customFormat="false" ht="22.05" hidden="false" customHeight="false" outlineLevel="0" collapsed="false">
      <c r="B2" s="2" t="s">
        <v>215</v>
      </c>
    </row>
    <row r="3" customFormat="false" ht="15" hidden="false" customHeight="false" outlineLevel="0" collapsed="false">
      <c r="B3" s="3" t="s">
        <v>216</v>
      </c>
    </row>
    <row r="5" customFormat="false" ht="15" hidden="false" customHeight="false" outlineLevel="0" collapsed="false">
      <c r="B5" s="14" t="s">
        <v>217</v>
      </c>
      <c r="C5" s="14" t="s">
        <v>127</v>
      </c>
      <c r="D5" s="14" t="s">
        <v>128</v>
      </c>
      <c r="E5" s="14" t="s">
        <v>129</v>
      </c>
      <c r="F5" s="14" t="s">
        <v>130</v>
      </c>
      <c r="G5" s="14" t="s">
        <v>149</v>
      </c>
    </row>
    <row r="6" customFormat="false" ht="15" hidden="false" customHeight="false" outlineLevel="0" collapsed="false">
      <c r="B6" s="11" t="n">
        <v>1</v>
      </c>
      <c r="C6" s="11" t="s">
        <v>131</v>
      </c>
      <c r="D6" s="11" t="n">
        <v>169</v>
      </c>
      <c r="E6" s="11" t="n">
        <v>500869</v>
      </c>
      <c r="F6" s="11" t="s">
        <v>218</v>
      </c>
      <c r="G6" s="11" t="s">
        <v>219</v>
      </c>
    </row>
    <row r="7" customFormat="false" ht="15" hidden="false" customHeight="false" outlineLevel="0" collapsed="false">
      <c r="B7" s="11" t="n">
        <v>2</v>
      </c>
      <c r="C7" s="11" t="s">
        <v>132</v>
      </c>
      <c r="D7" s="11" t="n">
        <v>107</v>
      </c>
      <c r="E7" s="11" t="n">
        <v>305150</v>
      </c>
      <c r="F7" s="11" t="s">
        <v>220</v>
      </c>
      <c r="G7" s="11" t="s">
        <v>219</v>
      </c>
    </row>
    <row r="8" customFormat="false" ht="15" hidden="false" customHeight="false" outlineLevel="0" collapsed="false">
      <c r="B8" s="11" t="n">
        <v>3</v>
      </c>
      <c r="C8" s="11" t="s">
        <v>133</v>
      </c>
      <c r="D8" s="11" t="n">
        <v>94</v>
      </c>
      <c r="E8" s="11" t="n">
        <v>103987</v>
      </c>
      <c r="F8" s="11" t="s">
        <v>221</v>
      </c>
      <c r="G8" s="11" t="s">
        <v>219</v>
      </c>
    </row>
    <row r="9" customFormat="false" ht="15" hidden="false" customHeight="false" outlineLevel="0" collapsed="false">
      <c r="B9" s="11" t="n">
        <v>4</v>
      </c>
      <c r="C9" s="11" t="s">
        <v>134</v>
      </c>
      <c r="D9" s="11" t="n">
        <v>6</v>
      </c>
      <c r="E9" s="11" t="n">
        <v>76546</v>
      </c>
      <c r="F9" s="11" t="s">
        <v>222</v>
      </c>
      <c r="G9" s="11" t="s">
        <v>219</v>
      </c>
    </row>
    <row r="10" customFormat="false" ht="15" hidden="false" customHeight="false" outlineLevel="0" collapsed="false">
      <c r="B10" s="11" t="n">
        <v>5</v>
      </c>
      <c r="C10" s="11" t="s">
        <v>135</v>
      </c>
      <c r="D10" s="11" t="n">
        <v>24</v>
      </c>
      <c r="E10" s="11" t="n">
        <v>52036</v>
      </c>
      <c r="F10" s="11" t="s">
        <v>223</v>
      </c>
      <c r="G10" s="11" t="s">
        <v>219</v>
      </c>
    </row>
    <row r="11" customFormat="false" ht="15" hidden="false" customHeight="false" outlineLevel="0" collapsed="false">
      <c r="B11" s="11" t="n">
        <v>6</v>
      </c>
      <c r="C11" s="11" t="s">
        <v>136</v>
      </c>
      <c r="D11" s="11" t="n">
        <v>1</v>
      </c>
      <c r="E11" s="11" t="n">
        <v>22320</v>
      </c>
      <c r="F11" s="11" t="s">
        <v>224</v>
      </c>
      <c r="G11" s="11" t="s">
        <v>225</v>
      </c>
    </row>
    <row r="12" customFormat="false" ht="15" hidden="false" customHeight="false" outlineLevel="0" collapsed="false">
      <c r="B12" s="11" t="n">
        <v>7</v>
      </c>
      <c r="C12" s="11" t="s">
        <v>137</v>
      </c>
      <c r="D12" s="11" t="n">
        <v>10</v>
      </c>
      <c r="E12" s="11" t="n">
        <v>2472</v>
      </c>
      <c r="F12" s="11" t="s">
        <v>226</v>
      </c>
      <c r="G12" s="11" t="s">
        <v>225</v>
      </c>
    </row>
    <row r="13" customFormat="false" ht="15" hidden="false" customHeight="false" outlineLevel="0" collapsed="false">
      <c r="B13" s="11" t="n">
        <v>8</v>
      </c>
      <c r="C13" s="11" t="s">
        <v>138</v>
      </c>
      <c r="D13" s="11" t="n">
        <v>1</v>
      </c>
      <c r="E13" s="11" t="n">
        <v>2408</v>
      </c>
      <c r="F13" s="11" t="s">
        <v>226</v>
      </c>
      <c r="G13" s="11" t="s">
        <v>225</v>
      </c>
    </row>
    <row r="14" customFormat="false" ht="15" hidden="false" customHeight="false" outlineLevel="0" collapsed="false">
      <c r="B14" s="11" t="n">
        <v>9</v>
      </c>
      <c r="C14" s="11" t="s">
        <v>139</v>
      </c>
      <c r="D14" s="11" t="n">
        <v>7</v>
      </c>
      <c r="E14" s="11" t="n">
        <v>1984</v>
      </c>
      <c r="F14" s="11" t="s">
        <v>226</v>
      </c>
      <c r="G14" s="11" t="s">
        <v>225</v>
      </c>
    </row>
    <row r="15" customFormat="false" ht="15" hidden="false" customHeight="false" outlineLevel="0" collapsed="false">
      <c r="B15" s="11" t="n">
        <v>10</v>
      </c>
      <c r="C15" s="11" t="s">
        <v>140</v>
      </c>
      <c r="D15" s="11" t="n">
        <v>3</v>
      </c>
      <c r="E15" s="11" t="n">
        <v>1865</v>
      </c>
      <c r="F15" s="11" t="s">
        <v>226</v>
      </c>
      <c r="G15" s="11" t="s">
        <v>225</v>
      </c>
    </row>
    <row r="16" customFormat="false" ht="15" hidden="false" customHeight="false" outlineLevel="0" collapsed="false">
      <c r="B16" s="11" t="n">
        <v>11</v>
      </c>
      <c r="C16" s="11" t="s">
        <v>141</v>
      </c>
      <c r="D16" s="11" t="n">
        <v>10</v>
      </c>
      <c r="E16" s="11" t="n">
        <v>1603</v>
      </c>
      <c r="F16" s="11" t="s">
        <v>203</v>
      </c>
      <c r="G16" s="11" t="s">
        <v>227</v>
      </c>
    </row>
    <row r="17" customFormat="false" ht="15" hidden="false" customHeight="false" outlineLevel="0" collapsed="false">
      <c r="B17" s="11" t="n">
        <v>12</v>
      </c>
      <c r="C17" s="11" t="s">
        <v>142</v>
      </c>
      <c r="D17" s="11" t="n">
        <v>2</v>
      </c>
      <c r="E17" s="11" t="n">
        <v>545</v>
      </c>
      <c r="F17" s="11" t="s">
        <v>203</v>
      </c>
      <c r="G17" s="11" t="s">
        <v>227</v>
      </c>
    </row>
    <row r="18" customFormat="false" ht="15" hidden="false" customHeight="false" outlineLevel="0" collapsed="false">
      <c r="B18" s="11" t="n">
        <v>13</v>
      </c>
      <c r="C18" s="11" t="s">
        <v>143</v>
      </c>
      <c r="D18" s="11" t="n">
        <v>2</v>
      </c>
      <c r="E18" s="11" t="n">
        <v>195</v>
      </c>
      <c r="F18" s="11" t="s">
        <v>228</v>
      </c>
      <c r="G18" s="11" t="s">
        <v>227</v>
      </c>
    </row>
    <row r="21" customFormat="false" ht="15" hidden="false" customHeight="false" outlineLevel="0" collapsed="false">
      <c r="B21" s="4" t="s">
        <v>55</v>
      </c>
    </row>
    <row r="22" customFormat="false" ht="15" hidden="false" customHeight="false" outlineLevel="0" collapsed="false">
      <c r="B22" s="3" t="s">
        <v>56</v>
      </c>
    </row>
    <row r="23" customFormat="false" ht="15" hidden="false" customHeight="false" outlineLevel="0" collapsed="false">
      <c r="B23" s="3" t="s">
        <v>57</v>
      </c>
    </row>
    <row r="24" customFormat="false" ht="15" hidden="false" customHeight="false" outlineLevel="0" collapsed="false">
      <c r="B24" s="3" t="s">
        <v>58</v>
      </c>
    </row>
    <row r="25" customFormat="false" ht="15" hidden="false" customHeight="false" outlineLevel="0" collapsed="false">
      <c r="B25" s="3" t="s">
        <v>59</v>
      </c>
    </row>
    <row r="26" customFormat="false" ht="15" hidden="false" customHeight="false" outlineLevel="0" collapsed="false">
      <c r="B26" s="3" t="s">
        <v>60</v>
      </c>
    </row>
    <row r="27" customFormat="false" ht="15" hidden="false" customHeight="false" outlineLevel="0" collapsed="false">
      <c r="B27" s="3" t="s">
        <v>61</v>
      </c>
    </row>
    <row r="28" customFormat="false" ht="15" hidden="false" customHeight="false" outlineLevel="0" collapsed="false">
      <c r="B28" s="3" t="s">
        <v>62</v>
      </c>
    </row>
    <row r="29" customFormat="false" ht="15" hidden="false" customHeight="false" outlineLevel="0" collapsed="false">
      <c r="B29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"/>
    <col collapsed="false" customWidth="true" hidden="false" outlineLevel="0" max="8" min="3" style="1" width="13"/>
  </cols>
  <sheetData>
    <row r="2" customFormat="false" ht="22.05" hidden="false" customHeight="false" outlineLevel="0" collapsed="false">
      <c r="B2" s="2" t="s">
        <v>229</v>
      </c>
    </row>
    <row r="4" customFormat="false" ht="15" hidden="false" customHeight="false" outlineLevel="0" collapsed="false">
      <c r="B4" s="4" t="s">
        <v>230</v>
      </c>
    </row>
    <row r="5" customFormat="false" ht="15" hidden="false" customHeight="false" outlineLevel="0" collapsed="false">
      <c r="B5" s="5" t="s">
        <v>231</v>
      </c>
      <c r="C5" s="11" t="s">
        <v>232</v>
      </c>
    </row>
    <row r="6" customFormat="false" ht="15" hidden="false" customHeight="false" outlineLevel="0" collapsed="false">
      <c r="B6" s="5" t="s">
        <v>233</v>
      </c>
      <c r="C6" s="11" t="s">
        <v>234</v>
      </c>
    </row>
    <row r="7" customFormat="false" ht="15" hidden="false" customHeight="false" outlineLevel="0" collapsed="false">
      <c r="B7" s="5" t="s">
        <v>235</v>
      </c>
      <c r="C7" s="11" t="s">
        <v>19</v>
      </c>
    </row>
    <row r="8" customFormat="false" ht="15" hidden="false" customHeight="false" outlineLevel="0" collapsed="false">
      <c r="B8" s="5" t="s">
        <v>236</v>
      </c>
      <c r="C8" s="11" t="s">
        <v>237</v>
      </c>
    </row>
    <row r="9" customFormat="false" ht="15" hidden="false" customHeight="false" outlineLevel="0" collapsed="false">
      <c r="B9" s="5" t="s">
        <v>238</v>
      </c>
      <c r="C9" s="11" t="s">
        <v>239</v>
      </c>
    </row>
    <row r="12" customFormat="false" ht="15" hidden="false" customHeight="false" outlineLevel="0" collapsed="false">
      <c r="B12" s="4" t="s">
        <v>240</v>
      </c>
    </row>
    <row r="13" customFormat="false" ht="15" hidden="false" customHeight="false" outlineLevel="0" collapsed="false">
      <c r="B13" s="15" t="s">
        <v>241</v>
      </c>
      <c r="C13" s="15"/>
      <c r="D13" s="15"/>
      <c r="E13" s="15"/>
      <c r="F13" s="15"/>
      <c r="G13" s="15"/>
    </row>
    <row r="15" customFormat="false" ht="15" hidden="false" customHeight="false" outlineLevel="0" collapsed="false">
      <c r="B15" s="4" t="s">
        <v>55</v>
      </c>
    </row>
    <row r="16" customFormat="false" ht="15" hidden="false" customHeight="false" outlineLevel="0" collapsed="false">
      <c r="B16" s="3" t="s">
        <v>56</v>
      </c>
    </row>
    <row r="17" customFormat="false" ht="15" hidden="false" customHeight="false" outlineLevel="0" collapsed="false">
      <c r="B17" s="3" t="s">
        <v>57</v>
      </c>
    </row>
    <row r="18" customFormat="false" ht="15" hidden="false" customHeight="false" outlineLevel="0" collapsed="false">
      <c r="B18" s="3" t="s">
        <v>58</v>
      </c>
    </row>
    <row r="19" customFormat="false" ht="15" hidden="false" customHeight="false" outlineLevel="0" collapsed="false">
      <c r="B19" s="3" t="s">
        <v>59</v>
      </c>
    </row>
    <row r="20" customFormat="false" ht="15" hidden="false" customHeight="false" outlineLevel="0" collapsed="false">
      <c r="B20" s="3" t="s">
        <v>60</v>
      </c>
    </row>
    <row r="21" customFormat="false" ht="15" hidden="false" customHeight="false" outlineLevel="0" collapsed="false">
      <c r="B21" s="3" t="s">
        <v>61</v>
      </c>
    </row>
    <row r="22" customFormat="false" ht="15" hidden="false" customHeight="false" outlineLevel="0" collapsed="false">
      <c r="B22" s="3" t="s">
        <v>62</v>
      </c>
    </row>
    <row r="23" customFormat="false" ht="15" hidden="false" customHeight="false" outlineLevel="0" collapsed="false">
      <c r="B23" s="3" t="s">
        <v>63</v>
      </c>
    </row>
  </sheetData>
  <mergeCells count="1"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24"/>
    <col collapsed="false" customWidth="true" hidden="false" outlineLevel="0" max="4" min="4" style="1" width="80"/>
  </cols>
  <sheetData>
    <row r="2" customFormat="false" ht="22.05" hidden="false" customHeight="false" outlineLevel="0" collapsed="false">
      <c r="B2" s="2" t="s">
        <v>242</v>
      </c>
    </row>
    <row r="4" customFormat="false" ht="15" hidden="false" customHeight="false" outlineLevel="0" collapsed="false">
      <c r="B4" s="14" t="s">
        <v>217</v>
      </c>
      <c r="C4" s="14" t="s">
        <v>243</v>
      </c>
      <c r="D4" s="14" t="s">
        <v>244</v>
      </c>
    </row>
    <row r="5" customFormat="false" ht="23.85" hidden="false" customHeight="false" outlineLevel="0" collapsed="false">
      <c r="B5" s="11" t="n">
        <v>1</v>
      </c>
      <c r="C5" s="5" t="s">
        <v>245</v>
      </c>
      <c r="D5" s="16" t="s">
        <v>246</v>
      </c>
    </row>
    <row r="6" customFormat="false" ht="23.85" hidden="false" customHeight="false" outlineLevel="0" collapsed="false">
      <c r="B6" s="11" t="n">
        <v>2</v>
      </c>
      <c r="C6" s="5" t="s">
        <v>247</v>
      </c>
      <c r="D6" s="16" t="s">
        <v>248</v>
      </c>
    </row>
    <row r="7" customFormat="false" ht="23.85" hidden="false" customHeight="false" outlineLevel="0" collapsed="false">
      <c r="B7" s="11" t="n">
        <v>3</v>
      </c>
      <c r="C7" s="5" t="s">
        <v>249</v>
      </c>
      <c r="D7" s="16" t="s">
        <v>250</v>
      </c>
    </row>
    <row r="8" customFormat="false" ht="23.85" hidden="false" customHeight="false" outlineLevel="0" collapsed="false">
      <c r="B8" s="11" t="n">
        <v>4</v>
      </c>
      <c r="C8" s="5" t="s">
        <v>251</v>
      </c>
      <c r="D8" s="16" t="s">
        <v>252</v>
      </c>
    </row>
    <row r="9" customFormat="false" ht="23.85" hidden="false" customHeight="false" outlineLevel="0" collapsed="false">
      <c r="B9" s="11" t="n">
        <v>5</v>
      </c>
      <c r="C9" s="5" t="s">
        <v>253</v>
      </c>
      <c r="D9" s="16" t="s">
        <v>254</v>
      </c>
    </row>
    <row r="10" customFormat="false" ht="23.85" hidden="false" customHeight="false" outlineLevel="0" collapsed="false">
      <c r="B10" s="11" t="n">
        <v>6</v>
      </c>
      <c r="C10" s="5" t="s">
        <v>255</v>
      </c>
      <c r="D10" s="16" t="s">
        <v>256</v>
      </c>
    </row>
    <row r="11" customFormat="false" ht="23.85" hidden="false" customHeight="false" outlineLevel="0" collapsed="false">
      <c r="B11" s="11" t="n">
        <v>7</v>
      </c>
      <c r="C11" s="5" t="s">
        <v>257</v>
      </c>
      <c r="D11" s="16" t="s">
        <v>258</v>
      </c>
    </row>
    <row r="12" customFormat="false" ht="15" hidden="false" customHeight="false" outlineLevel="0" collapsed="false">
      <c r="B12" s="11" t="n">
        <v>8</v>
      </c>
      <c r="C12" s="5" t="s">
        <v>259</v>
      </c>
      <c r="D12" s="16" t="s">
        <v>260</v>
      </c>
    </row>
    <row r="13" customFormat="false" ht="15" hidden="false" customHeight="false" outlineLevel="0" collapsed="false">
      <c r="B13" s="11" t="n">
        <v>9</v>
      </c>
      <c r="C13" s="5" t="s">
        <v>261</v>
      </c>
      <c r="D13" s="16" t="s">
        <v>262</v>
      </c>
    </row>
    <row r="14" customFormat="false" ht="15" hidden="false" customHeight="false" outlineLevel="0" collapsed="false">
      <c r="B14" s="11" t="n">
        <v>10</v>
      </c>
      <c r="C14" s="5" t="s">
        <v>263</v>
      </c>
      <c r="D14" s="16" t="s">
        <v>264</v>
      </c>
    </row>
    <row r="17" customFormat="false" ht="15" hidden="false" customHeight="false" outlineLevel="0" collapsed="false">
      <c r="B17" s="4" t="s">
        <v>55</v>
      </c>
    </row>
    <row r="18" customFormat="false" ht="15" hidden="false" customHeight="false" outlineLevel="0" collapsed="false">
      <c r="B18" s="3" t="s">
        <v>56</v>
      </c>
    </row>
    <row r="19" customFormat="false" ht="15" hidden="false" customHeight="false" outlineLevel="0" collapsed="false">
      <c r="B19" s="3" t="s">
        <v>57</v>
      </c>
    </row>
    <row r="20" customFormat="false" ht="15" hidden="false" customHeight="false" outlineLevel="0" collapsed="false">
      <c r="B20" s="3" t="s">
        <v>58</v>
      </c>
    </row>
    <row r="21" customFormat="false" ht="15" hidden="false" customHeight="false" outlineLevel="0" collapsed="false">
      <c r="B21" s="3" t="s">
        <v>59</v>
      </c>
    </row>
    <row r="22" customFormat="false" ht="15" hidden="false" customHeight="false" outlineLevel="0" collapsed="false">
      <c r="B22" s="3" t="s">
        <v>60</v>
      </c>
    </row>
    <row r="23" customFormat="false" ht="15" hidden="false" customHeight="false" outlineLevel="0" collapsed="false">
      <c r="B23" s="3" t="s">
        <v>61</v>
      </c>
    </row>
    <row r="24" customFormat="false" ht="15" hidden="false" customHeight="false" outlineLevel="0" collapsed="false">
      <c r="B24" s="3" t="s">
        <v>62</v>
      </c>
    </row>
    <row r="25" customFormat="false" ht="15" hidden="false" customHeight="false" outlineLevel="0" collapsed="false">
      <c r="B25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0"/>
  </cols>
  <sheetData>
    <row r="2" customFormat="false" ht="22.05" hidden="false" customHeight="false" outlineLevel="0" collapsed="false">
      <c r="B2" s="2" t="s">
        <v>265</v>
      </c>
    </row>
    <row r="4" customFormat="false" ht="15" hidden="false" customHeight="false" outlineLevel="0" collapsed="false">
      <c r="B4" s="14" t="s">
        <v>266</v>
      </c>
      <c r="C4" s="14" t="s">
        <v>267</v>
      </c>
      <c r="D4" s="14" t="s">
        <v>268</v>
      </c>
      <c r="E4" s="14" t="s">
        <v>269</v>
      </c>
      <c r="F4" s="14" t="s">
        <v>13</v>
      </c>
    </row>
    <row r="5" customFormat="false" ht="15" hidden="false" customHeight="false" outlineLevel="0" collapsed="false">
      <c r="B5" s="5" t="s">
        <v>270</v>
      </c>
      <c r="C5" s="11" t="s">
        <v>271</v>
      </c>
      <c r="D5" s="11" t="s">
        <v>272</v>
      </c>
      <c r="E5" s="11" t="s">
        <v>273</v>
      </c>
      <c r="F5" s="5" t="s">
        <v>274</v>
      </c>
    </row>
    <row r="6" customFormat="false" ht="15" hidden="false" customHeight="false" outlineLevel="0" collapsed="false">
      <c r="B6" s="5" t="s">
        <v>205</v>
      </c>
      <c r="C6" s="11" t="s">
        <v>206</v>
      </c>
      <c r="D6" s="11" t="s">
        <v>275</v>
      </c>
      <c r="E6" s="11" t="s">
        <v>276</v>
      </c>
      <c r="F6" s="5" t="s">
        <v>274</v>
      </c>
    </row>
    <row r="7" customFormat="false" ht="15" hidden="false" customHeight="false" outlineLevel="0" collapsed="false">
      <c r="B7" s="5" t="s">
        <v>207</v>
      </c>
      <c r="C7" s="11" t="s">
        <v>208</v>
      </c>
      <c r="D7" s="11" t="s">
        <v>277</v>
      </c>
      <c r="E7" s="11" t="s">
        <v>278</v>
      </c>
      <c r="F7" s="5" t="s">
        <v>274</v>
      </c>
    </row>
    <row r="8" customFormat="false" ht="15" hidden="false" customHeight="false" outlineLevel="0" collapsed="false">
      <c r="B8" s="5" t="s">
        <v>279</v>
      </c>
      <c r="C8" s="11" t="s">
        <v>280</v>
      </c>
      <c r="D8" s="11" t="s">
        <v>281</v>
      </c>
      <c r="E8" s="11" t="s">
        <v>282</v>
      </c>
      <c r="F8" s="5" t="s">
        <v>274</v>
      </c>
    </row>
    <row r="9" customFormat="false" ht="15" hidden="false" customHeight="false" outlineLevel="0" collapsed="false">
      <c r="B9" s="5" t="s">
        <v>283</v>
      </c>
      <c r="C9" s="11" t="s">
        <v>284</v>
      </c>
      <c r="D9" s="11" t="s">
        <v>285</v>
      </c>
      <c r="E9" s="11" t="s">
        <v>286</v>
      </c>
      <c r="F9" s="17" t="s">
        <v>287</v>
      </c>
    </row>
    <row r="12" customFormat="false" ht="15" hidden="false" customHeight="false" outlineLevel="0" collapsed="false">
      <c r="B12" s="4" t="s">
        <v>55</v>
      </c>
    </row>
    <row r="13" customFormat="false" ht="15" hidden="false" customHeight="false" outlineLevel="0" collapsed="false">
      <c r="B13" s="3" t="s">
        <v>56</v>
      </c>
    </row>
    <row r="14" customFormat="false" ht="15" hidden="false" customHeight="false" outlineLevel="0" collapsed="false">
      <c r="B14" s="3" t="s">
        <v>57</v>
      </c>
    </row>
    <row r="15" customFormat="false" ht="15" hidden="false" customHeight="false" outlineLevel="0" collapsed="false">
      <c r="B15" s="3" t="s">
        <v>58</v>
      </c>
    </row>
    <row r="16" customFormat="false" ht="15" hidden="false" customHeight="false" outlineLevel="0" collapsed="false">
      <c r="B16" s="3" t="s">
        <v>59</v>
      </c>
    </row>
    <row r="17" customFormat="false" ht="15" hidden="false" customHeight="false" outlineLevel="0" collapsed="false">
      <c r="B17" s="3" t="s">
        <v>60</v>
      </c>
    </row>
    <row r="18" customFormat="false" ht="15" hidden="false" customHeight="false" outlineLevel="0" collapsed="false">
      <c r="B18" s="3" t="s">
        <v>61</v>
      </c>
    </row>
    <row r="19" customFormat="false" ht="15" hidden="false" customHeight="false" outlineLevel="0" collapsed="false">
      <c r="B19" s="3" t="s">
        <v>62</v>
      </c>
    </row>
    <row r="20" customFormat="false" ht="15" hidden="false" customHeight="false" outlineLevel="0" collapsed="false">
      <c r="B20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6" min="5" style="1" width="10"/>
  </cols>
  <sheetData>
    <row r="2" customFormat="false" ht="22.05" hidden="false" customHeight="false" outlineLevel="0" collapsed="false">
      <c r="B2" s="2" t="s">
        <v>288</v>
      </c>
    </row>
    <row r="4" customFormat="false" ht="15" hidden="false" customHeight="false" outlineLevel="0" collapsed="false">
      <c r="B4" s="14" t="s">
        <v>289</v>
      </c>
      <c r="C4" s="14" t="s">
        <v>290</v>
      </c>
      <c r="D4" s="14" t="s">
        <v>30</v>
      </c>
      <c r="E4" s="14" t="s">
        <v>291</v>
      </c>
      <c r="F4" s="14" t="s">
        <v>13</v>
      </c>
    </row>
    <row r="5" customFormat="false" ht="15" hidden="false" customHeight="false" outlineLevel="0" collapsed="false">
      <c r="B5" s="5" t="s">
        <v>292</v>
      </c>
      <c r="C5" s="11" t="s">
        <v>19</v>
      </c>
      <c r="D5" s="11" t="s">
        <v>19</v>
      </c>
      <c r="E5" s="11" t="s">
        <v>293</v>
      </c>
      <c r="F5" s="18" t="s">
        <v>294</v>
      </c>
    </row>
    <row r="6" customFormat="false" ht="15" hidden="false" customHeight="false" outlineLevel="0" collapsed="false">
      <c r="B6" s="5" t="s">
        <v>295</v>
      </c>
      <c r="C6" s="11" t="s">
        <v>296</v>
      </c>
      <c r="D6" s="11" t="s">
        <v>239</v>
      </c>
      <c r="E6" s="11" t="s">
        <v>293</v>
      </c>
      <c r="F6" s="17" t="s">
        <v>274</v>
      </c>
    </row>
    <row r="7" customFormat="false" ht="15" hidden="false" customHeight="false" outlineLevel="0" collapsed="false">
      <c r="B7" s="5" t="s">
        <v>297</v>
      </c>
      <c r="C7" s="11" t="s">
        <v>21</v>
      </c>
      <c r="D7" s="11" t="s">
        <v>298</v>
      </c>
      <c r="E7" s="11" t="s">
        <v>293</v>
      </c>
      <c r="F7" s="19" t="s">
        <v>299</v>
      </c>
    </row>
    <row r="8" customFormat="false" ht="15" hidden="false" customHeight="false" outlineLevel="0" collapsed="false">
      <c r="B8" s="5" t="s">
        <v>300</v>
      </c>
      <c r="C8" s="11" t="n">
        <v>30</v>
      </c>
      <c r="D8" s="11" t="n">
        <v>30</v>
      </c>
      <c r="E8" s="11" t="s">
        <v>293</v>
      </c>
      <c r="F8" s="18" t="s">
        <v>294</v>
      </c>
    </row>
    <row r="9" customFormat="false" ht="15" hidden="false" customHeight="false" outlineLevel="0" collapsed="false">
      <c r="B9" s="5" t="s">
        <v>301</v>
      </c>
      <c r="C9" s="11" t="s">
        <v>302</v>
      </c>
      <c r="D9" s="11" t="n">
        <v>13</v>
      </c>
      <c r="E9" s="11" t="s">
        <v>293</v>
      </c>
      <c r="F9" s="17" t="s">
        <v>274</v>
      </c>
    </row>
    <row r="12" customFormat="false" ht="15" hidden="false" customHeight="false" outlineLevel="0" collapsed="false">
      <c r="B12" s="4" t="s">
        <v>55</v>
      </c>
    </row>
    <row r="13" customFormat="false" ht="15" hidden="false" customHeight="false" outlineLevel="0" collapsed="false">
      <c r="B13" s="3" t="s">
        <v>56</v>
      </c>
    </row>
    <row r="14" customFormat="false" ht="15" hidden="false" customHeight="false" outlineLevel="0" collapsed="false">
      <c r="B14" s="3" t="s">
        <v>57</v>
      </c>
    </row>
    <row r="15" customFormat="false" ht="15" hidden="false" customHeight="false" outlineLevel="0" collapsed="false">
      <c r="B15" s="3" t="s">
        <v>58</v>
      </c>
    </row>
    <row r="16" customFormat="false" ht="15" hidden="false" customHeight="false" outlineLevel="0" collapsed="false">
      <c r="B16" s="3" t="s">
        <v>59</v>
      </c>
    </row>
    <row r="17" customFormat="false" ht="15" hidden="false" customHeight="false" outlineLevel="0" collapsed="false">
      <c r="B17" s="3" t="s">
        <v>60</v>
      </c>
    </row>
    <row r="18" customFormat="false" ht="15" hidden="false" customHeight="false" outlineLevel="0" collapsed="false">
      <c r="B18" s="3" t="s">
        <v>61</v>
      </c>
    </row>
    <row r="19" customFormat="false" ht="15" hidden="false" customHeight="false" outlineLevel="0" collapsed="false">
      <c r="B19" s="3" t="s">
        <v>62</v>
      </c>
    </row>
    <row r="20" customFormat="false" ht="15" hidden="false" customHeight="false" outlineLevel="0" collapsed="false">
      <c r="B20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30"/>
  </cols>
  <sheetData>
    <row r="2" customFormat="false" ht="22.05" hidden="false" customHeight="false" outlineLevel="0" collapsed="false">
      <c r="B2" s="2" t="s">
        <v>303</v>
      </c>
    </row>
    <row r="4" customFormat="false" ht="15" hidden="false" customHeight="false" outlineLevel="0" collapsed="false">
      <c r="B4" s="14" t="s">
        <v>217</v>
      </c>
      <c r="C4" s="14" t="s">
        <v>127</v>
      </c>
      <c r="D4" s="14" t="s">
        <v>128</v>
      </c>
      <c r="E4" s="14" t="s">
        <v>129</v>
      </c>
      <c r="F4" s="14" t="s">
        <v>130</v>
      </c>
      <c r="G4" s="14" t="s">
        <v>304</v>
      </c>
    </row>
    <row r="5" customFormat="false" ht="15" hidden="false" customHeight="false" outlineLevel="0" collapsed="false">
      <c r="B5" s="11" t="n">
        <v>1</v>
      </c>
      <c r="C5" s="11" t="s">
        <v>131</v>
      </c>
      <c r="D5" s="11" t="n">
        <v>169</v>
      </c>
      <c r="E5" s="11" t="n">
        <v>500869</v>
      </c>
      <c r="F5" s="11" t="s">
        <v>218</v>
      </c>
      <c r="G5" s="3" t="s">
        <v>305</v>
      </c>
    </row>
    <row r="6" customFormat="false" ht="15" hidden="false" customHeight="false" outlineLevel="0" collapsed="false">
      <c r="B6" s="11" t="n">
        <v>2</v>
      </c>
      <c r="C6" s="11" t="s">
        <v>132</v>
      </c>
      <c r="D6" s="11" t="n">
        <v>107</v>
      </c>
      <c r="E6" s="11" t="n">
        <v>305150</v>
      </c>
      <c r="F6" s="11" t="s">
        <v>220</v>
      </c>
      <c r="G6" s="3" t="s">
        <v>306</v>
      </c>
    </row>
    <row r="7" customFormat="false" ht="15" hidden="false" customHeight="false" outlineLevel="0" collapsed="false">
      <c r="B7" s="11" t="n">
        <v>3</v>
      </c>
      <c r="C7" s="11" t="s">
        <v>133</v>
      </c>
      <c r="D7" s="11" t="n">
        <v>94</v>
      </c>
      <c r="E7" s="11" t="n">
        <v>103987</v>
      </c>
      <c r="F7" s="11" t="s">
        <v>221</v>
      </c>
      <c r="G7" s="3" t="s">
        <v>307</v>
      </c>
    </row>
    <row r="8" customFormat="false" ht="15" hidden="false" customHeight="false" outlineLevel="0" collapsed="false">
      <c r="B8" s="11" t="n">
        <v>4</v>
      </c>
      <c r="C8" s="11" t="s">
        <v>134</v>
      </c>
      <c r="D8" s="11" t="n">
        <v>6</v>
      </c>
      <c r="E8" s="11" t="n">
        <v>76546</v>
      </c>
      <c r="F8" s="11" t="s">
        <v>222</v>
      </c>
      <c r="G8" s="3"/>
    </row>
    <row r="9" customFormat="false" ht="15" hidden="false" customHeight="false" outlineLevel="0" collapsed="false">
      <c r="B9" s="11" t="n">
        <v>5</v>
      </c>
      <c r="C9" s="11" t="s">
        <v>135</v>
      </c>
      <c r="D9" s="11" t="n">
        <v>24</v>
      </c>
      <c r="E9" s="11" t="n">
        <v>52036</v>
      </c>
      <c r="F9" s="11" t="s">
        <v>223</v>
      </c>
      <c r="G9" s="3" t="s">
        <v>308</v>
      </c>
    </row>
    <row r="10" customFormat="false" ht="15" hidden="false" customHeight="false" outlineLevel="0" collapsed="false">
      <c r="B10" s="11" t="n">
        <v>6</v>
      </c>
      <c r="C10" s="11" t="s">
        <v>136</v>
      </c>
      <c r="D10" s="11" t="n">
        <v>1</v>
      </c>
      <c r="E10" s="11" t="n">
        <v>22320</v>
      </c>
      <c r="F10" s="11" t="s">
        <v>224</v>
      </c>
      <c r="G10" s="3" t="s">
        <v>309</v>
      </c>
    </row>
    <row r="11" customFormat="false" ht="15" hidden="false" customHeight="false" outlineLevel="0" collapsed="false">
      <c r="B11" s="11" t="n">
        <v>7</v>
      </c>
      <c r="C11" s="11" t="s">
        <v>137</v>
      </c>
      <c r="D11" s="11" t="n">
        <v>10</v>
      </c>
      <c r="E11" s="11" t="n">
        <v>2472</v>
      </c>
      <c r="F11" s="11" t="s">
        <v>226</v>
      </c>
      <c r="G11" s="3"/>
    </row>
    <row r="12" customFormat="false" ht="15" hidden="false" customHeight="false" outlineLevel="0" collapsed="false">
      <c r="B12" s="11" t="n">
        <v>8</v>
      </c>
      <c r="C12" s="11" t="s">
        <v>138</v>
      </c>
      <c r="D12" s="11" t="n">
        <v>1</v>
      </c>
      <c r="E12" s="11" t="n">
        <v>2408</v>
      </c>
      <c r="F12" s="11" t="s">
        <v>226</v>
      </c>
      <c r="G12" s="3" t="s">
        <v>310</v>
      </c>
    </row>
    <row r="13" customFormat="false" ht="15" hidden="false" customHeight="false" outlineLevel="0" collapsed="false">
      <c r="B13" s="11" t="n">
        <v>9</v>
      </c>
      <c r="C13" s="11" t="s">
        <v>139</v>
      </c>
      <c r="D13" s="11" t="n">
        <v>7</v>
      </c>
      <c r="E13" s="11" t="n">
        <v>1984</v>
      </c>
      <c r="F13" s="11" t="s">
        <v>226</v>
      </c>
      <c r="G13" s="3"/>
    </row>
    <row r="14" customFormat="false" ht="15" hidden="false" customHeight="false" outlineLevel="0" collapsed="false">
      <c r="B14" s="11" t="n">
        <v>10</v>
      </c>
      <c r="C14" s="11" t="s">
        <v>140</v>
      </c>
      <c r="D14" s="11" t="n">
        <v>3</v>
      </c>
      <c r="E14" s="11" t="n">
        <v>1865</v>
      </c>
      <c r="F14" s="11" t="s">
        <v>226</v>
      </c>
      <c r="G14" s="3"/>
    </row>
    <row r="15" customFormat="false" ht="15" hidden="false" customHeight="false" outlineLevel="0" collapsed="false">
      <c r="B15" s="11" t="n">
        <v>11</v>
      </c>
      <c r="C15" s="11" t="s">
        <v>141</v>
      </c>
      <c r="D15" s="11" t="n">
        <v>10</v>
      </c>
      <c r="E15" s="11" t="n">
        <v>1603</v>
      </c>
      <c r="F15" s="11" t="s">
        <v>203</v>
      </c>
      <c r="G15" s="3"/>
    </row>
    <row r="16" customFormat="false" ht="15" hidden="false" customHeight="false" outlineLevel="0" collapsed="false">
      <c r="B16" s="11" t="n">
        <v>12</v>
      </c>
      <c r="C16" s="11" t="s">
        <v>142</v>
      </c>
      <c r="D16" s="11" t="n">
        <v>2</v>
      </c>
      <c r="E16" s="11" t="n">
        <v>545</v>
      </c>
      <c r="F16" s="11" t="s">
        <v>203</v>
      </c>
      <c r="G16" s="3"/>
    </row>
    <row r="17" customFormat="false" ht="15" hidden="false" customHeight="false" outlineLevel="0" collapsed="false">
      <c r="B17" s="11" t="n">
        <v>13</v>
      </c>
      <c r="C17" s="11" t="s">
        <v>143</v>
      </c>
      <c r="D17" s="11" t="n">
        <v>2</v>
      </c>
      <c r="E17" s="11" t="n">
        <v>195</v>
      </c>
      <c r="F17" s="11" t="s">
        <v>228</v>
      </c>
      <c r="G17" s="3"/>
    </row>
    <row r="20" customFormat="false" ht="15" hidden="false" customHeight="false" outlineLevel="0" collapsed="false">
      <c r="B20" s="4" t="s">
        <v>55</v>
      </c>
    </row>
    <row r="21" customFormat="false" ht="15" hidden="false" customHeight="false" outlineLevel="0" collapsed="false">
      <c r="B21" s="3" t="s">
        <v>56</v>
      </c>
    </row>
    <row r="22" customFormat="false" ht="15" hidden="false" customHeight="false" outlineLevel="0" collapsed="false">
      <c r="B22" s="3" t="s">
        <v>57</v>
      </c>
    </row>
    <row r="23" customFormat="false" ht="15" hidden="false" customHeight="false" outlineLevel="0" collapsed="false">
      <c r="B23" s="3" t="s">
        <v>58</v>
      </c>
    </row>
    <row r="24" customFormat="false" ht="15" hidden="false" customHeight="false" outlineLevel="0" collapsed="false">
      <c r="B24" s="3" t="s">
        <v>59</v>
      </c>
    </row>
    <row r="25" customFormat="false" ht="15" hidden="false" customHeight="false" outlineLevel="0" collapsed="false">
      <c r="B25" s="3" t="s">
        <v>60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3" t="s">
        <v>62</v>
      </c>
    </row>
    <row r="28" customFormat="false" ht="15" hidden="false" customHeight="false" outlineLevel="0" collapsed="false">
      <c r="B28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2026-04-27T20:25:38Z</dcterms:created>
  <dc:creator>openpyxl</dc:creator>
  <dc:description/>
  <dc:language>en-US</dc:language>
  <cp:lastModifiedBy/>
  <dcterms:modified xsi:type="dcterms:W3CDTF">2026-04-27T20:25:38Z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