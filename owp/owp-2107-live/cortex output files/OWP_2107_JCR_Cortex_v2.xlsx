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verview" sheetId="1" state="visible" r:id="rId1"/>
    <sheet xmlns:r="http://schemas.openxmlformats.org/officeDocument/2006/relationships" name="02 Job Info" sheetId="2" state="visible" r:id="rId2"/>
    <sheet xmlns:r="http://schemas.openxmlformats.org/officeDocument/2006/relationships" name="03 Contract" sheetId="3" state="visible" r:id="rId3"/>
    <sheet xmlns:r="http://schemas.openxmlformats.org/officeDocument/2006/relationships" name="04 SOV-PayApps" sheetId="4" state="visible" r:id="rId4"/>
    <sheet xmlns:r="http://schemas.openxmlformats.org/officeDocument/2006/relationships" name="05 Change Orders" sheetId="5" state="visible" r:id="rId5"/>
    <sheet xmlns:r="http://schemas.openxmlformats.org/officeDocument/2006/relationships" name="06 Cost Codes" sheetId="6" state="visible" r:id="rId6"/>
    <sheet xmlns:r="http://schemas.openxmlformats.org/officeDocument/2006/relationships" name="07 Cost Categories" sheetId="7" state="visible" r:id="rId7"/>
    <sheet xmlns:r="http://schemas.openxmlformats.org/officeDocument/2006/relationships" name="08 BVA" sheetId="8" state="visible" r:id="rId8"/>
    <sheet xmlns:r="http://schemas.openxmlformats.org/officeDocument/2006/relationships" name="09 Vendor Analysis" sheetId="9" state="visible" r:id="rId9"/>
    <sheet xmlns:r="http://schemas.openxmlformats.org/officeDocument/2006/relationships" name="10 Crew Roster" sheetId="10" state="visible" r:id="rId10"/>
    <sheet xmlns:r="http://schemas.openxmlformats.org/officeDocument/2006/relationships" name="11 Wage Tiers" sheetId="11" state="visible" r:id="rId11"/>
    <sheet xmlns:r="http://schemas.openxmlformats.org/officeDocument/2006/relationships" name="12 Productivity" sheetId="12" state="visible" r:id="rId12"/>
    <sheet xmlns:r="http://schemas.openxmlformats.org/officeDocument/2006/relationships" name="13 Benchmarks" sheetId="13" state="visible" r:id="rId13"/>
    <sheet xmlns:r="http://schemas.openxmlformats.org/officeDocument/2006/relationships" name="14 Predictive Signals" sheetId="14" state="visible" r:id="rId14"/>
    <sheet xmlns:r="http://schemas.openxmlformats.org/officeDocument/2006/relationships" name="15 Reconciliation" sheetId="15" state="visible" r:id="rId15"/>
    <sheet xmlns:r="http://schemas.openxmlformats.org/officeDocument/2006/relationships" name="16 Metric Registry" sheetId="16" state="visible" r:id="rId16"/>
    <sheet xmlns:r="http://schemas.openxmlformats.org/officeDocument/2006/relationships" name="17 Change Log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-"/>
    <numFmt numFmtId="165" formatCode="0.0%;(0.0%);-"/>
    <numFmt numFmtId="166" formatCode="#,##0.0"/>
    <numFmt numFmtId="167" formatCode="$#,##0.00"/>
  </numFmts>
  <fonts count="10">
    <font>
      <name val="Calibri"/>
      <family val="2"/>
      <color theme="1"/>
      <sz val="11"/>
      <scheme val="minor"/>
    </font>
    <font>
      <name val="Arial"/>
      <b val="1"/>
      <color rgb="002C2B29"/>
      <sz val="16"/>
    </font>
    <font>
      <name val="Arial"/>
      <i val="1"/>
      <color rgb="0070655C"/>
      <sz val="9"/>
    </font>
    <font>
      <name val="Arial"/>
      <b val="1"/>
      <color rgb="002C2B29"/>
      <sz val="12"/>
    </font>
    <font>
      <name val="Arial"/>
      <color rgb="002C2B29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2C2B29"/>
      <sz val="10"/>
    </font>
  </fonts>
  <fills count="5">
    <fill>
      <patternFill/>
    </fill>
    <fill>
      <patternFill patternType="gray125"/>
    </fill>
    <fill>
      <patternFill patternType="solid">
        <fgColor rgb="002C2B29"/>
      </patternFill>
    </fill>
    <fill>
      <patternFill patternType="solid">
        <fgColor rgb="00E8CEC3"/>
      </patternFill>
    </fill>
    <fill>
      <patternFill patternType="solid">
        <fgColor rgb="00D5DEC5"/>
      </patternFill>
    </fill>
  </fills>
  <borders count="2">
    <border>
      <left/>
      <right/>
      <top/>
      <bottom/>
      <diagonal/>
    </border>
    <border>
      <left style="thin">
        <color rgb="00BFB8AE"/>
      </left>
      <right style="thin">
        <color rgb="00BFB8AE"/>
      </right>
      <top style="thin">
        <color rgb="00BFB8AE"/>
      </top>
      <bottom style="thin">
        <color rgb="00BFB8AE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right" vertical="center"/>
    </xf>
    <xf numFmtId="0" fontId="9" fillId="0" borderId="0" pivotButton="0" quotePrefix="0" xfId="0"/>
    <xf numFmtId="0" fontId="7" fillId="2" borderId="1" applyAlignment="1" pivotButton="0" quotePrefix="0" xfId="0">
      <alignment horizontal="center" vertical="center"/>
    </xf>
    <xf numFmtId="165" fontId="8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3" fontId="5" fillId="0" borderId="0" applyAlignment="1" pivotButton="0" quotePrefix="0" xfId="0">
      <alignment horizontal="right" vertical="center"/>
    </xf>
    <xf numFmtId="167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9" fillId="3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OWP #2107 · 68th &amp; Roosevelt</t>
        </is>
      </c>
    </row>
    <row r="2">
      <c r="A2" s="2" t="inlineStr">
        <is>
          <t>Chinn Construction, LLC · 244 units · Live / in-progress</t>
        </is>
      </c>
    </row>
    <row r="4">
      <c r="A4" s="3" t="inlineStr">
        <is>
          <t>Forecast at Completion (Revised Basis)</t>
        </is>
      </c>
    </row>
    <row r="5">
      <c r="A5" s="4" t="inlineStr">
        <is>
          <t>Revised contract value</t>
        </is>
      </c>
      <c r="B5" s="5" t="n">
        <v>4889866</v>
      </c>
    </row>
    <row r="6">
      <c r="A6" s="4" t="inlineStr">
        <is>
          <t>Revised budget (expenses)</t>
        </is>
      </c>
      <c r="B6" s="5" t="n">
        <v>4012701.86</v>
      </c>
    </row>
    <row r="7">
      <c r="A7" s="4" t="inlineStr">
        <is>
          <t>Forecast net profit</t>
        </is>
      </c>
      <c r="B7" s="6">
        <f>B5-B6</f>
        <v/>
      </c>
    </row>
    <row r="8">
      <c r="A8" s="4" t="inlineStr">
        <is>
          <t>Forecast margin</t>
        </is>
      </c>
      <c r="B8" s="7">
        <f>IFERROR(B7/B5,0)</f>
        <v/>
      </c>
    </row>
    <row r="10">
      <c r="A10" s="3" t="inlineStr">
        <is>
          <t>Progress to Date</t>
        </is>
      </c>
    </row>
    <row r="11">
      <c r="A11" s="4" t="inlineStr">
        <is>
          <t>Work complete (billed)</t>
        </is>
      </c>
      <c r="B11" s="5" t="n">
        <v>4422211</v>
      </c>
    </row>
    <row r="12">
      <c r="A12" s="4" t="inlineStr">
        <is>
          <t>Retention held</t>
        </is>
      </c>
      <c r="B12" s="5" t="n">
        <v>245731</v>
      </c>
    </row>
    <row r="13">
      <c r="A13" s="4" t="inlineStr">
        <is>
          <t>Earned less retention</t>
        </is>
      </c>
      <c r="B13" s="6">
        <f>B11-B12</f>
        <v/>
      </c>
    </row>
    <row r="14">
      <c r="A14" s="4" t="inlineStr">
        <is>
          <t>Balance to finish</t>
        </is>
      </c>
      <c r="B14" s="6">
        <f>B5-B11</f>
        <v/>
      </c>
    </row>
    <row r="15">
      <c r="A15" s="4" t="inlineStr">
        <is>
          <t>Percent complete</t>
        </is>
      </c>
      <c r="B15" s="7">
        <f>IFERROR(B11/B5,0)</f>
        <v/>
      </c>
    </row>
    <row r="17">
      <c r="A17" s="3" t="inlineStr">
        <is>
          <t>Transaction Totals by Source</t>
        </is>
      </c>
    </row>
    <row r="18">
      <c r="A18" s="8" t="inlineStr">
        <is>
          <t>Source</t>
        </is>
      </c>
      <c r="B18" s="8" t="inlineStr">
        <is>
          <t>Dollars</t>
        </is>
      </c>
    </row>
    <row r="19">
      <c r="A19" s="4" t="inlineStr">
        <is>
          <t>GL</t>
        </is>
      </c>
      <c r="B19" s="9" t="n">
        <v>590227.6800000001</v>
      </c>
    </row>
    <row r="20">
      <c r="A20" s="4" t="inlineStr">
        <is>
          <t>AP</t>
        </is>
      </c>
      <c r="B20" s="9" t="n">
        <v>1103655.86</v>
      </c>
    </row>
    <row r="21">
      <c r="A21" s="4" t="inlineStr">
        <is>
          <t>PR</t>
        </is>
      </c>
      <c r="B21" s="9" t="n">
        <v>1717809.21</v>
      </c>
    </row>
    <row r="22">
      <c r="A22" s="4" t="inlineStr">
        <is>
          <t>AR</t>
        </is>
      </c>
      <c r="B22" s="9" t="n">
        <v>-4914620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>
      <c r="A1" s="1" t="inlineStr">
        <is>
          <t>Job Information</t>
        </is>
      </c>
    </row>
    <row r="3">
      <c r="A3" s="10" t="inlineStr">
        <is>
          <t>Job ID</t>
        </is>
      </c>
      <c r="B3" s="4" t="inlineStr">
        <is>
          <t>2107</t>
        </is>
      </c>
    </row>
    <row r="4">
      <c r="A4" s="10" t="inlineStr">
        <is>
          <t>Project name</t>
        </is>
      </c>
      <c r="B4" s="4" t="inlineStr">
        <is>
          <t>68th &amp; Roosevelt</t>
        </is>
      </c>
    </row>
    <row r="5">
      <c r="A5" s="10" t="inlineStr">
        <is>
          <t>General contractor</t>
        </is>
      </c>
      <c r="B5" s="4" t="inlineStr">
        <is>
          <t>Chinn Construction, LLC</t>
        </is>
      </c>
    </row>
    <row r="6">
      <c r="A6" s="10" t="inlineStr">
        <is>
          <t>Owner</t>
        </is>
      </c>
      <c r="B6" s="4" t="inlineStr">
        <is>
          <t>6716 Roosevelt Owner, LLC / High Street Northwest Development</t>
        </is>
      </c>
    </row>
    <row r="7">
      <c r="A7" s="10" t="inlineStr">
        <is>
          <t>Units</t>
        </is>
      </c>
      <c r="B7" s="4" t="n">
        <v>244</v>
      </c>
    </row>
    <row r="8">
      <c r="A8" s="10" t="inlineStr">
        <is>
          <t>Insurance</t>
        </is>
      </c>
      <c r="B8" s="4" t="inlineStr">
        <is>
          <t>Standard COI</t>
        </is>
      </c>
    </row>
    <row r="9">
      <c r="A9" s="10" t="inlineStr">
        <is>
          <t>Job start</t>
        </is>
      </c>
      <c r="B9" s="4" t="inlineStr">
        <is>
          <t>Jan 2025</t>
        </is>
      </c>
    </row>
    <row r="10">
      <c r="A10" s="10" t="inlineStr">
        <is>
          <t>Expected completion</t>
        </is>
      </c>
      <c r="B10" s="4" t="inlineStr">
        <is>
          <t>TBD (active)</t>
        </is>
      </c>
    </row>
    <row r="11">
      <c r="A11" s="10" t="inlineStr">
        <is>
          <t>Architect</t>
        </is>
      </c>
      <c r="B11" s="4" t="inlineStr">
        <is>
          <t>Weinstein A+U, LLC</t>
        </is>
      </c>
    </row>
    <row r="12">
      <c r="A12" s="10" t="inlineStr">
        <is>
          <t>MEP Engineer</t>
        </is>
      </c>
      <c r="B12" s="4" t="inlineStr">
        <is>
          <t>Robison Engineering, Inc.</t>
        </is>
      </c>
    </row>
    <row r="13">
      <c r="A13" s="10" t="inlineStr">
        <is>
          <t>Status</t>
        </is>
      </c>
      <c r="B13" s="4" t="inlineStr">
        <is>
          <t>ACTIVE · in-progress</t>
        </is>
      </c>
    </row>
    <row r="14">
      <c r="A14" s="10" t="inlineStr">
        <is>
          <t>JDR report date</t>
        </is>
      </c>
      <c r="B14" s="4" t="inlineStr">
        <is>
          <t>Apr 3, 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Contract Summary</t>
        </is>
      </c>
    </row>
    <row r="3">
      <c r="A3" s="11" t="inlineStr">
        <is>
          <t>Item</t>
        </is>
      </c>
      <c r="B3" s="11" t="inlineStr">
        <is>
          <t>Original</t>
        </is>
      </c>
      <c r="C3" s="11" t="inlineStr">
        <is>
          <t>Revised</t>
        </is>
      </c>
      <c r="D3" s="11" t="inlineStr">
        <is>
          <t>Delta</t>
        </is>
      </c>
    </row>
    <row r="4">
      <c r="A4" s="4" t="inlineStr">
        <is>
          <t>Base construction contract</t>
        </is>
      </c>
      <c r="B4" s="5" t="n">
        <v>4671538</v>
      </c>
      <c r="C4" s="5" t="n">
        <v>4889866</v>
      </c>
      <c r="D4" s="9">
        <f>C4-B4</f>
        <v/>
      </c>
    </row>
    <row r="5">
      <c r="A5" s="4" t="inlineStr">
        <is>
          <t>Executed change orders (net)</t>
        </is>
      </c>
      <c r="B5" s="5" t="n">
        <v>0</v>
      </c>
      <c r="C5" s="5" t="n">
        <v>218328</v>
      </c>
      <c r="D5" s="9">
        <f>C5-B5</f>
        <v/>
      </c>
    </row>
    <row r="6">
      <c r="A6" s="10" t="inlineStr">
        <is>
          <t>Total contract value</t>
        </is>
      </c>
      <c r="B6" s="6">
        <f>SUM(B4:B5)</f>
        <v/>
      </c>
      <c r="C6" s="6">
        <f>SUM(C4:C5)</f>
        <v/>
      </c>
      <c r="D6" s="6">
        <f>SUM(D4:D5)</f>
        <v/>
      </c>
    </row>
    <row r="9">
      <c r="A9" s="3" t="inlineStr">
        <is>
          <t>Executed Change Orders</t>
        </is>
      </c>
    </row>
    <row r="10">
      <c r="A10" s="11" t="inlineStr">
        <is>
          <t>CO #</t>
        </is>
      </c>
      <c r="B10" s="11" t="inlineStr">
        <is>
          <t>Description</t>
        </is>
      </c>
      <c r="C10" s="11" t="inlineStr">
        <is>
          <t>Amount</t>
        </is>
      </c>
    </row>
    <row r="11">
      <c r="A11" s="4" t="n">
        <v>1</v>
      </c>
      <c r="B11" s="4" t="inlineStr">
        <is>
          <t>COR#08 Plumbing Permit Fees</t>
        </is>
      </c>
      <c r="C11" s="5" t="n">
        <v>15729</v>
      </c>
    </row>
    <row r="12">
      <c r="A12" s="4" t="n">
        <v>2</v>
      </c>
      <c r="B12" s="4" t="inlineStr">
        <is>
          <t>COR#01 RFI-012&amp;14 Underground Basin Changes</t>
        </is>
      </c>
      <c r="C12" s="5" t="n">
        <v>-28000</v>
      </c>
    </row>
    <row r="13">
      <c r="A13" s="4" t="n">
        <v>3</v>
      </c>
      <c r="B13" s="4" t="inlineStr">
        <is>
          <t>COR#03,05,06,09,11 — Sprinkler Standpipe, Hub Drains, Canopy, Re-Review, Floor Drain Credit</t>
        </is>
      </c>
      <c r="C13" s="5" t="n">
        <v>16279</v>
      </c>
    </row>
    <row r="14">
      <c r="A14" s="4" t="n">
        <v>4</v>
      </c>
      <c r="B14" s="4" t="inlineStr">
        <is>
          <t>COR#04r1 RFI 36 Updated Plumbing Equipment</t>
        </is>
      </c>
      <c r="C14" s="5" t="n">
        <v>-3213</v>
      </c>
    </row>
    <row r="15">
      <c r="A15" s="4" t="n">
        <v>5</v>
      </c>
      <c r="B15" s="4" t="inlineStr">
        <is>
          <t>Add Dog Wash</t>
        </is>
      </c>
      <c r="C15" s="5" t="n">
        <v>7800</v>
      </c>
    </row>
    <row r="16">
      <c r="A16" s="4" t="n">
        <v>6</v>
      </c>
      <c r="B16" s="4" t="inlineStr">
        <is>
          <t>COR#12 Bond Cost</t>
        </is>
      </c>
      <c r="C16" s="5" t="n">
        <v>52500</v>
      </c>
    </row>
    <row r="17">
      <c r="A17" s="4" t="n">
        <v>7</v>
      </c>
      <c r="B17" s="4" t="inlineStr">
        <is>
          <t>COR#13 ASI 006 Credits for Deleted Items</t>
        </is>
      </c>
      <c r="C17" s="5" t="n">
        <v>-7760</v>
      </c>
    </row>
    <row r="18">
      <c r="A18" s="4" t="n">
        <v>8</v>
      </c>
      <c r="B18" s="4" t="inlineStr">
        <is>
          <t>COR#10 ASI-004 Revised Plumbing Plan Costs</t>
        </is>
      </c>
      <c r="C18" s="5" t="n">
        <v>37005</v>
      </c>
    </row>
    <row r="19">
      <c r="A19" s="4" t="n">
        <v>9</v>
      </c>
      <c r="B19" s="4" t="inlineStr">
        <is>
          <t>COR#14,13r1 ASI 007 &amp; ASI 006 Hosebibs/Fixtures</t>
        </is>
      </c>
      <c r="C19" s="5" t="n">
        <v>33293</v>
      </c>
    </row>
    <row r="20">
      <c r="A20" s="4" t="n">
        <v>10</v>
      </c>
      <c r="B20" s="4" t="inlineStr">
        <is>
          <t>COR#18,17 RFI 143 Added Condensates &amp; RFI 156 X01 Shut Off</t>
        </is>
      </c>
      <c r="C20" s="5" t="n">
        <v>5793</v>
      </c>
    </row>
    <row r="21">
      <c r="A21" s="4" t="n">
        <v>11</v>
      </c>
      <c r="B21" s="4" t="inlineStr">
        <is>
          <t>COR#15 ASI-008 Vent Rerouting</t>
        </is>
      </c>
      <c r="C21" s="5" t="n">
        <v>16683</v>
      </c>
    </row>
    <row r="22">
      <c r="A22" s="4" t="n">
        <v>12</v>
      </c>
      <c r="B22" s="4" t="inlineStr">
        <is>
          <t>COR#20,16 RFI 198 Moving Water Main &amp; RFI 137</t>
        </is>
      </c>
      <c r="C22" s="5" t="n">
        <v>1231</v>
      </c>
    </row>
    <row r="23">
      <c r="A23" s="4" t="n">
        <v>13</v>
      </c>
      <c r="B23" s="4" t="inlineStr">
        <is>
          <t>COR#22 ASI-011 Changes</t>
        </is>
      </c>
      <c r="C23" s="5" t="n">
        <v>35580</v>
      </c>
    </row>
    <row r="24">
      <c r="A24" s="4" t="n">
        <v>14</v>
      </c>
      <c r="B24" s="4" t="inlineStr">
        <is>
          <t>COR#29,28,27,26 Condensate/Rework/AW/Shower Stack</t>
        </is>
      </c>
      <c r="C24" s="5" t="n">
        <v>4086</v>
      </c>
    </row>
    <row r="25">
      <c r="A25" s="4" t="n">
        <v>15</v>
      </c>
      <c r="B25" s="4" t="inlineStr">
        <is>
          <t>COR#25 Move Rain Leader</t>
        </is>
      </c>
      <c r="C25" s="5" t="n">
        <v>5370</v>
      </c>
    </row>
    <row r="26">
      <c r="A26" s="4" t="n">
        <v>16</v>
      </c>
      <c r="B26" s="4" t="inlineStr">
        <is>
          <t>COR#32,23,19r1 Lower Water Mains/Rerouting/Roof Drains</t>
        </is>
      </c>
      <c r="C26" s="5" t="n">
        <v>4054</v>
      </c>
    </row>
    <row r="27">
      <c r="A27" s="4" t="n">
        <v>17</v>
      </c>
      <c r="B27" s="4" t="inlineStr">
        <is>
          <t>COR#31 RFI 211 Rework</t>
        </is>
      </c>
      <c r="C27" s="5" t="n">
        <v>3822</v>
      </c>
    </row>
    <row r="28">
      <c r="A28" s="4" t="n">
        <v>18</v>
      </c>
      <c r="B28" s="4" t="inlineStr">
        <is>
          <t>COR#33,21r1 ASI 13 Move Sink &amp; Level 1 Redesign RFI-241</t>
        </is>
      </c>
      <c r="C28" s="5" t="n">
        <v>10334</v>
      </c>
    </row>
    <row r="29">
      <c r="A29" s="4" t="n">
        <v>19</v>
      </c>
      <c r="B29" s="4" t="inlineStr">
        <is>
          <t>COR#34r1 Plan Review Fee</t>
        </is>
      </c>
      <c r="C29" s="5" t="n">
        <v>628</v>
      </c>
    </row>
    <row r="30">
      <c r="A30" s="4" t="n">
        <v>20</v>
      </c>
      <c r="B30" s="4" t="inlineStr">
        <is>
          <t>COR#36,35 ASI 15 Add Coffee Maker &amp; RFI #258 Repipe Pump Line</t>
        </is>
      </c>
      <c r="C30" s="5" t="n">
        <v>7114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Schedule of Values / Pay Application History</t>
        </is>
      </c>
    </row>
    <row r="3">
      <c r="A3" s="11" t="inlineStr">
        <is>
          <t>Pay App</t>
        </is>
      </c>
      <c r="B3" s="11" t="inlineStr">
        <is>
          <t>Period End</t>
        </is>
      </c>
      <c r="C3" s="11" t="inlineStr">
        <is>
          <t>This Period</t>
        </is>
      </c>
      <c r="D3" s="11" t="inlineStr">
        <is>
          <t>Completed to Date</t>
        </is>
      </c>
      <c r="E3" s="11" t="inlineStr">
        <is>
          <t>Retention Held</t>
        </is>
      </c>
      <c r="F3" s="11" t="inlineStr">
        <is>
          <t>Previous Billed</t>
        </is>
      </c>
      <c r="G3" s="11" t="inlineStr">
        <is>
          <t>Current Balance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50" customWidth="1" min="3" max="3"/>
    <col width="18" customWidth="1" min="4" max="4"/>
    <col width="12" customWidth="1" min="5" max="5"/>
  </cols>
  <sheetData>
    <row r="1">
      <c r="A1" s="1" t="inlineStr">
        <is>
          <t>Change Order Log</t>
        </is>
      </c>
    </row>
    <row r="3">
      <c r="A3" s="11" t="inlineStr">
        <is>
          <t>#</t>
        </is>
      </c>
      <c r="B3" s="11" t="inlineStr">
        <is>
          <t>Type</t>
        </is>
      </c>
      <c r="C3" s="11" t="inlineStr">
        <is>
          <t>Description</t>
        </is>
      </c>
      <c r="D3" s="11" t="inlineStr">
        <is>
          <t>Amount</t>
        </is>
      </c>
      <c r="E3" s="11" t="inlineStr">
        <is>
          <t>Status</t>
        </is>
      </c>
    </row>
    <row r="4">
      <c r="A4" s="4" t="inlineStr">
        <is>
          <t>date</t>
        </is>
      </c>
      <c r="B4" s="4" t="inlineStr">
        <is>
          <t>type</t>
        </is>
      </c>
      <c r="C4" s="4" t="inlineStr">
        <is>
          <t>ref</t>
        </is>
      </c>
      <c r="D4" s="5" t="inlineStr">
        <is>
          <t>desc</t>
        </is>
      </c>
      <c r="E4" s="4" t="inlineStr">
        <is>
          <t>amount</t>
        </is>
      </c>
    </row>
    <row r="5">
      <c r="A5" s="4" t="inlineStr">
        <is>
          <t>date</t>
        </is>
      </c>
      <c r="B5" s="4" t="inlineStr">
        <is>
          <t>type</t>
        </is>
      </c>
      <c r="C5" s="4" t="inlineStr">
        <is>
          <t>ref</t>
        </is>
      </c>
      <c r="D5" s="5" t="inlineStr">
        <is>
          <t>desc</t>
        </is>
      </c>
      <c r="E5" s="4" t="inlineStr">
        <is>
          <t>amount</t>
        </is>
      </c>
    </row>
    <row r="6">
      <c r="A6" s="4" t="inlineStr">
        <is>
          <t>date</t>
        </is>
      </c>
      <c r="B6" s="4" t="inlineStr">
        <is>
          <t>type</t>
        </is>
      </c>
      <c r="C6" s="4" t="inlineStr">
        <is>
          <t>ref</t>
        </is>
      </c>
      <c r="D6" s="5" t="inlineStr">
        <is>
          <t>desc</t>
        </is>
      </c>
      <c r="E6" s="4" t="inlineStr">
        <is>
          <t>amount</t>
        </is>
      </c>
    </row>
    <row r="7">
      <c r="A7" s="4" t="inlineStr">
        <is>
          <t>date</t>
        </is>
      </c>
      <c r="B7" s="4" t="inlineStr">
        <is>
          <t>type</t>
        </is>
      </c>
      <c r="C7" s="4" t="inlineStr">
        <is>
          <t>ref</t>
        </is>
      </c>
      <c r="D7" s="5" t="inlineStr">
        <is>
          <t>desc</t>
        </is>
      </c>
      <c r="E7" s="4" t="inlineStr">
        <is>
          <t>amount</t>
        </is>
      </c>
    </row>
    <row r="8">
      <c r="A8" s="4" t="inlineStr">
        <is>
          <t>date</t>
        </is>
      </c>
      <c r="B8" s="4" t="inlineStr">
        <is>
          <t>type</t>
        </is>
      </c>
      <c r="C8" s="4" t="inlineStr">
        <is>
          <t>ref</t>
        </is>
      </c>
      <c r="D8" s="5" t="inlineStr">
        <is>
          <t>desc</t>
        </is>
      </c>
      <c r="E8" s="4" t="inlineStr">
        <is>
          <t>amount</t>
        </is>
      </c>
    </row>
    <row r="9">
      <c r="A9" s="4" t="inlineStr">
        <is>
          <t>date</t>
        </is>
      </c>
      <c r="B9" s="4" t="inlineStr">
        <is>
          <t>type</t>
        </is>
      </c>
      <c r="C9" s="4" t="inlineStr">
        <is>
          <t>ref</t>
        </is>
      </c>
      <c r="D9" s="5" t="inlineStr">
        <is>
          <t>desc</t>
        </is>
      </c>
      <c r="E9" s="4" t="inlineStr">
        <is>
          <t>amount</t>
        </is>
      </c>
    </row>
    <row r="10">
      <c r="A10" s="4" t="inlineStr">
        <is>
          <t>date</t>
        </is>
      </c>
      <c r="B10" s="4" t="inlineStr">
        <is>
          <t>type</t>
        </is>
      </c>
      <c r="C10" s="4" t="inlineStr">
        <is>
          <t>ref</t>
        </is>
      </c>
      <c r="D10" s="5" t="inlineStr">
        <is>
          <t>desc</t>
        </is>
      </c>
      <c r="E10" s="4" t="inlineStr">
        <is>
          <t>amount</t>
        </is>
      </c>
    </row>
    <row r="11">
      <c r="A11" s="4" t="inlineStr">
        <is>
          <t>date</t>
        </is>
      </c>
      <c r="B11" s="4" t="inlineStr">
        <is>
          <t>type</t>
        </is>
      </c>
      <c r="C11" s="4" t="inlineStr">
        <is>
          <t>ref</t>
        </is>
      </c>
      <c r="D11" s="5" t="inlineStr">
        <is>
          <t>desc</t>
        </is>
      </c>
      <c r="E11" s="4" t="inlineStr">
        <is>
          <t>amount</t>
        </is>
      </c>
    </row>
    <row r="12">
      <c r="A12" s="4" t="inlineStr">
        <is>
          <t>date</t>
        </is>
      </c>
      <c r="B12" s="4" t="inlineStr">
        <is>
          <t>type</t>
        </is>
      </c>
      <c r="C12" s="4" t="inlineStr">
        <is>
          <t>ref</t>
        </is>
      </c>
      <c r="D12" s="5" t="inlineStr">
        <is>
          <t>desc</t>
        </is>
      </c>
      <c r="E12" s="4" t="inlineStr">
        <is>
          <t>amount</t>
        </is>
      </c>
    </row>
    <row r="13">
      <c r="A13" s="4" t="inlineStr">
        <is>
          <t>date</t>
        </is>
      </c>
      <c r="B13" s="4" t="inlineStr">
        <is>
          <t>type</t>
        </is>
      </c>
      <c r="C13" s="4" t="inlineStr">
        <is>
          <t>ref</t>
        </is>
      </c>
      <c r="D13" s="5" t="inlineStr">
        <is>
          <t>desc</t>
        </is>
      </c>
      <c r="E13" s="4" t="inlineStr">
        <is>
          <t>amount</t>
        </is>
      </c>
    </row>
    <row r="14">
      <c r="A14" s="4" t="inlineStr">
        <is>
          <t>date</t>
        </is>
      </c>
      <c r="B14" s="4" t="inlineStr">
        <is>
          <t>type</t>
        </is>
      </c>
      <c r="C14" s="4" t="inlineStr">
        <is>
          <t>ref</t>
        </is>
      </c>
      <c r="D14" s="5" t="inlineStr">
        <is>
          <t>desc</t>
        </is>
      </c>
      <c r="E14" s="4" t="inlineStr">
        <is>
          <t>amount</t>
        </is>
      </c>
    </row>
    <row r="15">
      <c r="A15" s="4" t="inlineStr">
        <is>
          <t>date</t>
        </is>
      </c>
      <c r="B15" s="4" t="inlineStr">
        <is>
          <t>type</t>
        </is>
      </c>
      <c r="C15" s="4" t="inlineStr">
        <is>
          <t>ref</t>
        </is>
      </c>
      <c r="D15" s="5" t="inlineStr">
        <is>
          <t>desc</t>
        </is>
      </c>
      <c r="E15" s="4" t="inlineStr">
        <is>
          <t>amount</t>
        </is>
      </c>
    </row>
    <row r="16">
      <c r="A16" s="4" t="inlineStr">
        <is>
          <t>date</t>
        </is>
      </c>
      <c r="B16" s="4" t="inlineStr">
        <is>
          <t>type</t>
        </is>
      </c>
      <c r="C16" s="4" t="inlineStr">
        <is>
          <t>ref</t>
        </is>
      </c>
      <c r="D16" s="5" t="inlineStr">
        <is>
          <t>desc</t>
        </is>
      </c>
      <c r="E16" s="4" t="inlineStr">
        <is>
          <t>amount</t>
        </is>
      </c>
    </row>
    <row r="17">
      <c r="A17" s="4" t="inlineStr">
        <is>
          <t>date</t>
        </is>
      </c>
      <c r="B17" s="4" t="inlineStr">
        <is>
          <t>type</t>
        </is>
      </c>
      <c r="C17" s="4" t="inlineStr">
        <is>
          <t>ref</t>
        </is>
      </c>
      <c r="D17" s="5" t="inlineStr">
        <is>
          <t>desc</t>
        </is>
      </c>
      <c r="E17" s="4" t="inlineStr">
        <is>
          <t>amount</t>
        </is>
      </c>
    </row>
    <row r="18">
      <c r="A18" s="4" t="inlineStr">
        <is>
          <t>date</t>
        </is>
      </c>
      <c r="B18" s="4" t="inlineStr">
        <is>
          <t>type</t>
        </is>
      </c>
      <c r="C18" s="4" t="inlineStr">
        <is>
          <t>ref</t>
        </is>
      </c>
      <c r="D18" s="5" t="inlineStr">
        <is>
          <t>desc</t>
        </is>
      </c>
      <c r="E18" s="4" t="inlineStr">
        <is>
          <t>amount</t>
        </is>
      </c>
    </row>
    <row r="19">
      <c r="A19" s="4" t="inlineStr">
        <is>
          <t>date</t>
        </is>
      </c>
      <c r="B19" s="4" t="inlineStr">
        <is>
          <t>type</t>
        </is>
      </c>
      <c r="C19" s="4" t="inlineStr">
        <is>
          <t>ref</t>
        </is>
      </c>
      <c r="D19" s="5" t="inlineStr">
        <is>
          <t>desc</t>
        </is>
      </c>
      <c r="E19" s="4" t="inlineStr">
        <is>
          <t>amount</t>
        </is>
      </c>
    </row>
    <row r="20">
      <c r="A20" s="4" t="inlineStr">
        <is>
          <t>date</t>
        </is>
      </c>
      <c r="B20" s="4" t="inlineStr">
        <is>
          <t>type</t>
        </is>
      </c>
      <c r="C20" s="4" t="inlineStr">
        <is>
          <t>ref</t>
        </is>
      </c>
      <c r="D20" s="5" t="inlineStr">
        <is>
          <t>desc</t>
        </is>
      </c>
      <c r="E20" s="4" t="inlineStr">
        <is>
          <t>amount</t>
        </is>
      </c>
    </row>
    <row r="21">
      <c r="A21" s="4" t="inlineStr">
        <is>
          <t>date</t>
        </is>
      </c>
      <c r="B21" s="4" t="inlineStr">
        <is>
          <t>type</t>
        </is>
      </c>
      <c r="C21" s="4" t="inlineStr">
        <is>
          <t>ref</t>
        </is>
      </c>
      <c r="D21" s="5" t="inlineStr">
        <is>
          <t>desc</t>
        </is>
      </c>
      <c r="E21" s="4" t="inlineStr">
        <is>
          <t>amount</t>
        </is>
      </c>
    </row>
    <row r="22">
      <c r="A22" s="4" t="inlineStr">
        <is>
          <t>date</t>
        </is>
      </c>
      <c r="B22" s="4" t="inlineStr">
        <is>
          <t>type</t>
        </is>
      </c>
      <c r="C22" s="4" t="inlineStr">
        <is>
          <t>ref</t>
        </is>
      </c>
      <c r="D22" s="5" t="inlineStr">
        <is>
          <t>desc</t>
        </is>
      </c>
      <c r="E22" s="4" t="inlineStr">
        <is>
          <t>amount</t>
        </is>
      </c>
    </row>
    <row r="23">
      <c r="A23" s="4" t="inlineStr">
        <is>
          <t>date</t>
        </is>
      </c>
      <c r="B23" s="4" t="inlineStr">
        <is>
          <t>type</t>
        </is>
      </c>
      <c r="C23" s="4" t="inlineStr">
        <is>
          <t>ref</t>
        </is>
      </c>
      <c r="D23" s="5" t="inlineStr">
        <is>
          <t>desc</t>
        </is>
      </c>
      <c r="E23" s="4" t="inlineStr">
        <is>
          <t>amount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Cost Code Detail (Revised Basis)</t>
        </is>
      </c>
    </row>
    <row r="3">
      <c r="A3" s="11" t="inlineStr">
        <is>
          <t>Code</t>
        </is>
      </c>
      <c r="B3" s="11" t="inlineStr">
        <is>
          <t>Description</t>
        </is>
      </c>
      <c r="C3" s="11" t="inlineStr">
        <is>
          <t>Original</t>
        </is>
      </c>
      <c r="D3" s="11" t="inlineStr">
        <is>
          <t>Revised</t>
        </is>
      </c>
      <c r="E3" s="11" t="inlineStr">
        <is>
          <t>Actual</t>
        </is>
      </c>
      <c r="F3" s="11" t="inlineStr">
        <is>
          <t>Variance</t>
        </is>
      </c>
      <c r="G3" s="11" t="inlineStr">
        <is>
          <t>Net Due</t>
        </is>
      </c>
      <c r="H3" s="11" t="inlineStr">
        <is>
          <t>% Complete</t>
        </is>
      </c>
    </row>
    <row r="4">
      <c r="A4" s="4" t="inlineStr">
        <is>
          <t>011</t>
        </is>
      </c>
      <c r="B4" s="4" t="inlineStr">
        <is>
          <t>DS &amp; RD Labor</t>
        </is>
      </c>
      <c r="C4" s="5" t="n">
        <v>0</v>
      </c>
      <c r="D4" s="5" t="n">
        <v>0</v>
      </c>
      <c r="E4" s="5" t="n">
        <v>0</v>
      </c>
      <c r="F4" s="9">
        <f>D4-E4</f>
        <v/>
      </c>
      <c r="G4" s="5" t="n">
        <v>0</v>
      </c>
      <c r="H4" s="12">
        <f>IFERROR(E4/D4,0)</f>
        <v/>
      </c>
    </row>
    <row r="5">
      <c r="A5" s="4" t="inlineStr">
        <is>
          <t>100</t>
        </is>
      </c>
      <c r="B5" s="4" t="inlineStr">
        <is>
          <t>Supervision</t>
        </is>
      </c>
      <c r="C5" s="5" t="n">
        <v>12200</v>
      </c>
      <c r="D5" s="5" t="n">
        <v>12700</v>
      </c>
      <c r="E5" s="5" t="n">
        <v>9357</v>
      </c>
      <c r="F5" s="9">
        <f>D5-E5</f>
        <v/>
      </c>
      <c r="G5" s="5" t="n">
        <v>0</v>
      </c>
      <c r="H5" s="12">
        <f>IFERROR(E5/D5,0)</f>
        <v/>
      </c>
    </row>
    <row r="6">
      <c r="A6" s="4" t="inlineStr">
        <is>
          <t>101</t>
        </is>
      </c>
      <c r="B6" s="4" t="inlineStr">
        <is>
          <t>Takeoff &amp; Purchase Labor</t>
        </is>
      </c>
      <c r="C6" s="5" t="n">
        <v>40260</v>
      </c>
      <c r="D6" s="5" t="n">
        <v>45160</v>
      </c>
      <c r="E6" s="5" t="n">
        <v>48115.5</v>
      </c>
      <c r="F6" s="9">
        <f>D6-E6</f>
        <v/>
      </c>
      <c r="G6" s="5" t="n">
        <v>0</v>
      </c>
      <c r="H6" s="12">
        <f>IFERROR(E6/D6,0)</f>
        <v/>
      </c>
    </row>
    <row r="7">
      <c r="A7" s="4" t="inlineStr">
        <is>
          <t>110</t>
        </is>
      </c>
      <c r="B7" s="4" t="inlineStr">
        <is>
          <t>Underground Labor</t>
        </is>
      </c>
      <c r="C7" s="5" t="n">
        <v>28400</v>
      </c>
      <c r="D7" s="5" t="n">
        <v>30400</v>
      </c>
      <c r="E7" s="5" t="n">
        <v>31475</v>
      </c>
      <c r="F7" s="9">
        <f>D7-E7</f>
        <v/>
      </c>
      <c r="G7" s="5" t="n">
        <v>0</v>
      </c>
      <c r="H7" s="12">
        <f>IFERROR(E7/D7,0)</f>
        <v/>
      </c>
    </row>
    <row r="8">
      <c r="A8" s="4" t="inlineStr">
        <is>
          <t>111</t>
        </is>
      </c>
      <c r="B8" s="4" t="inlineStr">
        <is>
          <t>Garage Labor</t>
        </is>
      </c>
      <c r="C8" s="5" t="n">
        <v>74554</v>
      </c>
      <c r="D8" s="5" t="n">
        <v>90954</v>
      </c>
      <c r="E8" s="5" t="n">
        <v>153773.75</v>
      </c>
      <c r="F8" s="9">
        <f>D8-E8</f>
        <v/>
      </c>
      <c r="G8" s="5" t="n">
        <v>0</v>
      </c>
      <c r="H8" s="12">
        <f>IFERROR(E8/D8,0)</f>
        <v/>
      </c>
    </row>
    <row r="9">
      <c r="A9" s="4" t="inlineStr">
        <is>
          <t>112</t>
        </is>
      </c>
      <c r="B9" s="4" t="inlineStr">
        <is>
          <t>Canout Labor</t>
        </is>
      </c>
      <c r="C9" s="5" t="n">
        <v>59715</v>
      </c>
      <c r="D9" s="5" t="n">
        <v>59715</v>
      </c>
      <c r="E9" s="5" t="n">
        <v>66406.5</v>
      </c>
      <c r="F9" s="9">
        <f>D9-E9</f>
        <v/>
      </c>
      <c r="G9" s="5" t="n">
        <v>0</v>
      </c>
      <c r="H9" s="12">
        <f>IFERROR(E9/D9,0)</f>
        <v/>
      </c>
    </row>
    <row r="10">
      <c r="A10" s="4" t="inlineStr">
        <is>
          <t>120</t>
        </is>
      </c>
      <c r="B10" s="4" t="inlineStr">
        <is>
          <t>Roughin Labor</t>
        </is>
      </c>
      <c r="C10" s="5" t="n">
        <v>542930</v>
      </c>
      <c r="D10" s="5" t="n">
        <v>565930</v>
      </c>
      <c r="E10" s="5" t="n">
        <v>646310.26</v>
      </c>
      <c r="F10" s="9">
        <f>D10-E10</f>
        <v/>
      </c>
      <c r="G10" s="5" t="n">
        <v>0</v>
      </c>
      <c r="H10" s="12">
        <f>IFERROR(E10/D10,0)</f>
        <v/>
      </c>
    </row>
    <row r="11">
      <c r="A11" s="4" t="inlineStr">
        <is>
          <t>130</t>
        </is>
      </c>
      <c r="B11" s="4" t="inlineStr">
        <is>
          <t>Finish Labor</t>
        </is>
      </c>
      <c r="C11" s="5" t="n">
        <v>135784</v>
      </c>
      <c r="D11" s="5" t="n">
        <v>135784</v>
      </c>
      <c r="E11" s="5" t="n">
        <v>65</v>
      </c>
      <c r="F11" s="9">
        <f>D11-E11</f>
        <v/>
      </c>
      <c r="G11" s="5" t="n">
        <v>0</v>
      </c>
      <c r="H11" s="12">
        <f>IFERROR(E11/D11,0)</f>
        <v/>
      </c>
    </row>
    <row r="12">
      <c r="A12" s="4" t="inlineStr">
        <is>
          <t>140</t>
        </is>
      </c>
      <c r="B12" s="4" t="inlineStr">
        <is>
          <t>Gas Labor</t>
        </is>
      </c>
      <c r="C12" s="5" t="n">
        <v>5400</v>
      </c>
      <c r="D12" s="5" t="n">
        <v>11400</v>
      </c>
      <c r="E12" s="5" t="n">
        <v>7647.75</v>
      </c>
      <c r="F12" s="9">
        <f>D12-E12</f>
        <v/>
      </c>
      <c r="G12" s="5" t="n">
        <v>0</v>
      </c>
      <c r="H12" s="12">
        <f>IFERROR(E12/D12,0)</f>
        <v/>
      </c>
    </row>
    <row r="13">
      <c r="A13" s="4" t="inlineStr">
        <is>
          <t>141</t>
        </is>
      </c>
      <c r="B13" s="4" t="inlineStr">
        <is>
          <t>Water Main/Insulation Lab</t>
        </is>
      </c>
      <c r="C13" s="5" t="n">
        <v>172570</v>
      </c>
      <c r="D13" s="5" t="n">
        <v>184270</v>
      </c>
      <c r="E13" s="5" t="n">
        <v>108097.75</v>
      </c>
      <c r="F13" s="9">
        <f>D13-E13</f>
        <v/>
      </c>
      <c r="G13" s="5" t="n">
        <v>0</v>
      </c>
      <c r="H13" s="12">
        <f>IFERROR(E13/D13,0)</f>
        <v/>
      </c>
    </row>
    <row r="14">
      <c r="A14" s="4" t="inlineStr">
        <is>
          <t>142</t>
        </is>
      </c>
      <c r="B14" s="4" t="inlineStr">
        <is>
          <t>Mech Room Labor</t>
        </is>
      </c>
      <c r="C14" s="5" t="n">
        <v>122400</v>
      </c>
      <c r="D14" s="5" t="n">
        <v>122250</v>
      </c>
      <c r="E14" s="5" t="n">
        <v>28970</v>
      </c>
      <c r="F14" s="9">
        <f>D14-E14</f>
        <v/>
      </c>
      <c r="G14" s="5" t="n">
        <v>0</v>
      </c>
      <c r="H14" s="12">
        <f>IFERROR(E14/D14,0)</f>
        <v/>
      </c>
    </row>
    <row r="15">
      <c r="A15" s="4" t="inlineStr">
        <is>
          <t>210</t>
        </is>
      </c>
      <c r="B15" s="4" t="inlineStr">
        <is>
          <t>Underground Material</t>
        </is>
      </c>
      <c r="C15" s="5" t="n">
        <v>28700</v>
      </c>
      <c r="D15" s="5" t="n">
        <v>29000</v>
      </c>
      <c r="E15" s="5" t="n">
        <v>13857.07</v>
      </c>
      <c r="F15" s="9">
        <f>D15-E15</f>
        <v/>
      </c>
      <c r="G15" s="5" t="n">
        <v>0</v>
      </c>
      <c r="H15" s="12">
        <f>IFERROR(E15/D15,0)</f>
        <v/>
      </c>
    </row>
    <row r="16">
      <c r="A16" s="4" t="inlineStr">
        <is>
          <t>211</t>
        </is>
      </c>
      <c r="B16" s="4" t="inlineStr">
        <is>
          <t>Garage Material</t>
        </is>
      </c>
      <c r="C16" s="5" t="n">
        <v>68005</v>
      </c>
      <c r="D16" s="5" t="n">
        <v>78105</v>
      </c>
      <c r="E16" s="5" t="n">
        <v>54729.07</v>
      </c>
      <c r="F16" s="9">
        <f>D16-E16</f>
        <v/>
      </c>
      <c r="G16" s="5" t="n">
        <v>0</v>
      </c>
      <c r="H16" s="12">
        <f>IFERROR(E16/D16,0)</f>
        <v/>
      </c>
    </row>
    <row r="17">
      <c r="A17" s="4" t="inlineStr">
        <is>
          <t>212</t>
        </is>
      </c>
      <c r="B17" s="4" t="inlineStr">
        <is>
          <t>Canout Material</t>
        </is>
      </c>
      <c r="C17" s="5" t="n">
        <v>51753</v>
      </c>
      <c r="D17" s="5" t="n">
        <v>51753</v>
      </c>
      <c r="E17" s="5" t="n">
        <v>47833.93</v>
      </c>
      <c r="F17" s="9">
        <f>D17-E17</f>
        <v/>
      </c>
      <c r="G17" s="5" t="n">
        <v>0</v>
      </c>
      <c r="H17" s="12">
        <f>IFERROR(E17/D17,0)</f>
        <v/>
      </c>
    </row>
    <row r="18">
      <c r="A18" s="4" t="inlineStr">
        <is>
          <t>220</t>
        </is>
      </c>
      <c r="B18" s="4" t="inlineStr">
        <is>
          <t>Roughin Material</t>
        </is>
      </c>
      <c r="C18" s="5" t="n">
        <v>381860</v>
      </c>
      <c r="D18" s="5" t="n">
        <v>392310</v>
      </c>
      <c r="E18" s="5" t="n">
        <v>209687.42</v>
      </c>
      <c r="F18" s="9">
        <f>D18-E18</f>
        <v/>
      </c>
      <c r="G18" s="5" t="n">
        <v>7489.13</v>
      </c>
      <c r="H18" s="12">
        <f>IFERROR(E18/D18,0)</f>
        <v/>
      </c>
    </row>
    <row r="19">
      <c r="A19" s="4" t="inlineStr">
        <is>
          <t>230</t>
        </is>
      </c>
      <c r="B19" s="4" t="inlineStr">
        <is>
          <t>Finish Material</t>
        </is>
      </c>
      <c r="C19" s="5" t="n">
        <v>1068397</v>
      </c>
      <c r="D19" s="5" t="n">
        <v>1055804</v>
      </c>
      <c r="E19" s="5" t="n">
        <v>546778.65</v>
      </c>
      <c r="F19" s="9">
        <f>D19-E19</f>
        <v/>
      </c>
      <c r="G19" s="5" t="n">
        <v>11744.38</v>
      </c>
      <c r="H19" s="12">
        <f>IFERROR(E19/D19,0)</f>
        <v/>
      </c>
    </row>
    <row r="20">
      <c r="A20" s="4" t="inlineStr">
        <is>
          <t>240</t>
        </is>
      </c>
      <c r="B20" s="4" t="inlineStr">
        <is>
          <t>Gas Material</t>
        </is>
      </c>
      <c r="C20" s="5" t="n">
        <v>5400</v>
      </c>
      <c r="D20" s="5" t="n">
        <v>8500</v>
      </c>
      <c r="E20" s="5" t="n">
        <v>7204.51</v>
      </c>
      <c r="F20" s="9">
        <f>D20-E20</f>
        <v/>
      </c>
      <c r="G20" s="5" t="n">
        <v>0</v>
      </c>
      <c r="H20" s="12">
        <f>IFERROR(E20/D20,0)</f>
        <v/>
      </c>
    </row>
    <row r="21">
      <c r="A21" s="4" t="inlineStr">
        <is>
          <t>241</t>
        </is>
      </c>
      <c r="B21" s="4" t="inlineStr">
        <is>
          <t>Water Main/Insulation Mat</t>
        </is>
      </c>
      <c r="C21" s="5" t="n">
        <v>180900</v>
      </c>
      <c r="D21" s="5" t="n">
        <v>189150</v>
      </c>
      <c r="E21" s="5" t="n">
        <v>137969.26</v>
      </c>
      <c r="F21" s="9">
        <f>D21-E21</f>
        <v/>
      </c>
      <c r="G21" s="5" t="n">
        <v>3746.93</v>
      </c>
      <c r="H21" s="12">
        <f>IFERROR(E21/D21,0)</f>
        <v/>
      </c>
    </row>
    <row r="22">
      <c r="A22" s="4" t="inlineStr">
        <is>
          <t>242</t>
        </is>
      </c>
      <c r="B22" s="4" t="inlineStr">
        <is>
          <t>Mech Room Material</t>
        </is>
      </c>
      <c r="C22" s="5" t="n">
        <v>126000</v>
      </c>
      <c r="D22" s="5" t="n">
        <v>125800</v>
      </c>
      <c r="E22" s="5" t="n">
        <v>82317.36</v>
      </c>
      <c r="F22" s="9">
        <f>D22-E22</f>
        <v/>
      </c>
      <c r="G22" s="5" t="n">
        <v>66602.17999999999</v>
      </c>
      <c r="H22" s="12">
        <f>IFERROR(E22/D22,0)</f>
        <v/>
      </c>
    </row>
    <row r="23">
      <c r="A23" s="4" t="inlineStr">
        <is>
          <t>600</t>
        </is>
      </c>
      <c r="B23" s="4" t="inlineStr">
        <is>
          <t>Subcontractor</t>
        </is>
      </c>
      <c r="C23" s="5" t="n">
        <v>29625</v>
      </c>
      <c r="D23" s="5" t="n">
        <v>34125</v>
      </c>
      <c r="E23" s="5" t="n">
        <v>2272.1</v>
      </c>
      <c r="F23" s="9">
        <f>D23-E23</f>
        <v/>
      </c>
      <c r="G23" s="5" t="n">
        <v>0</v>
      </c>
      <c r="H23" s="12">
        <f>IFERROR(E23/D23,0)</f>
        <v/>
      </c>
    </row>
    <row r="24">
      <c r="A24" s="4" t="inlineStr">
        <is>
          <t>601</t>
        </is>
      </c>
      <c r="B24" s="4" t="inlineStr">
        <is>
          <t>Engineering/Plans</t>
        </is>
      </c>
      <c r="C24" s="5" t="n">
        <v>79300</v>
      </c>
      <c r="D24" s="5" t="n">
        <v>79300</v>
      </c>
      <c r="E24" s="5" t="n">
        <v>9356.25</v>
      </c>
      <c r="F24" s="9">
        <f>D24-E24</f>
        <v/>
      </c>
      <c r="G24" s="5" t="n">
        <v>0</v>
      </c>
      <c r="H24" s="12">
        <f>IFERROR(E24/D24,0)</f>
        <v/>
      </c>
    </row>
    <row r="25">
      <c r="A25" s="4" t="inlineStr">
        <is>
          <t>602</t>
        </is>
      </c>
      <c r="B25" s="4" t="inlineStr">
        <is>
          <t>Rental Equipment</t>
        </is>
      </c>
      <c r="C25" s="5" t="n">
        <v>12000</v>
      </c>
      <c r="D25" s="5" t="n">
        <v>14700</v>
      </c>
      <c r="E25" s="5" t="n">
        <v>15185.12</v>
      </c>
      <c r="F25" s="9">
        <f>D25-E25</f>
        <v/>
      </c>
      <c r="G25" s="5" t="n">
        <v>2069.67</v>
      </c>
      <c r="H25" s="12">
        <f>IFERROR(E25/D25,0)</f>
        <v/>
      </c>
    </row>
    <row r="26">
      <c r="A26" s="4" t="inlineStr">
        <is>
          <t>603</t>
        </is>
      </c>
      <c r="B26" s="4" t="inlineStr">
        <is>
          <t>Permits &amp; Licenses</t>
        </is>
      </c>
      <c r="C26" s="5" t="n">
        <v>8000</v>
      </c>
      <c r="D26" s="5" t="n">
        <v>24887</v>
      </c>
      <c r="E26" s="5" t="n">
        <v>16277</v>
      </c>
      <c r="F26" s="9">
        <f>D26-E26</f>
        <v/>
      </c>
      <c r="G26" s="5" t="n">
        <v>0</v>
      </c>
      <c r="H26" s="12">
        <f>IFERROR(E26/D26,0)</f>
        <v/>
      </c>
    </row>
    <row r="27">
      <c r="A27" s="4" t="inlineStr">
        <is>
          <t>607</t>
        </is>
      </c>
      <c r="B27" s="4" t="inlineStr">
        <is>
          <t>Other Expenses</t>
        </is>
      </c>
      <c r="C27" s="5" t="n">
        <v>15000</v>
      </c>
      <c r="D27" s="5" t="n">
        <v>59817</v>
      </c>
      <c r="E27" s="5" t="n">
        <v>58582.8</v>
      </c>
      <c r="F27" s="9">
        <f>D27-E27</f>
        <v/>
      </c>
      <c r="G27" s="5" t="n">
        <v>0</v>
      </c>
      <c r="H27" s="12">
        <f>IFERROR(E27/D27,0)</f>
        <v/>
      </c>
    </row>
    <row r="28">
      <c r="A28" s="4" t="inlineStr">
        <is>
          <t>995</t>
        </is>
      </c>
      <c r="B28" s="4" t="inlineStr">
        <is>
          <t>Payroll Burden</t>
        </is>
      </c>
      <c r="C28" s="5" t="n">
        <v>487836.01</v>
      </c>
      <c r="D28" s="5" t="n">
        <v>514607.79</v>
      </c>
      <c r="E28" s="5" t="n">
        <v>532803.3199999999</v>
      </c>
      <c r="F28" s="9">
        <f>D28-E28</f>
        <v/>
      </c>
      <c r="G28" s="5" t="n">
        <v>0</v>
      </c>
      <c r="H28" s="12">
        <f>IFERROR(E28/D28,0)</f>
        <v/>
      </c>
    </row>
    <row r="29">
      <c r="A29" s="4" t="inlineStr">
        <is>
          <t>998</t>
        </is>
      </c>
      <c r="B29" s="4" t="inlineStr">
        <is>
          <t>Payroll Taxes</t>
        </is>
      </c>
      <c r="C29" s="5" t="n">
        <v>91357.28999999999</v>
      </c>
      <c r="D29" s="5" t="n">
        <v>96280.07000000001</v>
      </c>
      <c r="E29" s="5" t="n">
        <v>84211.38</v>
      </c>
      <c r="F29" s="9">
        <f>D29-E29</f>
        <v/>
      </c>
      <c r="G29" s="5" t="n">
        <v>0</v>
      </c>
      <c r="H29" s="12">
        <f>IFERROR(E29/D29,0)</f>
        <v/>
      </c>
    </row>
    <row r="30">
      <c r="A30" s="10" t="inlineStr">
        <is>
          <t>TOTAL</t>
        </is>
      </c>
      <c r="C30" s="6">
        <f>SUM(C4:C29)</f>
        <v/>
      </c>
      <c r="D30" s="6">
        <f>SUM(D4:D29)</f>
        <v/>
      </c>
      <c r="E30" s="6">
        <f>SUM(E4:E29)</f>
        <v/>
      </c>
      <c r="F30" s="6">
        <f>SUM(F4:F29)</f>
        <v/>
      </c>
      <c r="G30" s="6">
        <f>SUM(G4:G29)</f>
        <v/>
      </c>
      <c r="H30" s="7">
        <f>IFERROR(E30/D30,0)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Cost Category Rollup</t>
        </is>
      </c>
    </row>
    <row r="3">
      <c r="A3" s="11" t="inlineStr">
        <is>
          <t>Category</t>
        </is>
      </c>
      <c r="B3" s="11" t="inlineStr">
        <is>
          <t># Codes</t>
        </is>
      </c>
      <c r="C3" s="11" t="inlineStr">
        <is>
          <t>Revised Budget</t>
        </is>
      </c>
      <c r="D3" s="11" t="inlineStr">
        <is>
          <t>Actual</t>
        </is>
      </c>
      <c r="E3" s="11" t="inlineStr">
        <is>
          <t>Variance</t>
        </is>
      </c>
      <c r="F3" s="11" t="inlineStr">
        <is>
          <t>% Complete</t>
        </is>
      </c>
    </row>
    <row r="4">
      <c r="A4" s="10" t="inlineStr">
        <is>
          <t>Labor</t>
        </is>
      </c>
      <c r="B4" s="4" t="n">
        <v>11</v>
      </c>
      <c r="C4" s="5" t="n">
        <v>1258563</v>
      </c>
      <c r="D4" s="5" t="n">
        <v>1100218.51</v>
      </c>
      <c r="E4" s="9">
        <f>C4-D4</f>
        <v/>
      </c>
      <c r="F4" s="12">
        <f>IFERROR(D4/C4,0)</f>
        <v/>
      </c>
    </row>
    <row r="5">
      <c r="A5" s="10" t="inlineStr">
        <is>
          <t>Material</t>
        </is>
      </c>
      <c r="B5" s="4" t="n">
        <v>8</v>
      </c>
      <c r="C5" s="5" t="n">
        <v>1930422</v>
      </c>
      <c r="D5" s="5" t="n">
        <v>1100377.27</v>
      </c>
      <c r="E5" s="9">
        <f>C5-D5</f>
        <v/>
      </c>
      <c r="F5" s="12">
        <f>IFERROR(D5/C5,0)</f>
        <v/>
      </c>
    </row>
    <row r="6">
      <c r="A6" s="10" t="inlineStr">
        <is>
          <t>Overhead</t>
        </is>
      </c>
      <c r="B6" s="4" t="n">
        <v>5</v>
      </c>
      <c r="C6" s="5" t="n">
        <v>212829</v>
      </c>
      <c r="D6" s="5" t="n">
        <v>101673.27</v>
      </c>
      <c r="E6" s="9">
        <f>C6-D6</f>
        <v/>
      </c>
      <c r="F6" s="12">
        <f>IFERROR(D6/C6,0)</f>
        <v/>
      </c>
    </row>
    <row r="7">
      <c r="A7" s="10" t="inlineStr">
        <is>
          <t>Burden</t>
        </is>
      </c>
      <c r="B7" s="4" t="n">
        <v>2</v>
      </c>
      <c r="C7" s="5" t="n">
        <v>610887.86</v>
      </c>
      <c r="D7" s="5" t="n">
        <v>617014.7</v>
      </c>
      <c r="E7" s="9">
        <f>C7-D7</f>
        <v/>
      </c>
      <c r="F7" s="12">
        <f>IFERROR(D7/C7,0)</f>
        <v/>
      </c>
    </row>
    <row r="8">
      <c r="A8" s="10" t="inlineStr">
        <is>
          <t>TOTAL</t>
        </is>
      </c>
      <c r="B8" s="13">
        <f>SUM(B4:B7)</f>
        <v/>
      </c>
      <c r="C8" s="6">
        <f>SUM(C4:C7)</f>
        <v/>
      </c>
      <c r="D8" s="6">
        <f>SUM(D4:D7)</f>
        <v/>
      </c>
      <c r="E8" s="6">
        <f>SUM(E4:E7)</f>
        <v/>
      </c>
      <c r="F8" s="7">
        <f>IFERROR(D8/C8,0)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4" customWidth="1" min="3" max="3"/>
    <col width="14" customWidth="1" min="4" max="4"/>
    <col width="14" customWidth="1" min="5" max="5"/>
    <col width="10" customWidth="1" min="6" max="6"/>
    <col width="14" customWidth="1" min="7" max="7"/>
  </cols>
  <sheetData>
    <row r="1">
      <c r="A1" s="1" t="inlineStr">
        <is>
          <t>Budget vs Actual — Flag list</t>
        </is>
      </c>
    </row>
    <row r="2">
      <c r="A2" s="2" t="inlineStr">
        <is>
          <t>Revised budget is canonical basis. Flags: OVER &gt;10%, CRITICAL &gt;50%, ON ±10%, UNDER &lt;-10%.</t>
        </is>
      </c>
    </row>
    <row r="4">
      <c r="A4" s="11" t="inlineStr">
        <is>
          <t>Code</t>
        </is>
      </c>
      <c r="B4" s="11" t="inlineStr">
        <is>
          <t>Description</t>
        </is>
      </c>
      <c r="C4" s="11" t="inlineStr">
        <is>
          <t>Revised</t>
        </is>
      </c>
      <c r="D4" s="11" t="inlineStr">
        <is>
          <t>Actual</t>
        </is>
      </c>
      <c r="E4" s="11" t="inlineStr">
        <is>
          <t>Variance</t>
        </is>
      </c>
      <c r="F4" s="11" t="inlineStr">
        <is>
          <t>% Var</t>
        </is>
      </c>
      <c r="G4" s="11" t="inlineStr">
        <is>
          <t>Status</t>
        </is>
      </c>
    </row>
    <row r="5">
      <c r="A5" s="4" t="inlineStr">
        <is>
          <t>100</t>
        </is>
      </c>
      <c r="B5" s="4" t="inlineStr">
        <is>
          <t>Supervision</t>
        </is>
      </c>
      <c r="C5" s="5" t="n">
        <v>12700</v>
      </c>
      <c r="D5" s="5" t="n">
        <v>9357</v>
      </c>
      <c r="E5" s="9">
        <f>C5-D5</f>
        <v/>
      </c>
      <c r="F5" s="12">
        <f>IFERROR((D5-C5)/C5,0)</f>
        <v/>
      </c>
      <c r="G5" s="14">
        <f>IF(C5=0,"UNBUDGETED",IF(F5&gt;0.5,"CRITICAL",IF(F5&gt;0.1,"OVER",IF(F5&lt;-0.1,"UNDER","ON"))))</f>
        <v/>
      </c>
    </row>
    <row r="6">
      <c r="A6" s="4" t="inlineStr">
        <is>
          <t>101</t>
        </is>
      </c>
      <c r="B6" s="4" t="inlineStr">
        <is>
          <t>Takeoff &amp; Purchase Labor</t>
        </is>
      </c>
      <c r="C6" s="5" t="n">
        <v>45160</v>
      </c>
      <c r="D6" s="5" t="n">
        <v>48115.5</v>
      </c>
      <c r="E6" s="9">
        <f>C6-D6</f>
        <v/>
      </c>
      <c r="F6" s="12">
        <f>IFERROR((D6-C6)/C6,0)</f>
        <v/>
      </c>
      <c r="G6" s="14">
        <f>IF(C6=0,"UNBUDGETED",IF(F6&gt;0.5,"CRITICAL",IF(F6&gt;0.1,"OVER",IF(F6&lt;-0.1,"UNDER","ON"))))</f>
        <v/>
      </c>
    </row>
    <row r="7">
      <c r="A7" s="4" t="inlineStr">
        <is>
          <t>110</t>
        </is>
      </c>
      <c r="B7" s="4" t="inlineStr">
        <is>
          <t>Underground Labor</t>
        </is>
      </c>
      <c r="C7" s="5" t="n">
        <v>30400</v>
      </c>
      <c r="D7" s="5" t="n">
        <v>31475</v>
      </c>
      <c r="E7" s="9">
        <f>C7-D7</f>
        <v/>
      </c>
      <c r="F7" s="12">
        <f>IFERROR((D7-C7)/C7,0)</f>
        <v/>
      </c>
      <c r="G7" s="14">
        <f>IF(C7=0,"UNBUDGETED",IF(F7&gt;0.5,"CRITICAL",IF(F7&gt;0.1,"OVER",IF(F7&lt;-0.1,"UNDER","ON"))))</f>
        <v/>
      </c>
    </row>
    <row r="8">
      <c r="A8" s="4" t="inlineStr">
        <is>
          <t>111</t>
        </is>
      </c>
      <c r="B8" s="4" t="inlineStr">
        <is>
          <t>Garage Labor</t>
        </is>
      </c>
      <c r="C8" s="5" t="n">
        <v>90954</v>
      </c>
      <c r="D8" s="5" t="n">
        <v>153773.75</v>
      </c>
      <c r="E8" s="9">
        <f>C8-D8</f>
        <v/>
      </c>
      <c r="F8" s="12">
        <f>IFERROR((D8-C8)/C8,0)</f>
        <v/>
      </c>
      <c r="G8" s="14">
        <f>IF(C8=0,"UNBUDGETED",IF(F8&gt;0.5,"CRITICAL",IF(F8&gt;0.1,"OVER",IF(F8&lt;-0.1,"UNDER","ON"))))</f>
        <v/>
      </c>
    </row>
    <row r="9">
      <c r="A9" s="4" t="inlineStr">
        <is>
          <t>112</t>
        </is>
      </c>
      <c r="B9" s="4" t="inlineStr">
        <is>
          <t>Canout Labor</t>
        </is>
      </c>
      <c r="C9" s="5" t="n">
        <v>59715</v>
      </c>
      <c r="D9" s="5" t="n">
        <v>66406.5</v>
      </c>
      <c r="E9" s="9">
        <f>C9-D9</f>
        <v/>
      </c>
      <c r="F9" s="12">
        <f>IFERROR((D9-C9)/C9,0)</f>
        <v/>
      </c>
      <c r="G9" s="14">
        <f>IF(C9=0,"UNBUDGETED",IF(F9&gt;0.5,"CRITICAL",IF(F9&gt;0.1,"OVER",IF(F9&lt;-0.1,"UNDER","ON"))))</f>
        <v/>
      </c>
    </row>
    <row r="10">
      <c r="A10" s="4" t="inlineStr">
        <is>
          <t>120</t>
        </is>
      </c>
      <c r="B10" s="4" t="inlineStr">
        <is>
          <t>Roughin Labor</t>
        </is>
      </c>
      <c r="C10" s="5" t="n">
        <v>565930</v>
      </c>
      <c r="D10" s="5" t="n">
        <v>646310.26</v>
      </c>
      <c r="E10" s="9">
        <f>C10-D10</f>
        <v/>
      </c>
      <c r="F10" s="12">
        <f>IFERROR((D10-C10)/C10,0)</f>
        <v/>
      </c>
      <c r="G10" s="14">
        <f>IF(C10=0,"UNBUDGETED",IF(F10&gt;0.5,"CRITICAL",IF(F10&gt;0.1,"OVER",IF(F10&lt;-0.1,"UNDER","ON"))))</f>
        <v/>
      </c>
    </row>
    <row r="11">
      <c r="A11" s="4" t="inlineStr">
        <is>
          <t>130</t>
        </is>
      </c>
      <c r="B11" s="4" t="inlineStr">
        <is>
          <t>Finish Labor</t>
        </is>
      </c>
      <c r="C11" s="5" t="n">
        <v>135784</v>
      </c>
      <c r="D11" s="5" t="n">
        <v>65</v>
      </c>
      <c r="E11" s="9">
        <f>C11-D11</f>
        <v/>
      </c>
      <c r="F11" s="12">
        <f>IFERROR((D11-C11)/C11,0)</f>
        <v/>
      </c>
      <c r="G11" s="14">
        <f>IF(C11=0,"UNBUDGETED",IF(F11&gt;0.5,"CRITICAL",IF(F11&gt;0.1,"OVER",IF(F11&lt;-0.1,"UNDER","ON"))))</f>
        <v/>
      </c>
    </row>
    <row r="12">
      <c r="A12" s="4" t="inlineStr">
        <is>
          <t>140</t>
        </is>
      </c>
      <c r="B12" s="4" t="inlineStr">
        <is>
          <t>Gas Labor</t>
        </is>
      </c>
      <c r="C12" s="5" t="n">
        <v>11400</v>
      </c>
      <c r="D12" s="5" t="n">
        <v>7647.75</v>
      </c>
      <c r="E12" s="9">
        <f>C12-D12</f>
        <v/>
      </c>
      <c r="F12" s="12">
        <f>IFERROR((D12-C12)/C12,0)</f>
        <v/>
      </c>
      <c r="G12" s="14">
        <f>IF(C12=0,"UNBUDGETED",IF(F12&gt;0.5,"CRITICAL",IF(F12&gt;0.1,"OVER",IF(F12&lt;-0.1,"UNDER","ON"))))</f>
        <v/>
      </c>
    </row>
    <row r="13">
      <c r="A13" s="4" t="inlineStr">
        <is>
          <t>141</t>
        </is>
      </c>
      <c r="B13" s="4" t="inlineStr">
        <is>
          <t>Water Main/Insulation Lab</t>
        </is>
      </c>
      <c r="C13" s="5" t="n">
        <v>184270</v>
      </c>
      <c r="D13" s="5" t="n">
        <v>108097.75</v>
      </c>
      <c r="E13" s="9">
        <f>C13-D13</f>
        <v/>
      </c>
      <c r="F13" s="12">
        <f>IFERROR((D13-C13)/C13,0)</f>
        <v/>
      </c>
      <c r="G13" s="14">
        <f>IF(C13=0,"UNBUDGETED",IF(F13&gt;0.5,"CRITICAL",IF(F13&gt;0.1,"OVER",IF(F13&lt;-0.1,"UNDER","ON"))))</f>
        <v/>
      </c>
    </row>
    <row r="14">
      <c r="A14" s="4" t="inlineStr">
        <is>
          <t>142</t>
        </is>
      </c>
      <c r="B14" s="4" t="inlineStr">
        <is>
          <t>Mech Room Labor</t>
        </is>
      </c>
      <c r="C14" s="5" t="n">
        <v>122250</v>
      </c>
      <c r="D14" s="5" t="n">
        <v>28970</v>
      </c>
      <c r="E14" s="9">
        <f>C14-D14</f>
        <v/>
      </c>
      <c r="F14" s="12">
        <f>IFERROR((D14-C14)/C14,0)</f>
        <v/>
      </c>
      <c r="G14" s="14">
        <f>IF(C14=0,"UNBUDGETED",IF(F14&gt;0.5,"CRITICAL",IF(F14&gt;0.1,"OVER",IF(F14&lt;-0.1,"UNDER","ON"))))</f>
        <v/>
      </c>
    </row>
    <row r="15">
      <c r="A15" s="4" t="inlineStr">
        <is>
          <t>210</t>
        </is>
      </c>
      <c r="B15" s="4" t="inlineStr">
        <is>
          <t>Underground Material</t>
        </is>
      </c>
      <c r="C15" s="5" t="n">
        <v>29000</v>
      </c>
      <c r="D15" s="5" t="n">
        <v>13857.07</v>
      </c>
      <c r="E15" s="9">
        <f>C15-D15</f>
        <v/>
      </c>
      <c r="F15" s="12">
        <f>IFERROR((D15-C15)/C15,0)</f>
        <v/>
      </c>
      <c r="G15" s="14">
        <f>IF(C15=0,"UNBUDGETED",IF(F15&gt;0.5,"CRITICAL",IF(F15&gt;0.1,"OVER",IF(F15&lt;-0.1,"UNDER","ON"))))</f>
        <v/>
      </c>
    </row>
    <row r="16">
      <c r="A16" s="4" t="inlineStr">
        <is>
          <t>211</t>
        </is>
      </c>
      <c r="B16" s="4" t="inlineStr">
        <is>
          <t>Garage Material</t>
        </is>
      </c>
      <c r="C16" s="5" t="n">
        <v>78105</v>
      </c>
      <c r="D16" s="5" t="n">
        <v>54729.07</v>
      </c>
      <c r="E16" s="9">
        <f>C16-D16</f>
        <v/>
      </c>
      <c r="F16" s="12">
        <f>IFERROR((D16-C16)/C16,0)</f>
        <v/>
      </c>
      <c r="G16" s="14">
        <f>IF(C16=0,"UNBUDGETED",IF(F16&gt;0.5,"CRITICAL",IF(F16&gt;0.1,"OVER",IF(F16&lt;-0.1,"UNDER","ON"))))</f>
        <v/>
      </c>
    </row>
    <row r="17">
      <c r="A17" s="4" t="inlineStr">
        <is>
          <t>212</t>
        </is>
      </c>
      <c r="B17" s="4" t="inlineStr">
        <is>
          <t>Canout Material</t>
        </is>
      </c>
      <c r="C17" s="5" t="n">
        <v>51753</v>
      </c>
      <c r="D17" s="5" t="n">
        <v>47833.93</v>
      </c>
      <c r="E17" s="9">
        <f>C17-D17</f>
        <v/>
      </c>
      <c r="F17" s="12">
        <f>IFERROR((D17-C17)/C17,0)</f>
        <v/>
      </c>
      <c r="G17" s="14">
        <f>IF(C17=0,"UNBUDGETED",IF(F17&gt;0.5,"CRITICAL",IF(F17&gt;0.1,"OVER",IF(F17&lt;-0.1,"UNDER","ON"))))</f>
        <v/>
      </c>
    </row>
    <row r="18">
      <c r="A18" s="4" t="inlineStr">
        <is>
          <t>220</t>
        </is>
      </c>
      <c r="B18" s="4" t="inlineStr">
        <is>
          <t>Roughin Material</t>
        </is>
      </c>
      <c r="C18" s="5" t="n">
        <v>392310</v>
      </c>
      <c r="D18" s="5" t="n">
        <v>209687.42</v>
      </c>
      <c r="E18" s="9">
        <f>C18-D18</f>
        <v/>
      </c>
      <c r="F18" s="12">
        <f>IFERROR((D18-C18)/C18,0)</f>
        <v/>
      </c>
      <c r="G18" s="14">
        <f>IF(C18=0,"UNBUDGETED",IF(F18&gt;0.5,"CRITICAL",IF(F18&gt;0.1,"OVER",IF(F18&lt;-0.1,"UNDER","ON"))))</f>
        <v/>
      </c>
    </row>
    <row r="19">
      <c r="A19" s="4" t="inlineStr">
        <is>
          <t>230</t>
        </is>
      </c>
      <c r="B19" s="4" t="inlineStr">
        <is>
          <t>Finish Material</t>
        </is>
      </c>
      <c r="C19" s="5" t="n">
        <v>1055804</v>
      </c>
      <c r="D19" s="5" t="n">
        <v>546778.65</v>
      </c>
      <c r="E19" s="9">
        <f>C19-D19</f>
        <v/>
      </c>
      <c r="F19" s="12">
        <f>IFERROR((D19-C19)/C19,0)</f>
        <v/>
      </c>
      <c r="G19" s="14">
        <f>IF(C19=0,"UNBUDGETED",IF(F19&gt;0.5,"CRITICAL",IF(F19&gt;0.1,"OVER",IF(F19&lt;-0.1,"UNDER","ON"))))</f>
        <v/>
      </c>
    </row>
    <row r="20">
      <c r="A20" s="4" t="inlineStr">
        <is>
          <t>240</t>
        </is>
      </c>
      <c r="B20" s="4" t="inlineStr">
        <is>
          <t>Gas Material</t>
        </is>
      </c>
      <c r="C20" s="5" t="n">
        <v>8500</v>
      </c>
      <c r="D20" s="5" t="n">
        <v>7204.51</v>
      </c>
      <c r="E20" s="9">
        <f>C20-D20</f>
        <v/>
      </c>
      <c r="F20" s="12">
        <f>IFERROR((D20-C20)/C20,0)</f>
        <v/>
      </c>
      <c r="G20" s="14">
        <f>IF(C20=0,"UNBUDGETED",IF(F20&gt;0.5,"CRITICAL",IF(F20&gt;0.1,"OVER",IF(F20&lt;-0.1,"UNDER","ON"))))</f>
        <v/>
      </c>
    </row>
    <row r="21">
      <c r="A21" s="4" t="inlineStr">
        <is>
          <t>241</t>
        </is>
      </c>
      <c r="B21" s="4" t="inlineStr">
        <is>
          <t>Water Main/Insulation Mat</t>
        </is>
      </c>
      <c r="C21" s="5" t="n">
        <v>189150</v>
      </c>
      <c r="D21" s="5" t="n">
        <v>137969.26</v>
      </c>
      <c r="E21" s="9">
        <f>C21-D21</f>
        <v/>
      </c>
      <c r="F21" s="12">
        <f>IFERROR((D21-C21)/C21,0)</f>
        <v/>
      </c>
      <c r="G21" s="14">
        <f>IF(C21=0,"UNBUDGETED",IF(F21&gt;0.5,"CRITICAL",IF(F21&gt;0.1,"OVER",IF(F21&lt;-0.1,"UNDER","ON"))))</f>
        <v/>
      </c>
    </row>
    <row r="22">
      <c r="A22" s="4" t="inlineStr">
        <is>
          <t>242</t>
        </is>
      </c>
      <c r="B22" s="4" t="inlineStr">
        <is>
          <t>Mech Room Material</t>
        </is>
      </c>
      <c r="C22" s="5" t="n">
        <v>125800</v>
      </c>
      <c r="D22" s="5" t="n">
        <v>82317.36</v>
      </c>
      <c r="E22" s="9">
        <f>C22-D22</f>
        <v/>
      </c>
      <c r="F22" s="12">
        <f>IFERROR((D22-C22)/C22,0)</f>
        <v/>
      </c>
      <c r="G22" s="14">
        <f>IF(C22=0,"UNBUDGETED",IF(F22&gt;0.5,"CRITICAL",IF(F22&gt;0.1,"OVER",IF(F22&lt;-0.1,"UNDER","ON"))))</f>
        <v/>
      </c>
    </row>
    <row r="23">
      <c r="A23" s="4" t="inlineStr">
        <is>
          <t>600</t>
        </is>
      </c>
      <c r="B23" s="4" t="inlineStr">
        <is>
          <t>Subcontractor</t>
        </is>
      </c>
      <c r="C23" s="5" t="n">
        <v>34125</v>
      </c>
      <c r="D23" s="5" t="n">
        <v>2272.1</v>
      </c>
      <c r="E23" s="9">
        <f>C23-D23</f>
        <v/>
      </c>
      <c r="F23" s="12">
        <f>IFERROR((D23-C23)/C23,0)</f>
        <v/>
      </c>
      <c r="G23" s="14">
        <f>IF(C23=0,"UNBUDGETED",IF(F23&gt;0.5,"CRITICAL",IF(F23&gt;0.1,"OVER",IF(F23&lt;-0.1,"UNDER","ON"))))</f>
        <v/>
      </c>
    </row>
    <row r="24">
      <c r="A24" s="4" t="inlineStr">
        <is>
          <t>601</t>
        </is>
      </c>
      <c r="B24" s="4" t="inlineStr">
        <is>
          <t>Engineering/Plans</t>
        </is>
      </c>
      <c r="C24" s="5" t="n">
        <v>79300</v>
      </c>
      <c r="D24" s="5" t="n">
        <v>9356.25</v>
      </c>
      <c r="E24" s="9">
        <f>C24-D24</f>
        <v/>
      </c>
      <c r="F24" s="12">
        <f>IFERROR((D24-C24)/C24,0)</f>
        <v/>
      </c>
      <c r="G24" s="14">
        <f>IF(C24=0,"UNBUDGETED",IF(F24&gt;0.5,"CRITICAL",IF(F24&gt;0.1,"OVER",IF(F24&lt;-0.1,"UNDER","ON"))))</f>
        <v/>
      </c>
    </row>
    <row r="25">
      <c r="A25" s="4" t="inlineStr">
        <is>
          <t>602</t>
        </is>
      </c>
      <c r="B25" s="4" t="inlineStr">
        <is>
          <t>Rental Equipment</t>
        </is>
      </c>
      <c r="C25" s="5" t="n">
        <v>14700</v>
      </c>
      <c r="D25" s="5" t="n">
        <v>15185.12</v>
      </c>
      <c r="E25" s="9">
        <f>C25-D25</f>
        <v/>
      </c>
      <c r="F25" s="12">
        <f>IFERROR((D25-C25)/C25,0)</f>
        <v/>
      </c>
      <c r="G25" s="14">
        <f>IF(C25=0,"UNBUDGETED",IF(F25&gt;0.5,"CRITICAL",IF(F25&gt;0.1,"OVER",IF(F25&lt;-0.1,"UNDER","ON"))))</f>
        <v/>
      </c>
    </row>
    <row r="26">
      <c r="A26" s="4" t="inlineStr">
        <is>
          <t>603</t>
        </is>
      </c>
      <c r="B26" s="4" t="inlineStr">
        <is>
          <t>Permits &amp; Licenses</t>
        </is>
      </c>
      <c r="C26" s="5" t="n">
        <v>24887</v>
      </c>
      <c r="D26" s="5" t="n">
        <v>16277</v>
      </c>
      <c r="E26" s="9">
        <f>C26-D26</f>
        <v/>
      </c>
      <c r="F26" s="12">
        <f>IFERROR((D26-C26)/C26,0)</f>
        <v/>
      </c>
      <c r="G26" s="14">
        <f>IF(C26=0,"UNBUDGETED",IF(F26&gt;0.5,"CRITICAL",IF(F26&gt;0.1,"OVER",IF(F26&lt;-0.1,"UNDER","ON"))))</f>
        <v/>
      </c>
    </row>
    <row r="27">
      <c r="A27" s="4" t="inlineStr">
        <is>
          <t>607</t>
        </is>
      </c>
      <c r="B27" s="4" t="inlineStr">
        <is>
          <t>Other Expenses</t>
        </is>
      </c>
      <c r="C27" s="5" t="n">
        <v>59817</v>
      </c>
      <c r="D27" s="5" t="n">
        <v>58582.8</v>
      </c>
      <c r="E27" s="9">
        <f>C27-D27</f>
        <v/>
      </c>
      <c r="F27" s="12">
        <f>IFERROR((D27-C27)/C27,0)</f>
        <v/>
      </c>
      <c r="G27" s="14">
        <f>IF(C27=0,"UNBUDGETED",IF(F27&gt;0.5,"CRITICAL",IF(F27&gt;0.1,"OVER",IF(F27&lt;-0.1,"UNDER","ON"))))</f>
        <v/>
      </c>
    </row>
    <row r="28">
      <c r="A28" s="4" t="inlineStr">
        <is>
          <t>995</t>
        </is>
      </c>
      <c r="B28" s="4" t="inlineStr">
        <is>
          <t>Payroll Burden</t>
        </is>
      </c>
      <c r="C28" s="5" t="n">
        <v>514607.79</v>
      </c>
      <c r="D28" s="5" t="n">
        <v>532803.3199999999</v>
      </c>
      <c r="E28" s="9">
        <f>C28-D28</f>
        <v/>
      </c>
      <c r="F28" s="12">
        <f>IFERROR((D28-C28)/C28,0)</f>
        <v/>
      </c>
      <c r="G28" s="14">
        <f>IF(C28=0,"UNBUDGETED",IF(F28&gt;0.5,"CRITICAL",IF(F28&gt;0.1,"OVER",IF(F28&lt;-0.1,"UNDER","ON"))))</f>
        <v/>
      </c>
    </row>
    <row r="29">
      <c r="A29" s="4" t="inlineStr">
        <is>
          <t>998</t>
        </is>
      </c>
      <c r="B29" s="4" t="inlineStr">
        <is>
          <t>Payroll Taxes</t>
        </is>
      </c>
      <c r="C29" s="5" t="n">
        <v>96280.07000000001</v>
      </c>
      <c r="D29" s="5" t="n">
        <v>84211.38</v>
      </c>
      <c r="E29" s="9">
        <f>C29-D29</f>
        <v/>
      </c>
      <c r="F29" s="12">
        <f>IFERROR((D29-C29)/C29,0)</f>
        <v/>
      </c>
      <c r="G29" s="14">
        <f>IF(C29=0,"UNBUDGETED",IF(F29&gt;0.5,"CRITICAL",IF(F29&gt;0.1,"OVER",IF(F29&lt;-0.1,"UNDER","ON"))))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</cols>
  <sheetData>
    <row r="1">
      <c r="A1" s="1" t="inlineStr">
        <is>
          <t>Vendor Spend (AP source)</t>
        </is>
      </c>
    </row>
    <row r="3">
      <c r="A3" s="11" t="inlineStr">
        <is>
          <t>Vendor</t>
        </is>
      </c>
      <c r="B3" s="11" t="inlineStr">
        <is>
          <t>Spend ($)</t>
        </is>
      </c>
      <c r="C3" s="11" t="inlineStr">
        <is>
          <t>Invoices</t>
        </is>
      </c>
      <c r="D3" s="11" t="inlineStr">
        <is>
          <t>% of Total AP</t>
        </is>
      </c>
    </row>
    <row r="4">
      <c r="A4" s="4" t="inlineStr">
        <is>
          <t>Consolidated Supply Co.</t>
        </is>
      </c>
      <c r="B4" s="5" t="n">
        <v>420435.5100000002</v>
      </c>
      <c r="C4" s="4" t="n">
        <v>101</v>
      </c>
      <c r="D4" s="12">
        <f>IFERROR(B4/SUM(B$4:B$26),0)</f>
        <v/>
      </c>
    </row>
    <row r="5">
      <c r="A5" s="4" t="inlineStr">
        <is>
          <t>Pacific Plumbing Supply Co., LLC</t>
        </is>
      </c>
      <c r="B5" s="5" t="n">
        <v>184895.53</v>
      </c>
      <c r="C5" s="4" t="n">
        <v>128</v>
      </c>
      <c r="D5" s="12">
        <f>IFERROR(B5/SUM(B$4:B$26),0)</f>
        <v/>
      </c>
    </row>
    <row r="6">
      <c r="A6" s="4" t="inlineStr">
        <is>
          <t>Keller Supply Company</t>
        </is>
      </c>
      <c r="B6" s="5" t="n">
        <v>130767.67</v>
      </c>
      <c r="C6" s="4" t="n">
        <v>25</v>
      </c>
      <c r="D6" s="12">
        <f>IFERROR(B6/SUM(B$4:B$26),0)</f>
        <v/>
      </c>
    </row>
    <row r="7">
      <c r="A7" s="4" t="inlineStr">
        <is>
          <t>Rosen Supply Kirkland</t>
        </is>
      </c>
      <c r="B7" s="5" t="n">
        <v>116503.52</v>
      </c>
      <c r="C7" s="4" t="n">
        <v>132</v>
      </c>
      <c r="D7" s="12">
        <f>IFERROR(B7/SUM(B$4:B$26),0)</f>
        <v/>
      </c>
    </row>
    <row r="8">
      <c r="A8" s="4" t="inlineStr">
        <is>
          <t>California Hydronics Corp</t>
        </is>
      </c>
      <c r="B8" s="5" t="n">
        <v>69125</v>
      </c>
      <c r="C8" s="4" t="n">
        <v>7</v>
      </c>
      <c r="D8" s="12">
        <f>IFERROR(B8/SUM(B$4:B$26),0)</f>
        <v/>
      </c>
    </row>
    <row r="9">
      <c r="A9" s="4" t="inlineStr">
        <is>
          <t>Hub International Northwest</t>
        </is>
      </c>
      <c r="B9" s="5" t="n">
        <v>44817</v>
      </c>
      <c r="C9" s="4" t="n">
        <v>1</v>
      </c>
      <c r="D9" s="12">
        <f>IFERROR(B9/SUM(B$4:B$26),0)</f>
        <v/>
      </c>
    </row>
    <row r="10">
      <c r="A10" s="4" t="inlineStr">
        <is>
          <t>MacArthur Co. NW 6276</t>
        </is>
      </c>
      <c r="B10" s="5" t="n">
        <v>40628.79</v>
      </c>
      <c r="C10" s="4" t="n">
        <v>13</v>
      </c>
      <c r="D10" s="12">
        <f>IFERROR(B10/SUM(B$4:B$26),0)</f>
        <v/>
      </c>
    </row>
    <row r="11">
      <c r="A11" s="4" t="inlineStr">
        <is>
          <t>Franklin Engineering</t>
        </is>
      </c>
      <c r="B11" s="5" t="n">
        <v>20215</v>
      </c>
      <c r="C11" s="4" t="n">
        <v>3</v>
      </c>
      <c r="D11" s="12">
        <f>IFERROR(B11/SUM(B$4:B$26),0)</f>
        <v/>
      </c>
    </row>
    <row r="12">
      <c r="A12" s="4" t="inlineStr">
        <is>
          <t>Bank of America CC</t>
        </is>
      </c>
      <c r="B12" s="5" t="n">
        <v>16103.96999999999</v>
      </c>
      <c r="C12" s="4" t="n">
        <v>39</v>
      </c>
      <c r="D12" s="12">
        <f>IFERROR(B12/SUM(B$4:B$26),0)</f>
        <v/>
      </c>
    </row>
    <row r="13">
      <c r="A13" s="4" t="inlineStr">
        <is>
          <t>Herc Rentals, Inc.</t>
        </is>
      </c>
      <c r="B13" s="5" t="n">
        <v>15185.12</v>
      </c>
      <c r="C13" s="4" t="n">
        <v>23</v>
      </c>
      <c r="D13" s="12">
        <f>IFERROR(B13/SUM(B$4:B$26),0)</f>
        <v/>
      </c>
    </row>
    <row r="14">
      <c r="A14" s="4" t="inlineStr">
        <is>
          <t>Ferguson Enterprises, Inc. #3007</t>
        </is>
      </c>
      <c r="B14" s="5" t="n">
        <v>12346.02</v>
      </c>
      <c r="C14" s="4" t="n">
        <v>14</v>
      </c>
      <c r="D14" s="12">
        <f>IFERROR(B14/SUM(B$4:B$26),0)</f>
        <v/>
      </c>
    </row>
    <row r="15">
      <c r="A15" s="4" t="inlineStr">
        <is>
          <t>Pioneer Energy Management</t>
        </is>
      </c>
      <c r="B15" s="5" t="n">
        <v>11404.71</v>
      </c>
      <c r="C15" s="4" t="n">
        <v>3</v>
      </c>
      <c r="D15" s="12">
        <f>IFERROR(B15/SUM(B$4:B$26),0)</f>
        <v/>
      </c>
    </row>
    <row r="16">
      <c r="A16" s="4" t="inlineStr">
        <is>
          <t>Platt $Rexel USA, Inc.</t>
        </is>
      </c>
      <c r="B16" s="5" t="n">
        <v>9197.849999999999</v>
      </c>
      <c r="C16" s="4" t="n">
        <v>5</v>
      </c>
      <c r="D16" s="12">
        <f>IFERROR(B16/SUM(B$4:B$26),0)</f>
        <v/>
      </c>
    </row>
    <row r="17">
      <c r="A17" s="4" t="inlineStr">
        <is>
          <t>Old Castle Infrastructure, Inc.</t>
        </is>
      </c>
      <c r="B17" s="5" t="n">
        <v>2471</v>
      </c>
      <c r="C17" s="4" t="n">
        <v>2</v>
      </c>
      <c r="D17" s="12">
        <f>IFERROR(B17/SUM(B$4:B$26),0)</f>
        <v/>
      </c>
    </row>
    <row r="18">
      <c r="A18" s="4" t="inlineStr">
        <is>
          <t>Scan2Core, Inc.</t>
        </is>
      </c>
      <c r="B18" s="5" t="n">
        <v>2272.1</v>
      </c>
      <c r="C18" s="4" t="n">
        <v>2</v>
      </c>
      <c r="D18" s="12">
        <f>IFERROR(B18/SUM(B$4:B$26),0)</f>
        <v/>
      </c>
    </row>
    <row r="19">
      <c r="A19" s="4" t="inlineStr">
        <is>
          <t>Core &amp; Main LP $HD Supply Waterworks</t>
        </is>
      </c>
      <c r="B19" s="5" t="n">
        <v>2204.17</v>
      </c>
      <c r="C19" s="4" t="n">
        <v>1</v>
      </c>
      <c r="D19" s="12">
        <f>IFERROR(B19/SUM(B$4:B$26),0)</f>
        <v/>
      </c>
    </row>
    <row r="20">
      <c r="A20" s="4" t="inlineStr">
        <is>
          <t>Capital One Credit Card</t>
        </is>
      </c>
      <c r="B20" s="5" t="n">
        <v>1891.89</v>
      </c>
      <c r="C20" s="4" t="n">
        <v>49</v>
      </c>
      <c r="D20" s="12">
        <f>IFERROR(B20/SUM(B$4:B$26),0)</f>
        <v/>
      </c>
    </row>
    <row r="21">
      <c r="A21" s="4" t="inlineStr">
        <is>
          <t>VEF Supply Ltd.</t>
        </is>
      </c>
      <c r="B21" s="5" t="n">
        <v>1107</v>
      </c>
      <c r="C21" s="4" t="n">
        <v>1</v>
      </c>
      <c r="D21" s="12">
        <f>IFERROR(B21/SUM(B$4:B$26),0)</f>
        <v/>
      </c>
    </row>
    <row r="22">
      <c r="A22" s="4" t="inlineStr">
        <is>
          <t>Hilti, Inc.</t>
        </is>
      </c>
      <c r="B22" s="5" t="n">
        <v>683.08</v>
      </c>
      <c r="C22" s="4" t="n">
        <v>2</v>
      </c>
      <c r="D22" s="12">
        <f>IFERROR(B22/SUM(B$4:B$26),0)</f>
        <v/>
      </c>
    </row>
    <row r="23">
      <c r="A23" s="4" t="inlineStr">
        <is>
          <t>Edge Construction Supply, LLC</t>
        </is>
      </c>
      <c r="B23" s="5" t="n">
        <v>464.4</v>
      </c>
      <c r="C23" s="4" t="n">
        <v>1</v>
      </c>
      <c r="D23" s="12">
        <f>IFERROR(B23/SUM(B$4:B$26),0)</f>
        <v/>
      </c>
    </row>
    <row r="24">
      <c r="A24" s="4" t="inlineStr">
        <is>
          <t>ACME Corp</t>
        </is>
      </c>
      <c r="B24" s="5" t="n">
        <v>435.24</v>
      </c>
      <c r="C24" s="4" t="n">
        <v>2</v>
      </c>
      <c r="D24" s="12">
        <f>IFERROR(B24/SUM(B$4:B$26),0)</f>
        <v/>
      </c>
    </row>
    <row r="25">
      <c r="A25" s="4" t="inlineStr">
        <is>
          <t>Seton Identification Products</t>
        </is>
      </c>
      <c r="B25" s="5" t="n">
        <v>322.87</v>
      </c>
      <c r="C25" s="4" t="n">
        <v>2</v>
      </c>
      <c r="D25" s="12">
        <f>IFERROR(B25/SUM(B$4:B$26),0)</f>
        <v/>
      </c>
    </row>
    <row r="26">
      <c r="A26" s="4" t="inlineStr">
        <is>
          <t>Uline</t>
        </is>
      </c>
      <c r="B26" s="5" t="n">
        <v>178.42</v>
      </c>
      <c r="C26" s="4" t="n">
        <v>1</v>
      </c>
      <c r="D26" s="12">
        <f>IFERROR(B26/SUM(B$4:B$26),0)</f>
        <v/>
      </c>
    </row>
    <row r="27">
      <c r="A27" s="10" t="inlineStr">
        <is>
          <t>TOTAL AP</t>
        </is>
      </c>
      <c r="B27" s="6">
        <f>SUM(B4:B26)</f>
        <v/>
      </c>
      <c r="C27" s="15">
        <f>SUM(C4:C26)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  <col width="12" customWidth="1" min="4" max="4"/>
    <col width="12" customWidth="1" min="5" max="5"/>
  </cols>
  <sheetData>
    <row r="1">
      <c r="A1" s="1" t="inlineStr">
        <is>
          <t>Crew Roster (PR source)</t>
        </is>
      </c>
    </row>
    <row r="3">
      <c r="A3" s="11" t="inlineStr">
        <is>
          <t>Worker</t>
        </is>
      </c>
      <c r="B3" s="11" t="inlineStr">
        <is>
          <t>Hours</t>
        </is>
      </c>
      <c r="C3" s="11" t="inlineStr">
        <is>
          <t>Labor $</t>
        </is>
      </c>
      <c r="D3" s="11" t="inlineStr">
        <is>
          <t>Avg $/hr</t>
        </is>
      </c>
      <c r="E3" s="11" t="inlineStr">
        <is>
          <t>Tier</t>
        </is>
      </c>
    </row>
    <row r="4">
      <c r="A4" s="4" t="inlineStr">
        <is>
          <t>Anderson, Richard P</t>
        </is>
      </c>
      <c r="B4" s="16" t="n">
        <v>1886.8</v>
      </c>
      <c r="C4" s="5" t="n">
        <v>118374</v>
      </c>
      <c r="D4" s="17">
        <f>IFERROR(C4/B4,0)</f>
        <v/>
      </c>
      <c r="E4" s="4" t="inlineStr">
        <is>
          <t>LEAD/SUPERVISOR</t>
        </is>
      </c>
    </row>
    <row r="5">
      <c r="A5" s="4" t="inlineStr">
        <is>
          <t>Martinez Reyes, Juan C</t>
        </is>
      </c>
      <c r="B5" s="16" t="n">
        <v>1746</v>
      </c>
      <c r="C5" s="5" t="n">
        <v>76824</v>
      </c>
      <c r="D5" s="17">
        <f>IFERROR(C5/B5,0)</f>
        <v/>
      </c>
      <c r="E5" s="4" t="inlineStr">
        <is>
          <t>LEAD/SUPERVISOR</t>
        </is>
      </c>
    </row>
    <row r="6">
      <c r="A6" s="4" t="inlineStr">
        <is>
          <t>Melgar Moz, Brandon</t>
        </is>
      </c>
      <c r="B6" s="16" t="n">
        <v>1612.2</v>
      </c>
      <c r="C6" s="5" t="n">
        <v>39484</v>
      </c>
      <c r="D6" s="17">
        <f>IFERROR(C6/B6,0)</f>
        <v/>
      </c>
      <c r="E6" s="4" t="inlineStr">
        <is>
          <t>JOURNEYMAN</t>
        </is>
      </c>
    </row>
    <row r="7">
      <c r="A7" s="4" t="inlineStr">
        <is>
          <t>Hernandez Gonzalez, Osbaldo</t>
        </is>
      </c>
      <c r="B7" s="16" t="n">
        <v>1470</v>
      </c>
      <c r="C7" s="5" t="n">
        <v>62225</v>
      </c>
      <c r="D7" s="17">
        <f>IFERROR(C7/B7,0)</f>
        <v/>
      </c>
      <c r="E7" s="4" t="inlineStr">
        <is>
          <t>LEAD/SUPERVISOR</t>
        </is>
      </c>
    </row>
    <row r="8">
      <c r="A8" s="4" t="inlineStr">
        <is>
          <t>Ascencio, Jose L</t>
        </is>
      </c>
      <c r="B8" s="16" t="n">
        <v>1465.5</v>
      </c>
      <c r="C8" s="5" t="n">
        <v>62050</v>
      </c>
      <c r="D8" s="17">
        <f>IFERROR(C8/B8,0)</f>
        <v/>
      </c>
      <c r="E8" s="4" t="inlineStr">
        <is>
          <t>LEAD/SUPERVISOR</t>
        </is>
      </c>
    </row>
    <row r="9">
      <c r="A9" s="4" t="inlineStr">
        <is>
          <t>Countryman, Matthew K</t>
        </is>
      </c>
      <c r="B9" s="16" t="n">
        <v>1465.5</v>
      </c>
      <c r="C9" s="5" t="n">
        <v>74230</v>
      </c>
      <c r="D9" s="17">
        <f>IFERROR(C9/B9,0)</f>
        <v/>
      </c>
      <c r="E9" s="4" t="inlineStr">
        <is>
          <t>LEAD/SUPERVISOR</t>
        </is>
      </c>
    </row>
    <row r="10">
      <c r="A10" s="4" t="inlineStr">
        <is>
          <t>Galdamez, Dagoberto A</t>
        </is>
      </c>
      <c r="B10" s="16" t="n">
        <v>1462.8</v>
      </c>
      <c r="C10" s="5" t="n">
        <v>61934</v>
      </c>
      <c r="D10" s="17">
        <f>IFERROR(C10/B10,0)</f>
        <v/>
      </c>
      <c r="E10" s="4" t="inlineStr">
        <is>
          <t>LEAD/SUPERVISOR</t>
        </is>
      </c>
    </row>
    <row r="11">
      <c r="A11" s="4" t="inlineStr">
        <is>
          <t>Paco Leyva, Orlando</t>
        </is>
      </c>
      <c r="B11" s="16" t="n">
        <v>1309</v>
      </c>
      <c r="C11" s="5" t="n">
        <v>80772</v>
      </c>
      <c r="D11" s="17">
        <f>IFERROR(C11/B11,0)</f>
        <v/>
      </c>
      <c r="E11" s="4" t="inlineStr">
        <is>
          <t>LEAD/SUPERVISOR</t>
        </is>
      </c>
    </row>
    <row r="12">
      <c r="A12" s="4" t="inlineStr">
        <is>
          <t>Jimenez Alvarenga, Gerson M</t>
        </is>
      </c>
      <c r="B12" s="16" t="n">
        <v>1253</v>
      </c>
      <c r="C12" s="5" t="n">
        <v>49280</v>
      </c>
      <c r="D12" s="17">
        <f>IFERROR(C12/B12,0)</f>
        <v/>
      </c>
      <c r="E12" s="4" t="inlineStr">
        <is>
          <t>LEAD/SUPERVISOR</t>
        </is>
      </c>
    </row>
    <row r="13">
      <c r="A13" s="4" t="inlineStr">
        <is>
          <t>Mendoza Morales, Jesus A</t>
        </is>
      </c>
      <c r="B13" s="16" t="n">
        <v>1175.5</v>
      </c>
      <c r="C13" s="5" t="n">
        <v>48878</v>
      </c>
      <c r="D13" s="17">
        <f>IFERROR(C13/B13,0)</f>
        <v/>
      </c>
      <c r="E13" s="4" t="inlineStr">
        <is>
          <t>LEAD/SUPERVISOR</t>
        </is>
      </c>
    </row>
    <row r="14">
      <c r="A14" s="4" t="inlineStr">
        <is>
          <t>Cruz Guzman, Joel A</t>
        </is>
      </c>
      <c r="B14" s="16" t="n">
        <v>919.5</v>
      </c>
      <c r="C14" s="5" t="n">
        <v>47309</v>
      </c>
      <c r="D14" s="17">
        <f>IFERROR(C14/B14,0)</f>
        <v/>
      </c>
      <c r="E14" s="4" t="inlineStr">
        <is>
          <t>LEAD/SUPERVISOR</t>
        </is>
      </c>
    </row>
    <row r="15">
      <c r="A15" s="4" t="inlineStr">
        <is>
          <t>Mackey, Cole J</t>
        </is>
      </c>
      <c r="B15" s="16" t="n">
        <v>883</v>
      </c>
      <c r="C15" s="5" t="n">
        <v>45310</v>
      </c>
      <c r="D15" s="17">
        <f>IFERROR(C15/B15,0)</f>
        <v/>
      </c>
      <c r="E15" s="4" t="inlineStr">
        <is>
          <t>LEAD/SUPERVISOR</t>
        </is>
      </c>
    </row>
    <row r="16">
      <c r="A16" s="4" t="inlineStr">
        <is>
          <t>Zuniga Avilez, Eduar A</t>
        </is>
      </c>
      <c r="B16" s="16" t="n">
        <v>871.2</v>
      </c>
      <c r="C16" s="5" t="n">
        <v>21620</v>
      </c>
      <c r="D16" s="17">
        <f>IFERROR(C16/B16,0)</f>
        <v/>
      </c>
      <c r="E16" s="4" t="inlineStr">
        <is>
          <t>JOURNEYMAN</t>
        </is>
      </c>
    </row>
    <row r="17">
      <c r="A17" s="4" t="inlineStr">
        <is>
          <t>Chevez, Herson G</t>
        </is>
      </c>
      <c r="B17" s="16" t="n">
        <v>833</v>
      </c>
      <c r="C17" s="5" t="n">
        <v>31558</v>
      </c>
      <c r="D17" s="17">
        <f>IFERROR(C17/B17,0)</f>
        <v/>
      </c>
      <c r="E17" s="4" t="inlineStr">
        <is>
          <t>LEAD/SUPERVISOR</t>
        </is>
      </c>
    </row>
    <row r="18">
      <c r="A18" s="4" t="inlineStr">
        <is>
          <t>Nunez Bravo, Jose L</t>
        </is>
      </c>
      <c r="B18" s="16" t="n">
        <v>820.8</v>
      </c>
      <c r="C18" s="5" t="n">
        <v>19698</v>
      </c>
      <c r="D18" s="17">
        <f>IFERROR(C18/B18,0)</f>
        <v/>
      </c>
      <c r="E18" s="4" t="inlineStr">
        <is>
          <t>JOURNEYMAN</t>
        </is>
      </c>
    </row>
    <row r="19">
      <c r="A19" s="4" t="inlineStr">
        <is>
          <t>Toscano, Esteban</t>
        </is>
      </c>
      <c r="B19" s="16" t="n">
        <v>817.5</v>
      </c>
      <c r="C19" s="5" t="n">
        <v>42050</v>
      </c>
      <c r="D19" s="17">
        <f>IFERROR(C19/B19,0)</f>
        <v/>
      </c>
      <c r="E19" s="4" t="inlineStr">
        <is>
          <t>LEAD/SUPERVISOR</t>
        </is>
      </c>
    </row>
    <row r="20">
      <c r="A20" s="4" t="inlineStr">
        <is>
          <t>Suniga Aviles, Kelvin A</t>
        </is>
      </c>
      <c r="B20" s="16" t="n">
        <v>802.5</v>
      </c>
      <c r="C20" s="5" t="n">
        <v>20130</v>
      </c>
      <c r="D20" s="17">
        <f>IFERROR(C20/B20,0)</f>
        <v/>
      </c>
      <c r="E20" s="4" t="inlineStr">
        <is>
          <t>JOURNEYMAN</t>
        </is>
      </c>
    </row>
    <row r="21">
      <c r="A21" s="4" t="inlineStr">
        <is>
          <t>Lima Romero, Melvin A</t>
        </is>
      </c>
      <c r="B21" s="16" t="n">
        <v>711</v>
      </c>
      <c r="C21" s="5" t="n">
        <v>31284</v>
      </c>
      <c r="D21" s="17">
        <f>IFERROR(C21/B21,0)</f>
        <v/>
      </c>
      <c r="E21" s="4" t="inlineStr">
        <is>
          <t>LEAD/SUPERVISOR</t>
        </is>
      </c>
    </row>
    <row r="22">
      <c r="A22" s="4" t="inlineStr">
        <is>
          <t>Del Villar, Flabio</t>
        </is>
      </c>
      <c r="B22" s="16" t="n">
        <v>667.5</v>
      </c>
      <c r="C22" s="5" t="n">
        <v>22430</v>
      </c>
      <c r="D22" s="17">
        <f>IFERROR(C22/B22,0)</f>
        <v/>
      </c>
      <c r="E22" s="4" t="inlineStr">
        <is>
          <t>JOURNEYMAN</t>
        </is>
      </c>
    </row>
    <row r="23">
      <c r="A23" s="4" t="inlineStr">
        <is>
          <t>Gerard, Jeffrey S</t>
        </is>
      </c>
      <c r="B23" s="16" t="n">
        <v>478</v>
      </c>
      <c r="C23" s="5" t="n">
        <v>32982</v>
      </c>
      <c r="D23" s="17">
        <f>IFERROR(C23/B23,0)</f>
        <v/>
      </c>
      <c r="E23" s="4" t="inlineStr">
        <is>
          <t>LEAD/SUPERVISOR</t>
        </is>
      </c>
    </row>
    <row r="24">
      <c r="A24" s="4" t="inlineStr">
        <is>
          <t>Lopez, Maslin A</t>
        </is>
      </c>
      <c r="B24" s="16" t="n">
        <v>319.5</v>
      </c>
      <c r="C24" s="5" t="n">
        <v>10544</v>
      </c>
      <c r="D24" s="17">
        <f>IFERROR(C24/B24,0)</f>
        <v/>
      </c>
      <c r="E24" s="4" t="inlineStr">
        <is>
          <t>JOURNEYMAN</t>
        </is>
      </c>
    </row>
    <row r="25">
      <c r="A25" s="4" t="inlineStr">
        <is>
          <t>Cruz, Azael S</t>
        </is>
      </c>
      <c r="B25" s="16" t="n">
        <v>315.5</v>
      </c>
      <c r="C25" s="5" t="n">
        <v>10096</v>
      </c>
      <c r="D25" s="17">
        <f>IFERROR(C25/B25,0)</f>
        <v/>
      </c>
      <c r="E25" s="4" t="inlineStr">
        <is>
          <t>JOURNEYMAN</t>
        </is>
      </c>
    </row>
    <row r="26">
      <c r="A26" s="4" t="inlineStr">
        <is>
          <t>Draves, Steven W</t>
        </is>
      </c>
      <c r="B26" s="16" t="n">
        <v>290.5</v>
      </c>
      <c r="C26" s="5" t="n">
        <v>15978</v>
      </c>
      <c r="D26" s="17">
        <f>IFERROR(C26/B26,0)</f>
        <v/>
      </c>
      <c r="E26" s="4" t="inlineStr">
        <is>
          <t>LEAD/SUPERVISOR</t>
        </is>
      </c>
    </row>
    <row r="27">
      <c r="A27" s="4" t="inlineStr">
        <is>
          <t>Barnhart, Joseph N</t>
        </is>
      </c>
      <c r="B27" s="16" t="n">
        <v>267.2</v>
      </c>
      <c r="C27" s="5" t="n">
        <v>18378</v>
      </c>
      <c r="D27" s="17">
        <f>IFERROR(C27/B27,0)</f>
        <v/>
      </c>
      <c r="E27" s="4" t="inlineStr">
        <is>
          <t>LEAD/SUPERVISOR</t>
        </is>
      </c>
    </row>
    <row r="28">
      <c r="A28" s="4" t="inlineStr">
        <is>
          <t>Gomez Aguirre, Exequiel</t>
        </is>
      </c>
      <c r="B28" s="16" t="n">
        <v>239.2</v>
      </c>
      <c r="C28" s="5" t="n">
        <v>6603</v>
      </c>
      <c r="D28" s="17">
        <f>IFERROR(C28/B28,0)</f>
        <v/>
      </c>
      <c r="E28" s="4" t="inlineStr">
        <is>
          <t>JOURNEYMAN</t>
        </is>
      </c>
    </row>
    <row r="29">
      <c r="A29" s="4" t="inlineStr">
        <is>
          <t>Romero Garza, Jesus I</t>
        </is>
      </c>
      <c r="B29" s="16" t="n">
        <v>224.8</v>
      </c>
      <c r="C29" s="5" t="n">
        <v>7417</v>
      </c>
      <c r="D29" s="17">
        <f>IFERROR(C29/B29,0)</f>
        <v/>
      </c>
      <c r="E29" s="4" t="inlineStr">
        <is>
          <t>JOURNEYMAN</t>
        </is>
      </c>
    </row>
    <row r="30">
      <c r="A30" s="4" t="inlineStr">
        <is>
          <t>Taylor, Evan R</t>
        </is>
      </c>
      <c r="B30" s="16" t="n">
        <v>184</v>
      </c>
      <c r="C30" s="5" t="n">
        <v>9568</v>
      </c>
      <c r="D30" s="17">
        <f>IFERROR(C30/B30,0)</f>
        <v/>
      </c>
      <c r="E30" s="4" t="inlineStr">
        <is>
          <t>LEAD/SUPERVISOR</t>
        </is>
      </c>
    </row>
    <row r="31">
      <c r="A31" s="4" t="inlineStr">
        <is>
          <t>Gerard, Jordan E</t>
        </is>
      </c>
      <c r="B31" s="16" t="n">
        <v>179</v>
      </c>
      <c r="C31" s="5" t="n">
        <v>10722</v>
      </c>
      <c r="D31" s="17">
        <f>IFERROR(C31/B31,0)</f>
        <v/>
      </c>
      <c r="E31" s="4" t="inlineStr">
        <is>
          <t>LEAD/SUPERVISOR</t>
        </is>
      </c>
    </row>
    <row r="32">
      <c r="A32" s="4" t="inlineStr">
        <is>
          <t>Johnson, Jake E</t>
        </is>
      </c>
      <c r="B32" s="16" t="n">
        <v>168</v>
      </c>
      <c r="C32" s="5" t="n">
        <v>8736</v>
      </c>
      <c r="D32" s="17">
        <f>IFERROR(C32/B32,0)</f>
        <v/>
      </c>
      <c r="E32" s="4" t="inlineStr">
        <is>
          <t>LEAD/SUPERVISOR</t>
        </is>
      </c>
    </row>
    <row r="33">
      <c r="A33" s="4" t="inlineStr">
        <is>
          <t>Castro Hernandez, Jose A</t>
        </is>
      </c>
      <c r="B33" s="16" t="n">
        <v>140.5</v>
      </c>
      <c r="C33" s="5" t="n">
        <v>7587</v>
      </c>
      <c r="D33" s="17">
        <f>IFERROR(C33/B33,0)</f>
        <v/>
      </c>
      <c r="E33" s="4" t="inlineStr">
        <is>
          <t>LEAD/SUPERVISOR</t>
        </is>
      </c>
    </row>
    <row r="34">
      <c r="A34" s="4" t="inlineStr">
        <is>
          <t>Guerrero Espinoza, Mario</t>
        </is>
      </c>
      <c r="B34" s="16" t="n">
        <v>87</v>
      </c>
      <c r="C34" s="5" t="n">
        <v>2610</v>
      </c>
      <c r="D34" s="17">
        <f>IFERROR(C34/B34,0)</f>
        <v/>
      </c>
      <c r="E34" s="4" t="inlineStr">
        <is>
          <t>JOURNEYMAN</t>
        </is>
      </c>
    </row>
    <row r="35">
      <c r="A35" s="4" t="inlineStr">
        <is>
          <t>Eisenhauer, Tommy J</t>
        </is>
      </c>
      <c r="B35" s="16" t="n">
        <v>61.2</v>
      </c>
      <c r="C35" s="5" t="n">
        <v>3491</v>
      </c>
      <c r="D35" s="17">
        <f>IFERROR(C35/B35,0)</f>
        <v/>
      </c>
      <c r="E35" s="4" t="inlineStr">
        <is>
          <t>LEAD/SUPERVISOR</t>
        </is>
      </c>
    </row>
    <row r="36">
      <c r="A36" s="4" t="inlineStr">
        <is>
          <t>Gerard, Mitchell J</t>
        </is>
      </c>
      <c r="B36" s="16" t="n">
        <v>10.5</v>
      </c>
      <c r="C36" s="5" t="n">
        <v>644</v>
      </c>
      <c r="D36" s="17">
        <f>IFERROR(C36/B36,0)</f>
        <v/>
      </c>
      <c r="E36" s="4" t="inlineStr">
        <is>
          <t>LEAD/SUPERVISOR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14" customWidth="1" min="4" max="4"/>
    <col width="14" customWidth="1" min="5" max="5"/>
  </cols>
  <sheetData>
    <row r="1">
      <c r="A1" s="1" t="inlineStr">
        <is>
          <t>Wage Tier Distribution</t>
        </is>
      </c>
    </row>
    <row r="3">
      <c r="A3" s="11" t="inlineStr">
        <is>
          <t>Tier</t>
        </is>
      </c>
      <c r="B3" s="11" t="inlineStr">
        <is>
          <t># Workers</t>
        </is>
      </c>
      <c r="C3" s="11" t="inlineStr">
        <is>
          <t>Hours</t>
        </is>
      </c>
      <c r="D3" s="11" t="inlineStr">
        <is>
          <t>Labor $</t>
        </is>
      </c>
      <c r="E3" s="11" t="inlineStr">
        <is>
          <t>% of Hours</t>
        </is>
      </c>
    </row>
    <row r="4">
      <c r="A4" s="10" t="inlineStr">
        <is>
          <t>LEAD/SUPERVISOR</t>
        </is>
      </c>
      <c r="B4" s="4" t="n">
        <v>23</v>
      </c>
      <c r="C4" s="16" t="n">
        <v>19177</v>
      </c>
      <c r="D4" s="5" t="n">
        <v>940164</v>
      </c>
      <c r="E4" s="12">
        <f>IFERROR(C4/SUM(C$4:C$7),0)</f>
        <v/>
      </c>
    </row>
    <row r="5">
      <c r="A5" s="10" t="inlineStr">
        <is>
          <t>JOURNEYMAN</t>
        </is>
      </c>
      <c r="B5" s="4" t="n">
        <v>10</v>
      </c>
      <c r="C5" s="16" t="n">
        <v>5960.2</v>
      </c>
      <c r="D5" s="5" t="n">
        <v>160631</v>
      </c>
      <c r="E5" s="12">
        <f>IFERROR(C5/SUM(C$4:C$7),0)</f>
        <v/>
      </c>
    </row>
    <row r="6">
      <c r="A6" s="10" t="inlineStr">
        <is>
          <t>APPRENTICE/HELPER</t>
        </is>
      </c>
      <c r="B6" s="4" t="n">
        <v>0</v>
      </c>
      <c r="C6" s="16" t="n">
        <v>0</v>
      </c>
      <c r="D6" s="5" t="n">
        <v>0</v>
      </c>
      <c r="E6" s="12">
        <f>IFERROR(C6/SUM(C$4:C$7),0)</f>
        <v/>
      </c>
    </row>
    <row r="7">
      <c r="A7" s="10" t="inlineStr">
        <is>
          <t>OT-ONLY</t>
        </is>
      </c>
      <c r="B7" s="4" t="n">
        <v>0</v>
      </c>
      <c r="C7" s="16" t="n">
        <v>0</v>
      </c>
      <c r="D7" s="5" t="n">
        <v>0</v>
      </c>
      <c r="E7" s="12">
        <f>IFERROR(C7/SUM(C$4:C$7),0)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Productivity Metrics</t>
        </is>
      </c>
    </row>
    <row r="3">
      <c r="A3" s="4" t="inlineStr">
        <is>
          <t>Total labor hours (to date)</t>
        </is>
      </c>
      <c r="B3" s="16" t="n">
        <v>25137</v>
      </c>
    </row>
    <row r="4">
      <c r="A4" s="4" t="inlineStr">
        <is>
          <t>Active workers</t>
        </is>
      </c>
      <c r="B4" s="18" t="n">
        <v>33</v>
      </c>
    </row>
    <row r="5">
      <c r="A5" s="4" t="inlineStr">
        <is>
          <t>Hours per unit (to date)</t>
        </is>
      </c>
      <c r="B5" s="16" t="n">
        <v>103</v>
      </c>
    </row>
    <row r="6">
      <c r="A6" s="4" t="inlineStr">
        <is>
          <t>Revenue per labor hour (billed)</t>
        </is>
      </c>
      <c r="B6" s="19" t="n">
        <v>175.92</v>
      </c>
    </row>
    <row r="7">
      <c r="A7" s="4" t="inlineStr">
        <is>
          <t>Percent complete</t>
        </is>
      </c>
      <c r="B7" s="20" t="n">
        <v>0.9043624099310696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Portfolio Benchmarks (vs. closed jobs)</t>
        </is>
      </c>
    </row>
    <row r="3">
      <c r="A3" s="11" t="inlineStr">
        <is>
          <t>Metric</t>
        </is>
      </c>
      <c r="B3" s="11" t="inlineStr">
        <is>
          <t>This Job</t>
        </is>
      </c>
      <c r="C3" s="11" t="inlineStr">
        <is>
          <t>Portfolio Median</t>
        </is>
      </c>
      <c r="D3" s="11" t="inlineStr">
        <is>
          <t>Delta</t>
        </is>
      </c>
    </row>
    <row r="4">
      <c r="A4" s="4" t="inlineStr">
        <is>
          <t>Forecast margin %</t>
        </is>
      </c>
      <c r="B4" s="20" t="n">
        <v>0.1793840853716646</v>
      </c>
      <c r="C4" s="20" t="n">
        <v>0.34</v>
      </c>
      <c r="D4" s="12">
        <f>B4-C4</f>
        <v/>
      </c>
    </row>
    <row r="5">
      <c r="A5" s="4" t="inlineStr">
        <is>
          <t>Roughin labor share (code 120)</t>
        </is>
      </c>
      <c r="B5" s="20" t="n">
        <v>0.4496636243080402</v>
      </c>
      <c r="C5" s="20" t="n">
        <v>0.45</v>
      </c>
      <c r="D5" s="12">
        <f>B5-C5</f>
        <v/>
      </c>
    </row>
    <row r="6">
      <c r="A6" s="4" t="inlineStr">
        <is>
          <t>Top vendor concentration</t>
        </is>
      </c>
      <c r="B6" s="20" t="n">
        <v>0.3809480158063042</v>
      </c>
      <c r="C6" s="20" t="n">
        <v>0.38</v>
      </c>
      <c r="D6" s="12">
        <f>B6-C6</f>
        <v/>
      </c>
    </row>
    <row r="7">
      <c r="A7" s="4" t="inlineStr">
        <is>
          <t>Hours per unit</t>
        </is>
      </c>
      <c r="B7" s="16" t="n">
        <v>103.0215163934426</v>
      </c>
      <c r="C7" s="16" t="n">
        <v>95</v>
      </c>
      <c r="D7" s="21">
        <f>B7-C7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4" customWidth="1" min="3" max="3"/>
  </cols>
  <sheetData>
    <row r="1">
      <c r="A1" s="1" t="inlineStr">
        <is>
          <t>Predictive Signals (live project)</t>
        </is>
      </c>
    </row>
    <row r="3">
      <c r="A3" s="11" t="inlineStr">
        <is>
          <t>Signal</t>
        </is>
      </c>
      <c r="B3" s="11" t="inlineStr">
        <is>
          <t>Status</t>
        </is>
      </c>
      <c r="C3" s="11" t="inlineStr">
        <is>
          <t>Notes</t>
        </is>
      </c>
    </row>
    <row r="4">
      <c r="A4" s="4" t="inlineStr">
        <is>
          <t>Garage Labor (111) CRITICAL overrun</t>
        </is>
      </c>
      <c r="B4" s="22" t="inlineStr">
        <is>
          <t>⚠ WATCH</t>
        </is>
      </c>
      <c r="C4" s="4" t="inlineStr">
        <is>
          <t>Actual $153,774 vs revised $90,954 (+69%) — needs immediate attention</t>
        </is>
      </c>
    </row>
    <row r="5">
      <c r="A5" s="4" t="inlineStr">
        <is>
          <t>Canout Labor (112) over revised</t>
        </is>
      </c>
      <c r="B5" s="22" t="inlineStr">
        <is>
          <t>⚠ WATCH</t>
        </is>
      </c>
      <c r="C5" s="4" t="inlineStr">
        <is>
          <t>Actual $66,406 vs revised $59,715 (+11%) — monitor</t>
        </is>
      </c>
    </row>
    <row r="6">
      <c r="A6" s="4" t="inlineStr">
        <is>
          <t>Roughin Labor (120) over revised</t>
        </is>
      </c>
      <c r="B6" s="22" t="inlineStr">
        <is>
          <t>⚠ WATCH</t>
        </is>
      </c>
      <c r="C6" s="4" t="inlineStr">
        <is>
          <t>Actual $646,310 vs revised $565,930 (+14%) — monitor</t>
        </is>
      </c>
    </row>
    <row r="7">
      <c r="A7" s="4" t="inlineStr">
        <is>
          <t>Top vendor concentration (Consolidated Supply )</t>
        </is>
      </c>
      <c r="B7" s="23" t="inlineStr">
        <is>
          <t>✓ OK</t>
        </is>
      </c>
      <c r="C7" s="4" t="inlineStr">
        <is>
          <t>38% of AP ($420,436) — acceptable</t>
        </is>
      </c>
    </row>
    <row r="8">
      <c r="A8" s="4" t="inlineStr">
        <is>
          <t>Retention aging</t>
        </is>
      </c>
      <c r="B8" s="23" t="inlineStr">
        <is>
          <t>✓ OK</t>
        </is>
      </c>
      <c r="C8" s="4" t="inlineStr">
        <is>
          <t>$245,731 held · 5.6% of billed · standard range</t>
        </is>
      </c>
    </row>
    <row r="9">
      <c r="A9" s="4" t="inlineStr">
        <is>
          <t>Forecast margin</t>
        </is>
      </c>
      <c r="B9" s="22" t="inlineStr">
        <is>
          <t>⚠ WATCH</t>
        </is>
      </c>
      <c r="C9" s="4" t="inlineStr">
        <is>
          <t>17.9% forecast margin — monitor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JDR Reconciliation</t>
        </is>
      </c>
    </row>
    <row r="3">
      <c r="A3" s="11" t="inlineStr">
        <is>
          <t>Source</t>
        </is>
      </c>
      <c r="B3" s="11" t="inlineStr">
        <is>
          <t>Reported</t>
        </is>
      </c>
      <c r="C3" s="11" t="inlineStr">
        <is>
          <t>Calculated</t>
        </is>
      </c>
      <c r="D3" s="11" t="inlineStr">
        <is>
          <t>Delta</t>
        </is>
      </c>
    </row>
    <row r="4">
      <c r="A4" s="4" t="inlineStr">
        <is>
          <t>Total expenses (from code totals)</t>
        </is>
      </c>
      <c r="B4" s="5" t="n">
        <v>2919283.75</v>
      </c>
      <c r="C4" s="5" t="n">
        <v>2919283.75</v>
      </c>
      <c r="D4" s="9">
        <f>IF(ISNUMBER(B4),B4-C4,"—")</f>
        <v/>
      </c>
    </row>
    <row r="5">
      <c r="A5" s="4" t="inlineStr">
        <is>
          <t>Revenue billed (AR ·-1)</t>
        </is>
      </c>
      <c r="B5" s="5" t="n">
        <v>-4422211</v>
      </c>
      <c r="C5" s="5" t="n">
        <v>4914620</v>
      </c>
      <c r="D5" s="9">
        <f>IF(ISNUMBER(B5),B5-C5,"—")</f>
        <v/>
      </c>
    </row>
    <row r="6">
      <c r="A6" s="4" t="inlineStr">
        <is>
          <t>AP source total</t>
        </is>
      </c>
      <c r="C6" s="5" t="n">
        <v>1103655.86</v>
      </c>
      <c r="D6" s="9">
        <f>IF(ISNUMBER(B6),B6-C6,"—")</f>
        <v/>
      </c>
    </row>
    <row r="7">
      <c r="A7" s="4" t="inlineStr">
        <is>
          <t>PR source total</t>
        </is>
      </c>
      <c r="C7" s="5" t="n">
        <v>1717809.21</v>
      </c>
      <c r="D7" s="9">
        <f>IF(ISNUMBER(B7),B7-C7,"—")</f>
        <v/>
      </c>
    </row>
    <row r="8">
      <c r="A8" s="4" t="inlineStr">
        <is>
          <t>GL source total</t>
        </is>
      </c>
      <c r="C8" s="5" t="n">
        <v>590227.6800000001</v>
      </c>
      <c r="D8" s="9">
        <f>IF(ISNUMBER(B8),B8-C8,"—")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50" customWidth="1" min="3" max="3"/>
  </cols>
  <sheetData>
    <row r="1">
      <c r="A1" s="1" t="inlineStr">
        <is>
          <t>Metric Registry</t>
        </is>
      </c>
    </row>
    <row r="3">
      <c r="A3" s="11" t="inlineStr">
        <is>
          <t>Metric</t>
        </is>
      </c>
      <c r="B3" s="11" t="inlineStr">
        <is>
          <t>Source Tab</t>
        </is>
      </c>
      <c r="C3" s="11" t="inlineStr">
        <is>
          <t>Definition</t>
        </is>
      </c>
    </row>
    <row r="4">
      <c r="A4" s="24" t="inlineStr">
        <is>
          <t>Forecast margin %</t>
        </is>
      </c>
      <c r="B4" s="24" t="inlineStr">
        <is>
          <t>01 Overview</t>
        </is>
      </c>
      <c r="C4" s="24" t="inlineStr">
        <is>
          <t>Forecast net profit / Revised contract value</t>
        </is>
      </c>
    </row>
    <row r="5">
      <c r="A5" s="24" t="inlineStr">
        <is>
          <t>Percent complete</t>
        </is>
      </c>
      <c r="B5" s="24" t="inlineStr">
        <is>
          <t>01 Overview</t>
        </is>
      </c>
      <c r="C5" s="24" t="inlineStr">
        <is>
          <t>Billed to date / Revised contract value</t>
        </is>
      </c>
    </row>
    <row r="6">
      <c r="A6" s="24" t="inlineStr">
        <is>
          <t>Roughin labor share</t>
        </is>
      </c>
      <c r="B6" s="24" t="inlineStr">
        <is>
          <t>06 Cost Codes</t>
        </is>
      </c>
      <c r="C6" s="24" t="inlineStr">
        <is>
          <t>Code 120 revised / Total labor revised budget</t>
        </is>
      </c>
    </row>
    <row r="7">
      <c r="A7" s="24" t="inlineStr">
        <is>
          <t>Top vendor concentration</t>
        </is>
      </c>
      <c r="B7" s="24" t="inlineStr">
        <is>
          <t>09 Vendor Analysis</t>
        </is>
      </c>
      <c r="C7" s="24" t="inlineStr">
        <is>
          <t>Largest single vendor AP spend / Total AP</t>
        </is>
      </c>
    </row>
    <row r="8">
      <c r="A8" s="24" t="inlineStr">
        <is>
          <t>Hours per unit</t>
        </is>
      </c>
      <c r="B8" s="24" t="inlineStr">
        <is>
          <t>12 Productivity</t>
        </is>
      </c>
      <c r="C8" s="24" t="inlineStr">
        <is>
          <t>Total PR hours to date / Unit count</t>
        </is>
      </c>
    </row>
    <row r="9">
      <c r="A9" s="24" t="inlineStr">
        <is>
          <t>BVA status codes</t>
        </is>
      </c>
      <c r="B9" s="24" t="inlineStr">
        <is>
          <t>08 BVA</t>
        </is>
      </c>
      <c r="C9" s="24" t="inlineStr">
        <is>
          <t>OVER / CRITICAL / UNDER / ON / UNBUDGETED on revised basis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50" customWidth="1" min="3" max="3"/>
  </cols>
  <sheetData>
    <row r="1">
      <c r="A1" s="1" t="inlineStr">
        <is>
          <t>Workbook Change Log</t>
        </is>
      </c>
    </row>
    <row r="3">
      <c r="A3" s="11" t="inlineStr">
        <is>
          <t>Date</t>
        </is>
      </c>
      <c r="B3" s="11" t="inlineStr">
        <is>
          <t>Version</t>
        </is>
      </c>
      <c r="C3" s="11" t="inlineStr">
        <is>
          <t>Note</t>
        </is>
      </c>
    </row>
    <row r="4">
      <c r="A4" s="4" t="inlineStr">
        <is>
          <t>2026-04-24</t>
        </is>
      </c>
      <c r="B4" s="4" t="inlineStr">
        <is>
          <t>v1.0 · live</t>
        </is>
      </c>
      <c r="C4" s="4" t="inlineStr">
        <is>
          <t>Initial build for #2107 live project. 17-tab JCR schema on revised budget basis.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2026-04-24T13:02:32Z</dcterms:created>
  <dcterms:modified xmlns:dcterms="http://purl.org/dc/terms/" xmlns:xsi="http://www.w3.org/2001/XMLSchema-instance" xsi:type="dcterms:W3CDTF">2026-04-24T13:02:32Z</dcterms:modified>
</cp:coreProperties>
</file>