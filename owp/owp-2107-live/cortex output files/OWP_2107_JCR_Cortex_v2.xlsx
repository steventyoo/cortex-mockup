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<sst xmlns="http://schemas.openxmlformats.org/spreadsheetml/2006/main" count="723" uniqueCount="467">
  <si>
    <t xml:space="preserve">OWP #2107 · 68th &amp; Roosevelt</t>
  </si>
  <si>
    <t xml:space="preserve">Chinn Construction, LLC · 244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</si>
  <si>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</si>
  <si>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</si>
  <si>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</si>
  <si>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</si>
  <si>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</si>
  <si>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</si>
  <si>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</si>
  <si>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</si>
  <si>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</si>
  <si>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</si>
  <si>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</si>
  <si>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</si>
  <si>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</si>
  <si>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</si>
  <si>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</si>
  <si>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</si>
  <si>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</si>
  <si>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</si>
  <si>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PROJECT TEAM · KEY PLAYERS</t>
  </si>
  <si>
    <t xml:space="preserve">Active RI phase · 90.4% billed · 34.0% margin · 20 executed COs (+4.7% additive) · Foreman Anderson + Paco Leyva.</t>
  </si>
  <si>
    <t xml:space="preserve">ROLE</t>
  </si>
  <si>
    <t xml:space="preserve">VALUE</t>
  </si>
  <si>
    <t xml:space="preserve">General Contractor</t>
  </si>
  <si>
    <t xml:space="preserve">Chinn Construction, LLC</t>
  </si>
  <si>
    <t xml:space="preserve">Owner</t>
  </si>
  <si>
    <t xml:space="preserve">6716 Roosevelt Owner, LLC / High Street Northwest Development (Trammell Crow)</t>
  </si>
  <si>
    <t xml:space="preserve">Architect</t>
  </si>
  <si>
    <t xml:space="preserve">Weinstein A+U, LLC</t>
  </si>
  <si>
    <t xml:space="preserve">MEP / Plumbing Engineer</t>
  </si>
  <si>
    <t xml:space="preserve">Emerald City Engineering (GC bridge MEP, per Master Project List) + Robison Engineering, Inc. (OWP's 3rd-party plumbing design-build engineer, per build_2107 META)</t>
  </si>
  <si>
    <t xml:space="preserve">OWP RI Foreman</t>
  </si>
  <si>
    <t xml:space="preserve">Anderson, Richard P (1,885 hrs · $62.70/hr) + Paco Leyva, Orlando (1,309 hrs · $61.70/hr)</t>
  </si>
  <si>
    <t xml:space="preserve">OWP Signatory</t>
  </si>
  <si>
    <t xml:space="preserve">Richard Donelson</t>
  </si>
  <si>
    <t xml:space="preserve">Site Address</t>
  </si>
  <si>
    <t xml:space="preserve">6716 Roosevelt Way NE, Seattle, WA 98115 (Roosevelt neighborhood, NE 67th-68th block)</t>
  </si>
  <si>
    <t xml:space="preserve">Insurance</t>
  </si>
  <si>
    <t xml:space="preserve">Standard COI · non-Wrap (per OWP project team grid · build_2107 META)</t>
  </si>
  <si>
    <t xml:space="preserve">Status</t>
  </si>
  <si>
    <t xml:space="preserve">ACTIVE · RI phase · 90.4% billed · 30.7% margin</t>
  </si>
  <si>
    <t xml:space="preserve">Original Contract</t>
  </si>
  <si>
    <t xml:space="preserve">$4,671,538</t>
  </si>
  <si>
    <t xml:space="preserve">Final Contract (rev)</t>
  </si>
  <si>
    <t xml:space="preserve">$4,889,866</t>
  </si>
  <si>
    <t xml:space="preserve">AR Billed</t>
  </si>
  <si>
    <t xml:space="preserve">$4,422,211 (90.4%)</t>
  </si>
  <si>
    <t xml:space="preserve">Net Profit (actual)</t>
  </si>
  <si>
    <t xml:space="preserve">$1,502,927 (34.0% margin)</t>
  </si>
  <si>
    <t xml:space="preserve">Retention Held</t>
  </si>
  <si>
    <t xml:space="preserve">$245,731 (5%)</t>
  </si>
  <si>
    <t xml:space="preserve">Active Crew</t>
  </si>
  <si>
    <t xml:space="preserve">33 workers · 25,137 hrs</t>
  </si>
  <si>
    <t xml:space="preserve">JOB #2107 · CHINN 68TH &amp; ROOSEVELT · KEY PLAYERS &amp; METADATA</t>
  </si>
  <si>
    <t xml:space="preserve">Active RI phase · 90.4% billed of $4,889,866 revised contract. 33 workers logged 25,137 hours. 20 executed COs net +$218,328 (+4.7%). Sources: Sage JDR + OWP Master Project List + build_2107 META.</t>
  </si>
  <si>
    <t xml:space="preserve">IDENTITY</t>
  </si>
  <si>
    <t xml:space="preserve">Job Number</t>
  </si>
  <si>
    <t xml:space="preserve">2107</t>
  </si>
  <si>
    <t xml:space="preserve">Job Name</t>
  </si>
  <si>
    <t xml:space="preserve">Chinn 68th &amp; Roosevelt</t>
  </si>
  <si>
    <t xml:space="preserve">Project Type</t>
  </si>
  <si>
    <t xml:space="preserve">244-unit multifamily · 6-story wood-frame · Roosevelt neighborhood Seattle</t>
  </si>
  <si>
    <t xml:space="preserve">Permit</t>
  </si>
  <si>
    <t xml:space="preserve">City of Seattle Plumbing Permit (7 permit-related documents per META)</t>
  </si>
  <si>
    <t xml:space="preserve">Scope of Work</t>
  </si>
  <si>
    <t xml:space="preserve">Multi-family apartments — 6-story wood-frame · plumbing scope</t>
  </si>
  <si>
    <t xml:space="preserve">SCHEDULE</t>
  </si>
  <si>
    <t xml:space="preserve">Project Start</t>
  </si>
  <si>
    <t xml:space="preserve">Jan 2025</t>
  </si>
  <si>
    <t xml:space="preserve">Expected End</t>
  </si>
  <si>
    <t xml:space="preserve">~Q4 2026 (estimated)</t>
  </si>
  <si>
    <t xml:space="preserve">Duration (est.)</t>
  </si>
  <si>
    <t xml:space="preserve">24 months</t>
  </si>
  <si>
    <t xml:space="preserve">Schedule Note</t>
  </si>
  <si>
    <t xml:space="preserve">Jan 2025 → ~Q4 2026 (estimated · ~24 months)</t>
  </si>
  <si>
    <t xml:space="preserve">CONTRACT &amp; FINANCIALS (ACTIVE — TO DATE)</t>
  </si>
  <si>
    <t xml:space="preserve">Net Change Orders</t>
  </si>
  <si>
    <t xml:space="preserve">+$218,328 (+4.7%) across 20 executed COs</t>
  </si>
  <si>
    <t xml:space="preserve">Final Contract (revised)</t>
  </si>
  <si>
    <t xml:space="preserve">AR Billed to Date</t>
  </si>
  <si>
    <t xml:space="preserve">$4,422,211</t>
  </si>
  <si>
    <t xml:space="preserve">% Complete (billed/revised)</t>
  </si>
  <si>
    <t xml:space="preserve">90.4%</t>
  </si>
  <si>
    <t xml:space="preserve">Direct Cost (actual)</t>
  </si>
  <si>
    <t xml:space="preserve">$2,919,284</t>
  </si>
  <si>
    <t xml:space="preserve">Net Profit (actual to date)</t>
  </si>
  <si>
    <t xml:space="preserve">$1,502,927</t>
  </si>
  <si>
    <t xml:space="preserve">Gross Margin (actual to date)</t>
  </si>
  <si>
    <t xml:space="preserve">34.0%</t>
  </si>
  <si>
    <t xml:space="preserve">Lien Position</t>
  </si>
  <si>
    <t xml:space="preserve">Standard subcontract — retention $245,731 held</t>
  </si>
  <si>
    <t xml:space="preserve">Warranty</t>
  </si>
  <si>
    <t xml:space="preserve">1-yr standard plumbing (post-completion · ~Q4 2026)</t>
  </si>
  <si>
    <t xml:space="preserve">Contract on File</t>
  </si>
  <si>
    <t xml:space="preserve">Subcontract executed Jan 2025 · final contract $4,889,866 (was $4,671,538 base · +$218,328 / +4.7% net COs)</t>
  </si>
  <si>
    <t xml:space="preserve">SCOPE &amp; FIXTURES</t>
  </si>
  <si>
    <t xml:space="preserve">Plumbing Units</t>
  </si>
  <si>
    <t xml:space="preserve">244 units ✓ CONFIRMED via OWP Master List (Schedule r94 + 4 Projects Bid entries 2022-2024 all show 244u)</t>
  </si>
  <si>
    <t xml:space="preserve">Total Fixtures</t>
  </si>
  <si>
    <t xml:space="preserve">TBD — no Job Ticket in dataset yet (will appear in GDrive Job Book at closeout). Estimated ~1,100 trim fixtures based on 4.5/unit ratio from #2061 Alta Columbia City (a similar 243u Chinn-pattern mult</t>
  </si>
  <si>
    <t xml:space="preserve">Floors</t>
  </si>
  <si>
    <t xml:space="preserve">6-story wood-frame multifamily (per build_2107 META)</t>
  </si>
  <si>
    <t xml:space="preserve">Fixture Provenance</t>
  </si>
  <si>
    <t xml:space="preserve">No Job Ticket in dataset yet (active project · GDrive Job Book created at closeout). Per CO log inferred fixtures: dog wash (CO#5) + coffee maker (CO#20) + standard residential trim. Definitive count pending Job Book.</t>
  </si>
  <si>
    <t xml:space="preserve">PROJECT TEAM — GENERAL CONTRACTOR (Chinn)</t>
  </si>
  <si>
    <t xml:space="preserve">GC Project Manager</t>
  </si>
  <si>
    <t xml:space="preserve">TBD (Chinn) — to be enriched at closeout</t>
  </si>
  <si>
    <t xml:space="preserve">GC Superintendent</t>
  </si>
  <si>
    <t xml:space="preserve">TBD</t>
  </si>
  <si>
    <t xml:space="preserve">GC Project Engineer</t>
  </si>
  <si>
    <t xml:space="preserve">Chinn engagement count</t>
  </si>
  <si>
    <t xml:space="preserve">OWP's 9th Chinn engagement after Indigo/Kavela, Greenwood, Old Town, Barrett Park, Hadley/Legacy, Luna California, 1405 Dexter, SunDowner. Strong recurring relationship.</t>
  </si>
  <si>
    <t xml:space="preserve">PROJECT TEAM — OWP STAFF</t>
  </si>
  <si>
    <t xml:space="preserve">OWP Roughin Foreman</t>
  </si>
  <si>
    <t xml:space="preserve">OWP Trim Foreman</t>
  </si>
  <si>
    <t xml:space="preserve">TBD (trim phase upcoming)</t>
  </si>
  <si>
    <t xml:space="preserve">OWP Estimator</t>
  </si>
  <si>
    <t xml:space="preserve">OWP Estimating</t>
  </si>
  <si>
    <t xml:space="preserve">33 workers · 25,137 hrs YTD</t>
  </si>
  <si>
    <t xml:space="preserve">PROJECT TEAM — OWNER &amp; DEVELOPMENT</t>
  </si>
  <si>
    <t xml:space="preserve">Owner of Record</t>
  </si>
  <si>
    <t xml:space="preserve">Developer</t>
  </si>
  <si>
    <t xml:space="preserve">High Street Northwest Development (a Trammell Crow division)</t>
  </si>
  <si>
    <t xml:space="preserve">Owner-developer note</t>
  </si>
  <si>
    <t xml:space="preserve">Trammell Crow's NW residential arm operates as 'High Street Northwest Development'. The 6716 Roosevelt Owner, LLC SPV is the title-holding entity.</t>
  </si>
  <si>
    <t xml:space="preserve">PROJECT TEAM — DESIGN</t>
  </si>
  <si>
    <t xml:space="preserve">Structural Engineer</t>
  </si>
  <si>
    <t xml:space="preserve">Civil Engineer</t>
  </si>
  <si>
    <t xml:space="preserve">Landscape Architect</t>
  </si>
  <si>
    <t xml:space="preserve">BID HISTORY (from OWP Master Project List)</t>
  </si>
  <si>
    <t xml:space="preserve">Bid Date</t>
  </si>
  <si>
    <t xml:space="preserve">Type</t>
  </si>
  <si>
    <t xml:space="preserve">GC</t>
  </si>
  <si>
    <t xml:space="preserve">Units</t>
  </si>
  <si>
    <t xml:space="preserve">Price</t>
  </si>
  <si>
    <t xml:space="preserve">Note</t>
  </si>
  <si>
    <t xml:space="preserve">2022-10-21</t>
  </si>
  <si>
    <t xml:space="preserve">BID</t>
  </si>
  <si>
    <t xml:space="preserve">Chinn</t>
  </si>
  <si>
    <t xml:space="preserve">$5,844,000</t>
  </si>
  <si>
    <t xml:space="preserve">Initial Chinn bid · single GC</t>
  </si>
  <si>
    <t xml:space="preserve">2023-04-06</t>
  </si>
  <si>
    <t xml:space="preserve">BUDGET</t>
  </si>
  <si>
    <t xml:space="preserve">$6,038,000</t>
  </si>
  <si>
    <t xml:space="preserve">Revised budget update (+3.3%) · 'Don't think anyone is competition'</t>
  </si>
  <si>
    <t xml:space="preserve">2024-03-06</t>
  </si>
  <si>
    <t xml:space="preserve">$5,098,000</t>
  </si>
  <si>
    <t xml:space="preserve">5-bidder competition · re-bid with Chinn winning</t>
  </si>
  <si>
    <t xml:space="preserve">Braseth</t>
  </si>
  <si>
    <t xml:space="preserve">5-bidder competition (Braseth same price as Chinn)</t>
  </si>
  <si>
    <t xml:space="preserve">Compass</t>
  </si>
  <si>
    <t xml:space="preserve">5-bidder competition</t>
  </si>
  <si>
    <t xml:space="preserve">Venture</t>
  </si>
  <si>
    <t xml:space="preserve">$5,148,000</t>
  </si>
  <si>
    <t xml:space="preserve">5-bidder competition (Venture +$50k)</t>
  </si>
  <si>
    <t xml:space="preserve">Subcontract</t>
  </si>
  <si>
    <t xml:space="preserve">EXEC</t>
  </si>
  <si>
    <t xml:space="preserve">Final negotiated subcontract (Chinn awarded · negotiated down from $5.10M)</t>
  </si>
  <si>
    <t xml:space="preserve">AP VENDOR PROFILE (TO DATE)</t>
  </si>
  <si>
    <t xml:space="preserve">Top Vendor</t>
  </si>
  <si>
    <t xml:space="preserve">Consolidated Supply Co. ($420,436 / 101 invoices / 38.1% of $1.10M AP)</t>
  </si>
  <si>
    <t xml:space="preserve">Total AP Spend</t>
  </si>
  <si>
    <t xml:space="preserve">$1,103,656</t>
  </si>
  <si>
    <t xml:space="preserve">Active Vendors</t>
  </si>
  <si>
    <t xml:space="preserve">23 unique vendors</t>
  </si>
  <si>
    <t xml:space="preserve">Concentration Note</t>
  </si>
  <si>
    <t xml:space="preserve">Consolidated Supply 38.1% + Pacific Plumbing 16.8% + Keller 11.8% + Rosen 10.6% = Top 4 dominate at 77% of AP. Standard for active Chinn jobs.</t>
  </si>
  <si>
    <t xml:space="preserve">DOCUMENT META (live counts)</t>
  </si>
  <si>
    <t xml:space="preserve">Executed COs</t>
  </si>
  <si>
    <t xml:space="preserve">20 COs · net +$218,328</t>
  </si>
  <si>
    <t xml:space="preserve">CORs</t>
  </si>
  <si>
    <t xml:space="preserve">34 unique CORs</t>
  </si>
  <si>
    <t xml:space="preserve">RFIs</t>
  </si>
  <si>
    <t xml:space="preserve">258 (high — typical for 244-unit Chinn project)</t>
  </si>
  <si>
    <t xml:space="preserve">ASIs</t>
  </si>
  <si>
    <t xml:space="preserve">15 (highest = ASI 15 per build META · CO #20)</t>
  </si>
  <si>
    <t xml:space="preserve">Submittals</t>
  </si>
  <si>
    <t xml:space="preserve">184 files</t>
  </si>
  <si>
    <t xml:space="preserve">POs</t>
  </si>
  <si>
    <t xml:space="preserve">438 POs (large active inventory)</t>
  </si>
  <si>
    <t xml:space="preserve">Permits</t>
  </si>
  <si>
    <t xml:space="preserve">7 permit-related docs</t>
  </si>
  <si>
    <t xml:space="preserve">Pay Apps</t>
  </si>
  <si>
    <t xml:space="preserve">14 pay apps · 94 AR transactions in JDR</t>
  </si>
  <si>
    <t xml:space="preserve">Bond cost</t>
  </si>
  <si>
    <t xml:space="preserve">$52,500 (CO #6)</t>
  </si>
  <si>
    <t xml:space="preserve">Notes</t>
  </si>
  <si>
    <t xml:space="preserve">Document counts come from build_2107 META (manually maintained) — JDR shows 9,997 raw line items but no document counts. GDrive Job Book will populate at closeout.</t>
  </si>
  <si>
    <t xml:space="preserve">DATA SOURCES</t>
  </si>
  <si>
    <t xml:space="preserve">JDR PDF</t>
  </si>
  <si>
    <t xml:space="preserve">2107 Job Detail Report (Sage Timberline · Apr 3 2026 run)</t>
  </si>
  <si>
    <t xml:space="preserve">Parsed Data</t>
  </si>
  <si>
    <t xml:space="preserve">2107_data.json (27 cost codes · 9,997 line items · 33 workers)</t>
  </si>
  <si>
    <t xml:space="preserve">Dashboard Arrays</t>
  </si>
  <si>
    <t xml:space="preserve">2107_dashboard_arrays.json (16 arrays · 20-entry CO log + 5-cause root cause analysis)</t>
  </si>
  <si>
    <t xml:space="preserve">Master Project List</t>
  </si>
  <si>
    <t xml:space="preserve">OWP Project List with Schedule - UPDATED 04-01-26.xlsx (Schedule r94 + Projects Bid r199/r217/r278-281 = 7-bid history)</t>
  </si>
  <si>
    <t xml:space="preserve">Build META</t>
  </si>
  <si>
    <t xml:space="preserve">build_2107.py META_2107 dict — 20-CO itemized log + doc counts</t>
  </si>
  <si>
    <t xml:space="preserve">GDrive Folder</t>
  </si>
  <si>
    <t xml:space="preserve">Not yet created (active)</t>
  </si>
  <si>
    <t xml:space="preserve">GDrive Status</t>
  </si>
  <si>
    <t xml:space="preserve">No GDrive Job Book folder yet (active project — created at closeout). Document data sourced from build_2107 META (20 COs, 34 CORs, 258 RFIs, 15 ASIs, 184 submittals, 438 POs, 7 permits, 14 pay apps).</t>
  </si>
  <si>
    <t xml:space="preserve">RISK FLAGS / WATCH ITEMS</t>
  </si>
  <si>
    <t xml:space="preserve">Healthy margin posture</t>
  </si>
  <si>
    <t xml:space="preserve">30.7% margin actual to date · above OWP 28% target. Net +$218,328 CO growth (modest +4.7% additive). Forecast healthy through closeout.</t>
  </si>
  <si>
    <t xml:space="preserve">RFI velocity flag</t>
  </si>
  <si>
    <t xml:space="preserve">258 RFIs over ~15 months = ~17/month. High RFI velocity suggests significant design clarification activity — typical for Trammell Crow / Weinstein A+U projects but worth noting for trim-phase planning.</t>
  </si>
  <si>
    <t xml:space="preserve">ASI 15 just hit</t>
  </si>
  <si>
    <t xml:space="preserve">Latest CO (#20, Apr 3 2026) is ASI 15 + RFI 258 = the design is still iterating in trim. Watch for trim-phase scope creep.</t>
  </si>
  <si>
    <t xml:space="preserve">Bid drift (5,098 → 4,672)</t>
  </si>
  <si>
    <t xml:space="preserve">OWP negotiated $426k off the Mar 2024 bid price ($5.10M → $4.67M = -8.4%) before subcontract execution. Margin held despite price pressure due to disciplined cost management.</t>
  </si>
  <si>
    <t xml:space="preserve">Robison D-B engineer</t>
  </si>
  <si>
    <t xml:space="preserve">Same OWP design-build engineer pattern as #2061 Alta Columbia City + #2106 6220 Roosevelt + #2114 Holland Ballard Blossom + #2118 Edmonds Behar. Robison is OWP's standard 3rd-party plumbing engineer for design-build subcontracts.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</si>
  <si>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</si>
  <si>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</si>
  <si>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</si>
  <si>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</si>
  <si>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</si>
  <si>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</si>
  <si>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</si>
  <si>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</si>
  <si>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</si>
  <si>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</si>
  <si>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</si>
  <si>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</si>
  <si>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COR#08 Plumbing Permit Fees</t>
  </si>
  <si>
    <t xml:space="preserve">COR#01 RFI-012&amp;14 Underground Basin Changes</t>
  </si>
  <si>
    <t xml:space="preserve">COR#03,05,06,09,11 — Sprinkler Standpipe, Hub Drains, Canopy, Re-Review, Floor Drain Credit</t>
  </si>
  <si>
    <t xml:space="preserve">COR#04r1 RFI 36 Updated Plumbing Equipment</t>
  </si>
  <si>
    <t xml:space="preserve">Add Dog Wash</t>
  </si>
  <si>
    <t xml:space="preserve">COR#12 Bond Cost</t>
  </si>
  <si>
    <t xml:space="preserve">COR#13 ASI 006 Credits for Deleted Items</t>
  </si>
  <si>
    <t xml:space="preserve">COR#10 ASI-004 Revised Plumbing Plan Costs</t>
  </si>
  <si>
    <t xml:space="preserve">COR#14,13r1 ASI 007 &amp; ASI 006 Hosebibs/Fixtures</t>
  </si>
  <si>
    <t xml:space="preserve">COR#18,17 RFI 143 Added Condensates &amp; RFI 156 X01 Shut Off</t>
  </si>
  <si>
    <t xml:space="preserve">COR#15 ASI-008 Vent Rerouting</t>
  </si>
  <si>
    <t xml:space="preserve">COR#20,16 RFI 198 Moving Water Main &amp; RFI 137</t>
  </si>
  <si>
    <t xml:space="preserve">COR#22 ASI-011 Changes</t>
  </si>
  <si>
    <t xml:space="preserve">COR#29,28,27,26 Condensate/Rework/AW/Shower Stack</t>
  </si>
  <si>
    <t xml:space="preserve">COR#25 Move Rain Leader</t>
  </si>
  <si>
    <t xml:space="preserve">COR#32,23,19r1 Lower Water Mains/Rerouting/Roof Drains</t>
  </si>
  <si>
    <t xml:space="preserve">COR#31 RFI 211 Rework</t>
  </si>
  <si>
    <t xml:space="preserve">COR#33,21r1 ASI 13 Move Sink &amp; Level 1 Redesign RFI-241</t>
  </si>
  <si>
    <t xml:space="preserve">COR#34r1 Plan Review Fee</t>
  </si>
  <si>
    <t xml:space="preserve">COR#36,35 ASI 15 Add Coffee Maker &amp; RFI #258 Repipe Pump Line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</si>
  <si>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</si>
  <si>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</si>
  <si>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</si>
  <si>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</si>
  <si>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</si>
  <si>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</si>
  <si>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</si>
  <si>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</si>
  <si>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</si>
  <si>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date</t>
  </si>
  <si>
    <t xml:space="preserve">type</t>
  </si>
  <si>
    <t xml:space="preserve">ref</t>
  </si>
  <si>
    <t xml:space="preserve">desc</t>
  </si>
  <si>
    <t xml:space="preserve">amount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</si>
  <si>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</si>
  <si>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</si>
  <si>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</si>
  <si>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</si>
  <si>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</si>
  <si>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</si>
  <si>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</si>
  <si>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</si>
  <si>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</si>
  <si>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</si>
  <si>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</si>
  <si>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</si>
  <si>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</si>
  <si>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</si>
  <si>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</si>
  <si>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</si>
  <si>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</si>
  <si>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</si>
  <si>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</si>
  <si>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</si>
  <si>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</si>
  <si>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</si>
  <si>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</si>
  <si>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</si>
  <si>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</si>
  <si>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</si>
  <si>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</si>
  <si>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</si>
  <si>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</si>
  <si>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</si>
  <si>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</si>
  <si>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</si>
  <si>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</si>
  <si>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</si>
  <si>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</si>
  <si>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</si>
  <si>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</si>
  <si>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</si>
  <si>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</si>
  <si>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</si>
  <si>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</si>
  <si>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</si>
  <si>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</si>
  <si>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</si>
  <si>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</si>
  <si>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</si>
  <si>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</si>
  <si>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</si>
  <si>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</si>
  <si>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</si>
  <si>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</si>
  <si>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</si>
  <si>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</si>
  <si>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</si>
  <si>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</si>
  <si>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</si>
  <si>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</si>
  <si>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</si>
  <si>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</si>
  <si>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</si>
  <si>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</si>
  <si>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</si>
  <si>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</si>
  <si>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</si>
  <si>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</si>
  <si>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</si>
  <si>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</si>
  <si>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</si>
  <si>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</si>
  <si>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</si>
  <si>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</si>
  <si>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</si>
  <si>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</si>
  <si>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</si>
  <si>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</si>
  <si>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Consolidated Supply Co.</t>
  </si>
  <si>
    <t xml:space="preserve">Pacific Plumbing Supply Co., LLC</t>
  </si>
  <si>
    <t xml:space="preserve">Keller Supply Company</t>
  </si>
  <si>
    <t xml:space="preserve">Rosen Supply Kirkland</t>
  </si>
  <si>
    <t xml:space="preserve">California Hydronics Corp</t>
  </si>
  <si>
    <t xml:space="preserve">Hub International Northwest</t>
  </si>
  <si>
    <t xml:space="preserve">MacArthur Co. NW 6276</t>
  </si>
  <si>
    <t xml:space="preserve">Franklin Engineering</t>
  </si>
  <si>
    <t xml:space="preserve">Bank of America CC</t>
  </si>
  <si>
    <t xml:space="preserve">Herc Rentals, Inc.</t>
  </si>
  <si>
    <t xml:space="preserve">Ferguson Enterprises, Inc. #3007</t>
  </si>
  <si>
    <t xml:space="preserve">Pioneer Energy Management</t>
  </si>
  <si>
    <t xml:space="preserve">Platt $Rexel USA, Inc.</t>
  </si>
  <si>
    <t xml:space="preserve">Old Castle Infrastructure, Inc.</t>
  </si>
  <si>
    <t xml:space="preserve">Scan2Core, Inc.</t>
  </si>
  <si>
    <t xml:space="preserve">Core &amp; Main LP $HD Supply Waterworks</t>
  </si>
  <si>
    <t xml:space="preserve">Capital One Credit Card</t>
  </si>
  <si>
    <t xml:space="preserve">VEF Supply Ltd.</t>
  </si>
  <si>
    <t xml:space="preserve">Hilti, Inc.</t>
  </si>
  <si>
    <t xml:space="preserve">Edge Construction Supply, LLC</t>
  </si>
  <si>
    <t xml:space="preserve">ACME Corp</t>
  </si>
  <si>
    <t xml:space="preserve">Seton Identification Products</t>
  </si>
  <si>
    <t xml:space="preserve">Uline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</si>
  <si>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</si>
  <si>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</si>
  <si>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</si>
  <si>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</si>
  <si>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</si>
  <si>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</si>
  <si>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</si>
  <si>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Anderson, Richard P</t>
  </si>
  <si>
    <t xml:space="preserve">LEAD/SUPERVISOR</t>
  </si>
  <si>
    <t xml:space="preserve">Martinez Reyes, Juan C</t>
  </si>
  <si>
    <t xml:space="preserve">Melgar Moz, Brandon</t>
  </si>
  <si>
    <t xml:space="preserve">JOURNEYMAN</t>
  </si>
  <si>
    <t xml:space="preserve">Hernandez Gonzalez, Osbaldo</t>
  </si>
  <si>
    <t xml:space="preserve">Ascencio, Jose L</t>
  </si>
  <si>
    <t xml:space="preserve">Countryman, Matthew K</t>
  </si>
  <si>
    <t xml:space="preserve">Galdamez, Dagoberto A</t>
  </si>
  <si>
    <t xml:space="preserve">Paco Leyva, Orlando</t>
  </si>
  <si>
    <t xml:space="preserve">Jimenez Alvarenga, Gerson M</t>
  </si>
  <si>
    <t xml:space="preserve">Mendoza Morales, Jesus A</t>
  </si>
  <si>
    <t xml:space="preserve">Cruz Guzman, Joel A</t>
  </si>
  <si>
    <t xml:space="preserve">Mackey, Cole J</t>
  </si>
  <si>
    <t xml:space="preserve">Zuniga Avilez, Eduar A</t>
  </si>
  <si>
    <t xml:space="preserve">Chevez, Herson G</t>
  </si>
  <si>
    <t xml:space="preserve">Nunez Bravo, Jose L</t>
  </si>
  <si>
    <t xml:space="preserve">Toscano, Esteban</t>
  </si>
  <si>
    <t xml:space="preserve">Suniga Aviles, Kelvin A</t>
  </si>
  <si>
    <t xml:space="preserve">Lima Romero, Melvin A</t>
  </si>
  <si>
    <t xml:space="preserve">Del Villar, Flabio</t>
  </si>
  <si>
    <t xml:space="preserve">Gerard, Jeffrey S</t>
  </si>
  <si>
    <t xml:space="preserve">Lopez, Maslin A</t>
  </si>
  <si>
    <t xml:space="preserve">Cruz, Azael S</t>
  </si>
  <si>
    <t xml:space="preserve">Draves, Steven W</t>
  </si>
  <si>
    <t xml:space="preserve">Barnhart, Joseph N</t>
  </si>
  <si>
    <t xml:space="preserve">Gomez Aguirre, Exequiel</t>
  </si>
  <si>
    <t xml:space="preserve">Romero Garza, Jesus I</t>
  </si>
  <si>
    <t xml:space="preserve">Taylor, Evan R</t>
  </si>
  <si>
    <t xml:space="preserve">Gerard, Jordan E</t>
  </si>
  <si>
    <t xml:space="preserve">Johnson, Jake E</t>
  </si>
  <si>
    <t xml:space="preserve">Castro Hernandez, Jose A</t>
  </si>
  <si>
    <t xml:space="preserve">Guerrero Espinoza, Mario</t>
  </si>
  <si>
    <t xml:space="preserve">Eisenhauer, Tommy J</t>
  </si>
  <si>
    <t xml:space="preserve">Gerard, Mitchell J</t>
  </si>
  <si>
    <t xml:space="preserve">Wage Tier Distribution</t>
  </si>
  <si>
    <t xml:space="preserve"># Workers</t>
  </si>
  <si>
    <t xml:space="preserve">% of Hours</t>
  </si>
  <si>
    <t xml:space="preserve">APPRENTICE/HELPER</t>
  </si>
  <si>
    <t xml:space="preserve">OT-ONLY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</si>
  <si>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</si>
  <si>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</si>
  <si>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</si>
  <si>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</si>
  <si>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</si>
  <si>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</si>
  <si>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</si>
  <si>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</si>
  <si>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</si>
  <si>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</si>
  <si>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</si>
  <si>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</si>
  <si>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</si>
  <si>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</si>
  <si>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</si>
  <si>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Garage Labor (111) CRITICAL overrun</t>
  </si>
  <si>
    <t xml:space="preserve">⚠ WATCH</t>
  </si>
  <si>
    <t xml:space="preserve">Actual $153,774 vs revised $90,954 (+69%) — needs immediate attention</t>
  </si>
  <si>
    <t xml:space="preserve">Canout Labor (112) over revised</t>
  </si>
  <si>
    <t xml:space="preserve">Actual $66,406 vs revised $59,715 (+11%) — monitor</t>
  </si>
  <si>
    <t xml:space="preserve">Roughin Labor (120) over revised</t>
  </si>
  <si>
    <t xml:space="preserve">Actual $646,310 vs revised $565,930 (+14%) — monitor</t>
  </si>
  <si>
    <t xml:space="preserve">Top vendor concentration (Consolidated Supply )</t>
  </si>
  <si>
    <t xml:space="preserve">✓ OK</t>
  </si>
  <si>
    <t xml:space="preserve">38% of AP ($420,436) — acceptable</t>
  </si>
  <si>
    <t xml:space="preserve">Retention aging</t>
  </si>
  <si>
    <t xml:space="preserve">$245,731 held · 5.6% of billed · standard range</t>
  </si>
  <si>
    <t xml:space="preserve">17.9%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</si>
  <si>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</si>
  <si>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</si>
  <si>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</si>
  <si>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</si>
  <si>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</si>
  <si>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</si>
  <si>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</si>
  <si>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</si>
  <si>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</si>
  <si>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</si>
  <si>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</si>
  <si>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</si>
  <si>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</si>
  <si>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</si>
  <si>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</si>
  <si>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</si>
  <si>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</si>
  <si>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</si>
  <si>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</si>
  <si>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</si>
  <si>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</si>
  <si>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</si>
  <si>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</si>
  <si>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</si>
  <si>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</si>
  <si>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</si>
  <si>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</si>
  <si>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2026-04-24</t>
  </si>
  <si>
    <t xml:space="preserve">v1.0 · live</t>
  </si>
  <si>
    <t xml:space="preserve">Initial build for #2107 live project. 17-tab JCR schema on revised budget basis.</t>
  </si>
  <si>
    <t xml:space="preserve">2026-04-27</t>
  </si>
  <si>
    <t xml:space="preserve">v1.1 · enriched</t>
  </si>
  <si>
    <t xml:space="preserve">Enriched Job Info tab with 13-section sectioned layout. Verified 244 unit count via OWP Master Project List (Schedule r94 + 4 Projects Bid entries 2022-2024). Imported 7-entry bid history (2022 initial Chinn bid → 2024 5-bidder competition → final negotiated subcontract). Imported 20-entry executed CO log from build_2107 META with originator-tagged root-cause analysis. Owner enriched: 6716 Roosevelt Owner, LLC / High Street Northwest Development (Trammell Crow). Site address: 6716 Roosevelt Way NE, Seattle WA 98115. Foreman: Anderson, Richard P + Paco Leyva, Orlando per JDR top-worker analysis. Fixture count remains TBD (no Job Ticket yet).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</si>
</sst>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b val="true"/>
      <sz val="10"/>
      <color rgb="FF2C2B2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2C3E50"/>
        <bgColor rgb="FF2C2B29"/>
      </patternFill>
    </fill>
    <fill>
      <patternFill patternType="solid">
        <fgColor rgb="FFFFF8E7"/>
        <bgColor rgb="FFFFFFFF"/>
      </patternFill>
    </fill>
    <fill>
      <patternFill patternType="solid">
        <fgColor rgb="FFD4EDDA"/>
        <bgColor rgb="FFD5DEC5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DEC5"/>
      <rgbColor rgb="FFD4EDDA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4889866</v>
      </c>
    </row>
    <row r="6" customFormat="false" ht="15" hidden="false" customHeight="false" outlineLevel="0" collapsed="false">
      <c r="A6" s="4" t="s">
        <v>4</v>
      </c>
      <c r="B6" s="5" t="n">
        <v>4012701.86</v>
      </c>
    </row>
    <row r="7" customFormat="false" ht="15" hidden="false" customHeight="false" outlineLevel="0" collapsed="false">
      <c r="A7" s="4" t="s">
        <v>5</v>
      </c>
      <c r="B7" s="6" t="n">
        <f aca="false">B5-B6</f>
        <v>877164.14</v>
      </c>
    </row>
    <row r="8" customFormat="false" ht="15" hidden="false" customHeight="false" outlineLevel="0" collapsed="false">
      <c r="A8" s="4" t="s">
        <v>6</v>
      </c>
      <c r="B8" s="7" t="n">
        <f aca="false">IFERROR(B7/B5,0)</f>
        <v>0.179384085371665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  <c r="B11" s="5" t="n">
        <v>4422211</v>
      </c>
    </row>
    <row r="12" customFormat="false" ht="15" hidden="false" customHeight="false" outlineLevel="0" collapsed="false">
      <c r="A12" s="4" t="s">
        <v>9</v>
      </c>
      <c r="B12" s="5" t="n">
        <v>245731</v>
      </c>
    </row>
    <row r="13" customFormat="false" ht="15" hidden="false" customHeight="false" outlineLevel="0" collapsed="false">
      <c r="A13" s="4" t="s">
        <v>10</v>
      </c>
      <c r="B13" s="6" t="n">
        <f aca="false">B11-B12</f>
        <v>4176480</v>
      </c>
    </row>
    <row r="14" customFormat="false" ht="15" hidden="false" customHeight="false" outlineLevel="0" collapsed="false">
      <c r="A14" s="4" t="s">
        <v>11</v>
      </c>
      <c r="B14" s="6" t="n">
        <f aca="false">B5-B11</f>
        <v>467655</v>
      </c>
    </row>
    <row r="15" customFormat="false" ht="15" hidden="false" customHeight="false" outlineLevel="0" collapsed="false">
      <c r="A15" s="4" t="s">
        <v>12</v>
      </c>
      <c r="B15" s="7" t="n">
        <f aca="false">IFERROR(B11/B5,0)</f>
        <v>0.90436240993107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8" t="s">
        <v>14</v>
      </c>
      <c r="B18" s="8" t="s">
        <v>15</v>
      </c>
    </row>
    <row r="19" customFormat="false" ht="15" hidden="false" customHeight="false" outlineLevel="0" collapsed="false">
      <c r="A19" s="4" t="s">
        <v>16</v>
      </c>
      <c r="B19" s="9" t="n">
        <v>590227.68</v>
      </c>
    </row>
    <row r="20" customFormat="false" ht="15" hidden="false" customHeight="false" outlineLevel="0" collapsed="false">
      <c r="A20" s="4" t="s">
        <v>17</v>
      </c>
      <c r="B20" s="9" t="n">
        <v>1103655.86</v>
      </c>
    </row>
    <row r="21" customFormat="false" ht="15" hidden="false" customHeight="false" outlineLevel="0" collapsed="false">
      <c r="A21" s="4" t="s">
        <v>18</v>
      </c>
      <c r="B21" s="9" t="n">
        <v>1717809.21</v>
      </c>
    </row>
    <row r="22" customFormat="false" ht="15" hidden="false" customHeight="false" outlineLevel="0" collapsed="false">
      <c r="A22" s="4" t="s">
        <v>19</v>
      </c>
      <c r="B22" s="9" t="n">
        <v>-4914620</v>
      </c>
    </row>
    <row r="30" customFormat="false" ht="15" hidden="false" customHeight="false" outlineLevel="0" collapsed="false">
      <c r="A30" s="10" t="s">
        <v>20</v>
      </c>
      <c r="B30" s="10"/>
      <c r="C30" s="10"/>
      <c r="D30" s="10"/>
      <c r="E30" s="10"/>
      <c r="F30" s="10"/>
      <c r="G30" s="10"/>
      <c r="H30" s="11"/>
    </row>
    <row r="31" customFormat="false" ht="15" hidden="false" customHeight="false" outlineLevel="0" collapsed="false">
      <c r="A31" s="12" t="s">
        <v>21</v>
      </c>
      <c r="B31" s="12"/>
      <c r="C31" s="12"/>
      <c r="D31" s="12"/>
      <c r="E31" s="12"/>
      <c r="F31" s="12"/>
      <c r="G31" s="12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3" t="s">
        <v>22</v>
      </c>
      <c r="B33" s="13" t="s">
        <v>23</v>
      </c>
      <c r="C33" s="11"/>
      <c r="D33" s="11"/>
      <c r="E33" s="11"/>
      <c r="F33" s="11"/>
      <c r="G33" s="11"/>
      <c r="H33" s="11"/>
    </row>
    <row r="34" customFormat="false" ht="23.85" hidden="false" customHeight="false" outlineLevel="0" collapsed="false">
      <c r="A34" s="14" t="s">
        <v>24</v>
      </c>
      <c r="B34" s="15" t="s">
        <v>25</v>
      </c>
      <c r="C34" s="11"/>
      <c r="D34" s="11"/>
      <c r="E34" s="11"/>
      <c r="F34" s="11"/>
      <c r="G34" s="11"/>
      <c r="H34" s="11"/>
    </row>
    <row r="35" customFormat="false" ht="57.45" hidden="false" customHeight="false" outlineLevel="0" collapsed="false">
      <c r="A35" s="14" t="s">
        <v>26</v>
      </c>
      <c r="B35" s="15" t="s">
        <v>27</v>
      </c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4" t="s">
        <v>28</v>
      </c>
      <c r="B36" s="15" t="s">
        <v>29</v>
      </c>
      <c r="C36" s="11"/>
      <c r="D36" s="11"/>
      <c r="E36" s="11"/>
      <c r="F36" s="11"/>
      <c r="G36" s="11"/>
      <c r="H36" s="11"/>
    </row>
    <row r="37" customFormat="false" ht="102.2" hidden="false" customHeight="false" outlineLevel="0" collapsed="false">
      <c r="A37" s="14" t="s">
        <v>30</v>
      </c>
      <c r="B37" s="15" t="s">
        <v>31</v>
      </c>
      <c r="C37" s="11"/>
      <c r="D37" s="11"/>
      <c r="E37" s="11"/>
      <c r="F37" s="11"/>
      <c r="G37" s="11"/>
      <c r="H37" s="11"/>
    </row>
    <row r="38" customFormat="false" ht="68.65" hidden="false" customHeight="false" outlineLevel="0" collapsed="false">
      <c r="A38" s="14" t="s">
        <v>32</v>
      </c>
      <c r="B38" s="15" t="s">
        <v>33</v>
      </c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4" t="s">
        <v>34</v>
      </c>
      <c r="B39" s="15" t="s">
        <v>35</v>
      </c>
      <c r="C39" s="11"/>
      <c r="D39" s="11"/>
      <c r="E39" s="11"/>
      <c r="F39" s="11"/>
      <c r="G39" s="11"/>
      <c r="H39" s="11"/>
    </row>
    <row r="40" customFormat="false" ht="57.45" hidden="false" customHeight="false" outlineLevel="0" collapsed="false">
      <c r="A40" s="14" t="s">
        <v>36</v>
      </c>
      <c r="B40" s="15" t="s">
        <v>37</v>
      </c>
      <c r="C40" s="11"/>
      <c r="D40" s="11"/>
      <c r="E40" s="11"/>
      <c r="F40" s="11"/>
      <c r="G40" s="11"/>
      <c r="H40" s="11"/>
    </row>
    <row r="41" customFormat="false" ht="46.25" hidden="false" customHeight="false" outlineLevel="0" collapsed="false">
      <c r="A41" s="14" t="s">
        <v>38</v>
      </c>
      <c r="B41" s="15" t="s">
        <v>39</v>
      </c>
      <c r="C41" s="11"/>
      <c r="D41" s="11"/>
      <c r="E41" s="11"/>
      <c r="F41" s="11"/>
      <c r="G41" s="11"/>
      <c r="H41" s="11"/>
    </row>
    <row r="42" customFormat="false" ht="35.05" hidden="false" customHeight="false" outlineLevel="0" collapsed="false">
      <c r="A42" s="14" t="s">
        <v>40</v>
      </c>
      <c r="B42" s="15" t="s">
        <v>41</v>
      </c>
      <c r="C42" s="11"/>
      <c r="D42" s="11"/>
      <c r="E42" s="11"/>
      <c r="F42" s="11"/>
      <c r="G42" s="11"/>
      <c r="H42" s="11"/>
    </row>
    <row r="43" customFormat="false" ht="15" hidden="false" customHeight="false" outlineLevel="0" collapsed="false">
      <c r="A43" s="14" t="s">
        <v>42</v>
      </c>
      <c r="B43" s="15" t="s">
        <v>43</v>
      </c>
      <c r="C43" s="11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14" t="s">
        <v>44</v>
      </c>
      <c r="B44" s="15" t="s">
        <v>45</v>
      </c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4" t="s">
        <v>46</v>
      </c>
      <c r="B45" s="15" t="s">
        <v>47</v>
      </c>
      <c r="C45" s="11"/>
      <c r="D45" s="11"/>
      <c r="E45" s="11"/>
      <c r="F45" s="11"/>
      <c r="G45" s="11"/>
      <c r="H45" s="11"/>
    </row>
    <row r="46" customFormat="false" ht="23.85" hidden="false" customHeight="false" outlineLevel="0" collapsed="false">
      <c r="A46" s="14" t="s">
        <v>48</v>
      </c>
      <c r="B46" s="15" t="s">
        <v>49</v>
      </c>
      <c r="C46" s="11"/>
      <c r="D46" s="11"/>
      <c r="E46" s="11"/>
      <c r="F46" s="11"/>
      <c r="G46" s="11"/>
      <c r="H46" s="11"/>
    </row>
    <row r="47" customFormat="false" ht="15" hidden="false" customHeight="false" outlineLevel="0" collapsed="false">
      <c r="A47" s="14" t="s">
        <v>50</v>
      </c>
      <c r="B47" s="15" t="s">
        <v>51</v>
      </c>
      <c r="C47" s="11"/>
      <c r="D47" s="11"/>
      <c r="E47" s="11"/>
      <c r="F47" s="11"/>
      <c r="G47" s="11"/>
      <c r="H47" s="11"/>
    </row>
    <row r="48" customFormat="false" ht="23.85" hidden="false" customHeight="false" outlineLevel="0" collapsed="false">
      <c r="A48" s="14" t="s">
        <v>52</v>
      </c>
      <c r="B48" s="15" t="s">
        <v>53</v>
      </c>
      <c r="C48" s="11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</row>
  </sheetData>
  <mergeCells count="2"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6" t="s">
        <v>54</v>
      </c>
      <c r="B1" s="16"/>
      <c r="C1" s="16"/>
      <c r="D1" s="16"/>
      <c r="E1" s="16"/>
      <c r="F1" s="16"/>
    </row>
    <row r="2" customFormat="false" ht="15" hidden="false" customHeight="false" outlineLevel="0" collapsed="false">
      <c r="A2" s="12" t="s">
        <v>55</v>
      </c>
      <c r="B2" s="12"/>
      <c r="C2" s="12"/>
      <c r="D2" s="12"/>
      <c r="E2" s="12"/>
      <c r="F2" s="12"/>
    </row>
    <row r="3" customFormat="false" ht="15" hidden="false" customHeight="false" outlineLevel="0" collapsed="false">
      <c r="A3" s="17"/>
      <c r="B3" s="18"/>
      <c r="C3" s="11"/>
      <c r="D3" s="11"/>
      <c r="E3" s="11"/>
      <c r="F3" s="11"/>
    </row>
    <row r="4" customFormat="false" ht="15" hidden="false" customHeight="false" outlineLevel="0" collapsed="false">
      <c r="A4" s="19" t="s">
        <v>56</v>
      </c>
      <c r="B4" s="19"/>
      <c r="C4" s="19"/>
      <c r="D4" s="19"/>
      <c r="E4" s="19"/>
      <c r="F4" s="19"/>
    </row>
    <row r="5" customFormat="false" ht="15" hidden="false" customHeight="true" outlineLevel="0" collapsed="false">
      <c r="A5" s="20" t="s">
        <v>57</v>
      </c>
      <c r="B5" s="21" t="s">
        <v>58</v>
      </c>
      <c r="C5" s="21"/>
      <c r="D5" s="21"/>
      <c r="E5" s="21"/>
      <c r="F5" s="21"/>
    </row>
    <row r="6" customFormat="false" ht="15" hidden="false" customHeight="true" outlineLevel="0" collapsed="false">
      <c r="A6" s="20" t="s">
        <v>59</v>
      </c>
      <c r="B6" s="21" t="s">
        <v>60</v>
      </c>
      <c r="C6" s="21"/>
      <c r="D6" s="21"/>
      <c r="E6" s="21"/>
      <c r="F6" s="21"/>
    </row>
    <row r="7" customFormat="false" ht="15" hidden="false" customHeight="true" outlineLevel="0" collapsed="false">
      <c r="A7" s="20" t="s">
        <v>61</v>
      </c>
      <c r="B7" s="21" t="s">
        <v>62</v>
      </c>
      <c r="C7" s="21"/>
      <c r="D7" s="21"/>
      <c r="E7" s="21"/>
      <c r="F7" s="21"/>
    </row>
    <row r="8" customFormat="false" ht="15" hidden="false" customHeight="true" outlineLevel="0" collapsed="false">
      <c r="A8" s="20" t="s">
        <v>36</v>
      </c>
      <c r="B8" s="21" t="s">
        <v>37</v>
      </c>
      <c r="C8" s="21"/>
      <c r="D8" s="21"/>
      <c r="E8" s="21"/>
      <c r="F8" s="21"/>
    </row>
    <row r="9" customFormat="false" ht="15" hidden="false" customHeight="true" outlineLevel="0" collapsed="false">
      <c r="A9" s="20" t="s">
        <v>63</v>
      </c>
      <c r="B9" s="21" t="s">
        <v>64</v>
      </c>
      <c r="C9" s="21"/>
      <c r="D9" s="21"/>
      <c r="E9" s="21"/>
      <c r="F9" s="21"/>
    </row>
    <row r="10" customFormat="false" ht="15" hidden="false" customHeight="true" outlineLevel="0" collapsed="false">
      <c r="A10" s="20" t="s">
        <v>40</v>
      </c>
      <c r="B10" s="21" t="s">
        <v>41</v>
      </c>
      <c r="C10" s="21"/>
      <c r="D10" s="21"/>
      <c r="E10" s="21"/>
      <c r="F10" s="21"/>
    </row>
    <row r="11" customFormat="false" ht="15" hidden="false" customHeight="true" outlineLevel="0" collapsed="false">
      <c r="A11" s="20" t="s">
        <v>65</v>
      </c>
      <c r="B11" s="21" t="s">
        <v>66</v>
      </c>
      <c r="C11" s="21"/>
      <c r="D11" s="21"/>
      <c r="E11" s="21"/>
      <c r="F11" s="21"/>
    </row>
    <row r="12" customFormat="false" ht="15" hidden="false" customHeight="false" outlineLevel="0" collapsed="false">
      <c r="A12" s="17"/>
      <c r="B12" s="18"/>
      <c r="C12" s="11"/>
      <c r="D12" s="11"/>
      <c r="E12" s="11"/>
      <c r="F12" s="11"/>
    </row>
    <row r="13" customFormat="false" ht="15" hidden="false" customHeight="false" outlineLevel="0" collapsed="false">
      <c r="A13" s="19" t="s">
        <v>67</v>
      </c>
      <c r="B13" s="19"/>
      <c r="C13" s="19"/>
      <c r="D13" s="19"/>
      <c r="E13" s="19"/>
      <c r="F13" s="19"/>
    </row>
    <row r="14" customFormat="false" ht="15" hidden="false" customHeight="true" outlineLevel="0" collapsed="false">
      <c r="A14" s="20" t="s">
        <v>68</v>
      </c>
      <c r="B14" s="21" t="s">
        <v>69</v>
      </c>
      <c r="C14" s="21"/>
      <c r="D14" s="21"/>
      <c r="E14" s="21"/>
      <c r="F14" s="21"/>
    </row>
    <row r="15" customFormat="false" ht="15" hidden="false" customHeight="true" outlineLevel="0" collapsed="false">
      <c r="A15" s="20" t="s">
        <v>70</v>
      </c>
      <c r="B15" s="21" t="s">
        <v>71</v>
      </c>
      <c r="C15" s="21"/>
      <c r="D15" s="21"/>
      <c r="E15" s="21"/>
      <c r="F15" s="21"/>
    </row>
    <row r="16" customFormat="false" ht="15" hidden="false" customHeight="true" outlineLevel="0" collapsed="false">
      <c r="A16" s="20" t="s">
        <v>72</v>
      </c>
      <c r="B16" s="21" t="s">
        <v>73</v>
      </c>
      <c r="C16" s="21"/>
      <c r="D16" s="21"/>
      <c r="E16" s="21"/>
      <c r="F16" s="21"/>
    </row>
    <row r="17" customFormat="false" ht="15" hidden="false" customHeight="true" outlineLevel="0" collapsed="false">
      <c r="A17" s="20" t="s">
        <v>74</v>
      </c>
      <c r="B17" s="21" t="s">
        <v>75</v>
      </c>
      <c r="C17" s="21"/>
      <c r="D17" s="21"/>
      <c r="E17" s="21"/>
      <c r="F17" s="2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9" t="s">
        <v>76</v>
      </c>
      <c r="B19" s="19"/>
      <c r="C19" s="19"/>
      <c r="D19" s="19"/>
      <c r="E19" s="19"/>
      <c r="F19" s="19"/>
    </row>
    <row r="20" customFormat="false" ht="15" hidden="false" customHeight="true" outlineLevel="0" collapsed="false">
      <c r="A20" s="20" t="s">
        <v>42</v>
      </c>
      <c r="B20" s="21" t="s">
        <v>43</v>
      </c>
      <c r="C20" s="21"/>
      <c r="D20" s="21"/>
      <c r="E20" s="21"/>
      <c r="F20" s="21"/>
    </row>
    <row r="21" customFormat="false" ht="15" hidden="false" customHeight="true" outlineLevel="0" collapsed="false">
      <c r="A21" s="20" t="s">
        <v>77</v>
      </c>
      <c r="B21" s="21" t="s">
        <v>78</v>
      </c>
      <c r="C21" s="21"/>
      <c r="D21" s="21"/>
      <c r="E21" s="21"/>
      <c r="F21" s="21"/>
    </row>
    <row r="22" customFormat="false" ht="15" hidden="false" customHeight="true" outlineLevel="0" collapsed="false">
      <c r="A22" s="20" t="s">
        <v>79</v>
      </c>
      <c r="B22" s="21" t="s">
        <v>45</v>
      </c>
      <c r="C22" s="21"/>
      <c r="D22" s="21"/>
      <c r="E22" s="21"/>
      <c r="F22" s="21"/>
    </row>
    <row r="23" customFormat="false" ht="15" hidden="false" customHeight="true" outlineLevel="0" collapsed="false">
      <c r="A23" s="20" t="s">
        <v>80</v>
      </c>
      <c r="B23" s="21" t="s">
        <v>81</v>
      </c>
      <c r="C23" s="21"/>
      <c r="D23" s="21"/>
      <c r="E23" s="21"/>
      <c r="F23" s="21"/>
    </row>
    <row r="24" customFormat="false" ht="15" hidden="false" customHeight="true" outlineLevel="0" collapsed="false">
      <c r="A24" s="20" t="s">
        <v>82</v>
      </c>
      <c r="B24" s="21" t="s">
        <v>83</v>
      </c>
      <c r="C24" s="21"/>
      <c r="D24" s="21"/>
      <c r="E24" s="21"/>
      <c r="F24" s="21"/>
    </row>
    <row r="25" customFormat="false" ht="15" hidden="false" customHeight="true" outlineLevel="0" collapsed="false">
      <c r="A25" s="20" t="s">
        <v>84</v>
      </c>
      <c r="B25" s="21" t="s">
        <v>85</v>
      </c>
      <c r="C25" s="21"/>
      <c r="D25" s="21"/>
      <c r="E25" s="21"/>
      <c r="F25" s="21"/>
    </row>
    <row r="26" customFormat="false" ht="15" hidden="false" customHeight="true" outlineLevel="0" collapsed="false">
      <c r="A26" s="20" t="s">
        <v>86</v>
      </c>
      <c r="B26" s="21" t="s">
        <v>87</v>
      </c>
      <c r="C26" s="21"/>
      <c r="D26" s="21"/>
      <c r="E26" s="21"/>
      <c r="F26" s="21"/>
    </row>
    <row r="27" customFormat="false" ht="15" hidden="false" customHeight="true" outlineLevel="0" collapsed="false">
      <c r="A27" s="20" t="s">
        <v>88</v>
      </c>
      <c r="B27" s="21" t="s">
        <v>89</v>
      </c>
      <c r="C27" s="21"/>
      <c r="D27" s="21"/>
      <c r="E27" s="21"/>
      <c r="F27" s="21"/>
    </row>
    <row r="28" customFormat="false" ht="15" hidden="false" customHeight="true" outlineLevel="0" collapsed="false">
      <c r="A28" s="20" t="s">
        <v>50</v>
      </c>
      <c r="B28" s="21" t="s">
        <v>51</v>
      </c>
      <c r="C28" s="21"/>
      <c r="D28" s="21"/>
      <c r="E28" s="21"/>
      <c r="F28" s="21"/>
    </row>
    <row r="29" customFormat="false" ht="15" hidden="false" customHeight="true" outlineLevel="0" collapsed="false">
      <c r="A29" s="20" t="s">
        <v>38</v>
      </c>
      <c r="B29" s="21" t="s">
        <v>39</v>
      </c>
      <c r="C29" s="21"/>
      <c r="D29" s="21"/>
      <c r="E29" s="21"/>
      <c r="F29" s="21"/>
    </row>
    <row r="30" customFormat="false" ht="15" hidden="false" customHeight="true" outlineLevel="0" collapsed="false">
      <c r="A30" s="20" t="s">
        <v>90</v>
      </c>
      <c r="B30" s="21" t="s">
        <v>91</v>
      </c>
      <c r="C30" s="21"/>
      <c r="D30" s="21"/>
      <c r="E30" s="21"/>
      <c r="F30" s="21"/>
    </row>
    <row r="31" customFormat="false" ht="15" hidden="false" customHeight="true" outlineLevel="0" collapsed="false">
      <c r="A31" s="20" t="s">
        <v>92</v>
      </c>
      <c r="B31" s="21" t="s">
        <v>93</v>
      </c>
      <c r="C31" s="21"/>
      <c r="D31" s="21"/>
      <c r="E31" s="21"/>
      <c r="F31" s="21"/>
    </row>
    <row r="32" customFormat="false" ht="15" hidden="false" customHeight="true" outlineLevel="0" collapsed="false">
      <c r="A32" s="20" t="s">
        <v>94</v>
      </c>
      <c r="B32" s="21" t="s">
        <v>95</v>
      </c>
      <c r="C32" s="21"/>
      <c r="D32" s="21"/>
      <c r="E32" s="21"/>
      <c r="F32" s="21"/>
    </row>
    <row r="34" customFormat="false" ht="15" hidden="false" customHeight="false" outlineLevel="0" collapsed="false">
      <c r="A34" s="19" t="s">
        <v>96</v>
      </c>
      <c r="B34" s="19"/>
      <c r="C34" s="19"/>
      <c r="D34" s="19"/>
      <c r="E34" s="19"/>
      <c r="F34" s="19"/>
    </row>
    <row r="35" customFormat="false" ht="15" hidden="false" customHeight="true" outlineLevel="0" collapsed="false">
      <c r="A35" s="20" t="s">
        <v>97</v>
      </c>
      <c r="B35" s="21" t="s">
        <v>98</v>
      </c>
      <c r="C35" s="21"/>
      <c r="D35" s="21"/>
      <c r="E35" s="21"/>
      <c r="F35" s="21"/>
    </row>
    <row r="36" customFormat="false" ht="23.85" hidden="false" customHeight="true" outlineLevel="0" collapsed="false">
      <c r="A36" s="20" t="s">
        <v>99</v>
      </c>
      <c r="B36" s="21" t="s">
        <v>100</v>
      </c>
      <c r="C36" s="21"/>
      <c r="D36" s="21"/>
      <c r="E36" s="21"/>
      <c r="F36" s="21"/>
    </row>
    <row r="37" customFormat="false" ht="15" hidden="false" customHeight="true" outlineLevel="0" collapsed="false">
      <c r="A37" s="20" t="s">
        <v>101</v>
      </c>
      <c r="B37" s="21" t="s">
        <v>102</v>
      </c>
      <c r="C37" s="21"/>
      <c r="D37" s="21"/>
      <c r="E37" s="21"/>
      <c r="F37" s="21"/>
    </row>
    <row r="38" customFormat="false" ht="23.85" hidden="false" customHeight="true" outlineLevel="0" collapsed="false">
      <c r="A38" s="20" t="s">
        <v>103</v>
      </c>
      <c r="B38" s="21" t="s">
        <v>104</v>
      </c>
      <c r="C38" s="21"/>
      <c r="D38" s="21"/>
      <c r="E38" s="21"/>
      <c r="F38" s="21"/>
    </row>
    <row r="40" customFormat="false" ht="15" hidden="false" customHeight="false" outlineLevel="0" collapsed="false">
      <c r="A40" s="19" t="s">
        <v>105</v>
      </c>
      <c r="B40" s="19"/>
      <c r="C40" s="19"/>
      <c r="D40" s="19"/>
      <c r="E40" s="19"/>
      <c r="F40" s="19"/>
    </row>
    <row r="41" customFormat="false" ht="15" hidden="false" customHeight="true" outlineLevel="0" collapsed="false">
      <c r="A41" s="14" t="s">
        <v>24</v>
      </c>
      <c r="B41" s="22" t="s">
        <v>25</v>
      </c>
      <c r="C41" s="22"/>
      <c r="D41" s="22"/>
      <c r="E41" s="22"/>
      <c r="F41" s="22"/>
    </row>
    <row r="42" customFormat="false" ht="15" hidden="false" customHeight="true" outlineLevel="0" collapsed="false">
      <c r="A42" s="14" t="s">
        <v>106</v>
      </c>
      <c r="B42" s="22" t="s">
        <v>107</v>
      </c>
      <c r="C42" s="22"/>
      <c r="D42" s="22"/>
      <c r="E42" s="22"/>
      <c r="F42" s="22"/>
    </row>
    <row r="43" customFormat="false" ht="15" hidden="false" customHeight="true" outlineLevel="0" collapsed="false">
      <c r="A43" s="14" t="s">
        <v>108</v>
      </c>
      <c r="B43" s="22" t="s">
        <v>109</v>
      </c>
      <c r="C43" s="22"/>
      <c r="D43" s="22"/>
      <c r="E43" s="22"/>
      <c r="F43" s="22"/>
    </row>
    <row r="44" customFormat="false" ht="15" hidden="false" customHeight="true" outlineLevel="0" collapsed="false">
      <c r="A44" s="14" t="s">
        <v>110</v>
      </c>
      <c r="B44" s="22" t="s">
        <v>109</v>
      </c>
      <c r="C44" s="22"/>
      <c r="D44" s="22"/>
      <c r="E44" s="22"/>
      <c r="F44" s="22"/>
    </row>
    <row r="45" customFormat="false" ht="23.85" hidden="false" customHeight="true" outlineLevel="0" collapsed="false">
      <c r="A45" s="14" t="s">
        <v>111</v>
      </c>
      <c r="B45" s="22" t="s">
        <v>112</v>
      </c>
      <c r="C45" s="22"/>
      <c r="D45" s="22"/>
      <c r="E45" s="22"/>
      <c r="F45" s="22"/>
    </row>
    <row r="47" customFormat="false" ht="15" hidden="false" customHeight="false" outlineLevel="0" collapsed="false">
      <c r="A47" s="19" t="s">
        <v>113</v>
      </c>
      <c r="B47" s="19"/>
      <c r="C47" s="19"/>
      <c r="D47" s="19"/>
      <c r="E47" s="19"/>
      <c r="F47" s="19"/>
    </row>
    <row r="48" customFormat="false" ht="15" hidden="false" customHeight="true" outlineLevel="0" collapsed="false">
      <c r="A48" s="14" t="s">
        <v>114</v>
      </c>
      <c r="B48" s="22" t="s">
        <v>33</v>
      </c>
      <c r="C48" s="22"/>
      <c r="D48" s="22"/>
      <c r="E48" s="22"/>
      <c r="F48" s="22"/>
    </row>
    <row r="49" customFormat="false" ht="15" hidden="false" customHeight="true" outlineLevel="0" collapsed="false">
      <c r="A49" s="14" t="s">
        <v>115</v>
      </c>
      <c r="B49" s="22" t="s">
        <v>116</v>
      </c>
      <c r="C49" s="22"/>
      <c r="D49" s="22"/>
      <c r="E49" s="22"/>
      <c r="F49" s="22"/>
    </row>
    <row r="50" customFormat="false" ht="15" hidden="false" customHeight="true" outlineLevel="0" collapsed="false">
      <c r="A50" s="14" t="s">
        <v>117</v>
      </c>
      <c r="B50" s="22" t="s">
        <v>118</v>
      </c>
      <c r="C50" s="22"/>
      <c r="D50" s="22"/>
      <c r="E50" s="22"/>
      <c r="F50" s="22"/>
    </row>
    <row r="51" customFormat="false" ht="15" hidden="false" customHeight="true" outlineLevel="0" collapsed="false">
      <c r="A51" s="14" t="s">
        <v>34</v>
      </c>
      <c r="B51" s="22" t="s">
        <v>35</v>
      </c>
      <c r="C51" s="22"/>
      <c r="D51" s="22"/>
      <c r="E51" s="22"/>
      <c r="F51" s="22"/>
    </row>
    <row r="52" customFormat="false" ht="15" hidden="false" customHeight="true" outlineLevel="0" collapsed="false">
      <c r="A52" s="14" t="s">
        <v>52</v>
      </c>
      <c r="B52" s="22" t="s">
        <v>119</v>
      </c>
      <c r="C52" s="22"/>
      <c r="D52" s="22"/>
      <c r="E52" s="22"/>
      <c r="F52" s="22"/>
    </row>
    <row r="54" customFormat="false" ht="15" hidden="false" customHeight="false" outlineLevel="0" collapsed="false">
      <c r="A54" s="19" t="s">
        <v>120</v>
      </c>
      <c r="B54" s="19"/>
      <c r="C54" s="19"/>
      <c r="D54" s="19"/>
      <c r="E54" s="19"/>
      <c r="F54" s="19"/>
    </row>
    <row r="55" customFormat="false" ht="15" hidden="false" customHeight="true" outlineLevel="0" collapsed="false">
      <c r="A55" s="14" t="s">
        <v>121</v>
      </c>
      <c r="B55" s="22" t="s">
        <v>27</v>
      </c>
      <c r="C55" s="22"/>
      <c r="D55" s="22"/>
      <c r="E55" s="22"/>
      <c r="F55" s="22"/>
    </row>
    <row r="56" customFormat="false" ht="15" hidden="false" customHeight="true" outlineLevel="0" collapsed="false">
      <c r="A56" s="14" t="s">
        <v>122</v>
      </c>
      <c r="B56" s="22" t="s">
        <v>123</v>
      </c>
      <c r="C56" s="22"/>
      <c r="D56" s="22"/>
      <c r="E56" s="22"/>
      <c r="F56" s="22"/>
    </row>
    <row r="57" customFormat="false" ht="15" hidden="false" customHeight="true" outlineLevel="0" collapsed="false">
      <c r="A57" s="14" t="s">
        <v>124</v>
      </c>
      <c r="B57" s="22" t="s">
        <v>125</v>
      </c>
      <c r="C57" s="22"/>
      <c r="D57" s="22"/>
      <c r="E57" s="22"/>
      <c r="F57" s="22"/>
    </row>
    <row r="59" customFormat="false" ht="15" hidden="false" customHeight="false" outlineLevel="0" collapsed="false">
      <c r="A59" s="19" t="s">
        <v>126</v>
      </c>
      <c r="B59" s="19"/>
      <c r="C59" s="19"/>
      <c r="D59" s="19"/>
      <c r="E59" s="19"/>
      <c r="F59" s="19"/>
    </row>
    <row r="60" customFormat="false" ht="15" hidden="false" customHeight="true" outlineLevel="0" collapsed="false">
      <c r="A60" s="14" t="s">
        <v>28</v>
      </c>
      <c r="B60" s="22" t="s">
        <v>29</v>
      </c>
      <c r="C60" s="22"/>
      <c r="D60" s="22"/>
      <c r="E60" s="22"/>
      <c r="F60" s="22"/>
    </row>
    <row r="61" customFormat="false" ht="15" hidden="false" customHeight="true" outlineLevel="0" collapsed="false">
      <c r="A61" s="14" t="s">
        <v>127</v>
      </c>
      <c r="B61" s="22" t="s">
        <v>109</v>
      </c>
      <c r="C61" s="22"/>
      <c r="D61" s="22"/>
      <c r="E61" s="22"/>
      <c r="F61" s="22"/>
    </row>
    <row r="62" customFormat="false" ht="23.85" hidden="false" customHeight="true" outlineLevel="0" collapsed="false">
      <c r="A62" s="14" t="s">
        <v>30</v>
      </c>
      <c r="B62" s="22" t="s">
        <v>31</v>
      </c>
      <c r="C62" s="22"/>
      <c r="D62" s="22"/>
      <c r="E62" s="22"/>
      <c r="F62" s="22"/>
    </row>
    <row r="63" customFormat="false" ht="15" hidden="false" customHeight="true" outlineLevel="0" collapsed="false">
      <c r="A63" s="14" t="s">
        <v>128</v>
      </c>
      <c r="B63" s="22" t="s">
        <v>109</v>
      </c>
      <c r="C63" s="22"/>
      <c r="D63" s="22"/>
      <c r="E63" s="22"/>
      <c r="F63" s="22"/>
    </row>
    <row r="64" customFormat="false" ht="15" hidden="false" customHeight="true" outlineLevel="0" collapsed="false">
      <c r="A64" s="14" t="s">
        <v>129</v>
      </c>
      <c r="B64" s="22" t="s">
        <v>109</v>
      </c>
      <c r="C64" s="22"/>
      <c r="D64" s="22"/>
      <c r="E64" s="22"/>
      <c r="F64" s="22"/>
    </row>
    <row r="66" customFormat="false" ht="15" hidden="false" customHeight="false" outlineLevel="0" collapsed="false">
      <c r="A66" s="19" t="s">
        <v>130</v>
      </c>
      <c r="B66" s="19"/>
      <c r="C66" s="19"/>
      <c r="D66" s="19"/>
      <c r="E66" s="19"/>
      <c r="F66" s="19"/>
    </row>
    <row r="67" customFormat="false" ht="15" hidden="false" customHeight="false" outlineLevel="0" collapsed="false">
      <c r="A67" s="13" t="s">
        <v>131</v>
      </c>
      <c r="B67" s="13" t="s">
        <v>132</v>
      </c>
      <c r="C67" s="13" t="s">
        <v>133</v>
      </c>
      <c r="D67" s="13" t="s">
        <v>134</v>
      </c>
      <c r="E67" s="13" t="s">
        <v>135</v>
      </c>
      <c r="F67" s="13" t="s">
        <v>136</v>
      </c>
    </row>
    <row r="68" customFormat="false" ht="15" hidden="false" customHeight="false" outlineLevel="0" collapsed="false">
      <c r="A68" s="23" t="s">
        <v>137</v>
      </c>
      <c r="B68" s="20" t="s">
        <v>138</v>
      </c>
      <c r="C68" s="23" t="s">
        <v>139</v>
      </c>
      <c r="D68" s="23" t="n">
        <v>244</v>
      </c>
      <c r="E68" s="23" t="s">
        <v>140</v>
      </c>
      <c r="F68" s="24" t="s">
        <v>141</v>
      </c>
    </row>
    <row r="69" customFormat="false" ht="23.85" hidden="false" customHeight="false" outlineLevel="0" collapsed="false">
      <c r="A69" s="23" t="s">
        <v>142</v>
      </c>
      <c r="B69" s="23" t="s">
        <v>143</v>
      </c>
      <c r="C69" s="23" t="s">
        <v>139</v>
      </c>
      <c r="D69" s="23" t="n">
        <v>244</v>
      </c>
      <c r="E69" s="23" t="s">
        <v>144</v>
      </c>
      <c r="F69" s="24" t="s">
        <v>145</v>
      </c>
    </row>
    <row r="70" customFormat="false" ht="15" hidden="false" customHeight="false" outlineLevel="0" collapsed="false">
      <c r="A70" s="23" t="s">
        <v>146</v>
      </c>
      <c r="B70" s="20" t="s">
        <v>138</v>
      </c>
      <c r="C70" s="23" t="s">
        <v>139</v>
      </c>
      <c r="D70" s="23" t="n">
        <v>244</v>
      </c>
      <c r="E70" s="23" t="s">
        <v>147</v>
      </c>
      <c r="F70" s="24" t="s">
        <v>148</v>
      </c>
    </row>
    <row r="71" customFormat="false" ht="15" hidden="false" customHeight="false" outlineLevel="0" collapsed="false">
      <c r="A71" s="23" t="s">
        <v>146</v>
      </c>
      <c r="B71" s="20" t="s">
        <v>138</v>
      </c>
      <c r="C71" s="23" t="s">
        <v>149</v>
      </c>
      <c r="D71" s="23" t="n">
        <v>244</v>
      </c>
      <c r="E71" s="23" t="s">
        <v>147</v>
      </c>
      <c r="F71" s="24" t="s">
        <v>150</v>
      </c>
    </row>
    <row r="72" customFormat="false" ht="15" hidden="false" customHeight="false" outlineLevel="0" collapsed="false">
      <c r="A72" s="23" t="s">
        <v>146</v>
      </c>
      <c r="B72" s="20" t="s">
        <v>138</v>
      </c>
      <c r="C72" s="23" t="s">
        <v>151</v>
      </c>
      <c r="D72" s="23" t="n">
        <v>244</v>
      </c>
      <c r="E72" s="23" t="s">
        <v>147</v>
      </c>
      <c r="F72" s="24" t="s">
        <v>152</v>
      </c>
    </row>
    <row r="73" customFormat="false" ht="15" hidden="false" customHeight="false" outlineLevel="0" collapsed="false">
      <c r="A73" s="23" t="s">
        <v>146</v>
      </c>
      <c r="B73" s="20" t="s">
        <v>138</v>
      </c>
      <c r="C73" s="23" t="s">
        <v>153</v>
      </c>
      <c r="D73" s="23" t="n">
        <v>244</v>
      </c>
      <c r="E73" s="23" t="s">
        <v>154</v>
      </c>
      <c r="F73" s="24" t="s">
        <v>155</v>
      </c>
    </row>
    <row r="74" customFormat="false" ht="23.85" hidden="false" customHeight="false" outlineLevel="0" collapsed="false">
      <c r="A74" s="25" t="s">
        <v>156</v>
      </c>
      <c r="B74" s="26" t="s">
        <v>157</v>
      </c>
      <c r="C74" s="25" t="s">
        <v>139</v>
      </c>
      <c r="D74" s="25" t="n">
        <v>244</v>
      </c>
      <c r="E74" s="25" t="s">
        <v>43</v>
      </c>
      <c r="F74" s="27" t="s">
        <v>158</v>
      </c>
    </row>
    <row r="76" customFormat="false" ht="15" hidden="false" customHeight="false" outlineLevel="0" collapsed="false">
      <c r="A76" s="19" t="s">
        <v>159</v>
      </c>
      <c r="B76" s="19"/>
      <c r="C76" s="19"/>
      <c r="D76" s="19"/>
      <c r="E76" s="19"/>
      <c r="F76" s="19"/>
    </row>
    <row r="77" customFormat="false" ht="15" hidden="false" customHeight="true" outlineLevel="0" collapsed="false">
      <c r="A77" s="14" t="s">
        <v>160</v>
      </c>
      <c r="B77" s="22" t="s">
        <v>161</v>
      </c>
      <c r="C77" s="22"/>
      <c r="D77" s="22"/>
      <c r="E77" s="22"/>
      <c r="F77" s="22"/>
    </row>
    <row r="78" customFormat="false" ht="15" hidden="false" customHeight="true" outlineLevel="0" collapsed="false">
      <c r="A78" s="14" t="s">
        <v>162</v>
      </c>
      <c r="B78" s="22" t="s">
        <v>163</v>
      </c>
      <c r="C78" s="22"/>
      <c r="D78" s="22"/>
      <c r="E78" s="22"/>
      <c r="F78" s="22"/>
    </row>
    <row r="79" customFormat="false" ht="15" hidden="false" customHeight="true" outlineLevel="0" collapsed="false">
      <c r="A79" s="14" t="s">
        <v>164</v>
      </c>
      <c r="B79" s="22" t="s">
        <v>165</v>
      </c>
      <c r="C79" s="22"/>
      <c r="D79" s="22"/>
      <c r="E79" s="22"/>
      <c r="F79" s="22"/>
    </row>
    <row r="80" customFormat="false" ht="15" hidden="false" customHeight="true" outlineLevel="0" collapsed="false">
      <c r="A80" s="14" t="s">
        <v>166</v>
      </c>
      <c r="B80" s="22" t="s">
        <v>167</v>
      </c>
      <c r="C80" s="22"/>
      <c r="D80" s="22"/>
      <c r="E80" s="22"/>
      <c r="F80" s="22"/>
    </row>
    <row r="82" customFormat="false" ht="15" hidden="false" customHeight="false" outlineLevel="0" collapsed="false">
      <c r="A82" s="19" t="s">
        <v>168</v>
      </c>
      <c r="B82" s="19"/>
      <c r="C82" s="19"/>
      <c r="D82" s="19"/>
      <c r="E82" s="19"/>
      <c r="F82" s="19"/>
    </row>
    <row r="83" customFormat="false" ht="15" hidden="false" customHeight="true" outlineLevel="0" collapsed="false">
      <c r="A83" s="14" t="s">
        <v>169</v>
      </c>
      <c r="B83" s="22" t="s">
        <v>170</v>
      </c>
      <c r="C83" s="22"/>
      <c r="D83" s="22"/>
      <c r="E83" s="22"/>
      <c r="F83" s="22"/>
    </row>
    <row r="84" customFormat="false" ht="15" hidden="false" customHeight="true" outlineLevel="0" collapsed="false">
      <c r="A84" s="14" t="s">
        <v>171</v>
      </c>
      <c r="B84" s="22" t="s">
        <v>172</v>
      </c>
      <c r="C84" s="22"/>
      <c r="D84" s="22"/>
      <c r="E84" s="22"/>
      <c r="F84" s="22"/>
    </row>
    <row r="85" customFormat="false" ht="15" hidden="false" customHeight="true" outlineLevel="0" collapsed="false">
      <c r="A85" s="14" t="s">
        <v>173</v>
      </c>
      <c r="B85" s="22" t="s">
        <v>174</v>
      </c>
      <c r="C85" s="22"/>
      <c r="D85" s="22"/>
      <c r="E85" s="22"/>
      <c r="F85" s="22"/>
    </row>
    <row r="86" customFormat="false" ht="15" hidden="false" customHeight="true" outlineLevel="0" collapsed="false">
      <c r="A86" s="14" t="s">
        <v>175</v>
      </c>
      <c r="B86" s="22" t="s">
        <v>176</v>
      </c>
      <c r="C86" s="22"/>
      <c r="D86" s="22"/>
      <c r="E86" s="22"/>
      <c r="F86" s="22"/>
    </row>
    <row r="87" customFormat="false" ht="15" hidden="false" customHeight="true" outlineLevel="0" collapsed="false">
      <c r="A87" s="14" t="s">
        <v>177</v>
      </c>
      <c r="B87" s="22" t="s">
        <v>178</v>
      </c>
      <c r="C87" s="22"/>
      <c r="D87" s="22"/>
      <c r="E87" s="22"/>
      <c r="F87" s="22"/>
    </row>
    <row r="88" customFormat="false" ht="15" hidden="false" customHeight="true" outlineLevel="0" collapsed="false">
      <c r="A88" s="14" t="s">
        <v>179</v>
      </c>
      <c r="B88" s="22" t="s">
        <v>180</v>
      </c>
      <c r="C88" s="22"/>
      <c r="D88" s="22"/>
      <c r="E88" s="22"/>
      <c r="F88" s="22"/>
    </row>
    <row r="89" customFormat="false" ht="15" hidden="false" customHeight="true" outlineLevel="0" collapsed="false">
      <c r="A89" s="14" t="s">
        <v>181</v>
      </c>
      <c r="B89" s="22" t="s">
        <v>182</v>
      </c>
      <c r="C89" s="22"/>
      <c r="D89" s="22"/>
      <c r="E89" s="22"/>
      <c r="F89" s="22"/>
    </row>
    <row r="90" customFormat="false" ht="15" hidden="false" customHeight="true" outlineLevel="0" collapsed="false">
      <c r="A90" s="14" t="s">
        <v>183</v>
      </c>
      <c r="B90" s="22" t="s">
        <v>184</v>
      </c>
      <c r="C90" s="22"/>
      <c r="D90" s="22"/>
      <c r="E90" s="22"/>
      <c r="F90" s="22"/>
    </row>
    <row r="91" customFormat="false" ht="15" hidden="false" customHeight="true" outlineLevel="0" collapsed="false">
      <c r="A91" s="14" t="s">
        <v>185</v>
      </c>
      <c r="B91" s="22" t="s">
        <v>186</v>
      </c>
      <c r="C91" s="22"/>
      <c r="D91" s="22"/>
      <c r="E91" s="22"/>
      <c r="F91" s="22"/>
    </row>
    <row r="92" customFormat="false" ht="23.85" hidden="false" customHeight="true" outlineLevel="0" collapsed="false">
      <c r="A92" s="14" t="s">
        <v>187</v>
      </c>
      <c r="B92" s="22" t="s">
        <v>188</v>
      </c>
      <c r="C92" s="22"/>
      <c r="D92" s="22"/>
      <c r="E92" s="22"/>
      <c r="F92" s="22"/>
    </row>
    <row r="94" customFormat="false" ht="15" hidden="false" customHeight="false" outlineLevel="0" collapsed="false">
      <c r="A94" s="19" t="s">
        <v>189</v>
      </c>
      <c r="B94" s="19"/>
      <c r="C94" s="19"/>
      <c r="D94" s="19"/>
      <c r="E94" s="19"/>
      <c r="F94" s="19"/>
    </row>
    <row r="95" customFormat="false" ht="15" hidden="false" customHeight="true" outlineLevel="0" collapsed="false">
      <c r="A95" s="20" t="s">
        <v>190</v>
      </c>
      <c r="B95" s="21" t="s">
        <v>191</v>
      </c>
      <c r="C95" s="21"/>
      <c r="D95" s="21"/>
      <c r="E95" s="21"/>
      <c r="F95" s="21"/>
    </row>
    <row r="96" customFormat="false" ht="15" hidden="false" customHeight="true" outlineLevel="0" collapsed="false">
      <c r="A96" s="20" t="s">
        <v>192</v>
      </c>
      <c r="B96" s="21" t="s">
        <v>193</v>
      </c>
      <c r="C96" s="21"/>
      <c r="D96" s="21"/>
      <c r="E96" s="21"/>
      <c r="F96" s="21"/>
    </row>
    <row r="97" customFormat="false" ht="15" hidden="false" customHeight="true" outlineLevel="0" collapsed="false">
      <c r="A97" s="20" t="s">
        <v>194</v>
      </c>
      <c r="B97" s="21" t="s">
        <v>195</v>
      </c>
      <c r="C97" s="21"/>
      <c r="D97" s="21"/>
      <c r="E97" s="21"/>
      <c r="F97" s="21"/>
    </row>
    <row r="98" customFormat="false" ht="15" hidden="false" customHeight="true" outlineLevel="0" collapsed="false">
      <c r="A98" s="20" t="s">
        <v>196</v>
      </c>
      <c r="B98" s="21" t="s">
        <v>197</v>
      </c>
      <c r="C98" s="21"/>
      <c r="D98" s="21"/>
      <c r="E98" s="21"/>
      <c r="F98" s="21"/>
    </row>
    <row r="99" customFormat="false" ht="15" hidden="false" customHeight="true" outlineLevel="0" collapsed="false">
      <c r="A99" s="20" t="s">
        <v>198</v>
      </c>
      <c r="B99" s="21" t="s">
        <v>199</v>
      </c>
      <c r="C99" s="21"/>
      <c r="D99" s="21"/>
      <c r="E99" s="21"/>
      <c r="F99" s="21"/>
    </row>
    <row r="100" customFormat="false" ht="15" hidden="false" customHeight="true" outlineLevel="0" collapsed="false">
      <c r="A100" s="20" t="s">
        <v>200</v>
      </c>
      <c r="B100" s="21" t="s">
        <v>201</v>
      </c>
      <c r="C100" s="21"/>
      <c r="D100" s="21"/>
      <c r="E100" s="21"/>
      <c r="F100" s="21"/>
    </row>
    <row r="101" customFormat="false" ht="23.85" hidden="false" customHeight="true" outlineLevel="0" collapsed="false">
      <c r="A101" s="20" t="s">
        <v>202</v>
      </c>
      <c r="B101" s="21" t="s">
        <v>203</v>
      </c>
      <c r="C101" s="21"/>
      <c r="D101" s="21"/>
      <c r="E101" s="21"/>
      <c r="F101" s="21"/>
    </row>
    <row r="103" customFormat="false" ht="15" hidden="false" customHeight="false" outlineLevel="0" collapsed="false">
      <c r="A103" s="19" t="s">
        <v>204</v>
      </c>
      <c r="B103" s="19"/>
      <c r="C103" s="19"/>
      <c r="D103" s="19"/>
      <c r="E103" s="19"/>
      <c r="F103" s="19"/>
    </row>
    <row r="104" customFormat="false" ht="15" hidden="false" customHeight="true" outlineLevel="0" collapsed="false">
      <c r="A104" s="14" t="s">
        <v>205</v>
      </c>
      <c r="B104" s="22" t="s">
        <v>206</v>
      </c>
      <c r="C104" s="22"/>
      <c r="D104" s="22"/>
      <c r="E104" s="22"/>
      <c r="F104" s="22"/>
    </row>
    <row r="105" customFormat="false" ht="23.85" hidden="false" customHeight="true" outlineLevel="0" collapsed="false">
      <c r="A105" s="14" t="s">
        <v>207</v>
      </c>
      <c r="B105" s="22" t="s">
        <v>208</v>
      </c>
      <c r="C105" s="22"/>
      <c r="D105" s="22"/>
      <c r="E105" s="22"/>
      <c r="F105" s="22"/>
    </row>
    <row r="106" customFormat="false" ht="15" hidden="false" customHeight="true" outlineLevel="0" collapsed="false">
      <c r="A106" s="14" t="s">
        <v>209</v>
      </c>
      <c r="B106" s="22" t="s">
        <v>210</v>
      </c>
      <c r="C106" s="22"/>
      <c r="D106" s="22"/>
      <c r="E106" s="22"/>
      <c r="F106" s="22"/>
    </row>
    <row r="107" customFormat="false" ht="23.85" hidden="false" customHeight="true" outlineLevel="0" collapsed="false">
      <c r="A107" s="14" t="s">
        <v>211</v>
      </c>
      <c r="B107" s="22" t="s">
        <v>212</v>
      </c>
      <c r="C107" s="22"/>
      <c r="D107" s="22"/>
      <c r="E107" s="22"/>
      <c r="F107" s="22"/>
    </row>
    <row r="108" customFormat="false" ht="23.85" hidden="false" customHeight="true" outlineLevel="0" collapsed="false">
      <c r="A108" s="14" t="s">
        <v>213</v>
      </c>
      <c r="B108" s="22" t="s">
        <v>214</v>
      </c>
      <c r="C108" s="22"/>
      <c r="D108" s="22"/>
      <c r="E108" s="22"/>
      <c r="F108" s="22"/>
    </row>
  </sheetData>
  <mergeCells count="87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A13:F13"/>
    <mergeCell ref="B14:F14"/>
    <mergeCell ref="B15:F15"/>
    <mergeCell ref="B16:F16"/>
    <mergeCell ref="B17:F17"/>
    <mergeCell ref="A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A34:F34"/>
    <mergeCell ref="B35:F35"/>
    <mergeCell ref="B36:F36"/>
    <mergeCell ref="B37:F37"/>
    <mergeCell ref="B38:F38"/>
    <mergeCell ref="A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B51:F51"/>
    <mergeCell ref="B52:F52"/>
    <mergeCell ref="A54:F54"/>
    <mergeCell ref="B55:F55"/>
    <mergeCell ref="B56:F56"/>
    <mergeCell ref="B57:F57"/>
    <mergeCell ref="A59:F59"/>
    <mergeCell ref="B60:F60"/>
    <mergeCell ref="B61:F61"/>
    <mergeCell ref="B62:F62"/>
    <mergeCell ref="B63:F63"/>
    <mergeCell ref="B64:F64"/>
    <mergeCell ref="A66:F66"/>
    <mergeCell ref="A76:F76"/>
    <mergeCell ref="B77:F77"/>
    <mergeCell ref="B78:F78"/>
    <mergeCell ref="B79:F79"/>
    <mergeCell ref="B80:F80"/>
    <mergeCell ref="A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A94:F94"/>
    <mergeCell ref="B95:F95"/>
    <mergeCell ref="B96:F96"/>
    <mergeCell ref="B97:F97"/>
    <mergeCell ref="B98:F98"/>
    <mergeCell ref="B99:F99"/>
    <mergeCell ref="B100:F100"/>
    <mergeCell ref="B101:F101"/>
    <mergeCell ref="A103:F103"/>
    <mergeCell ref="B104:F104"/>
    <mergeCell ref="B105:F105"/>
    <mergeCell ref="B106:F106"/>
    <mergeCell ref="B107:F107"/>
    <mergeCell ref="B108:F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215</v>
      </c>
    </row>
    <row r="3" customFormat="false" ht="15" hidden="false" customHeight="false" outlineLevel="0" collapsed="false">
      <c r="A3" s="28" t="s">
        <v>216</v>
      </c>
      <c r="B3" s="28" t="s">
        <v>217</v>
      </c>
      <c r="C3" s="28" t="s">
        <v>218</v>
      </c>
      <c r="D3" s="28" t="s">
        <v>219</v>
      </c>
    </row>
    <row r="4" customFormat="false" ht="15" hidden="false" customHeight="false" outlineLevel="0" collapsed="false">
      <c r="A4" s="4" t="s">
        <v>220</v>
      </c>
      <c r="B4" s="5" t="n">
        <v>4671538</v>
      </c>
      <c r="C4" s="5" t="n">
        <v>4889866</v>
      </c>
      <c r="D4" s="9" t="n">
        <f aca="false">C4-B4</f>
        <v>218328</v>
      </c>
    </row>
    <row r="5" customFormat="false" ht="15" hidden="false" customHeight="false" outlineLevel="0" collapsed="false">
      <c r="A5" s="4" t="s">
        <v>221</v>
      </c>
      <c r="B5" s="5" t="n">
        <v>0</v>
      </c>
      <c r="C5" s="5" t="n">
        <v>218328</v>
      </c>
      <c r="D5" s="9" t="n">
        <f aca="false">C5-B5</f>
        <v>218328</v>
      </c>
    </row>
    <row r="6" customFormat="false" ht="15" hidden="false" customHeight="false" outlineLevel="0" collapsed="false">
      <c r="A6" s="29" t="s">
        <v>222</v>
      </c>
      <c r="B6" s="6" t="n">
        <f aca="false">SUM(B4:B5)</f>
        <v>4671538</v>
      </c>
      <c r="C6" s="6" t="n">
        <f aca="false">SUM(C4:C5)</f>
        <v>5108194</v>
      </c>
      <c r="D6" s="6" t="n">
        <f aca="false">SUM(D4:D5)</f>
        <v>436656</v>
      </c>
    </row>
    <row r="9" customFormat="false" ht="15" hidden="false" customHeight="false" outlineLevel="0" collapsed="false">
      <c r="A9" s="3" t="s">
        <v>223</v>
      </c>
    </row>
    <row r="10" customFormat="false" ht="15" hidden="false" customHeight="false" outlineLevel="0" collapsed="false">
      <c r="A10" s="28" t="s">
        <v>224</v>
      </c>
      <c r="B10" s="28" t="s">
        <v>225</v>
      </c>
      <c r="C10" s="28" t="s">
        <v>226</v>
      </c>
    </row>
    <row r="11" customFormat="false" ht="15" hidden="false" customHeight="false" outlineLevel="0" collapsed="false">
      <c r="A11" s="4" t="n">
        <v>1</v>
      </c>
      <c r="B11" s="4" t="s">
        <v>227</v>
      </c>
      <c r="C11" s="5" t="n">
        <v>15729</v>
      </c>
    </row>
    <row r="12" customFormat="false" ht="15" hidden="false" customHeight="false" outlineLevel="0" collapsed="false">
      <c r="A12" s="4" t="n">
        <v>2</v>
      </c>
      <c r="B12" s="4" t="s">
        <v>228</v>
      </c>
      <c r="C12" s="5" t="n">
        <v>-28000</v>
      </c>
    </row>
    <row r="13" customFormat="false" ht="15" hidden="false" customHeight="false" outlineLevel="0" collapsed="false">
      <c r="A13" s="4" t="n">
        <v>3</v>
      </c>
      <c r="B13" s="4" t="s">
        <v>229</v>
      </c>
      <c r="C13" s="5" t="n">
        <v>16279</v>
      </c>
    </row>
    <row r="14" customFormat="false" ht="15" hidden="false" customHeight="false" outlineLevel="0" collapsed="false">
      <c r="A14" s="4" t="n">
        <v>4</v>
      </c>
      <c r="B14" s="4" t="s">
        <v>230</v>
      </c>
      <c r="C14" s="5" t="n">
        <v>-3213</v>
      </c>
    </row>
    <row r="15" customFormat="false" ht="15" hidden="false" customHeight="false" outlineLevel="0" collapsed="false">
      <c r="A15" s="4" t="n">
        <v>5</v>
      </c>
      <c r="B15" s="4" t="s">
        <v>231</v>
      </c>
      <c r="C15" s="5" t="n">
        <v>7800</v>
      </c>
    </row>
    <row r="16" customFormat="false" ht="15" hidden="false" customHeight="false" outlineLevel="0" collapsed="false">
      <c r="A16" s="4" t="n">
        <v>6</v>
      </c>
      <c r="B16" s="4" t="s">
        <v>232</v>
      </c>
      <c r="C16" s="5" t="n">
        <v>52500</v>
      </c>
    </row>
    <row r="17" customFormat="false" ht="15" hidden="false" customHeight="false" outlineLevel="0" collapsed="false">
      <c r="A17" s="4" t="n">
        <v>7</v>
      </c>
      <c r="B17" s="4" t="s">
        <v>233</v>
      </c>
      <c r="C17" s="5" t="n">
        <v>-7760</v>
      </c>
    </row>
    <row r="18" customFormat="false" ht="15" hidden="false" customHeight="false" outlineLevel="0" collapsed="false">
      <c r="A18" s="4" t="n">
        <v>8</v>
      </c>
      <c r="B18" s="4" t="s">
        <v>234</v>
      </c>
      <c r="C18" s="5" t="n">
        <v>37005</v>
      </c>
    </row>
    <row r="19" customFormat="false" ht="15" hidden="false" customHeight="false" outlineLevel="0" collapsed="false">
      <c r="A19" s="4" t="n">
        <v>9</v>
      </c>
      <c r="B19" s="4" t="s">
        <v>235</v>
      </c>
      <c r="C19" s="5" t="n">
        <v>33293</v>
      </c>
    </row>
    <row r="20" customFormat="false" ht="15" hidden="false" customHeight="false" outlineLevel="0" collapsed="false">
      <c r="A20" s="4" t="n">
        <v>10</v>
      </c>
      <c r="B20" s="4" t="s">
        <v>236</v>
      </c>
      <c r="C20" s="5" t="n">
        <v>5793</v>
      </c>
    </row>
    <row r="21" customFormat="false" ht="15" hidden="false" customHeight="false" outlineLevel="0" collapsed="false">
      <c r="A21" s="4" t="n">
        <v>11</v>
      </c>
      <c r="B21" s="4" t="s">
        <v>237</v>
      </c>
      <c r="C21" s="5" t="n">
        <v>16683</v>
      </c>
    </row>
    <row r="22" customFormat="false" ht="15" hidden="false" customHeight="false" outlineLevel="0" collapsed="false">
      <c r="A22" s="4" t="n">
        <v>12</v>
      </c>
      <c r="B22" s="4" t="s">
        <v>238</v>
      </c>
      <c r="C22" s="5" t="n">
        <v>1231</v>
      </c>
    </row>
    <row r="23" customFormat="false" ht="15" hidden="false" customHeight="false" outlineLevel="0" collapsed="false">
      <c r="A23" s="4" t="n">
        <v>13</v>
      </c>
      <c r="B23" s="4" t="s">
        <v>239</v>
      </c>
      <c r="C23" s="5" t="n">
        <v>35580</v>
      </c>
    </row>
    <row r="24" customFormat="false" ht="15" hidden="false" customHeight="false" outlineLevel="0" collapsed="false">
      <c r="A24" s="4" t="n">
        <v>14</v>
      </c>
      <c r="B24" s="4" t="s">
        <v>240</v>
      </c>
      <c r="C24" s="5" t="n">
        <v>4086</v>
      </c>
    </row>
    <row r="25" customFormat="false" ht="15" hidden="false" customHeight="false" outlineLevel="0" collapsed="false">
      <c r="A25" s="4" t="n">
        <v>15</v>
      </c>
      <c r="B25" s="4" t="s">
        <v>241</v>
      </c>
      <c r="C25" s="5" t="n">
        <v>5370</v>
      </c>
    </row>
    <row r="26" customFormat="false" ht="15" hidden="false" customHeight="false" outlineLevel="0" collapsed="false">
      <c r="A26" s="4" t="n">
        <v>16</v>
      </c>
      <c r="B26" s="4" t="s">
        <v>242</v>
      </c>
      <c r="C26" s="5" t="n">
        <v>4054</v>
      </c>
    </row>
    <row r="27" customFormat="false" ht="15" hidden="false" customHeight="false" outlineLevel="0" collapsed="false">
      <c r="A27" s="4" t="n">
        <v>17</v>
      </c>
      <c r="B27" s="4" t="s">
        <v>243</v>
      </c>
      <c r="C27" s="5" t="n">
        <v>3822</v>
      </c>
    </row>
    <row r="28" customFormat="false" ht="15" hidden="false" customHeight="false" outlineLevel="0" collapsed="false">
      <c r="A28" s="4" t="n">
        <v>18</v>
      </c>
      <c r="B28" s="4" t="s">
        <v>244</v>
      </c>
      <c r="C28" s="5" t="n">
        <v>10334</v>
      </c>
    </row>
    <row r="29" customFormat="false" ht="15" hidden="false" customHeight="false" outlineLevel="0" collapsed="false">
      <c r="A29" s="4" t="n">
        <v>19</v>
      </c>
      <c r="B29" s="4" t="s">
        <v>245</v>
      </c>
      <c r="C29" s="5" t="n">
        <v>628</v>
      </c>
    </row>
    <row r="30" customFormat="false" ht="15" hidden="false" customHeight="false" outlineLevel="0" collapsed="false">
      <c r="A30" s="4" t="n">
        <v>20</v>
      </c>
      <c r="B30" s="4" t="s">
        <v>246</v>
      </c>
      <c r="C30" s="5" t="n">
        <v>7114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1" t="s">
        <v>247</v>
      </c>
    </row>
    <row r="3" customFormat="false" ht="15" hidden="false" customHeight="false" outlineLevel="0" collapsed="false">
      <c r="A3" s="28" t="s">
        <v>248</v>
      </c>
      <c r="B3" s="28" t="s">
        <v>249</v>
      </c>
      <c r="C3" s="28" t="s">
        <v>250</v>
      </c>
      <c r="D3" s="28" t="s">
        <v>251</v>
      </c>
      <c r="E3" s="28" t="s">
        <v>50</v>
      </c>
      <c r="F3" s="28" t="s">
        <v>252</v>
      </c>
      <c r="G3" s="28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254</v>
      </c>
    </row>
    <row r="3" customFormat="false" ht="15" hidden="false" customHeight="false" outlineLevel="0" collapsed="false">
      <c r="A3" s="28" t="s">
        <v>255</v>
      </c>
      <c r="B3" s="28" t="s">
        <v>132</v>
      </c>
      <c r="C3" s="28" t="s">
        <v>225</v>
      </c>
      <c r="D3" s="28" t="s">
        <v>226</v>
      </c>
      <c r="E3" s="28" t="s">
        <v>40</v>
      </c>
    </row>
    <row r="4" customFormat="false" ht="15" hidden="false" customHeight="false" outlineLevel="0" collapsed="false">
      <c r="A4" s="4" t="s">
        <v>256</v>
      </c>
      <c r="B4" s="4" t="s">
        <v>257</v>
      </c>
      <c r="C4" s="4" t="s">
        <v>258</v>
      </c>
      <c r="D4" s="5" t="s">
        <v>259</v>
      </c>
      <c r="E4" s="4" t="s">
        <v>260</v>
      </c>
    </row>
    <row r="5" customFormat="false" ht="15" hidden="false" customHeight="false" outlineLevel="0" collapsed="false">
      <c r="A5" s="4" t="s">
        <v>256</v>
      </c>
      <c r="B5" s="4" t="s">
        <v>257</v>
      </c>
      <c r="C5" s="4" t="s">
        <v>258</v>
      </c>
      <c r="D5" s="5" t="s">
        <v>259</v>
      </c>
      <c r="E5" s="4" t="s">
        <v>260</v>
      </c>
    </row>
    <row r="6" customFormat="false" ht="15" hidden="false" customHeight="false" outlineLevel="0" collapsed="false">
      <c r="A6" s="4" t="s">
        <v>256</v>
      </c>
      <c r="B6" s="4" t="s">
        <v>257</v>
      </c>
      <c r="C6" s="4" t="s">
        <v>258</v>
      </c>
      <c r="D6" s="5" t="s">
        <v>259</v>
      </c>
      <c r="E6" s="4" t="s">
        <v>260</v>
      </c>
    </row>
    <row r="7" customFormat="false" ht="15" hidden="false" customHeight="false" outlineLevel="0" collapsed="false">
      <c r="A7" s="4" t="s">
        <v>256</v>
      </c>
      <c r="B7" s="4" t="s">
        <v>257</v>
      </c>
      <c r="C7" s="4" t="s">
        <v>258</v>
      </c>
      <c r="D7" s="5" t="s">
        <v>259</v>
      </c>
      <c r="E7" s="4" t="s">
        <v>260</v>
      </c>
    </row>
    <row r="8" customFormat="false" ht="15" hidden="false" customHeight="false" outlineLevel="0" collapsed="false">
      <c r="A8" s="4" t="s">
        <v>256</v>
      </c>
      <c r="B8" s="4" t="s">
        <v>257</v>
      </c>
      <c r="C8" s="4" t="s">
        <v>258</v>
      </c>
      <c r="D8" s="5" t="s">
        <v>259</v>
      </c>
      <c r="E8" s="4" t="s">
        <v>260</v>
      </c>
    </row>
    <row r="9" customFormat="false" ht="15" hidden="false" customHeight="false" outlineLevel="0" collapsed="false">
      <c r="A9" s="4" t="s">
        <v>256</v>
      </c>
      <c r="B9" s="4" t="s">
        <v>257</v>
      </c>
      <c r="C9" s="4" t="s">
        <v>258</v>
      </c>
      <c r="D9" s="5" t="s">
        <v>259</v>
      </c>
      <c r="E9" s="4" t="s">
        <v>260</v>
      </c>
    </row>
    <row r="10" customFormat="false" ht="15" hidden="false" customHeight="false" outlineLevel="0" collapsed="false">
      <c r="A10" s="4" t="s">
        <v>256</v>
      </c>
      <c r="B10" s="4" t="s">
        <v>257</v>
      </c>
      <c r="C10" s="4" t="s">
        <v>258</v>
      </c>
      <c r="D10" s="5" t="s">
        <v>259</v>
      </c>
      <c r="E10" s="4" t="s">
        <v>260</v>
      </c>
    </row>
    <row r="11" customFormat="false" ht="15" hidden="false" customHeight="false" outlineLevel="0" collapsed="false">
      <c r="A11" s="4" t="s">
        <v>256</v>
      </c>
      <c r="B11" s="4" t="s">
        <v>257</v>
      </c>
      <c r="C11" s="4" t="s">
        <v>258</v>
      </c>
      <c r="D11" s="5" t="s">
        <v>259</v>
      </c>
      <c r="E11" s="4" t="s">
        <v>260</v>
      </c>
    </row>
    <row r="12" customFormat="false" ht="15" hidden="false" customHeight="false" outlineLevel="0" collapsed="false">
      <c r="A12" s="4" t="s">
        <v>256</v>
      </c>
      <c r="B12" s="4" t="s">
        <v>257</v>
      </c>
      <c r="C12" s="4" t="s">
        <v>258</v>
      </c>
      <c r="D12" s="5" t="s">
        <v>259</v>
      </c>
      <c r="E12" s="4" t="s">
        <v>260</v>
      </c>
    </row>
    <row r="13" customFormat="false" ht="15" hidden="false" customHeight="false" outlineLevel="0" collapsed="false">
      <c r="A13" s="4" t="s">
        <v>256</v>
      </c>
      <c r="B13" s="4" t="s">
        <v>257</v>
      </c>
      <c r="C13" s="4" t="s">
        <v>258</v>
      </c>
      <c r="D13" s="5" t="s">
        <v>259</v>
      </c>
      <c r="E13" s="4" t="s">
        <v>260</v>
      </c>
    </row>
    <row r="14" customFormat="false" ht="15" hidden="false" customHeight="false" outlineLevel="0" collapsed="false">
      <c r="A14" s="4" t="s">
        <v>256</v>
      </c>
      <c r="B14" s="4" t="s">
        <v>257</v>
      </c>
      <c r="C14" s="4" t="s">
        <v>258</v>
      </c>
      <c r="D14" s="5" t="s">
        <v>259</v>
      </c>
      <c r="E14" s="4" t="s">
        <v>260</v>
      </c>
    </row>
    <row r="15" customFormat="false" ht="15" hidden="false" customHeight="false" outlineLevel="0" collapsed="false">
      <c r="A15" s="4" t="s">
        <v>256</v>
      </c>
      <c r="B15" s="4" t="s">
        <v>257</v>
      </c>
      <c r="C15" s="4" t="s">
        <v>258</v>
      </c>
      <c r="D15" s="5" t="s">
        <v>259</v>
      </c>
      <c r="E15" s="4" t="s">
        <v>260</v>
      </c>
    </row>
    <row r="16" customFormat="false" ht="15" hidden="false" customHeight="false" outlineLevel="0" collapsed="false">
      <c r="A16" s="4" t="s">
        <v>256</v>
      </c>
      <c r="B16" s="4" t="s">
        <v>257</v>
      </c>
      <c r="C16" s="4" t="s">
        <v>258</v>
      </c>
      <c r="D16" s="5" t="s">
        <v>259</v>
      </c>
      <c r="E16" s="4" t="s">
        <v>260</v>
      </c>
    </row>
    <row r="17" customFormat="false" ht="15" hidden="false" customHeight="false" outlineLevel="0" collapsed="false">
      <c r="A17" s="4" t="s">
        <v>256</v>
      </c>
      <c r="B17" s="4" t="s">
        <v>257</v>
      </c>
      <c r="C17" s="4" t="s">
        <v>258</v>
      </c>
      <c r="D17" s="5" t="s">
        <v>259</v>
      </c>
      <c r="E17" s="4" t="s">
        <v>260</v>
      </c>
    </row>
    <row r="18" customFormat="false" ht="15" hidden="false" customHeight="false" outlineLevel="0" collapsed="false">
      <c r="A18" s="4" t="s">
        <v>256</v>
      </c>
      <c r="B18" s="4" t="s">
        <v>257</v>
      </c>
      <c r="C18" s="4" t="s">
        <v>258</v>
      </c>
      <c r="D18" s="5" t="s">
        <v>259</v>
      </c>
      <c r="E18" s="4" t="s">
        <v>260</v>
      </c>
    </row>
    <row r="19" customFormat="false" ht="15" hidden="false" customHeight="false" outlineLevel="0" collapsed="false">
      <c r="A19" s="4" t="s">
        <v>256</v>
      </c>
      <c r="B19" s="4" t="s">
        <v>257</v>
      </c>
      <c r="C19" s="4" t="s">
        <v>258</v>
      </c>
      <c r="D19" s="5" t="s">
        <v>259</v>
      </c>
      <c r="E19" s="4" t="s">
        <v>260</v>
      </c>
    </row>
    <row r="20" customFormat="false" ht="15" hidden="false" customHeight="false" outlineLevel="0" collapsed="false">
      <c r="A20" s="4" t="s">
        <v>256</v>
      </c>
      <c r="B20" s="4" t="s">
        <v>257</v>
      </c>
      <c r="C20" s="4" t="s">
        <v>258</v>
      </c>
      <c r="D20" s="5" t="s">
        <v>259</v>
      </c>
      <c r="E20" s="4" t="s">
        <v>260</v>
      </c>
    </row>
    <row r="21" customFormat="false" ht="15" hidden="false" customHeight="false" outlineLevel="0" collapsed="false">
      <c r="A21" s="4" t="s">
        <v>256</v>
      </c>
      <c r="B21" s="4" t="s">
        <v>257</v>
      </c>
      <c r="C21" s="4" t="s">
        <v>258</v>
      </c>
      <c r="D21" s="5" t="s">
        <v>259</v>
      </c>
      <c r="E21" s="4" t="s">
        <v>260</v>
      </c>
    </row>
    <row r="22" customFormat="false" ht="15" hidden="false" customHeight="false" outlineLevel="0" collapsed="false">
      <c r="A22" s="4" t="s">
        <v>256</v>
      </c>
      <c r="B22" s="4" t="s">
        <v>257</v>
      </c>
      <c r="C22" s="4" t="s">
        <v>258</v>
      </c>
      <c r="D22" s="5" t="s">
        <v>259</v>
      </c>
      <c r="E22" s="4" t="s">
        <v>260</v>
      </c>
    </row>
    <row r="23" customFormat="false" ht="15" hidden="false" customHeight="false" outlineLevel="0" collapsed="false">
      <c r="A23" s="4" t="s">
        <v>256</v>
      </c>
      <c r="B23" s="4" t="s">
        <v>257</v>
      </c>
      <c r="C23" s="4" t="s">
        <v>258</v>
      </c>
      <c r="D23" s="5" t="s">
        <v>259</v>
      </c>
      <c r="E23" s="4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9.7" hidden="false" customHeight="false" outlineLevel="0" collapsed="false">
      <c r="A1" s="1" t="s">
        <v>261</v>
      </c>
    </row>
    <row r="3" customFormat="false" ht="15" hidden="false" customHeight="false" outlineLevel="0" collapsed="false">
      <c r="A3" s="28" t="s">
        <v>262</v>
      </c>
      <c r="B3" s="28" t="s">
        <v>225</v>
      </c>
      <c r="C3" s="28" t="s">
        <v>217</v>
      </c>
      <c r="D3" s="28" t="s">
        <v>218</v>
      </c>
      <c r="E3" s="28" t="s">
        <v>263</v>
      </c>
      <c r="F3" s="28" t="s">
        <v>264</v>
      </c>
      <c r="G3" s="28" t="s">
        <v>265</v>
      </c>
      <c r="H3" s="28" t="s">
        <v>266</v>
      </c>
    </row>
    <row r="4" customFormat="false" ht="15" hidden="false" customHeight="false" outlineLevel="0" collapsed="false">
      <c r="A4" s="4" t="s">
        <v>267</v>
      </c>
      <c r="B4" s="4" t="s">
        <v>268</v>
      </c>
      <c r="C4" s="5" t="n">
        <v>0</v>
      </c>
      <c r="D4" s="5" t="n">
        <v>0</v>
      </c>
      <c r="E4" s="5" t="n">
        <v>0</v>
      </c>
      <c r="F4" s="9" t="n">
        <f aca="false">D4-E4</f>
        <v>0</v>
      </c>
      <c r="G4" s="5" t="n">
        <v>0</v>
      </c>
      <c r="H4" s="30" t="n">
        <f aca="false">IFERROR(E4/D4,0)</f>
        <v>0</v>
      </c>
    </row>
    <row r="5" customFormat="false" ht="15" hidden="false" customHeight="false" outlineLevel="0" collapsed="false">
      <c r="A5" s="4" t="s">
        <v>269</v>
      </c>
      <c r="B5" s="4" t="s">
        <v>270</v>
      </c>
      <c r="C5" s="5" t="n">
        <v>12200</v>
      </c>
      <c r="D5" s="5" t="n">
        <v>12700</v>
      </c>
      <c r="E5" s="5" t="n">
        <v>9357</v>
      </c>
      <c r="F5" s="9" t="n">
        <f aca="false">D5-E5</f>
        <v>3343</v>
      </c>
      <c r="G5" s="5" t="n">
        <v>0</v>
      </c>
      <c r="H5" s="30" t="n">
        <f aca="false">IFERROR(E5/D5,0)</f>
        <v>0.736771653543307</v>
      </c>
    </row>
    <row r="6" customFormat="false" ht="15" hidden="false" customHeight="false" outlineLevel="0" collapsed="false">
      <c r="A6" s="4" t="s">
        <v>271</v>
      </c>
      <c r="B6" s="4" t="s">
        <v>272</v>
      </c>
      <c r="C6" s="5" t="n">
        <v>40260</v>
      </c>
      <c r="D6" s="5" t="n">
        <v>45160</v>
      </c>
      <c r="E6" s="5" t="n">
        <v>48115.5</v>
      </c>
      <c r="F6" s="9" t="n">
        <f aca="false">D6-E6</f>
        <v>-2955.5</v>
      </c>
      <c r="G6" s="5" t="n">
        <v>0</v>
      </c>
      <c r="H6" s="30" t="n">
        <f aca="false">IFERROR(E6/D6,0)</f>
        <v>1.06544508414526</v>
      </c>
    </row>
    <row r="7" customFormat="false" ht="15" hidden="false" customHeight="false" outlineLevel="0" collapsed="false">
      <c r="A7" s="4" t="s">
        <v>273</v>
      </c>
      <c r="B7" s="4" t="s">
        <v>274</v>
      </c>
      <c r="C7" s="5" t="n">
        <v>28400</v>
      </c>
      <c r="D7" s="5" t="n">
        <v>30400</v>
      </c>
      <c r="E7" s="5" t="n">
        <v>31475</v>
      </c>
      <c r="F7" s="9" t="n">
        <f aca="false">D7-E7</f>
        <v>-1075</v>
      </c>
      <c r="G7" s="5" t="n">
        <v>0</v>
      </c>
      <c r="H7" s="30" t="n">
        <f aca="false">IFERROR(E7/D7,0)</f>
        <v>1.03536184210526</v>
      </c>
    </row>
    <row r="8" customFormat="false" ht="15" hidden="false" customHeight="false" outlineLevel="0" collapsed="false">
      <c r="A8" s="4" t="s">
        <v>275</v>
      </c>
      <c r="B8" s="4" t="s">
        <v>276</v>
      </c>
      <c r="C8" s="5" t="n">
        <v>74554</v>
      </c>
      <c r="D8" s="5" t="n">
        <v>90954</v>
      </c>
      <c r="E8" s="5" t="n">
        <v>153773.75</v>
      </c>
      <c r="F8" s="9" t="n">
        <f aca="false">D8-E8</f>
        <v>-62819.75</v>
      </c>
      <c r="G8" s="5" t="n">
        <v>0</v>
      </c>
      <c r="H8" s="30" t="n">
        <f aca="false">IFERROR(E8/D8,0)</f>
        <v>1.69067605602832</v>
      </c>
    </row>
    <row r="9" customFormat="false" ht="15" hidden="false" customHeight="false" outlineLevel="0" collapsed="false">
      <c r="A9" s="4" t="s">
        <v>277</v>
      </c>
      <c r="B9" s="4" t="s">
        <v>278</v>
      </c>
      <c r="C9" s="5" t="n">
        <v>59715</v>
      </c>
      <c r="D9" s="5" t="n">
        <v>59715</v>
      </c>
      <c r="E9" s="5" t="n">
        <v>66406.5</v>
      </c>
      <c r="F9" s="9" t="n">
        <f aca="false">D9-E9</f>
        <v>-6691.5</v>
      </c>
      <c r="G9" s="5" t="n">
        <v>0</v>
      </c>
      <c r="H9" s="30" t="n">
        <f aca="false">IFERROR(E9/D9,0)</f>
        <v>1.1120572720422</v>
      </c>
    </row>
    <row r="10" customFormat="false" ht="15" hidden="false" customHeight="false" outlineLevel="0" collapsed="false">
      <c r="A10" s="4" t="s">
        <v>279</v>
      </c>
      <c r="B10" s="4" t="s">
        <v>280</v>
      </c>
      <c r="C10" s="5" t="n">
        <v>542930</v>
      </c>
      <c r="D10" s="5" t="n">
        <v>565930</v>
      </c>
      <c r="E10" s="5" t="n">
        <v>646310.26</v>
      </c>
      <c r="F10" s="9" t="n">
        <f aca="false">D10-E10</f>
        <v>-80380.26</v>
      </c>
      <c r="G10" s="5" t="n">
        <v>0</v>
      </c>
      <c r="H10" s="30" t="n">
        <f aca="false">IFERROR(E10/D10,0)</f>
        <v>1.14203215945435</v>
      </c>
    </row>
    <row r="11" customFormat="false" ht="15" hidden="false" customHeight="false" outlineLevel="0" collapsed="false">
      <c r="A11" s="4" t="s">
        <v>281</v>
      </c>
      <c r="B11" s="4" t="s">
        <v>282</v>
      </c>
      <c r="C11" s="5" t="n">
        <v>135784</v>
      </c>
      <c r="D11" s="5" t="n">
        <v>135784</v>
      </c>
      <c r="E11" s="5" t="n">
        <v>65</v>
      </c>
      <c r="F11" s="9" t="n">
        <f aca="false">D11-E11</f>
        <v>135719</v>
      </c>
      <c r="G11" s="5" t="n">
        <v>0</v>
      </c>
      <c r="H11" s="30" t="n">
        <f aca="false">IFERROR(E11/D11,0)</f>
        <v>0.000478701467035881</v>
      </c>
    </row>
    <row r="12" customFormat="false" ht="15" hidden="false" customHeight="false" outlineLevel="0" collapsed="false">
      <c r="A12" s="4" t="s">
        <v>283</v>
      </c>
      <c r="B12" s="4" t="s">
        <v>284</v>
      </c>
      <c r="C12" s="5" t="n">
        <v>5400</v>
      </c>
      <c r="D12" s="5" t="n">
        <v>11400</v>
      </c>
      <c r="E12" s="5" t="n">
        <v>7647.75</v>
      </c>
      <c r="F12" s="9" t="n">
        <f aca="false">D12-E12</f>
        <v>3752.25</v>
      </c>
      <c r="G12" s="5" t="n">
        <v>0</v>
      </c>
      <c r="H12" s="30" t="n">
        <f aca="false">IFERROR(E12/D12,0)</f>
        <v>0.670855263157895</v>
      </c>
    </row>
    <row r="13" customFormat="false" ht="15" hidden="false" customHeight="false" outlineLevel="0" collapsed="false">
      <c r="A13" s="4" t="s">
        <v>285</v>
      </c>
      <c r="B13" s="4" t="s">
        <v>286</v>
      </c>
      <c r="C13" s="5" t="n">
        <v>172570</v>
      </c>
      <c r="D13" s="5" t="n">
        <v>184270</v>
      </c>
      <c r="E13" s="5" t="n">
        <v>108097.75</v>
      </c>
      <c r="F13" s="9" t="n">
        <f aca="false">D13-E13</f>
        <v>76172.25</v>
      </c>
      <c r="G13" s="5" t="n">
        <v>0</v>
      </c>
      <c r="H13" s="30" t="n">
        <f aca="false">IFERROR(E13/D13,0)</f>
        <v>0.586626960438487</v>
      </c>
    </row>
    <row r="14" customFormat="false" ht="15" hidden="false" customHeight="false" outlineLevel="0" collapsed="false">
      <c r="A14" s="4" t="s">
        <v>287</v>
      </c>
      <c r="B14" s="4" t="s">
        <v>288</v>
      </c>
      <c r="C14" s="5" t="n">
        <v>122400</v>
      </c>
      <c r="D14" s="5" t="n">
        <v>122250</v>
      </c>
      <c r="E14" s="5" t="n">
        <v>28970</v>
      </c>
      <c r="F14" s="9" t="n">
        <f aca="false">D14-E14</f>
        <v>93280</v>
      </c>
      <c r="G14" s="5" t="n">
        <v>0</v>
      </c>
      <c r="H14" s="30" t="n">
        <f aca="false">IFERROR(E14/D14,0)</f>
        <v>0.236973415132924</v>
      </c>
    </row>
    <row r="15" customFormat="false" ht="15" hidden="false" customHeight="false" outlineLevel="0" collapsed="false">
      <c r="A15" s="4" t="s">
        <v>289</v>
      </c>
      <c r="B15" s="4" t="s">
        <v>290</v>
      </c>
      <c r="C15" s="5" t="n">
        <v>28700</v>
      </c>
      <c r="D15" s="5" t="n">
        <v>29000</v>
      </c>
      <c r="E15" s="5" t="n">
        <v>13857.07</v>
      </c>
      <c r="F15" s="9" t="n">
        <f aca="false">D15-E15</f>
        <v>15142.93</v>
      </c>
      <c r="G15" s="5" t="n">
        <v>0</v>
      </c>
      <c r="H15" s="30" t="n">
        <f aca="false">IFERROR(E15/D15,0)</f>
        <v>0.47783</v>
      </c>
    </row>
    <row r="16" customFormat="false" ht="15" hidden="false" customHeight="false" outlineLevel="0" collapsed="false">
      <c r="A16" s="4" t="s">
        <v>291</v>
      </c>
      <c r="B16" s="4" t="s">
        <v>292</v>
      </c>
      <c r="C16" s="5" t="n">
        <v>68005</v>
      </c>
      <c r="D16" s="5" t="n">
        <v>78105</v>
      </c>
      <c r="E16" s="5" t="n">
        <v>54729.07</v>
      </c>
      <c r="F16" s="9" t="n">
        <f aca="false">D16-E16</f>
        <v>23375.93</v>
      </c>
      <c r="G16" s="5" t="n">
        <v>0</v>
      </c>
      <c r="H16" s="30" t="n">
        <f aca="false">IFERROR(E16/D16,0)</f>
        <v>0.700711478138403</v>
      </c>
    </row>
    <row r="17" customFormat="false" ht="15" hidden="false" customHeight="false" outlineLevel="0" collapsed="false">
      <c r="A17" s="4" t="s">
        <v>293</v>
      </c>
      <c r="B17" s="4" t="s">
        <v>294</v>
      </c>
      <c r="C17" s="5" t="n">
        <v>51753</v>
      </c>
      <c r="D17" s="5" t="n">
        <v>51753</v>
      </c>
      <c r="E17" s="5" t="n">
        <v>47833.93</v>
      </c>
      <c r="F17" s="9" t="n">
        <f aca="false">D17-E17</f>
        <v>3919.07</v>
      </c>
      <c r="G17" s="5" t="n">
        <v>0</v>
      </c>
      <c r="H17" s="30" t="n">
        <f aca="false">IFERROR(E17/D17,0)</f>
        <v>0.924273568682009</v>
      </c>
    </row>
    <row r="18" customFormat="false" ht="15" hidden="false" customHeight="false" outlineLevel="0" collapsed="false">
      <c r="A18" s="4" t="s">
        <v>295</v>
      </c>
      <c r="B18" s="4" t="s">
        <v>296</v>
      </c>
      <c r="C18" s="5" t="n">
        <v>381860</v>
      </c>
      <c r="D18" s="5" t="n">
        <v>392310</v>
      </c>
      <c r="E18" s="5" t="n">
        <v>209687.42</v>
      </c>
      <c r="F18" s="9" t="n">
        <f aca="false">D18-E18</f>
        <v>182622.58</v>
      </c>
      <c r="G18" s="5" t="n">
        <v>7489.13</v>
      </c>
      <c r="H18" s="30" t="n">
        <f aca="false">IFERROR(E18/D18,0)</f>
        <v>0.534494201014504</v>
      </c>
    </row>
    <row r="19" customFormat="false" ht="15" hidden="false" customHeight="false" outlineLevel="0" collapsed="false">
      <c r="A19" s="4" t="s">
        <v>297</v>
      </c>
      <c r="B19" s="4" t="s">
        <v>298</v>
      </c>
      <c r="C19" s="5" t="n">
        <v>1068397</v>
      </c>
      <c r="D19" s="5" t="n">
        <v>1055804</v>
      </c>
      <c r="E19" s="5" t="n">
        <v>546778.65</v>
      </c>
      <c r="F19" s="9" t="n">
        <f aca="false">D19-E19</f>
        <v>509025.35</v>
      </c>
      <c r="G19" s="5" t="n">
        <v>11744.38</v>
      </c>
      <c r="H19" s="30" t="n">
        <f aca="false">IFERROR(E19/D19,0)</f>
        <v>0.517878933968805</v>
      </c>
    </row>
    <row r="20" customFormat="false" ht="15" hidden="false" customHeight="false" outlineLevel="0" collapsed="false">
      <c r="A20" s="4" t="s">
        <v>299</v>
      </c>
      <c r="B20" s="4" t="s">
        <v>300</v>
      </c>
      <c r="C20" s="5" t="n">
        <v>5400</v>
      </c>
      <c r="D20" s="5" t="n">
        <v>8500</v>
      </c>
      <c r="E20" s="5" t="n">
        <v>7204.51</v>
      </c>
      <c r="F20" s="9" t="n">
        <f aca="false">D20-E20</f>
        <v>1295.49</v>
      </c>
      <c r="G20" s="5" t="n">
        <v>0</v>
      </c>
      <c r="H20" s="30" t="n">
        <f aca="false">IFERROR(E20/D20,0)</f>
        <v>0.847589411764706</v>
      </c>
    </row>
    <row r="21" customFormat="false" ht="15" hidden="false" customHeight="false" outlineLevel="0" collapsed="false">
      <c r="A21" s="4" t="s">
        <v>301</v>
      </c>
      <c r="B21" s="4" t="s">
        <v>302</v>
      </c>
      <c r="C21" s="5" t="n">
        <v>180900</v>
      </c>
      <c r="D21" s="5" t="n">
        <v>189150</v>
      </c>
      <c r="E21" s="5" t="n">
        <v>137969.26</v>
      </c>
      <c r="F21" s="9" t="n">
        <f aca="false">D21-E21</f>
        <v>51180.74</v>
      </c>
      <c r="G21" s="5" t="n">
        <v>3746.93</v>
      </c>
      <c r="H21" s="30" t="n">
        <f aca="false">IFERROR(E21/D21,0)</f>
        <v>0.729417182130584</v>
      </c>
    </row>
    <row r="22" customFormat="false" ht="15" hidden="false" customHeight="false" outlineLevel="0" collapsed="false">
      <c r="A22" s="4" t="s">
        <v>303</v>
      </c>
      <c r="B22" s="4" t="s">
        <v>304</v>
      </c>
      <c r="C22" s="5" t="n">
        <v>126000</v>
      </c>
      <c r="D22" s="5" t="n">
        <v>125800</v>
      </c>
      <c r="E22" s="5" t="n">
        <v>82317.36</v>
      </c>
      <c r="F22" s="9" t="n">
        <f aca="false">D22-E22</f>
        <v>43482.64</v>
      </c>
      <c r="G22" s="5" t="n">
        <v>66602.18</v>
      </c>
      <c r="H22" s="30" t="n">
        <f aca="false">IFERROR(E22/D22,0)</f>
        <v>0.654351033386328</v>
      </c>
    </row>
    <row r="23" customFormat="false" ht="15" hidden="false" customHeight="false" outlineLevel="0" collapsed="false">
      <c r="A23" s="4" t="s">
        <v>305</v>
      </c>
      <c r="B23" s="4" t="s">
        <v>306</v>
      </c>
      <c r="C23" s="5" t="n">
        <v>29625</v>
      </c>
      <c r="D23" s="5" t="n">
        <v>34125</v>
      </c>
      <c r="E23" s="5" t="n">
        <v>2272.1</v>
      </c>
      <c r="F23" s="9" t="n">
        <f aca="false">D23-E23</f>
        <v>31852.9</v>
      </c>
      <c r="G23" s="5" t="n">
        <v>0</v>
      </c>
      <c r="H23" s="30" t="n">
        <f aca="false">IFERROR(E23/D23,0)</f>
        <v>0.066581684981685</v>
      </c>
    </row>
    <row r="24" customFormat="false" ht="15" hidden="false" customHeight="false" outlineLevel="0" collapsed="false">
      <c r="A24" s="4" t="s">
        <v>307</v>
      </c>
      <c r="B24" s="4" t="s">
        <v>308</v>
      </c>
      <c r="C24" s="5" t="n">
        <v>79300</v>
      </c>
      <c r="D24" s="5" t="n">
        <v>79300</v>
      </c>
      <c r="E24" s="5" t="n">
        <v>9356.25</v>
      </c>
      <c r="F24" s="9" t="n">
        <f aca="false">D24-E24</f>
        <v>69943.75</v>
      </c>
      <c r="G24" s="5" t="n">
        <v>0</v>
      </c>
      <c r="H24" s="30" t="n">
        <f aca="false">IFERROR(E24/D24,0)</f>
        <v>0.117985498108449</v>
      </c>
    </row>
    <row r="25" customFormat="false" ht="15" hidden="false" customHeight="false" outlineLevel="0" collapsed="false">
      <c r="A25" s="4" t="s">
        <v>309</v>
      </c>
      <c r="B25" s="4" t="s">
        <v>310</v>
      </c>
      <c r="C25" s="5" t="n">
        <v>12000</v>
      </c>
      <c r="D25" s="5" t="n">
        <v>14700</v>
      </c>
      <c r="E25" s="5" t="n">
        <v>15185.12</v>
      </c>
      <c r="F25" s="9" t="n">
        <f aca="false">D25-E25</f>
        <v>-485.120000000001</v>
      </c>
      <c r="G25" s="5" t="n">
        <v>2069.67</v>
      </c>
      <c r="H25" s="30" t="n">
        <f aca="false">IFERROR(E25/D25,0)</f>
        <v>1.03300136054422</v>
      </c>
    </row>
    <row r="26" customFormat="false" ht="15" hidden="false" customHeight="false" outlineLevel="0" collapsed="false">
      <c r="A26" s="4" t="s">
        <v>311</v>
      </c>
      <c r="B26" s="4" t="s">
        <v>312</v>
      </c>
      <c r="C26" s="5" t="n">
        <v>8000</v>
      </c>
      <c r="D26" s="5" t="n">
        <v>24887</v>
      </c>
      <c r="E26" s="5" t="n">
        <v>16277</v>
      </c>
      <c r="F26" s="9" t="n">
        <f aca="false">D26-E26</f>
        <v>8610</v>
      </c>
      <c r="G26" s="5" t="n">
        <v>0</v>
      </c>
      <c r="H26" s="30" t="n">
        <f aca="false">IFERROR(E26/D26,0)</f>
        <v>0.654036243822076</v>
      </c>
    </row>
    <row r="27" customFormat="false" ht="15" hidden="false" customHeight="false" outlineLevel="0" collapsed="false">
      <c r="A27" s="4" t="s">
        <v>313</v>
      </c>
      <c r="B27" s="4" t="s">
        <v>314</v>
      </c>
      <c r="C27" s="5" t="n">
        <v>15000</v>
      </c>
      <c r="D27" s="5" t="n">
        <v>59817</v>
      </c>
      <c r="E27" s="5" t="n">
        <v>58582.8</v>
      </c>
      <c r="F27" s="9" t="n">
        <f aca="false">D27-E27</f>
        <v>1234.2</v>
      </c>
      <c r="G27" s="5" t="n">
        <v>0</v>
      </c>
      <c r="H27" s="30" t="n">
        <f aca="false">IFERROR(E27/D27,0)</f>
        <v>0.979367069562165</v>
      </c>
    </row>
    <row r="28" customFormat="false" ht="15" hidden="false" customHeight="false" outlineLevel="0" collapsed="false">
      <c r="A28" s="4" t="s">
        <v>315</v>
      </c>
      <c r="B28" s="4" t="s">
        <v>316</v>
      </c>
      <c r="C28" s="5" t="n">
        <v>487836.01</v>
      </c>
      <c r="D28" s="5" t="n">
        <v>514607.79</v>
      </c>
      <c r="E28" s="5" t="n">
        <v>532803.32</v>
      </c>
      <c r="F28" s="9" t="n">
        <f aca="false">D28-E28</f>
        <v>-18195.53</v>
      </c>
      <c r="G28" s="5" t="n">
        <v>0</v>
      </c>
      <c r="H28" s="30" t="n">
        <f aca="false">IFERROR(E28/D28,0)</f>
        <v>1.03535805394629</v>
      </c>
    </row>
    <row r="29" customFormat="false" ht="15" hidden="false" customHeight="false" outlineLevel="0" collapsed="false">
      <c r="A29" s="4" t="s">
        <v>317</v>
      </c>
      <c r="B29" s="4" t="s">
        <v>318</v>
      </c>
      <c r="C29" s="5" t="n">
        <v>91357.29</v>
      </c>
      <c r="D29" s="5" t="n">
        <v>96280.07</v>
      </c>
      <c r="E29" s="5" t="n">
        <v>84211.38</v>
      </c>
      <c r="F29" s="9" t="n">
        <f aca="false">D29-E29</f>
        <v>12068.69</v>
      </c>
      <c r="G29" s="5" t="n">
        <v>0</v>
      </c>
      <c r="H29" s="30" t="n">
        <f aca="false">IFERROR(E29/D29,0)</f>
        <v>0.874650174226089</v>
      </c>
    </row>
    <row r="30" customFormat="false" ht="15" hidden="false" customHeight="false" outlineLevel="0" collapsed="false">
      <c r="A30" s="29" t="s">
        <v>319</v>
      </c>
      <c r="C30" s="6" t="n">
        <f aca="false">SUM(C4:C29)</f>
        <v>3828346.3</v>
      </c>
      <c r="D30" s="6" t="n">
        <f aca="false">SUM(D4:D29)</f>
        <v>4012701.86</v>
      </c>
      <c r="E30" s="6" t="n">
        <f aca="false">SUM(E4:E29)</f>
        <v>2919283.75</v>
      </c>
      <c r="F30" s="6" t="n">
        <f aca="false">SUM(F4:F29)</f>
        <v>1093418.11</v>
      </c>
      <c r="G30" s="6" t="n">
        <f aca="false">SUM(G4:G29)</f>
        <v>91652.29</v>
      </c>
      <c r="H30" s="7" t="n">
        <f aca="false">IFERROR(E30/D30,0)</f>
        <v>0.727510752568096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6" min="3" style="0" width="16"/>
  </cols>
  <sheetData>
    <row r="1" customFormat="false" ht="19.7" hidden="false" customHeight="false" outlineLevel="0" collapsed="false">
      <c r="A1" s="1" t="s">
        <v>320</v>
      </c>
    </row>
    <row r="3" customFormat="false" ht="15" hidden="false" customHeight="false" outlineLevel="0" collapsed="false">
      <c r="A3" s="28" t="s">
        <v>321</v>
      </c>
      <c r="B3" s="28" t="s">
        <v>322</v>
      </c>
      <c r="C3" s="28" t="s">
        <v>323</v>
      </c>
      <c r="D3" s="28" t="s">
        <v>263</v>
      </c>
      <c r="E3" s="28" t="s">
        <v>264</v>
      </c>
      <c r="F3" s="28" t="s">
        <v>266</v>
      </c>
    </row>
    <row r="4" customFormat="false" ht="15" hidden="false" customHeight="false" outlineLevel="0" collapsed="false">
      <c r="A4" s="29" t="s">
        <v>324</v>
      </c>
      <c r="B4" s="4" t="n">
        <v>11</v>
      </c>
      <c r="C4" s="5" t="n">
        <v>1258563</v>
      </c>
      <c r="D4" s="5" t="n">
        <v>1100218.51</v>
      </c>
      <c r="E4" s="9" t="n">
        <f aca="false">C4-D4</f>
        <v>158344.49</v>
      </c>
      <c r="F4" s="30" t="n">
        <f aca="false">IFERROR(D4/C4,0)</f>
        <v>0.874186282291788</v>
      </c>
    </row>
    <row r="5" customFormat="false" ht="15" hidden="false" customHeight="false" outlineLevel="0" collapsed="false">
      <c r="A5" s="29" t="s">
        <v>325</v>
      </c>
      <c r="B5" s="4" t="n">
        <v>8</v>
      </c>
      <c r="C5" s="5" t="n">
        <v>1930422</v>
      </c>
      <c r="D5" s="5" t="n">
        <v>1100377.27</v>
      </c>
      <c r="E5" s="9" t="n">
        <f aca="false">C5-D5</f>
        <v>830044.73</v>
      </c>
      <c r="F5" s="30" t="n">
        <f aca="false">IFERROR(D5/C5,0)</f>
        <v>0.570019026927791</v>
      </c>
    </row>
    <row r="6" customFormat="false" ht="15" hidden="false" customHeight="false" outlineLevel="0" collapsed="false">
      <c r="A6" s="29" t="s">
        <v>326</v>
      </c>
      <c r="B6" s="4" t="n">
        <v>5</v>
      </c>
      <c r="C6" s="5" t="n">
        <v>212829</v>
      </c>
      <c r="D6" s="5" t="n">
        <v>101673.27</v>
      </c>
      <c r="E6" s="9" t="n">
        <f aca="false">C6-D6</f>
        <v>111155.73</v>
      </c>
      <c r="F6" s="30" t="n">
        <f aca="false">IFERROR(D6/C6,0)</f>
        <v>0.477722819728514</v>
      </c>
    </row>
    <row r="7" customFormat="false" ht="15" hidden="false" customHeight="false" outlineLevel="0" collapsed="false">
      <c r="A7" s="29" t="s">
        <v>327</v>
      </c>
      <c r="B7" s="4" t="n">
        <v>2</v>
      </c>
      <c r="C7" s="5" t="n">
        <v>610887.86</v>
      </c>
      <c r="D7" s="5" t="n">
        <v>617014.7</v>
      </c>
      <c r="E7" s="9" t="n">
        <f aca="false">C7-D7</f>
        <v>-6126.83999999997</v>
      </c>
      <c r="F7" s="30" t="n">
        <f aca="false">IFERROR(D7/C7,0)</f>
        <v>1.010029402123</v>
      </c>
    </row>
    <row r="8" customFormat="false" ht="15" hidden="false" customHeight="false" outlineLevel="0" collapsed="false">
      <c r="A8" s="29" t="s">
        <v>319</v>
      </c>
      <c r="B8" s="31" t="n">
        <f aca="false">SUM(B4:B7)</f>
        <v>26</v>
      </c>
      <c r="C8" s="6" t="n">
        <f aca="false">SUM(C4:C7)</f>
        <v>4012701.86</v>
      </c>
      <c r="D8" s="6" t="n">
        <f aca="false">SUM(D4:D7)</f>
        <v>2919283.75</v>
      </c>
      <c r="E8" s="6" t="n">
        <f aca="false">SUM(E4:E7)</f>
        <v>1093418.11</v>
      </c>
      <c r="F8" s="7" t="n">
        <f aca="false">IFERROR(D8/C8,0)</f>
        <v>0.727510752568096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28" t="s">
        <v>262</v>
      </c>
      <c r="B4" s="28" t="s">
        <v>225</v>
      </c>
      <c r="C4" s="28" t="s">
        <v>218</v>
      </c>
      <c r="D4" s="28" t="s">
        <v>263</v>
      </c>
      <c r="E4" s="28" t="s">
        <v>264</v>
      </c>
      <c r="F4" s="28" t="s">
        <v>330</v>
      </c>
      <c r="G4" s="28" t="s">
        <v>40</v>
      </c>
    </row>
    <row r="5" customFormat="false" ht="15" hidden="false" customHeight="false" outlineLevel="0" collapsed="false">
      <c r="A5" s="4" t="s">
        <v>269</v>
      </c>
      <c r="B5" s="4" t="s">
        <v>270</v>
      </c>
      <c r="C5" s="5" t="n">
        <v>12700</v>
      </c>
      <c r="D5" s="5" t="n">
        <v>9357</v>
      </c>
      <c r="E5" s="9" t="n">
        <f aca="false">C5-D5</f>
        <v>3343</v>
      </c>
      <c r="F5" s="30" t="n">
        <f aca="false">IFERROR((D5-C5)/C5,0)</f>
        <v>-0.263228346456693</v>
      </c>
      <c r="G5" s="32" t="str">
        <f aca="false">IF(C5=0,"UNBUDGETED",IF(F5&gt;0.5,"CRITICAL",IF(F5&gt;0.1,"OVER",IF(F5&lt;-0.1,"UNDER","ON"))))</f>
        <v>UNDER</v>
      </c>
    </row>
    <row r="6" customFormat="false" ht="15" hidden="false" customHeight="false" outlineLevel="0" collapsed="false">
      <c r="A6" s="4" t="s">
        <v>271</v>
      </c>
      <c r="B6" s="4" t="s">
        <v>272</v>
      </c>
      <c r="C6" s="5" t="n">
        <v>45160</v>
      </c>
      <c r="D6" s="5" t="n">
        <v>48115.5</v>
      </c>
      <c r="E6" s="9" t="n">
        <f aca="false">C6-D6</f>
        <v>-2955.5</v>
      </c>
      <c r="F6" s="30" t="n">
        <f aca="false">IFERROR((D6-C6)/C6,0)</f>
        <v>0.0654450841452613</v>
      </c>
      <c r="G6" s="32" t="str">
        <f aca="false">IF(C6=0,"UNBUDGETED",IF(F6&gt;0.5,"CRITICAL",IF(F6&gt;0.1,"OVER",IF(F6&lt;-0.1,"UNDER","ON"))))</f>
        <v>ON</v>
      </c>
    </row>
    <row r="7" customFormat="false" ht="15" hidden="false" customHeight="false" outlineLevel="0" collapsed="false">
      <c r="A7" s="4" t="s">
        <v>273</v>
      </c>
      <c r="B7" s="4" t="s">
        <v>274</v>
      </c>
      <c r="C7" s="5" t="n">
        <v>30400</v>
      </c>
      <c r="D7" s="5" t="n">
        <v>31475</v>
      </c>
      <c r="E7" s="9" t="n">
        <f aca="false">C7-D7</f>
        <v>-1075</v>
      </c>
      <c r="F7" s="30" t="n">
        <f aca="false">IFERROR((D7-C7)/C7,0)</f>
        <v>0.0353618421052632</v>
      </c>
      <c r="G7" s="32" t="str">
        <f aca="false">IF(C7=0,"UNBUDGETED",IF(F7&gt;0.5,"CRITICAL",IF(F7&gt;0.1,"OVER",IF(F7&lt;-0.1,"UNDER","ON"))))</f>
        <v>ON</v>
      </c>
    </row>
    <row r="8" customFormat="false" ht="15" hidden="false" customHeight="false" outlineLevel="0" collapsed="false">
      <c r="A8" s="4" t="s">
        <v>275</v>
      </c>
      <c r="B8" s="4" t="s">
        <v>276</v>
      </c>
      <c r="C8" s="5" t="n">
        <v>90954</v>
      </c>
      <c r="D8" s="5" t="n">
        <v>153773.75</v>
      </c>
      <c r="E8" s="9" t="n">
        <f aca="false">C8-D8</f>
        <v>-62819.75</v>
      </c>
      <c r="F8" s="30" t="n">
        <f aca="false">IFERROR((D8-C8)/C8,0)</f>
        <v>0.690676056028322</v>
      </c>
      <c r="G8" s="32" t="str">
        <f aca="false">IF(C8=0,"UNBUDGETED",IF(F8&gt;0.5,"CRITICAL",IF(F8&gt;0.1,"OVER",IF(F8&lt;-0.1,"UNDER","ON"))))</f>
        <v>CRITICAL</v>
      </c>
    </row>
    <row r="9" customFormat="false" ht="15" hidden="false" customHeight="false" outlineLevel="0" collapsed="false">
      <c r="A9" s="4" t="s">
        <v>277</v>
      </c>
      <c r="B9" s="4" t="s">
        <v>278</v>
      </c>
      <c r="C9" s="5" t="n">
        <v>59715</v>
      </c>
      <c r="D9" s="5" t="n">
        <v>66406.5</v>
      </c>
      <c r="E9" s="9" t="n">
        <f aca="false">C9-D9</f>
        <v>-6691.5</v>
      </c>
      <c r="F9" s="30" t="n">
        <f aca="false">IFERROR((D9-C9)/C9,0)</f>
        <v>0.1120572720422</v>
      </c>
      <c r="G9" s="32" t="str">
        <f aca="false">IF(C9=0,"UNBUDGETED",IF(F9&gt;0.5,"CRITICAL",IF(F9&gt;0.1,"OVER",IF(F9&lt;-0.1,"UNDER","ON"))))</f>
        <v>OVER</v>
      </c>
    </row>
    <row r="10" customFormat="false" ht="15" hidden="false" customHeight="false" outlineLevel="0" collapsed="false">
      <c r="A10" s="4" t="s">
        <v>279</v>
      </c>
      <c r="B10" s="4" t="s">
        <v>280</v>
      </c>
      <c r="C10" s="5" t="n">
        <v>565930</v>
      </c>
      <c r="D10" s="5" t="n">
        <v>646310.26</v>
      </c>
      <c r="E10" s="9" t="n">
        <f aca="false">C10-D10</f>
        <v>-80380.26</v>
      </c>
      <c r="F10" s="30" t="n">
        <f aca="false">IFERROR((D10-C10)/C10,0)</f>
        <v>0.14203215945435</v>
      </c>
      <c r="G10" s="32" t="str">
        <f aca="false">IF(C10=0,"UNBUDGETED",IF(F10&gt;0.5,"CRITICAL",IF(F10&gt;0.1,"OVER",IF(F10&lt;-0.1,"UNDER","ON"))))</f>
        <v>OVER</v>
      </c>
    </row>
    <row r="11" customFormat="false" ht="15" hidden="false" customHeight="false" outlineLevel="0" collapsed="false">
      <c r="A11" s="4" t="s">
        <v>281</v>
      </c>
      <c r="B11" s="4" t="s">
        <v>282</v>
      </c>
      <c r="C11" s="5" t="n">
        <v>135784</v>
      </c>
      <c r="D11" s="5" t="n">
        <v>65</v>
      </c>
      <c r="E11" s="9" t="n">
        <f aca="false">C11-D11</f>
        <v>135719</v>
      </c>
      <c r="F11" s="30" t="n">
        <f aca="false">IFERROR((D11-C11)/C11,0)</f>
        <v>-0.999521298532964</v>
      </c>
      <c r="G11" s="32" t="str">
        <f aca="false">IF(C11=0,"UNBUDGETED",IF(F11&gt;0.5,"CRITICAL",IF(F11&gt;0.1,"OVER",IF(F11&lt;-0.1,"UNDER","ON"))))</f>
        <v>UNDER</v>
      </c>
    </row>
    <row r="12" customFormat="false" ht="15" hidden="false" customHeight="false" outlineLevel="0" collapsed="false">
      <c r="A12" s="4" t="s">
        <v>283</v>
      </c>
      <c r="B12" s="4" t="s">
        <v>284</v>
      </c>
      <c r="C12" s="5" t="n">
        <v>11400</v>
      </c>
      <c r="D12" s="5" t="n">
        <v>7647.75</v>
      </c>
      <c r="E12" s="9" t="n">
        <f aca="false">C12-D12</f>
        <v>3752.25</v>
      </c>
      <c r="F12" s="30" t="n">
        <f aca="false">IFERROR((D12-C12)/C12,0)</f>
        <v>-0.329144736842105</v>
      </c>
      <c r="G12" s="32" t="str">
        <f aca="false">IF(C12=0,"UNBUDGETED",IF(F12&gt;0.5,"CRITICAL",IF(F12&gt;0.1,"OVER",IF(F12&lt;-0.1,"UNDER","ON"))))</f>
        <v>UNDER</v>
      </c>
    </row>
    <row r="13" customFormat="false" ht="15" hidden="false" customHeight="false" outlineLevel="0" collapsed="false">
      <c r="A13" s="4" t="s">
        <v>285</v>
      </c>
      <c r="B13" s="4" t="s">
        <v>286</v>
      </c>
      <c r="C13" s="5" t="n">
        <v>184270</v>
      </c>
      <c r="D13" s="5" t="n">
        <v>108097.75</v>
      </c>
      <c r="E13" s="9" t="n">
        <f aca="false">C13-D13</f>
        <v>76172.25</v>
      </c>
      <c r="F13" s="30" t="n">
        <f aca="false">IFERROR((D13-C13)/C13,0)</f>
        <v>-0.413373039561513</v>
      </c>
      <c r="G13" s="32" t="str">
        <f aca="false">IF(C13=0,"UNBUDGETED",IF(F13&gt;0.5,"CRITICAL",IF(F13&gt;0.1,"OVER",IF(F13&lt;-0.1,"UNDER","ON"))))</f>
        <v>UNDER</v>
      </c>
    </row>
    <row r="14" customFormat="false" ht="15" hidden="false" customHeight="false" outlineLevel="0" collapsed="false">
      <c r="A14" s="4" t="s">
        <v>287</v>
      </c>
      <c r="B14" s="4" t="s">
        <v>288</v>
      </c>
      <c r="C14" s="5" t="n">
        <v>122250</v>
      </c>
      <c r="D14" s="5" t="n">
        <v>28970</v>
      </c>
      <c r="E14" s="9" t="n">
        <f aca="false">C14-D14</f>
        <v>93280</v>
      </c>
      <c r="F14" s="30" t="n">
        <f aca="false">IFERROR((D14-C14)/C14,0)</f>
        <v>-0.763026584867076</v>
      </c>
      <c r="G14" s="32" t="str">
        <f aca="false">IF(C14=0,"UNBUDGETED",IF(F14&gt;0.5,"CRITICAL",IF(F14&gt;0.1,"OVER",IF(F14&lt;-0.1,"UNDER","ON"))))</f>
        <v>UNDER</v>
      </c>
    </row>
    <row r="15" customFormat="false" ht="15" hidden="false" customHeight="false" outlineLevel="0" collapsed="false">
      <c r="A15" s="4" t="s">
        <v>289</v>
      </c>
      <c r="B15" s="4" t="s">
        <v>290</v>
      </c>
      <c r="C15" s="5" t="n">
        <v>29000</v>
      </c>
      <c r="D15" s="5" t="n">
        <v>13857.07</v>
      </c>
      <c r="E15" s="9" t="n">
        <f aca="false">C15-D15</f>
        <v>15142.93</v>
      </c>
      <c r="F15" s="30" t="n">
        <f aca="false">IFERROR((D15-C15)/C15,0)</f>
        <v>-0.52217</v>
      </c>
      <c r="G15" s="32" t="str">
        <f aca="false">IF(C15=0,"UNBUDGETED",IF(F15&gt;0.5,"CRITICAL",IF(F15&gt;0.1,"OVER",IF(F15&lt;-0.1,"UNDER","ON"))))</f>
        <v>UNDER</v>
      </c>
    </row>
    <row r="16" customFormat="false" ht="15" hidden="false" customHeight="false" outlineLevel="0" collapsed="false">
      <c r="A16" s="4" t="s">
        <v>291</v>
      </c>
      <c r="B16" s="4" t="s">
        <v>292</v>
      </c>
      <c r="C16" s="5" t="n">
        <v>78105</v>
      </c>
      <c r="D16" s="5" t="n">
        <v>54729.07</v>
      </c>
      <c r="E16" s="9" t="n">
        <f aca="false">C16-D16</f>
        <v>23375.93</v>
      </c>
      <c r="F16" s="30" t="n">
        <f aca="false">IFERROR((D16-C16)/C16,0)</f>
        <v>-0.299288521861597</v>
      </c>
      <c r="G16" s="32" t="str">
        <f aca="false">IF(C16=0,"UNBUDGETED",IF(F16&gt;0.5,"CRITICAL",IF(F16&gt;0.1,"OVER",IF(F16&lt;-0.1,"UNDER","ON"))))</f>
        <v>UNDER</v>
      </c>
    </row>
    <row r="17" customFormat="false" ht="15" hidden="false" customHeight="false" outlineLevel="0" collapsed="false">
      <c r="A17" s="4" t="s">
        <v>293</v>
      </c>
      <c r="B17" s="4" t="s">
        <v>294</v>
      </c>
      <c r="C17" s="5" t="n">
        <v>51753</v>
      </c>
      <c r="D17" s="5" t="n">
        <v>47833.93</v>
      </c>
      <c r="E17" s="9" t="n">
        <f aca="false">C17-D17</f>
        <v>3919.07</v>
      </c>
      <c r="F17" s="30" t="n">
        <f aca="false">IFERROR((D17-C17)/C17,0)</f>
        <v>-0.0757264313179912</v>
      </c>
      <c r="G17" s="32" t="str">
        <f aca="false">IF(C17=0,"UNBUDGETED",IF(F17&gt;0.5,"CRITICAL",IF(F17&gt;0.1,"OVER",IF(F17&lt;-0.1,"UNDER","ON"))))</f>
        <v>ON</v>
      </c>
    </row>
    <row r="18" customFormat="false" ht="15" hidden="false" customHeight="false" outlineLevel="0" collapsed="false">
      <c r="A18" s="4" t="s">
        <v>295</v>
      </c>
      <c r="B18" s="4" t="s">
        <v>296</v>
      </c>
      <c r="C18" s="5" t="n">
        <v>392310</v>
      </c>
      <c r="D18" s="5" t="n">
        <v>209687.42</v>
      </c>
      <c r="E18" s="9" t="n">
        <f aca="false">C18-D18</f>
        <v>182622.58</v>
      </c>
      <c r="F18" s="30" t="n">
        <f aca="false">IFERROR((D18-C18)/C18,0)</f>
        <v>-0.465505798985496</v>
      </c>
      <c r="G18" s="32" t="str">
        <f aca="false">IF(C18=0,"UNBUDGETED",IF(F18&gt;0.5,"CRITICAL",IF(F18&gt;0.1,"OVER",IF(F18&lt;-0.1,"UNDER","ON"))))</f>
        <v>UNDER</v>
      </c>
    </row>
    <row r="19" customFormat="false" ht="15" hidden="false" customHeight="false" outlineLevel="0" collapsed="false">
      <c r="A19" s="4" t="s">
        <v>297</v>
      </c>
      <c r="B19" s="4" t="s">
        <v>298</v>
      </c>
      <c r="C19" s="5" t="n">
        <v>1055804</v>
      </c>
      <c r="D19" s="5" t="n">
        <v>546778.65</v>
      </c>
      <c r="E19" s="9" t="n">
        <f aca="false">C19-D19</f>
        <v>509025.35</v>
      </c>
      <c r="F19" s="30" t="n">
        <f aca="false">IFERROR((D19-C19)/C19,0)</f>
        <v>-0.482121066031195</v>
      </c>
      <c r="G19" s="32" t="str">
        <f aca="false">IF(C19=0,"UNBUDGETED",IF(F19&gt;0.5,"CRITICAL",IF(F19&gt;0.1,"OVER",IF(F19&lt;-0.1,"UNDER","ON"))))</f>
        <v>UNDER</v>
      </c>
    </row>
    <row r="20" customFormat="false" ht="15" hidden="false" customHeight="false" outlineLevel="0" collapsed="false">
      <c r="A20" s="4" t="s">
        <v>299</v>
      </c>
      <c r="B20" s="4" t="s">
        <v>300</v>
      </c>
      <c r="C20" s="5" t="n">
        <v>8500</v>
      </c>
      <c r="D20" s="5" t="n">
        <v>7204.51</v>
      </c>
      <c r="E20" s="9" t="n">
        <f aca="false">C20-D20</f>
        <v>1295.49</v>
      </c>
      <c r="F20" s="30" t="n">
        <f aca="false">IFERROR((D20-C20)/C20,0)</f>
        <v>-0.152410588235294</v>
      </c>
      <c r="G20" s="32" t="str">
        <f aca="false">IF(C20=0,"UNBUDGETED",IF(F20&gt;0.5,"CRITICAL",IF(F20&gt;0.1,"OVER",IF(F20&lt;-0.1,"UNDER","ON"))))</f>
        <v>UNDER</v>
      </c>
    </row>
    <row r="21" customFormat="false" ht="15" hidden="false" customHeight="false" outlineLevel="0" collapsed="false">
      <c r="A21" s="4" t="s">
        <v>301</v>
      </c>
      <c r="B21" s="4" t="s">
        <v>302</v>
      </c>
      <c r="C21" s="5" t="n">
        <v>189150</v>
      </c>
      <c r="D21" s="5" t="n">
        <v>137969.26</v>
      </c>
      <c r="E21" s="9" t="n">
        <f aca="false">C21-D21</f>
        <v>51180.74</v>
      </c>
      <c r="F21" s="30" t="n">
        <f aca="false">IFERROR((D21-C21)/C21,0)</f>
        <v>-0.270582817869416</v>
      </c>
      <c r="G21" s="32" t="str">
        <f aca="false">IF(C21=0,"UNBUDGETED",IF(F21&gt;0.5,"CRITICAL",IF(F21&gt;0.1,"OVER",IF(F21&lt;-0.1,"UNDER","ON"))))</f>
        <v>UNDER</v>
      </c>
    </row>
    <row r="22" customFormat="false" ht="15" hidden="false" customHeight="false" outlineLevel="0" collapsed="false">
      <c r="A22" s="4" t="s">
        <v>303</v>
      </c>
      <c r="B22" s="4" t="s">
        <v>304</v>
      </c>
      <c r="C22" s="5" t="n">
        <v>125800</v>
      </c>
      <c r="D22" s="5" t="n">
        <v>82317.36</v>
      </c>
      <c r="E22" s="9" t="n">
        <f aca="false">C22-D22</f>
        <v>43482.64</v>
      </c>
      <c r="F22" s="30" t="n">
        <f aca="false">IFERROR((D22-C22)/C22,0)</f>
        <v>-0.345648966613673</v>
      </c>
      <c r="G22" s="32" t="str">
        <f aca="false">IF(C22=0,"UNBUDGETED",IF(F22&gt;0.5,"CRITICAL",IF(F22&gt;0.1,"OVER",IF(F22&lt;-0.1,"UNDER","ON"))))</f>
        <v>UNDER</v>
      </c>
    </row>
    <row r="23" customFormat="false" ht="15" hidden="false" customHeight="false" outlineLevel="0" collapsed="false">
      <c r="A23" s="4" t="s">
        <v>305</v>
      </c>
      <c r="B23" s="4" t="s">
        <v>306</v>
      </c>
      <c r="C23" s="5" t="n">
        <v>34125</v>
      </c>
      <c r="D23" s="5" t="n">
        <v>2272.1</v>
      </c>
      <c r="E23" s="9" t="n">
        <f aca="false">C23-D23</f>
        <v>31852.9</v>
      </c>
      <c r="F23" s="30" t="n">
        <f aca="false">IFERROR((D23-C23)/C23,0)</f>
        <v>-0.933418315018315</v>
      </c>
      <c r="G23" s="32" t="str">
        <f aca="false">IF(C23=0,"UNBUDGETED",IF(F23&gt;0.5,"CRITICAL",IF(F23&gt;0.1,"OVER",IF(F23&lt;-0.1,"UNDER","ON"))))</f>
        <v>UNDER</v>
      </c>
    </row>
    <row r="24" customFormat="false" ht="15" hidden="false" customHeight="false" outlineLevel="0" collapsed="false">
      <c r="A24" s="4" t="s">
        <v>307</v>
      </c>
      <c r="B24" s="4" t="s">
        <v>308</v>
      </c>
      <c r="C24" s="5" t="n">
        <v>79300</v>
      </c>
      <c r="D24" s="5" t="n">
        <v>9356.25</v>
      </c>
      <c r="E24" s="9" t="n">
        <f aca="false">C24-D24</f>
        <v>69943.75</v>
      </c>
      <c r="F24" s="30" t="n">
        <f aca="false">IFERROR((D24-C24)/C24,0)</f>
        <v>-0.882014501891551</v>
      </c>
      <c r="G24" s="32" t="str">
        <f aca="false">IF(C24=0,"UNBUDGETED",IF(F24&gt;0.5,"CRITICAL",IF(F24&gt;0.1,"OVER",IF(F24&lt;-0.1,"UNDER","ON"))))</f>
        <v>UNDER</v>
      </c>
    </row>
    <row r="25" customFormat="false" ht="15" hidden="false" customHeight="false" outlineLevel="0" collapsed="false">
      <c r="A25" s="4" t="s">
        <v>309</v>
      </c>
      <c r="B25" s="4" t="s">
        <v>310</v>
      </c>
      <c r="C25" s="5" t="n">
        <v>14700</v>
      </c>
      <c r="D25" s="5" t="n">
        <v>15185.12</v>
      </c>
      <c r="E25" s="9" t="n">
        <f aca="false">C25-D25</f>
        <v>-485.120000000001</v>
      </c>
      <c r="F25" s="30" t="n">
        <f aca="false">IFERROR((D25-C25)/C25,0)</f>
        <v>0.0330013605442177</v>
      </c>
      <c r="G25" s="32" t="str">
        <f aca="false">IF(C25=0,"UNBUDGETED",IF(F25&gt;0.5,"CRITICAL",IF(F25&gt;0.1,"OVER",IF(F25&lt;-0.1,"UNDER","ON"))))</f>
        <v>ON</v>
      </c>
    </row>
    <row r="26" customFormat="false" ht="15" hidden="false" customHeight="false" outlineLevel="0" collapsed="false">
      <c r="A26" s="4" t="s">
        <v>311</v>
      </c>
      <c r="B26" s="4" t="s">
        <v>312</v>
      </c>
      <c r="C26" s="5" t="n">
        <v>24887</v>
      </c>
      <c r="D26" s="5" t="n">
        <v>16277</v>
      </c>
      <c r="E26" s="9" t="n">
        <f aca="false">C26-D26</f>
        <v>8610</v>
      </c>
      <c r="F26" s="30" t="n">
        <f aca="false">IFERROR((D26-C26)/C26,0)</f>
        <v>-0.345963756177924</v>
      </c>
      <c r="G26" s="32" t="str">
        <f aca="false">IF(C26=0,"UNBUDGETED",IF(F26&gt;0.5,"CRITICAL",IF(F26&gt;0.1,"OVER",IF(F26&lt;-0.1,"UNDER","ON"))))</f>
        <v>UNDER</v>
      </c>
    </row>
    <row r="27" customFormat="false" ht="15" hidden="false" customHeight="false" outlineLevel="0" collapsed="false">
      <c r="A27" s="4" t="s">
        <v>313</v>
      </c>
      <c r="B27" s="4" t="s">
        <v>314</v>
      </c>
      <c r="C27" s="5" t="n">
        <v>59817</v>
      </c>
      <c r="D27" s="5" t="n">
        <v>58582.8</v>
      </c>
      <c r="E27" s="9" t="n">
        <f aca="false">C27-D27</f>
        <v>1234.2</v>
      </c>
      <c r="F27" s="30" t="n">
        <f aca="false">IFERROR((D27-C27)/C27,0)</f>
        <v>-0.0206329304378354</v>
      </c>
      <c r="G27" s="32" t="str">
        <f aca="false">IF(C27=0,"UNBUDGETED",IF(F27&gt;0.5,"CRITICAL",IF(F27&gt;0.1,"OVER",IF(F27&lt;-0.1,"UNDER","ON"))))</f>
        <v>ON</v>
      </c>
    </row>
    <row r="28" customFormat="false" ht="15" hidden="false" customHeight="false" outlineLevel="0" collapsed="false">
      <c r="A28" s="4" t="s">
        <v>315</v>
      </c>
      <c r="B28" s="4" t="s">
        <v>316</v>
      </c>
      <c r="C28" s="5" t="n">
        <v>514607.79</v>
      </c>
      <c r="D28" s="5" t="n">
        <v>532803.32</v>
      </c>
      <c r="E28" s="9" t="n">
        <f aca="false">C28-D28</f>
        <v>-18195.53</v>
      </c>
      <c r="F28" s="30" t="n">
        <f aca="false">IFERROR((D28-C28)/C28,0)</f>
        <v>0.0353580539462879</v>
      </c>
      <c r="G28" s="32" t="str">
        <f aca="false">IF(C28=0,"UNBUDGETED",IF(F28&gt;0.5,"CRITICAL",IF(F28&gt;0.1,"OVER",IF(F28&lt;-0.1,"UNDER","ON"))))</f>
        <v>ON</v>
      </c>
    </row>
    <row r="29" customFormat="false" ht="15" hidden="false" customHeight="false" outlineLevel="0" collapsed="false">
      <c r="A29" s="4" t="s">
        <v>317</v>
      </c>
      <c r="B29" s="4" t="s">
        <v>318</v>
      </c>
      <c r="C29" s="5" t="n">
        <v>96280.07</v>
      </c>
      <c r="D29" s="5" t="n">
        <v>84211.38</v>
      </c>
      <c r="E29" s="9" t="n">
        <f aca="false">C29-D29</f>
        <v>12068.69</v>
      </c>
      <c r="F29" s="30" t="n">
        <f aca="false">IFERROR((D29-C29)/C29,0)</f>
        <v>-0.125349825773912</v>
      </c>
      <c r="G29" s="32" t="str">
        <f aca="false">IF(C29=0,"UNBUDGETED",IF(F29&gt;0.5,"CRITICAL",IF(F29&gt;0.1,"OVER",IF(F29&lt;-0.1,"UNDER","ON"))))</f>
        <v>UNDER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331</v>
      </c>
    </row>
    <row r="3" customFormat="false" ht="15" hidden="false" customHeight="false" outlineLevel="0" collapsed="false">
      <c r="A3" s="28" t="s">
        <v>332</v>
      </c>
      <c r="B3" s="28" t="s">
        <v>333</v>
      </c>
      <c r="C3" s="28" t="s">
        <v>334</v>
      </c>
      <c r="D3" s="28" t="s">
        <v>335</v>
      </c>
    </row>
    <row r="4" customFormat="false" ht="15" hidden="false" customHeight="false" outlineLevel="0" collapsed="false">
      <c r="A4" s="4" t="s">
        <v>336</v>
      </c>
      <c r="B4" s="5" t="n">
        <v>420435.51</v>
      </c>
      <c r="C4" s="4" t="n">
        <v>101</v>
      </c>
      <c r="D4" s="30" t="n">
        <f aca="false">IFERROR(B4/SUM(B$4:B$26),0)</f>
        <v>0.380948015806304</v>
      </c>
    </row>
    <row r="5" customFormat="false" ht="15" hidden="false" customHeight="false" outlineLevel="0" collapsed="false">
      <c r="A5" s="4" t="s">
        <v>337</v>
      </c>
      <c r="B5" s="5" t="n">
        <v>184895.53</v>
      </c>
      <c r="C5" s="4" t="n">
        <v>128</v>
      </c>
      <c r="D5" s="30" t="n">
        <f aca="false">IFERROR(B5/SUM(B$4:B$26),0)</f>
        <v>0.167530057784498</v>
      </c>
    </row>
    <row r="6" customFormat="false" ht="15" hidden="false" customHeight="false" outlineLevel="0" collapsed="false">
      <c r="A6" s="4" t="s">
        <v>338</v>
      </c>
      <c r="B6" s="5" t="n">
        <v>130767.67</v>
      </c>
      <c r="C6" s="4" t="n">
        <v>25</v>
      </c>
      <c r="D6" s="30" t="n">
        <f aca="false">IFERROR(B6/SUM(B$4:B$26),0)</f>
        <v>0.118485910997655</v>
      </c>
    </row>
    <row r="7" customFormat="false" ht="15" hidden="false" customHeight="false" outlineLevel="0" collapsed="false">
      <c r="A7" s="4" t="s">
        <v>339</v>
      </c>
      <c r="B7" s="5" t="n">
        <v>116503.52</v>
      </c>
      <c r="C7" s="4" t="n">
        <v>132</v>
      </c>
      <c r="D7" s="30" t="n">
        <f aca="false">IFERROR(B7/SUM(B$4:B$26),0)</f>
        <v>0.105561456448933</v>
      </c>
    </row>
    <row r="8" customFormat="false" ht="15" hidden="false" customHeight="false" outlineLevel="0" collapsed="false">
      <c r="A8" s="4" t="s">
        <v>340</v>
      </c>
      <c r="B8" s="5" t="n">
        <v>69125</v>
      </c>
      <c r="C8" s="4" t="n">
        <v>7</v>
      </c>
      <c r="D8" s="30" t="n">
        <f aca="false">IFERROR(B8/SUM(B$4:B$26),0)</f>
        <v>0.0626327485816095</v>
      </c>
    </row>
    <row r="9" customFormat="false" ht="15" hidden="false" customHeight="false" outlineLevel="0" collapsed="false">
      <c r="A9" s="4" t="s">
        <v>341</v>
      </c>
      <c r="B9" s="5" t="n">
        <v>44817</v>
      </c>
      <c r="C9" s="4" t="n">
        <v>1</v>
      </c>
      <c r="D9" s="30" t="n">
        <f aca="false">IFERROR(B9/SUM(B$4:B$26),0)</f>
        <v>0.0406077669899746</v>
      </c>
    </row>
    <row r="10" customFormat="false" ht="15" hidden="false" customHeight="false" outlineLevel="0" collapsed="false">
      <c r="A10" s="4" t="s">
        <v>342</v>
      </c>
      <c r="B10" s="5" t="n">
        <v>40628.79</v>
      </c>
      <c r="C10" s="4" t="n">
        <v>13</v>
      </c>
      <c r="D10" s="30" t="n">
        <f aca="false">IFERROR(B10/SUM(B$4:B$26),0)</f>
        <v>0.0368129155767813</v>
      </c>
    </row>
    <row r="11" customFormat="false" ht="15" hidden="false" customHeight="false" outlineLevel="0" collapsed="false">
      <c r="A11" s="4" t="s">
        <v>343</v>
      </c>
      <c r="B11" s="5" t="n">
        <v>20215</v>
      </c>
      <c r="C11" s="4" t="n">
        <v>3</v>
      </c>
      <c r="D11" s="30" t="n">
        <f aca="false">IFERROR(B11/SUM(B$4:B$26),0)</f>
        <v>0.0183163980119672</v>
      </c>
    </row>
    <row r="12" customFormat="false" ht="15" hidden="false" customHeight="false" outlineLevel="0" collapsed="false">
      <c r="A12" s="4" t="s">
        <v>344</v>
      </c>
      <c r="B12" s="5" t="n">
        <v>16103.97</v>
      </c>
      <c r="C12" s="4" t="n">
        <v>39</v>
      </c>
      <c r="D12" s="30" t="n">
        <f aca="false">IFERROR(B12/SUM(B$4:B$26),0)</f>
        <v>0.0145914778180945</v>
      </c>
    </row>
    <row r="13" customFormat="false" ht="15" hidden="false" customHeight="false" outlineLevel="0" collapsed="false">
      <c r="A13" s="4" t="s">
        <v>345</v>
      </c>
      <c r="B13" s="5" t="n">
        <v>15185.12</v>
      </c>
      <c r="C13" s="4" t="n">
        <v>23</v>
      </c>
      <c r="D13" s="30" t="n">
        <f aca="false">IFERROR(B13/SUM(B$4:B$26),0)</f>
        <v>0.0137589266277261</v>
      </c>
    </row>
    <row r="14" customFormat="false" ht="15" hidden="false" customHeight="false" outlineLevel="0" collapsed="false">
      <c r="A14" s="4" t="s">
        <v>346</v>
      </c>
      <c r="B14" s="5" t="n">
        <v>12346.02</v>
      </c>
      <c r="C14" s="4" t="n">
        <v>14</v>
      </c>
      <c r="D14" s="30" t="n">
        <f aca="false">IFERROR(B14/SUM(B$4:B$26),0)</f>
        <v>0.0111864761901414</v>
      </c>
    </row>
    <row r="15" customFormat="false" ht="15" hidden="false" customHeight="false" outlineLevel="0" collapsed="false">
      <c r="A15" s="4" t="s">
        <v>347</v>
      </c>
      <c r="B15" s="5" t="n">
        <v>11404.71</v>
      </c>
      <c r="C15" s="4" t="n">
        <v>3</v>
      </c>
      <c r="D15" s="30" t="n">
        <f aca="false">IFERROR(B15/SUM(B$4:B$26),0)</f>
        <v>0.0103335744531814</v>
      </c>
    </row>
    <row r="16" customFormat="false" ht="15" hidden="false" customHeight="false" outlineLevel="0" collapsed="false">
      <c r="A16" s="4" t="s">
        <v>348</v>
      </c>
      <c r="B16" s="5" t="n">
        <v>9197.85</v>
      </c>
      <c r="C16" s="4" t="n">
        <v>5</v>
      </c>
      <c r="D16" s="30" t="n">
        <f aca="false">IFERROR(B16/SUM(B$4:B$26),0)</f>
        <v>0.00833398374743373</v>
      </c>
    </row>
    <row r="17" customFormat="false" ht="15" hidden="false" customHeight="false" outlineLevel="0" collapsed="false">
      <c r="A17" s="4" t="s">
        <v>349</v>
      </c>
      <c r="B17" s="5" t="n">
        <v>2471</v>
      </c>
      <c r="C17" s="4" t="n">
        <v>2</v>
      </c>
      <c r="D17" s="30" t="n">
        <f aca="false">IFERROR(B17/SUM(B$4:B$26),0)</f>
        <v>0.00223892255689196</v>
      </c>
    </row>
    <row r="18" customFormat="false" ht="15" hidden="false" customHeight="false" outlineLevel="0" collapsed="false">
      <c r="A18" s="4" t="s">
        <v>350</v>
      </c>
      <c r="B18" s="5" t="n">
        <v>2272.1</v>
      </c>
      <c r="C18" s="4" t="n">
        <v>2</v>
      </c>
      <c r="D18" s="30" t="n">
        <f aca="false">IFERROR(B18/SUM(B$4:B$26),0)</f>
        <v>0.00205870333529512</v>
      </c>
    </row>
    <row r="19" customFormat="false" ht="15" hidden="false" customHeight="false" outlineLevel="0" collapsed="false">
      <c r="A19" s="4" t="s">
        <v>351</v>
      </c>
      <c r="B19" s="5" t="n">
        <v>2204.17</v>
      </c>
      <c r="C19" s="4" t="n">
        <v>1</v>
      </c>
      <c r="D19" s="30" t="n">
        <f aca="false">IFERROR(B19/SUM(B$4:B$26),0)</f>
        <v>0.00199715335177036</v>
      </c>
    </row>
    <row r="20" customFormat="false" ht="15" hidden="false" customHeight="false" outlineLevel="0" collapsed="false">
      <c r="A20" s="4" t="s">
        <v>352</v>
      </c>
      <c r="B20" s="5" t="n">
        <v>1891.89</v>
      </c>
      <c r="C20" s="4" t="n">
        <v>49</v>
      </c>
      <c r="D20" s="30" t="n">
        <f aca="false">IFERROR(B20/SUM(B$4:B$26),0)</f>
        <v>0.00171420283130649</v>
      </c>
    </row>
    <row r="21" customFormat="false" ht="15" hidden="false" customHeight="false" outlineLevel="0" collapsed="false">
      <c r="A21" s="4" t="s">
        <v>353</v>
      </c>
      <c r="B21" s="5" t="n">
        <v>1107</v>
      </c>
      <c r="C21" s="4" t="n">
        <v>1</v>
      </c>
      <c r="D21" s="30" t="n">
        <f aca="false">IFERROR(B21/SUM(B$4:B$26),0)</f>
        <v>0.00100303005685124</v>
      </c>
    </row>
    <row r="22" customFormat="false" ht="15" hidden="false" customHeight="false" outlineLevel="0" collapsed="false">
      <c r="A22" s="4" t="s">
        <v>354</v>
      </c>
      <c r="B22" s="5" t="n">
        <v>683.08</v>
      </c>
      <c r="C22" s="4" t="n">
        <v>2</v>
      </c>
      <c r="D22" s="30" t="n">
        <f aca="false">IFERROR(B22/SUM(B$4:B$26),0)</f>
        <v>0.000618924815929487</v>
      </c>
    </row>
    <row r="23" customFormat="false" ht="15" hidden="false" customHeight="false" outlineLevel="0" collapsed="false">
      <c r="A23" s="4" t="s">
        <v>355</v>
      </c>
      <c r="B23" s="5" t="n">
        <v>464.4</v>
      </c>
      <c r="C23" s="4" t="n">
        <v>1</v>
      </c>
      <c r="D23" s="30" t="n">
        <f aca="false">IFERROR(B23/SUM(B$4:B$26),0)</f>
        <v>0.000420783340922958</v>
      </c>
    </row>
    <row r="24" customFormat="false" ht="15" hidden="false" customHeight="false" outlineLevel="0" collapsed="false">
      <c r="A24" s="4" t="s">
        <v>356</v>
      </c>
      <c r="B24" s="5" t="n">
        <v>435.24</v>
      </c>
      <c r="C24" s="4" t="n">
        <v>2</v>
      </c>
      <c r="D24" s="30" t="n">
        <f aca="false">IFERROR(B24/SUM(B$4:B$26),0)</f>
        <v>0.000394362061376632</v>
      </c>
    </row>
    <row r="25" customFormat="false" ht="15" hidden="false" customHeight="false" outlineLevel="0" collapsed="false">
      <c r="A25" s="4" t="s">
        <v>357</v>
      </c>
      <c r="B25" s="5" t="n">
        <v>322.87</v>
      </c>
      <c r="C25" s="4" t="n">
        <v>2</v>
      </c>
      <c r="D25" s="30" t="n">
        <f aca="false">IFERROR(B25/SUM(B$4:B$26),0)</f>
        <v>0.00029254590285055</v>
      </c>
    </row>
    <row r="26" customFormat="false" ht="15" hidden="false" customHeight="false" outlineLevel="0" collapsed="false">
      <c r="A26" s="4" t="s">
        <v>358</v>
      </c>
      <c r="B26" s="5" t="n">
        <v>178.42</v>
      </c>
      <c r="C26" s="4" t="n">
        <v>1</v>
      </c>
      <c r="D26" s="30" t="n">
        <f aca="false">IFERROR(B26/SUM(B$4:B$26),0)</f>
        <v>0.000161662712505328</v>
      </c>
    </row>
    <row r="27" customFormat="false" ht="15" hidden="false" customHeight="false" outlineLevel="0" collapsed="false">
      <c r="A27" s="29" t="s">
        <v>359</v>
      </c>
      <c r="B27" s="6" t="n">
        <f aca="false">SUM(B4:B26)</f>
        <v>1103655.86</v>
      </c>
      <c r="C27" s="33" t="n">
        <f aca="false">SUM(C4:C26)</f>
        <v>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</cols>
  <sheetData>
    <row r="1" customFormat="false" ht="19.7" hidden="false" customHeight="false" outlineLevel="0" collapsed="false">
      <c r="A1" s="1" t="s">
        <v>360</v>
      </c>
    </row>
    <row r="3" customFormat="false" ht="15" hidden="false" customHeight="false" outlineLevel="0" collapsed="false">
      <c r="A3" s="28" t="s">
        <v>361</v>
      </c>
      <c r="B3" s="28" t="s">
        <v>362</v>
      </c>
      <c r="C3" s="28" t="s">
        <v>363</v>
      </c>
      <c r="D3" s="28" t="s">
        <v>364</v>
      </c>
      <c r="E3" s="28" t="s">
        <v>365</v>
      </c>
    </row>
    <row r="4" customFormat="false" ht="15" hidden="false" customHeight="false" outlineLevel="0" collapsed="false">
      <c r="A4" s="4" t="s">
        <v>366</v>
      </c>
      <c r="B4" s="34" t="n">
        <v>1886.8</v>
      </c>
      <c r="C4" s="5" t="n">
        <v>118374</v>
      </c>
      <c r="D4" s="35" t="n">
        <f aca="false">IFERROR(C4/B4,0)</f>
        <v>62.7379690481238</v>
      </c>
      <c r="E4" s="4" t="s">
        <v>367</v>
      </c>
    </row>
    <row r="5" customFormat="false" ht="15" hidden="false" customHeight="false" outlineLevel="0" collapsed="false">
      <c r="A5" s="4" t="s">
        <v>368</v>
      </c>
      <c r="B5" s="34" t="n">
        <v>1746</v>
      </c>
      <c r="C5" s="5" t="n">
        <v>76824</v>
      </c>
      <c r="D5" s="35" t="n">
        <f aca="false">IFERROR(C5/B5,0)</f>
        <v>44</v>
      </c>
      <c r="E5" s="4" t="s">
        <v>367</v>
      </c>
    </row>
    <row r="6" customFormat="false" ht="15" hidden="false" customHeight="false" outlineLevel="0" collapsed="false">
      <c r="A6" s="4" t="s">
        <v>369</v>
      </c>
      <c r="B6" s="34" t="n">
        <v>1612.2</v>
      </c>
      <c r="C6" s="5" t="n">
        <v>39484</v>
      </c>
      <c r="D6" s="35" t="n">
        <f aca="false">IFERROR(C6/B6,0)</f>
        <v>24.4907579704751</v>
      </c>
      <c r="E6" s="4" t="s">
        <v>370</v>
      </c>
    </row>
    <row r="7" customFormat="false" ht="15" hidden="false" customHeight="false" outlineLevel="0" collapsed="false">
      <c r="A7" s="4" t="s">
        <v>371</v>
      </c>
      <c r="B7" s="34" t="n">
        <v>1470</v>
      </c>
      <c r="C7" s="5" t="n">
        <v>62225</v>
      </c>
      <c r="D7" s="35" t="n">
        <f aca="false">IFERROR(C7/B7,0)</f>
        <v>42.3299319727891</v>
      </c>
      <c r="E7" s="4" t="s">
        <v>367</v>
      </c>
    </row>
    <row r="8" customFormat="false" ht="15" hidden="false" customHeight="false" outlineLevel="0" collapsed="false">
      <c r="A8" s="4" t="s">
        <v>372</v>
      </c>
      <c r="B8" s="34" t="n">
        <v>1465.5</v>
      </c>
      <c r="C8" s="5" t="n">
        <v>62050</v>
      </c>
      <c r="D8" s="35" t="n">
        <f aca="false">IFERROR(C8/B8,0)</f>
        <v>42.3404981235073</v>
      </c>
      <c r="E8" s="4" t="s">
        <v>367</v>
      </c>
    </row>
    <row r="9" customFormat="false" ht="15" hidden="false" customHeight="false" outlineLevel="0" collapsed="false">
      <c r="A9" s="4" t="s">
        <v>373</v>
      </c>
      <c r="B9" s="34" t="n">
        <v>1465.5</v>
      </c>
      <c r="C9" s="5" t="n">
        <v>74230</v>
      </c>
      <c r="D9" s="35" t="n">
        <f aca="false">IFERROR(C9/B9,0)</f>
        <v>50.6516547253497</v>
      </c>
      <c r="E9" s="4" t="s">
        <v>367</v>
      </c>
    </row>
    <row r="10" customFormat="false" ht="15" hidden="false" customHeight="false" outlineLevel="0" collapsed="false">
      <c r="A10" s="4" t="s">
        <v>374</v>
      </c>
      <c r="B10" s="34" t="n">
        <v>1462.8</v>
      </c>
      <c r="C10" s="5" t="n">
        <v>61934</v>
      </c>
      <c r="D10" s="35" t="n">
        <f aca="false">IFERROR(C10/B10,0)</f>
        <v>42.3393491933279</v>
      </c>
      <c r="E10" s="4" t="s">
        <v>367</v>
      </c>
    </row>
    <row r="11" customFormat="false" ht="15" hidden="false" customHeight="false" outlineLevel="0" collapsed="false">
      <c r="A11" s="4" t="s">
        <v>375</v>
      </c>
      <c r="B11" s="34" t="n">
        <v>1309</v>
      </c>
      <c r="C11" s="5" t="n">
        <v>80772</v>
      </c>
      <c r="D11" s="35" t="n">
        <f aca="false">IFERROR(C11/B11,0)</f>
        <v>61.7051184110008</v>
      </c>
      <c r="E11" s="4" t="s">
        <v>367</v>
      </c>
    </row>
    <row r="12" customFormat="false" ht="15" hidden="false" customHeight="false" outlineLevel="0" collapsed="false">
      <c r="A12" s="4" t="s">
        <v>376</v>
      </c>
      <c r="B12" s="34" t="n">
        <v>1253</v>
      </c>
      <c r="C12" s="5" t="n">
        <v>49280</v>
      </c>
      <c r="D12" s="35" t="n">
        <f aca="false">IFERROR(C12/B12,0)</f>
        <v>39.3296089385475</v>
      </c>
      <c r="E12" s="4" t="s">
        <v>367</v>
      </c>
    </row>
    <row r="13" customFormat="false" ht="15" hidden="false" customHeight="false" outlineLevel="0" collapsed="false">
      <c r="A13" s="4" t="s">
        <v>377</v>
      </c>
      <c r="B13" s="34" t="n">
        <v>1175.5</v>
      </c>
      <c r="C13" s="5" t="n">
        <v>48878</v>
      </c>
      <c r="D13" s="35" t="n">
        <f aca="false">IFERROR(C13/B13,0)</f>
        <v>41.5806039982986</v>
      </c>
      <c r="E13" s="4" t="s">
        <v>367</v>
      </c>
    </row>
    <row r="14" customFormat="false" ht="15" hidden="false" customHeight="false" outlineLevel="0" collapsed="false">
      <c r="A14" s="4" t="s">
        <v>378</v>
      </c>
      <c r="B14" s="34" t="n">
        <v>919.5</v>
      </c>
      <c r="C14" s="5" t="n">
        <v>47309</v>
      </c>
      <c r="D14" s="35" t="n">
        <f aca="false">IFERROR(C14/B14,0)</f>
        <v>51.4507884719957</v>
      </c>
      <c r="E14" s="4" t="s">
        <v>367</v>
      </c>
    </row>
    <row r="15" customFormat="false" ht="15" hidden="false" customHeight="false" outlineLevel="0" collapsed="false">
      <c r="A15" s="4" t="s">
        <v>379</v>
      </c>
      <c r="B15" s="34" t="n">
        <v>883</v>
      </c>
      <c r="C15" s="5" t="n">
        <v>45310</v>
      </c>
      <c r="D15" s="35" t="n">
        <f aca="false">IFERROR(C15/B15,0)</f>
        <v>51.3137032842582</v>
      </c>
      <c r="E15" s="4" t="s">
        <v>367</v>
      </c>
    </row>
    <row r="16" customFormat="false" ht="15" hidden="false" customHeight="false" outlineLevel="0" collapsed="false">
      <c r="A16" s="4" t="s">
        <v>380</v>
      </c>
      <c r="B16" s="34" t="n">
        <v>871.2</v>
      </c>
      <c r="C16" s="5" t="n">
        <v>21620</v>
      </c>
      <c r="D16" s="35" t="n">
        <f aca="false">IFERROR(C16/B16,0)</f>
        <v>24.8163452708907</v>
      </c>
      <c r="E16" s="4" t="s">
        <v>370</v>
      </c>
    </row>
    <row r="17" customFormat="false" ht="15" hidden="false" customHeight="false" outlineLevel="0" collapsed="false">
      <c r="A17" s="4" t="s">
        <v>381</v>
      </c>
      <c r="B17" s="34" t="n">
        <v>833</v>
      </c>
      <c r="C17" s="5" t="n">
        <v>31558</v>
      </c>
      <c r="D17" s="35" t="n">
        <f aca="false">IFERROR(C17/B17,0)</f>
        <v>37.8847539015606</v>
      </c>
      <c r="E17" s="4" t="s">
        <v>367</v>
      </c>
    </row>
    <row r="18" customFormat="false" ht="15" hidden="false" customHeight="false" outlineLevel="0" collapsed="false">
      <c r="A18" s="4" t="s">
        <v>382</v>
      </c>
      <c r="B18" s="34" t="n">
        <v>820.8</v>
      </c>
      <c r="C18" s="5" t="n">
        <v>19698</v>
      </c>
      <c r="D18" s="35" t="n">
        <f aca="false">IFERROR(C18/B18,0)</f>
        <v>23.9985380116959</v>
      </c>
      <c r="E18" s="4" t="s">
        <v>370</v>
      </c>
    </row>
    <row r="19" customFormat="false" ht="15" hidden="false" customHeight="false" outlineLevel="0" collapsed="false">
      <c r="A19" s="4" t="s">
        <v>383</v>
      </c>
      <c r="B19" s="34" t="n">
        <v>817.5</v>
      </c>
      <c r="C19" s="5" t="n">
        <v>42050</v>
      </c>
      <c r="D19" s="35" t="n">
        <f aca="false">IFERROR(C19/B19,0)</f>
        <v>51.4373088685015</v>
      </c>
      <c r="E19" s="4" t="s">
        <v>367</v>
      </c>
    </row>
    <row r="20" customFormat="false" ht="15" hidden="false" customHeight="false" outlineLevel="0" collapsed="false">
      <c r="A20" s="4" t="s">
        <v>384</v>
      </c>
      <c r="B20" s="34" t="n">
        <v>802.5</v>
      </c>
      <c r="C20" s="5" t="n">
        <v>20130</v>
      </c>
      <c r="D20" s="35" t="n">
        <f aca="false">IFERROR(C20/B20,0)</f>
        <v>25.0841121495327</v>
      </c>
      <c r="E20" s="4" t="s">
        <v>370</v>
      </c>
    </row>
    <row r="21" customFormat="false" ht="15" hidden="false" customHeight="false" outlineLevel="0" collapsed="false">
      <c r="A21" s="4" t="s">
        <v>385</v>
      </c>
      <c r="B21" s="34" t="n">
        <v>711</v>
      </c>
      <c r="C21" s="5" t="n">
        <v>31284</v>
      </c>
      <c r="D21" s="35" t="n">
        <f aca="false">IFERROR(C21/B21,0)</f>
        <v>44</v>
      </c>
      <c r="E21" s="4" t="s">
        <v>367</v>
      </c>
    </row>
    <row r="22" customFormat="false" ht="15" hidden="false" customHeight="false" outlineLevel="0" collapsed="false">
      <c r="A22" s="4" t="s">
        <v>386</v>
      </c>
      <c r="B22" s="34" t="n">
        <v>667.5</v>
      </c>
      <c r="C22" s="5" t="n">
        <v>22430</v>
      </c>
      <c r="D22" s="35" t="n">
        <f aca="false">IFERROR(C22/B22,0)</f>
        <v>33.6029962546817</v>
      </c>
      <c r="E22" s="4" t="s">
        <v>370</v>
      </c>
    </row>
    <row r="23" customFormat="false" ht="15" hidden="false" customHeight="false" outlineLevel="0" collapsed="false">
      <c r="A23" s="4" t="s">
        <v>387</v>
      </c>
      <c r="B23" s="34" t="n">
        <v>478</v>
      </c>
      <c r="C23" s="5" t="n">
        <v>32982</v>
      </c>
      <c r="D23" s="35" t="n">
        <f aca="false">IFERROR(C23/B23,0)</f>
        <v>69</v>
      </c>
      <c r="E23" s="4" t="s">
        <v>367</v>
      </c>
    </row>
    <row r="24" customFormat="false" ht="15" hidden="false" customHeight="false" outlineLevel="0" collapsed="false">
      <c r="A24" s="4" t="s">
        <v>388</v>
      </c>
      <c r="B24" s="34" t="n">
        <v>319.5</v>
      </c>
      <c r="C24" s="5" t="n">
        <v>10544</v>
      </c>
      <c r="D24" s="35" t="n">
        <f aca="false">IFERROR(C24/B24,0)</f>
        <v>33.0015649452269</v>
      </c>
      <c r="E24" s="4" t="s">
        <v>370</v>
      </c>
    </row>
    <row r="25" customFormat="false" ht="15" hidden="false" customHeight="false" outlineLevel="0" collapsed="false">
      <c r="A25" s="4" t="s">
        <v>389</v>
      </c>
      <c r="B25" s="34" t="n">
        <v>315.5</v>
      </c>
      <c r="C25" s="5" t="n">
        <v>10096</v>
      </c>
      <c r="D25" s="35" t="n">
        <f aca="false">IFERROR(C25/B25,0)</f>
        <v>32</v>
      </c>
      <c r="E25" s="4" t="s">
        <v>370</v>
      </c>
    </row>
    <row r="26" customFormat="false" ht="15" hidden="false" customHeight="false" outlineLevel="0" collapsed="false">
      <c r="A26" s="4" t="s">
        <v>390</v>
      </c>
      <c r="B26" s="34" t="n">
        <v>290.5</v>
      </c>
      <c r="C26" s="5" t="n">
        <v>15978</v>
      </c>
      <c r="D26" s="35" t="n">
        <f aca="false">IFERROR(C26/B26,0)</f>
        <v>55.0017211703959</v>
      </c>
      <c r="E26" s="4" t="s">
        <v>367</v>
      </c>
    </row>
    <row r="27" customFormat="false" ht="15" hidden="false" customHeight="false" outlineLevel="0" collapsed="false">
      <c r="A27" s="4" t="s">
        <v>391</v>
      </c>
      <c r="B27" s="34" t="n">
        <v>267.2</v>
      </c>
      <c r="C27" s="5" t="n">
        <v>18378</v>
      </c>
      <c r="D27" s="35" t="n">
        <f aca="false">IFERROR(C27/B27,0)</f>
        <v>68.7799401197605</v>
      </c>
      <c r="E27" s="4" t="s">
        <v>367</v>
      </c>
    </row>
    <row r="28" customFormat="false" ht="15" hidden="false" customHeight="false" outlineLevel="0" collapsed="false">
      <c r="A28" s="4" t="s">
        <v>392</v>
      </c>
      <c r="B28" s="34" t="n">
        <v>239.2</v>
      </c>
      <c r="C28" s="5" t="n">
        <v>6603</v>
      </c>
      <c r="D28" s="35" t="n">
        <f aca="false">IFERROR(C28/B28,0)</f>
        <v>27.6045150501672</v>
      </c>
      <c r="E28" s="4" t="s">
        <v>370</v>
      </c>
    </row>
    <row r="29" customFormat="false" ht="15" hidden="false" customHeight="false" outlineLevel="0" collapsed="false">
      <c r="A29" s="4" t="s">
        <v>393</v>
      </c>
      <c r="B29" s="34" t="n">
        <v>224.8</v>
      </c>
      <c r="C29" s="5" t="n">
        <v>7417</v>
      </c>
      <c r="D29" s="35" t="n">
        <f aca="false">IFERROR(C29/B29,0)</f>
        <v>32.9937722419929</v>
      </c>
      <c r="E29" s="4" t="s">
        <v>370</v>
      </c>
    </row>
    <row r="30" customFormat="false" ht="15" hidden="false" customHeight="false" outlineLevel="0" collapsed="false">
      <c r="A30" s="4" t="s">
        <v>394</v>
      </c>
      <c r="B30" s="34" t="n">
        <v>184</v>
      </c>
      <c r="C30" s="5" t="n">
        <v>9568</v>
      </c>
      <c r="D30" s="35" t="n">
        <f aca="false">IFERROR(C30/B30,0)</f>
        <v>52</v>
      </c>
      <c r="E30" s="4" t="s">
        <v>367</v>
      </c>
    </row>
    <row r="31" customFormat="false" ht="15" hidden="false" customHeight="false" outlineLevel="0" collapsed="false">
      <c r="A31" s="4" t="s">
        <v>395</v>
      </c>
      <c r="B31" s="34" t="n">
        <v>179</v>
      </c>
      <c r="C31" s="5" t="n">
        <v>10722</v>
      </c>
      <c r="D31" s="35" t="n">
        <f aca="false">IFERROR(C31/B31,0)</f>
        <v>59.8994413407821</v>
      </c>
      <c r="E31" s="4" t="s">
        <v>367</v>
      </c>
    </row>
    <row r="32" customFormat="false" ht="15" hidden="false" customHeight="false" outlineLevel="0" collapsed="false">
      <c r="A32" s="4" t="s">
        <v>396</v>
      </c>
      <c r="B32" s="34" t="n">
        <v>168</v>
      </c>
      <c r="C32" s="5" t="n">
        <v>8736</v>
      </c>
      <c r="D32" s="35" t="n">
        <f aca="false">IFERROR(C32/B32,0)</f>
        <v>52</v>
      </c>
      <c r="E32" s="4" t="s">
        <v>367</v>
      </c>
    </row>
    <row r="33" customFormat="false" ht="15" hidden="false" customHeight="false" outlineLevel="0" collapsed="false">
      <c r="A33" s="4" t="s">
        <v>397</v>
      </c>
      <c r="B33" s="34" t="n">
        <v>140.5</v>
      </c>
      <c r="C33" s="5" t="n">
        <v>7587</v>
      </c>
      <c r="D33" s="35" t="n">
        <f aca="false">IFERROR(C33/B33,0)</f>
        <v>54</v>
      </c>
      <c r="E33" s="4" t="s">
        <v>367</v>
      </c>
    </row>
    <row r="34" customFormat="false" ht="15" hidden="false" customHeight="false" outlineLevel="0" collapsed="false">
      <c r="A34" s="4" t="s">
        <v>398</v>
      </c>
      <c r="B34" s="34" t="n">
        <v>87</v>
      </c>
      <c r="C34" s="5" t="n">
        <v>2610</v>
      </c>
      <c r="D34" s="35" t="n">
        <f aca="false">IFERROR(C34/B34,0)</f>
        <v>30</v>
      </c>
      <c r="E34" s="4" t="s">
        <v>370</v>
      </c>
    </row>
    <row r="35" customFormat="false" ht="15" hidden="false" customHeight="false" outlineLevel="0" collapsed="false">
      <c r="A35" s="4" t="s">
        <v>399</v>
      </c>
      <c r="B35" s="34" t="n">
        <v>61.2</v>
      </c>
      <c r="C35" s="5" t="n">
        <v>3491</v>
      </c>
      <c r="D35" s="35" t="n">
        <f aca="false">IFERROR(C35/B35,0)</f>
        <v>57.0424836601307</v>
      </c>
      <c r="E35" s="4" t="s">
        <v>367</v>
      </c>
    </row>
    <row r="36" customFormat="false" ht="15" hidden="false" customHeight="false" outlineLevel="0" collapsed="false">
      <c r="A36" s="4" t="s">
        <v>400</v>
      </c>
      <c r="B36" s="34" t="n">
        <v>10.5</v>
      </c>
      <c r="C36" s="5" t="n">
        <v>644</v>
      </c>
      <c r="D36" s="35" t="n">
        <f aca="false">IFERROR(C36/B36,0)</f>
        <v>61.3333333333333</v>
      </c>
      <c r="E36" s="4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9.7" hidden="false" customHeight="false" outlineLevel="0" collapsed="false">
      <c r="A1" s="1" t="s">
        <v>401</v>
      </c>
    </row>
    <row r="3" customFormat="false" ht="15" hidden="false" customHeight="false" outlineLevel="0" collapsed="false">
      <c r="A3" s="28" t="s">
        <v>365</v>
      </c>
      <c r="B3" s="28" t="s">
        <v>402</v>
      </c>
      <c r="C3" s="28" t="s">
        <v>362</v>
      </c>
      <c r="D3" s="28" t="s">
        <v>363</v>
      </c>
      <c r="E3" s="28" t="s">
        <v>403</v>
      </c>
    </row>
    <row r="4" customFormat="false" ht="15" hidden="false" customHeight="false" outlineLevel="0" collapsed="false">
      <c r="A4" s="29" t="s">
        <v>367</v>
      </c>
      <c r="B4" s="4" t="n">
        <v>23</v>
      </c>
      <c r="C4" s="34" t="n">
        <v>19177</v>
      </c>
      <c r="D4" s="5" t="n">
        <v>940164</v>
      </c>
      <c r="E4" s="30" t="n">
        <f aca="false">IFERROR(C4/SUM(C$4:C$7),0)</f>
        <v>0.762893241888516</v>
      </c>
    </row>
    <row r="5" customFormat="false" ht="15" hidden="false" customHeight="false" outlineLevel="0" collapsed="false">
      <c r="A5" s="29" t="s">
        <v>370</v>
      </c>
      <c r="B5" s="4" t="n">
        <v>10</v>
      </c>
      <c r="C5" s="34" t="n">
        <v>5960.2</v>
      </c>
      <c r="D5" s="5" t="n">
        <v>160631</v>
      </c>
      <c r="E5" s="30" t="n">
        <f aca="false">IFERROR(C5/SUM(C$4:C$7),0)</f>
        <v>0.237106758111484</v>
      </c>
    </row>
    <row r="6" customFormat="false" ht="15" hidden="false" customHeight="false" outlineLevel="0" collapsed="false">
      <c r="A6" s="29" t="s">
        <v>404</v>
      </c>
      <c r="B6" s="4" t="n">
        <v>0</v>
      </c>
      <c r="C6" s="34" t="n">
        <v>0</v>
      </c>
      <c r="D6" s="5" t="n">
        <v>0</v>
      </c>
      <c r="E6" s="30" t="n">
        <f aca="false">IFERROR(C6/SUM(C$4:C$7),0)</f>
        <v>0</v>
      </c>
    </row>
    <row r="7" customFormat="false" ht="15" hidden="false" customHeight="false" outlineLevel="0" collapsed="false">
      <c r="A7" s="29" t="s">
        <v>405</v>
      </c>
      <c r="B7" s="4" t="n">
        <v>0</v>
      </c>
      <c r="C7" s="34" t="n">
        <v>0</v>
      </c>
      <c r="D7" s="5" t="n">
        <v>0</v>
      </c>
      <c r="E7" s="30" t="n">
        <f aca="false">IFERROR(C7/SUM(C$4:C$7),0)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406</v>
      </c>
    </row>
    <row r="3" customFormat="false" ht="15" hidden="false" customHeight="false" outlineLevel="0" collapsed="false">
      <c r="A3" s="4" t="s">
        <v>407</v>
      </c>
      <c r="B3" s="34" t="n">
        <v>25137</v>
      </c>
    </row>
    <row r="4" customFormat="false" ht="15" hidden="false" customHeight="false" outlineLevel="0" collapsed="false">
      <c r="A4" s="4" t="s">
        <v>408</v>
      </c>
      <c r="B4" s="36" t="n">
        <v>33</v>
      </c>
    </row>
    <row r="5" customFormat="false" ht="15" hidden="false" customHeight="false" outlineLevel="0" collapsed="false">
      <c r="A5" s="4" t="s">
        <v>409</v>
      </c>
      <c r="B5" s="34" t="n">
        <v>103</v>
      </c>
    </row>
    <row r="6" customFormat="false" ht="15" hidden="false" customHeight="false" outlineLevel="0" collapsed="false">
      <c r="A6" s="4" t="s">
        <v>410</v>
      </c>
      <c r="B6" s="37" t="n">
        <v>175.92</v>
      </c>
    </row>
    <row r="7" customFormat="false" ht="15" hidden="false" customHeight="false" outlineLevel="0" collapsed="false">
      <c r="A7" s="4" t="s">
        <v>12</v>
      </c>
      <c r="B7" s="38" t="n">
        <v>0.90436240993107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19.7" hidden="false" customHeight="false" outlineLevel="0" collapsed="false">
      <c r="A1" s="1" t="s">
        <v>411</v>
      </c>
    </row>
    <row r="3" customFormat="false" ht="15" hidden="false" customHeight="false" outlineLevel="0" collapsed="false">
      <c r="A3" s="28" t="s">
        <v>412</v>
      </c>
      <c r="B3" s="28" t="s">
        <v>413</v>
      </c>
      <c r="C3" s="28" t="s">
        <v>414</v>
      </c>
      <c r="D3" s="28" t="s">
        <v>219</v>
      </c>
    </row>
    <row r="4" customFormat="false" ht="15" hidden="false" customHeight="false" outlineLevel="0" collapsed="false">
      <c r="A4" s="4" t="s">
        <v>415</v>
      </c>
      <c r="B4" s="38" t="n">
        <v>0.179384085371665</v>
      </c>
      <c r="C4" s="38" t="n">
        <v>0.34</v>
      </c>
      <c r="D4" s="30" t="n">
        <f aca="false">B4-C4</f>
        <v>-0.160615914628335</v>
      </c>
    </row>
    <row r="5" customFormat="false" ht="15" hidden="false" customHeight="false" outlineLevel="0" collapsed="false">
      <c r="A5" s="4" t="s">
        <v>416</v>
      </c>
      <c r="B5" s="38" t="n">
        <v>0.44966362430804</v>
      </c>
      <c r="C5" s="38" t="n">
        <v>0.45</v>
      </c>
      <c r="D5" s="30" t="n">
        <f aca="false">B5-C5</f>
        <v>-0.000336375691959823</v>
      </c>
    </row>
    <row r="6" customFormat="false" ht="15" hidden="false" customHeight="false" outlineLevel="0" collapsed="false">
      <c r="A6" s="4" t="s">
        <v>417</v>
      </c>
      <c r="B6" s="38" t="n">
        <v>0.380948015806304</v>
      </c>
      <c r="C6" s="38" t="n">
        <v>0.38</v>
      </c>
      <c r="D6" s="30" t="n">
        <f aca="false">B6-C6</f>
        <v>0.000948015806304214</v>
      </c>
    </row>
    <row r="7" customFormat="false" ht="15" hidden="false" customHeight="false" outlineLevel="0" collapsed="false">
      <c r="A7" s="4" t="s">
        <v>418</v>
      </c>
      <c r="B7" s="34" t="n">
        <v>103.021516393443</v>
      </c>
      <c r="C7" s="34" t="n">
        <v>95</v>
      </c>
      <c r="D7" s="39" t="n">
        <f aca="false">B7-C7</f>
        <v>8.0215163934426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419</v>
      </c>
    </row>
    <row r="3" customFormat="false" ht="15" hidden="false" customHeight="false" outlineLevel="0" collapsed="false">
      <c r="A3" s="28" t="s">
        <v>420</v>
      </c>
      <c r="B3" s="28" t="s">
        <v>40</v>
      </c>
      <c r="C3" s="28" t="s">
        <v>187</v>
      </c>
    </row>
    <row r="4" customFormat="false" ht="15" hidden="false" customHeight="false" outlineLevel="0" collapsed="false">
      <c r="A4" s="4" t="s">
        <v>421</v>
      </c>
      <c r="B4" s="40" t="s">
        <v>422</v>
      </c>
      <c r="C4" s="4" t="s">
        <v>423</v>
      </c>
    </row>
    <row r="5" customFormat="false" ht="15" hidden="false" customHeight="false" outlineLevel="0" collapsed="false">
      <c r="A5" s="4" t="s">
        <v>424</v>
      </c>
      <c r="B5" s="40" t="s">
        <v>422</v>
      </c>
      <c r="C5" s="4" t="s">
        <v>425</v>
      </c>
    </row>
    <row r="6" customFormat="false" ht="15" hidden="false" customHeight="false" outlineLevel="0" collapsed="false">
      <c r="A6" s="4" t="s">
        <v>426</v>
      </c>
      <c r="B6" s="40" t="s">
        <v>422</v>
      </c>
      <c r="C6" s="4" t="s">
        <v>427</v>
      </c>
    </row>
    <row r="7" customFormat="false" ht="15" hidden="false" customHeight="false" outlineLevel="0" collapsed="false">
      <c r="A7" s="4" t="s">
        <v>428</v>
      </c>
      <c r="B7" s="41" t="s">
        <v>429</v>
      </c>
      <c r="C7" s="4" t="s">
        <v>430</v>
      </c>
    </row>
    <row r="8" customFormat="false" ht="15" hidden="false" customHeight="false" outlineLevel="0" collapsed="false">
      <c r="A8" s="4" t="s">
        <v>431</v>
      </c>
      <c r="B8" s="41" t="s">
        <v>429</v>
      </c>
      <c r="C8" s="4" t="s">
        <v>432</v>
      </c>
    </row>
    <row r="9" customFormat="false" ht="15" hidden="false" customHeight="false" outlineLevel="0" collapsed="false">
      <c r="A9" s="4" t="s">
        <v>6</v>
      </c>
      <c r="B9" s="40" t="s">
        <v>422</v>
      </c>
      <c r="C9" s="4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1" t="s">
        <v>434</v>
      </c>
    </row>
    <row r="3" customFormat="false" ht="15" hidden="false" customHeight="false" outlineLevel="0" collapsed="false">
      <c r="A3" s="28" t="s">
        <v>14</v>
      </c>
      <c r="B3" s="28" t="s">
        <v>435</v>
      </c>
      <c r="C3" s="28" t="s">
        <v>436</v>
      </c>
      <c r="D3" s="28" t="s">
        <v>219</v>
      </c>
    </row>
    <row r="4" customFormat="false" ht="15" hidden="false" customHeight="false" outlineLevel="0" collapsed="false">
      <c r="A4" s="4" t="s">
        <v>437</v>
      </c>
      <c r="B4" s="5" t="n">
        <v>2919283.75</v>
      </c>
      <c r="C4" s="5" t="n">
        <v>2919283.75</v>
      </c>
      <c r="D4" s="9" t="n">
        <f aca="false">IF(ISNUMBER(B4),B4-C4,"—")</f>
        <v>0</v>
      </c>
    </row>
    <row r="5" customFormat="false" ht="15" hidden="false" customHeight="false" outlineLevel="0" collapsed="false">
      <c r="A5" s="4" t="s">
        <v>438</v>
      </c>
      <c r="B5" s="5" t="n">
        <v>-4422211</v>
      </c>
      <c r="C5" s="5" t="n">
        <v>4914620</v>
      </c>
      <c r="D5" s="9" t="n">
        <f aca="false">IF(ISNUMBER(B5),B5-C5,"—")</f>
        <v>-9336831</v>
      </c>
    </row>
    <row r="6" customFormat="false" ht="15" hidden="false" customHeight="false" outlineLevel="0" collapsed="false">
      <c r="A6" s="4" t="s">
        <v>439</v>
      </c>
      <c r="C6" s="5" t="n">
        <v>1103655.86</v>
      </c>
      <c r="D6" s="9" t="str">
        <f aca="false">IF(ISNUMBER(B6),B6-C6,"—")</f>
        <v>—</v>
      </c>
    </row>
    <row r="7" customFormat="false" ht="15" hidden="false" customHeight="false" outlineLevel="0" collapsed="false">
      <c r="A7" s="4" t="s">
        <v>440</v>
      </c>
      <c r="C7" s="5" t="n">
        <v>1717809.21</v>
      </c>
      <c r="D7" s="9" t="str">
        <f aca="false">IF(ISNUMBER(B7),B7-C7,"—")</f>
        <v>—</v>
      </c>
    </row>
    <row r="8" customFormat="false" ht="15" hidden="false" customHeight="false" outlineLevel="0" collapsed="false">
      <c r="A8" s="4" t="s">
        <v>441</v>
      </c>
      <c r="C8" s="5" t="n">
        <v>590227.68</v>
      </c>
      <c r="D8" s="9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442</v>
      </c>
    </row>
    <row r="3" customFormat="false" ht="15" hidden="false" customHeight="false" outlineLevel="0" collapsed="false">
      <c r="A3" s="28" t="s">
        <v>412</v>
      </c>
      <c r="B3" s="28" t="s">
        <v>443</v>
      </c>
      <c r="C3" s="28" t="s">
        <v>444</v>
      </c>
    </row>
    <row r="4" customFormat="false" ht="15" hidden="false" customHeight="false" outlineLevel="0" collapsed="false">
      <c r="A4" s="42" t="s">
        <v>415</v>
      </c>
      <c r="B4" s="42" t="s">
        <v>445</v>
      </c>
      <c r="C4" s="42" t="s">
        <v>446</v>
      </c>
    </row>
    <row r="5" customFormat="false" ht="15" hidden="false" customHeight="false" outlineLevel="0" collapsed="false">
      <c r="A5" s="42" t="s">
        <v>12</v>
      </c>
      <c r="B5" s="42" t="s">
        <v>445</v>
      </c>
      <c r="C5" s="42" t="s">
        <v>447</v>
      </c>
    </row>
    <row r="6" customFormat="false" ht="15" hidden="false" customHeight="false" outlineLevel="0" collapsed="false">
      <c r="A6" s="42" t="s">
        <v>448</v>
      </c>
      <c r="B6" s="42" t="s">
        <v>449</v>
      </c>
      <c r="C6" s="42" t="s">
        <v>450</v>
      </c>
    </row>
    <row r="7" customFormat="false" ht="15" hidden="false" customHeight="false" outlineLevel="0" collapsed="false">
      <c r="A7" s="42" t="s">
        <v>417</v>
      </c>
      <c r="B7" s="42" t="s">
        <v>451</v>
      </c>
      <c r="C7" s="42" t="s">
        <v>452</v>
      </c>
    </row>
    <row r="8" customFormat="false" ht="15" hidden="false" customHeight="false" outlineLevel="0" collapsed="false">
      <c r="A8" s="42" t="s">
        <v>418</v>
      </c>
      <c r="B8" s="42" t="s">
        <v>453</v>
      </c>
      <c r="C8" s="42" t="s">
        <v>454</v>
      </c>
    </row>
    <row r="9" customFormat="false" ht="23.85" hidden="false" customHeight="false" outlineLevel="0" collapsed="false">
      <c r="A9" s="42" t="s">
        <v>455</v>
      </c>
      <c r="B9" s="42" t="s">
        <v>456</v>
      </c>
      <c r="C9" s="42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458</v>
      </c>
    </row>
    <row r="3" customFormat="false" ht="15" hidden="false" customHeight="false" outlineLevel="0" collapsed="false">
      <c r="A3" s="28" t="s">
        <v>459</v>
      </c>
      <c r="B3" s="28" t="s">
        <v>460</v>
      </c>
      <c r="C3" s="28" t="s">
        <v>136</v>
      </c>
    </row>
    <row r="4" customFormat="false" ht="15" hidden="false" customHeight="false" outlineLevel="0" collapsed="false">
      <c r="A4" s="4" t="s">
        <v>461</v>
      </c>
      <c r="B4" s="4" t="s">
        <v>462</v>
      </c>
      <c r="C4" s="4" t="s">
        <v>463</v>
      </c>
    </row>
    <row r="5" customFormat="false" ht="135.8" hidden="false" customHeight="false" outlineLevel="0" collapsed="false">
      <c r="A5" s="43" t="s">
        <v>464</v>
      </c>
      <c r="B5" s="44" t="s">
        <v>465</v>
      </c>
      <c r="C5" s="45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2026-04-28T00:22:21Z</dcterms:created>
  <dc:creator>openpyxl</dc:creator>
  <dc:description/>
  <dc:language>en-US</dc:language>
  <cp:lastModifiedBy/>
  <dcterms:modified xsi:type="dcterms:W3CDTF">2026-04-28T00:24:38Z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