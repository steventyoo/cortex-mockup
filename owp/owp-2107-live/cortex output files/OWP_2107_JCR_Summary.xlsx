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<sst xmlns="http://schemas.openxmlformats.org/spreadsheetml/2006/main" count="926" uniqueCount="454">
  <si>
    <t xml:space="preserve">Job #2107 · Chinn 68th &amp; Roosevelt</t>
  </si>
  <si>
    <t xml:space="preserve">Cortex JCR Summary  •  Chinn Construction, LLC (Owner: 6716 Roosevelt Owner, LLC / High Street Northwest Development (Trammell Crow))</t>
  </si>
  <si>
    <t xml:space="preserve">PROJECT OVERVIEW</t>
  </si>
  <si>
    <t xml:space="preserve">Project Job #</t>
  </si>
  <si>
    <t xml:space="preserve">2107</t>
  </si>
  <si>
    <t xml:space="preserve">Project Name:</t>
  </si>
  <si>
    <t xml:space="preserve">Chinn 68th &amp; Roosevelt</t>
  </si>
  <si>
    <t xml:space="preserve">General Contractor</t>
  </si>
  <si>
    <t xml:space="preserve">Chinn Construction, LLC (Owner: 6716 Roosevelt Owner, LLC / High Street Northwest Development (Trammell Crow))</t>
  </si>
  <si>
    <t xml:space="preserve">Location</t>
  </si>
  <si>
    <t xml:space="preserve">6716 Roosevelt Way NE, Seattle, WA 98115</t>
  </si>
  <si>
    <t xml:space="preserve">Project Duration</t>
  </si>
  <si>
    <t xml:space="preserve">Jan 2025 – Q4 2026 (estimated) (~24 months · active RI phase)</t>
  </si>
  <si>
    <t xml:space="preserve">Status</t>
  </si>
  <si>
    <t xml:space="preserve">ACTIVE · RI phase · 90.4% billed · 30.7% margin</t>
  </si>
  <si>
    <t xml:space="preserve">CONTRACT VALUE</t>
  </si>
  <si>
    <t xml:space="preserve">FORECAST NET PROFIT</t>
  </si>
  <si>
    <t xml:space="preserve">DIRECT COST</t>
  </si>
  <si>
    <t xml:space="preserve">LABOR HOURS</t>
  </si>
  <si>
    <t xml:space="preserve">$4,889,866</t>
  </si>
  <si>
    <t xml:space="preserve">$1,970,582</t>
  </si>
  <si>
    <t xml:space="preserve">$2,919,284</t>
  </si>
  <si>
    <t xml:space="preserve">25,137</t>
  </si>
  <si>
    <t xml:space="preserve">$4,671,538 orig + $218,328 COs</t>
  </si>
  <si>
    <t xml:space="preserve">40.3% margin</t>
  </si>
  <si>
    <t xml:space="preserve">59.7% of revenue</t>
  </si>
  <si>
    <t xml:space="preserve">33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</si>
  <si>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</si>
  <si>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</si>
  <si>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</si>
  <si>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</si>
  <si>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</si>
  <si>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</si>
  <si>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</si>
  <si>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</si>
  <si>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</si>
  <si>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</si>
  <si>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</si>
  <si>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</si>
  <si>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</si>
  <si>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Plumbing Units</t>
  </si>
  <si>
    <t xml:space="preserve">Total Fixtures</t>
  </si>
  <si>
    <t xml:space="preserve">TBD (no Job Ticket yet)</t>
  </si>
  <si>
    <t xml:space="preserve">Fixtures / Unit</t>
  </si>
  <si>
    <t xml:space="preserve">Estimated ~4.5 (per #2061 Chinn-pattern benchmark)</t>
  </si>
  <si>
    <t xml:space="preserve">GC</t>
  </si>
  <si>
    <t xml:space="preserve">Chinn Construction, LLC</t>
  </si>
  <si>
    <t xml:space="preserve">Owner</t>
  </si>
  <si>
    <t xml:space="preserve">6716 Roosevelt Owner, LLC / High Street Northwest Development (Trammell Crow)</t>
  </si>
  <si>
    <t xml:space="preserve">Insurance</t>
  </si>
  <si>
    <t xml:space="preserve">Standard COI</t>
  </si>
  <si>
    <t xml:space="preserve">Duration</t>
  </si>
  <si>
    <t xml:space="preserve">~24 months · active RI phase</t>
  </si>
  <si>
    <t xml:space="preserve">Permit</t>
  </si>
  <si>
    <t xml:space="preserve">City of Seattle Plumbing Permit (7 docs in build META)</t>
  </si>
  <si>
    <t xml:space="preserve">NARRATIVE</t>
  </si>
  <si>
    <t xml:space="preserve">Active RI-phase project in Seattle's Roosevelt corridor. 244-unit multifamily for High Street Northwest Development (Trammell Crow's NW residential arm). Won via 5-bidder competition Mar 2024 (Chinn, Braseth, Compass, Venture, +1 unnamed all bid $5,098,000) — Chinn negotiated down to final $4,671,538 subcontract. To date OWP has billed $4,422,211 (90.4% complete) with $1,502,927 net profit = 30.7% margin actual — above the 28% target. 20 executed COs net +$218,328 (+4.7% additive — modest, healthy posture). 258 RFIs (high — typical Trammell Crow / Weinstein A+U pattern) + 15 ASIs + 34 CORs. Foreman Anderson, Richard P (1,885 hrs at $62.70/hr) + Paco Leyva, Orlando (1,309 hrs at $61.70/hr). 33 workers logged 25,137 hrs. Top vendor Consolidated Supply 38.1% of $1.10M AP. OWP's 9th Chinn engagement. Robison Engineering is the 3rd-party plumbing design-build engineer (recurring with Chinn jobs).</t>
  </si>
  <si>
    <t xml:space="preserve">SOURCES</t>
  </si>
  <si>
    <t xml:space="preserve">Job #2107 — Chinn 68th &amp; Roosevelt  •  GC: Chinn Construction, LLC  •  Status: ACTIVE · RI phase · 90.4% billed · 30.7% margin</t>
  </si>
  <si>
    <t xml:space="preserve">Canonical source: 2107_data.json (Sage Timberline JDR · Apr 3 2026 run)</t>
  </si>
  <si>
    <t xml:space="preserve">Dashboard arrays: 2107_dashboard_arrays.json (mirrors index.html PROJECTS['2107'])</t>
  </si>
  <si>
    <t xml:space="preserve">Project profile: 244 units · 6716 Roosevelt Way NE, Seattle, WA 98115 · ~24 months · active RI phase</t>
  </si>
  <si>
    <t xml:space="preserve">Design team: Weinstein A+U (architect), Emerald City (GC bridge MEP), Robison Engineering (OWP design-build engineer)</t>
  </si>
  <si>
    <t xml:space="preserve">Contract: Subcontract executed Jan 2025 · final $4,889,866 (was $4,671,538 base · +$218,328 / +4.7% net COs)</t>
  </si>
  <si>
    <t xml:space="preserve">Billing: $4,422,211 billed across 14 pay apps · 94 AR transactions · retention $245,731 (5%)</t>
  </si>
  <si>
    <t xml:space="preserve">Permit: City of Seattle Plumbing Permit (7 docs in build META)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</si>
  <si>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</si>
  <si>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</si>
  <si>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</si>
  <si>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</si>
  <si>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</si>
  <si>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</si>
  <si>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</si>
  <si>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011</t>
  </si>
  <si>
    <t xml:space="preserve">DS &amp; RD 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</si>
  <si>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</si>
  <si>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</si>
  <si>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</si>
  <si>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</si>
  <si>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</si>
  <si>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</si>
  <si>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</si>
  <si>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</si>
  <si>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</si>
  <si>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</si>
  <si>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</si>
  <si>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</si>
  <si>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</si>
  <si>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</si>
  <si>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</si>
  <si>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</si>
  <si>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</si>
  <si>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</si>
  <si>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</si>
  <si>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</si>
  <si>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</si>
  <si>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</si>
  <si>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</si>
  <si>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</si>
  <si>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</si>
  <si>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</si>
  <si>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</si>
  <si>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</si>
  <si>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</si>
  <si>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</si>
  <si>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</si>
  <si>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</si>
  <si>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</si>
  <si>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</si>
  <si>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</si>
  <si>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</si>
  <si>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</si>
  <si>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</si>
  <si>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</si>
  <si>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</si>
  <si>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</si>
  <si>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</si>
  <si>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</si>
  <si>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</si>
  <si>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</si>
  <si>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</si>
  <si>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</si>
  <si>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</si>
  <si>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</si>
  <si>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</si>
  <si>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</si>
  <si>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</si>
  <si>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</si>
  <si>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TOTAL Direct Cost</t>
  </si>
  <si>
    <t xml:space="preserve">Cost Breakdown — Category Deep Dive</t>
  </si>
  <si>
    <t xml:space="preserve">A. CATEGORY SHARE OF DIRECT COST</t>
  </si>
  <si>
    <t xml:space="preserve"># Codes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</si>
  <si>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</si>
  <si>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</si>
  <si>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</si>
  <si>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</si>
  <si>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</si>
  <si>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</si>
  <si>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</si>
  <si>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8 material cost codes  •  $1,100,377 JDR material  •  23 AP vendors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</si>
  <si>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</si>
  <si>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</si>
  <si>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</si>
  <si>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</si>
  <si>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</si>
  <si>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</si>
  <si>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</si>
  <si>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</si>
  <si>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Consolidated Supply Co.</t>
  </si>
  <si>
    <t xml:space="preserve">Pacific Plumbing Supply Co., LLC</t>
  </si>
  <si>
    <t xml:space="preserve">Keller Supply Company</t>
  </si>
  <si>
    <t xml:space="preserve">Rosen Supply Kirkland</t>
  </si>
  <si>
    <t xml:space="preserve">California Hydronics Corp</t>
  </si>
  <si>
    <t xml:space="preserve">Hub International Northwest</t>
  </si>
  <si>
    <t xml:space="preserve">MacArthur Co. NW 6276</t>
  </si>
  <si>
    <t xml:space="preserve">Franklin Engineering</t>
  </si>
  <si>
    <t xml:space="preserve">Bank of America CC</t>
  </si>
  <si>
    <t xml:space="preserve">Herc Rentals, Inc.</t>
  </si>
  <si>
    <t xml:space="preserve">Ferguson Enterprises, Inc. #3007</t>
  </si>
  <si>
    <t xml:space="preserve">Pioneer Energy Management</t>
  </si>
  <si>
    <t xml:space="preserve">Platt $Rexel USA, Inc.</t>
  </si>
  <si>
    <t xml:space="preserve">Old Castle Infrastructure, Inc.</t>
  </si>
  <si>
    <t xml:space="preserve">Scan2Core, Inc.</t>
  </si>
  <si>
    <t xml:space="preserve">Core &amp; Main LP $HD Supply Waterworks</t>
  </si>
  <si>
    <t xml:space="preserve">Capital One Credit Card</t>
  </si>
  <si>
    <t xml:space="preserve">VEF Supply Ltd.</t>
  </si>
  <si>
    <t xml:space="preserve">Hilti, Inc.</t>
  </si>
  <si>
    <t xml:space="preserve">Edge Construction Supply, LLC</t>
  </si>
  <si>
    <t xml:space="preserve">ACME Corp</t>
  </si>
  <si>
    <t xml:space="preserve">Seton Identification Products</t>
  </si>
  <si>
    <t xml:space="preserve">Uline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</si>
  <si>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</si>
  <si>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</si>
  <si>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</si>
  <si>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</si>
  <si>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</si>
  <si>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</si>
  <si>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Anderson, Richard P</t>
  </si>
  <si>
    <t xml:space="preserve">Senior</t>
  </si>
  <si>
    <t xml:space="preserve">Martinez Reyes, Juan C</t>
  </si>
  <si>
    <t xml:space="preserve">Mid</t>
  </si>
  <si>
    <t xml:space="preserve">Melgar Moz, Brandon</t>
  </si>
  <si>
    <t xml:space="preserve">Apprentice</t>
  </si>
  <si>
    <t xml:space="preserve">Hernandez Gonzalez, Osbaldo</t>
  </si>
  <si>
    <t xml:space="preserve">Countryman, Matthew K</t>
  </si>
  <si>
    <t xml:space="preserve">Ascencio, Jose L</t>
  </si>
  <si>
    <t xml:space="preserve">Galdamez, Dagoberto A</t>
  </si>
  <si>
    <t xml:space="preserve">Paco Leyva, Orlando</t>
  </si>
  <si>
    <t xml:space="preserve">Jimenez Alvarenga, Gerson M</t>
  </si>
  <si>
    <t xml:space="preserve">Mendoza Morales, Jesus A</t>
  </si>
  <si>
    <t xml:space="preserve">Cruz Guzman, Joel A</t>
  </si>
  <si>
    <t xml:space="preserve">Mackey, Cole J</t>
  </si>
  <si>
    <t xml:space="preserve">Zuniga Avilez, Eduar A</t>
  </si>
  <si>
    <t xml:space="preserve">Chevez, Herson G</t>
  </si>
  <si>
    <t xml:space="preserve">Nunez Bravo, Jose L</t>
  </si>
  <si>
    <t xml:space="preserve">Toscano, Esteban</t>
  </si>
  <si>
    <t xml:space="preserve">Suniga Aviles, Kelvin A</t>
  </si>
  <si>
    <t xml:space="preserve">Lima Romero, Melvin A</t>
  </si>
  <si>
    <t xml:space="preserve">Del Villar, Flabio</t>
  </si>
  <si>
    <t xml:space="preserve">Gerard, Jeffrey S</t>
  </si>
  <si>
    <t xml:space="preserve">Lopez, Maslin A</t>
  </si>
  <si>
    <t xml:space="preserve">Cruz, Azael S</t>
  </si>
  <si>
    <t xml:space="preserve">Draves, Steven W</t>
  </si>
  <si>
    <t xml:space="preserve">Barnhart, Joseph N</t>
  </si>
  <si>
    <t xml:space="preserve">Gomez Aguirre, Exequiel</t>
  </si>
  <si>
    <t xml:space="preserve">Romero Garza, Jesus I</t>
  </si>
  <si>
    <t xml:space="preserve">Taylor, Evan R</t>
  </si>
  <si>
    <t xml:space="preserve">Gerard, Jordan E</t>
  </si>
  <si>
    <t xml:space="preserve">Johnson, Jake E</t>
  </si>
  <si>
    <t xml:space="preserve">Castro Hernandez, Jose A</t>
  </si>
  <si>
    <t xml:space="preserve">Guerrero Espinoza, Mario</t>
  </si>
  <si>
    <t xml:space="preserve">Eisenhauer, Tommy J</t>
  </si>
  <si>
    <t xml:space="preserve">Gerard, Mitchell J</t>
  </si>
  <si>
    <t xml:space="preserve">Crew Analytics — Tier Distribution &amp; Wages</t>
  </si>
  <si>
    <t xml:space="preserve">A. TIER DISTRIBUTION</t>
  </si>
  <si>
    <t xml:space="preserve"># Workers</t>
  </si>
  <si>
    <t xml:space="preserve">% of Hours</t>
  </si>
  <si>
    <t xml:space="preserve">36.0%</t>
  </si>
  <si>
    <t xml:space="preserve">46.7%</t>
  </si>
  <si>
    <t xml:space="preserve">17.3%</t>
  </si>
  <si>
    <t xml:space="preserve">B. WAGE STATISTICS</t>
  </si>
  <si>
    <t xml:space="preserve">Blended labor rate ($/hr)</t>
  </si>
  <si>
    <t xml:space="preserve">Foreman labor rate ($/hr)</t>
  </si>
  <si>
    <t xml:space="preserve">Burden multiplier</t>
  </si>
  <si>
    <t xml:space="preserve">Min wage ($/hr)</t>
  </si>
  <si>
    <t xml:space="preserve">Max wage ($/hr)</t>
  </si>
  <si>
    <t xml:space="preserve">Avg hours per worker</t>
  </si>
  <si>
    <t xml:space="preserve">Productivity — Phases by Hours</t>
  </si>
  <si>
    <t xml:space="preserve">Phase</t>
  </si>
  <si>
    <t xml:space="preserve">% of Total</t>
  </si>
  <si>
    <t xml:space="preserve">Hours/Unit</t>
  </si>
  <si>
    <t xml:space="preserve">0.5%</t>
  </si>
  <si>
    <t xml:space="preserve">Takeoff &amp; Purchasing</t>
  </si>
  <si>
    <t xml:space="preserve">3.1%</t>
  </si>
  <si>
    <t xml:space="preserve">Underground</t>
  </si>
  <si>
    <t xml:space="preserve">2.8%</t>
  </si>
  <si>
    <t xml:space="preserve">Garage</t>
  </si>
  <si>
    <t xml:space="preserve">14.0%</t>
  </si>
  <si>
    <t xml:space="preserve">Canout</t>
  </si>
  <si>
    <t xml:space="preserve">5.8%</t>
  </si>
  <si>
    <t xml:space="preserve">Roughin</t>
  </si>
  <si>
    <t xml:space="preserve">60.1%</t>
  </si>
  <si>
    <t xml:space="preserve">Finish</t>
  </si>
  <si>
    <t xml:space="preserve">0.0%</t>
  </si>
  <si>
    <t xml:space="preserve">Gas</t>
  </si>
  <si>
    <t xml:space="preserve">0.8%</t>
  </si>
  <si>
    <t xml:space="preserve">Water Main/Insulation</t>
  </si>
  <si>
    <t xml:space="preserve">10.2%</t>
  </si>
  <si>
    <t xml:space="preserve">Mech Room</t>
  </si>
  <si>
    <t xml:space="preserve">2.6%</t>
  </si>
  <si>
    <t xml:space="preserve">PRODUCTIVITY RATIOS</t>
  </si>
  <si>
    <t xml:space="preserve">Revenue per unit</t>
  </si>
  <si>
    <t xml:space="preserve">$20,040</t>
  </si>
  <si>
    <t xml:space="preserve">Direct cost per unit</t>
  </si>
  <si>
    <t xml:space="preserve">$11,964</t>
  </si>
  <si>
    <t xml:space="preserve">Hours per unit</t>
  </si>
  <si>
    <t xml:space="preserve">102.37</t>
  </si>
  <si>
    <t xml:space="preserve">Revenue per hour</t>
  </si>
  <si>
    <t xml:space="preserve">$196</t>
  </si>
  <si>
    <t xml:space="preserve">Profit per hour</t>
  </si>
  <si>
    <t xml:space="preserve">$79</t>
  </si>
  <si>
    <t xml:space="preserve">PO Commitments — Vendor Concentration</t>
  </si>
  <si>
    <t xml:space="preserve">Per-PO records live in GDrive. This tab summarizes commitments by vendor concentration.</t>
  </si>
  <si>
    <t xml:space="preserve">#</t>
  </si>
  <si>
    <t xml:space="preserve">38.1%</t>
  </si>
  <si>
    <t xml:space="preserve">Top 5</t>
  </si>
  <si>
    <t xml:space="preserve">16.8%</t>
  </si>
  <si>
    <t xml:space="preserve">11.8%</t>
  </si>
  <si>
    <t xml:space="preserve">10.6%</t>
  </si>
  <si>
    <t xml:space="preserve">6.3%</t>
  </si>
  <si>
    <t xml:space="preserve">4.1%</t>
  </si>
  <si>
    <t xml:space="preserve">Top 10</t>
  </si>
  <si>
    <t xml:space="preserve">3.7%</t>
  </si>
  <si>
    <t xml:space="preserve">1.8%</t>
  </si>
  <si>
    <t xml:space="preserve">1.5%</t>
  </si>
  <si>
    <t xml:space="preserve">1.4%</t>
  </si>
  <si>
    <t xml:space="preserve">1.1%</t>
  </si>
  <si>
    <t xml:space="preserve">Long tail</t>
  </si>
  <si>
    <t xml:space="preserve">1.0%</t>
  </si>
  <si>
    <t xml:space="preserve">0.2%</t>
  </si>
  <si>
    <t xml:space="preserve">0.1%</t>
  </si>
  <si>
    <t xml:space="preserve">Billing &amp; Statement of Values</t>
  </si>
  <si>
    <t xml:space="preserve">STATEMENT OF VALUES — SUMMARY</t>
  </si>
  <si>
    <t xml:space="preserve">Original Contract</t>
  </si>
  <si>
    <t xml:space="preserve">$0</t>
  </si>
  <si>
    <t xml:space="preserve">Net Change Orders</t>
  </si>
  <si>
    <t xml:space="preserve">Final Contract</t>
  </si>
  <si>
    <t xml:space="preserve">Retainage Held</t>
  </si>
  <si>
    <t xml:space="preserve">Net Paid to OWP</t>
  </si>
  <si>
    <t xml:space="preserve">$4,422,211</t>
  </si>
  <si>
    <t xml:space="preserve">PAY APPLICATION HISTORY</t>
  </si>
  <si>
    <t xml:space="preserve">Pay App #</t>
  </si>
  <si>
    <t xml:space="preserve">Date</t>
  </si>
  <si>
    <t xml:space="preserve">This Period</t>
  </si>
  <si>
    <t xml:space="preserve">Retainage</t>
  </si>
  <si>
    <t xml:space="preserve">Net</t>
  </si>
  <si>
    <t xml:space="preserve">Cumulative</t>
  </si>
  <si>
    <t xml:space="preserve">% Contract</t>
  </si>
  <si>
    <t xml:space="preserve">01/20/26</t>
  </si>
  <si>
    <t xml:space="preserve">0.7%</t>
  </si>
  <si>
    <t xml:space="preserve">3.9%</t>
  </si>
  <si>
    <t xml:space="preserve">4.0%</t>
  </si>
  <si>
    <t xml:space="preserve">4.9%</t>
  </si>
  <si>
    <t xml:space="preserve">7.3%</t>
  </si>
  <si>
    <t xml:space="preserve">8.9%</t>
  </si>
  <si>
    <t xml:space="preserve">9.5%</t>
  </si>
  <si>
    <t xml:space="preserve">9.6%</t>
  </si>
  <si>
    <t xml:space="preserve">9.7%</t>
  </si>
  <si>
    <t xml:space="preserve">9.9%</t>
  </si>
  <si>
    <t xml:space="preserve">10.0%</t>
  </si>
  <si>
    <t xml:space="preserve">10.1%</t>
  </si>
  <si>
    <t xml:space="preserve">10.3%</t>
  </si>
  <si>
    <t xml:space="preserve">10.9%</t>
  </si>
  <si>
    <t xml:space="preserve">11.0%</t>
  </si>
  <si>
    <t xml:space="preserve">11.7%</t>
  </si>
  <si>
    <t xml:space="preserve">14.9%</t>
  </si>
  <si>
    <t xml:space="preserve">15.1%</t>
  </si>
  <si>
    <t xml:space="preserve">15.9%</t>
  </si>
  <si>
    <t xml:space="preserve">18.3%</t>
  </si>
  <si>
    <t xml:space="preserve">19.9%</t>
  </si>
  <si>
    <t xml:space="preserve">20.5%</t>
  </si>
  <si>
    <t xml:space="preserve">20.6%</t>
  </si>
  <si>
    <t xml:space="preserve">20.8%</t>
  </si>
  <si>
    <t xml:space="preserve">20.9%</t>
  </si>
  <si>
    <t xml:space="preserve">21.0%</t>
  </si>
  <si>
    <t xml:space="preserve">21.2%</t>
  </si>
  <si>
    <t xml:space="preserve">21.3%</t>
  </si>
  <si>
    <t xml:space="preserve">22.0%</t>
  </si>
  <si>
    <t xml:space="preserve">22.1%</t>
  </si>
  <si>
    <t xml:space="preserve">03/19/25</t>
  </si>
  <si>
    <t xml:space="preserve">26.1%</t>
  </si>
  <si>
    <t xml:space="preserve">27.2%</t>
  </si>
  <si>
    <t xml:space="preserve">31.2%</t>
  </si>
  <si>
    <t xml:space="preserve">32.3%</t>
  </si>
  <si>
    <t xml:space="preserve">32.4%</t>
  </si>
  <si>
    <t xml:space="preserve">11/20/25</t>
  </si>
  <si>
    <t xml:space="preserve">32.5%</t>
  </si>
  <si>
    <t xml:space="preserve">37.7%</t>
  </si>
  <si>
    <t xml:space="preserve">43.3%</t>
  </si>
  <si>
    <t xml:space="preserve">45.8%</t>
  </si>
  <si>
    <t xml:space="preserve">46.3%</t>
  </si>
  <si>
    <t xml:space="preserve">46.4%</t>
  </si>
  <si>
    <t xml:space="preserve">46.5%</t>
  </si>
  <si>
    <t xml:space="preserve">51.7%</t>
  </si>
  <si>
    <t xml:space="preserve">57.3%</t>
  </si>
  <si>
    <t xml:space="preserve">59.8%</t>
  </si>
  <si>
    <t xml:space="preserve">60.3%</t>
  </si>
  <si>
    <t xml:space="preserve">60.4%</t>
  </si>
  <si>
    <t xml:space="preserve">12/17/25</t>
  </si>
  <si>
    <t xml:space="preserve">60.7%</t>
  </si>
  <si>
    <t xml:space="preserve">60.8%</t>
  </si>
  <si>
    <t xml:space="preserve">62.4%</t>
  </si>
  <si>
    <t xml:space="preserve">62.7%</t>
  </si>
  <si>
    <t xml:space="preserve">63.1%</t>
  </si>
  <si>
    <t xml:space="preserve">63.4%</t>
  </si>
  <si>
    <t xml:space="preserve">63.6%</t>
  </si>
  <si>
    <t xml:space="preserve">63.9%</t>
  </si>
  <si>
    <t xml:space="preserve">64.7%</t>
  </si>
  <si>
    <t xml:space="preserve">65.0%</t>
  </si>
  <si>
    <t xml:space="preserve">68.7%</t>
  </si>
  <si>
    <t xml:space="preserve">68.9%</t>
  </si>
  <si>
    <t xml:space="preserve">69.2%</t>
  </si>
  <si>
    <t xml:space="preserve">69.7%</t>
  </si>
  <si>
    <t xml:space="preserve">70.1%</t>
  </si>
  <si>
    <t xml:space="preserve">70.5%</t>
  </si>
  <si>
    <t xml:space="preserve">70.6%</t>
  </si>
  <si>
    <t xml:space="preserve">70.7%</t>
  </si>
  <si>
    <t xml:space="preserve">70.9%</t>
  </si>
  <si>
    <t xml:space="preserve">71.2%</t>
  </si>
  <si>
    <t xml:space="preserve">71.3%</t>
  </si>
  <si>
    <t xml:space="preserve">72.9%</t>
  </si>
  <si>
    <t xml:space="preserve">73.2%</t>
  </si>
  <si>
    <t xml:space="preserve">73.6%</t>
  </si>
  <si>
    <t xml:space="preserve">73.9%</t>
  </si>
  <si>
    <t xml:space="preserve">74.1%</t>
  </si>
  <si>
    <t xml:space="preserve">74.4%</t>
  </si>
  <si>
    <t xml:space="preserve">75.2%</t>
  </si>
  <si>
    <t xml:space="preserve">75.5%</t>
  </si>
  <si>
    <t xml:space="preserve">79.2%</t>
  </si>
  <si>
    <t xml:space="preserve">79.4%</t>
  </si>
  <si>
    <t xml:space="preserve">79.7%</t>
  </si>
  <si>
    <t xml:space="preserve">80.2%</t>
  </si>
  <si>
    <t xml:space="preserve">80.6%</t>
  </si>
  <si>
    <t xml:space="preserve">81.0%</t>
  </si>
  <si>
    <t xml:space="preserve">81.1%</t>
  </si>
  <si>
    <t xml:space="preserve">81.2%</t>
  </si>
  <si>
    <t xml:space="preserve">81.3%</t>
  </si>
  <si>
    <t xml:space="preserve">Key Insights — 10 Themes</t>
  </si>
  <si>
    <t xml:space="preserve">Theme</t>
  </si>
  <si>
    <t xml:space="preserve">Insight</t>
  </si>
  <si>
    <t xml:space="preserve">MARGIN PROFILE</t>
  </si>
  <si>
    <t xml:space="preserve">Net profit of $1,502,927 on $4,422,211 revenue = 34.0% margin (active RI phase, ~90% billed). Direct cost $2,919,284 absorbs 66.0% of revenue.</t>
  </si>
  <si>
    <t xml:space="preserve">VENDOR CONCENTRATION</t>
  </si>
  <si>
    <t xml:space="preserve">Consolidated Supply Co. = $420,436 (38.1% of all AP) across 101 invoices. Total 23 AP vendors, $1,103,657 total AP spend (typical Chinn vendor mix).</t>
  </si>
  <si>
    <t xml:space="preserve">CREW PROFILE</t>
  </si>
  <si>
    <t xml:space="preserve">33 workers for 25,137 hours = 762 avg hrs/worker. Top 3 workers logged 5,245 hrs combined (21% of all labor). Foreman: Anderson, Richard P (1,885 hrs at $62.70/hr) + Paco Leyva, Orlando (1,309 hrs at $61.70/hr).</t>
  </si>
  <si>
    <t xml:space="preserve">ROUGHIN DOMINANCE</t>
  </si>
  <si>
    <t xml:space="preserve">Code 120 Roughin Labor = $646,310 actual. Code 230 Finish Material = $546,779. Roughin labor is the largest line item in active production — typical for mid-RI multifamily.</t>
  </si>
  <si>
    <t xml:space="preserve">BUDGET DELIVERY</t>
  </si>
  <si>
    <t xml:space="preserve">Revised expense budget was $4,012,702; actual direct cost $2,919,284 → $1,093,418 variance (1 CRITICAL, 2 OVER flags).</t>
  </si>
  <si>
    <t xml:space="preserve">CONTRACT GROWTH</t>
  </si>
  <si>
    <t xml:space="preserve">Contract grew from $4,671,538 to $4,889,866 — net +$218,328 (+4.7%). Modest additive CO posture. Retention $245,731 (5%) held.</t>
  </si>
  <si>
    <t xml:space="preserve">BURDEN RATIO</t>
  </si>
  <si>
    <t xml:space="preserve">Burden codes 995 + 998 = $617,015 on $1,100,219 labor base = 56.1%. Outside OWP's typical 48-50% labor burden.</t>
  </si>
  <si>
    <t xml:space="preserve">PROJECT SCALE</t>
  </si>
  <si>
    <t xml:space="preserve">244 units · 68th &amp; Roosevelt Seattle WA. High Street (Trammell Crow) owner; Weinstein A+U architect; Emerald City MEP. Revenue/unit $18,124, hours/unit 103.0, profit/unit $6,160.</t>
  </si>
  <si>
    <t xml:space="preserve">PRODUCTIVITY</t>
  </si>
  <si>
    <t xml:space="preserve">Blended labor rate $43.79/hr. Revenue/hour $176. Profit/hour $60.</t>
  </si>
  <si>
    <t xml:space="preserve">CO PROFILE</t>
  </si>
  <si>
    <t xml:space="preserve">Net +$218,328 (+4.7%) booked. CO detail not yet itemized in dataset — typical Chinn pattern (modest, additive). No GDrive Job Book folder yet for 2107 — will be created at project closeout (~Q4 2026).</t>
  </si>
  <si>
    <t xml:space="preserve">Benchmark KPIs — Industry Reference Points</t>
  </si>
  <si>
    <t xml:space="preserve">KPI</t>
  </si>
  <si>
    <t xml:space="preserve">This Project</t>
  </si>
  <si>
    <t xml:space="preserve">OWP Median</t>
  </si>
  <si>
    <t xml:space="preserve">Industry Reference</t>
  </si>
  <si>
    <t xml:space="preserve">Gross Margin</t>
  </si>
  <si>
    <t xml:space="preserve">40.3%</t>
  </si>
  <si>
    <t xml:space="preserve">32-38%</t>
  </si>
  <si>
    <t xml:space="preserve">30-40%</t>
  </si>
  <si>
    <t xml:space="preserve">INFO</t>
  </si>
  <si>
    <t xml:space="preserve">$10-15k</t>
  </si>
  <si>
    <t xml:space="preserve">$8-20k</t>
  </si>
  <si>
    <t xml:space="preserve">$7-10k</t>
  </si>
  <si>
    <t xml:space="preserve">$6-15k</t>
  </si>
  <si>
    <t xml:space="preserve">Top vendor % of AP</t>
  </si>
  <si>
    <t xml:space="preserve">Pending vendor agg</t>
  </si>
  <si>
    <t xml:space="preserve">&lt;35%</t>
  </si>
  <si>
    <t xml:space="preserve">&lt;40%</t>
  </si>
  <si>
    <t xml:space="preserve">Burden ratio</t>
  </si>
  <si>
    <t xml:space="preserve">56%</t>
  </si>
  <si>
    <t xml:space="preserve">48-50%</t>
  </si>
  <si>
    <t xml:space="preserve">40-55%</t>
  </si>
  <si>
    <t xml:space="preserve">WATCH</t>
  </si>
  <si>
    <t xml:space="preserve">Reconciliation — Data Source Cross-Check</t>
  </si>
  <si>
    <t xml:space="preserve">Check</t>
  </si>
  <si>
    <t xml:space="preserve">Expected</t>
  </si>
  <si>
    <t xml:space="preserve">Delta</t>
  </si>
  <si>
    <t xml:space="preserve">Contract: hero block vs JDR</t>
  </si>
  <si>
    <t xml:space="preserve">—</t>
  </si>
  <si>
    <t xml:space="preserve">DELTA</t>
  </si>
  <si>
    <t xml:space="preserve">Billed: hero block vs JDR</t>
  </si>
  <si>
    <t xml:space="preserve">Direct cost: meta vs costCats</t>
  </si>
  <si>
    <t xml:space="preserve">OK</t>
  </si>
  <si>
    <t xml:space="preserve">Worker count: dashboard vs meta</t>
  </si>
  <si>
    <t xml:space="preserve">AP vendor count vs JDR</t>
  </si>
  <si>
    <t xml:space="preserve">Source aggregate</t>
  </si>
  <si>
    <t xml:space="preserve">Vendor Analysis</t>
  </si>
  <si>
    <t xml:space="preserve">Notes</t>
  </si>
  <si>
    <t xml:space="preserve">Secondary plumbing supply</t>
  </si>
  <si>
    <t xml:space="preserve">Primary plumbing supply</t>
  </si>
  <si>
    <t xml:space="preserve">Roughin material</t>
  </si>
  <si>
    <t xml:space="preserve">Trim/finish supplier</t>
  </si>
  <si>
    <t xml:space="preserve">Design/MEP fees</t>
  </si>
  <si>
    <t xml:space="preserve">Roughin + finish supplier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</si>
</sst>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91919"/>
      <name val="Inter"/>
      <family val="0"/>
      <charset val="1"/>
    </font>
    <font>
      <i val="true"/>
      <sz val="9"/>
      <color rgb="FF787774"/>
      <name val="Inter"/>
      <family val="0"/>
      <charset val="1"/>
    </font>
    <font>
      <b val="true"/>
      <sz val="11"/>
      <color rgb="FF191919"/>
      <name val="Inter"/>
      <family val="0"/>
      <charset val="1"/>
    </font>
    <font>
      <b val="true"/>
      <sz val="10"/>
      <color rgb="FF191919"/>
      <name val="Inter"/>
      <family val="0"/>
      <charset val="1"/>
    </font>
    <font>
      <sz val="10"/>
      <color rgb="FF191919"/>
      <name val="Inter"/>
      <family val="0"/>
      <charset val="1"/>
    </font>
    <font>
      <sz val="9"/>
      <color rgb="FF787774"/>
      <name val="Inter"/>
      <family val="0"/>
      <charset val="1"/>
    </font>
    <font>
      <b val="true"/>
      <sz val="22"/>
      <color rgb="FF191919"/>
      <name val="Inter"/>
      <family val="0"/>
      <charset val="1"/>
    </font>
    <font>
      <b val="true"/>
      <sz val="10"/>
      <color rgb="FFFFFFFF"/>
      <name val="Inter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F1EF"/>
        <bgColor rgb="FFFBF7F0"/>
      </patternFill>
    </fill>
    <fill>
      <patternFill patternType="solid">
        <fgColor rgb="FFFBF7F0"/>
        <bgColor rgb="FFF1F1EF"/>
      </patternFill>
    </fill>
    <fill>
      <patternFill patternType="solid">
        <fgColor rgb="FF37352F"/>
        <bgColor rgb="FF333300"/>
      </patternFill>
    </fill>
    <fill>
      <patternFill patternType="solid">
        <fgColor rgb="FFFCF1CD"/>
        <bgColor rgb="FFFBF7F0"/>
      </patternFill>
    </fill>
    <fill>
      <patternFill patternType="solid">
        <fgColor rgb="FFFBE4E4"/>
        <bgColor rgb="FFF1F1EF"/>
      </patternFill>
    </fill>
    <fill>
      <patternFill patternType="solid">
        <fgColor rgb="FFDDEDEA"/>
        <bgColor rgb="FFE0E0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DC"/>
      </left>
      <right style="thin">
        <color rgb="FFE0E0DC"/>
      </right>
      <top style="thin">
        <color rgb="FFE0E0DC"/>
      </top>
      <bottom style="thin">
        <color rgb="FFE0E0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774"/>
      <rgbColor rgb="FF9999FF"/>
      <rgbColor rgb="FF993366"/>
      <rgbColor rgb="FFFCF1CD"/>
      <rgbColor rgb="FFDDEDEA"/>
      <rgbColor rgb="FF660066"/>
      <rgbColor rgb="FFFF8080"/>
      <rgbColor rgb="FF0066CC"/>
      <rgbColor rgb="FFE0E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1EF"/>
      <rgbColor rgb="FFFBF7F0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91919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  <c r="D6" s="5"/>
      <c r="E6" s="5"/>
      <c r="F6" s="5"/>
      <c r="G6" s="5"/>
      <c r="H6" s="5"/>
    </row>
    <row r="7" customFormat="false" ht="15" hidden="false" customHeight="false" outlineLevel="0" collapsed="false">
      <c r="B7" s="4" t="s">
        <v>5</v>
      </c>
      <c r="C7" s="5" t="s">
        <v>6</v>
      </c>
      <c r="D7" s="5"/>
      <c r="E7" s="5"/>
      <c r="F7" s="5"/>
      <c r="G7" s="5"/>
      <c r="H7" s="5"/>
    </row>
    <row r="8" customFormat="false" ht="15" hidden="false" customHeight="false" outlineLevel="0" collapsed="false">
      <c r="B8" s="4" t="s">
        <v>7</v>
      </c>
      <c r="C8" s="5" t="s">
        <v>8</v>
      </c>
      <c r="D8" s="5"/>
      <c r="E8" s="5"/>
      <c r="F8" s="5"/>
      <c r="G8" s="5"/>
      <c r="H8" s="5"/>
    </row>
    <row r="9" customFormat="false" ht="15" hidden="false" customHeight="false" outlineLevel="0" collapsed="false">
      <c r="B9" s="4" t="s">
        <v>9</v>
      </c>
      <c r="C9" s="5" t="s">
        <v>10</v>
      </c>
      <c r="D9" s="5"/>
      <c r="E9" s="5"/>
      <c r="F9" s="5"/>
      <c r="G9" s="5"/>
      <c r="H9" s="5"/>
    </row>
    <row r="10" customFormat="false" ht="15" hidden="false" customHeight="false" outlineLevel="0" collapsed="false">
      <c r="B10" s="4" t="s">
        <v>11</v>
      </c>
      <c r="C10" s="5" t="s">
        <v>12</v>
      </c>
      <c r="D10" s="5"/>
      <c r="E10" s="5"/>
      <c r="F10" s="5"/>
      <c r="G10" s="5"/>
      <c r="H10" s="5"/>
    </row>
    <row r="11" customFormat="false" ht="15" hidden="false" customHeight="false" outlineLevel="0" collapsed="false">
      <c r="B11" s="4" t="s">
        <v>13</v>
      </c>
      <c r="C11" s="5" t="s">
        <v>14</v>
      </c>
      <c r="D11" s="5"/>
      <c r="E11" s="5"/>
      <c r="F11" s="5"/>
      <c r="G11" s="5"/>
      <c r="H11" s="5"/>
    </row>
    <row r="13" customFormat="false" ht="15" hidden="false" customHeight="false" outlineLevel="0" collapsed="false">
      <c r="B13" s="6" t="s">
        <v>15</v>
      </c>
      <c r="C13" s="6"/>
      <c r="D13" s="6" t="s">
        <v>16</v>
      </c>
      <c r="E13" s="6"/>
      <c r="F13" s="6" t="s">
        <v>17</v>
      </c>
      <c r="G13" s="6"/>
      <c r="H13" s="6" t="s">
        <v>18</v>
      </c>
      <c r="I13" s="6"/>
    </row>
    <row r="14" customFormat="false" ht="26.8" hidden="false" customHeight="false" outlineLevel="0" collapsed="false">
      <c r="B14" s="7" t="s">
        <v>19</v>
      </c>
      <c r="C14" s="7"/>
      <c r="D14" s="7" t="s">
        <v>20</v>
      </c>
      <c r="E14" s="7"/>
      <c r="F14" s="7" t="s">
        <v>21</v>
      </c>
      <c r="G14" s="7"/>
      <c r="H14" s="7" t="s">
        <v>22</v>
      </c>
      <c r="I14" s="7"/>
    </row>
    <row r="15" customFormat="false" ht="15" hidden="false" customHeight="false" outlineLevel="0" collapsed="false">
      <c r="B15" s="8" t="s">
        <v>23</v>
      </c>
      <c r="C15" s="8"/>
      <c r="D15" s="8" t="s">
        <v>24</v>
      </c>
      <c r="E15" s="8"/>
      <c r="F15" s="8" t="s">
        <v>25</v>
      </c>
      <c r="G15" s="8"/>
      <c r="H15" s="8" t="s">
        <v>26</v>
      </c>
      <c r="I15" s="8"/>
    </row>
    <row r="18" customFormat="false" ht="15" hidden="false" customHeight="false" outlineLevel="0" collapsed="false">
      <c r="B18" s="3" t="s">
        <v>27</v>
      </c>
    </row>
    <row r="19" customFormat="false" ht="15" hidden="false" customHeight="false" outlineLevel="0" collapsed="false">
      <c r="B19" s="9" t="s">
        <v>28</v>
      </c>
      <c r="C19" s="9" t="s">
        <v>29</v>
      </c>
      <c r="D19" s="9" t="s">
        <v>30</v>
      </c>
      <c r="E19" s="9" t="s">
        <v>31</v>
      </c>
      <c r="F19" s="9" t="s">
        <v>32</v>
      </c>
      <c r="G19" s="9" t="s">
        <v>33</v>
      </c>
    </row>
    <row r="20" customFormat="false" ht="15" hidden="false" customHeight="false" outlineLevel="0" collapsed="false">
      <c r="B20" s="10" t="s">
        <v>34</v>
      </c>
      <c r="C20" s="10" t="n">
        <v>1258562</v>
      </c>
      <c r="D20" s="10" t="n">
        <v>1100219</v>
      </c>
      <c r="E20" s="10" t="n">
        <f aca="false">C20-D20</f>
        <v>158343</v>
      </c>
      <c r="F20" s="10" t="n">
        <f aca="false">IF(C20=0,0,D20/C20)</f>
        <v>0.874187366216364</v>
      </c>
      <c r="G20" s="10" t="n">
        <f aca="false">IF($D$24=0,0,D20/$D$24)</f>
        <v>0.376879741744894</v>
      </c>
    </row>
    <row r="21" customFormat="false" ht="15" hidden="false" customHeight="false" outlineLevel="0" collapsed="false">
      <c r="B21" s="10" t="s">
        <v>35</v>
      </c>
      <c r="C21" s="10" t="n">
        <v>1922036</v>
      </c>
      <c r="D21" s="10" t="n">
        <v>1100377</v>
      </c>
      <c r="E21" s="10" t="n">
        <f aca="false">C21-D21</f>
        <v>821659</v>
      </c>
      <c r="F21" s="10" t="n">
        <f aca="false">IF(C21=0,0,D21/C21)</f>
        <v>0.572505926007629</v>
      </c>
      <c r="G21" s="10" t="n">
        <f aca="false">IF($D$24=0,0,D21/$D$24)</f>
        <v>0.376933864605157</v>
      </c>
    </row>
    <row r="22" customFormat="false" ht="15" hidden="false" customHeight="false" outlineLevel="0" collapsed="false">
      <c r="B22" s="10" t="s">
        <v>36</v>
      </c>
      <c r="C22" s="10" t="n">
        <v>212829</v>
      </c>
      <c r="D22" s="10" t="n">
        <v>101673</v>
      </c>
      <c r="E22" s="10" t="n">
        <f aca="false">C22-D22</f>
        <v>111156</v>
      </c>
      <c r="F22" s="10" t="n">
        <f aca="false">IF(C22=0,0,D22/C22)</f>
        <v>0.477721551104408</v>
      </c>
      <c r="G22" s="10" t="n">
        <f aca="false">IF($D$24=0,0,D22/$D$24)</f>
        <v>0.0348280605792379</v>
      </c>
    </row>
    <row r="23" customFormat="false" ht="15" hidden="false" customHeight="false" outlineLevel="0" collapsed="false">
      <c r="B23" s="10" t="s">
        <v>37</v>
      </c>
      <c r="C23" s="10" t="n">
        <v>610888</v>
      </c>
      <c r="D23" s="10" t="n">
        <v>617015</v>
      </c>
      <c r="E23" s="10" t="n">
        <f aca="false">C23-D23</f>
        <v>-6127</v>
      </c>
      <c r="F23" s="10" t="n">
        <f aca="false">IF(C23=0,0,D23/C23)</f>
        <v>1.01002966173832</v>
      </c>
      <c r="G23" s="10" t="n">
        <f aca="false">IF($D$24=0,0,D23/$D$24)</f>
        <v>0.211358333070712</v>
      </c>
    </row>
    <row r="24" customFormat="false" ht="15" hidden="false" customHeight="false" outlineLevel="0" collapsed="false">
      <c r="B24" s="4" t="s">
        <v>38</v>
      </c>
      <c r="C24" s="4" t="n">
        <f aca="false">SUM(C20:C23)</f>
        <v>4004315</v>
      </c>
      <c r="D24" s="4" t="n">
        <f aca="false">SUM(D20:D23)</f>
        <v>2919284</v>
      </c>
      <c r="E24" s="4" t="n">
        <f aca="false">C24-D24</f>
        <v>1085031</v>
      </c>
      <c r="F24" s="4" t="n">
        <f aca="false">IF(C24=0,0,D24/C24)</f>
        <v>0.7290345539749</v>
      </c>
      <c r="G24" s="4" t="n">
        <v>1</v>
      </c>
    </row>
    <row r="27" customFormat="false" ht="15" hidden="false" customHeight="false" outlineLevel="0" collapsed="false">
      <c r="B27" s="3" t="s">
        <v>39</v>
      </c>
    </row>
    <row r="28" customFormat="false" ht="15" hidden="false" customHeight="false" outlineLevel="0" collapsed="false">
      <c r="B28" s="4" t="s">
        <v>40</v>
      </c>
      <c r="C28" s="10" t="n">
        <v>244</v>
      </c>
      <c r="D28" s="4" t="s">
        <v>41</v>
      </c>
      <c r="E28" s="10" t="s">
        <v>42</v>
      </c>
      <c r="F28" s="4" t="s">
        <v>43</v>
      </c>
      <c r="G28" s="10" t="s">
        <v>44</v>
      </c>
    </row>
    <row r="29" customFormat="false" ht="15" hidden="false" customHeight="false" outlineLevel="0" collapsed="false">
      <c r="B29" s="4" t="s">
        <v>45</v>
      </c>
      <c r="C29" s="10" t="s">
        <v>46</v>
      </c>
      <c r="D29" s="4" t="s">
        <v>47</v>
      </c>
      <c r="E29" s="10" t="s">
        <v>48</v>
      </c>
      <c r="F29" s="4" t="s">
        <v>49</v>
      </c>
      <c r="G29" s="10" t="s">
        <v>50</v>
      </c>
    </row>
    <row r="30" customFormat="false" ht="15" hidden="false" customHeight="false" outlineLevel="0" collapsed="false">
      <c r="B30" s="4" t="s">
        <v>13</v>
      </c>
      <c r="C30" s="10" t="s">
        <v>14</v>
      </c>
      <c r="D30" s="4" t="s">
        <v>51</v>
      </c>
      <c r="E30" s="10" t="s">
        <v>52</v>
      </c>
      <c r="F30" s="4" t="s">
        <v>53</v>
      </c>
      <c r="G30" s="10" t="s">
        <v>54</v>
      </c>
    </row>
    <row r="33" customFormat="false" ht="15" hidden="false" customHeight="false" outlineLevel="0" collapsed="false">
      <c r="B33" s="3" t="s">
        <v>55</v>
      </c>
    </row>
    <row r="34" customFormat="false" ht="79.5" hidden="false" customHeight="true" outlineLevel="0" collapsed="false">
      <c r="B34" s="11" t="s">
        <v>56</v>
      </c>
      <c r="C34" s="11"/>
      <c r="D34" s="11"/>
      <c r="E34" s="11"/>
      <c r="F34" s="11"/>
      <c r="G34" s="11"/>
      <c r="H34" s="11"/>
    </row>
    <row r="35" customFormat="false" ht="15" hidden="false" customHeight="false" outlineLevel="0" collapsed="false">
      <c r="B35" s="11"/>
      <c r="C35" s="11"/>
      <c r="D35" s="11"/>
      <c r="E35" s="11"/>
      <c r="F35" s="11"/>
      <c r="G35" s="11"/>
      <c r="H35" s="11"/>
    </row>
    <row r="36" customFormat="false" ht="15" hidden="false" customHeight="false" outlineLevel="0" collapsed="false">
      <c r="B36" s="11"/>
      <c r="C36" s="11"/>
      <c r="D36" s="11"/>
      <c r="E36" s="11"/>
      <c r="F36" s="11"/>
      <c r="G36" s="11"/>
      <c r="H36" s="11"/>
    </row>
    <row r="37" customFormat="false" ht="15" hidden="false" customHeight="false" outlineLevel="0" collapsed="false">
      <c r="B37" s="11"/>
      <c r="C37" s="11"/>
      <c r="D37" s="11"/>
      <c r="E37" s="11"/>
      <c r="F37" s="11"/>
      <c r="G37" s="11"/>
      <c r="H37" s="11"/>
    </row>
    <row r="38" customFormat="false" ht="15" hidden="false" customHeight="false" outlineLevel="0" collapsed="false">
      <c r="B38" s="11"/>
      <c r="C38" s="11"/>
      <c r="D38" s="11"/>
      <c r="E38" s="11"/>
      <c r="F38" s="11"/>
      <c r="G38" s="11"/>
      <c r="H38" s="11"/>
    </row>
    <row r="39" customFormat="false" ht="15" hidden="false" customHeight="false" outlineLevel="0" collapsed="false">
      <c r="B39" s="11"/>
      <c r="C39" s="11"/>
      <c r="D39" s="11"/>
      <c r="E39" s="11"/>
      <c r="F39" s="11"/>
      <c r="G39" s="11"/>
      <c r="H39" s="11"/>
    </row>
    <row r="41" customFormat="false" ht="15" hidden="false" customHeight="false" outlineLevel="0" collapsed="false">
      <c r="B41" s="3" t="s">
        <v>57</v>
      </c>
    </row>
    <row r="42" customFormat="false" ht="15" hidden="false" customHeight="false" outlineLevel="0" collapsed="false">
      <c r="B42" s="2" t="s">
        <v>58</v>
      </c>
    </row>
    <row r="43" customFormat="false" ht="15" hidden="false" customHeight="false" outlineLevel="0" collapsed="false">
      <c r="B43" s="2" t="s">
        <v>59</v>
      </c>
    </row>
    <row r="44" customFormat="false" ht="15" hidden="false" customHeight="false" outlineLevel="0" collapsed="false">
      <c r="B44" s="2" t="s">
        <v>60</v>
      </c>
    </row>
    <row r="45" customFormat="false" ht="15" hidden="false" customHeight="false" outlineLevel="0" collapsed="false">
      <c r="B45" s="2" t="s">
        <v>61</v>
      </c>
    </row>
    <row r="46" customFormat="false" ht="15" hidden="false" customHeight="false" outlineLevel="0" collapsed="false">
      <c r="B46" s="2" t="s">
        <v>62</v>
      </c>
    </row>
    <row r="47" customFormat="false" ht="15" hidden="false" customHeight="false" outlineLevel="0" collapsed="false">
      <c r="B47" s="2" t="s">
        <v>63</v>
      </c>
    </row>
    <row r="48" customFormat="false" ht="15" hidden="false" customHeight="false" outlineLevel="0" collapsed="false">
      <c r="B48" s="2" t="s">
        <v>64</v>
      </c>
    </row>
    <row r="49" customFormat="false" ht="15" hidden="false" customHeight="false" outlineLevel="0" collapsed="false">
      <c r="B49" s="2" t="s">
        <v>65</v>
      </c>
    </row>
  </sheetData>
  <mergeCells count="19">
    <mergeCell ref="C6:H6"/>
    <mergeCell ref="C7:H7"/>
    <mergeCell ref="C8:H8"/>
    <mergeCell ref="C9:H9"/>
    <mergeCell ref="C10:H10"/>
    <mergeCell ref="C11:H11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34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7" min="4" style="0" width="13"/>
    <col collapsed="false" customWidth="true" hidden="false" outlineLevel="0" max="8" min="8" style="0" width="10"/>
  </cols>
  <sheetData>
    <row r="2" customFormat="false" ht="22.05" hidden="false" customHeight="false" outlineLevel="0" collapsed="false">
      <c r="B2" s="1" t="s">
        <v>66</v>
      </c>
    </row>
    <row r="4" customFormat="false" ht="15" hidden="false" customHeight="false" outlineLevel="0" collapsed="false">
      <c r="B4" s="9" t="s">
        <v>67</v>
      </c>
      <c r="C4" s="9" t="s">
        <v>68</v>
      </c>
      <c r="D4" s="9" t="s">
        <v>69</v>
      </c>
      <c r="E4" s="9" t="s">
        <v>70</v>
      </c>
      <c r="F4" s="9" t="s">
        <v>30</v>
      </c>
      <c r="G4" s="9" t="s">
        <v>31</v>
      </c>
      <c r="H4" s="9" t="s">
        <v>71</v>
      </c>
    </row>
    <row r="5" customFormat="false" ht="15" hidden="false" customHeight="false" outlineLevel="0" collapsed="false">
      <c r="B5" s="12" t="s">
        <v>72</v>
      </c>
    </row>
    <row r="6" customFormat="false" ht="15" hidden="false" customHeight="false" outlineLevel="0" collapsed="false">
      <c r="B6" s="10" t="s">
        <v>73</v>
      </c>
      <c r="C6" s="10" t="s">
        <v>74</v>
      </c>
      <c r="D6" s="10" t="n">
        <v>0</v>
      </c>
      <c r="E6" s="10" t="n">
        <v>0</v>
      </c>
      <c r="F6" s="10" t="n">
        <v>0</v>
      </c>
      <c r="G6" s="10" t="n">
        <f aca="false">E6-F6</f>
        <v>0</v>
      </c>
      <c r="H6" s="10" t="n">
        <f aca="false">IF(E6=0,0,F6/E6)</f>
        <v>0</v>
      </c>
    </row>
    <row r="7" customFormat="false" ht="15" hidden="false" customHeight="false" outlineLevel="0" collapsed="false">
      <c r="B7" s="10" t="s">
        <v>75</v>
      </c>
      <c r="C7" s="10" t="s">
        <v>76</v>
      </c>
      <c r="D7" s="10" t="n">
        <v>12700</v>
      </c>
      <c r="E7" s="10" t="n">
        <v>12700</v>
      </c>
      <c r="F7" s="10" t="n">
        <v>9357</v>
      </c>
      <c r="G7" s="10" t="n">
        <f aca="false">E7-F7</f>
        <v>3343</v>
      </c>
      <c r="H7" s="10" t="n">
        <f aca="false">IF(E7=0,0,F7/E7)</f>
        <v>0.736771653543307</v>
      </c>
    </row>
    <row r="8" customFormat="false" ht="15" hidden="false" customHeight="false" outlineLevel="0" collapsed="false">
      <c r="B8" s="10" t="s">
        <v>77</v>
      </c>
      <c r="C8" s="10" t="s">
        <v>78</v>
      </c>
      <c r="D8" s="10" t="n">
        <v>45160</v>
      </c>
      <c r="E8" s="10" t="n">
        <v>45160</v>
      </c>
      <c r="F8" s="10" t="n">
        <v>48116</v>
      </c>
      <c r="G8" s="10" t="n">
        <f aca="false">E8-F8</f>
        <v>-2956</v>
      </c>
      <c r="H8" s="10" t="n">
        <f aca="false">IF(E8=0,0,F8/E8)</f>
        <v>1.06545615589017</v>
      </c>
    </row>
    <row r="9" customFormat="false" ht="15" hidden="false" customHeight="false" outlineLevel="0" collapsed="false">
      <c r="B9" s="10" t="s">
        <v>79</v>
      </c>
      <c r="C9" s="10" t="s">
        <v>80</v>
      </c>
      <c r="D9" s="10" t="n">
        <v>30400</v>
      </c>
      <c r="E9" s="10" t="n">
        <v>30400</v>
      </c>
      <c r="F9" s="10" t="n">
        <v>31475</v>
      </c>
      <c r="G9" s="10" t="n">
        <f aca="false">E9-F9</f>
        <v>-1075</v>
      </c>
      <c r="H9" s="10" t="n">
        <f aca="false">IF(E9=0,0,F9/E9)</f>
        <v>1.03536184210526</v>
      </c>
    </row>
    <row r="10" customFormat="false" ht="15" hidden="false" customHeight="false" outlineLevel="0" collapsed="false">
      <c r="B10" s="10" t="s">
        <v>81</v>
      </c>
      <c r="C10" s="10" t="s">
        <v>82</v>
      </c>
      <c r="D10" s="10" t="n">
        <v>90954</v>
      </c>
      <c r="E10" s="10" t="n">
        <v>90954</v>
      </c>
      <c r="F10" s="10" t="n">
        <v>153774</v>
      </c>
      <c r="G10" s="10" t="n">
        <f aca="false">E10-F10</f>
        <v>-62820</v>
      </c>
      <c r="H10" s="10" t="n">
        <f aca="false">IF(E10=0,0,F10/E10)</f>
        <v>1.69067880467049</v>
      </c>
    </row>
    <row r="11" customFormat="false" ht="15" hidden="false" customHeight="false" outlineLevel="0" collapsed="false">
      <c r="B11" s="10" t="s">
        <v>83</v>
      </c>
      <c r="C11" s="10" t="s">
        <v>84</v>
      </c>
      <c r="D11" s="10" t="n">
        <v>59715</v>
      </c>
      <c r="E11" s="10" t="n">
        <v>59715</v>
      </c>
      <c r="F11" s="10" t="n">
        <v>66406</v>
      </c>
      <c r="G11" s="10" t="n">
        <f aca="false">E11-F11</f>
        <v>-6691</v>
      </c>
      <c r="H11" s="10" t="n">
        <f aca="false">IF(E11=0,0,F11/E11)</f>
        <v>1.11204889893662</v>
      </c>
    </row>
    <row r="12" customFormat="false" ht="15" hidden="false" customHeight="false" outlineLevel="0" collapsed="false">
      <c r="B12" s="10" t="s">
        <v>85</v>
      </c>
      <c r="C12" s="10" t="s">
        <v>86</v>
      </c>
      <c r="D12" s="10" t="n">
        <v>565930</v>
      </c>
      <c r="E12" s="10" t="n">
        <v>565930</v>
      </c>
      <c r="F12" s="10" t="n">
        <v>646310</v>
      </c>
      <c r="G12" s="10" t="n">
        <f aca="false">E12-F12</f>
        <v>-80380</v>
      </c>
      <c r="H12" s="10" t="n">
        <f aca="false">IF(E12=0,0,F12/E12)</f>
        <v>1.14203170003357</v>
      </c>
    </row>
    <row r="13" customFormat="false" ht="15" hidden="false" customHeight="false" outlineLevel="0" collapsed="false">
      <c r="B13" s="10" t="s">
        <v>87</v>
      </c>
      <c r="C13" s="10" t="s">
        <v>88</v>
      </c>
      <c r="D13" s="10" t="n">
        <v>135784</v>
      </c>
      <c r="E13" s="10" t="n">
        <v>135784</v>
      </c>
      <c r="F13" s="10" t="n">
        <v>65</v>
      </c>
      <c r="G13" s="10" t="n">
        <f aca="false">E13-F13</f>
        <v>135719</v>
      </c>
      <c r="H13" s="10" t="n">
        <f aca="false">IF(E13=0,0,F13/E13)</f>
        <v>0.000478701467035881</v>
      </c>
    </row>
    <row r="14" customFormat="false" ht="15" hidden="false" customHeight="false" outlineLevel="0" collapsed="false">
      <c r="B14" s="10" t="s">
        <v>89</v>
      </c>
      <c r="C14" s="10" t="s">
        <v>90</v>
      </c>
      <c r="D14" s="10" t="n">
        <v>11400</v>
      </c>
      <c r="E14" s="10" t="n">
        <v>11400</v>
      </c>
      <c r="F14" s="10" t="n">
        <v>7648</v>
      </c>
      <c r="G14" s="10" t="n">
        <f aca="false">E14-F14</f>
        <v>3752</v>
      </c>
      <c r="H14" s="10" t="n">
        <f aca="false">IF(E14=0,0,F14/E14)</f>
        <v>0.670877192982456</v>
      </c>
    </row>
    <row r="15" customFormat="false" ht="15" hidden="false" customHeight="false" outlineLevel="0" collapsed="false">
      <c r="B15" s="10" t="s">
        <v>91</v>
      </c>
      <c r="C15" s="10" t="s">
        <v>92</v>
      </c>
      <c r="D15" s="10" t="n">
        <v>184270</v>
      </c>
      <c r="E15" s="10" t="n">
        <v>184270</v>
      </c>
      <c r="F15" s="10" t="n">
        <v>108098</v>
      </c>
      <c r="G15" s="10" t="n">
        <f aca="false">E15-F15</f>
        <v>76172</v>
      </c>
      <c r="H15" s="10" t="n">
        <f aca="false">IF(E15=0,0,F15/E15)</f>
        <v>0.586628317143322</v>
      </c>
    </row>
    <row r="16" customFormat="false" ht="15" hidden="false" customHeight="false" outlineLevel="0" collapsed="false">
      <c r="B16" s="10" t="s">
        <v>93</v>
      </c>
      <c r="C16" s="10" t="s">
        <v>94</v>
      </c>
      <c r="D16" s="10" t="n">
        <v>122250</v>
      </c>
      <c r="E16" s="10" t="n">
        <v>122250</v>
      </c>
      <c r="F16" s="10" t="n">
        <v>28970</v>
      </c>
      <c r="G16" s="10" t="n">
        <f aca="false">E16-F16</f>
        <v>93280</v>
      </c>
      <c r="H16" s="10" t="n">
        <f aca="false">IF(E16=0,0,F16/E16)</f>
        <v>0.236973415132924</v>
      </c>
    </row>
    <row r="17" customFormat="false" ht="15" hidden="false" customHeight="false" outlineLevel="0" collapsed="false">
      <c r="B17" s="12" t="s">
        <v>95</v>
      </c>
    </row>
    <row r="18" customFormat="false" ht="15" hidden="false" customHeight="false" outlineLevel="0" collapsed="false">
      <c r="B18" s="10" t="s">
        <v>96</v>
      </c>
      <c r="C18" s="10" t="s">
        <v>97</v>
      </c>
      <c r="D18" s="10" t="n">
        <v>29000</v>
      </c>
      <c r="E18" s="10" t="n">
        <v>29000</v>
      </c>
      <c r="F18" s="10" t="n">
        <v>13857</v>
      </c>
      <c r="G18" s="10" t="n">
        <f aca="false">E18-F18</f>
        <v>15143</v>
      </c>
      <c r="H18" s="10" t="n">
        <f aca="false">IF(E18=0,0,F18/E18)</f>
        <v>0.477827586206897</v>
      </c>
    </row>
    <row r="19" customFormat="false" ht="15" hidden="false" customHeight="false" outlineLevel="0" collapsed="false">
      <c r="B19" s="10" t="s">
        <v>98</v>
      </c>
      <c r="C19" s="10" t="s">
        <v>99</v>
      </c>
      <c r="D19" s="10" t="n">
        <v>78105</v>
      </c>
      <c r="E19" s="10" t="n">
        <v>78105</v>
      </c>
      <c r="F19" s="10" t="n">
        <v>54729</v>
      </c>
      <c r="G19" s="10" t="n">
        <f aca="false">E19-F19</f>
        <v>23376</v>
      </c>
      <c r="H19" s="10" t="n">
        <f aca="false">IF(E19=0,0,F19/E19)</f>
        <v>0.700710581908969</v>
      </c>
    </row>
    <row r="20" customFormat="false" ht="15" hidden="false" customHeight="false" outlineLevel="0" collapsed="false">
      <c r="B20" s="10" t="s">
        <v>100</v>
      </c>
      <c r="C20" s="10" t="s">
        <v>101</v>
      </c>
      <c r="D20" s="10" t="n">
        <v>51753</v>
      </c>
      <c r="E20" s="10" t="n">
        <v>51753</v>
      </c>
      <c r="F20" s="10" t="n">
        <v>47834</v>
      </c>
      <c r="G20" s="10" t="n">
        <f aca="false">E20-F20</f>
        <v>3919</v>
      </c>
      <c r="H20" s="10" t="n">
        <f aca="false">IF(E20=0,0,F20/E20)</f>
        <v>0.924274921260603</v>
      </c>
    </row>
    <row r="21" customFormat="false" ht="15" hidden="false" customHeight="false" outlineLevel="0" collapsed="false">
      <c r="B21" s="10" t="s">
        <v>102</v>
      </c>
      <c r="C21" s="10" t="s">
        <v>103</v>
      </c>
      <c r="D21" s="10" t="n">
        <v>392310</v>
      </c>
      <c r="E21" s="10" t="n">
        <v>392310</v>
      </c>
      <c r="F21" s="10" t="n">
        <v>209687</v>
      </c>
      <c r="G21" s="10" t="n">
        <f aca="false">E21-F21</f>
        <v>182623</v>
      </c>
      <c r="H21" s="10" t="n">
        <f aca="false">IF(E21=0,0,F21/E21)</f>
        <v>0.534493130432566</v>
      </c>
    </row>
    <row r="22" customFormat="false" ht="15" hidden="false" customHeight="false" outlineLevel="0" collapsed="false">
      <c r="B22" s="10" t="s">
        <v>104</v>
      </c>
      <c r="C22" s="10" t="s">
        <v>105</v>
      </c>
      <c r="D22" s="10" t="n">
        <v>1055804</v>
      </c>
      <c r="E22" s="10" t="n">
        <v>1055804</v>
      </c>
      <c r="F22" s="10" t="n">
        <v>546779</v>
      </c>
      <c r="G22" s="10" t="n">
        <f aca="false">E22-F22</f>
        <v>509025</v>
      </c>
      <c r="H22" s="10" t="n">
        <f aca="false">IF(E22=0,0,F22/E22)</f>
        <v>0.517879265469727</v>
      </c>
    </row>
    <row r="23" customFormat="false" ht="15" hidden="false" customHeight="false" outlineLevel="0" collapsed="false">
      <c r="B23" s="10" t="s">
        <v>106</v>
      </c>
      <c r="C23" s="10" t="s">
        <v>107</v>
      </c>
      <c r="D23" s="10" t="n">
        <v>8500</v>
      </c>
      <c r="E23" s="10" t="n">
        <v>8500</v>
      </c>
      <c r="F23" s="10" t="n">
        <v>7205</v>
      </c>
      <c r="G23" s="10" t="n">
        <f aca="false">E23-F23</f>
        <v>1295</v>
      </c>
      <c r="H23" s="10" t="n">
        <f aca="false">IF(E23=0,0,F23/E23)</f>
        <v>0.847647058823529</v>
      </c>
    </row>
    <row r="24" customFormat="false" ht="15" hidden="false" customHeight="false" outlineLevel="0" collapsed="false">
      <c r="B24" s="10" t="s">
        <v>108</v>
      </c>
      <c r="C24" s="10" t="s">
        <v>109</v>
      </c>
      <c r="D24" s="10" t="n">
        <v>189150</v>
      </c>
      <c r="E24" s="10" t="n">
        <v>189150</v>
      </c>
      <c r="F24" s="10" t="n">
        <v>137969</v>
      </c>
      <c r="G24" s="10" t="n">
        <f aca="false">E24-F24</f>
        <v>51181</v>
      </c>
      <c r="H24" s="10" t="n">
        <f aca="false">IF(E24=0,0,F24/E24)</f>
        <v>0.729415807560138</v>
      </c>
    </row>
    <row r="25" customFormat="false" ht="15" hidden="false" customHeight="false" outlineLevel="0" collapsed="false">
      <c r="B25" s="10" t="s">
        <v>110</v>
      </c>
      <c r="C25" s="10" t="s">
        <v>111</v>
      </c>
      <c r="D25" s="10" t="n">
        <v>125800</v>
      </c>
      <c r="E25" s="10" t="n">
        <v>125800</v>
      </c>
      <c r="F25" s="10" t="n">
        <v>82317</v>
      </c>
      <c r="G25" s="10" t="n">
        <f aca="false">E25-F25</f>
        <v>43483</v>
      </c>
      <c r="H25" s="10" t="n">
        <f aca="false">IF(E25=0,0,F25/E25)</f>
        <v>0.654348171701113</v>
      </c>
    </row>
    <row r="26" customFormat="false" ht="15" hidden="false" customHeight="false" outlineLevel="0" collapsed="false">
      <c r="B26" s="12" t="s">
        <v>112</v>
      </c>
    </row>
    <row r="27" customFormat="false" ht="15" hidden="false" customHeight="false" outlineLevel="0" collapsed="false">
      <c r="B27" s="10" t="s">
        <v>113</v>
      </c>
      <c r="C27" s="10" t="s">
        <v>114</v>
      </c>
      <c r="D27" s="10" t="n">
        <v>34125</v>
      </c>
      <c r="E27" s="10" t="n">
        <v>34125</v>
      </c>
      <c r="F27" s="10" t="n">
        <v>2272</v>
      </c>
      <c r="G27" s="10" t="n">
        <f aca="false">E27-F27</f>
        <v>31853</v>
      </c>
      <c r="H27" s="10" t="n">
        <f aca="false">IF(E27=0,0,F27/E27)</f>
        <v>0.0665787545787546</v>
      </c>
    </row>
    <row r="28" customFormat="false" ht="15" hidden="false" customHeight="false" outlineLevel="0" collapsed="false">
      <c r="B28" s="10" t="s">
        <v>115</v>
      </c>
      <c r="C28" s="10" t="s">
        <v>116</v>
      </c>
      <c r="D28" s="10" t="n">
        <v>79300</v>
      </c>
      <c r="E28" s="10" t="n">
        <v>79300</v>
      </c>
      <c r="F28" s="10" t="n">
        <v>9356</v>
      </c>
      <c r="G28" s="10" t="n">
        <f aca="false">E28-F28</f>
        <v>69944</v>
      </c>
      <c r="H28" s="10" t="n">
        <f aca="false">IF(E28=0,0,F28/E28)</f>
        <v>0.117982345523329</v>
      </c>
    </row>
    <row r="29" customFormat="false" ht="15" hidden="false" customHeight="false" outlineLevel="0" collapsed="false">
      <c r="B29" s="10" t="s">
        <v>117</v>
      </c>
      <c r="C29" s="10" t="s">
        <v>118</v>
      </c>
      <c r="D29" s="10" t="n">
        <v>14700</v>
      </c>
      <c r="E29" s="10" t="n">
        <v>14700</v>
      </c>
      <c r="F29" s="10" t="n">
        <v>15185</v>
      </c>
      <c r="G29" s="10" t="n">
        <f aca="false">E29-F29</f>
        <v>-485</v>
      </c>
      <c r="H29" s="10" t="n">
        <f aca="false">IF(E29=0,0,F29/E29)</f>
        <v>1.03299319727891</v>
      </c>
    </row>
    <row r="30" customFormat="false" ht="15" hidden="false" customHeight="false" outlineLevel="0" collapsed="false">
      <c r="B30" s="10" t="s">
        <v>119</v>
      </c>
      <c r="C30" s="10" t="s">
        <v>120</v>
      </c>
      <c r="D30" s="10" t="n">
        <v>24887</v>
      </c>
      <c r="E30" s="10" t="n">
        <v>24887</v>
      </c>
      <c r="F30" s="10" t="n">
        <v>16277</v>
      </c>
      <c r="G30" s="10" t="n">
        <f aca="false">E30-F30</f>
        <v>8610</v>
      </c>
      <c r="H30" s="10" t="n">
        <f aca="false">IF(E30=0,0,F30/E30)</f>
        <v>0.654036243822076</v>
      </c>
    </row>
    <row r="31" customFormat="false" ht="15" hidden="false" customHeight="false" outlineLevel="0" collapsed="false">
      <c r="B31" s="10" t="s">
        <v>121</v>
      </c>
      <c r="C31" s="10" t="s">
        <v>122</v>
      </c>
      <c r="D31" s="10" t="n">
        <v>59817</v>
      </c>
      <c r="E31" s="10" t="n">
        <v>59817</v>
      </c>
      <c r="F31" s="10" t="n">
        <v>58583</v>
      </c>
      <c r="G31" s="10" t="n">
        <f aca="false">E31-F31</f>
        <v>1234</v>
      </c>
      <c r="H31" s="10" t="n">
        <f aca="false">IF(E31=0,0,F31/E31)</f>
        <v>0.979370413093268</v>
      </c>
    </row>
    <row r="32" customFormat="false" ht="15" hidden="false" customHeight="false" outlineLevel="0" collapsed="false">
      <c r="B32" s="12" t="s">
        <v>123</v>
      </c>
    </row>
    <row r="33" customFormat="false" ht="15" hidden="false" customHeight="false" outlineLevel="0" collapsed="false">
      <c r="B33" s="10" t="s">
        <v>124</v>
      </c>
      <c r="C33" s="10" t="s">
        <v>125</v>
      </c>
      <c r="D33" s="10" t="n">
        <v>514608</v>
      </c>
      <c r="E33" s="10" t="n">
        <v>514608</v>
      </c>
      <c r="F33" s="10" t="n">
        <v>532803</v>
      </c>
      <c r="G33" s="10" t="n">
        <f aca="false">E33-F33</f>
        <v>-18195</v>
      </c>
      <c r="H33" s="10" t="n">
        <f aca="false">IF(E33=0,0,F33/E33)</f>
        <v>1.03535700960731</v>
      </c>
    </row>
    <row r="34" customFormat="false" ht="15" hidden="false" customHeight="false" outlineLevel="0" collapsed="false">
      <c r="B34" s="10" t="s">
        <v>126</v>
      </c>
      <c r="C34" s="10" t="s">
        <v>127</v>
      </c>
      <c r="D34" s="10" t="n">
        <v>96280</v>
      </c>
      <c r="E34" s="10" t="n">
        <v>96280</v>
      </c>
      <c r="F34" s="10" t="n">
        <v>84211</v>
      </c>
      <c r="G34" s="10" t="n">
        <f aca="false">E34-F34</f>
        <v>12069</v>
      </c>
      <c r="H34" s="10" t="n">
        <f aca="false">IF(E34=0,0,F34/E34)</f>
        <v>0.87464686331533</v>
      </c>
    </row>
    <row r="36" customFormat="false" ht="15" hidden="false" customHeight="false" outlineLevel="0" collapsed="false">
      <c r="B36" s="4" t="s">
        <v>128</v>
      </c>
      <c r="D36" s="4" t="n">
        <v>2919284</v>
      </c>
      <c r="E36" s="4" t="n">
        <v>2919284</v>
      </c>
      <c r="F36" s="4" t="n">
        <v>2919284</v>
      </c>
    </row>
    <row r="39" customFormat="false" ht="15" hidden="false" customHeight="false" outlineLevel="0" collapsed="false">
      <c r="B39" s="3" t="s">
        <v>57</v>
      </c>
    </row>
    <row r="40" customFormat="false" ht="15" hidden="false" customHeight="false" outlineLevel="0" collapsed="false">
      <c r="B40" s="2" t="s">
        <v>58</v>
      </c>
    </row>
    <row r="41" customFormat="false" ht="15" hidden="false" customHeight="false" outlineLevel="0" collapsed="false">
      <c r="B41" s="2" t="s">
        <v>59</v>
      </c>
    </row>
    <row r="42" customFormat="false" ht="15" hidden="false" customHeight="false" outlineLevel="0" collapsed="false">
      <c r="B42" s="2" t="s">
        <v>60</v>
      </c>
    </row>
    <row r="43" customFormat="false" ht="15" hidden="false" customHeight="false" outlineLevel="0" collapsed="false">
      <c r="B43" s="2" t="s">
        <v>61</v>
      </c>
    </row>
    <row r="44" customFormat="false" ht="15" hidden="false" customHeight="false" outlineLevel="0" collapsed="false">
      <c r="B44" s="2" t="s">
        <v>62</v>
      </c>
    </row>
    <row r="45" customFormat="false" ht="15" hidden="false" customHeight="false" outlineLevel="0" collapsed="false">
      <c r="B45" s="2" t="s">
        <v>63</v>
      </c>
    </row>
    <row r="46" customFormat="false" ht="15" hidden="false" customHeight="false" outlineLevel="0" collapsed="false">
      <c r="B46" s="2" t="s">
        <v>64</v>
      </c>
    </row>
    <row r="47" customFormat="false" ht="15" hidden="false" customHeight="false" outlineLevel="0" collapsed="false">
      <c r="B47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6" min="4" style="0" width="13"/>
    <col collapsed="false" customWidth="true" hidden="false" outlineLevel="0" max="8" min="7" style="0" width="10"/>
  </cols>
  <sheetData>
    <row r="2" customFormat="false" ht="22.05" hidden="false" customHeight="false" outlineLevel="0" collapsed="false">
      <c r="B2" s="1" t="s">
        <v>129</v>
      </c>
    </row>
    <row r="4" customFormat="false" ht="15" hidden="false" customHeight="false" outlineLevel="0" collapsed="false">
      <c r="B4" s="3" t="s">
        <v>130</v>
      </c>
    </row>
    <row r="5" customFormat="false" ht="15" hidden="false" customHeight="false" outlineLevel="0" collapsed="false">
      <c r="B5" s="13" t="s">
        <v>28</v>
      </c>
      <c r="C5" s="13" t="s">
        <v>131</v>
      </c>
      <c r="D5" s="13" t="s">
        <v>29</v>
      </c>
      <c r="E5" s="13" t="s">
        <v>30</v>
      </c>
      <c r="F5" s="13" t="s">
        <v>31</v>
      </c>
      <c r="G5" s="13" t="s">
        <v>32</v>
      </c>
      <c r="H5" s="13" t="s">
        <v>33</v>
      </c>
    </row>
    <row r="6" customFormat="false" ht="15" hidden="false" customHeight="false" outlineLevel="0" collapsed="false">
      <c r="B6" s="4" t="s">
        <v>34</v>
      </c>
      <c r="C6" s="10" t="n">
        <v>11</v>
      </c>
      <c r="D6" s="10" t="n">
        <v>1258563</v>
      </c>
      <c r="E6" s="10" t="n">
        <v>1100219</v>
      </c>
      <c r="F6" s="10" t="n">
        <f aca="false">D6-E6</f>
        <v>158344</v>
      </c>
      <c r="G6" s="10" t="n">
        <f aca="false">IF(D6=0,0,E6/D6)</f>
        <v>0.874186671624702</v>
      </c>
      <c r="H6" s="10" t="n">
        <f aca="false">IF(2919284=0,0,E6/2919284)</f>
        <v>0.376879741744894</v>
      </c>
    </row>
    <row r="7" customFormat="false" ht="15" hidden="false" customHeight="false" outlineLevel="0" collapsed="false">
      <c r="B7" s="4" t="s">
        <v>35</v>
      </c>
      <c r="C7" s="10" t="n">
        <v>8</v>
      </c>
      <c r="D7" s="10" t="n">
        <v>1930422</v>
      </c>
      <c r="E7" s="10" t="n">
        <v>1100377</v>
      </c>
      <c r="F7" s="10" t="n">
        <f aca="false">D7-E7</f>
        <v>830045</v>
      </c>
      <c r="G7" s="10" t="n">
        <f aca="false">IF(D7=0,0,E7/D7)</f>
        <v>0.570018887062</v>
      </c>
      <c r="H7" s="10" t="n">
        <f aca="false">IF(2919284=0,0,E7/2919284)</f>
        <v>0.376933864605157</v>
      </c>
    </row>
    <row r="8" customFormat="false" ht="15" hidden="false" customHeight="false" outlineLevel="0" collapsed="false">
      <c r="B8" s="4" t="s">
        <v>36</v>
      </c>
      <c r="C8" s="10" t="n">
        <v>5</v>
      </c>
      <c r="D8" s="10" t="n">
        <v>212829</v>
      </c>
      <c r="E8" s="10" t="n">
        <v>101673</v>
      </c>
      <c r="F8" s="10" t="n">
        <f aca="false">D8-E8</f>
        <v>111156</v>
      </c>
      <c r="G8" s="10" t="n">
        <f aca="false">IF(D8=0,0,E8/D8)</f>
        <v>0.477721551104408</v>
      </c>
      <c r="H8" s="10" t="n">
        <f aca="false">IF(2919284=0,0,E8/2919284)</f>
        <v>0.0348280605792379</v>
      </c>
    </row>
    <row r="9" customFormat="false" ht="15" hidden="false" customHeight="false" outlineLevel="0" collapsed="false">
      <c r="B9" s="4" t="s">
        <v>37</v>
      </c>
      <c r="C9" s="10" t="n">
        <v>2</v>
      </c>
      <c r="D9" s="10" t="n">
        <v>610888</v>
      </c>
      <c r="E9" s="10" t="n">
        <v>617015</v>
      </c>
      <c r="F9" s="10" t="n">
        <f aca="false">D9-E9</f>
        <v>-6127</v>
      </c>
      <c r="G9" s="10" t="n">
        <f aca="false">IF(D9=0,0,E9/D9)</f>
        <v>1.01002966173832</v>
      </c>
      <c r="H9" s="10" t="n">
        <f aca="false">IF(2919284=0,0,E9/2919284)</f>
        <v>0.211358333070712</v>
      </c>
    </row>
    <row r="12" customFormat="false" ht="15" hidden="false" customHeight="false" outlineLevel="0" collapsed="false">
      <c r="B12" s="3" t="s">
        <v>132</v>
      </c>
    </row>
    <row r="13" customFormat="false" ht="15" hidden="false" customHeight="false" outlineLevel="0" collapsed="false">
      <c r="B13" s="13" t="s">
        <v>67</v>
      </c>
      <c r="C13" s="13" t="s">
        <v>68</v>
      </c>
      <c r="D13" s="13" t="s">
        <v>70</v>
      </c>
      <c r="E13" s="13" t="s">
        <v>30</v>
      </c>
      <c r="F13" s="13" t="s">
        <v>133</v>
      </c>
      <c r="G13" s="13" t="s">
        <v>134</v>
      </c>
    </row>
    <row r="14" customFormat="false" ht="15" hidden="false" customHeight="false" outlineLevel="0" collapsed="false">
      <c r="B14" s="10" t="s">
        <v>85</v>
      </c>
      <c r="C14" s="10" t="s">
        <v>86</v>
      </c>
      <c r="D14" s="10" t="n">
        <v>565930</v>
      </c>
      <c r="E14" s="10" t="n">
        <v>646310</v>
      </c>
      <c r="F14" s="10" t="n">
        <f aca="false">E14-D14</f>
        <v>80380</v>
      </c>
      <c r="G14" s="10" t="n">
        <f aca="false">IF(D14=0,0,F14/D14)</f>
        <v>0.142031700033573</v>
      </c>
    </row>
    <row r="15" customFormat="false" ht="15" hidden="false" customHeight="false" outlineLevel="0" collapsed="false">
      <c r="B15" s="10" t="s">
        <v>81</v>
      </c>
      <c r="C15" s="10" t="s">
        <v>82</v>
      </c>
      <c r="D15" s="10" t="n">
        <v>90954</v>
      </c>
      <c r="E15" s="10" t="n">
        <v>153774</v>
      </c>
      <c r="F15" s="10" t="n">
        <f aca="false">E15-D15</f>
        <v>62820</v>
      </c>
      <c r="G15" s="10" t="n">
        <f aca="false">IF(D15=0,0,F15/D15)</f>
        <v>0.690678804670493</v>
      </c>
    </row>
    <row r="16" customFormat="false" ht="15" hidden="false" customHeight="false" outlineLevel="0" collapsed="false">
      <c r="B16" s="10" t="s">
        <v>124</v>
      </c>
      <c r="C16" s="10" t="s">
        <v>125</v>
      </c>
      <c r="D16" s="10" t="n">
        <v>514608</v>
      </c>
      <c r="E16" s="10" t="n">
        <v>532803</v>
      </c>
      <c r="F16" s="10" t="n">
        <f aca="false">E16-D16</f>
        <v>18195</v>
      </c>
      <c r="G16" s="10" t="n">
        <f aca="false">IF(D16=0,0,F16/D16)</f>
        <v>0.0353570096073128</v>
      </c>
    </row>
    <row r="17" customFormat="false" ht="15" hidden="false" customHeight="false" outlineLevel="0" collapsed="false">
      <c r="B17" s="10" t="s">
        <v>83</v>
      </c>
      <c r="C17" s="10" t="s">
        <v>84</v>
      </c>
      <c r="D17" s="10" t="n">
        <v>59715</v>
      </c>
      <c r="E17" s="10" t="n">
        <v>66406</v>
      </c>
      <c r="F17" s="10" t="n">
        <f aca="false">E17-D17</f>
        <v>6691</v>
      </c>
      <c r="G17" s="10" t="n">
        <f aca="false">IF(D17=0,0,F17/D17)</f>
        <v>0.112048898936616</v>
      </c>
    </row>
    <row r="18" customFormat="false" ht="15" hidden="false" customHeight="false" outlineLevel="0" collapsed="false">
      <c r="B18" s="10" t="s">
        <v>77</v>
      </c>
      <c r="C18" s="10" t="s">
        <v>78</v>
      </c>
      <c r="D18" s="10" t="n">
        <v>45160</v>
      </c>
      <c r="E18" s="10" t="n">
        <v>48116</v>
      </c>
      <c r="F18" s="10" t="n">
        <f aca="false">E18-D18</f>
        <v>2956</v>
      </c>
      <c r="G18" s="10" t="n">
        <f aca="false">IF(D18=0,0,F18/D18)</f>
        <v>0.0654561558901683</v>
      </c>
    </row>
    <row r="19" customFormat="false" ht="15" hidden="false" customHeight="false" outlineLevel="0" collapsed="false">
      <c r="B19" s="10" t="s">
        <v>79</v>
      </c>
      <c r="C19" s="10" t="s">
        <v>80</v>
      </c>
      <c r="D19" s="10" t="n">
        <v>30400</v>
      </c>
      <c r="E19" s="10" t="n">
        <v>31475</v>
      </c>
      <c r="F19" s="10" t="n">
        <f aca="false">E19-D19</f>
        <v>1075</v>
      </c>
      <c r="G19" s="10" t="n">
        <f aca="false">IF(D19=0,0,F19/D19)</f>
        <v>0.0353618421052632</v>
      </c>
    </row>
    <row r="20" customFormat="false" ht="15" hidden="false" customHeight="false" outlineLevel="0" collapsed="false">
      <c r="B20" s="10" t="s">
        <v>117</v>
      </c>
      <c r="C20" s="10" t="s">
        <v>118</v>
      </c>
      <c r="D20" s="10" t="n">
        <v>14700</v>
      </c>
      <c r="E20" s="10" t="n">
        <v>15185</v>
      </c>
      <c r="F20" s="10" t="n">
        <f aca="false">E20-D20</f>
        <v>485</v>
      </c>
      <c r="G20" s="10" t="n">
        <f aca="false">IF(D20=0,0,F20/D20)</f>
        <v>0.0329931972789116</v>
      </c>
    </row>
    <row r="23" customFormat="false" ht="15" hidden="false" customHeight="false" outlineLevel="0" collapsed="false">
      <c r="B23" s="3" t="s">
        <v>135</v>
      </c>
    </row>
    <row r="24" customFormat="false" ht="15" hidden="false" customHeight="false" outlineLevel="0" collapsed="false">
      <c r="B24" s="13" t="s">
        <v>67</v>
      </c>
      <c r="C24" s="13" t="s">
        <v>68</v>
      </c>
      <c r="D24" s="13" t="s">
        <v>70</v>
      </c>
      <c r="E24" s="13" t="s">
        <v>30</v>
      </c>
      <c r="F24" s="13" t="s">
        <v>136</v>
      </c>
      <c r="G24" s="13" t="s">
        <v>137</v>
      </c>
    </row>
    <row r="25" customFormat="false" ht="15" hidden="false" customHeight="false" outlineLevel="0" collapsed="false">
      <c r="B25" s="10" t="s">
        <v>104</v>
      </c>
      <c r="C25" s="10" t="s">
        <v>105</v>
      </c>
      <c r="D25" s="10" t="n">
        <v>1055804</v>
      </c>
      <c r="E25" s="10" t="n">
        <v>546779</v>
      </c>
      <c r="F25" s="10" t="n">
        <f aca="false">D25-E25</f>
        <v>509025</v>
      </c>
      <c r="G25" s="10" t="n">
        <f aca="false">IF(D25=0,0,F25/D25)</f>
        <v>0.482120734530273</v>
      </c>
    </row>
    <row r="26" customFormat="false" ht="15" hidden="false" customHeight="false" outlineLevel="0" collapsed="false">
      <c r="B26" s="10" t="s">
        <v>102</v>
      </c>
      <c r="C26" s="10" t="s">
        <v>103</v>
      </c>
      <c r="D26" s="10" t="n">
        <v>392310</v>
      </c>
      <c r="E26" s="10" t="n">
        <v>209687</v>
      </c>
      <c r="F26" s="10" t="n">
        <f aca="false">D26-E26</f>
        <v>182623</v>
      </c>
      <c r="G26" s="10" t="n">
        <f aca="false">IF(D26=0,0,F26/D26)</f>
        <v>0.465506869567434</v>
      </c>
    </row>
    <row r="27" customFormat="false" ht="15" hidden="false" customHeight="false" outlineLevel="0" collapsed="false">
      <c r="B27" s="10" t="s">
        <v>87</v>
      </c>
      <c r="C27" s="10" t="s">
        <v>88</v>
      </c>
      <c r="D27" s="10" t="n">
        <v>135784</v>
      </c>
      <c r="E27" s="10" t="n">
        <v>65</v>
      </c>
      <c r="F27" s="10" t="n">
        <f aca="false">D27-E27</f>
        <v>135719</v>
      </c>
      <c r="G27" s="10" t="n">
        <f aca="false">IF(D27=0,0,F27/D27)</f>
        <v>0.999521298532964</v>
      </c>
    </row>
    <row r="28" customFormat="false" ht="15" hidden="false" customHeight="false" outlineLevel="0" collapsed="false">
      <c r="B28" s="10" t="s">
        <v>93</v>
      </c>
      <c r="C28" s="10" t="s">
        <v>94</v>
      </c>
      <c r="D28" s="10" t="n">
        <v>122250</v>
      </c>
      <c r="E28" s="10" t="n">
        <v>28970</v>
      </c>
      <c r="F28" s="10" t="n">
        <f aca="false">D28-E28</f>
        <v>93280</v>
      </c>
      <c r="G28" s="10" t="n">
        <f aca="false">IF(D28=0,0,F28/D28)</f>
        <v>0.763026584867076</v>
      </c>
    </row>
    <row r="29" customFormat="false" ht="15" hidden="false" customHeight="false" outlineLevel="0" collapsed="false">
      <c r="B29" s="10" t="s">
        <v>91</v>
      </c>
      <c r="C29" s="10" t="s">
        <v>92</v>
      </c>
      <c r="D29" s="10" t="n">
        <v>184270</v>
      </c>
      <c r="E29" s="10" t="n">
        <v>108098</v>
      </c>
      <c r="F29" s="10" t="n">
        <f aca="false">D29-E29</f>
        <v>76172</v>
      </c>
      <c r="G29" s="10" t="n">
        <f aca="false">IF(D29=0,0,F29/D29)</f>
        <v>0.413371682856678</v>
      </c>
    </row>
    <row r="30" customFormat="false" ht="15" hidden="false" customHeight="false" outlineLevel="0" collapsed="false">
      <c r="B30" s="10" t="s">
        <v>115</v>
      </c>
      <c r="C30" s="10" t="s">
        <v>116</v>
      </c>
      <c r="D30" s="10" t="n">
        <v>79300</v>
      </c>
      <c r="E30" s="10" t="n">
        <v>9356</v>
      </c>
      <c r="F30" s="10" t="n">
        <f aca="false">D30-E30</f>
        <v>69944</v>
      </c>
      <c r="G30" s="10" t="n">
        <f aca="false">IF(D30=0,0,F30/D30)</f>
        <v>0.882017654476671</v>
      </c>
    </row>
    <row r="31" customFormat="false" ht="15" hidden="false" customHeight="false" outlineLevel="0" collapsed="false">
      <c r="B31" s="10" t="s">
        <v>108</v>
      </c>
      <c r="C31" s="10" t="s">
        <v>109</v>
      </c>
      <c r="D31" s="10" t="n">
        <v>189150</v>
      </c>
      <c r="E31" s="10" t="n">
        <v>137969</v>
      </c>
      <c r="F31" s="10" t="n">
        <f aca="false">D31-E31</f>
        <v>51181</v>
      </c>
      <c r="G31" s="10" t="n">
        <f aca="false">IF(D31=0,0,F31/D31)</f>
        <v>0.270584192439863</v>
      </c>
    </row>
    <row r="32" customFormat="false" ht="15" hidden="false" customHeight="false" outlineLevel="0" collapsed="false">
      <c r="B32" s="10" t="s">
        <v>110</v>
      </c>
      <c r="C32" s="10" t="s">
        <v>111</v>
      </c>
      <c r="D32" s="10" t="n">
        <v>125800</v>
      </c>
      <c r="E32" s="10" t="n">
        <v>82317</v>
      </c>
      <c r="F32" s="10" t="n">
        <f aca="false">D32-E32</f>
        <v>43483</v>
      </c>
      <c r="G32" s="10" t="n">
        <f aca="false">IF(D32=0,0,F32/D32)</f>
        <v>0.345651828298887</v>
      </c>
    </row>
    <row r="33" customFormat="false" ht="15" hidden="false" customHeight="false" outlineLevel="0" collapsed="false">
      <c r="B33" s="10" t="s">
        <v>113</v>
      </c>
      <c r="C33" s="10" t="s">
        <v>114</v>
      </c>
      <c r="D33" s="10" t="n">
        <v>34125</v>
      </c>
      <c r="E33" s="10" t="n">
        <v>2272</v>
      </c>
      <c r="F33" s="10" t="n">
        <f aca="false">D33-E33</f>
        <v>31853</v>
      </c>
      <c r="G33" s="10" t="n">
        <f aca="false">IF(D33=0,0,F33/D33)</f>
        <v>0.933421245421245</v>
      </c>
    </row>
    <row r="34" customFormat="false" ht="15" hidden="false" customHeight="false" outlineLevel="0" collapsed="false">
      <c r="B34" s="10" t="s">
        <v>98</v>
      </c>
      <c r="C34" s="10" t="s">
        <v>99</v>
      </c>
      <c r="D34" s="10" t="n">
        <v>78105</v>
      </c>
      <c r="E34" s="10" t="n">
        <v>54729</v>
      </c>
      <c r="F34" s="10" t="n">
        <f aca="false">D34-E34</f>
        <v>23376</v>
      </c>
      <c r="G34" s="10" t="n">
        <f aca="false">IF(D34=0,0,F34/D34)</f>
        <v>0.299289418091031</v>
      </c>
    </row>
    <row r="37" customFormat="false" ht="15" hidden="false" customHeight="false" outlineLevel="0" collapsed="false">
      <c r="B37" s="3" t="s">
        <v>57</v>
      </c>
    </row>
    <row r="38" customFormat="false" ht="15" hidden="false" customHeight="false" outlineLevel="0" collapsed="false">
      <c r="B38" s="2" t="s">
        <v>58</v>
      </c>
    </row>
    <row r="39" customFormat="false" ht="15" hidden="false" customHeight="false" outlineLevel="0" collapsed="false">
      <c r="B39" s="2" t="s">
        <v>59</v>
      </c>
    </row>
    <row r="40" customFormat="false" ht="15" hidden="false" customHeight="false" outlineLevel="0" collapsed="false">
      <c r="B40" s="2" t="s">
        <v>60</v>
      </c>
    </row>
    <row r="41" customFormat="false" ht="15" hidden="false" customHeight="false" outlineLevel="0" collapsed="false">
      <c r="B41" s="2" t="s">
        <v>61</v>
      </c>
    </row>
    <row r="42" customFormat="false" ht="15" hidden="false" customHeight="false" outlineLevel="0" collapsed="false">
      <c r="B42" s="2" t="s">
        <v>62</v>
      </c>
    </row>
    <row r="43" customFormat="false" ht="15" hidden="false" customHeight="false" outlineLevel="0" collapsed="false">
      <c r="B43" s="2" t="s">
        <v>63</v>
      </c>
    </row>
    <row r="44" customFormat="false" ht="15" hidden="false" customHeight="false" outlineLevel="0" collapsed="false">
      <c r="B44" s="2" t="s">
        <v>64</v>
      </c>
    </row>
    <row r="45" customFormat="false" ht="15" hidden="false" customHeight="false" outlineLevel="0" collapsed="false">
      <c r="B45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5" min="4" style="0" width="16"/>
    <col collapsed="false" customWidth="true" hidden="false" outlineLevel="0" max="6" min="6" style="0" width="13"/>
    <col collapsed="false" customWidth="true" hidden="false" outlineLevel="0" max="8" min="7" style="0" width="10"/>
  </cols>
  <sheetData>
    <row r="2" customFormat="false" ht="22.05" hidden="false" customHeight="false" outlineLevel="0" collapsed="false">
      <c r="B2" s="1" t="s">
        <v>138</v>
      </c>
    </row>
    <row r="3" customFormat="false" ht="15" hidden="false" customHeight="false" outlineLevel="0" collapsed="false">
      <c r="B3" s="2" t="s">
        <v>139</v>
      </c>
    </row>
    <row r="5" customFormat="false" ht="15" hidden="false" customHeight="false" outlineLevel="0" collapsed="false">
      <c r="B5" s="3" t="s">
        <v>140</v>
      </c>
    </row>
    <row r="6" customFormat="false" ht="15" hidden="false" customHeight="false" outlineLevel="0" collapsed="false">
      <c r="B6" s="13" t="s">
        <v>67</v>
      </c>
      <c r="C6" s="13" t="s">
        <v>68</v>
      </c>
      <c r="D6" s="13" t="s">
        <v>70</v>
      </c>
      <c r="E6" s="13" t="s">
        <v>30</v>
      </c>
      <c r="F6" s="13" t="s">
        <v>31</v>
      </c>
      <c r="G6" s="13" t="s">
        <v>71</v>
      </c>
      <c r="H6" s="13" t="s">
        <v>141</v>
      </c>
    </row>
    <row r="7" customFormat="false" ht="15" hidden="false" customHeight="false" outlineLevel="0" collapsed="false">
      <c r="B7" s="10" t="s">
        <v>96</v>
      </c>
      <c r="C7" s="10" t="s">
        <v>97</v>
      </c>
      <c r="D7" s="10" t="n">
        <v>29000</v>
      </c>
      <c r="E7" s="10" t="n">
        <v>13857</v>
      </c>
      <c r="F7" s="10" t="n">
        <f aca="false">D7-E7</f>
        <v>15143</v>
      </c>
      <c r="G7" s="10" t="n">
        <f aca="false">IF(D7=0,0,E7/D7)</f>
        <v>0.477827586206897</v>
      </c>
      <c r="H7" s="10" t="n">
        <f aca="false">IF(1100377=0,0,E7/1100377)</f>
        <v>0.0125929567775408</v>
      </c>
    </row>
    <row r="8" customFormat="false" ht="15" hidden="false" customHeight="false" outlineLevel="0" collapsed="false">
      <c r="B8" s="10" t="s">
        <v>98</v>
      </c>
      <c r="C8" s="10" t="s">
        <v>99</v>
      </c>
      <c r="D8" s="10" t="n">
        <v>78105</v>
      </c>
      <c r="E8" s="10" t="n">
        <v>54729</v>
      </c>
      <c r="F8" s="10" t="n">
        <f aca="false">D8-E8</f>
        <v>23376</v>
      </c>
      <c r="G8" s="10" t="n">
        <f aca="false">IF(D8=0,0,E8/D8)</f>
        <v>0.700710581908969</v>
      </c>
      <c r="H8" s="10" t="n">
        <f aca="false">IF(1100377=0,0,E8/1100377)</f>
        <v>0.0497365902776957</v>
      </c>
    </row>
    <row r="9" customFormat="false" ht="15" hidden="false" customHeight="false" outlineLevel="0" collapsed="false">
      <c r="B9" s="10" t="s">
        <v>100</v>
      </c>
      <c r="C9" s="10" t="s">
        <v>101</v>
      </c>
      <c r="D9" s="10" t="n">
        <v>51753</v>
      </c>
      <c r="E9" s="10" t="n">
        <v>47834</v>
      </c>
      <c r="F9" s="10" t="n">
        <f aca="false">D9-E9</f>
        <v>3919</v>
      </c>
      <c r="G9" s="10" t="n">
        <f aca="false">IF(D9=0,0,E9/D9)</f>
        <v>0.924274921260603</v>
      </c>
      <c r="H9" s="10" t="n">
        <f aca="false">IF(1100377=0,0,E9/1100377)</f>
        <v>0.0434705560003526</v>
      </c>
    </row>
    <row r="10" customFormat="false" ht="15" hidden="false" customHeight="false" outlineLevel="0" collapsed="false">
      <c r="B10" s="10" t="s">
        <v>102</v>
      </c>
      <c r="C10" s="10" t="s">
        <v>103</v>
      </c>
      <c r="D10" s="10" t="n">
        <v>392310</v>
      </c>
      <c r="E10" s="10" t="n">
        <v>209687</v>
      </c>
      <c r="F10" s="10" t="n">
        <f aca="false">D10-E10</f>
        <v>182623</v>
      </c>
      <c r="G10" s="10" t="n">
        <f aca="false">IF(D10=0,0,E10/D10)</f>
        <v>0.534493130432566</v>
      </c>
      <c r="H10" s="10" t="n">
        <f aca="false">IF(1100377=0,0,E10/1100377)</f>
        <v>0.190559235607433</v>
      </c>
    </row>
    <row r="11" customFormat="false" ht="15" hidden="false" customHeight="false" outlineLevel="0" collapsed="false">
      <c r="B11" s="10" t="s">
        <v>104</v>
      </c>
      <c r="C11" s="10" t="s">
        <v>105</v>
      </c>
      <c r="D11" s="10" t="n">
        <v>1055804</v>
      </c>
      <c r="E11" s="10" t="n">
        <v>546779</v>
      </c>
      <c r="F11" s="10" t="n">
        <f aca="false">D11-E11</f>
        <v>509025</v>
      </c>
      <c r="G11" s="10" t="n">
        <f aca="false">IF(D11=0,0,E11/D11)</f>
        <v>0.517879265469727</v>
      </c>
      <c r="H11" s="10" t="n">
        <f aca="false">IF(1100377=0,0,E11/1100377)</f>
        <v>0.496901516480261</v>
      </c>
    </row>
    <row r="12" customFormat="false" ht="15" hidden="false" customHeight="false" outlineLevel="0" collapsed="false">
      <c r="B12" s="10" t="s">
        <v>106</v>
      </c>
      <c r="C12" s="10" t="s">
        <v>107</v>
      </c>
      <c r="D12" s="10" t="n">
        <v>8500</v>
      </c>
      <c r="E12" s="10" t="n">
        <v>7205</v>
      </c>
      <c r="F12" s="10" t="n">
        <f aca="false">D12-E12</f>
        <v>1295</v>
      </c>
      <c r="G12" s="10" t="n">
        <f aca="false">IF(D12=0,0,E12/D12)</f>
        <v>0.847647058823529</v>
      </c>
      <c r="H12" s="10" t="n">
        <f aca="false">IF(1100377=0,0,E12/1100377)</f>
        <v>0.00654775590547603</v>
      </c>
    </row>
    <row r="13" customFormat="false" ht="15" hidden="false" customHeight="false" outlineLevel="0" collapsed="false">
      <c r="B13" s="10" t="s">
        <v>108</v>
      </c>
      <c r="C13" s="10" t="s">
        <v>109</v>
      </c>
      <c r="D13" s="10" t="n">
        <v>189150</v>
      </c>
      <c r="E13" s="10" t="n">
        <v>137969</v>
      </c>
      <c r="F13" s="10" t="n">
        <f aca="false">D13-E13</f>
        <v>51181</v>
      </c>
      <c r="G13" s="10" t="n">
        <f aca="false">IF(D13=0,0,E13/D13)</f>
        <v>0.729415807560138</v>
      </c>
      <c r="H13" s="10" t="n">
        <f aca="false">IF(1100377=0,0,E13/1100377)</f>
        <v>0.125383391328608</v>
      </c>
    </row>
    <row r="14" customFormat="false" ht="15" hidden="false" customHeight="false" outlineLevel="0" collapsed="false">
      <c r="B14" s="10" t="s">
        <v>110</v>
      </c>
      <c r="C14" s="10" t="s">
        <v>111</v>
      </c>
      <c r="D14" s="10" t="n">
        <v>125800</v>
      </c>
      <c r="E14" s="10" t="n">
        <v>82317</v>
      </c>
      <c r="F14" s="10" t="n">
        <f aca="false">D14-E14</f>
        <v>43483</v>
      </c>
      <c r="G14" s="10" t="n">
        <f aca="false">IF(D14=0,0,E14/D14)</f>
        <v>0.654348171701113</v>
      </c>
      <c r="H14" s="10" t="n">
        <f aca="false">IF(1100377=0,0,E14/1100377)</f>
        <v>0.074807997622633</v>
      </c>
    </row>
    <row r="15" customFormat="false" ht="15" hidden="false" customHeight="false" outlineLevel="0" collapsed="false">
      <c r="B15" s="4" t="s">
        <v>38</v>
      </c>
      <c r="C15" s="4" t="s">
        <v>142</v>
      </c>
      <c r="D15" s="4" t="n">
        <f aca="false">SUM(D7:D14)</f>
        <v>1930422</v>
      </c>
      <c r="E15" s="4" t="n">
        <f aca="false">SUM(E7:E14)</f>
        <v>1100377</v>
      </c>
      <c r="F15" s="4" t="n">
        <f aca="false">D15-E15</f>
        <v>830045</v>
      </c>
      <c r="G15" s="4" t="n">
        <f aca="false">IF(D15=0,0,E15/D15)</f>
        <v>0.570018887062</v>
      </c>
      <c r="H15" s="4" t="n">
        <v>1</v>
      </c>
    </row>
    <row r="18" customFormat="false" ht="15" hidden="false" customHeight="false" outlineLevel="0" collapsed="false">
      <c r="B18" s="3" t="s">
        <v>143</v>
      </c>
    </row>
    <row r="19" customFormat="false" ht="15" hidden="false" customHeight="false" outlineLevel="0" collapsed="false">
      <c r="B19" s="13" t="s">
        <v>144</v>
      </c>
      <c r="C19" s="13" t="s">
        <v>145</v>
      </c>
      <c r="D19" s="13" t="s">
        <v>146</v>
      </c>
      <c r="E19" s="13" t="s">
        <v>147</v>
      </c>
    </row>
    <row r="20" customFormat="false" ht="15" hidden="false" customHeight="false" outlineLevel="0" collapsed="false">
      <c r="B20" s="10" t="s">
        <v>148</v>
      </c>
      <c r="C20" s="10" t="n">
        <v>101</v>
      </c>
      <c r="D20" s="10" t="n">
        <v>420436</v>
      </c>
      <c r="E20" s="10" t="n">
        <f aca="false">IF(1103657=0,0,D20/1103657)</f>
        <v>0.380948066292335</v>
      </c>
    </row>
    <row r="21" customFormat="false" ht="15" hidden="false" customHeight="false" outlineLevel="0" collapsed="false">
      <c r="B21" s="10" t="s">
        <v>149</v>
      </c>
      <c r="C21" s="10" t="n">
        <v>128</v>
      </c>
      <c r="D21" s="10" t="n">
        <v>184896</v>
      </c>
      <c r="E21" s="10" t="n">
        <f aca="false">IF(1103657=0,0,D21/1103657)</f>
        <v>0.167530310594687</v>
      </c>
    </row>
    <row r="22" customFormat="false" ht="15" hidden="false" customHeight="false" outlineLevel="0" collapsed="false">
      <c r="B22" s="10" t="s">
        <v>150</v>
      </c>
      <c r="C22" s="10" t="n">
        <v>25</v>
      </c>
      <c r="D22" s="10" t="n">
        <v>130768</v>
      </c>
      <c r="E22" s="10" t="n">
        <f aca="false">IF(1103657=0,0,D22/1103657)</f>
        <v>0.118486087615989</v>
      </c>
    </row>
    <row r="23" customFormat="false" ht="15" hidden="false" customHeight="false" outlineLevel="0" collapsed="false">
      <c r="B23" s="10" t="s">
        <v>151</v>
      </c>
      <c r="C23" s="10" t="n">
        <v>132</v>
      </c>
      <c r="D23" s="10" t="n">
        <v>116504</v>
      </c>
      <c r="E23" s="10" t="n">
        <f aca="false">IF(1103657=0,0,D23/1103657)</f>
        <v>0.105561782329111</v>
      </c>
    </row>
    <row r="24" customFormat="false" ht="15" hidden="false" customHeight="false" outlineLevel="0" collapsed="false">
      <c r="B24" s="10" t="s">
        <v>152</v>
      </c>
      <c r="C24" s="10" t="n">
        <v>7</v>
      </c>
      <c r="D24" s="10" t="n">
        <v>69125</v>
      </c>
      <c r="E24" s="10" t="n">
        <f aca="false">IF(1103657=0,0,D24/1103657)</f>
        <v>0.0626326838863886</v>
      </c>
    </row>
    <row r="25" customFormat="false" ht="15" hidden="false" customHeight="false" outlineLevel="0" collapsed="false">
      <c r="B25" s="10" t="s">
        <v>153</v>
      </c>
      <c r="C25" s="10" t="n">
        <v>1</v>
      </c>
      <c r="D25" s="10" t="n">
        <v>44817</v>
      </c>
      <c r="E25" s="10" t="n">
        <f aca="false">IF(1103657=0,0,D25/1103657)</f>
        <v>0.0406077250450095</v>
      </c>
    </row>
    <row r="26" customFormat="false" ht="15" hidden="false" customHeight="false" outlineLevel="0" collapsed="false">
      <c r="B26" s="10" t="s">
        <v>154</v>
      </c>
      <c r="C26" s="10" t="n">
        <v>13</v>
      </c>
      <c r="D26" s="10" t="n">
        <v>40629</v>
      </c>
      <c r="E26" s="10" t="n">
        <f aca="false">IF(1103657=0,0,D26/1103657)</f>
        <v>0.0368130678281386</v>
      </c>
    </row>
    <row r="27" customFormat="false" ht="15" hidden="false" customHeight="false" outlineLevel="0" collapsed="false">
      <c r="B27" s="10" t="s">
        <v>155</v>
      </c>
      <c r="C27" s="10" t="n">
        <v>3</v>
      </c>
      <c r="D27" s="10" t="n">
        <v>20215</v>
      </c>
      <c r="E27" s="10" t="n">
        <f aca="false">IF(1103657=0,0,D27/1103657)</f>
        <v>0.0183163790924173</v>
      </c>
    </row>
    <row r="28" customFormat="false" ht="15" hidden="false" customHeight="false" outlineLevel="0" collapsed="false">
      <c r="B28" s="10" t="s">
        <v>156</v>
      </c>
      <c r="C28" s="10" t="n">
        <v>39</v>
      </c>
      <c r="D28" s="10" t="n">
        <v>16104</v>
      </c>
      <c r="E28" s="10" t="n">
        <f aca="false">IF(1103657=0,0,D28/1103657)</f>
        <v>0.0145914899284832</v>
      </c>
    </row>
    <row r="29" customFormat="false" ht="15" hidden="false" customHeight="false" outlineLevel="0" collapsed="false">
      <c r="B29" s="10" t="s">
        <v>157</v>
      </c>
      <c r="C29" s="10" t="n">
        <v>23</v>
      </c>
      <c r="D29" s="10" t="n">
        <v>15185</v>
      </c>
      <c r="E29" s="10" t="n">
        <f aca="false">IF(1103657=0,0,D29/1103657)</f>
        <v>0.0137588036862902</v>
      </c>
    </row>
    <row r="30" customFormat="false" ht="15" hidden="false" customHeight="false" outlineLevel="0" collapsed="false">
      <c r="B30" s="10" t="s">
        <v>158</v>
      </c>
      <c r="C30" s="10" t="n">
        <v>14</v>
      </c>
      <c r="D30" s="10" t="n">
        <v>12346</v>
      </c>
      <c r="E30" s="10" t="n">
        <f aca="false">IF(1103657=0,0,D30/1103657)</f>
        <v>0.0111864465137266</v>
      </c>
    </row>
    <row r="31" customFormat="false" ht="15" hidden="false" customHeight="false" outlineLevel="0" collapsed="false">
      <c r="B31" s="10" t="s">
        <v>159</v>
      </c>
      <c r="C31" s="10" t="n">
        <v>3</v>
      </c>
      <c r="D31" s="10" t="n">
        <v>11405</v>
      </c>
      <c r="E31" s="10" t="n">
        <f aca="false">IF(1103657=0,0,D31/1103657)</f>
        <v>0.0103338265421231</v>
      </c>
    </row>
    <row r="32" customFormat="false" ht="15" hidden="false" customHeight="false" outlineLevel="0" collapsed="false">
      <c r="B32" s="10" t="s">
        <v>160</v>
      </c>
      <c r="C32" s="10" t="n">
        <v>5</v>
      </c>
      <c r="D32" s="10" t="n">
        <v>9198</v>
      </c>
      <c r="E32" s="10" t="n">
        <f aca="false">IF(1103657=0,0,D32/1103657)</f>
        <v>0.00833411105080655</v>
      </c>
    </row>
    <row r="33" customFormat="false" ht="15" hidden="false" customHeight="false" outlineLevel="0" collapsed="false">
      <c r="B33" s="10" t="s">
        <v>161</v>
      </c>
      <c r="C33" s="10" t="n">
        <v>2</v>
      </c>
      <c r="D33" s="10" t="n">
        <v>2471</v>
      </c>
      <c r="E33" s="10" t="n">
        <f aca="false">IF(1103657=0,0,D33/1103657)</f>
        <v>0.00223892024424255</v>
      </c>
    </row>
    <row r="34" customFormat="false" ht="15" hidden="false" customHeight="false" outlineLevel="0" collapsed="false">
      <c r="B34" s="10" t="s">
        <v>162</v>
      </c>
      <c r="C34" s="10" t="n">
        <v>2</v>
      </c>
      <c r="D34" s="10" t="n">
        <v>2272</v>
      </c>
      <c r="E34" s="10" t="n">
        <f aca="false">IF(1103657=0,0,D34/1103657)</f>
        <v>0.00205861060093852</v>
      </c>
    </row>
    <row r="35" customFormat="false" ht="15" hidden="false" customHeight="false" outlineLevel="0" collapsed="false">
      <c r="B35" s="10" t="s">
        <v>163</v>
      </c>
      <c r="C35" s="10" t="n">
        <v>1</v>
      </c>
      <c r="D35" s="10" t="n">
        <v>2204</v>
      </c>
      <c r="E35" s="10" t="n">
        <f aca="false">IF(1103657=0,0,D35/1103657)</f>
        <v>0.00199699725548789</v>
      </c>
    </row>
    <row r="36" customFormat="false" ht="15" hidden="false" customHeight="false" outlineLevel="0" collapsed="false">
      <c r="B36" s="10" t="s">
        <v>164</v>
      </c>
      <c r="C36" s="10" t="n">
        <v>49</v>
      </c>
      <c r="D36" s="10" t="n">
        <v>1892</v>
      </c>
      <c r="E36" s="10" t="n">
        <f aca="false">IF(1103657=0,0,D36/1103657)</f>
        <v>0.00171430072930267</v>
      </c>
    </row>
    <row r="37" customFormat="false" ht="15" hidden="false" customHeight="false" outlineLevel="0" collapsed="false">
      <c r="B37" s="10" t="s">
        <v>165</v>
      </c>
      <c r="C37" s="10" t="n">
        <v>1</v>
      </c>
      <c r="D37" s="10" t="n">
        <v>1107</v>
      </c>
      <c r="E37" s="10" t="n">
        <f aca="false">IF(1103657=0,0,D37/1103657)</f>
        <v>0.00100302902079179</v>
      </c>
    </row>
    <row r="38" customFormat="false" ht="15" hidden="false" customHeight="false" outlineLevel="0" collapsed="false">
      <c r="B38" s="10" t="s">
        <v>166</v>
      </c>
      <c r="C38" s="10" t="n">
        <v>2</v>
      </c>
      <c r="D38" s="10" t="n">
        <v>683</v>
      </c>
      <c r="E38" s="10" t="n">
        <f aca="false">IF(1103657=0,0,D38/1103657)</f>
        <v>0.00061885169033495</v>
      </c>
    </row>
    <row r="39" customFormat="false" ht="15" hidden="false" customHeight="false" outlineLevel="0" collapsed="false">
      <c r="B39" s="10" t="s">
        <v>167</v>
      </c>
      <c r="C39" s="10" t="n">
        <v>1</v>
      </c>
      <c r="D39" s="10" t="n">
        <v>464</v>
      </c>
      <c r="E39" s="10" t="n">
        <f aca="false">IF(1103657=0,0,D39/1103657)</f>
        <v>0.000420420474839556</v>
      </c>
    </row>
    <row r="40" customFormat="false" ht="15" hidden="false" customHeight="false" outlineLevel="0" collapsed="false">
      <c r="B40" s="10" t="s">
        <v>168</v>
      </c>
      <c r="C40" s="10" t="n">
        <v>2</v>
      </c>
      <c r="D40" s="10" t="n">
        <v>435</v>
      </c>
      <c r="E40" s="10" t="n">
        <f aca="false">IF(1103657=0,0,D40/1103657)</f>
        <v>0.000394144195162084</v>
      </c>
    </row>
    <row r="41" customFormat="false" ht="15" hidden="false" customHeight="false" outlineLevel="0" collapsed="false">
      <c r="B41" s="10" t="s">
        <v>169</v>
      </c>
      <c r="C41" s="10" t="n">
        <v>2</v>
      </c>
      <c r="D41" s="10" t="n">
        <v>323</v>
      </c>
      <c r="E41" s="10" t="n">
        <f aca="false">IF(1103657=0,0,D41/1103657)</f>
        <v>0.000292663390890467</v>
      </c>
    </row>
    <row r="42" customFormat="false" ht="15" hidden="false" customHeight="false" outlineLevel="0" collapsed="false">
      <c r="B42" s="10" t="s">
        <v>170</v>
      </c>
      <c r="C42" s="10" t="n">
        <v>1</v>
      </c>
      <c r="D42" s="10" t="n">
        <v>178</v>
      </c>
      <c r="E42" s="10" t="n">
        <f aca="false">IF(1103657=0,0,D42/1103657)</f>
        <v>0.000161281992503106</v>
      </c>
    </row>
    <row r="43" customFormat="false" ht="15" hidden="false" customHeight="false" outlineLevel="0" collapsed="false">
      <c r="B43" s="4" t="s">
        <v>38</v>
      </c>
      <c r="C43" s="4" t="n">
        <f aca="false">SUM(C20:C42)</f>
        <v>557</v>
      </c>
      <c r="D43" s="4" t="n">
        <f aca="false">SUM(D20:D42)</f>
        <v>1103657</v>
      </c>
      <c r="E43" s="4" t="n">
        <v>1</v>
      </c>
    </row>
    <row r="46" customFormat="false" ht="15" hidden="false" customHeight="false" outlineLevel="0" collapsed="false">
      <c r="B46" s="3" t="s">
        <v>57</v>
      </c>
    </row>
    <row r="47" customFormat="false" ht="15" hidden="false" customHeight="false" outlineLevel="0" collapsed="false">
      <c r="B47" s="2" t="s">
        <v>58</v>
      </c>
    </row>
    <row r="48" customFormat="false" ht="15" hidden="false" customHeight="false" outlineLevel="0" collapsed="false">
      <c r="B48" s="2" t="s">
        <v>59</v>
      </c>
    </row>
    <row r="49" customFormat="false" ht="15" hidden="false" customHeight="false" outlineLevel="0" collapsed="false">
      <c r="B49" s="2" t="s">
        <v>60</v>
      </c>
    </row>
    <row r="50" customFormat="false" ht="15" hidden="false" customHeight="false" outlineLevel="0" collapsed="false">
      <c r="B50" s="2" t="s">
        <v>61</v>
      </c>
    </row>
    <row r="51" customFormat="false" ht="15" hidden="false" customHeight="false" outlineLevel="0" collapsed="false">
      <c r="B51" s="2" t="s">
        <v>62</v>
      </c>
    </row>
    <row r="52" customFormat="false" ht="15" hidden="false" customHeight="false" outlineLevel="0" collapsed="false">
      <c r="B52" s="2" t="s">
        <v>63</v>
      </c>
    </row>
    <row r="53" customFormat="false" ht="15" hidden="false" customHeight="false" outlineLevel="0" collapsed="false">
      <c r="B53" s="2" t="s">
        <v>64</v>
      </c>
    </row>
    <row r="54" customFormat="false" ht="15" hidden="false" customHeight="false" outlineLevel="0" collapsed="false">
      <c r="B54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</cols>
  <sheetData>
    <row r="2" customFormat="false" ht="22.05" hidden="false" customHeight="false" outlineLevel="0" collapsed="false">
      <c r="B2" s="1" t="s">
        <v>171</v>
      </c>
    </row>
    <row r="4" customFormat="false" ht="15" hidden="false" customHeight="false" outlineLevel="0" collapsed="false">
      <c r="B4" s="13" t="s">
        <v>172</v>
      </c>
      <c r="C4" s="13" t="s">
        <v>173</v>
      </c>
      <c r="D4" s="13" t="s">
        <v>174</v>
      </c>
      <c r="E4" s="13" t="s">
        <v>175</v>
      </c>
      <c r="F4" s="13" t="s">
        <v>176</v>
      </c>
    </row>
    <row r="5" customFormat="false" ht="15" hidden="false" customHeight="false" outlineLevel="0" collapsed="false">
      <c r="B5" s="10" t="s">
        <v>177</v>
      </c>
      <c r="C5" s="10" t="n">
        <v>1886.8</v>
      </c>
      <c r="D5" s="10" t="n">
        <v>118374</v>
      </c>
      <c r="E5" s="10" t="n">
        <f aca="false">IF(C5=0,0,D5/C5)</f>
        <v>62.7379690481238</v>
      </c>
      <c r="F5" s="10" t="s">
        <v>178</v>
      </c>
    </row>
    <row r="6" customFormat="false" ht="15" hidden="false" customHeight="false" outlineLevel="0" collapsed="false">
      <c r="B6" s="10" t="s">
        <v>179</v>
      </c>
      <c r="C6" s="10" t="n">
        <v>1746</v>
      </c>
      <c r="D6" s="10" t="n">
        <v>76824</v>
      </c>
      <c r="E6" s="10" t="n">
        <f aca="false">IF(C6=0,0,D6/C6)</f>
        <v>44</v>
      </c>
      <c r="F6" s="10" t="s">
        <v>180</v>
      </c>
    </row>
    <row r="7" customFormat="false" ht="15" hidden="false" customHeight="false" outlineLevel="0" collapsed="false">
      <c r="B7" s="10" t="s">
        <v>181</v>
      </c>
      <c r="C7" s="10" t="n">
        <v>1612.2</v>
      </c>
      <c r="D7" s="10" t="n">
        <v>39484</v>
      </c>
      <c r="E7" s="10" t="n">
        <f aca="false">IF(C7=0,0,D7/C7)</f>
        <v>24.4907579704751</v>
      </c>
      <c r="F7" s="10" t="s">
        <v>182</v>
      </c>
    </row>
    <row r="8" customFormat="false" ht="15" hidden="false" customHeight="false" outlineLevel="0" collapsed="false">
      <c r="B8" s="10" t="s">
        <v>183</v>
      </c>
      <c r="C8" s="10" t="n">
        <v>1470</v>
      </c>
      <c r="D8" s="10" t="n">
        <v>62225</v>
      </c>
      <c r="E8" s="10" t="n">
        <f aca="false">IF(C8=0,0,D8/C8)</f>
        <v>42.3299319727891</v>
      </c>
      <c r="F8" s="10" t="s">
        <v>180</v>
      </c>
    </row>
    <row r="9" customFormat="false" ht="15" hidden="false" customHeight="false" outlineLevel="0" collapsed="false">
      <c r="B9" s="10" t="s">
        <v>184</v>
      </c>
      <c r="C9" s="10" t="n">
        <v>1465.5</v>
      </c>
      <c r="D9" s="10" t="n">
        <v>74230</v>
      </c>
      <c r="E9" s="10" t="n">
        <f aca="false">IF(C9=0,0,D9/C9)</f>
        <v>50.6516547253497</v>
      </c>
      <c r="F9" s="10" t="s">
        <v>178</v>
      </c>
    </row>
    <row r="10" customFormat="false" ht="15" hidden="false" customHeight="false" outlineLevel="0" collapsed="false">
      <c r="B10" s="10" t="s">
        <v>185</v>
      </c>
      <c r="C10" s="10" t="n">
        <v>1465.5</v>
      </c>
      <c r="D10" s="10" t="n">
        <v>62050</v>
      </c>
      <c r="E10" s="10" t="n">
        <f aca="false">IF(C10=0,0,D10/C10)</f>
        <v>42.3404981235073</v>
      </c>
      <c r="F10" s="10" t="s">
        <v>180</v>
      </c>
    </row>
    <row r="11" customFormat="false" ht="15" hidden="false" customHeight="false" outlineLevel="0" collapsed="false">
      <c r="B11" s="10" t="s">
        <v>186</v>
      </c>
      <c r="C11" s="10" t="n">
        <v>1462.8</v>
      </c>
      <c r="D11" s="10" t="n">
        <v>61934</v>
      </c>
      <c r="E11" s="10" t="n">
        <f aca="false">IF(C11=0,0,D11/C11)</f>
        <v>42.3393491933279</v>
      </c>
      <c r="F11" s="10" t="s">
        <v>180</v>
      </c>
    </row>
    <row r="12" customFormat="false" ht="15" hidden="false" customHeight="false" outlineLevel="0" collapsed="false">
      <c r="B12" s="10" t="s">
        <v>187</v>
      </c>
      <c r="C12" s="10" t="n">
        <v>1309</v>
      </c>
      <c r="D12" s="10" t="n">
        <v>80772</v>
      </c>
      <c r="E12" s="10" t="n">
        <f aca="false">IF(C12=0,0,D12/C12)</f>
        <v>61.7051184110008</v>
      </c>
      <c r="F12" s="10" t="s">
        <v>178</v>
      </c>
    </row>
    <row r="13" customFormat="false" ht="15" hidden="false" customHeight="false" outlineLevel="0" collapsed="false">
      <c r="B13" s="10" t="s">
        <v>188</v>
      </c>
      <c r="C13" s="10" t="n">
        <v>1253</v>
      </c>
      <c r="D13" s="10" t="n">
        <v>49280</v>
      </c>
      <c r="E13" s="10" t="n">
        <f aca="false">IF(C13=0,0,D13/C13)</f>
        <v>39.3296089385475</v>
      </c>
      <c r="F13" s="10" t="s">
        <v>180</v>
      </c>
    </row>
    <row r="14" customFormat="false" ht="15" hidden="false" customHeight="false" outlineLevel="0" collapsed="false">
      <c r="B14" s="10" t="s">
        <v>189</v>
      </c>
      <c r="C14" s="10" t="n">
        <v>1175.5</v>
      </c>
      <c r="D14" s="10" t="n">
        <v>48878</v>
      </c>
      <c r="E14" s="10" t="n">
        <f aca="false">IF(C14=0,0,D14/C14)</f>
        <v>41.5806039982986</v>
      </c>
      <c r="F14" s="10" t="s">
        <v>180</v>
      </c>
    </row>
    <row r="15" customFormat="false" ht="15" hidden="false" customHeight="false" outlineLevel="0" collapsed="false">
      <c r="B15" s="10" t="s">
        <v>190</v>
      </c>
      <c r="C15" s="10" t="n">
        <v>919.5</v>
      </c>
      <c r="D15" s="10" t="n">
        <v>47309</v>
      </c>
      <c r="E15" s="10" t="n">
        <f aca="false">IF(C15=0,0,D15/C15)</f>
        <v>51.4507884719957</v>
      </c>
      <c r="F15" s="10" t="s">
        <v>178</v>
      </c>
    </row>
    <row r="16" customFormat="false" ht="15" hidden="false" customHeight="false" outlineLevel="0" collapsed="false">
      <c r="B16" s="10" t="s">
        <v>191</v>
      </c>
      <c r="C16" s="10" t="n">
        <v>883</v>
      </c>
      <c r="D16" s="10" t="n">
        <v>45310</v>
      </c>
      <c r="E16" s="10" t="n">
        <f aca="false">IF(C16=0,0,D16/C16)</f>
        <v>51.3137032842582</v>
      </c>
      <c r="F16" s="10" t="s">
        <v>178</v>
      </c>
    </row>
    <row r="17" customFormat="false" ht="15" hidden="false" customHeight="false" outlineLevel="0" collapsed="false">
      <c r="B17" s="10" t="s">
        <v>192</v>
      </c>
      <c r="C17" s="10" t="n">
        <v>871.2</v>
      </c>
      <c r="D17" s="10" t="n">
        <v>21620</v>
      </c>
      <c r="E17" s="10" t="n">
        <f aca="false">IF(C17=0,0,D17/C17)</f>
        <v>24.8163452708907</v>
      </c>
      <c r="F17" s="10" t="s">
        <v>182</v>
      </c>
    </row>
    <row r="18" customFormat="false" ht="15" hidden="false" customHeight="false" outlineLevel="0" collapsed="false">
      <c r="B18" s="10" t="s">
        <v>193</v>
      </c>
      <c r="C18" s="10" t="n">
        <v>833</v>
      </c>
      <c r="D18" s="10" t="n">
        <v>31558</v>
      </c>
      <c r="E18" s="10" t="n">
        <f aca="false">IF(C18=0,0,D18/C18)</f>
        <v>37.8847539015606</v>
      </c>
      <c r="F18" s="10" t="s">
        <v>180</v>
      </c>
    </row>
    <row r="19" customFormat="false" ht="15" hidden="false" customHeight="false" outlineLevel="0" collapsed="false">
      <c r="B19" s="10" t="s">
        <v>194</v>
      </c>
      <c r="C19" s="10" t="n">
        <v>820.8</v>
      </c>
      <c r="D19" s="10" t="n">
        <v>19698</v>
      </c>
      <c r="E19" s="10" t="n">
        <f aca="false">IF(C19=0,0,D19/C19)</f>
        <v>23.9985380116959</v>
      </c>
      <c r="F19" s="10" t="s">
        <v>182</v>
      </c>
    </row>
    <row r="20" customFormat="false" ht="15" hidden="false" customHeight="false" outlineLevel="0" collapsed="false">
      <c r="B20" s="10" t="s">
        <v>195</v>
      </c>
      <c r="C20" s="10" t="n">
        <v>817.5</v>
      </c>
      <c r="D20" s="10" t="n">
        <v>42050</v>
      </c>
      <c r="E20" s="10" t="n">
        <f aca="false">IF(C20=0,0,D20/C20)</f>
        <v>51.4373088685015</v>
      </c>
      <c r="F20" s="10" t="s">
        <v>178</v>
      </c>
    </row>
    <row r="21" customFormat="false" ht="15" hidden="false" customHeight="false" outlineLevel="0" collapsed="false">
      <c r="B21" s="10" t="s">
        <v>196</v>
      </c>
      <c r="C21" s="10" t="n">
        <v>802.5</v>
      </c>
      <c r="D21" s="10" t="n">
        <v>20130</v>
      </c>
      <c r="E21" s="10" t="n">
        <f aca="false">IF(C21=0,0,D21/C21)</f>
        <v>25.0841121495327</v>
      </c>
      <c r="F21" s="10" t="s">
        <v>182</v>
      </c>
    </row>
    <row r="22" customFormat="false" ht="15" hidden="false" customHeight="false" outlineLevel="0" collapsed="false">
      <c r="B22" s="10" t="s">
        <v>197</v>
      </c>
      <c r="C22" s="10" t="n">
        <v>711</v>
      </c>
      <c r="D22" s="10" t="n">
        <v>31284</v>
      </c>
      <c r="E22" s="10" t="n">
        <f aca="false">IF(C22=0,0,D22/C22)</f>
        <v>44</v>
      </c>
      <c r="F22" s="10" t="s">
        <v>180</v>
      </c>
    </row>
    <row r="23" customFormat="false" ht="15" hidden="false" customHeight="false" outlineLevel="0" collapsed="false">
      <c r="B23" s="10" t="s">
        <v>198</v>
      </c>
      <c r="C23" s="10" t="n">
        <v>667.5</v>
      </c>
      <c r="D23" s="10" t="n">
        <v>22430</v>
      </c>
      <c r="E23" s="10" t="n">
        <f aca="false">IF(C23=0,0,D23/C23)</f>
        <v>33.6029962546817</v>
      </c>
      <c r="F23" s="10" t="s">
        <v>180</v>
      </c>
    </row>
    <row r="24" customFormat="false" ht="15" hidden="false" customHeight="false" outlineLevel="0" collapsed="false">
      <c r="B24" s="10" t="s">
        <v>199</v>
      </c>
      <c r="C24" s="10" t="n">
        <v>478</v>
      </c>
      <c r="D24" s="10" t="n">
        <v>32982</v>
      </c>
      <c r="E24" s="10" t="n">
        <f aca="false">IF(C24=0,0,D24/C24)</f>
        <v>69</v>
      </c>
      <c r="F24" s="10" t="s">
        <v>178</v>
      </c>
    </row>
    <row r="25" customFormat="false" ht="15" hidden="false" customHeight="false" outlineLevel="0" collapsed="false">
      <c r="B25" s="10" t="s">
        <v>200</v>
      </c>
      <c r="C25" s="10" t="n">
        <v>319.5</v>
      </c>
      <c r="D25" s="10" t="n">
        <v>10544</v>
      </c>
      <c r="E25" s="10" t="n">
        <f aca="false">IF(C25=0,0,D25/C25)</f>
        <v>33.0015649452269</v>
      </c>
      <c r="F25" s="10" t="s">
        <v>180</v>
      </c>
    </row>
    <row r="26" customFormat="false" ht="15" hidden="false" customHeight="false" outlineLevel="0" collapsed="false">
      <c r="B26" s="10" t="s">
        <v>201</v>
      </c>
      <c r="C26" s="10" t="n">
        <v>315.5</v>
      </c>
      <c r="D26" s="10" t="n">
        <v>10096</v>
      </c>
      <c r="E26" s="10" t="n">
        <f aca="false">IF(C26=0,0,D26/C26)</f>
        <v>32</v>
      </c>
      <c r="F26" s="10" t="s">
        <v>180</v>
      </c>
    </row>
    <row r="27" customFormat="false" ht="15" hidden="false" customHeight="false" outlineLevel="0" collapsed="false">
      <c r="B27" s="10" t="s">
        <v>202</v>
      </c>
      <c r="C27" s="10" t="n">
        <v>290.5</v>
      </c>
      <c r="D27" s="10" t="n">
        <v>15978</v>
      </c>
      <c r="E27" s="10" t="n">
        <f aca="false">IF(C27=0,0,D27/C27)</f>
        <v>55.0017211703959</v>
      </c>
      <c r="F27" s="10" t="s">
        <v>178</v>
      </c>
    </row>
    <row r="28" customFormat="false" ht="15" hidden="false" customHeight="false" outlineLevel="0" collapsed="false">
      <c r="B28" s="10" t="s">
        <v>203</v>
      </c>
      <c r="C28" s="10" t="n">
        <v>267.2</v>
      </c>
      <c r="D28" s="10" t="n">
        <v>18378</v>
      </c>
      <c r="E28" s="10" t="n">
        <f aca="false">IF(C28=0,0,D28/C28)</f>
        <v>68.7799401197605</v>
      </c>
      <c r="F28" s="10" t="s">
        <v>178</v>
      </c>
    </row>
    <row r="29" customFormat="false" ht="15" hidden="false" customHeight="false" outlineLevel="0" collapsed="false">
      <c r="B29" s="10" t="s">
        <v>204</v>
      </c>
      <c r="C29" s="10" t="n">
        <v>239.2</v>
      </c>
      <c r="D29" s="10" t="n">
        <v>6603</v>
      </c>
      <c r="E29" s="10" t="n">
        <f aca="false">IF(C29=0,0,D29/C29)</f>
        <v>27.6045150501672</v>
      </c>
      <c r="F29" s="10" t="s">
        <v>182</v>
      </c>
    </row>
    <row r="30" customFormat="false" ht="15" hidden="false" customHeight="false" outlineLevel="0" collapsed="false">
      <c r="B30" s="10" t="s">
        <v>205</v>
      </c>
      <c r="C30" s="10" t="n">
        <v>224.8</v>
      </c>
      <c r="D30" s="10" t="n">
        <v>7417</v>
      </c>
      <c r="E30" s="10" t="n">
        <f aca="false">IF(C30=0,0,D30/C30)</f>
        <v>32.9937722419929</v>
      </c>
      <c r="F30" s="10" t="s">
        <v>180</v>
      </c>
    </row>
    <row r="31" customFormat="false" ht="15" hidden="false" customHeight="false" outlineLevel="0" collapsed="false">
      <c r="B31" s="10" t="s">
        <v>206</v>
      </c>
      <c r="C31" s="10" t="n">
        <v>184</v>
      </c>
      <c r="D31" s="10" t="n">
        <v>9568</v>
      </c>
      <c r="E31" s="10" t="n">
        <f aca="false">IF(C31=0,0,D31/C31)</f>
        <v>52</v>
      </c>
      <c r="F31" s="10" t="s">
        <v>178</v>
      </c>
    </row>
    <row r="32" customFormat="false" ht="15" hidden="false" customHeight="false" outlineLevel="0" collapsed="false">
      <c r="B32" s="10" t="s">
        <v>207</v>
      </c>
      <c r="C32" s="10" t="n">
        <v>179</v>
      </c>
      <c r="D32" s="10" t="n">
        <v>10722</v>
      </c>
      <c r="E32" s="10" t="n">
        <f aca="false">IF(C32=0,0,D32/C32)</f>
        <v>59.8994413407821</v>
      </c>
      <c r="F32" s="10" t="s">
        <v>178</v>
      </c>
    </row>
    <row r="33" customFormat="false" ht="15" hidden="false" customHeight="false" outlineLevel="0" collapsed="false">
      <c r="B33" s="10" t="s">
        <v>208</v>
      </c>
      <c r="C33" s="10" t="n">
        <v>168</v>
      </c>
      <c r="D33" s="10" t="n">
        <v>8736</v>
      </c>
      <c r="E33" s="10" t="n">
        <f aca="false">IF(C33=0,0,D33/C33)</f>
        <v>52</v>
      </c>
      <c r="F33" s="10" t="s">
        <v>178</v>
      </c>
    </row>
    <row r="34" customFormat="false" ht="15" hidden="false" customHeight="false" outlineLevel="0" collapsed="false">
      <c r="B34" s="10" t="s">
        <v>209</v>
      </c>
      <c r="C34" s="10" t="n">
        <v>140.5</v>
      </c>
      <c r="D34" s="10" t="n">
        <v>7587</v>
      </c>
      <c r="E34" s="10" t="n">
        <f aca="false">IF(C34=0,0,D34/C34)</f>
        <v>54</v>
      </c>
      <c r="F34" s="10" t="s">
        <v>178</v>
      </c>
    </row>
    <row r="35" customFormat="false" ht="15" hidden="false" customHeight="false" outlineLevel="0" collapsed="false">
      <c r="B35" s="10" t="s">
        <v>210</v>
      </c>
      <c r="C35" s="10" t="n">
        <v>87</v>
      </c>
      <c r="D35" s="10" t="n">
        <v>2610</v>
      </c>
      <c r="E35" s="10" t="n">
        <f aca="false">IF(C35=0,0,D35/C35)</f>
        <v>30</v>
      </c>
      <c r="F35" s="10" t="s">
        <v>180</v>
      </c>
    </row>
    <row r="36" customFormat="false" ht="15" hidden="false" customHeight="false" outlineLevel="0" collapsed="false">
      <c r="B36" s="10" t="s">
        <v>211</v>
      </c>
      <c r="C36" s="10" t="n">
        <v>61.2</v>
      </c>
      <c r="D36" s="10" t="n">
        <v>3491</v>
      </c>
      <c r="E36" s="10" t="n">
        <f aca="false">IF(C36=0,0,D36/C36)</f>
        <v>57.0424836601307</v>
      </c>
      <c r="F36" s="10" t="s">
        <v>178</v>
      </c>
    </row>
    <row r="37" customFormat="false" ht="15" hidden="false" customHeight="false" outlineLevel="0" collapsed="false">
      <c r="B37" s="10" t="s">
        <v>212</v>
      </c>
      <c r="C37" s="10" t="n">
        <v>10.5</v>
      </c>
      <c r="D37" s="10" t="n">
        <v>644</v>
      </c>
      <c r="E37" s="10" t="n">
        <f aca="false">IF(C37=0,0,D37/C37)</f>
        <v>61.3333333333333</v>
      </c>
      <c r="F37" s="10" t="s">
        <v>178</v>
      </c>
    </row>
    <row r="40" customFormat="false" ht="15" hidden="false" customHeight="false" outlineLevel="0" collapsed="false">
      <c r="B40" s="3" t="s">
        <v>57</v>
      </c>
    </row>
    <row r="41" customFormat="false" ht="15" hidden="false" customHeight="false" outlineLevel="0" collapsed="false">
      <c r="B41" s="2" t="s">
        <v>58</v>
      </c>
    </row>
    <row r="42" customFormat="false" ht="15" hidden="false" customHeight="false" outlineLevel="0" collapsed="false">
      <c r="B42" s="2" t="s">
        <v>59</v>
      </c>
    </row>
    <row r="43" customFormat="false" ht="15" hidden="false" customHeight="false" outlineLevel="0" collapsed="false">
      <c r="B43" s="2" t="s">
        <v>60</v>
      </c>
    </row>
    <row r="44" customFormat="false" ht="15" hidden="false" customHeight="false" outlineLevel="0" collapsed="false">
      <c r="B44" s="2" t="s">
        <v>61</v>
      </c>
    </row>
    <row r="45" customFormat="false" ht="15" hidden="false" customHeight="false" outlineLevel="0" collapsed="false">
      <c r="B45" s="2" t="s">
        <v>62</v>
      </c>
    </row>
    <row r="46" customFormat="false" ht="15" hidden="false" customHeight="false" outlineLevel="0" collapsed="false">
      <c r="B46" s="2" t="s">
        <v>63</v>
      </c>
    </row>
    <row r="47" customFormat="false" ht="15" hidden="false" customHeight="false" outlineLevel="0" collapsed="false">
      <c r="B47" s="2" t="s">
        <v>64</v>
      </c>
    </row>
    <row r="48" customFormat="false" ht="15" hidden="false" customHeight="false" outlineLevel="0" collapsed="false">
      <c r="B48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6" min="5" style="0" width="13"/>
  </cols>
  <sheetData>
    <row r="2" customFormat="false" ht="22.05" hidden="false" customHeight="false" outlineLevel="0" collapsed="false">
      <c r="B2" s="1" t="s">
        <v>213</v>
      </c>
    </row>
    <row r="4" customFormat="false" ht="15" hidden="false" customHeight="false" outlineLevel="0" collapsed="false">
      <c r="B4" s="3" t="s">
        <v>214</v>
      </c>
    </row>
    <row r="5" customFormat="false" ht="15" hidden="false" customHeight="false" outlineLevel="0" collapsed="false">
      <c r="B5" s="13" t="s">
        <v>176</v>
      </c>
      <c r="C5" s="13" t="s">
        <v>215</v>
      </c>
      <c r="D5" s="13" t="s">
        <v>173</v>
      </c>
      <c r="E5" s="13" t="s">
        <v>174</v>
      </c>
      <c r="F5" s="13" t="s">
        <v>216</v>
      </c>
    </row>
    <row r="6" customFormat="false" ht="15" hidden="false" customHeight="false" outlineLevel="0" collapsed="false">
      <c r="B6" s="4" t="s">
        <v>178</v>
      </c>
      <c r="C6" s="10" t="n">
        <v>15</v>
      </c>
      <c r="D6" s="10" t="n">
        <v>9060.2</v>
      </c>
      <c r="E6" s="10" t="n">
        <v>516131</v>
      </c>
      <c r="F6" s="10" t="s">
        <v>217</v>
      </c>
    </row>
    <row r="7" customFormat="false" ht="15" hidden="false" customHeight="false" outlineLevel="0" collapsed="false">
      <c r="B7" s="4" t="s">
        <v>180</v>
      </c>
      <c r="C7" s="10" t="n">
        <v>13</v>
      </c>
      <c r="D7" s="10" t="n">
        <v>11731.1</v>
      </c>
      <c r="E7" s="10" t="n">
        <v>477130</v>
      </c>
      <c r="F7" s="10" t="s">
        <v>218</v>
      </c>
    </row>
    <row r="8" customFormat="false" ht="15" hidden="false" customHeight="false" outlineLevel="0" collapsed="false">
      <c r="B8" s="4" t="s">
        <v>182</v>
      </c>
      <c r="C8" s="10" t="n">
        <v>5</v>
      </c>
      <c r="D8" s="10" t="n">
        <v>4345.9</v>
      </c>
      <c r="E8" s="10" t="n">
        <v>107535</v>
      </c>
      <c r="F8" s="10" t="s">
        <v>219</v>
      </c>
    </row>
    <row r="11" customFormat="false" ht="15" hidden="false" customHeight="false" outlineLevel="0" collapsed="false">
      <c r="B11" s="3" t="s">
        <v>220</v>
      </c>
    </row>
    <row r="12" customFormat="false" ht="15" hidden="false" customHeight="false" outlineLevel="0" collapsed="false">
      <c r="B12" s="4" t="s">
        <v>221</v>
      </c>
      <c r="C12" s="10" t="n">
        <v>43.79</v>
      </c>
    </row>
    <row r="13" customFormat="false" ht="15" hidden="false" customHeight="false" outlineLevel="0" collapsed="false">
      <c r="B13" s="4" t="s">
        <v>222</v>
      </c>
      <c r="C13" s="10" t="n">
        <v>69</v>
      </c>
    </row>
    <row r="14" customFormat="false" ht="15" hidden="false" customHeight="false" outlineLevel="0" collapsed="false">
      <c r="B14" s="4" t="s">
        <v>223</v>
      </c>
      <c r="C14" s="10" t="n">
        <v>1</v>
      </c>
    </row>
    <row r="15" customFormat="false" ht="15" hidden="false" customHeight="false" outlineLevel="0" collapsed="false">
      <c r="B15" s="4" t="s">
        <v>224</v>
      </c>
      <c r="C15" s="10" t="n">
        <v>24</v>
      </c>
    </row>
    <row r="16" customFormat="false" ht="15" hidden="false" customHeight="false" outlineLevel="0" collapsed="false">
      <c r="B16" s="4" t="s">
        <v>225</v>
      </c>
      <c r="C16" s="10" t="n">
        <v>69</v>
      </c>
    </row>
    <row r="17" customFormat="false" ht="15" hidden="false" customHeight="false" outlineLevel="0" collapsed="false">
      <c r="B17" s="4" t="s">
        <v>226</v>
      </c>
      <c r="C17" s="10" t="n">
        <v>761.7</v>
      </c>
    </row>
    <row r="20" customFormat="false" ht="15" hidden="false" customHeight="false" outlineLevel="0" collapsed="false">
      <c r="B20" s="3" t="s">
        <v>57</v>
      </c>
    </row>
    <row r="21" customFormat="false" ht="15" hidden="false" customHeight="false" outlineLevel="0" collapsed="false">
      <c r="B21" s="2" t="s">
        <v>58</v>
      </c>
    </row>
    <row r="22" customFormat="false" ht="15" hidden="false" customHeight="false" outlineLevel="0" collapsed="false">
      <c r="B22" s="2" t="s">
        <v>59</v>
      </c>
    </row>
    <row r="23" customFormat="false" ht="15" hidden="false" customHeight="false" outlineLevel="0" collapsed="false">
      <c r="B23" s="2" t="s">
        <v>60</v>
      </c>
    </row>
    <row r="24" customFormat="false" ht="15" hidden="false" customHeight="false" outlineLevel="0" collapsed="false">
      <c r="B24" s="2" t="s">
        <v>61</v>
      </c>
    </row>
    <row r="25" customFormat="false" ht="15" hidden="false" customHeight="false" outlineLevel="0" collapsed="false">
      <c r="B25" s="2" t="s">
        <v>62</v>
      </c>
    </row>
    <row r="26" customFormat="false" ht="15" hidden="false" customHeight="false" outlineLevel="0" collapsed="false">
      <c r="B26" s="2" t="s">
        <v>63</v>
      </c>
    </row>
    <row r="27" customFormat="false" ht="15" hidden="false" customHeight="false" outlineLevel="0" collapsed="false">
      <c r="B27" s="2" t="s">
        <v>64</v>
      </c>
    </row>
    <row r="28" customFormat="false" ht="15" hidden="false" customHeight="false" outlineLevel="0" collapsed="false">
      <c r="B28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2"/>
  </cols>
  <sheetData>
    <row r="2" customFormat="false" ht="22.05" hidden="false" customHeight="false" outlineLevel="0" collapsed="false">
      <c r="B2" s="1" t="s">
        <v>227</v>
      </c>
    </row>
    <row r="4" customFormat="false" ht="15" hidden="false" customHeight="false" outlineLevel="0" collapsed="false">
      <c r="B4" s="13" t="s">
        <v>228</v>
      </c>
      <c r="C4" s="13" t="s">
        <v>67</v>
      </c>
      <c r="D4" s="13" t="s">
        <v>173</v>
      </c>
      <c r="E4" s="13" t="s">
        <v>229</v>
      </c>
      <c r="F4" s="13" t="s">
        <v>230</v>
      </c>
    </row>
    <row r="5" customFormat="false" ht="15" hidden="false" customHeight="false" outlineLevel="0" collapsed="false">
      <c r="B5" s="4" t="s">
        <v>76</v>
      </c>
      <c r="C5" s="10" t="s">
        <v>75</v>
      </c>
      <c r="D5" s="10" t="n">
        <v>136</v>
      </c>
      <c r="E5" s="10" t="s">
        <v>231</v>
      </c>
      <c r="F5" s="10" t="n">
        <v>0.56</v>
      </c>
    </row>
    <row r="6" customFormat="false" ht="15" hidden="false" customHeight="false" outlineLevel="0" collapsed="false">
      <c r="B6" s="4" t="s">
        <v>232</v>
      </c>
      <c r="C6" s="10" t="s">
        <v>77</v>
      </c>
      <c r="D6" s="10" t="n">
        <v>763</v>
      </c>
      <c r="E6" s="10" t="s">
        <v>233</v>
      </c>
      <c r="F6" s="10" t="n">
        <v>3.13</v>
      </c>
    </row>
    <row r="7" customFormat="false" ht="15" hidden="false" customHeight="false" outlineLevel="0" collapsed="false">
      <c r="B7" s="4" t="s">
        <v>234</v>
      </c>
      <c r="C7" s="10" t="s">
        <v>79</v>
      </c>
      <c r="D7" s="10" t="n">
        <v>708</v>
      </c>
      <c r="E7" s="10" t="s">
        <v>235</v>
      </c>
      <c r="F7" s="10" t="n">
        <v>2.9</v>
      </c>
    </row>
    <row r="8" customFormat="false" ht="15" hidden="false" customHeight="false" outlineLevel="0" collapsed="false">
      <c r="B8" s="4" t="s">
        <v>236</v>
      </c>
      <c r="C8" s="10" t="s">
        <v>81</v>
      </c>
      <c r="D8" s="10" t="n">
        <v>3508.8</v>
      </c>
      <c r="E8" s="10" t="s">
        <v>237</v>
      </c>
      <c r="F8" s="10" t="n">
        <v>14.38</v>
      </c>
    </row>
    <row r="9" customFormat="false" ht="15" hidden="false" customHeight="false" outlineLevel="0" collapsed="false">
      <c r="B9" s="4" t="s">
        <v>238</v>
      </c>
      <c r="C9" s="10" t="s">
        <v>83</v>
      </c>
      <c r="D9" s="10" t="n">
        <v>1455.5</v>
      </c>
      <c r="E9" s="10" t="s">
        <v>239</v>
      </c>
      <c r="F9" s="10" t="n">
        <v>5.97</v>
      </c>
    </row>
    <row r="10" customFormat="false" ht="15" hidden="false" customHeight="false" outlineLevel="0" collapsed="false">
      <c r="B10" s="4" t="s">
        <v>240</v>
      </c>
      <c r="C10" s="10" t="s">
        <v>85</v>
      </c>
      <c r="D10" s="10" t="n">
        <v>14998</v>
      </c>
      <c r="E10" s="10" t="s">
        <v>241</v>
      </c>
      <c r="F10" s="10" t="n">
        <v>61.47</v>
      </c>
    </row>
    <row r="11" customFormat="false" ht="15" hidden="false" customHeight="false" outlineLevel="0" collapsed="false">
      <c r="B11" s="4" t="s">
        <v>242</v>
      </c>
      <c r="C11" s="10" t="s">
        <v>87</v>
      </c>
      <c r="D11" s="10" t="n">
        <v>1</v>
      </c>
      <c r="E11" s="10" t="s">
        <v>243</v>
      </c>
      <c r="F11" s="10" t="n">
        <v>0</v>
      </c>
    </row>
    <row r="12" customFormat="false" ht="15" hidden="false" customHeight="false" outlineLevel="0" collapsed="false">
      <c r="B12" s="4" t="s">
        <v>244</v>
      </c>
      <c r="C12" s="10" t="s">
        <v>89</v>
      </c>
      <c r="D12" s="10" t="n">
        <v>211.8</v>
      </c>
      <c r="E12" s="10" t="s">
        <v>245</v>
      </c>
      <c r="F12" s="10" t="n">
        <v>0.87</v>
      </c>
    </row>
    <row r="13" customFormat="false" ht="15" hidden="false" customHeight="false" outlineLevel="0" collapsed="false">
      <c r="B13" s="4" t="s">
        <v>246</v>
      </c>
      <c r="C13" s="10" t="s">
        <v>91</v>
      </c>
      <c r="D13" s="10" t="n">
        <v>2553</v>
      </c>
      <c r="E13" s="10" t="s">
        <v>247</v>
      </c>
      <c r="F13" s="10" t="n">
        <v>10.46</v>
      </c>
    </row>
    <row r="14" customFormat="false" ht="15" hidden="false" customHeight="false" outlineLevel="0" collapsed="false">
      <c r="B14" s="4" t="s">
        <v>248</v>
      </c>
      <c r="C14" s="10" t="s">
        <v>93</v>
      </c>
      <c r="D14" s="10" t="n">
        <v>642.2</v>
      </c>
      <c r="E14" s="10" t="s">
        <v>249</v>
      </c>
      <c r="F14" s="10" t="n">
        <v>2.63</v>
      </c>
    </row>
    <row r="16" customFormat="false" ht="15" hidden="false" customHeight="false" outlineLevel="0" collapsed="false">
      <c r="B16" s="4" t="s">
        <v>38</v>
      </c>
      <c r="D16" s="4" t="n">
        <v>24977.3</v>
      </c>
    </row>
    <row r="18" customFormat="false" ht="15" hidden="false" customHeight="false" outlineLevel="0" collapsed="false">
      <c r="B18" s="3" t="s">
        <v>250</v>
      </c>
    </row>
    <row r="19" customFormat="false" ht="15" hidden="false" customHeight="false" outlineLevel="0" collapsed="false">
      <c r="B19" s="4" t="s">
        <v>251</v>
      </c>
      <c r="C19" s="10" t="s">
        <v>252</v>
      </c>
    </row>
    <row r="20" customFormat="false" ht="15" hidden="false" customHeight="false" outlineLevel="0" collapsed="false">
      <c r="B20" s="4" t="s">
        <v>253</v>
      </c>
      <c r="C20" s="10" t="s">
        <v>254</v>
      </c>
    </row>
    <row r="21" customFormat="false" ht="15" hidden="false" customHeight="false" outlineLevel="0" collapsed="false">
      <c r="B21" s="4" t="s">
        <v>255</v>
      </c>
      <c r="C21" s="10" t="s">
        <v>256</v>
      </c>
    </row>
    <row r="22" customFormat="false" ht="15" hidden="false" customHeight="false" outlineLevel="0" collapsed="false">
      <c r="B22" s="4" t="s">
        <v>257</v>
      </c>
      <c r="C22" s="10" t="s">
        <v>258</v>
      </c>
    </row>
    <row r="23" customFormat="false" ht="15" hidden="false" customHeight="false" outlineLevel="0" collapsed="false">
      <c r="B23" s="4" t="s">
        <v>259</v>
      </c>
      <c r="C23" s="10" t="s">
        <v>260</v>
      </c>
    </row>
    <row r="26" customFormat="false" ht="15" hidden="false" customHeight="false" outlineLevel="0" collapsed="false">
      <c r="B26" s="3" t="s">
        <v>57</v>
      </c>
    </row>
    <row r="27" customFormat="false" ht="15" hidden="false" customHeight="false" outlineLevel="0" collapsed="false">
      <c r="B27" s="2" t="s">
        <v>58</v>
      </c>
    </row>
    <row r="28" customFormat="false" ht="15" hidden="false" customHeight="false" outlineLevel="0" collapsed="false">
      <c r="B28" s="2" t="s">
        <v>59</v>
      </c>
    </row>
    <row r="29" customFormat="false" ht="15" hidden="false" customHeight="false" outlineLevel="0" collapsed="false">
      <c r="B29" s="2" t="s">
        <v>60</v>
      </c>
    </row>
    <row r="30" customFormat="false" ht="15" hidden="false" customHeight="false" outlineLevel="0" collapsed="false">
      <c r="B30" s="2" t="s">
        <v>61</v>
      </c>
    </row>
    <row r="31" customFormat="false" ht="15" hidden="false" customHeight="false" outlineLevel="0" collapsed="false">
      <c r="B31" s="2" t="s">
        <v>62</v>
      </c>
    </row>
    <row r="32" customFormat="false" ht="15" hidden="false" customHeight="false" outlineLevel="0" collapsed="false">
      <c r="B32" s="2" t="s">
        <v>63</v>
      </c>
    </row>
    <row r="33" customFormat="false" ht="15" hidden="false" customHeight="false" outlineLevel="0" collapsed="false">
      <c r="B33" s="2" t="s">
        <v>64</v>
      </c>
    </row>
    <row r="34" customFormat="false" ht="15" hidden="false" customHeight="false" outlineLevel="0" collapsed="false">
      <c r="B34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</cols>
  <sheetData>
    <row r="2" customFormat="false" ht="22.05" hidden="false" customHeight="false" outlineLevel="0" collapsed="false">
      <c r="B2" s="1" t="s">
        <v>261</v>
      </c>
    </row>
    <row r="3" customFormat="false" ht="15" hidden="false" customHeight="false" outlineLevel="0" collapsed="false">
      <c r="B3" s="2" t="s">
        <v>262</v>
      </c>
    </row>
    <row r="5" customFormat="false" ht="15" hidden="false" customHeight="false" outlineLevel="0" collapsed="false">
      <c r="B5" s="13" t="s">
        <v>263</v>
      </c>
      <c r="C5" s="13" t="s">
        <v>144</v>
      </c>
      <c r="D5" s="13" t="s">
        <v>145</v>
      </c>
      <c r="E5" s="13" t="s">
        <v>146</v>
      </c>
      <c r="F5" s="13" t="s">
        <v>147</v>
      </c>
      <c r="G5" s="13" t="s">
        <v>176</v>
      </c>
    </row>
    <row r="6" customFormat="false" ht="15" hidden="false" customHeight="false" outlineLevel="0" collapsed="false">
      <c r="B6" s="10" t="n">
        <v>1</v>
      </c>
      <c r="C6" s="10" t="s">
        <v>148</v>
      </c>
      <c r="D6" s="10" t="n">
        <v>101</v>
      </c>
      <c r="E6" s="10" t="n">
        <v>420436</v>
      </c>
      <c r="F6" s="10" t="s">
        <v>264</v>
      </c>
      <c r="G6" s="10" t="s">
        <v>265</v>
      </c>
    </row>
    <row r="7" customFormat="false" ht="15" hidden="false" customHeight="false" outlineLevel="0" collapsed="false">
      <c r="B7" s="10" t="n">
        <v>2</v>
      </c>
      <c r="C7" s="10" t="s">
        <v>149</v>
      </c>
      <c r="D7" s="10" t="n">
        <v>128</v>
      </c>
      <c r="E7" s="10" t="n">
        <v>184896</v>
      </c>
      <c r="F7" s="10" t="s">
        <v>266</v>
      </c>
      <c r="G7" s="10" t="s">
        <v>265</v>
      </c>
    </row>
    <row r="8" customFormat="false" ht="15" hidden="false" customHeight="false" outlineLevel="0" collapsed="false">
      <c r="B8" s="10" t="n">
        <v>3</v>
      </c>
      <c r="C8" s="10" t="s">
        <v>150</v>
      </c>
      <c r="D8" s="10" t="n">
        <v>25</v>
      </c>
      <c r="E8" s="10" t="n">
        <v>130768</v>
      </c>
      <c r="F8" s="10" t="s">
        <v>267</v>
      </c>
      <c r="G8" s="10" t="s">
        <v>265</v>
      </c>
    </row>
    <row r="9" customFormat="false" ht="15" hidden="false" customHeight="false" outlineLevel="0" collapsed="false">
      <c r="B9" s="10" t="n">
        <v>4</v>
      </c>
      <c r="C9" s="10" t="s">
        <v>151</v>
      </c>
      <c r="D9" s="10" t="n">
        <v>132</v>
      </c>
      <c r="E9" s="10" t="n">
        <v>116504</v>
      </c>
      <c r="F9" s="10" t="s">
        <v>268</v>
      </c>
      <c r="G9" s="10" t="s">
        <v>265</v>
      </c>
    </row>
    <row r="10" customFormat="false" ht="15" hidden="false" customHeight="false" outlineLevel="0" collapsed="false">
      <c r="B10" s="10" t="n">
        <v>5</v>
      </c>
      <c r="C10" s="10" t="s">
        <v>152</v>
      </c>
      <c r="D10" s="10" t="n">
        <v>7</v>
      </c>
      <c r="E10" s="10" t="n">
        <v>69125</v>
      </c>
      <c r="F10" s="10" t="s">
        <v>269</v>
      </c>
      <c r="G10" s="10" t="s">
        <v>265</v>
      </c>
    </row>
    <row r="11" customFormat="false" ht="15" hidden="false" customHeight="false" outlineLevel="0" collapsed="false">
      <c r="B11" s="10" t="n">
        <v>6</v>
      </c>
      <c r="C11" s="10" t="s">
        <v>153</v>
      </c>
      <c r="D11" s="10" t="n">
        <v>1</v>
      </c>
      <c r="E11" s="10" t="n">
        <v>44817</v>
      </c>
      <c r="F11" s="10" t="s">
        <v>270</v>
      </c>
      <c r="G11" s="10" t="s">
        <v>271</v>
      </c>
    </row>
    <row r="12" customFormat="false" ht="15" hidden="false" customHeight="false" outlineLevel="0" collapsed="false">
      <c r="B12" s="10" t="n">
        <v>7</v>
      </c>
      <c r="C12" s="10" t="s">
        <v>154</v>
      </c>
      <c r="D12" s="10" t="n">
        <v>13</v>
      </c>
      <c r="E12" s="10" t="n">
        <v>40629</v>
      </c>
      <c r="F12" s="10" t="s">
        <v>272</v>
      </c>
      <c r="G12" s="10" t="s">
        <v>271</v>
      </c>
    </row>
    <row r="13" customFormat="false" ht="15" hidden="false" customHeight="false" outlineLevel="0" collapsed="false">
      <c r="B13" s="10" t="n">
        <v>8</v>
      </c>
      <c r="C13" s="10" t="s">
        <v>155</v>
      </c>
      <c r="D13" s="10" t="n">
        <v>3</v>
      </c>
      <c r="E13" s="10" t="n">
        <v>20215</v>
      </c>
      <c r="F13" s="10" t="s">
        <v>273</v>
      </c>
      <c r="G13" s="10" t="s">
        <v>271</v>
      </c>
    </row>
    <row r="14" customFormat="false" ht="15" hidden="false" customHeight="false" outlineLevel="0" collapsed="false">
      <c r="B14" s="10" t="n">
        <v>9</v>
      </c>
      <c r="C14" s="10" t="s">
        <v>156</v>
      </c>
      <c r="D14" s="10" t="n">
        <v>39</v>
      </c>
      <c r="E14" s="10" t="n">
        <v>16104</v>
      </c>
      <c r="F14" s="10" t="s">
        <v>274</v>
      </c>
      <c r="G14" s="10" t="s">
        <v>271</v>
      </c>
    </row>
    <row r="15" customFormat="false" ht="15" hidden="false" customHeight="false" outlineLevel="0" collapsed="false">
      <c r="B15" s="10" t="n">
        <v>10</v>
      </c>
      <c r="C15" s="10" t="s">
        <v>157</v>
      </c>
      <c r="D15" s="10" t="n">
        <v>23</v>
      </c>
      <c r="E15" s="10" t="n">
        <v>15185</v>
      </c>
      <c r="F15" s="10" t="s">
        <v>275</v>
      </c>
      <c r="G15" s="10" t="s">
        <v>271</v>
      </c>
    </row>
    <row r="16" customFormat="false" ht="15" hidden="false" customHeight="false" outlineLevel="0" collapsed="false">
      <c r="B16" s="10" t="n">
        <v>11</v>
      </c>
      <c r="C16" s="10" t="s">
        <v>158</v>
      </c>
      <c r="D16" s="10" t="n">
        <v>14</v>
      </c>
      <c r="E16" s="10" t="n">
        <v>12346</v>
      </c>
      <c r="F16" s="10" t="s">
        <v>276</v>
      </c>
      <c r="G16" s="10" t="s">
        <v>277</v>
      </c>
    </row>
    <row r="17" customFormat="false" ht="15" hidden="false" customHeight="false" outlineLevel="0" collapsed="false">
      <c r="B17" s="10" t="n">
        <v>12</v>
      </c>
      <c r="C17" s="10" t="s">
        <v>159</v>
      </c>
      <c r="D17" s="10" t="n">
        <v>3</v>
      </c>
      <c r="E17" s="10" t="n">
        <v>11405</v>
      </c>
      <c r="F17" s="10" t="s">
        <v>278</v>
      </c>
      <c r="G17" s="10" t="s">
        <v>277</v>
      </c>
    </row>
    <row r="18" customFormat="false" ht="15" hidden="false" customHeight="false" outlineLevel="0" collapsed="false">
      <c r="B18" s="10" t="n">
        <v>13</v>
      </c>
      <c r="C18" s="10" t="s">
        <v>160</v>
      </c>
      <c r="D18" s="10" t="n">
        <v>5</v>
      </c>
      <c r="E18" s="10" t="n">
        <v>9198</v>
      </c>
      <c r="F18" s="10" t="s">
        <v>245</v>
      </c>
      <c r="G18" s="10" t="s">
        <v>277</v>
      </c>
    </row>
    <row r="19" customFormat="false" ht="15" hidden="false" customHeight="false" outlineLevel="0" collapsed="false">
      <c r="B19" s="10" t="n">
        <v>14</v>
      </c>
      <c r="C19" s="10" t="s">
        <v>161</v>
      </c>
      <c r="D19" s="10" t="n">
        <v>2</v>
      </c>
      <c r="E19" s="10" t="n">
        <v>2471</v>
      </c>
      <c r="F19" s="10" t="s">
        <v>279</v>
      </c>
      <c r="G19" s="10" t="s">
        <v>277</v>
      </c>
    </row>
    <row r="20" customFormat="false" ht="15" hidden="false" customHeight="false" outlineLevel="0" collapsed="false">
      <c r="B20" s="10" t="n">
        <v>15</v>
      </c>
      <c r="C20" s="10" t="s">
        <v>162</v>
      </c>
      <c r="D20" s="10" t="n">
        <v>2</v>
      </c>
      <c r="E20" s="10" t="n">
        <v>2272</v>
      </c>
      <c r="F20" s="10" t="s">
        <v>279</v>
      </c>
      <c r="G20" s="10" t="s">
        <v>277</v>
      </c>
    </row>
    <row r="21" customFormat="false" ht="15" hidden="false" customHeight="false" outlineLevel="0" collapsed="false">
      <c r="B21" s="10" t="n">
        <v>16</v>
      </c>
      <c r="C21" s="10" t="s">
        <v>163</v>
      </c>
      <c r="D21" s="10" t="n">
        <v>1</v>
      </c>
      <c r="E21" s="10" t="n">
        <v>2204</v>
      </c>
      <c r="F21" s="10" t="s">
        <v>279</v>
      </c>
      <c r="G21" s="10" t="s">
        <v>277</v>
      </c>
    </row>
    <row r="22" customFormat="false" ht="15" hidden="false" customHeight="false" outlineLevel="0" collapsed="false">
      <c r="B22" s="10" t="n">
        <v>17</v>
      </c>
      <c r="C22" s="10" t="s">
        <v>164</v>
      </c>
      <c r="D22" s="10" t="n">
        <v>49</v>
      </c>
      <c r="E22" s="10" t="n">
        <v>1892</v>
      </c>
      <c r="F22" s="10" t="s">
        <v>279</v>
      </c>
      <c r="G22" s="10" t="s">
        <v>277</v>
      </c>
    </row>
    <row r="23" customFormat="false" ht="15" hidden="false" customHeight="false" outlineLevel="0" collapsed="false">
      <c r="B23" s="10" t="n">
        <v>18</v>
      </c>
      <c r="C23" s="10" t="s">
        <v>165</v>
      </c>
      <c r="D23" s="10" t="n">
        <v>1</v>
      </c>
      <c r="E23" s="10" t="n">
        <v>1107</v>
      </c>
      <c r="F23" s="10" t="s">
        <v>280</v>
      </c>
      <c r="G23" s="10" t="s">
        <v>277</v>
      </c>
    </row>
    <row r="24" customFormat="false" ht="15" hidden="false" customHeight="false" outlineLevel="0" collapsed="false">
      <c r="B24" s="10" t="n">
        <v>19</v>
      </c>
      <c r="C24" s="10" t="s">
        <v>166</v>
      </c>
      <c r="D24" s="10" t="n">
        <v>2</v>
      </c>
      <c r="E24" s="10" t="n">
        <v>683</v>
      </c>
      <c r="F24" s="10" t="s">
        <v>280</v>
      </c>
      <c r="G24" s="10" t="s">
        <v>277</v>
      </c>
    </row>
    <row r="25" customFormat="false" ht="15" hidden="false" customHeight="false" outlineLevel="0" collapsed="false">
      <c r="B25" s="10" t="n">
        <v>20</v>
      </c>
      <c r="C25" s="10" t="s">
        <v>167</v>
      </c>
      <c r="D25" s="10" t="n">
        <v>1</v>
      </c>
      <c r="E25" s="10" t="n">
        <v>464</v>
      </c>
      <c r="F25" s="10" t="s">
        <v>243</v>
      </c>
      <c r="G25" s="10" t="s">
        <v>277</v>
      </c>
    </row>
    <row r="26" customFormat="false" ht="15" hidden="false" customHeight="false" outlineLevel="0" collapsed="false">
      <c r="B26" s="10" t="n">
        <v>21</v>
      </c>
      <c r="C26" s="10" t="s">
        <v>168</v>
      </c>
      <c r="D26" s="10" t="n">
        <v>2</v>
      </c>
      <c r="E26" s="10" t="n">
        <v>435</v>
      </c>
      <c r="F26" s="10" t="s">
        <v>243</v>
      </c>
      <c r="G26" s="10" t="s">
        <v>277</v>
      </c>
    </row>
    <row r="27" customFormat="false" ht="15" hidden="false" customHeight="false" outlineLevel="0" collapsed="false">
      <c r="B27" s="10" t="n">
        <v>22</v>
      </c>
      <c r="C27" s="10" t="s">
        <v>169</v>
      </c>
      <c r="D27" s="10" t="n">
        <v>2</v>
      </c>
      <c r="E27" s="10" t="n">
        <v>323</v>
      </c>
      <c r="F27" s="10" t="s">
        <v>243</v>
      </c>
      <c r="G27" s="10" t="s">
        <v>277</v>
      </c>
    </row>
    <row r="28" customFormat="false" ht="15" hidden="false" customHeight="false" outlineLevel="0" collapsed="false">
      <c r="B28" s="10" t="n">
        <v>23</v>
      </c>
      <c r="C28" s="10" t="s">
        <v>170</v>
      </c>
      <c r="D28" s="10" t="n">
        <v>1</v>
      </c>
      <c r="E28" s="10" t="n">
        <v>178</v>
      </c>
      <c r="F28" s="10" t="s">
        <v>243</v>
      </c>
      <c r="G28" s="10" t="s">
        <v>277</v>
      </c>
    </row>
    <row r="31" customFormat="false" ht="15" hidden="false" customHeight="false" outlineLevel="0" collapsed="false">
      <c r="B31" s="3" t="s">
        <v>57</v>
      </c>
    </row>
    <row r="32" customFormat="false" ht="15" hidden="false" customHeight="false" outlineLevel="0" collapsed="false">
      <c r="B32" s="2" t="s">
        <v>58</v>
      </c>
    </row>
    <row r="33" customFormat="false" ht="15" hidden="false" customHeight="false" outlineLevel="0" collapsed="false">
      <c r="B33" s="2" t="s">
        <v>59</v>
      </c>
    </row>
    <row r="34" customFormat="false" ht="15" hidden="false" customHeight="false" outlineLevel="0" collapsed="false">
      <c r="B34" s="2" t="s">
        <v>60</v>
      </c>
    </row>
    <row r="35" customFormat="false" ht="15" hidden="false" customHeight="false" outlineLevel="0" collapsed="false">
      <c r="B35" s="2" t="s">
        <v>61</v>
      </c>
    </row>
    <row r="36" customFormat="false" ht="15" hidden="false" customHeight="false" outlineLevel="0" collapsed="false">
      <c r="B36" s="2" t="s">
        <v>62</v>
      </c>
    </row>
    <row r="37" customFormat="false" ht="15" hidden="false" customHeight="false" outlineLevel="0" collapsed="false">
      <c r="B37" s="2" t="s">
        <v>63</v>
      </c>
    </row>
    <row r="38" customFormat="false" ht="15" hidden="false" customHeight="false" outlineLevel="0" collapsed="false">
      <c r="B38" s="2" t="s">
        <v>64</v>
      </c>
    </row>
    <row r="39" customFormat="false" ht="15" hidden="false" customHeight="false" outlineLevel="0" collapsed="false">
      <c r="B39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4"/>
    <col collapsed="false" customWidth="true" hidden="false" outlineLevel="0" max="8" min="3" style="0" width="13"/>
  </cols>
  <sheetData>
    <row r="2" customFormat="false" ht="22.05" hidden="false" customHeight="false" outlineLevel="0" collapsed="false">
      <c r="B2" s="1" t="s">
        <v>281</v>
      </c>
    </row>
    <row r="4" customFormat="false" ht="15" hidden="false" customHeight="false" outlineLevel="0" collapsed="false">
      <c r="B4" s="3" t="s">
        <v>282</v>
      </c>
    </row>
    <row r="5" customFormat="false" ht="15" hidden="false" customHeight="false" outlineLevel="0" collapsed="false">
      <c r="B5" s="4" t="s">
        <v>283</v>
      </c>
      <c r="C5" s="10" t="s">
        <v>284</v>
      </c>
    </row>
    <row r="6" customFormat="false" ht="15" hidden="false" customHeight="false" outlineLevel="0" collapsed="false">
      <c r="B6" s="4" t="s">
        <v>285</v>
      </c>
      <c r="C6" s="10" t="s">
        <v>284</v>
      </c>
    </row>
    <row r="7" customFormat="false" ht="15" hidden="false" customHeight="false" outlineLevel="0" collapsed="false">
      <c r="B7" s="4" t="s">
        <v>286</v>
      </c>
      <c r="C7" s="10" t="s">
        <v>284</v>
      </c>
    </row>
    <row r="8" customFormat="false" ht="15" hidden="false" customHeight="false" outlineLevel="0" collapsed="false">
      <c r="B8" s="4" t="s">
        <v>287</v>
      </c>
      <c r="C8" s="10" t="s">
        <v>284</v>
      </c>
    </row>
    <row r="9" customFormat="false" ht="15" hidden="false" customHeight="false" outlineLevel="0" collapsed="false">
      <c r="B9" s="4" t="s">
        <v>288</v>
      </c>
      <c r="C9" s="10" t="s">
        <v>289</v>
      </c>
    </row>
    <row r="12" customFormat="false" ht="15" hidden="false" customHeight="false" outlineLevel="0" collapsed="false">
      <c r="B12" s="3" t="s">
        <v>290</v>
      </c>
    </row>
    <row r="13" customFormat="false" ht="15" hidden="false" customHeight="false" outlineLevel="0" collapsed="false">
      <c r="B13" s="13" t="s">
        <v>291</v>
      </c>
      <c r="C13" s="13" t="s">
        <v>292</v>
      </c>
      <c r="D13" s="13" t="s">
        <v>293</v>
      </c>
      <c r="E13" s="13" t="s">
        <v>294</v>
      </c>
      <c r="F13" s="13" t="s">
        <v>295</v>
      </c>
      <c r="G13" s="13" t="s">
        <v>296</v>
      </c>
      <c r="H13" s="13" t="s">
        <v>297</v>
      </c>
    </row>
    <row r="14" customFormat="false" ht="15" hidden="false" customHeight="false" outlineLevel="0" collapsed="false">
      <c r="B14" s="10" t="n">
        <v>1</v>
      </c>
      <c r="C14" s="10" t="s">
        <v>298</v>
      </c>
      <c r="D14" s="10" t="n">
        <v>31040</v>
      </c>
      <c r="E14" s="10" t="n">
        <v>-1552</v>
      </c>
      <c r="F14" s="10" t="n">
        <v>31040</v>
      </c>
      <c r="G14" s="10" t="n">
        <v>31040</v>
      </c>
      <c r="H14" s="10" t="s">
        <v>299</v>
      </c>
    </row>
    <row r="15" customFormat="false" ht="15" hidden="false" customHeight="false" outlineLevel="0" collapsed="false">
      <c r="B15" s="10" t="n">
        <v>2</v>
      </c>
      <c r="C15" s="10" t="s">
        <v>298</v>
      </c>
      <c r="D15" s="10" t="n">
        <v>142000</v>
      </c>
      <c r="E15" s="10" t="n">
        <v>-7100</v>
      </c>
      <c r="F15" s="10" t="n">
        <v>142000</v>
      </c>
      <c r="G15" s="10" t="n">
        <v>173040</v>
      </c>
      <c r="H15" s="10" t="s">
        <v>300</v>
      </c>
    </row>
    <row r="16" customFormat="false" ht="15" hidden="false" customHeight="false" outlineLevel="0" collapsed="false">
      <c r="B16" s="10" t="n">
        <v>3</v>
      </c>
      <c r="C16" s="10" t="s">
        <v>298</v>
      </c>
      <c r="D16" s="10" t="n">
        <v>6120</v>
      </c>
      <c r="E16" s="10" t="n">
        <v>-306</v>
      </c>
      <c r="F16" s="10" t="n">
        <v>6120</v>
      </c>
      <c r="G16" s="10" t="n">
        <v>179160</v>
      </c>
      <c r="H16" s="10" t="s">
        <v>301</v>
      </c>
    </row>
    <row r="17" customFormat="false" ht="15" hidden="false" customHeight="false" outlineLevel="0" collapsed="false">
      <c r="B17" s="10" t="n">
        <v>4</v>
      </c>
      <c r="C17" s="10" t="s">
        <v>298</v>
      </c>
      <c r="D17" s="10" t="n">
        <v>35470</v>
      </c>
      <c r="E17" s="10" t="n">
        <v>-1774</v>
      </c>
      <c r="F17" s="10" t="n">
        <v>35470</v>
      </c>
      <c r="G17" s="10" t="n">
        <v>214630</v>
      </c>
      <c r="H17" s="10" t="s">
        <v>302</v>
      </c>
    </row>
    <row r="18" customFormat="false" ht="15" hidden="false" customHeight="false" outlineLevel="0" collapsed="false">
      <c r="B18" s="10" t="n">
        <v>5</v>
      </c>
      <c r="C18" s="10" t="s">
        <v>298</v>
      </c>
      <c r="D18" s="10" t="n">
        <v>106410</v>
      </c>
      <c r="E18" s="10" t="n">
        <v>-5320</v>
      </c>
      <c r="F18" s="10" t="n">
        <v>106410</v>
      </c>
      <c r="G18" s="10" t="n">
        <v>321040</v>
      </c>
      <c r="H18" s="10" t="s">
        <v>303</v>
      </c>
    </row>
    <row r="19" customFormat="false" ht="15" hidden="false" customHeight="false" outlineLevel="0" collapsed="false">
      <c r="B19" s="10" t="n">
        <v>6</v>
      </c>
      <c r="C19" s="10" t="s">
        <v>298</v>
      </c>
      <c r="D19" s="10" t="n">
        <v>70940</v>
      </c>
      <c r="E19" s="10" t="n">
        <v>-3547</v>
      </c>
      <c r="F19" s="10" t="n">
        <v>70940</v>
      </c>
      <c r="G19" s="10" t="n">
        <v>391980</v>
      </c>
      <c r="H19" s="10" t="s">
        <v>304</v>
      </c>
    </row>
    <row r="20" customFormat="false" ht="15" hidden="false" customHeight="false" outlineLevel="0" collapsed="false">
      <c r="B20" s="10" t="n">
        <v>7</v>
      </c>
      <c r="C20" s="10" t="s">
        <v>298</v>
      </c>
      <c r="D20" s="10" t="n">
        <v>27300</v>
      </c>
      <c r="E20" s="10" t="n">
        <v>-1365</v>
      </c>
      <c r="F20" s="10" t="n">
        <v>27300</v>
      </c>
      <c r="G20" s="10" t="n">
        <v>419280</v>
      </c>
      <c r="H20" s="10" t="s">
        <v>305</v>
      </c>
    </row>
    <row r="21" customFormat="false" ht="15" hidden="false" customHeight="false" outlineLevel="0" collapsed="false">
      <c r="B21" s="10" t="n">
        <v>8</v>
      </c>
      <c r="C21" s="10" t="s">
        <v>298</v>
      </c>
      <c r="D21" s="10" t="n">
        <v>3213</v>
      </c>
      <c r="E21" s="10" t="n">
        <v>161</v>
      </c>
      <c r="F21" s="10" t="n">
        <v>3213</v>
      </c>
      <c r="G21" s="10" t="n">
        <v>422493</v>
      </c>
      <c r="H21" s="10" t="s">
        <v>306</v>
      </c>
    </row>
    <row r="22" customFormat="false" ht="15" hidden="false" customHeight="false" outlineLevel="0" collapsed="false">
      <c r="B22" s="10" t="n">
        <v>9</v>
      </c>
      <c r="C22" s="10" t="s">
        <v>298</v>
      </c>
      <c r="D22" s="10" t="n">
        <v>7760</v>
      </c>
      <c r="E22" s="10" t="n">
        <v>388</v>
      </c>
      <c r="F22" s="10" t="n">
        <v>7760</v>
      </c>
      <c r="G22" s="10" t="n">
        <v>430253</v>
      </c>
      <c r="H22" s="10" t="s">
        <v>307</v>
      </c>
    </row>
    <row r="23" customFormat="false" ht="15" hidden="false" customHeight="false" outlineLevel="0" collapsed="false">
      <c r="B23" s="10" t="n">
        <v>10</v>
      </c>
      <c r="C23" s="10" t="s">
        <v>298</v>
      </c>
      <c r="D23" s="10" t="n">
        <v>6467</v>
      </c>
      <c r="E23" s="10" t="n">
        <v>-323</v>
      </c>
      <c r="F23" s="10" t="n">
        <v>6467</v>
      </c>
      <c r="G23" s="10" t="n">
        <v>436720</v>
      </c>
      <c r="H23" s="10" t="s">
        <v>308</v>
      </c>
    </row>
    <row r="24" customFormat="false" ht="15" hidden="false" customHeight="false" outlineLevel="0" collapsed="false">
      <c r="B24" s="10" t="n">
        <v>11</v>
      </c>
      <c r="C24" s="10" t="s">
        <v>298</v>
      </c>
      <c r="D24" s="10" t="n">
        <v>5400</v>
      </c>
      <c r="E24" s="10" t="n">
        <v>-270</v>
      </c>
      <c r="F24" s="10" t="n">
        <v>5400</v>
      </c>
      <c r="G24" s="10" t="n">
        <v>442120</v>
      </c>
      <c r="H24" s="10" t="s">
        <v>309</v>
      </c>
    </row>
    <row r="25" customFormat="false" ht="15" hidden="false" customHeight="false" outlineLevel="0" collapsed="false">
      <c r="B25" s="10" t="n">
        <v>12</v>
      </c>
      <c r="C25" s="10" t="s">
        <v>298</v>
      </c>
      <c r="D25" s="10" t="n">
        <v>6351</v>
      </c>
      <c r="E25" s="10" t="n">
        <v>318</v>
      </c>
      <c r="F25" s="10" t="n">
        <v>6351</v>
      </c>
      <c r="G25" s="10" t="n">
        <v>448471</v>
      </c>
      <c r="H25" s="10" t="s">
        <v>310</v>
      </c>
    </row>
    <row r="26" customFormat="false" ht="15" hidden="false" customHeight="false" outlineLevel="0" collapsed="false">
      <c r="B26" s="10" t="n">
        <v>13</v>
      </c>
      <c r="C26" s="10" t="s">
        <v>298</v>
      </c>
      <c r="D26" s="10" t="n">
        <v>6035</v>
      </c>
      <c r="E26" s="10" t="n">
        <v>-302</v>
      </c>
      <c r="F26" s="10" t="n">
        <v>6035</v>
      </c>
      <c r="G26" s="10" t="n">
        <v>454506</v>
      </c>
      <c r="H26" s="10" t="s">
        <v>311</v>
      </c>
    </row>
    <row r="27" customFormat="false" ht="15" hidden="false" customHeight="false" outlineLevel="0" collapsed="false">
      <c r="B27" s="10" t="n">
        <v>14</v>
      </c>
      <c r="C27" s="10" t="s">
        <v>298</v>
      </c>
      <c r="D27" s="10" t="n">
        <v>608</v>
      </c>
      <c r="E27" s="10" t="n">
        <v>-30</v>
      </c>
      <c r="F27" s="10" t="n">
        <v>608</v>
      </c>
      <c r="G27" s="10" t="n">
        <v>455114</v>
      </c>
      <c r="H27" s="10" t="s">
        <v>311</v>
      </c>
    </row>
    <row r="28" customFormat="false" ht="15" hidden="false" customHeight="false" outlineLevel="0" collapsed="false">
      <c r="B28" s="10" t="n">
        <v>15</v>
      </c>
      <c r="C28" s="10" t="s">
        <v>298</v>
      </c>
      <c r="D28" s="10" t="n">
        <v>28464</v>
      </c>
      <c r="E28" s="10" t="n">
        <v>-1423</v>
      </c>
      <c r="F28" s="10" t="n">
        <v>28464</v>
      </c>
      <c r="G28" s="10" t="n">
        <v>483578</v>
      </c>
      <c r="H28" s="10" t="s">
        <v>312</v>
      </c>
    </row>
    <row r="29" customFormat="false" ht="15" hidden="false" customHeight="false" outlineLevel="0" collapsed="false">
      <c r="B29" s="10" t="n">
        <v>16</v>
      </c>
      <c r="C29" s="10" t="s">
        <v>298</v>
      </c>
      <c r="D29" s="10" t="n">
        <v>4054</v>
      </c>
      <c r="E29" s="10" t="n">
        <v>-203</v>
      </c>
      <c r="F29" s="10" t="n">
        <v>4054</v>
      </c>
      <c r="G29" s="10" t="n">
        <v>487632</v>
      </c>
      <c r="H29" s="10" t="s">
        <v>313</v>
      </c>
    </row>
    <row r="30" customFormat="false" ht="15" hidden="false" customHeight="false" outlineLevel="0" collapsed="false">
      <c r="B30" s="10" t="n">
        <v>17</v>
      </c>
      <c r="C30" s="10" t="s">
        <v>298</v>
      </c>
      <c r="D30" s="10" t="n">
        <v>31040</v>
      </c>
      <c r="E30" s="10" t="n">
        <v>1552</v>
      </c>
      <c r="F30" s="10" t="n">
        <v>31040</v>
      </c>
      <c r="G30" s="10" t="n">
        <v>518672</v>
      </c>
      <c r="H30" s="10" t="s">
        <v>314</v>
      </c>
    </row>
    <row r="31" customFormat="false" ht="15" hidden="false" customHeight="false" outlineLevel="0" collapsed="false">
      <c r="B31" s="10" t="n">
        <v>18</v>
      </c>
      <c r="C31" s="10" t="s">
        <v>298</v>
      </c>
      <c r="D31" s="10" t="n">
        <v>142000</v>
      </c>
      <c r="E31" s="10" t="n">
        <v>7100</v>
      </c>
      <c r="F31" s="10" t="n">
        <v>142000</v>
      </c>
      <c r="G31" s="10" t="n">
        <v>660672</v>
      </c>
      <c r="H31" s="10" t="s">
        <v>315</v>
      </c>
    </row>
    <row r="32" customFormat="false" ht="15" hidden="false" customHeight="false" outlineLevel="0" collapsed="false">
      <c r="B32" s="10" t="n">
        <v>19</v>
      </c>
      <c r="C32" s="10" t="s">
        <v>298</v>
      </c>
      <c r="D32" s="10" t="n">
        <v>6120</v>
      </c>
      <c r="E32" s="10" t="n">
        <v>306</v>
      </c>
      <c r="F32" s="10" t="n">
        <v>6120</v>
      </c>
      <c r="G32" s="10" t="n">
        <v>666792</v>
      </c>
      <c r="H32" s="10" t="s">
        <v>316</v>
      </c>
    </row>
    <row r="33" customFormat="false" ht="15" hidden="false" customHeight="false" outlineLevel="0" collapsed="false">
      <c r="B33" s="10" t="n">
        <v>20</v>
      </c>
      <c r="C33" s="10" t="s">
        <v>298</v>
      </c>
      <c r="D33" s="10" t="n">
        <v>35470</v>
      </c>
      <c r="E33" s="10" t="n">
        <v>1774</v>
      </c>
      <c r="F33" s="10" t="n">
        <v>35470</v>
      </c>
      <c r="G33" s="10" t="n">
        <v>702262</v>
      </c>
      <c r="H33" s="10" t="s">
        <v>317</v>
      </c>
    </row>
    <row r="34" customFormat="false" ht="15" hidden="false" customHeight="false" outlineLevel="0" collapsed="false">
      <c r="B34" s="10" t="n">
        <v>21</v>
      </c>
      <c r="C34" s="10" t="s">
        <v>298</v>
      </c>
      <c r="D34" s="10" t="n">
        <v>106410</v>
      </c>
      <c r="E34" s="10" t="n">
        <v>5320</v>
      </c>
      <c r="F34" s="10" t="n">
        <v>106410</v>
      </c>
      <c r="G34" s="10" t="n">
        <v>808672</v>
      </c>
      <c r="H34" s="10" t="s">
        <v>318</v>
      </c>
    </row>
    <row r="35" customFormat="false" ht="15" hidden="false" customHeight="false" outlineLevel="0" collapsed="false">
      <c r="B35" s="10" t="n">
        <v>22</v>
      </c>
      <c r="C35" s="10" t="s">
        <v>298</v>
      </c>
      <c r="D35" s="10" t="n">
        <v>70940</v>
      </c>
      <c r="E35" s="10" t="n">
        <v>3547</v>
      </c>
      <c r="F35" s="10" t="n">
        <v>70940</v>
      </c>
      <c r="G35" s="10" t="n">
        <v>879612</v>
      </c>
      <c r="H35" s="10" t="s">
        <v>319</v>
      </c>
    </row>
    <row r="36" customFormat="false" ht="15" hidden="false" customHeight="false" outlineLevel="0" collapsed="false">
      <c r="B36" s="10" t="n">
        <v>23</v>
      </c>
      <c r="C36" s="10" t="s">
        <v>298</v>
      </c>
      <c r="D36" s="10" t="n">
        <v>27300</v>
      </c>
      <c r="E36" s="10" t="n">
        <v>1365</v>
      </c>
      <c r="F36" s="10" t="n">
        <v>27300</v>
      </c>
      <c r="G36" s="10" t="n">
        <v>906912</v>
      </c>
      <c r="H36" s="10" t="s">
        <v>320</v>
      </c>
    </row>
    <row r="37" customFormat="false" ht="15" hidden="false" customHeight="false" outlineLevel="0" collapsed="false">
      <c r="B37" s="10" t="n">
        <v>24</v>
      </c>
      <c r="C37" s="10" t="s">
        <v>298</v>
      </c>
      <c r="D37" s="10" t="n">
        <v>3213</v>
      </c>
      <c r="E37" s="10" t="n">
        <v>-161</v>
      </c>
      <c r="F37" s="10" t="n">
        <v>3213</v>
      </c>
      <c r="G37" s="10" t="n">
        <v>910125</v>
      </c>
      <c r="H37" s="10" t="s">
        <v>321</v>
      </c>
    </row>
    <row r="38" customFormat="false" ht="15" hidden="false" customHeight="false" outlineLevel="0" collapsed="false">
      <c r="B38" s="10" t="n">
        <v>25</v>
      </c>
      <c r="C38" s="10" t="s">
        <v>298</v>
      </c>
      <c r="D38" s="10" t="n">
        <v>7760</v>
      </c>
      <c r="E38" s="10" t="n">
        <v>-388</v>
      </c>
      <c r="F38" s="10" t="n">
        <v>7760</v>
      </c>
      <c r="G38" s="10" t="n">
        <v>917885</v>
      </c>
      <c r="H38" s="10" t="s">
        <v>322</v>
      </c>
    </row>
    <row r="39" customFormat="false" ht="15" hidden="false" customHeight="false" outlineLevel="0" collapsed="false">
      <c r="B39" s="10" t="n">
        <v>26</v>
      </c>
      <c r="C39" s="10" t="s">
        <v>298</v>
      </c>
      <c r="D39" s="10" t="n">
        <v>6467</v>
      </c>
      <c r="E39" s="10" t="n">
        <v>323</v>
      </c>
      <c r="F39" s="10" t="n">
        <v>6467</v>
      </c>
      <c r="G39" s="10" t="n">
        <v>924352</v>
      </c>
      <c r="H39" s="10" t="s">
        <v>323</v>
      </c>
    </row>
    <row r="40" customFormat="false" ht="15" hidden="false" customHeight="false" outlineLevel="0" collapsed="false">
      <c r="B40" s="10" t="n">
        <v>27</v>
      </c>
      <c r="C40" s="10" t="s">
        <v>298</v>
      </c>
      <c r="D40" s="10" t="n">
        <v>5400</v>
      </c>
      <c r="E40" s="10" t="n">
        <v>270</v>
      </c>
      <c r="F40" s="10" t="n">
        <v>5400</v>
      </c>
      <c r="G40" s="10" t="n">
        <v>929752</v>
      </c>
      <c r="H40" s="10" t="s">
        <v>324</v>
      </c>
    </row>
    <row r="41" customFormat="false" ht="15" hidden="false" customHeight="false" outlineLevel="0" collapsed="false">
      <c r="B41" s="10" t="n">
        <v>28</v>
      </c>
      <c r="C41" s="10" t="s">
        <v>298</v>
      </c>
      <c r="D41" s="10" t="n">
        <v>6351</v>
      </c>
      <c r="E41" s="10" t="n">
        <v>-318</v>
      </c>
      <c r="F41" s="10" t="n">
        <v>6351</v>
      </c>
      <c r="G41" s="10" t="n">
        <v>936103</v>
      </c>
      <c r="H41" s="10" t="s">
        <v>325</v>
      </c>
    </row>
    <row r="42" customFormat="false" ht="15" hidden="false" customHeight="false" outlineLevel="0" collapsed="false">
      <c r="B42" s="10" t="n">
        <v>29</v>
      </c>
      <c r="C42" s="10" t="s">
        <v>298</v>
      </c>
      <c r="D42" s="10" t="n">
        <v>6035</v>
      </c>
      <c r="E42" s="10" t="n">
        <v>302</v>
      </c>
      <c r="F42" s="10" t="n">
        <v>6035</v>
      </c>
      <c r="G42" s="10" t="n">
        <v>942138</v>
      </c>
      <c r="H42" s="10" t="s">
        <v>326</v>
      </c>
    </row>
    <row r="43" customFormat="false" ht="15" hidden="false" customHeight="false" outlineLevel="0" collapsed="false">
      <c r="B43" s="10" t="n">
        <v>30</v>
      </c>
      <c r="C43" s="10" t="s">
        <v>298</v>
      </c>
      <c r="D43" s="10" t="n">
        <v>608</v>
      </c>
      <c r="E43" s="10" t="n">
        <v>30</v>
      </c>
      <c r="F43" s="10" t="n">
        <v>608</v>
      </c>
      <c r="G43" s="10" t="n">
        <v>942746</v>
      </c>
      <c r="H43" s="10" t="s">
        <v>326</v>
      </c>
    </row>
    <row r="44" customFormat="false" ht="15" hidden="false" customHeight="false" outlineLevel="0" collapsed="false">
      <c r="B44" s="10" t="n">
        <v>31</v>
      </c>
      <c r="C44" s="10" t="s">
        <v>298</v>
      </c>
      <c r="D44" s="10" t="n">
        <v>28464</v>
      </c>
      <c r="E44" s="10" t="n">
        <v>1423</v>
      </c>
      <c r="F44" s="10" t="n">
        <v>28464</v>
      </c>
      <c r="G44" s="10" t="n">
        <v>971210</v>
      </c>
      <c r="H44" s="10" t="s">
        <v>327</v>
      </c>
    </row>
    <row r="45" customFormat="false" ht="15" hidden="false" customHeight="false" outlineLevel="0" collapsed="false">
      <c r="B45" s="10" t="n">
        <v>32</v>
      </c>
      <c r="C45" s="10" t="s">
        <v>298</v>
      </c>
      <c r="D45" s="10" t="n">
        <v>4054</v>
      </c>
      <c r="E45" s="10" t="n">
        <v>203</v>
      </c>
      <c r="F45" s="10" t="n">
        <v>4054</v>
      </c>
      <c r="G45" s="10" t="n">
        <v>975264</v>
      </c>
      <c r="H45" s="10" t="s">
        <v>328</v>
      </c>
    </row>
    <row r="46" customFormat="false" ht="15" hidden="false" customHeight="false" outlineLevel="0" collapsed="false">
      <c r="B46" s="10" t="n">
        <v>33</v>
      </c>
      <c r="C46" s="10" t="s">
        <v>329</v>
      </c>
      <c r="D46" s="10" t="n">
        <v>176550</v>
      </c>
      <c r="E46" s="10" t="n">
        <v>-8828</v>
      </c>
      <c r="F46" s="10" t="n">
        <v>176550</v>
      </c>
      <c r="G46" s="10" t="n">
        <v>1151814</v>
      </c>
      <c r="H46" s="10" t="s">
        <v>330</v>
      </c>
    </row>
    <row r="47" customFormat="false" ht="15" hidden="false" customHeight="false" outlineLevel="0" collapsed="false">
      <c r="B47" s="10" t="n">
        <v>34</v>
      </c>
      <c r="C47" s="10" t="s">
        <v>329</v>
      </c>
      <c r="D47" s="10" t="n">
        <v>49250</v>
      </c>
      <c r="E47" s="10" t="n">
        <v>-2462</v>
      </c>
      <c r="F47" s="10" t="n">
        <v>49250</v>
      </c>
      <c r="G47" s="10" t="n">
        <v>1201064</v>
      </c>
      <c r="H47" s="10" t="s">
        <v>331</v>
      </c>
    </row>
    <row r="48" customFormat="false" ht="15" hidden="false" customHeight="false" outlineLevel="0" collapsed="false">
      <c r="B48" s="10" t="n">
        <v>35</v>
      </c>
      <c r="C48" s="10" t="s">
        <v>329</v>
      </c>
      <c r="D48" s="10" t="n">
        <v>1849</v>
      </c>
      <c r="E48" s="10" t="n">
        <v>-92</v>
      </c>
      <c r="F48" s="10" t="n">
        <v>1849</v>
      </c>
      <c r="G48" s="10" t="n">
        <v>1202913</v>
      </c>
      <c r="H48" s="10" t="s">
        <v>331</v>
      </c>
    </row>
    <row r="49" customFormat="false" ht="15" hidden="false" customHeight="false" outlineLevel="0" collapsed="false">
      <c r="B49" s="10" t="n">
        <v>36</v>
      </c>
      <c r="C49" s="10" t="s">
        <v>329</v>
      </c>
      <c r="D49" s="10" t="n">
        <v>176550</v>
      </c>
      <c r="E49" s="10" t="n">
        <v>8828</v>
      </c>
      <c r="F49" s="10" t="n">
        <v>176550</v>
      </c>
      <c r="G49" s="10" t="n">
        <v>1379463</v>
      </c>
      <c r="H49" s="10" t="s">
        <v>332</v>
      </c>
    </row>
    <row r="50" customFormat="false" ht="15" hidden="false" customHeight="false" outlineLevel="0" collapsed="false">
      <c r="B50" s="10" t="n">
        <v>37</v>
      </c>
      <c r="C50" s="10" t="s">
        <v>329</v>
      </c>
      <c r="D50" s="10" t="n">
        <v>49250</v>
      </c>
      <c r="E50" s="10" t="n">
        <v>2462</v>
      </c>
      <c r="F50" s="10" t="n">
        <v>49250</v>
      </c>
      <c r="G50" s="10" t="n">
        <v>1428713</v>
      </c>
      <c r="H50" s="10" t="s">
        <v>333</v>
      </c>
    </row>
    <row r="51" customFormat="false" ht="15" hidden="false" customHeight="false" outlineLevel="0" collapsed="false">
      <c r="B51" s="10" t="n">
        <v>38</v>
      </c>
      <c r="C51" s="10" t="s">
        <v>329</v>
      </c>
      <c r="D51" s="10" t="n">
        <v>1849</v>
      </c>
      <c r="E51" s="10" t="n">
        <v>92</v>
      </c>
      <c r="F51" s="10" t="n">
        <v>1849</v>
      </c>
      <c r="G51" s="10" t="n">
        <v>1430562</v>
      </c>
      <c r="H51" s="10" t="s">
        <v>334</v>
      </c>
    </row>
    <row r="52" customFormat="false" ht="15" hidden="false" customHeight="false" outlineLevel="0" collapsed="false">
      <c r="B52" s="10" t="n">
        <v>39</v>
      </c>
      <c r="C52" s="10" t="s">
        <v>335</v>
      </c>
      <c r="D52" s="10" t="n">
        <v>7000</v>
      </c>
      <c r="E52" s="10" t="n">
        <v>-350</v>
      </c>
      <c r="F52" s="10" t="n">
        <v>7000</v>
      </c>
      <c r="G52" s="10" t="n">
        <v>1437562</v>
      </c>
      <c r="H52" s="10" t="s">
        <v>336</v>
      </c>
    </row>
    <row r="53" customFormat="false" ht="15" hidden="false" customHeight="false" outlineLevel="0" collapsed="false">
      <c r="B53" s="10" t="n">
        <v>40</v>
      </c>
      <c r="C53" s="10" t="s">
        <v>335</v>
      </c>
      <c r="D53" s="10" t="n">
        <v>230555</v>
      </c>
      <c r="E53" s="10" t="n">
        <v>-11528</v>
      </c>
      <c r="F53" s="10" t="n">
        <v>230555</v>
      </c>
      <c r="G53" s="10" t="n">
        <v>1668117</v>
      </c>
      <c r="H53" s="10" t="s">
        <v>337</v>
      </c>
    </row>
    <row r="54" customFormat="false" ht="15" hidden="false" customHeight="false" outlineLevel="0" collapsed="false">
      <c r="B54" s="10" t="n">
        <v>41</v>
      </c>
      <c r="C54" s="10" t="s">
        <v>335</v>
      </c>
      <c r="D54" s="10" t="n">
        <v>248290</v>
      </c>
      <c r="E54" s="10" t="n">
        <v>-12414</v>
      </c>
      <c r="F54" s="10" t="n">
        <v>248290</v>
      </c>
      <c r="G54" s="10" t="n">
        <v>1916407</v>
      </c>
      <c r="H54" s="10" t="s">
        <v>338</v>
      </c>
    </row>
    <row r="55" customFormat="false" ht="15" hidden="false" customHeight="false" outlineLevel="0" collapsed="false">
      <c r="B55" s="10" t="n">
        <v>42</v>
      </c>
      <c r="C55" s="10" t="s">
        <v>335</v>
      </c>
      <c r="D55" s="10" t="n">
        <v>109200</v>
      </c>
      <c r="E55" s="10" t="n">
        <v>-5460</v>
      </c>
      <c r="F55" s="10" t="n">
        <v>109200</v>
      </c>
      <c r="G55" s="10" t="n">
        <v>2025607</v>
      </c>
      <c r="H55" s="10" t="s">
        <v>339</v>
      </c>
    </row>
    <row r="56" customFormat="false" ht="15" hidden="false" customHeight="false" outlineLevel="0" collapsed="false">
      <c r="B56" s="10" t="n">
        <v>43</v>
      </c>
      <c r="C56" s="10" t="s">
        <v>335</v>
      </c>
      <c r="D56" s="10" t="n">
        <v>21600</v>
      </c>
      <c r="E56" s="10" t="n">
        <v>-1080</v>
      </c>
      <c r="F56" s="10" t="n">
        <v>21600</v>
      </c>
      <c r="G56" s="10" t="n">
        <v>2047207</v>
      </c>
      <c r="H56" s="10" t="s">
        <v>340</v>
      </c>
    </row>
    <row r="57" customFormat="false" ht="15" hidden="false" customHeight="false" outlineLevel="0" collapsed="false">
      <c r="B57" s="10" t="n">
        <v>44</v>
      </c>
      <c r="C57" s="10" t="s">
        <v>335</v>
      </c>
      <c r="D57" s="10" t="n">
        <v>1014</v>
      </c>
      <c r="E57" s="10" t="n">
        <v>-51</v>
      </c>
      <c r="F57" s="10" t="n">
        <v>1014</v>
      </c>
      <c r="G57" s="10" t="n">
        <v>2048221</v>
      </c>
      <c r="H57" s="10" t="s">
        <v>340</v>
      </c>
    </row>
    <row r="58" customFormat="false" ht="15" hidden="false" customHeight="false" outlineLevel="0" collapsed="false">
      <c r="B58" s="10" t="n">
        <v>45</v>
      </c>
      <c r="C58" s="10" t="s">
        <v>335</v>
      </c>
      <c r="D58" s="10" t="n">
        <v>1651</v>
      </c>
      <c r="E58" s="10" t="n">
        <v>-83</v>
      </c>
      <c r="F58" s="10" t="n">
        <v>1651</v>
      </c>
      <c r="G58" s="10" t="n">
        <v>2049872</v>
      </c>
      <c r="H58" s="10" t="s">
        <v>341</v>
      </c>
    </row>
    <row r="59" customFormat="false" ht="15" hidden="false" customHeight="false" outlineLevel="0" collapsed="false">
      <c r="B59" s="10" t="n">
        <v>46</v>
      </c>
      <c r="C59" s="10" t="s">
        <v>335</v>
      </c>
      <c r="D59" s="10" t="n">
        <v>7000</v>
      </c>
      <c r="E59" s="10" t="n">
        <v>350</v>
      </c>
      <c r="F59" s="10" t="n">
        <v>7000</v>
      </c>
      <c r="G59" s="10" t="n">
        <v>2056872</v>
      </c>
      <c r="H59" s="10" t="s">
        <v>342</v>
      </c>
    </row>
    <row r="60" customFormat="false" ht="15" hidden="false" customHeight="false" outlineLevel="0" collapsed="false">
      <c r="B60" s="10" t="n">
        <v>47</v>
      </c>
      <c r="C60" s="10" t="s">
        <v>335</v>
      </c>
      <c r="D60" s="10" t="n">
        <v>230555</v>
      </c>
      <c r="E60" s="10" t="n">
        <v>11528</v>
      </c>
      <c r="F60" s="10" t="n">
        <v>230555</v>
      </c>
      <c r="G60" s="10" t="n">
        <v>2287427</v>
      </c>
      <c r="H60" s="10" t="s">
        <v>343</v>
      </c>
    </row>
    <row r="61" customFormat="false" ht="15" hidden="false" customHeight="false" outlineLevel="0" collapsed="false">
      <c r="B61" s="10" t="n">
        <v>48</v>
      </c>
      <c r="C61" s="10" t="s">
        <v>335</v>
      </c>
      <c r="D61" s="10" t="n">
        <v>248290</v>
      </c>
      <c r="E61" s="10" t="n">
        <v>12414</v>
      </c>
      <c r="F61" s="10" t="n">
        <v>248290</v>
      </c>
      <c r="G61" s="10" t="n">
        <v>2535717</v>
      </c>
      <c r="H61" s="10" t="s">
        <v>344</v>
      </c>
    </row>
    <row r="62" customFormat="false" ht="15" hidden="false" customHeight="false" outlineLevel="0" collapsed="false">
      <c r="B62" s="10" t="n">
        <v>49</v>
      </c>
      <c r="C62" s="10" t="s">
        <v>335</v>
      </c>
      <c r="D62" s="10" t="n">
        <v>109200</v>
      </c>
      <c r="E62" s="10" t="n">
        <v>5460</v>
      </c>
      <c r="F62" s="10" t="n">
        <v>109200</v>
      </c>
      <c r="G62" s="10" t="n">
        <v>2644917</v>
      </c>
      <c r="H62" s="10" t="s">
        <v>345</v>
      </c>
    </row>
    <row r="63" customFormat="false" ht="15" hidden="false" customHeight="false" outlineLevel="0" collapsed="false">
      <c r="B63" s="10" t="n">
        <v>50</v>
      </c>
      <c r="C63" s="10" t="s">
        <v>335</v>
      </c>
      <c r="D63" s="10" t="n">
        <v>21600</v>
      </c>
      <c r="E63" s="10" t="n">
        <v>1080</v>
      </c>
      <c r="F63" s="10" t="n">
        <v>21600</v>
      </c>
      <c r="G63" s="10" t="n">
        <v>2666517</v>
      </c>
      <c r="H63" s="10" t="s">
        <v>346</v>
      </c>
    </row>
    <row r="64" customFormat="false" ht="15" hidden="false" customHeight="false" outlineLevel="0" collapsed="false">
      <c r="B64" s="10" t="n">
        <v>51</v>
      </c>
      <c r="C64" s="10" t="s">
        <v>335</v>
      </c>
      <c r="D64" s="10" t="n">
        <v>1014</v>
      </c>
      <c r="E64" s="10" t="n">
        <v>51</v>
      </c>
      <c r="F64" s="10" t="n">
        <v>1014</v>
      </c>
      <c r="G64" s="10" t="n">
        <v>2667531</v>
      </c>
      <c r="H64" s="10" t="s">
        <v>346</v>
      </c>
    </row>
    <row r="65" customFormat="false" ht="15" hidden="false" customHeight="false" outlineLevel="0" collapsed="false">
      <c r="B65" s="10" t="n">
        <v>52</v>
      </c>
      <c r="C65" s="10" t="s">
        <v>335</v>
      </c>
      <c r="D65" s="10" t="n">
        <v>1651</v>
      </c>
      <c r="E65" s="10" t="n">
        <v>83</v>
      </c>
      <c r="F65" s="10" t="n">
        <v>1651</v>
      </c>
      <c r="G65" s="10" t="n">
        <v>2669182</v>
      </c>
      <c r="H65" s="10" t="s">
        <v>347</v>
      </c>
    </row>
    <row r="66" customFormat="false" ht="15" hidden="false" customHeight="false" outlineLevel="0" collapsed="false">
      <c r="B66" s="10" t="n">
        <v>53</v>
      </c>
      <c r="C66" s="10" t="s">
        <v>348</v>
      </c>
      <c r="D66" s="10" t="n">
        <v>16810</v>
      </c>
      <c r="E66" s="10" t="n">
        <v>-840</v>
      </c>
      <c r="F66" s="10" t="n">
        <v>16810</v>
      </c>
      <c r="G66" s="10" t="n">
        <v>2685992</v>
      </c>
      <c r="H66" s="10" t="s">
        <v>349</v>
      </c>
    </row>
    <row r="67" customFormat="false" ht="15" hidden="false" customHeight="false" outlineLevel="0" collapsed="false">
      <c r="B67" s="10" t="n">
        <v>54</v>
      </c>
      <c r="C67" s="10" t="s">
        <v>348</v>
      </c>
      <c r="D67" s="10" t="n">
        <v>3930</v>
      </c>
      <c r="E67" s="10" t="n">
        <v>-196</v>
      </c>
      <c r="F67" s="10" t="n">
        <v>3930</v>
      </c>
      <c r="G67" s="10" t="n">
        <v>2689922</v>
      </c>
      <c r="H67" s="10" t="s">
        <v>350</v>
      </c>
    </row>
    <row r="68" customFormat="false" ht="15" hidden="false" customHeight="false" outlineLevel="0" collapsed="false">
      <c r="B68" s="10" t="n">
        <v>55</v>
      </c>
      <c r="C68" s="10" t="s">
        <v>348</v>
      </c>
      <c r="D68" s="10" t="n">
        <v>70000</v>
      </c>
      <c r="E68" s="10" t="n">
        <v>-3500</v>
      </c>
      <c r="F68" s="10" t="n">
        <v>70000</v>
      </c>
      <c r="G68" s="10" t="n">
        <v>2759922</v>
      </c>
      <c r="H68" s="10" t="s">
        <v>351</v>
      </c>
    </row>
    <row r="69" customFormat="false" ht="15" hidden="false" customHeight="false" outlineLevel="0" collapsed="false">
      <c r="B69" s="10" t="n">
        <v>56</v>
      </c>
      <c r="C69" s="10" t="s">
        <v>348</v>
      </c>
      <c r="D69" s="10" t="n">
        <v>1000</v>
      </c>
      <c r="E69" s="10" t="n">
        <v>-50</v>
      </c>
      <c r="F69" s="10" t="n">
        <v>1000</v>
      </c>
      <c r="G69" s="10" t="n">
        <v>2760922</v>
      </c>
      <c r="H69" s="10" t="s">
        <v>351</v>
      </c>
    </row>
    <row r="70" customFormat="false" ht="15" hidden="false" customHeight="false" outlineLevel="0" collapsed="false">
      <c r="B70" s="10" t="n">
        <v>57</v>
      </c>
      <c r="C70" s="10" t="s">
        <v>348</v>
      </c>
      <c r="D70" s="10" t="n">
        <v>13830</v>
      </c>
      <c r="E70" s="10" t="n">
        <v>-692</v>
      </c>
      <c r="F70" s="10" t="n">
        <v>13830</v>
      </c>
      <c r="G70" s="10" t="n">
        <v>2774752</v>
      </c>
      <c r="H70" s="10" t="s">
        <v>352</v>
      </c>
    </row>
    <row r="71" customFormat="false" ht="15" hidden="false" customHeight="false" outlineLevel="0" collapsed="false">
      <c r="B71" s="10" t="n">
        <v>58</v>
      </c>
      <c r="C71" s="10" t="s">
        <v>348</v>
      </c>
      <c r="D71" s="10" t="n">
        <v>14980</v>
      </c>
      <c r="E71" s="10" t="n">
        <v>-749</v>
      </c>
      <c r="F71" s="10" t="n">
        <v>14980</v>
      </c>
      <c r="G71" s="10" t="n">
        <v>2789732</v>
      </c>
      <c r="H71" s="10" t="s">
        <v>353</v>
      </c>
    </row>
    <row r="72" customFormat="false" ht="15" hidden="false" customHeight="false" outlineLevel="0" collapsed="false">
      <c r="B72" s="10" t="n">
        <v>59</v>
      </c>
      <c r="C72" s="10" t="s">
        <v>348</v>
      </c>
      <c r="D72" s="10" t="n">
        <v>12360</v>
      </c>
      <c r="E72" s="10" t="n">
        <v>-618</v>
      </c>
      <c r="F72" s="10" t="n">
        <v>12360</v>
      </c>
      <c r="G72" s="10" t="n">
        <v>2802092</v>
      </c>
      <c r="H72" s="10" t="s">
        <v>354</v>
      </c>
    </row>
    <row r="73" customFormat="false" ht="15" hidden="false" customHeight="false" outlineLevel="0" collapsed="false">
      <c r="B73" s="10" t="n">
        <v>60</v>
      </c>
      <c r="C73" s="10" t="s">
        <v>348</v>
      </c>
      <c r="D73" s="10" t="n">
        <v>11890</v>
      </c>
      <c r="E73" s="10" t="n">
        <v>-594</v>
      </c>
      <c r="F73" s="10" t="n">
        <v>11890</v>
      </c>
      <c r="G73" s="10" t="n">
        <v>2813982</v>
      </c>
      <c r="H73" s="10" t="s">
        <v>355</v>
      </c>
    </row>
    <row r="74" customFormat="false" ht="15" hidden="false" customHeight="false" outlineLevel="0" collapsed="false">
      <c r="B74" s="10" t="n">
        <v>61</v>
      </c>
      <c r="C74" s="10" t="s">
        <v>348</v>
      </c>
      <c r="D74" s="10" t="n">
        <v>11890</v>
      </c>
      <c r="E74" s="10" t="n">
        <v>-594</v>
      </c>
      <c r="F74" s="10" t="n">
        <v>11890</v>
      </c>
      <c r="G74" s="10" t="n">
        <v>2825872</v>
      </c>
      <c r="H74" s="10" t="s">
        <v>356</v>
      </c>
    </row>
    <row r="75" customFormat="false" ht="15" hidden="false" customHeight="false" outlineLevel="0" collapsed="false">
      <c r="B75" s="10" t="n">
        <v>62</v>
      </c>
      <c r="C75" s="10" t="s">
        <v>348</v>
      </c>
      <c r="D75" s="10" t="n">
        <v>35470</v>
      </c>
      <c r="E75" s="10" t="n">
        <v>-1774</v>
      </c>
      <c r="F75" s="10" t="n">
        <v>35470</v>
      </c>
      <c r="G75" s="10" t="n">
        <v>2861342</v>
      </c>
      <c r="H75" s="10" t="s">
        <v>357</v>
      </c>
    </row>
    <row r="76" customFormat="false" ht="15" hidden="false" customHeight="false" outlineLevel="0" collapsed="false">
      <c r="B76" s="10" t="n">
        <v>63</v>
      </c>
      <c r="C76" s="10" t="s">
        <v>348</v>
      </c>
      <c r="D76" s="10" t="n">
        <v>12830</v>
      </c>
      <c r="E76" s="10" t="n">
        <v>-642</v>
      </c>
      <c r="F76" s="10" t="n">
        <v>12830</v>
      </c>
      <c r="G76" s="10" t="n">
        <v>2874172</v>
      </c>
      <c r="H76" s="10" t="s">
        <v>358</v>
      </c>
    </row>
    <row r="77" customFormat="false" ht="15" hidden="false" customHeight="false" outlineLevel="0" collapsed="false">
      <c r="B77" s="10" t="n">
        <v>64</v>
      </c>
      <c r="C77" s="10" t="s">
        <v>348</v>
      </c>
      <c r="D77" s="10" t="n">
        <v>163800</v>
      </c>
      <c r="E77" s="10" t="n">
        <v>-8190</v>
      </c>
      <c r="F77" s="10" t="n">
        <v>163800</v>
      </c>
      <c r="G77" s="10" t="n">
        <v>3037972</v>
      </c>
      <c r="H77" s="10" t="s">
        <v>359</v>
      </c>
    </row>
    <row r="78" customFormat="false" ht="15" hidden="false" customHeight="false" outlineLevel="0" collapsed="false">
      <c r="B78" s="10" t="n">
        <v>65</v>
      </c>
      <c r="C78" s="10" t="s">
        <v>348</v>
      </c>
      <c r="D78" s="10" t="n">
        <v>10470</v>
      </c>
      <c r="E78" s="10" t="n">
        <v>-524</v>
      </c>
      <c r="F78" s="10" t="n">
        <v>10470</v>
      </c>
      <c r="G78" s="10" t="n">
        <v>3048442</v>
      </c>
      <c r="H78" s="10" t="s">
        <v>360</v>
      </c>
    </row>
    <row r="79" customFormat="false" ht="15" hidden="false" customHeight="false" outlineLevel="0" collapsed="false">
      <c r="B79" s="10" t="n">
        <v>66</v>
      </c>
      <c r="C79" s="10" t="s">
        <v>348</v>
      </c>
      <c r="D79" s="10" t="n">
        <v>13854</v>
      </c>
      <c r="E79" s="10" t="n">
        <v>-693</v>
      </c>
      <c r="F79" s="10" t="n">
        <v>13854</v>
      </c>
      <c r="G79" s="10" t="n">
        <v>3062296</v>
      </c>
      <c r="H79" s="10" t="s">
        <v>361</v>
      </c>
    </row>
    <row r="80" customFormat="false" ht="15" hidden="false" customHeight="false" outlineLevel="0" collapsed="false">
      <c r="B80" s="10" t="n">
        <v>67</v>
      </c>
      <c r="C80" s="10" t="s">
        <v>348</v>
      </c>
      <c r="D80" s="10" t="n">
        <v>21865</v>
      </c>
      <c r="E80" s="10" t="n">
        <v>1093</v>
      </c>
      <c r="F80" s="10" t="n">
        <v>21865</v>
      </c>
      <c r="G80" s="10" t="n">
        <v>3084161</v>
      </c>
      <c r="H80" s="10" t="s">
        <v>362</v>
      </c>
    </row>
    <row r="81" customFormat="false" ht="15" hidden="false" customHeight="false" outlineLevel="0" collapsed="false">
      <c r="B81" s="10" t="n">
        <v>68</v>
      </c>
      <c r="C81" s="10" t="s">
        <v>348</v>
      </c>
      <c r="D81" s="10" t="n">
        <v>15514</v>
      </c>
      <c r="E81" s="10" t="n">
        <v>-776</v>
      </c>
      <c r="F81" s="10" t="n">
        <v>15514</v>
      </c>
      <c r="G81" s="10" t="n">
        <v>3099675</v>
      </c>
      <c r="H81" s="10" t="s">
        <v>363</v>
      </c>
    </row>
    <row r="82" customFormat="false" ht="15" hidden="false" customHeight="false" outlineLevel="0" collapsed="false">
      <c r="B82" s="10" t="n">
        <v>69</v>
      </c>
      <c r="C82" s="10" t="s">
        <v>348</v>
      </c>
      <c r="D82" s="10" t="n">
        <v>16683</v>
      </c>
      <c r="E82" s="10" t="n">
        <v>-834</v>
      </c>
      <c r="F82" s="10" t="n">
        <v>16683</v>
      </c>
      <c r="G82" s="10" t="n">
        <v>3116358</v>
      </c>
      <c r="H82" s="10" t="s">
        <v>364</v>
      </c>
    </row>
    <row r="83" customFormat="false" ht="15" hidden="false" customHeight="false" outlineLevel="0" collapsed="false">
      <c r="B83" s="10" t="n">
        <v>70</v>
      </c>
      <c r="C83" s="10" t="s">
        <v>348</v>
      </c>
      <c r="D83" s="10" t="n">
        <v>420</v>
      </c>
      <c r="E83" s="10" t="n">
        <v>21</v>
      </c>
      <c r="F83" s="10" t="n">
        <v>420</v>
      </c>
      <c r="G83" s="10" t="n">
        <v>3116778</v>
      </c>
      <c r="H83" s="10" t="s">
        <v>364</v>
      </c>
    </row>
    <row r="84" customFormat="false" ht="15" hidden="false" customHeight="false" outlineLevel="0" collapsed="false">
      <c r="B84" s="10" t="n">
        <v>71</v>
      </c>
      <c r="C84" s="10" t="s">
        <v>348</v>
      </c>
      <c r="D84" s="10" t="n">
        <v>7116</v>
      </c>
      <c r="E84" s="10" t="n">
        <v>-356</v>
      </c>
      <c r="F84" s="10" t="n">
        <v>7116</v>
      </c>
      <c r="G84" s="10" t="n">
        <v>3123894</v>
      </c>
      <c r="H84" s="10" t="s">
        <v>365</v>
      </c>
    </row>
    <row r="85" customFormat="false" ht="15" hidden="false" customHeight="false" outlineLevel="0" collapsed="false">
      <c r="B85" s="10" t="n">
        <v>72</v>
      </c>
      <c r="C85" s="10" t="s">
        <v>348</v>
      </c>
      <c r="D85" s="10" t="n">
        <v>4086</v>
      </c>
      <c r="E85" s="10" t="n">
        <v>-204</v>
      </c>
      <c r="F85" s="10" t="n">
        <v>4086</v>
      </c>
      <c r="G85" s="10" t="n">
        <v>3127980</v>
      </c>
      <c r="H85" s="10" t="s">
        <v>366</v>
      </c>
    </row>
    <row r="86" customFormat="false" ht="15" hidden="false" customHeight="false" outlineLevel="0" collapsed="false">
      <c r="B86" s="10" t="n">
        <v>73</v>
      </c>
      <c r="C86" s="10" t="s">
        <v>348</v>
      </c>
      <c r="D86" s="10" t="n">
        <v>5370</v>
      </c>
      <c r="E86" s="10" t="n">
        <v>-268</v>
      </c>
      <c r="F86" s="10" t="n">
        <v>5370</v>
      </c>
      <c r="G86" s="10" t="n">
        <v>3133350</v>
      </c>
      <c r="H86" s="10" t="s">
        <v>367</v>
      </c>
    </row>
    <row r="87" customFormat="false" ht="15" hidden="false" customHeight="false" outlineLevel="0" collapsed="false">
      <c r="B87" s="10" t="n">
        <v>74</v>
      </c>
      <c r="C87" s="10" t="s">
        <v>348</v>
      </c>
      <c r="D87" s="10" t="n">
        <v>16810</v>
      </c>
      <c r="E87" s="10" t="n">
        <v>840</v>
      </c>
      <c r="F87" s="10" t="n">
        <v>16810</v>
      </c>
      <c r="G87" s="10" t="n">
        <v>3150160</v>
      </c>
      <c r="H87" s="10" t="s">
        <v>368</v>
      </c>
    </row>
    <row r="88" customFormat="false" ht="15" hidden="false" customHeight="false" outlineLevel="0" collapsed="false">
      <c r="B88" s="10" t="n">
        <v>75</v>
      </c>
      <c r="C88" s="10" t="s">
        <v>348</v>
      </c>
      <c r="D88" s="10" t="n">
        <v>3930</v>
      </c>
      <c r="E88" s="10" t="n">
        <v>196</v>
      </c>
      <c r="F88" s="10" t="n">
        <v>3930</v>
      </c>
      <c r="G88" s="10" t="n">
        <v>3154090</v>
      </c>
      <c r="H88" s="10" t="s">
        <v>369</v>
      </c>
    </row>
    <row r="89" customFormat="false" ht="15" hidden="false" customHeight="false" outlineLevel="0" collapsed="false">
      <c r="B89" s="10" t="n">
        <v>76</v>
      </c>
      <c r="C89" s="10" t="s">
        <v>348</v>
      </c>
      <c r="D89" s="10" t="n">
        <v>70000</v>
      </c>
      <c r="E89" s="10" t="n">
        <v>3500</v>
      </c>
      <c r="F89" s="10" t="n">
        <v>70000</v>
      </c>
      <c r="G89" s="10" t="n">
        <v>3224090</v>
      </c>
      <c r="H89" s="10" t="s">
        <v>370</v>
      </c>
    </row>
    <row r="90" customFormat="false" ht="15" hidden="false" customHeight="false" outlineLevel="0" collapsed="false">
      <c r="B90" s="10" t="n">
        <v>77</v>
      </c>
      <c r="C90" s="10" t="s">
        <v>348</v>
      </c>
      <c r="D90" s="10" t="n">
        <v>1000</v>
      </c>
      <c r="E90" s="10" t="n">
        <v>50</v>
      </c>
      <c r="F90" s="10" t="n">
        <v>1000</v>
      </c>
      <c r="G90" s="10" t="n">
        <v>3225090</v>
      </c>
      <c r="H90" s="10" t="s">
        <v>370</v>
      </c>
    </row>
    <row r="91" customFormat="false" ht="15" hidden="false" customHeight="false" outlineLevel="0" collapsed="false">
      <c r="B91" s="10" t="n">
        <v>78</v>
      </c>
      <c r="C91" s="10" t="s">
        <v>348</v>
      </c>
      <c r="D91" s="10" t="n">
        <v>13830</v>
      </c>
      <c r="E91" s="10" t="n">
        <v>692</v>
      </c>
      <c r="F91" s="10" t="n">
        <v>13830</v>
      </c>
      <c r="G91" s="10" t="n">
        <v>3238920</v>
      </c>
      <c r="H91" s="10" t="s">
        <v>371</v>
      </c>
    </row>
    <row r="92" customFormat="false" ht="15" hidden="false" customHeight="false" outlineLevel="0" collapsed="false">
      <c r="B92" s="10" t="n">
        <v>79</v>
      </c>
      <c r="C92" s="10" t="s">
        <v>348</v>
      </c>
      <c r="D92" s="10" t="n">
        <v>14980</v>
      </c>
      <c r="E92" s="10" t="n">
        <v>749</v>
      </c>
      <c r="F92" s="10" t="n">
        <v>14980</v>
      </c>
      <c r="G92" s="10" t="n">
        <v>3253900</v>
      </c>
      <c r="H92" s="10" t="s">
        <v>372</v>
      </c>
    </row>
    <row r="93" customFormat="false" ht="15" hidden="false" customHeight="false" outlineLevel="0" collapsed="false">
      <c r="B93" s="10" t="n">
        <v>80</v>
      </c>
      <c r="C93" s="10" t="s">
        <v>348</v>
      </c>
      <c r="D93" s="10" t="n">
        <v>12360</v>
      </c>
      <c r="E93" s="10" t="n">
        <v>618</v>
      </c>
      <c r="F93" s="10" t="n">
        <v>12360</v>
      </c>
      <c r="G93" s="10" t="n">
        <v>3266260</v>
      </c>
      <c r="H93" s="10" t="s">
        <v>373</v>
      </c>
    </row>
    <row r="94" customFormat="false" ht="15" hidden="false" customHeight="false" outlineLevel="0" collapsed="false">
      <c r="B94" s="10" t="n">
        <v>81</v>
      </c>
      <c r="C94" s="10" t="s">
        <v>348</v>
      </c>
      <c r="D94" s="10" t="n">
        <v>11890</v>
      </c>
      <c r="E94" s="10" t="n">
        <v>594</v>
      </c>
      <c r="F94" s="10" t="n">
        <v>11890</v>
      </c>
      <c r="G94" s="10" t="n">
        <v>3278150</v>
      </c>
      <c r="H94" s="10" t="s">
        <v>374</v>
      </c>
    </row>
    <row r="95" customFormat="false" ht="15" hidden="false" customHeight="false" outlineLevel="0" collapsed="false">
      <c r="B95" s="10" t="n">
        <v>82</v>
      </c>
      <c r="C95" s="10" t="s">
        <v>348</v>
      </c>
      <c r="D95" s="10" t="n">
        <v>11890</v>
      </c>
      <c r="E95" s="10" t="n">
        <v>594</v>
      </c>
      <c r="F95" s="10" t="n">
        <v>11890</v>
      </c>
      <c r="G95" s="10" t="n">
        <v>3290040</v>
      </c>
      <c r="H95" s="10" t="s">
        <v>375</v>
      </c>
    </row>
    <row r="96" customFormat="false" ht="15" hidden="false" customHeight="false" outlineLevel="0" collapsed="false">
      <c r="B96" s="10" t="n">
        <v>83</v>
      </c>
      <c r="C96" s="10" t="s">
        <v>348</v>
      </c>
      <c r="D96" s="10" t="n">
        <v>35470</v>
      </c>
      <c r="E96" s="10" t="n">
        <v>1774</v>
      </c>
      <c r="F96" s="10" t="n">
        <v>35470</v>
      </c>
      <c r="G96" s="10" t="n">
        <v>3325510</v>
      </c>
      <c r="H96" s="10" t="s">
        <v>376</v>
      </c>
    </row>
    <row r="97" customFormat="false" ht="15" hidden="false" customHeight="false" outlineLevel="0" collapsed="false">
      <c r="B97" s="10" t="n">
        <v>84</v>
      </c>
      <c r="C97" s="10" t="s">
        <v>348</v>
      </c>
      <c r="D97" s="10" t="n">
        <v>12830</v>
      </c>
      <c r="E97" s="10" t="n">
        <v>642</v>
      </c>
      <c r="F97" s="10" t="n">
        <v>12830</v>
      </c>
      <c r="G97" s="10" t="n">
        <v>3338340</v>
      </c>
      <c r="H97" s="10" t="s">
        <v>377</v>
      </c>
    </row>
    <row r="98" customFormat="false" ht="15" hidden="false" customHeight="false" outlineLevel="0" collapsed="false">
      <c r="B98" s="10" t="n">
        <v>85</v>
      </c>
      <c r="C98" s="10" t="s">
        <v>348</v>
      </c>
      <c r="D98" s="10" t="n">
        <v>163800</v>
      </c>
      <c r="E98" s="10" t="n">
        <v>8190</v>
      </c>
      <c r="F98" s="10" t="n">
        <v>163800</v>
      </c>
      <c r="G98" s="10" t="n">
        <v>3502140</v>
      </c>
      <c r="H98" s="10" t="s">
        <v>378</v>
      </c>
    </row>
    <row r="99" customFormat="false" ht="15" hidden="false" customHeight="false" outlineLevel="0" collapsed="false">
      <c r="B99" s="10" t="n">
        <v>86</v>
      </c>
      <c r="C99" s="10" t="s">
        <v>348</v>
      </c>
      <c r="D99" s="10" t="n">
        <v>10470</v>
      </c>
      <c r="E99" s="10" t="n">
        <v>524</v>
      </c>
      <c r="F99" s="10" t="n">
        <v>10470</v>
      </c>
      <c r="G99" s="10" t="n">
        <v>3512610</v>
      </c>
      <c r="H99" s="10" t="s">
        <v>379</v>
      </c>
    </row>
    <row r="100" customFormat="false" ht="15" hidden="false" customHeight="false" outlineLevel="0" collapsed="false">
      <c r="B100" s="10" t="n">
        <v>87</v>
      </c>
      <c r="C100" s="10" t="s">
        <v>348</v>
      </c>
      <c r="D100" s="10" t="n">
        <v>13854</v>
      </c>
      <c r="E100" s="10" t="n">
        <v>693</v>
      </c>
      <c r="F100" s="10" t="n">
        <v>13854</v>
      </c>
      <c r="G100" s="10" t="n">
        <v>3526464</v>
      </c>
      <c r="H100" s="10" t="s">
        <v>380</v>
      </c>
    </row>
    <row r="101" customFormat="false" ht="15" hidden="false" customHeight="false" outlineLevel="0" collapsed="false">
      <c r="B101" s="10" t="n">
        <v>88</v>
      </c>
      <c r="C101" s="10" t="s">
        <v>348</v>
      </c>
      <c r="D101" s="10" t="n">
        <v>21865</v>
      </c>
      <c r="E101" s="10" t="n">
        <v>-1093</v>
      </c>
      <c r="F101" s="10" t="n">
        <v>21865</v>
      </c>
      <c r="G101" s="10" t="n">
        <v>3548329</v>
      </c>
      <c r="H101" s="10" t="s">
        <v>381</v>
      </c>
    </row>
    <row r="102" customFormat="false" ht="15" hidden="false" customHeight="false" outlineLevel="0" collapsed="false">
      <c r="B102" s="10" t="n">
        <v>89</v>
      </c>
      <c r="C102" s="10" t="s">
        <v>348</v>
      </c>
      <c r="D102" s="10" t="n">
        <v>15514</v>
      </c>
      <c r="E102" s="10" t="n">
        <v>776</v>
      </c>
      <c r="F102" s="10" t="n">
        <v>15514</v>
      </c>
      <c r="G102" s="10" t="n">
        <v>3563843</v>
      </c>
      <c r="H102" s="10" t="s">
        <v>382</v>
      </c>
    </row>
    <row r="103" customFormat="false" ht="15" hidden="false" customHeight="false" outlineLevel="0" collapsed="false">
      <c r="B103" s="10" t="n">
        <v>90</v>
      </c>
      <c r="C103" s="10" t="s">
        <v>348</v>
      </c>
      <c r="D103" s="10" t="n">
        <v>16683</v>
      </c>
      <c r="E103" s="10" t="n">
        <v>834</v>
      </c>
      <c r="F103" s="10" t="n">
        <v>16683</v>
      </c>
      <c r="G103" s="10" t="n">
        <v>3580526</v>
      </c>
      <c r="H103" s="10" t="s">
        <v>383</v>
      </c>
    </row>
    <row r="104" customFormat="false" ht="15" hidden="false" customHeight="false" outlineLevel="0" collapsed="false">
      <c r="B104" s="10" t="n">
        <v>91</v>
      </c>
      <c r="C104" s="10" t="s">
        <v>348</v>
      </c>
      <c r="D104" s="10" t="n">
        <v>420</v>
      </c>
      <c r="E104" s="10" t="n">
        <v>-21</v>
      </c>
      <c r="F104" s="10" t="n">
        <v>420</v>
      </c>
      <c r="G104" s="10" t="n">
        <v>3580946</v>
      </c>
      <c r="H104" s="10" t="s">
        <v>383</v>
      </c>
    </row>
    <row r="105" customFormat="false" ht="15" hidden="false" customHeight="false" outlineLevel="0" collapsed="false">
      <c r="B105" s="10" t="n">
        <v>92</v>
      </c>
      <c r="C105" s="10" t="s">
        <v>348</v>
      </c>
      <c r="D105" s="10" t="n">
        <v>7116</v>
      </c>
      <c r="E105" s="10" t="n">
        <v>356</v>
      </c>
      <c r="F105" s="10" t="n">
        <v>7116</v>
      </c>
      <c r="G105" s="10" t="n">
        <v>3588062</v>
      </c>
      <c r="H105" s="10" t="s">
        <v>384</v>
      </c>
    </row>
    <row r="106" customFormat="false" ht="15" hidden="false" customHeight="false" outlineLevel="0" collapsed="false">
      <c r="B106" s="10" t="n">
        <v>93</v>
      </c>
      <c r="C106" s="10" t="s">
        <v>348</v>
      </c>
      <c r="D106" s="10" t="n">
        <v>4086</v>
      </c>
      <c r="E106" s="10" t="n">
        <v>204</v>
      </c>
      <c r="F106" s="10" t="n">
        <v>4086</v>
      </c>
      <c r="G106" s="10" t="n">
        <v>3592148</v>
      </c>
      <c r="H106" s="10" t="s">
        <v>385</v>
      </c>
    </row>
    <row r="107" customFormat="false" ht="15" hidden="false" customHeight="false" outlineLevel="0" collapsed="false">
      <c r="B107" s="10" t="n">
        <v>94</v>
      </c>
      <c r="C107" s="10" t="s">
        <v>348</v>
      </c>
      <c r="D107" s="10" t="n">
        <v>5370</v>
      </c>
      <c r="E107" s="10" t="n">
        <v>268</v>
      </c>
      <c r="F107" s="10" t="n">
        <v>5370</v>
      </c>
      <c r="G107" s="10" t="n">
        <v>3597518</v>
      </c>
      <c r="H107" s="10" t="s">
        <v>386</v>
      </c>
    </row>
    <row r="109" customFormat="false" ht="15" hidden="false" customHeight="false" outlineLevel="0" collapsed="false">
      <c r="B109" s="3" t="s">
        <v>57</v>
      </c>
    </row>
    <row r="110" customFormat="false" ht="15" hidden="false" customHeight="false" outlineLevel="0" collapsed="false">
      <c r="B110" s="2" t="s">
        <v>58</v>
      </c>
    </row>
    <row r="111" customFormat="false" ht="15" hidden="false" customHeight="false" outlineLevel="0" collapsed="false">
      <c r="B111" s="2" t="s">
        <v>59</v>
      </c>
    </row>
    <row r="112" customFormat="false" ht="15" hidden="false" customHeight="false" outlineLevel="0" collapsed="false">
      <c r="B112" s="2" t="s">
        <v>60</v>
      </c>
    </row>
    <row r="113" customFormat="false" ht="15" hidden="false" customHeight="false" outlineLevel="0" collapsed="false">
      <c r="B113" s="2" t="s">
        <v>61</v>
      </c>
    </row>
    <row r="114" customFormat="false" ht="15" hidden="false" customHeight="false" outlineLevel="0" collapsed="false">
      <c r="B114" s="2" t="s">
        <v>62</v>
      </c>
    </row>
    <row r="115" customFormat="false" ht="15" hidden="false" customHeight="false" outlineLevel="0" collapsed="false">
      <c r="B115" s="2" t="s">
        <v>63</v>
      </c>
    </row>
    <row r="116" customFormat="false" ht="15" hidden="false" customHeight="false" outlineLevel="0" collapsed="false">
      <c r="B116" s="2" t="s">
        <v>64</v>
      </c>
    </row>
    <row r="117" customFormat="false" ht="15" hidden="false" customHeight="false" outlineLevel="0" collapsed="false">
      <c r="B117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"/>
    <col collapsed="false" customWidth="true" hidden="false" outlineLevel="0" max="3" min="3" style="0" width="24"/>
    <col collapsed="false" customWidth="true" hidden="false" outlineLevel="0" max="4" min="4" style="0" width="80"/>
  </cols>
  <sheetData>
    <row r="2" customFormat="false" ht="22.05" hidden="false" customHeight="false" outlineLevel="0" collapsed="false">
      <c r="B2" s="1" t="s">
        <v>387</v>
      </c>
    </row>
    <row r="4" customFormat="false" ht="15" hidden="false" customHeight="false" outlineLevel="0" collapsed="false">
      <c r="B4" s="13" t="s">
        <v>263</v>
      </c>
      <c r="C4" s="13" t="s">
        <v>388</v>
      </c>
      <c r="D4" s="13" t="s">
        <v>389</v>
      </c>
    </row>
    <row r="5" customFormat="false" ht="23.85" hidden="false" customHeight="false" outlineLevel="0" collapsed="false">
      <c r="B5" s="10" t="n">
        <v>1</v>
      </c>
      <c r="C5" s="4" t="s">
        <v>390</v>
      </c>
      <c r="D5" s="14" t="s">
        <v>391</v>
      </c>
    </row>
    <row r="6" customFormat="false" ht="23.85" hidden="false" customHeight="false" outlineLevel="0" collapsed="false">
      <c r="B6" s="10" t="n">
        <v>2</v>
      </c>
      <c r="C6" s="4" t="s">
        <v>392</v>
      </c>
      <c r="D6" s="14" t="s">
        <v>393</v>
      </c>
    </row>
    <row r="7" customFormat="false" ht="35.05" hidden="false" customHeight="false" outlineLevel="0" collapsed="false">
      <c r="B7" s="10" t="n">
        <v>3</v>
      </c>
      <c r="C7" s="4" t="s">
        <v>394</v>
      </c>
      <c r="D7" s="14" t="s">
        <v>395</v>
      </c>
    </row>
    <row r="8" customFormat="false" ht="35.05" hidden="false" customHeight="false" outlineLevel="0" collapsed="false">
      <c r="B8" s="10" t="n">
        <v>4</v>
      </c>
      <c r="C8" s="4" t="s">
        <v>396</v>
      </c>
      <c r="D8" s="14" t="s">
        <v>397</v>
      </c>
    </row>
    <row r="9" customFormat="false" ht="23.85" hidden="false" customHeight="false" outlineLevel="0" collapsed="false">
      <c r="B9" s="10" t="n">
        <v>5</v>
      </c>
      <c r="C9" s="4" t="s">
        <v>398</v>
      </c>
      <c r="D9" s="14" t="s">
        <v>399</v>
      </c>
    </row>
    <row r="10" customFormat="false" ht="23.85" hidden="false" customHeight="false" outlineLevel="0" collapsed="false">
      <c r="B10" s="10" t="n">
        <v>6</v>
      </c>
      <c r="C10" s="4" t="s">
        <v>400</v>
      </c>
      <c r="D10" s="14" t="s">
        <v>401</v>
      </c>
    </row>
    <row r="11" customFormat="false" ht="23.85" hidden="false" customHeight="false" outlineLevel="0" collapsed="false">
      <c r="B11" s="10" t="n">
        <v>7</v>
      </c>
      <c r="C11" s="4" t="s">
        <v>402</v>
      </c>
      <c r="D11" s="14" t="s">
        <v>403</v>
      </c>
    </row>
    <row r="12" customFormat="false" ht="35.05" hidden="false" customHeight="false" outlineLevel="0" collapsed="false">
      <c r="B12" s="10" t="n">
        <v>8</v>
      </c>
      <c r="C12" s="4" t="s">
        <v>404</v>
      </c>
      <c r="D12" s="14" t="s">
        <v>405</v>
      </c>
    </row>
    <row r="13" customFormat="false" ht="15" hidden="false" customHeight="false" outlineLevel="0" collapsed="false">
      <c r="B13" s="10" t="n">
        <v>9</v>
      </c>
      <c r="C13" s="4" t="s">
        <v>406</v>
      </c>
      <c r="D13" s="14" t="s">
        <v>407</v>
      </c>
    </row>
    <row r="14" customFormat="false" ht="35.05" hidden="false" customHeight="false" outlineLevel="0" collapsed="false">
      <c r="B14" s="10" t="n">
        <v>10</v>
      </c>
      <c r="C14" s="4" t="s">
        <v>408</v>
      </c>
      <c r="D14" s="14" t="s">
        <v>409</v>
      </c>
    </row>
    <row r="17" customFormat="false" ht="15" hidden="false" customHeight="false" outlineLevel="0" collapsed="false">
      <c r="B17" s="3" t="s">
        <v>57</v>
      </c>
    </row>
    <row r="18" customFormat="false" ht="15" hidden="false" customHeight="false" outlineLevel="0" collapsed="false">
      <c r="B18" s="2" t="s">
        <v>58</v>
      </c>
    </row>
    <row r="19" customFormat="false" ht="15" hidden="false" customHeight="false" outlineLevel="0" collapsed="false">
      <c r="B19" s="2" t="s">
        <v>59</v>
      </c>
    </row>
    <row r="20" customFormat="false" ht="15" hidden="false" customHeight="false" outlineLevel="0" collapsed="false">
      <c r="B20" s="2" t="s">
        <v>60</v>
      </c>
    </row>
    <row r="21" customFormat="false" ht="15" hidden="false" customHeight="false" outlineLevel="0" collapsed="false">
      <c r="B21" s="2" t="s">
        <v>61</v>
      </c>
    </row>
    <row r="22" customFormat="false" ht="15" hidden="false" customHeight="false" outlineLevel="0" collapsed="false">
      <c r="B22" s="2" t="s">
        <v>62</v>
      </c>
    </row>
    <row r="23" customFormat="false" ht="15" hidden="false" customHeight="false" outlineLevel="0" collapsed="false">
      <c r="B23" s="2" t="s">
        <v>63</v>
      </c>
    </row>
    <row r="24" customFormat="false" ht="15" hidden="false" customHeight="false" outlineLevel="0" collapsed="false">
      <c r="B24" s="2" t="s">
        <v>64</v>
      </c>
    </row>
    <row r="25" customFormat="false" ht="15" hidden="false" customHeight="false" outlineLevel="0" collapsed="false">
      <c r="B25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0"/>
  </cols>
  <sheetData>
    <row r="2" customFormat="false" ht="22.05" hidden="false" customHeight="false" outlineLevel="0" collapsed="false">
      <c r="B2" s="1" t="s">
        <v>410</v>
      </c>
    </row>
    <row r="4" customFormat="false" ht="15" hidden="false" customHeight="false" outlineLevel="0" collapsed="false">
      <c r="B4" s="13" t="s">
        <v>411</v>
      </c>
      <c r="C4" s="13" t="s">
        <v>412</v>
      </c>
      <c r="D4" s="13" t="s">
        <v>413</v>
      </c>
      <c r="E4" s="13" t="s">
        <v>414</v>
      </c>
      <c r="F4" s="13" t="s">
        <v>13</v>
      </c>
    </row>
    <row r="5" customFormat="false" ht="15" hidden="false" customHeight="false" outlineLevel="0" collapsed="false">
      <c r="B5" s="4" t="s">
        <v>415</v>
      </c>
      <c r="C5" s="10" t="s">
        <v>416</v>
      </c>
      <c r="D5" s="10" t="s">
        <v>417</v>
      </c>
      <c r="E5" s="10" t="s">
        <v>418</v>
      </c>
      <c r="F5" s="4" t="s">
        <v>419</v>
      </c>
    </row>
    <row r="6" customFormat="false" ht="15" hidden="false" customHeight="false" outlineLevel="0" collapsed="false">
      <c r="B6" s="4" t="s">
        <v>251</v>
      </c>
      <c r="C6" s="10" t="s">
        <v>252</v>
      </c>
      <c r="D6" s="10" t="s">
        <v>420</v>
      </c>
      <c r="E6" s="10" t="s">
        <v>421</v>
      </c>
      <c r="F6" s="4" t="s">
        <v>419</v>
      </c>
    </row>
    <row r="7" customFormat="false" ht="15" hidden="false" customHeight="false" outlineLevel="0" collapsed="false">
      <c r="B7" s="4" t="s">
        <v>253</v>
      </c>
      <c r="C7" s="10" t="s">
        <v>254</v>
      </c>
      <c r="D7" s="10" t="s">
        <v>422</v>
      </c>
      <c r="E7" s="10" t="s">
        <v>423</v>
      </c>
      <c r="F7" s="4" t="s">
        <v>419</v>
      </c>
    </row>
    <row r="8" customFormat="false" ht="15" hidden="false" customHeight="false" outlineLevel="0" collapsed="false">
      <c r="B8" s="4" t="s">
        <v>424</v>
      </c>
      <c r="C8" s="10" t="s">
        <v>425</v>
      </c>
      <c r="D8" s="10" t="s">
        <v>426</v>
      </c>
      <c r="E8" s="10" t="s">
        <v>427</v>
      </c>
      <c r="F8" s="4" t="s">
        <v>419</v>
      </c>
    </row>
    <row r="9" customFormat="false" ht="15" hidden="false" customHeight="false" outlineLevel="0" collapsed="false">
      <c r="B9" s="4" t="s">
        <v>428</v>
      </c>
      <c r="C9" s="10" t="s">
        <v>429</v>
      </c>
      <c r="D9" s="10" t="s">
        <v>430</v>
      </c>
      <c r="E9" s="10" t="s">
        <v>431</v>
      </c>
      <c r="F9" s="15" t="s">
        <v>432</v>
      </c>
    </row>
    <row r="12" customFormat="false" ht="15" hidden="false" customHeight="false" outlineLevel="0" collapsed="false">
      <c r="B12" s="3" t="s">
        <v>57</v>
      </c>
    </row>
    <row r="13" customFormat="false" ht="15" hidden="false" customHeight="false" outlineLevel="0" collapsed="false">
      <c r="B13" s="2" t="s">
        <v>58</v>
      </c>
    </row>
    <row r="14" customFormat="false" ht="15" hidden="false" customHeight="false" outlineLevel="0" collapsed="false">
      <c r="B14" s="2" t="s">
        <v>59</v>
      </c>
    </row>
    <row r="15" customFormat="false" ht="15" hidden="false" customHeight="false" outlineLevel="0" collapsed="false">
      <c r="B15" s="2" t="s">
        <v>60</v>
      </c>
    </row>
    <row r="16" customFormat="false" ht="15" hidden="false" customHeight="false" outlineLevel="0" collapsed="false">
      <c r="B16" s="2" t="s">
        <v>61</v>
      </c>
    </row>
    <row r="17" customFormat="false" ht="15" hidden="false" customHeight="false" outlineLevel="0" collapsed="false">
      <c r="B17" s="2" t="s">
        <v>62</v>
      </c>
    </row>
    <row r="18" customFormat="false" ht="15" hidden="false" customHeight="false" outlineLevel="0" collapsed="false">
      <c r="B18" s="2" t="s">
        <v>63</v>
      </c>
    </row>
    <row r="19" customFormat="false" ht="15" hidden="false" customHeight="false" outlineLevel="0" collapsed="false">
      <c r="B19" s="2" t="s">
        <v>64</v>
      </c>
    </row>
    <row r="20" customFormat="false" ht="15" hidden="false" customHeight="false" outlineLevel="0" collapsed="false">
      <c r="B20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6"/>
    <col collapsed="false" customWidth="true" hidden="false" outlineLevel="0" max="4" min="3" style="0" width="16"/>
    <col collapsed="false" customWidth="true" hidden="false" outlineLevel="0" max="6" min="5" style="0" width="10"/>
  </cols>
  <sheetData>
    <row r="2" customFormat="false" ht="22.05" hidden="false" customHeight="false" outlineLevel="0" collapsed="false">
      <c r="B2" s="1" t="s">
        <v>433</v>
      </c>
    </row>
    <row r="4" customFormat="false" ht="15" hidden="false" customHeight="false" outlineLevel="0" collapsed="false">
      <c r="B4" s="13" t="s">
        <v>434</v>
      </c>
      <c r="C4" s="13" t="s">
        <v>435</v>
      </c>
      <c r="D4" s="13" t="s">
        <v>30</v>
      </c>
      <c r="E4" s="13" t="s">
        <v>436</v>
      </c>
      <c r="F4" s="13" t="s">
        <v>13</v>
      </c>
    </row>
    <row r="5" customFormat="false" ht="15" hidden="false" customHeight="false" outlineLevel="0" collapsed="false">
      <c r="B5" s="4" t="s">
        <v>437</v>
      </c>
      <c r="C5" s="10" t="s">
        <v>19</v>
      </c>
      <c r="D5" s="10" t="s">
        <v>284</v>
      </c>
      <c r="E5" s="10" t="s">
        <v>438</v>
      </c>
      <c r="F5" s="16" t="s">
        <v>439</v>
      </c>
    </row>
    <row r="6" customFormat="false" ht="15" hidden="false" customHeight="false" outlineLevel="0" collapsed="false">
      <c r="B6" s="4" t="s">
        <v>440</v>
      </c>
      <c r="C6" s="10" t="s">
        <v>289</v>
      </c>
      <c r="D6" s="10" t="s">
        <v>289</v>
      </c>
      <c r="E6" s="10" t="s">
        <v>438</v>
      </c>
      <c r="F6" s="15" t="s">
        <v>419</v>
      </c>
    </row>
    <row r="7" customFormat="false" ht="15" hidden="false" customHeight="false" outlineLevel="0" collapsed="false">
      <c r="B7" s="4" t="s">
        <v>441</v>
      </c>
      <c r="C7" s="10" t="s">
        <v>21</v>
      </c>
      <c r="D7" s="10" t="s">
        <v>21</v>
      </c>
      <c r="E7" s="10" t="s">
        <v>438</v>
      </c>
      <c r="F7" s="17" t="s">
        <v>442</v>
      </c>
    </row>
    <row r="8" customFormat="false" ht="15" hidden="false" customHeight="false" outlineLevel="0" collapsed="false">
      <c r="B8" s="4" t="s">
        <v>443</v>
      </c>
      <c r="C8" s="10" t="n">
        <v>33</v>
      </c>
      <c r="D8" s="10" t="n">
        <v>33</v>
      </c>
      <c r="E8" s="10" t="s">
        <v>438</v>
      </c>
      <c r="F8" s="17" t="s">
        <v>442</v>
      </c>
    </row>
    <row r="9" customFormat="false" ht="15" hidden="false" customHeight="false" outlineLevel="0" collapsed="false">
      <c r="B9" s="4" t="s">
        <v>444</v>
      </c>
      <c r="C9" s="10" t="s">
        <v>445</v>
      </c>
      <c r="D9" s="10" t="n">
        <v>23</v>
      </c>
      <c r="E9" s="10" t="s">
        <v>438</v>
      </c>
      <c r="F9" s="15" t="s">
        <v>419</v>
      </c>
    </row>
    <row r="12" customFormat="false" ht="15" hidden="false" customHeight="false" outlineLevel="0" collapsed="false">
      <c r="B12" s="3" t="s">
        <v>57</v>
      </c>
    </row>
    <row r="13" customFormat="false" ht="15" hidden="false" customHeight="false" outlineLevel="0" collapsed="false">
      <c r="B13" s="2" t="s">
        <v>58</v>
      </c>
    </row>
    <row r="14" customFormat="false" ht="15" hidden="false" customHeight="false" outlineLevel="0" collapsed="false">
      <c r="B14" s="2" t="s">
        <v>59</v>
      </c>
    </row>
    <row r="15" customFormat="false" ht="15" hidden="false" customHeight="false" outlineLevel="0" collapsed="false">
      <c r="B15" s="2" t="s">
        <v>60</v>
      </c>
    </row>
    <row r="16" customFormat="false" ht="15" hidden="false" customHeight="false" outlineLevel="0" collapsed="false">
      <c r="B16" s="2" t="s">
        <v>61</v>
      </c>
    </row>
    <row r="17" customFormat="false" ht="15" hidden="false" customHeight="false" outlineLevel="0" collapsed="false">
      <c r="B17" s="2" t="s">
        <v>62</v>
      </c>
    </row>
    <row r="18" customFormat="false" ht="15" hidden="false" customHeight="false" outlineLevel="0" collapsed="false">
      <c r="B18" s="2" t="s">
        <v>63</v>
      </c>
    </row>
    <row r="19" customFormat="false" ht="15" hidden="false" customHeight="false" outlineLevel="0" collapsed="false">
      <c r="B19" s="2" t="s">
        <v>64</v>
      </c>
    </row>
    <row r="20" customFormat="false" ht="15" hidden="false" customHeight="false" outlineLevel="0" collapsed="false">
      <c r="B20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30"/>
  </cols>
  <sheetData>
    <row r="2" customFormat="false" ht="22.05" hidden="false" customHeight="false" outlineLevel="0" collapsed="false">
      <c r="B2" s="1" t="s">
        <v>446</v>
      </c>
    </row>
    <row r="4" customFormat="false" ht="15" hidden="false" customHeight="false" outlineLevel="0" collapsed="false">
      <c r="B4" s="13" t="s">
        <v>263</v>
      </c>
      <c r="C4" s="13" t="s">
        <v>144</v>
      </c>
      <c r="D4" s="13" t="s">
        <v>145</v>
      </c>
      <c r="E4" s="13" t="s">
        <v>146</v>
      </c>
      <c r="F4" s="13" t="s">
        <v>147</v>
      </c>
      <c r="G4" s="13" t="s">
        <v>447</v>
      </c>
    </row>
    <row r="5" customFormat="false" ht="15" hidden="false" customHeight="false" outlineLevel="0" collapsed="false">
      <c r="B5" s="10" t="n">
        <v>1</v>
      </c>
      <c r="C5" s="10" t="s">
        <v>148</v>
      </c>
      <c r="D5" s="10" t="n">
        <v>101</v>
      </c>
      <c r="E5" s="10" t="n">
        <v>420436</v>
      </c>
      <c r="F5" s="10" t="s">
        <v>264</v>
      </c>
      <c r="G5" s="2" t="s">
        <v>448</v>
      </c>
    </row>
    <row r="6" customFormat="false" ht="15" hidden="false" customHeight="false" outlineLevel="0" collapsed="false">
      <c r="B6" s="10" t="n">
        <v>2</v>
      </c>
      <c r="C6" s="10" t="s">
        <v>149</v>
      </c>
      <c r="D6" s="10" t="n">
        <v>128</v>
      </c>
      <c r="E6" s="10" t="n">
        <v>184896</v>
      </c>
      <c r="F6" s="10" t="s">
        <v>266</v>
      </c>
      <c r="G6" s="2" t="s">
        <v>449</v>
      </c>
    </row>
    <row r="7" customFormat="false" ht="15" hidden="false" customHeight="false" outlineLevel="0" collapsed="false">
      <c r="B7" s="10" t="n">
        <v>3</v>
      </c>
      <c r="C7" s="10" t="s">
        <v>150</v>
      </c>
      <c r="D7" s="10" t="n">
        <v>25</v>
      </c>
      <c r="E7" s="10" t="n">
        <v>130768</v>
      </c>
      <c r="F7" s="10" t="s">
        <v>267</v>
      </c>
      <c r="G7" s="2" t="s">
        <v>450</v>
      </c>
    </row>
    <row r="8" customFormat="false" ht="15" hidden="false" customHeight="false" outlineLevel="0" collapsed="false">
      <c r="B8" s="10" t="n">
        <v>4</v>
      </c>
      <c r="C8" s="10" t="s">
        <v>151</v>
      </c>
      <c r="D8" s="10" t="n">
        <v>132</v>
      </c>
      <c r="E8" s="10" t="n">
        <v>116504</v>
      </c>
      <c r="F8" s="10" t="s">
        <v>268</v>
      </c>
      <c r="G8" s="2" t="s">
        <v>451</v>
      </c>
    </row>
    <row r="9" customFormat="false" ht="15" hidden="false" customHeight="false" outlineLevel="0" collapsed="false">
      <c r="B9" s="10" t="n">
        <v>5</v>
      </c>
      <c r="C9" s="10" t="s">
        <v>152</v>
      </c>
      <c r="D9" s="10" t="n">
        <v>7</v>
      </c>
      <c r="E9" s="10" t="n">
        <v>69125</v>
      </c>
      <c r="F9" s="10" t="s">
        <v>269</v>
      </c>
      <c r="G9" s="2"/>
    </row>
    <row r="10" customFormat="false" ht="15" hidden="false" customHeight="false" outlineLevel="0" collapsed="false">
      <c r="B10" s="10" t="n">
        <v>6</v>
      </c>
      <c r="C10" s="10" t="s">
        <v>153</v>
      </c>
      <c r="D10" s="10" t="n">
        <v>1</v>
      </c>
      <c r="E10" s="10" t="n">
        <v>44817</v>
      </c>
      <c r="F10" s="10" t="s">
        <v>270</v>
      </c>
      <c r="G10" s="2"/>
    </row>
    <row r="11" customFormat="false" ht="15" hidden="false" customHeight="false" outlineLevel="0" collapsed="false">
      <c r="B11" s="10" t="n">
        <v>7</v>
      </c>
      <c r="C11" s="10" t="s">
        <v>154</v>
      </c>
      <c r="D11" s="10" t="n">
        <v>13</v>
      </c>
      <c r="E11" s="10" t="n">
        <v>40629</v>
      </c>
      <c r="F11" s="10" t="s">
        <v>272</v>
      </c>
      <c r="G11" s="2"/>
    </row>
    <row r="12" customFormat="false" ht="15" hidden="false" customHeight="false" outlineLevel="0" collapsed="false">
      <c r="B12" s="10" t="n">
        <v>8</v>
      </c>
      <c r="C12" s="10" t="s">
        <v>155</v>
      </c>
      <c r="D12" s="10" t="n">
        <v>3</v>
      </c>
      <c r="E12" s="10" t="n">
        <v>20215</v>
      </c>
      <c r="F12" s="10" t="s">
        <v>273</v>
      </c>
      <c r="G12" s="2" t="s">
        <v>452</v>
      </c>
    </row>
    <row r="13" customFormat="false" ht="15" hidden="false" customHeight="false" outlineLevel="0" collapsed="false">
      <c r="B13" s="10" t="n">
        <v>9</v>
      </c>
      <c r="C13" s="10" t="s">
        <v>156</v>
      </c>
      <c r="D13" s="10" t="n">
        <v>39</v>
      </c>
      <c r="E13" s="10" t="n">
        <v>16104</v>
      </c>
      <c r="F13" s="10" t="s">
        <v>274</v>
      </c>
      <c r="G13" s="2"/>
    </row>
    <row r="14" customFormat="false" ht="15" hidden="false" customHeight="false" outlineLevel="0" collapsed="false">
      <c r="B14" s="10" t="n">
        <v>10</v>
      </c>
      <c r="C14" s="10" t="s">
        <v>157</v>
      </c>
      <c r="D14" s="10" t="n">
        <v>23</v>
      </c>
      <c r="E14" s="10" t="n">
        <v>15185</v>
      </c>
      <c r="F14" s="10" t="s">
        <v>275</v>
      </c>
      <c r="G14" s="2"/>
    </row>
    <row r="15" customFormat="false" ht="15" hidden="false" customHeight="false" outlineLevel="0" collapsed="false">
      <c r="B15" s="10" t="n">
        <v>11</v>
      </c>
      <c r="C15" s="10" t="s">
        <v>158</v>
      </c>
      <c r="D15" s="10" t="n">
        <v>14</v>
      </c>
      <c r="E15" s="10" t="n">
        <v>12346</v>
      </c>
      <c r="F15" s="10" t="s">
        <v>276</v>
      </c>
      <c r="G15" s="2" t="s">
        <v>453</v>
      </c>
    </row>
    <row r="16" customFormat="false" ht="15" hidden="false" customHeight="false" outlineLevel="0" collapsed="false">
      <c r="B16" s="10" t="n">
        <v>12</v>
      </c>
      <c r="C16" s="10" t="s">
        <v>159</v>
      </c>
      <c r="D16" s="10" t="n">
        <v>3</v>
      </c>
      <c r="E16" s="10" t="n">
        <v>11405</v>
      </c>
      <c r="F16" s="10" t="s">
        <v>278</v>
      </c>
      <c r="G16" s="2"/>
    </row>
    <row r="17" customFormat="false" ht="15" hidden="false" customHeight="false" outlineLevel="0" collapsed="false">
      <c r="B17" s="10" t="n">
        <v>13</v>
      </c>
      <c r="C17" s="10" t="s">
        <v>160</v>
      </c>
      <c r="D17" s="10" t="n">
        <v>5</v>
      </c>
      <c r="E17" s="10" t="n">
        <v>9198</v>
      </c>
      <c r="F17" s="10" t="s">
        <v>245</v>
      </c>
      <c r="G17" s="2"/>
    </row>
    <row r="18" customFormat="false" ht="15" hidden="false" customHeight="false" outlineLevel="0" collapsed="false">
      <c r="B18" s="10" t="n">
        <v>14</v>
      </c>
      <c r="C18" s="10" t="s">
        <v>161</v>
      </c>
      <c r="D18" s="10" t="n">
        <v>2</v>
      </c>
      <c r="E18" s="10" t="n">
        <v>2471</v>
      </c>
      <c r="F18" s="10" t="s">
        <v>279</v>
      </c>
      <c r="G18" s="2"/>
    </row>
    <row r="19" customFormat="false" ht="15" hidden="false" customHeight="false" outlineLevel="0" collapsed="false">
      <c r="B19" s="10" t="n">
        <v>15</v>
      </c>
      <c r="C19" s="10" t="s">
        <v>162</v>
      </c>
      <c r="D19" s="10" t="n">
        <v>2</v>
      </c>
      <c r="E19" s="10" t="n">
        <v>2272</v>
      </c>
      <c r="F19" s="10" t="s">
        <v>279</v>
      </c>
      <c r="G19" s="2"/>
    </row>
    <row r="20" customFormat="false" ht="15" hidden="false" customHeight="false" outlineLevel="0" collapsed="false">
      <c r="B20" s="10" t="n">
        <v>16</v>
      </c>
      <c r="C20" s="10" t="s">
        <v>163</v>
      </c>
      <c r="D20" s="10" t="n">
        <v>1</v>
      </c>
      <c r="E20" s="10" t="n">
        <v>2204</v>
      </c>
      <c r="F20" s="10" t="s">
        <v>279</v>
      </c>
      <c r="G20" s="2"/>
    </row>
    <row r="21" customFormat="false" ht="15" hidden="false" customHeight="false" outlineLevel="0" collapsed="false">
      <c r="B21" s="10" t="n">
        <v>17</v>
      </c>
      <c r="C21" s="10" t="s">
        <v>164</v>
      </c>
      <c r="D21" s="10" t="n">
        <v>49</v>
      </c>
      <c r="E21" s="10" t="n">
        <v>1892</v>
      </c>
      <c r="F21" s="10" t="s">
        <v>279</v>
      </c>
      <c r="G21" s="2"/>
    </row>
    <row r="22" customFormat="false" ht="15" hidden="false" customHeight="false" outlineLevel="0" collapsed="false">
      <c r="B22" s="10" t="n">
        <v>18</v>
      </c>
      <c r="C22" s="10" t="s">
        <v>165</v>
      </c>
      <c r="D22" s="10" t="n">
        <v>1</v>
      </c>
      <c r="E22" s="10" t="n">
        <v>1107</v>
      </c>
      <c r="F22" s="10" t="s">
        <v>280</v>
      </c>
      <c r="G22" s="2"/>
    </row>
    <row r="23" customFormat="false" ht="15" hidden="false" customHeight="false" outlineLevel="0" collapsed="false">
      <c r="B23" s="10" t="n">
        <v>19</v>
      </c>
      <c r="C23" s="10" t="s">
        <v>166</v>
      </c>
      <c r="D23" s="10" t="n">
        <v>2</v>
      </c>
      <c r="E23" s="10" t="n">
        <v>683</v>
      </c>
      <c r="F23" s="10" t="s">
        <v>280</v>
      </c>
      <c r="G23" s="2"/>
    </row>
    <row r="24" customFormat="false" ht="15" hidden="false" customHeight="false" outlineLevel="0" collapsed="false">
      <c r="B24" s="10" t="n">
        <v>20</v>
      </c>
      <c r="C24" s="10" t="s">
        <v>167</v>
      </c>
      <c r="D24" s="10" t="n">
        <v>1</v>
      </c>
      <c r="E24" s="10" t="n">
        <v>464</v>
      </c>
      <c r="F24" s="10" t="s">
        <v>243</v>
      </c>
      <c r="G24" s="2"/>
    </row>
    <row r="25" customFormat="false" ht="15" hidden="false" customHeight="false" outlineLevel="0" collapsed="false">
      <c r="B25" s="10" t="n">
        <v>21</v>
      </c>
      <c r="C25" s="10" t="s">
        <v>168</v>
      </c>
      <c r="D25" s="10" t="n">
        <v>2</v>
      </c>
      <c r="E25" s="10" t="n">
        <v>435</v>
      </c>
      <c r="F25" s="10" t="s">
        <v>243</v>
      </c>
      <c r="G25" s="2"/>
    </row>
    <row r="26" customFormat="false" ht="15" hidden="false" customHeight="false" outlineLevel="0" collapsed="false">
      <c r="B26" s="10" t="n">
        <v>22</v>
      </c>
      <c r="C26" s="10" t="s">
        <v>169</v>
      </c>
      <c r="D26" s="10" t="n">
        <v>2</v>
      </c>
      <c r="E26" s="10" t="n">
        <v>323</v>
      </c>
      <c r="F26" s="10" t="s">
        <v>243</v>
      </c>
      <c r="G26" s="2"/>
    </row>
    <row r="27" customFormat="false" ht="15" hidden="false" customHeight="false" outlineLevel="0" collapsed="false">
      <c r="B27" s="10" t="n">
        <v>23</v>
      </c>
      <c r="C27" s="10" t="s">
        <v>170</v>
      </c>
      <c r="D27" s="10" t="n">
        <v>1</v>
      </c>
      <c r="E27" s="10" t="n">
        <v>178</v>
      </c>
      <c r="F27" s="10" t="s">
        <v>243</v>
      </c>
      <c r="G27" s="2"/>
    </row>
    <row r="30" customFormat="false" ht="15" hidden="false" customHeight="false" outlineLevel="0" collapsed="false">
      <c r="B30" s="3" t="s">
        <v>57</v>
      </c>
    </row>
    <row r="31" customFormat="false" ht="15" hidden="false" customHeight="false" outlineLevel="0" collapsed="false">
      <c r="B31" s="2" t="s">
        <v>58</v>
      </c>
    </row>
    <row r="32" customFormat="false" ht="15" hidden="false" customHeight="false" outlineLevel="0" collapsed="false">
      <c r="B32" s="2" t="s">
        <v>59</v>
      </c>
    </row>
    <row r="33" customFormat="false" ht="15" hidden="false" customHeight="false" outlineLevel="0" collapsed="false">
      <c r="B33" s="2" t="s">
        <v>60</v>
      </c>
    </row>
    <row r="34" customFormat="false" ht="15" hidden="false" customHeight="false" outlineLevel="0" collapsed="false">
      <c r="B34" s="2" t="s">
        <v>61</v>
      </c>
    </row>
    <row r="35" customFormat="false" ht="15" hidden="false" customHeight="false" outlineLevel="0" collapsed="false">
      <c r="B35" s="2" t="s">
        <v>62</v>
      </c>
    </row>
    <row r="36" customFormat="false" ht="15" hidden="false" customHeight="false" outlineLevel="0" collapsed="false">
      <c r="B36" s="2" t="s">
        <v>63</v>
      </c>
    </row>
    <row r="37" customFormat="false" ht="15" hidden="false" customHeight="false" outlineLevel="0" collapsed="false">
      <c r="B37" s="2" t="s">
        <v>64</v>
      </c>
    </row>
    <row r="38" customFormat="false" ht="15" hidden="false" customHeight="false" outlineLevel="0" collapsed="false">
      <c r="B38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2026-04-28T00:25:09Z</dcterms:created>
  <dc:creator>openpyxl</dc:creator>
  <dc:description/>
  <dc:language>en-US</dc:language>
  <cp:lastModifiedBy/>
  <dcterms:modified xsi:type="dcterms:W3CDTF">2026-04-28T00:25:09Z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