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D5DEC5"/>
      </patternFill>
    </fill>
    <fill>
      <patternFill patternType="solid">
        <fgColor rgb="00E8CEC3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#2116 · The V Apartments</t>
        </is>
      </c>
    </row>
    <row r="2">
      <c r="A2" s="2" t="inlineStr">
        <is>
          <t>SRM Construction, Inc. · 194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468437.83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0</v>
      </c>
    </row>
    <row r="12">
      <c r="A12" s="4" t="inlineStr">
        <is>
          <t>Retention held</t>
        </is>
      </c>
      <c r="B12" s="5" t="n">
        <v>0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0</v>
      </c>
    </row>
    <row r="21">
      <c r="A21" s="4" t="inlineStr">
        <is>
          <t>PR</t>
        </is>
      </c>
      <c r="B21" s="9" t="n">
        <v>10092.02</v>
      </c>
    </row>
    <row r="22">
      <c r="A22" s="4" t="inlineStr">
        <is>
          <t>AR</t>
        </is>
      </c>
      <c r="B22" s="9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2116</t>
        </is>
      </c>
    </row>
    <row r="4">
      <c r="A4" s="10" t="inlineStr">
        <is>
          <t>Project name</t>
        </is>
      </c>
      <c r="B4" s="4" t="inlineStr">
        <is>
          <t>The V Apartments</t>
        </is>
      </c>
    </row>
    <row r="5">
      <c r="A5" s="10" t="inlineStr">
        <is>
          <t>General contractor</t>
        </is>
      </c>
      <c r="B5" s="4" t="inlineStr">
        <is>
          <t>SRM Construction, Inc.</t>
        </is>
      </c>
    </row>
    <row r="6">
      <c r="A6" s="10" t="inlineStr">
        <is>
          <t>Owner</t>
        </is>
      </c>
      <c r="B6" s="4" t="inlineStr">
        <is>
          <t>NYL (per executed GMP contract)</t>
        </is>
      </c>
    </row>
    <row r="7">
      <c r="A7" s="10" t="inlineStr">
        <is>
          <t>Units</t>
        </is>
      </c>
      <c r="B7" s="4" t="n">
        <v>194</v>
      </c>
    </row>
    <row r="8">
      <c r="A8" s="10" t="inlineStr">
        <is>
          <t>Insurance</t>
        </is>
      </c>
      <c r="B8" s="4" t="inlineStr">
        <is>
          <t>Standard (COI)</t>
        </is>
      </c>
    </row>
    <row r="9">
      <c r="A9" s="10" t="inlineStr">
        <is>
          <t>Job start</t>
        </is>
      </c>
      <c r="B9" s="4" t="inlineStr">
        <is>
          <t>Apr 2026</t>
        </is>
      </c>
    </row>
    <row r="10">
      <c r="A10" s="10" t="inlineStr">
        <is>
          <t>Expected completion</t>
        </is>
      </c>
      <c r="B10" s="4" t="inlineStr">
        <is>
          <t>TBD — schedule not published</t>
        </is>
      </c>
    </row>
    <row r="11">
      <c r="A11" s="10" t="inlineStr">
        <is>
          <t>Architect</t>
        </is>
      </c>
      <c r="B11" s="4" t="n"/>
    </row>
    <row r="12">
      <c r="A12" s="10" t="inlineStr">
        <is>
          <t>MEP Engineer</t>
        </is>
      </c>
      <c r="B12" s="4" t="inlineStr">
        <is>
          <t>Emerald City Engineers (ECE)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4" t="inlineStr">
        <is>
          <t>100</t>
        </is>
      </c>
      <c r="B4" s="4" t="inlineStr">
        <is>
          <t>Supervision</t>
        </is>
      </c>
      <c r="C4" s="5" t="n">
        <v>9628</v>
      </c>
      <c r="D4" s="5" t="n">
        <v>9628</v>
      </c>
      <c r="E4" s="5" t="n">
        <v>69</v>
      </c>
      <c r="F4" s="9">
        <f>D4-E4</f>
        <v/>
      </c>
      <c r="G4" s="5" t="n">
        <v>0</v>
      </c>
      <c r="H4" s="12">
        <f>IFERROR(E4/D4,0)</f>
        <v/>
      </c>
    </row>
    <row r="5">
      <c r="A5" s="4" t="inlineStr">
        <is>
          <t>101</t>
        </is>
      </c>
      <c r="B5" s="4" t="inlineStr">
        <is>
          <t>Takeoff &amp; Purchase Labor</t>
        </is>
      </c>
      <c r="C5" s="5" t="n">
        <v>25398</v>
      </c>
      <c r="D5" s="5" t="n">
        <v>25398</v>
      </c>
      <c r="E5" s="5" t="n">
        <v>6420</v>
      </c>
      <c r="F5" s="9">
        <f>D5-E5</f>
        <v/>
      </c>
      <c r="G5" s="5" t="n">
        <v>0</v>
      </c>
      <c r="H5" s="12">
        <f>IFERROR(E5/D5,0)</f>
        <v/>
      </c>
    </row>
    <row r="6">
      <c r="A6" s="4" t="inlineStr">
        <is>
          <t>995</t>
        </is>
      </c>
      <c r="B6" s="4" t="inlineStr">
        <is>
          <t>Payroll Burden</t>
        </is>
      </c>
      <c r="C6" s="5" t="n">
        <v>364765.86</v>
      </c>
      <c r="D6" s="5" t="n">
        <v>364765.86</v>
      </c>
      <c r="E6" s="5" t="n">
        <v>3106.5</v>
      </c>
      <c r="F6" s="9">
        <f>D6-E6</f>
        <v/>
      </c>
      <c r="G6" s="5" t="n">
        <v>0</v>
      </c>
      <c r="H6" s="12">
        <f>IFERROR(E6/D6,0)</f>
        <v/>
      </c>
    </row>
    <row r="7">
      <c r="A7" s="4" t="inlineStr">
        <is>
          <t>998</t>
        </is>
      </c>
      <c r="B7" s="4" t="inlineStr">
        <is>
          <t>Payroll Taxes</t>
        </is>
      </c>
      <c r="C7" s="5" t="n">
        <v>68645.97</v>
      </c>
      <c r="D7" s="5" t="n">
        <v>68645.97</v>
      </c>
      <c r="E7" s="5" t="n">
        <v>496.52</v>
      </c>
      <c r="F7" s="9">
        <f>D7-E7</f>
        <v/>
      </c>
      <c r="G7" s="5" t="n">
        <v>0</v>
      </c>
      <c r="H7" s="12">
        <f>IFERROR(E7/D7,0)</f>
        <v/>
      </c>
    </row>
    <row r="8">
      <c r="A8" s="10" t="inlineStr">
        <is>
          <t>TOTAL</t>
        </is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6">
        <f>SUM(G4:G7)</f>
        <v/>
      </c>
      <c r="H8" s="7">
        <f>IFERROR(E8/D8,0)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2</v>
      </c>
      <c r="C4" s="5" t="n">
        <v>35026</v>
      </c>
      <c r="D4" s="5" t="n">
        <v>6489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0</v>
      </c>
      <c r="C6" s="5" t="n">
        <v>0</v>
      </c>
      <c r="D6" s="5" t="n">
        <v>0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2</v>
      </c>
      <c r="C7" s="5" t="n">
        <v>433411.83</v>
      </c>
      <c r="D7" s="5" t="n">
        <v>3603.02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  <row r="5">
      <c r="A5" s="4" t="inlineStr">
        <is>
          <t>100</t>
        </is>
      </c>
      <c r="B5" s="4" t="inlineStr">
        <is>
          <t>Supervision</t>
        </is>
      </c>
      <c r="C5" s="5" t="n">
        <v>9628</v>
      </c>
      <c r="D5" s="5" t="n">
        <v>69</v>
      </c>
      <c r="E5" s="9">
        <f>C5-D5</f>
        <v/>
      </c>
      <c r="F5" s="12">
        <f>IFERROR((D5-C5)/C5,0)</f>
        <v/>
      </c>
      <c r="G5" s="14">
        <f>IF(C5=0,"UNBUDGETED",IF(F5&gt;0.5,"CRITICAL",IF(F5&gt;0.1,"OVER",IF(F5&lt;-0.1,"UNDER","ON"))))</f>
        <v/>
      </c>
    </row>
    <row r="6">
      <c r="A6" s="4" t="inlineStr">
        <is>
          <t>101</t>
        </is>
      </c>
      <c r="B6" s="4" t="inlineStr">
        <is>
          <t>Takeoff &amp; Purchase Labor</t>
        </is>
      </c>
      <c r="C6" s="5" t="n">
        <v>25398</v>
      </c>
      <c r="D6" s="5" t="n">
        <v>6420</v>
      </c>
      <c r="E6" s="9">
        <f>C6-D6</f>
        <v/>
      </c>
      <c r="F6" s="12">
        <f>IFERROR((D6-C6)/C6,0)</f>
        <v/>
      </c>
      <c r="G6" s="14">
        <f>IF(C6=0,"UNBUDGETED",IF(F6&gt;0.5,"CRITICAL",IF(F6&gt;0.1,"OVER",IF(F6&lt;-0.1,"UNDER","ON"))))</f>
        <v/>
      </c>
    </row>
    <row r="7">
      <c r="A7" s="4" t="inlineStr">
        <is>
          <t>995</t>
        </is>
      </c>
      <c r="B7" s="4" t="inlineStr">
        <is>
          <t>Payroll Burden</t>
        </is>
      </c>
      <c r="C7" s="5" t="n">
        <v>364765.86</v>
      </c>
      <c r="D7" s="5" t="n">
        <v>3106.5</v>
      </c>
      <c r="E7" s="9">
        <f>C7-D7</f>
        <v/>
      </c>
      <c r="F7" s="12">
        <f>IFERROR((D7-C7)/C7,0)</f>
        <v/>
      </c>
      <c r="G7" s="14">
        <f>IF(C7=0,"UNBUDGETED",IF(F7&gt;0.5,"CRITICAL",IF(F7&gt;0.1,"OVER",IF(F7&lt;-0.1,"UNDER","ON"))))</f>
        <v/>
      </c>
    </row>
    <row r="8">
      <c r="A8" s="4" t="inlineStr">
        <is>
          <t>998</t>
        </is>
      </c>
      <c r="B8" s="4" t="inlineStr">
        <is>
          <t>Payroll Taxes</t>
        </is>
      </c>
      <c r="C8" s="5" t="n">
        <v>68645.97</v>
      </c>
      <c r="D8" s="5" t="n">
        <v>496.52</v>
      </c>
      <c r="E8" s="9">
        <f>C8-D8</f>
        <v/>
      </c>
      <c r="F8" s="12">
        <f>IFERROR((D8-C8)/C8,0)</f>
        <v/>
      </c>
      <c r="G8" s="14">
        <f>IF(C8=0,"UNBUDGETED",IF(F8&gt;0.5,"CRITICAL",IF(F8&gt;0.1,"OVER",IF(F8&lt;-0.1,"UNDER","ON"))))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10" t="inlineStr">
        <is>
          <t>TOTAL AP</t>
        </is>
      </c>
      <c r="B4" s="6">
        <f>SUM(B4:B3)</f>
        <v/>
      </c>
      <c r="C4" s="15">
        <f>SUM(C4:C3)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  <row r="4">
      <c r="A4" s="4" t="inlineStr">
        <is>
          <t>Gerard, Jeffrey S</t>
        </is>
      </c>
      <c r="B4" s="16" t="n">
        <v>53</v>
      </c>
      <c r="C4" s="5" t="n">
        <v>3657</v>
      </c>
      <c r="D4" s="17">
        <f>IFERROR(C4/B4,0)</f>
        <v/>
      </c>
      <c r="E4" s="4" t="inlineStr">
        <is>
          <t>LEAD/SUPERVISOR</t>
        </is>
      </c>
    </row>
    <row r="5">
      <c r="A5" s="4" t="inlineStr">
        <is>
          <t>Gerard, Jordan E</t>
        </is>
      </c>
      <c r="B5" s="16" t="n">
        <v>48</v>
      </c>
      <c r="C5" s="5" t="n">
        <v>2832</v>
      </c>
      <c r="D5" s="17">
        <f>IFERROR(C5/B5,0)</f>
        <v/>
      </c>
      <c r="E5" s="4" t="inlineStr">
        <is>
          <t>LEAD/SUPERVISOR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2</v>
      </c>
      <c r="C4" s="16" t="n">
        <v>101</v>
      </c>
      <c r="D4" s="5" t="n">
        <v>6489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6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6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6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6" t="n">
        <v>101</v>
      </c>
    </row>
    <row r="4">
      <c r="A4" s="4" t="inlineStr">
        <is>
          <t>Active workers</t>
        </is>
      </c>
      <c r="B4" s="18" t="n">
        <v>2</v>
      </c>
    </row>
    <row r="5">
      <c r="A5" s="4" t="inlineStr">
        <is>
          <t>Hours per unit (to date)</t>
        </is>
      </c>
      <c r="B5" s="16" t="n">
        <v>0.5</v>
      </c>
    </row>
    <row r="6">
      <c r="A6" s="4" t="inlineStr">
        <is>
          <t>Revenue per labor hour (billed)</t>
        </is>
      </c>
      <c r="B6" s="19" t="n">
        <v>0</v>
      </c>
    </row>
    <row r="7">
      <c r="A7" s="4" t="inlineStr">
        <is>
          <t>Percent complete</t>
        </is>
      </c>
      <c r="B7" s="2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20" t="n">
        <v>0</v>
      </c>
      <c r="C4" s="20" t="n">
        <v>0.34</v>
      </c>
      <c r="D4" s="12">
        <f>B4-C4</f>
        <v/>
      </c>
    </row>
    <row r="5">
      <c r="A5" s="4" t="inlineStr">
        <is>
          <t>Roughin labor share (code 120)</t>
        </is>
      </c>
      <c r="B5" s="20" t="n">
        <v>0</v>
      </c>
      <c r="C5" s="20" t="n">
        <v>0.45</v>
      </c>
      <c r="D5" s="12">
        <f>B5-C5</f>
        <v/>
      </c>
    </row>
    <row r="6">
      <c r="A6" s="4" t="inlineStr">
        <is>
          <t>Top vendor concentration</t>
        </is>
      </c>
      <c r="B6" s="20" t="n">
        <v>0</v>
      </c>
      <c r="C6" s="20" t="n">
        <v>0.38</v>
      </c>
      <c r="D6" s="12">
        <f>B6-C6</f>
        <v/>
      </c>
    </row>
    <row r="7">
      <c r="A7" s="4" t="inlineStr">
        <is>
          <t>Hours per unit</t>
        </is>
      </c>
      <c r="B7" s="16" t="n">
        <v>0.520618556701031</v>
      </c>
      <c r="C7" s="16" t="n">
        <v>95</v>
      </c>
      <c r="D7" s="21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Retention aging</t>
        </is>
      </c>
      <c r="B4" s="22" t="inlineStr">
        <is>
          <t>✓ OK</t>
        </is>
      </c>
      <c r="C4" s="4" t="inlineStr">
        <is>
          <t>$0 held · 0.0% of billed · standard range</t>
        </is>
      </c>
    </row>
    <row r="5">
      <c r="A5" s="4" t="inlineStr">
        <is>
          <t>Forecast margin</t>
        </is>
      </c>
      <c r="B5" s="23" t="inlineStr">
        <is>
          <t>⚠ WATCH</t>
        </is>
      </c>
      <c r="C5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10092.02</v>
      </c>
      <c r="C4" s="5" t="n">
        <v>10092.02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-0</v>
      </c>
      <c r="C5" s="5" t="n">
        <v>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0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10092.02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4" t="inlineStr">
        <is>
          <t>Forecast margin %</t>
        </is>
      </c>
      <c r="B4" s="24" t="inlineStr">
        <is>
          <t>01 Overview</t>
        </is>
      </c>
      <c r="C4" s="24" t="inlineStr">
        <is>
          <t>Forecast net profit / Revised contract value</t>
        </is>
      </c>
    </row>
    <row r="5">
      <c r="A5" s="24" t="inlineStr">
        <is>
          <t>Percent complete</t>
        </is>
      </c>
      <c r="B5" s="24" t="inlineStr">
        <is>
          <t>01 Overview</t>
        </is>
      </c>
      <c r="C5" s="24" t="inlineStr">
        <is>
          <t>Billed to date / Revised contract value</t>
        </is>
      </c>
    </row>
    <row r="6">
      <c r="A6" s="24" t="inlineStr">
        <is>
          <t>Roughin labor share</t>
        </is>
      </c>
      <c r="B6" s="24" t="inlineStr">
        <is>
          <t>06 Cost Codes</t>
        </is>
      </c>
      <c r="C6" s="24" t="inlineStr">
        <is>
          <t>Code 120 revised / Total labor revised budget</t>
        </is>
      </c>
    </row>
    <row r="7">
      <c r="A7" s="24" t="inlineStr">
        <is>
          <t>Top vendor concentration</t>
        </is>
      </c>
      <c r="B7" s="24" t="inlineStr">
        <is>
          <t>09 Vendor Analysis</t>
        </is>
      </c>
      <c r="C7" s="24" t="inlineStr">
        <is>
          <t>Largest single vendor AP spend / Total AP</t>
        </is>
      </c>
    </row>
    <row r="8">
      <c r="A8" s="24" t="inlineStr">
        <is>
          <t>Hours per unit</t>
        </is>
      </c>
      <c r="B8" s="24" t="inlineStr">
        <is>
          <t>12 Productivity</t>
        </is>
      </c>
      <c r="C8" s="24" t="inlineStr">
        <is>
          <t>Total PR hours to date / Unit count</t>
        </is>
      </c>
    </row>
    <row r="9">
      <c r="A9" s="24" t="inlineStr">
        <is>
          <t>BVA status codes</t>
        </is>
      </c>
      <c r="B9" s="24" t="inlineStr">
        <is>
          <t>08 BVA</t>
        </is>
      </c>
      <c r="C9" s="24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#2116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2026-04-24T20:39:56Z</dcterms:created>
  <dcterms:modified xmlns:dcterms="http://purl.org/dc/terms/" xmlns:xsi="http://www.w3.org/2001/XMLSchema-instance" xsi:type="dcterms:W3CDTF">2026-04-24T20:39:56Z</dcterms:modified>
</cp:coreProperties>
</file>