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<sst xmlns="http://schemas.openxmlformats.org/spreadsheetml/2006/main" count="493" uniqueCount="364">
  <si>
    <t xml:space="preserve">OWP #2053 · Bellevue Parkside</t>
  </si>
  <si>
    <t xml:space="preserve">Compass Harbor Construction · 135 units · Live / in-progress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</si>
  <si>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</si>
  <si>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</si>
  <si>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</si>
  <si>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</si>
  <si>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</si>
  <si>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</si>
  <si>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</si>
  <si>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</si>
  <si>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</si>
  <si>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</si>
  <si>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</si>
  <si>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</si>
  <si>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</si>
  <si>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</si>
  <si>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</si>
  <si>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</si>
  <si>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</si>
  <si>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</si>
  <si>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#2053 · COMPASS HARBOR CONSTRUCTION · Bellevue Parkside (BLU Apartments) — FULL PROJECT INFORMATION</t>
  </si>
  <si>
    <t xml:space="preserve">Sourced from contract + ticket + GDrive folder + JDR. Subcontract 22-0500 (DocuSign EF1187E8-...).</t>
  </si>
  <si>
    <t xml:space="preserve">IDENTITY</t>
  </si>
  <si>
    <t xml:space="preserve">OWP Job ID</t>
  </si>
  <si>
    <t xml:space="preserve">2053</t>
  </si>
  <si>
    <t xml:space="preserve">Project Name</t>
  </si>
  <si>
    <t xml:space="preserve">Bellevue Parkside (BLU Apartments)</t>
  </si>
  <si>
    <t xml:space="preserve">Site Address</t>
  </si>
  <si>
    <t xml:space="preserve">75 102nd Ave NE, Bellevue WA 98004</t>
  </si>
  <si>
    <t xml:space="preserve">Subcontract Number</t>
  </si>
  <si>
    <t xml:space="preserve">22-0500 (DocuSign EF1187E8-...)</t>
  </si>
  <si>
    <t xml:space="preserve">Effective Date</t>
  </si>
  <si>
    <t xml:space="preserve">May 23, 2018</t>
  </si>
  <si>
    <t xml:space="preserve">PROJECT TEAM — GENERAL CONTRACTOR</t>
  </si>
  <si>
    <t xml:space="preserve">GC Legal Name</t>
  </si>
  <si>
    <t xml:space="preserve">Compass Harbor Construction</t>
  </si>
  <si>
    <t xml:space="preserve">GC Address</t>
  </si>
  <si>
    <t xml:space="preserve">11332 NE 122nd Way Ste 350, Kirkland WA 98034 · (206) 320-8741</t>
  </si>
  <si>
    <t xml:space="preserve">GC Contract Signatory</t>
  </si>
  <si>
    <t xml:space="preserve">Ryan Ames, Vice-President</t>
  </si>
  <si>
    <t xml:space="preserve">PROJECT TEAM — OWP</t>
  </si>
  <si>
    <t xml:space="preserve">OWP Legal Name</t>
  </si>
  <si>
    <t xml:space="preserve">One Way Plumbing LLC</t>
  </si>
  <si>
    <t xml:space="preserve">OWP Address</t>
  </si>
  <si>
    <t xml:space="preserve">127 10th Street S Suite 200, Kirkland WA 98033</t>
  </si>
  <si>
    <t xml:space="preserve">OWP Contract Signatory</t>
  </si>
  <si>
    <t xml:space="preserve">Richard Donelson, VP</t>
  </si>
  <si>
    <t xml:space="preserve">OWP License #</t>
  </si>
  <si>
    <t xml:space="preserve">ONEWAWP895BU</t>
  </si>
  <si>
    <t xml:space="preserve">OWP Federal Tax ID</t>
  </si>
  <si>
    <t xml:space="preserve">27-4605928</t>
  </si>
  <si>
    <t xml:space="preserve">PROJECT TEAM — OWNER</t>
  </si>
  <si>
    <t xml:space="preserve">Owner Legal Name</t>
  </si>
  <si>
    <t xml:space="preserve">Bellevue Parkside, LP</t>
  </si>
  <si>
    <t xml:space="preserve">Owner Address</t>
  </si>
  <si>
    <t xml:space="preserve">600 108th Ave NE Suite 1010, Bellevue WA 98004</t>
  </si>
  <si>
    <t xml:space="preserve">PROJECT TEAM — DESIGN</t>
  </si>
  <si>
    <t xml:space="preserve">Architect</t>
  </si>
  <si>
    <t xml:space="preserve">Encore Architects</t>
  </si>
  <si>
    <t xml:space="preserve">MEP / Plumbing Engineer</t>
  </si>
  <si>
    <t xml:space="preserve">Franklin Engineering</t>
  </si>
  <si>
    <t xml:space="preserve">INSURANCE &amp; BONDING</t>
  </si>
  <si>
    <t xml:space="preserve">Insurance Type</t>
  </si>
  <si>
    <t xml:space="preserve">OCIP / Wrap-up — OCIP enrollment cert + 18-19 COI on file</t>
  </si>
  <si>
    <t xml:space="preserve">Retention</t>
  </si>
  <si>
    <t xml:space="preserve">5% per contract</t>
  </si>
  <si>
    <t xml:space="preserve">CONTRACT</t>
  </si>
  <si>
    <t xml:space="preserve">Contract Value</t>
  </si>
  <si>
    <t xml:space="preserve">$2,241,309 (originally $2,240,765, revised to $2,241,309 with initials)</t>
  </si>
  <si>
    <t xml:space="preserve">CHANGE-EVENT META</t>
  </si>
  <si>
    <t xml:space="preserve">Executed CO Count</t>
  </si>
  <si>
    <t xml:space="preserve">COR Count</t>
  </si>
  <si>
    <t xml:space="preserve">RFI Count</t>
  </si>
  <si>
    <t xml:space="preserve">ASI Count</t>
  </si>
  <si>
    <t xml:space="preserve">CO Inventory</t>
  </si>
  <si>
    <t xml:space="preserve">CO01 P3 Gridline 7 Drainage · CO02 P1+LB Underslab Drains · CO03 PT Deck Sleeves · CO04 Added FCU 2/3 Bedroom Units · CO05 Unit Sinks · CO06 L3 IDF Dedicated Cooling · CO07 L1 Added Hose Bibs · CO08 Roof Gas L6 Drain Heated/Soft Close Toilets · Compass Directed EWA · Work Room Sink</t>
  </si>
  <si>
    <t xml:space="preserve">COR Themes</t>
  </si>
  <si>
    <t xml:space="preserve">COR01-02 Added Wall Drainage P1/P2 (RFI-042.1) · COR03 Retail Sleeves Future TI · COR04 Added Condensate Drains · COR05/05r1 Drinking Fountain + Bottle Filler · COR06 Delete Lav+Kitchen Sinks · COR07 Unit Plumbing Fixture Changes · COR08 Gas Piping Roof Heaters · COR09 L3 IDF Condensate · COR10 Unit 117 Tub Drain Core Drill (OLD)</t>
  </si>
  <si>
    <t xml:space="preserve">Key RFIs</t>
  </si>
  <si>
    <t xml:space="preserve">RFI#012 Water Meter Locations · RFI#014 Patio Drain Overflows · RFI#021 P3 NW Plumbing · RFI#031 P1 Trash Floor Drain · RFI#042.1 P3 Wall Drainage · RFI#054 Underslab Drainage Rock · RFI#084 P3 FD+Mop Sink Relocate · RFI#094.1 GYM Filling Station · RFI#149 Delete 5 Lav Sinks · RFI#163 4in Water Service · RFI#187 L1 Hose Bibs · RFI#203 P3 FS Revisions · RFI#229 X03 Vent Pipe · RFI#246 Unit 408+410 Vent Reroute · RFI#261 Grease Interceptor + Parking</t>
  </si>
  <si>
    <t xml:space="preserve">DOCUMENTS ON FILE (GDrive)</t>
  </si>
  <si>
    <t xml:space="preserve">Latest Job Ticket</t>
  </si>
  <si>
    <t xml:space="preserve">Compass Parkside job ticket 02-17-2020.pdf (latest of 11 ticket revisions)</t>
  </si>
  <si>
    <t xml:space="preserve">GDrive Folder</t>
  </si>
  <si>
    <t xml:space="preserve">Job Books - Completed Jobs/2053-...</t>
  </si>
  <si>
    <t xml:space="preserve">Subfolders surveyed</t>
  </si>
  <si>
    <t xml:space="preserve"># Job Ticket, ASI-RFI, Billing, Change Orders, Contract, Insurance, Meetings-Schedules, Permits, PO's, Plans, Submittals, Vendor Lien Waivers, Vendor Quotes</t>
  </si>
  <si>
    <t xml:space="preserve">FIXTURE SCHEDULE (verified from latest Job Ticket)</t>
  </si>
  <si>
    <t xml:space="preserve">Toilets</t>
  </si>
  <si>
    <t xml:space="preserve">159 Gerber Viper WS-21-512 + 7 ADA Gerber Viper HE-21-519 + 1 amenity ADA</t>
  </si>
  <si>
    <t xml:space="preserve">Heated toilet seats</t>
  </si>
  <si>
    <t xml:space="preserve">Bemis H1900NL — OWP responsible for plug-in + cord wrap</t>
  </si>
  <si>
    <t xml:space="preserve">Lavs</t>
  </si>
  <si>
    <t xml:space="preserve">172 Delta 559LF-PP - 5 deleted per RFI-149 = 167; +1 amenity Lenova PU-01-W; rooftop+amenity sinks</t>
  </si>
  <si>
    <t xml:space="preserve">Tubs (Type B)</t>
  </si>
  <si>
    <t xml:space="preserve">Maxx Rubix 6030 + Delta T17459 chrome trim</t>
  </si>
  <si>
    <t xml:space="preserve">Tubs (Type A ADA)</t>
  </si>
  <si>
    <t xml:space="preserve">Maxx Rubix 6030 + Delta T17459-LHD + 57011 handheld</t>
  </si>
  <si>
    <t xml:space="preserve">Kitchen sinks</t>
  </si>
  <si>
    <t xml:space="preserve">135 unit sinks + 4 amenity Elkay + 1 work room</t>
  </si>
  <si>
    <t xml:space="preserve">Kitchen faucets</t>
  </si>
  <si>
    <t xml:space="preserve">Delta 9113-AR-DST stainless steel</t>
  </si>
  <si>
    <t xml:space="preserve">Air gaps</t>
  </si>
  <si>
    <t xml:space="preserve">Delta 72020-SS</t>
  </si>
  <si>
    <t xml:space="preserve">Garbage disposals</t>
  </si>
  <si>
    <t xml:space="preserve">ISE Badger 5</t>
  </si>
  <si>
    <t xml:space="preserve">Drinking fountain</t>
  </si>
  <si>
    <t xml:space="preserve">Oasis MWSMG8SBF bottle filler outside gym</t>
  </si>
  <si>
    <t xml:space="preserve">Mop sink</t>
  </si>
  <si>
    <t xml:space="preserve">Mustee 63M wall-mount</t>
  </si>
  <si>
    <t xml:space="preserve">Coffee bar</t>
  </si>
  <si>
    <t xml:space="preserve">lobby</t>
  </si>
  <si>
    <t xml:space="preserve">Hose bibs</t>
  </si>
  <si>
    <t xml:space="preserve">4 Woodford 24 garage + 7 ext + 2 trash + 4 yard hydrants</t>
  </si>
  <si>
    <t xml:space="preserve">Water heaters</t>
  </si>
  <si>
    <t xml:space="preserve">HTP Phoenix PH199-119 gallon condensing boilers</t>
  </si>
  <si>
    <t xml:space="preserve">Foundation drain</t>
  </si>
  <si>
    <t xml:space="preserve">4" sched 40 PVC per civil</t>
  </si>
  <si>
    <t xml:space="preserve">Garage drains</t>
  </si>
  <si>
    <t xml:space="preserve">ProSet/Watts FD33</t>
  </si>
  <si>
    <t xml:space="preserve">Roof drains</t>
  </si>
  <si>
    <t xml:space="preserve">L4 + upper roof + L2 + L6</t>
  </si>
  <si>
    <t xml:space="preserve">Condensate stacks</t>
  </si>
  <si>
    <t xml:space="preserve">167 residential + 136 garage HVAC</t>
  </si>
  <si>
    <t xml:space="preserve">VERIFIED MAIN FIXTURE COUNT</t>
  </si>
  <si>
    <t xml:space="preserve">Per unit (135): 4.70</t>
  </si>
  <si>
    <t xml:space="preserve">AUDIT NOTE (2026-04-25): First-pass count of 1579 was the all-itemized sum (included drains, hose bibs, condensate stacks, water heaters, appliance rough-ins). Verified main count of 635 matches plumbing-engineering 'fixture schedule' definition (toilets + lavs + tub/showers + kitchen sinks + drinking fountains + mop sinks + dog wash + bar sinks). Same convention as 2051 (803) and 2052 (482).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</si>
  <si>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</si>
  <si>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</si>
  <si>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</si>
  <si>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</si>
  <si>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</si>
  <si>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</si>
  <si>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</si>
  <si>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</si>
  <si>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</si>
  <si>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</si>
  <si>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</si>
  <si>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</si>
  <si>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</si>
  <si>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</si>
  <si>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</si>
  <si>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</si>
  <si>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</si>
  <si>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</si>
  <si>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</si>
  <si>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</si>
  <si>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</si>
  <si>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</si>
  <si>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Type</t>
  </si>
  <si>
    <t xml:space="preserve">Status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</si>
  <si>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</si>
  <si>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</si>
  <si>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</si>
  <si>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</si>
  <si>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</si>
  <si>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</si>
  <si>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</si>
  <si>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</si>
  <si>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</si>
  <si>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</si>
  <si>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</si>
  <si>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</si>
  <si>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</si>
  <si>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</si>
  <si>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</si>
  <si>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</si>
  <si>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</si>
  <si>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</si>
  <si>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</si>
  <si>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</si>
  <si>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</si>
  <si>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</si>
  <si>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</si>
  <si>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</si>
  <si>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</si>
  <si>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</si>
  <si>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</si>
  <si>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</si>
  <si>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</si>
  <si>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</si>
  <si>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</si>
  <si>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</si>
  <si>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</si>
  <si>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</si>
  <si>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</si>
  <si>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</si>
  <si>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</si>
  <si>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</si>
  <si>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</si>
  <si>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</si>
  <si>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</si>
  <si>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</si>
  <si>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</si>
  <si>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</si>
  <si>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</si>
  <si>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</si>
  <si>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</si>
  <si>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</si>
  <si>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</si>
  <si>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</si>
  <si>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</si>
  <si>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</si>
  <si>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</si>
  <si>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</si>
  <si>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</si>
  <si>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</si>
  <si>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</si>
  <si>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</si>
  <si>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</si>
  <si>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</si>
  <si>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</si>
  <si>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</si>
  <si>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</si>
  <si>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</si>
  <si>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</si>
  <si>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</si>
  <si>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</si>
  <si>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</si>
  <si>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</si>
  <si>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</si>
  <si>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</si>
  <si>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</si>
  <si>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</si>
  <si>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</si>
  <si>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</si>
  <si>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</si>
  <si>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</si>
  <si>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Rosen Supply Kirkland</t>
  </si>
  <si>
    <t xml:space="preserve">Keller Supply Company</t>
  </si>
  <si>
    <t xml:space="preserve">Consolidated Supply Co.</t>
  </si>
  <si>
    <t xml:space="preserve">Capital One Credit Card</t>
  </si>
  <si>
    <t xml:space="preserve">Mechanical Sales, Inc.</t>
  </si>
  <si>
    <t xml:space="preserve">Ferguson Enterprises, Inc. #3007</t>
  </si>
  <si>
    <t xml:space="preserve">Ahern Rentals</t>
  </si>
  <si>
    <t xml:space="preserve">Mechanical Resource Services, Inc.</t>
  </si>
  <si>
    <t xml:space="preserve">Old Castle Infrastructure, Inc.</t>
  </si>
  <si>
    <t xml:space="preserve">MAD Concrete Cutting &amp; Coring, Inc.</t>
  </si>
  <si>
    <t xml:space="preserve">Quality Concrete Products, Inc. $32</t>
  </si>
  <si>
    <t xml:space="preserve">California Hydronics Corp</t>
  </si>
  <si>
    <t xml:space="preserve">Sunbelt Rentals, Inc.</t>
  </si>
  <si>
    <t xml:space="preserve">Ferguson Enterprises, Inc.$Bell Parkside</t>
  </si>
  <si>
    <t xml:space="preserve">Manor Hardware &amp; Construction Supply</t>
  </si>
  <si>
    <t xml:space="preserve">Core &amp; Main LP $HD Supply Waterworks</t>
  </si>
  <si>
    <t xml:space="preserve">Kele, Inc $ MI Controls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</si>
  <si>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</si>
  <si>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</si>
  <si>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</si>
  <si>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</si>
  <si>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</si>
  <si>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</si>
  <si>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</si>
  <si>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Cortes Sepulveda, Jose R</t>
  </si>
  <si>
    <t xml:space="preserve">JOURNEYMAN</t>
  </si>
  <si>
    <t xml:space="preserve">Balderas Ortiz, Ricardo I</t>
  </si>
  <si>
    <t xml:space="preserve">Cortes Mendiola, Victor H</t>
  </si>
  <si>
    <t xml:space="preserve">LEAD/SUPERVISOR</t>
  </si>
  <si>
    <t xml:space="preserve">Lucas Tzintzun, Rafael</t>
  </si>
  <si>
    <t xml:space="preserve">Chevez, Herson G</t>
  </si>
  <si>
    <t xml:space="preserve">Benites Portillo, Marvin E</t>
  </si>
  <si>
    <t xml:space="preserve">Lovo, German G</t>
  </si>
  <si>
    <t xml:space="preserve">Sorto Regalado, Milton J</t>
  </si>
  <si>
    <t xml:space="preserve">APPRENTICE/HELPER</t>
  </si>
  <si>
    <t xml:space="preserve">Rivera, Eli P</t>
  </si>
  <si>
    <t xml:space="preserve">Portillo Soriano, Walter A</t>
  </si>
  <si>
    <t xml:space="preserve">Belcher, Jacob T</t>
  </si>
  <si>
    <t xml:space="preserve">Eliassen, Cory H</t>
  </si>
  <si>
    <t xml:space="preserve">Hoeg, Xavier A</t>
  </si>
  <si>
    <t xml:space="preserve">Galdamez, Dagoberto A</t>
  </si>
  <si>
    <t xml:space="preserve">Gauthier, Dillon R</t>
  </si>
  <si>
    <t xml:space="preserve">Trower-Kelly, Fidel D</t>
  </si>
  <si>
    <t xml:space="preserve">Hubbard, Robert W</t>
  </si>
  <si>
    <t xml:space="preserve">Sepulveda Gonzalez, Alfredo</t>
  </si>
  <si>
    <t xml:space="preserve">Saules Bezanilla, Fernando</t>
  </si>
  <si>
    <t xml:space="preserve">Donelson, Richard T</t>
  </si>
  <si>
    <t xml:space="preserve">Gerard, Jeffrey S</t>
  </si>
  <si>
    <t xml:space="preserve">Sanders, Allen O</t>
  </si>
  <si>
    <t xml:space="preserve">Vazquez Popoca, Jose N</t>
  </si>
  <si>
    <t xml:space="preserve">Romero Garza, Jesus I</t>
  </si>
  <si>
    <t xml:space="preserve">Stahlschmidt, John P</t>
  </si>
  <si>
    <t xml:space="preserve">McCabe, Thomas C</t>
  </si>
  <si>
    <t xml:space="preserve">Amaya Gonzalez, Edilberto A</t>
  </si>
  <si>
    <t xml:space="preserve">Gutierrez Salas, Jose</t>
  </si>
  <si>
    <t xml:space="preserve">Rodriguez Arevalos, Christian</t>
  </si>
  <si>
    <t xml:space="preserve">Martinez Reyes, Juan C</t>
  </si>
  <si>
    <t xml:space="preserve">Barbosa, Michael S</t>
  </si>
  <si>
    <t xml:space="preserve">Crespin Portillo, Juan D</t>
  </si>
  <si>
    <t xml:space="preserve">Serrano, Jeremiah G</t>
  </si>
  <si>
    <t xml:space="preserve">Hubbard, Dustin R</t>
  </si>
  <si>
    <t xml:space="preserve">Hubbard, Justin A</t>
  </si>
  <si>
    <t xml:space="preserve">Eisenhauer, Tommy J</t>
  </si>
  <si>
    <t xml:space="preserve">OT-ONLY</t>
  </si>
  <si>
    <t xml:space="preserve">Draves, Steven W</t>
  </si>
  <si>
    <t xml:space="preserve">Gerard, Jordan E</t>
  </si>
  <si>
    <t xml:space="preserve">Roberts, Lake A</t>
  </si>
  <si>
    <t xml:space="preserve">Wage Tier Distribution</t>
  </si>
  <si>
    <t xml:space="preserve"># Workers</t>
  </si>
  <si>
    <t xml:space="preserve">% of Hours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</si>
  <si>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</si>
  <si>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</si>
  <si>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</si>
  <si>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</si>
  <si>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</si>
  <si>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</si>
  <si>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</si>
  <si>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</si>
  <si>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</si>
  <si>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</si>
  <si>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</si>
  <si>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</si>
  <si>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</si>
  <si>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(live project)</t>
  </si>
  <si>
    <t xml:space="preserve">Signal</t>
  </si>
  <si>
    <t xml:space="preserve">Notes</t>
  </si>
  <si>
    <t xml:space="preserve">Roughin Labor (120) over revised</t>
  </si>
  <si>
    <t xml:space="preserve">⚠ WATCH</t>
  </si>
  <si>
    <t xml:space="preserve">Actual $301,988 vs revised $247,365 (+22%) — monitor</t>
  </si>
  <si>
    <t xml:space="preserve">Finish Labor (130) over revised</t>
  </si>
  <si>
    <t xml:space="preserve">Actual $58,886 vs revised $47,430 (+24%) — monitor</t>
  </si>
  <si>
    <t xml:space="preserve">Gas Labor (140) CRITICAL overrun</t>
  </si>
  <si>
    <t xml:space="preserve">Actual $13,994 vs revised $8,550 (+64%) — needs immediate attention</t>
  </si>
  <si>
    <t xml:space="preserve">Subcontractor (600) CRITICAL overrun</t>
  </si>
  <si>
    <t xml:space="preserve">Actual $9,771 vs revised $4,360 (+124%) — needs immediate attention</t>
  </si>
  <si>
    <t xml:space="preserve">Rental Equipment (602) over revised</t>
  </si>
  <si>
    <t xml:space="preserve">Actual $10,710 vs revised $9,000 (+19%) — monitor</t>
  </si>
  <si>
    <t xml:space="preserve">Other Expenses (607) over revised</t>
  </si>
  <si>
    <t xml:space="preserve">Actual $13,009 vs revised $11,000 (+18%) — monitor</t>
  </si>
  <si>
    <t xml:space="preserve">Top vendor concentration (Rosen Supply Kirklan)</t>
  </si>
  <si>
    <t xml:space="preserve">✓ OK</t>
  </si>
  <si>
    <t xml:space="preserve">32% of AP ($154,840) — acceptable</t>
  </si>
  <si>
    <t xml:space="preserve">Retention aging</t>
  </si>
  <si>
    <t xml:space="preserve">$113,684 held · 4.9% of billed · standard range</t>
  </si>
  <si>
    <t xml:space="preserve">27.8%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</si>
  <si>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</si>
  <si>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</si>
  <si>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</si>
  <si>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</si>
  <si>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</si>
  <si>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</si>
  <si>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</si>
  <si>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</si>
  <si>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</si>
  <si>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</si>
  <si>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</si>
  <si>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</si>
  <si>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</si>
  <si>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</si>
  <si>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</si>
  <si>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</si>
  <si>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</si>
  <si>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</si>
  <si>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</si>
  <si>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</si>
  <si>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</si>
  <si>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</si>
  <si>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</si>
  <si>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</si>
  <si>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</si>
  <si>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</si>
  <si>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</si>
  <si>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</si>
  <si>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2026-04-25</t>
  </si>
  <si>
    <t xml:space="preserve">v1.0 · live</t>
  </si>
  <si>
    <t xml:space="preserve">Initial build for #2053 live project. 17-tab JCR schema on revised budget basis.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</si>
</sst>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2C2B29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FF8E7"/>
      </patternFill>
    </fill>
    <fill>
      <patternFill patternType="solid">
        <fgColor rgb="FFFFF8E7"/>
        <bgColor rgb="FFFFFFFF"/>
      </patternFill>
    </fill>
    <fill>
      <patternFill patternType="solid">
        <fgColor rgb="FF2C3E50"/>
        <bgColor rgb="FF2C2B29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8E7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DEC5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2332680</v>
      </c>
    </row>
    <row r="6" customFormat="false" ht="15" hidden="false" customHeight="true" outlineLevel="0" collapsed="false">
      <c r="A6" s="5" t="s">
        <v>4</v>
      </c>
      <c r="B6" s="6" t="n">
        <v>1684489.42</v>
      </c>
    </row>
    <row r="7" customFormat="false" ht="15" hidden="false" customHeight="true" outlineLevel="0" collapsed="false">
      <c r="A7" s="5" t="s">
        <v>5</v>
      </c>
      <c r="B7" s="7" t="n">
        <f aca="false">B5-B6</f>
        <v>648190.58</v>
      </c>
    </row>
    <row r="8" customFormat="false" ht="15" hidden="false" customHeight="true" outlineLevel="0" collapsed="false">
      <c r="A8" s="5" t="s">
        <v>6</v>
      </c>
      <c r="B8" s="8" t="n">
        <f aca="false">IFERROR(B7/B5,0)</f>
        <v>0.277873767512046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2332680</v>
      </c>
    </row>
    <row r="12" customFormat="false" ht="15" hidden="false" customHeight="true" outlineLevel="0" collapsed="false">
      <c r="A12" s="5" t="s">
        <v>9</v>
      </c>
      <c r="B12" s="6" t="n">
        <v>113684</v>
      </c>
    </row>
    <row r="13" customFormat="false" ht="15" hidden="false" customHeight="true" outlineLevel="0" collapsed="false">
      <c r="A13" s="5" t="s">
        <v>10</v>
      </c>
      <c r="B13" s="7" t="n">
        <f aca="false">B11-B12</f>
        <v>2218996</v>
      </c>
    </row>
    <row r="14" customFormat="false" ht="15" hidden="false" customHeight="true" outlineLevel="0" collapsed="false">
      <c r="A14" s="5" t="s">
        <v>11</v>
      </c>
      <c r="B14" s="7" t="n">
        <f aca="false">B5-B11</f>
        <v>0</v>
      </c>
    </row>
    <row r="15" customFormat="false" ht="15" hidden="false" customHeight="true" outlineLevel="0" collapsed="false">
      <c r="A15" s="5" t="s">
        <v>12</v>
      </c>
      <c r="B15" s="8" t="n">
        <f aca="false">IFERROR(B11/B5,0)</f>
        <v>1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9" t="s">
        <v>14</v>
      </c>
      <c r="B18" s="9" t="s">
        <v>15</v>
      </c>
    </row>
    <row r="19" customFormat="false" ht="15" hidden="false" customHeight="true" outlineLevel="0" collapsed="false">
      <c r="A19" s="5" t="s">
        <v>16</v>
      </c>
      <c r="B19" s="10" t="n">
        <v>85030.76</v>
      </c>
    </row>
    <row r="20" customFormat="false" ht="15" hidden="false" customHeight="true" outlineLevel="0" collapsed="false">
      <c r="A20" s="5" t="s">
        <v>17</v>
      </c>
      <c r="B20" s="10" t="n">
        <v>488543.88</v>
      </c>
    </row>
    <row r="21" customFormat="false" ht="15" hidden="false" customHeight="true" outlineLevel="0" collapsed="false">
      <c r="A21" s="5" t="s">
        <v>18</v>
      </c>
      <c r="B21" s="10" t="n">
        <v>824969.92</v>
      </c>
    </row>
    <row r="22" customFormat="false" ht="15" hidden="false" customHeight="true" outlineLevel="0" collapsed="false">
      <c r="A22" s="5" t="s">
        <v>19</v>
      </c>
      <c r="B22" s="10" t="n">
        <v>-2332680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11" t="s">
        <v>20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21</v>
      </c>
      <c r="B2" s="12"/>
      <c r="C2" s="12"/>
      <c r="D2" s="12"/>
      <c r="E2" s="12"/>
      <c r="F2" s="12"/>
    </row>
    <row r="3" customFormat="false" ht="15" hidden="false" customHeight="true" outlineLevel="0" collapsed="false">
      <c r="A3" s="13"/>
      <c r="B3" s="5"/>
    </row>
    <row r="4" customFormat="false" ht="15" hidden="false" customHeight="true" outlineLevel="0" collapsed="false">
      <c r="A4" s="14" t="s">
        <v>22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15" t="s">
        <v>23</v>
      </c>
      <c r="B5" s="16" t="s">
        <v>24</v>
      </c>
      <c r="C5" s="16"/>
      <c r="D5" s="16"/>
      <c r="E5" s="16"/>
      <c r="F5" s="16"/>
    </row>
    <row r="6" customFormat="false" ht="15" hidden="false" customHeight="true" outlineLevel="0" collapsed="false">
      <c r="A6" s="15" t="s">
        <v>25</v>
      </c>
      <c r="B6" s="16" t="s">
        <v>26</v>
      </c>
      <c r="C6" s="16"/>
      <c r="D6" s="16"/>
      <c r="E6" s="16"/>
      <c r="F6" s="16"/>
    </row>
    <row r="7" customFormat="false" ht="15" hidden="false" customHeight="true" outlineLevel="0" collapsed="false">
      <c r="A7" s="15" t="s">
        <v>27</v>
      </c>
      <c r="B7" s="16" t="s">
        <v>28</v>
      </c>
      <c r="C7" s="16"/>
      <c r="D7" s="16"/>
      <c r="E7" s="16"/>
      <c r="F7" s="16"/>
    </row>
    <row r="8" customFormat="false" ht="15" hidden="false" customHeight="true" outlineLevel="0" collapsed="false">
      <c r="A8" s="15" t="s">
        <v>29</v>
      </c>
      <c r="B8" s="16" t="s">
        <v>30</v>
      </c>
      <c r="C8" s="16"/>
      <c r="D8" s="16"/>
      <c r="E8" s="16"/>
      <c r="F8" s="16"/>
    </row>
    <row r="9" customFormat="false" ht="15" hidden="false" customHeight="true" outlineLevel="0" collapsed="false">
      <c r="A9" s="15" t="s">
        <v>31</v>
      </c>
      <c r="B9" s="16" t="s">
        <v>32</v>
      </c>
      <c r="C9" s="16"/>
      <c r="D9" s="16"/>
      <c r="E9" s="16"/>
      <c r="F9" s="16"/>
    </row>
    <row r="10" customFormat="false" ht="15" hidden="false" customHeight="true" outlineLevel="0" collapsed="false">
      <c r="A10" s="13"/>
      <c r="B10" s="5"/>
    </row>
    <row r="11" customFormat="false" ht="15" hidden="false" customHeight="true" outlineLevel="0" collapsed="false">
      <c r="A11" s="14" t="s">
        <v>33</v>
      </c>
      <c r="B11" s="14"/>
      <c r="C11" s="14"/>
      <c r="D11" s="14"/>
      <c r="E11" s="14"/>
      <c r="F11" s="14"/>
    </row>
    <row r="12" customFormat="false" ht="15" hidden="false" customHeight="true" outlineLevel="0" collapsed="false">
      <c r="A12" s="15" t="s">
        <v>34</v>
      </c>
      <c r="B12" s="16" t="s">
        <v>35</v>
      </c>
      <c r="C12" s="16"/>
      <c r="D12" s="16"/>
      <c r="E12" s="16"/>
      <c r="F12" s="16"/>
    </row>
    <row r="13" customFormat="false" ht="15" hidden="false" customHeight="true" outlineLevel="0" collapsed="false">
      <c r="A13" s="15" t="s">
        <v>36</v>
      </c>
      <c r="B13" s="16" t="s">
        <v>37</v>
      </c>
      <c r="C13" s="16"/>
      <c r="D13" s="16"/>
      <c r="E13" s="16"/>
      <c r="F13" s="16"/>
    </row>
    <row r="14" customFormat="false" ht="15" hidden="false" customHeight="true" outlineLevel="0" collapsed="false">
      <c r="A14" s="15" t="s">
        <v>38</v>
      </c>
      <c r="B14" s="16" t="s">
        <v>39</v>
      </c>
      <c r="C14" s="16"/>
      <c r="D14" s="16"/>
      <c r="E14" s="16"/>
      <c r="F14" s="16"/>
    </row>
    <row r="16" customFormat="false" ht="15" hidden="false" customHeight="true" outlineLevel="0" collapsed="false">
      <c r="A16" s="14" t="s">
        <v>40</v>
      </c>
      <c r="B16" s="14"/>
      <c r="C16" s="14"/>
      <c r="D16" s="14"/>
      <c r="E16" s="14"/>
      <c r="F16" s="14"/>
    </row>
    <row r="17" customFormat="false" ht="15" hidden="false" customHeight="true" outlineLevel="0" collapsed="false">
      <c r="A17" s="15" t="s">
        <v>41</v>
      </c>
      <c r="B17" s="16" t="s">
        <v>42</v>
      </c>
      <c r="C17" s="16"/>
      <c r="D17" s="16"/>
      <c r="E17" s="16"/>
      <c r="F17" s="16"/>
    </row>
    <row r="18" customFormat="false" ht="15" hidden="false" customHeight="true" outlineLevel="0" collapsed="false">
      <c r="A18" s="15" t="s">
        <v>43</v>
      </c>
      <c r="B18" s="16" t="s">
        <v>44</v>
      </c>
      <c r="C18" s="16"/>
      <c r="D18" s="16"/>
      <c r="E18" s="16"/>
      <c r="F18" s="16"/>
    </row>
    <row r="19" customFormat="false" ht="15" hidden="false" customHeight="true" outlineLevel="0" collapsed="false">
      <c r="A19" s="15" t="s">
        <v>45</v>
      </c>
      <c r="B19" s="16" t="s">
        <v>46</v>
      </c>
      <c r="C19" s="16"/>
      <c r="D19" s="16"/>
      <c r="E19" s="16"/>
      <c r="F19" s="16"/>
    </row>
    <row r="20" customFormat="false" ht="15" hidden="false" customHeight="true" outlineLevel="0" collapsed="false">
      <c r="A20" s="15" t="s">
        <v>47</v>
      </c>
      <c r="B20" s="16" t="s">
        <v>48</v>
      </c>
      <c r="C20" s="16"/>
      <c r="D20" s="16"/>
      <c r="E20" s="16"/>
      <c r="F20" s="16"/>
    </row>
    <row r="21" customFormat="false" ht="15" hidden="false" customHeight="true" outlineLevel="0" collapsed="false">
      <c r="A21" s="15" t="s">
        <v>49</v>
      </c>
      <c r="B21" s="16" t="s">
        <v>50</v>
      </c>
      <c r="C21" s="16"/>
      <c r="D21" s="16"/>
      <c r="E21" s="16"/>
      <c r="F21" s="16"/>
    </row>
    <row r="23" customFormat="false" ht="15" hidden="false" customHeight="true" outlineLevel="0" collapsed="false">
      <c r="A23" s="14" t="s">
        <v>51</v>
      </c>
      <c r="B23" s="14"/>
      <c r="C23" s="14"/>
      <c r="D23" s="14"/>
      <c r="E23" s="14"/>
      <c r="F23" s="14"/>
    </row>
    <row r="24" customFormat="false" ht="15" hidden="false" customHeight="true" outlineLevel="0" collapsed="false">
      <c r="A24" s="15" t="s">
        <v>52</v>
      </c>
      <c r="B24" s="16" t="s">
        <v>53</v>
      </c>
      <c r="C24" s="16"/>
      <c r="D24" s="16"/>
      <c r="E24" s="16"/>
      <c r="F24" s="16"/>
    </row>
    <row r="25" customFormat="false" ht="15" hidden="false" customHeight="true" outlineLevel="0" collapsed="false">
      <c r="A25" s="15" t="s">
        <v>54</v>
      </c>
      <c r="B25" s="16" t="s">
        <v>55</v>
      </c>
      <c r="C25" s="16"/>
      <c r="D25" s="16"/>
      <c r="E25" s="16"/>
      <c r="F25" s="16"/>
    </row>
    <row r="27" customFormat="false" ht="15" hidden="false" customHeight="true" outlineLevel="0" collapsed="false">
      <c r="A27" s="14" t="s">
        <v>56</v>
      </c>
      <c r="B27" s="14"/>
      <c r="C27" s="14"/>
      <c r="D27" s="14"/>
      <c r="E27" s="14"/>
      <c r="F27" s="14"/>
    </row>
    <row r="28" customFormat="false" ht="15" hidden="false" customHeight="true" outlineLevel="0" collapsed="false">
      <c r="A28" s="15" t="s">
        <v>57</v>
      </c>
      <c r="B28" s="16" t="s">
        <v>58</v>
      </c>
      <c r="C28" s="16"/>
      <c r="D28" s="16"/>
      <c r="E28" s="16"/>
      <c r="F28" s="16"/>
    </row>
    <row r="29" customFormat="false" ht="15" hidden="false" customHeight="true" outlineLevel="0" collapsed="false">
      <c r="A29" s="15" t="s">
        <v>59</v>
      </c>
      <c r="B29" s="16" t="s">
        <v>60</v>
      </c>
      <c r="C29" s="16"/>
      <c r="D29" s="16"/>
      <c r="E29" s="16"/>
      <c r="F29" s="16"/>
    </row>
    <row r="31" customFormat="false" ht="15" hidden="false" customHeight="true" outlineLevel="0" collapsed="false">
      <c r="A31" s="14" t="s">
        <v>61</v>
      </c>
      <c r="B31" s="14"/>
      <c r="C31" s="14"/>
      <c r="D31" s="14"/>
      <c r="E31" s="14"/>
      <c r="F31" s="14"/>
    </row>
    <row r="32" customFormat="false" ht="15" hidden="false" customHeight="true" outlineLevel="0" collapsed="false">
      <c r="A32" s="15" t="s">
        <v>62</v>
      </c>
      <c r="B32" s="16" t="s">
        <v>63</v>
      </c>
      <c r="C32" s="16"/>
      <c r="D32" s="16"/>
      <c r="E32" s="16"/>
      <c r="F32" s="16"/>
    </row>
    <row r="33" customFormat="false" ht="15" hidden="false" customHeight="true" outlineLevel="0" collapsed="false">
      <c r="A33" s="15" t="s">
        <v>64</v>
      </c>
      <c r="B33" s="16" t="s">
        <v>65</v>
      </c>
      <c r="C33" s="16"/>
      <c r="D33" s="16"/>
      <c r="E33" s="16"/>
      <c r="F33" s="16"/>
    </row>
    <row r="35" customFormat="false" ht="15" hidden="false" customHeight="true" outlineLevel="0" collapsed="false">
      <c r="A35" s="14" t="s">
        <v>66</v>
      </c>
      <c r="B35" s="14"/>
      <c r="C35" s="14"/>
      <c r="D35" s="14"/>
      <c r="E35" s="14"/>
      <c r="F35" s="14"/>
    </row>
    <row r="36" customFormat="false" ht="15" hidden="false" customHeight="true" outlineLevel="0" collapsed="false">
      <c r="A36" s="15" t="s">
        <v>67</v>
      </c>
      <c r="B36" s="16" t="s">
        <v>68</v>
      </c>
      <c r="C36" s="16"/>
      <c r="D36" s="16"/>
      <c r="E36" s="16"/>
      <c r="F36" s="16"/>
    </row>
    <row r="38" customFormat="false" ht="15" hidden="false" customHeight="true" outlineLevel="0" collapsed="false">
      <c r="A38" s="14" t="s">
        <v>69</v>
      </c>
      <c r="B38" s="14"/>
      <c r="C38" s="14"/>
      <c r="D38" s="14"/>
      <c r="E38" s="14"/>
      <c r="F38" s="14"/>
    </row>
    <row r="39" customFormat="false" ht="15" hidden="false" customHeight="true" outlineLevel="0" collapsed="false">
      <c r="A39" s="15" t="s">
        <v>70</v>
      </c>
      <c r="B39" s="16" t="n">
        <v>11</v>
      </c>
      <c r="C39" s="16"/>
      <c r="D39" s="16"/>
      <c r="E39" s="16"/>
      <c r="F39" s="16"/>
    </row>
    <row r="40" customFormat="false" ht="15" hidden="false" customHeight="true" outlineLevel="0" collapsed="false">
      <c r="A40" s="15" t="s">
        <v>71</v>
      </c>
      <c r="B40" s="16" t="n">
        <v>10</v>
      </c>
      <c r="C40" s="16"/>
      <c r="D40" s="16"/>
      <c r="E40" s="16"/>
      <c r="F40" s="16"/>
    </row>
    <row r="41" customFormat="false" ht="15" hidden="false" customHeight="true" outlineLevel="0" collapsed="false">
      <c r="A41" s="15" t="s">
        <v>72</v>
      </c>
      <c r="B41" s="16" t="n">
        <v>50</v>
      </c>
      <c r="C41" s="16"/>
      <c r="D41" s="16"/>
      <c r="E41" s="16"/>
      <c r="F41" s="16"/>
    </row>
    <row r="42" customFormat="false" ht="15" hidden="false" customHeight="true" outlineLevel="0" collapsed="false">
      <c r="A42" s="15" t="s">
        <v>73</v>
      </c>
      <c r="B42" s="16" t="n">
        <v>3</v>
      </c>
      <c r="C42" s="16"/>
      <c r="D42" s="16"/>
      <c r="E42" s="16"/>
      <c r="F42" s="16"/>
    </row>
    <row r="43" customFormat="false" ht="34.5" hidden="false" customHeight="true" outlineLevel="0" collapsed="false">
      <c r="A43" s="15" t="s">
        <v>74</v>
      </c>
      <c r="B43" s="16" t="s">
        <v>75</v>
      </c>
      <c r="C43" s="16"/>
      <c r="D43" s="16"/>
      <c r="E43" s="16"/>
      <c r="F43" s="16"/>
    </row>
    <row r="44" customFormat="false" ht="34.5" hidden="false" customHeight="true" outlineLevel="0" collapsed="false">
      <c r="A44" s="15" t="s">
        <v>76</v>
      </c>
      <c r="B44" s="16" t="s">
        <v>77</v>
      </c>
      <c r="C44" s="16"/>
      <c r="D44" s="16"/>
      <c r="E44" s="16"/>
      <c r="F44" s="16"/>
    </row>
    <row r="45" customFormat="false" ht="45.75" hidden="false" customHeight="true" outlineLevel="0" collapsed="false">
      <c r="A45" s="15" t="s">
        <v>78</v>
      </c>
      <c r="B45" s="16" t="s">
        <v>79</v>
      </c>
      <c r="C45" s="16"/>
      <c r="D45" s="16"/>
      <c r="E45" s="16"/>
      <c r="F45" s="16"/>
    </row>
    <row r="47" customFormat="false" ht="15" hidden="false" customHeight="true" outlineLevel="0" collapsed="false">
      <c r="A47" s="14" t="s">
        <v>80</v>
      </c>
      <c r="B47" s="14"/>
      <c r="C47" s="14"/>
      <c r="D47" s="14"/>
      <c r="E47" s="14"/>
      <c r="F47" s="14"/>
    </row>
    <row r="48" customFormat="false" ht="15" hidden="false" customHeight="true" outlineLevel="0" collapsed="false">
      <c r="A48" s="15" t="s">
        <v>81</v>
      </c>
      <c r="B48" s="16" t="s">
        <v>82</v>
      </c>
      <c r="C48" s="16"/>
      <c r="D48" s="16"/>
      <c r="E48" s="16"/>
      <c r="F48" s="16"/>
    </row>
    <row r="49" customFormat="false" ht="15" hidden="false" customHeight="true" outlineLevel="0" collapsed="false">
      <c r="A49" s="15" t="s">
        <v>83</v>
      </c>
      <c r="B49" s="16" t="s">
        <v>84</v>
      </c>
      <c r="C49" s="16"/>
      <c r="D49" s="16"/>
      <c r="E49" s="16"/>
      <c r="F49" s="16"/>
    </row>
    <row r="50" customFormat="false" ht="23.25" hidden="false" customHeight="true" outlineLevel="0" collapsed="false">
      <c r="A50" s="15" t="s">
        <v>85</v>
      </c>
      <c r="B50" s="16" t="s">
        <v>86</v>
      </c>
      <c r="C50" s="16"/>
      <c r="D50" s="16"/>
      <c r="E50" s="16"/>
      <c r="F50" s="16"/>
    </row>
    <row r="52" customFormat="false" ht="15" hidden="false" customHeight="true" outlineLevel="0" collapsed="false">
      <c r="A52" s="17" t="s">
        <v>87</v>
      </c>
      <c r="B52" s="17"/>
      <c r="C52" s="17"/>
      <c r="D52" s="17"/>
      <c r="E52" s="17"/>
      <c r="F52" s="17"/>
    </row>
    <row r="53" customFormat="false" ht="15" hidden="false" customHeight="true" outlineLevel="0" collapsed="false">
      <c r="A53" s="15" t="s">
        <v>88</v>
      </c>
      <c r="B53" s="18" t="n">
        <v>167</v>
      </c>
      <c r="C53" s="16" t="s">
        <v>89</v>
      </c>
      <c r="D53" s="16"/>
      <c r="E53" s="16"/>
      <c r="F53" s="16"/>
    </row>
    <row r="54" customFormat="false" ht="15" hidden="false" customHeight="true" outlineLevel="0" collapsed="false">
      <c r="A54" s="15" t="s">
        <v>90</v>
      </c>
      <c r="B54" s="18" t="n">
        <v>167</v>
      </c>
      <c r="C54" s="16" t="s">
        <v>91</v>
      </c>
      <c r="D54" s="16"/>
      <c r="E54" s="16"/>
      <c r="F54" s="16"/>
    </row>
    <row r="55" customFormat="false" ht="15" hidden="false" customHeight="true" outlineLevel="0" collapsed="false">
      <c r="A55" s="15" t="s">
        <v>92</v>
      </c>
      <c r="B55" s="18" t="n">
        <v>169</v>
      </c>
      <c r="C55" s="16" t="s">
        <v>93</v>
      </c>
      <c r="D55" s="16"/>
      <c r="E55" s="16"/>
      <c r="F55" s="16"/>
    </row>
    <row r="56" customFormat="false" ht="15" hidden="false" customHeight="true" outlineLevel="0" collapsed="false">
      <c r="A56" s="15" t="s">
        <v>94</v>
      </c>
      <c r="B56" s="18" t="n">
        <v>150</v>
      </c>
      <c r="C56" s="16" t="s">
        <v>95</v>
      </c>
      <c r="D56" s="16"/>
      <c r="E56" s="16"/>
      <c r="F56" s="16"/>
    </row>
    <row r="57" customFormat="false" ht="15" hidden="false" customHeight="true" outlineLevel="0" collapsed="false">
      <c r="A57" s="15" t="s">
        <v>96</v>
      </c>
      <c r="B57" s="18" t="n">
        <v>7</v>
      </c>
      <c r="C57" s="16" t="s">
        <v>97</v>
      </c>
      <c r="D57" s="16"/>
      <c r="E57" s="16"/>
      <c r="F57" s="16"/>
    </row>
    <row r="58" customFormat="false" ht="15" hidden="false" customHeight="true" outlineLevel="0" collapsed="false">
      <c r="A58" s="15" t="s">
        <v>98</v>
      </c>
      <c r="B58" s="18" t="n">
        <v>140</v>
      </c>
      <c r="C58" s="16" t="s">
        <v>99</v>
      </c>
      <c r="D58" s="16"/>
      <c r="E58" s="16"/>
      <c r="F58" s="16"/>
    </row>
    <row r="59" customFormat="false" ht="15" hidden="false" customHeight="true" outlineLevel="0" collapsed="false">
      <c r="A59" s="15" t="s">
        <v>100</v>
      </c>
      <c r="B59" s="18" t="n">
        <v>135</v>
      </c>
      <c r="C59" s="16" t="s">
        <v>101</v>
      </c>
      <c r="D59" s="16"/>
      <c r="E59" s="16"/>
      <c r="F59" s="16"/>
    </row>
    <row r="60" customFormat="false" ht="15" hidden="false" customHeight="true" outlineLevel="0" collapsed="false">
      <c r="A60" s="15" t="s">
        <v>102</v>
      </c>
      <c r="B60" s="18" t="n">
        <v>135</v>
      </c>
      <c r="C60" s="16" t="s">
        <v>103</v>
      </c>
      <c r="D60" s="16"/>
      <c r="E60" s="16"/>
      <c r="F60" s="16"/>
    </row>
    <row r="61" customFormat="false" ht="15" hidden="false" customHeight="true" outlineLevel="0" collapsed="false">
      <c r="A61" s="15" t="s">
        <v>104</v>
      </c>
      <c r="B61" s="18" t="n">
        <v>135</v>
      </c>
      <c r="C61" s="16" t="s">
        <v>105</v>
      </c>
      <c r="D61" s="16"/>
      <c r="E61" s="16"/>
      <c r="F61" s="16"/>
    </row>
    <row r="62" customFormat="false" ht="15" hidden="false" customHeight="true" outlineLevel="0" collapsed="false">
      <c r="A62" s="15" t="s">
        <v>106</v>
      </c>
      <c r="B62" s="18" t="n">
        <v>1</v>
      </c>
      <c r="C62" s="16" t="s">
        <v>107</v>
      </c>
      <c r="D62" s="16"/>
      <c r="E62" s="16"/>
      <c r="F62" s="16"/>
    </row>
    <row r="63" customFormat="false" ht="15" hidden="false" customHeight="true" outlineLevel="0" collapsed="false">
      <c r="A63" s="15" t="s">
        <v>108</v>
      </c>
      <c r="B63" s="18" t="n">
        <v>1</v>
      </c>
      <c r="C63" s="16" t="s">
        <v>109</v>
      </c>
      <c r="D63" s="16"/>
      <c r="E63" s="16"/>
      <c r="F63" s="16"/>
    </row>
    <row r="64" customFormat="false" ht="15" hidden="false" customHeight="true" outlineLevel="0" collapsed="false">
      <c r="A64" s="15" t="s">
        <v>110</v>
      </c>
      <c r="B64" s="18" t="n">
        <v>1</v>
      </c>
      <c r="C64" s="16" t="s">
        <v>111</v>
      </c>
      <c r="D64" s="16"/>
      <c r="E64" s="16"/>
      <c r="F64" s="16"/>
    </row>
    <row r="65" customFormat="false" ht="15" hidden="false" customHeight="true" outlineLevel="0" collapsed="false">
      <c r="A65" s="15" t="s">
        <v>112</v>
      </c>
      <c r="B65" s="18" t="n">
        <v>17</v>
      </c>
      <c r="C65" s="16" t="s">
        <v>113</v>
      </c>
      <c r="D65" s="16"/>
      <c r="E65" s="16"/>
      <c r="F65" s="16"/>
    </row>
    <row r="66" customFormat="false" ht="15" hidden="false" customHeight="true" outlineLevel="0" collapsed="false">
      <c r="A66" s="15" t="s">
        <v>114</v>
      </c>
      <c r="B66" s="18" t="n">
        <v>5</v>
      </c>
      <c r="C66" s="16" t="s">
        <v>115</v>
      </c>
      <c r="D66" s="16"/>
      <c r="E66" s="16"/>
      <c r="F66" s="16"/>
    </row>
    <row r="67" customFormat="false" ht="15" hidden="false" customHeight="true" outlineLevel="0" collapsed="false">
      <c r="A67" s="15" t="s">
        <v>116</v>
      </c>
      <c r="B67" s="18" t="n">
        <v>1</v>
      </c>
      <c r="C67" s="16" t="s">
        <v>117</v>
      </c>
      <c r="D67" s="16"/>
      <c r="E67" s="16"/>
      <c r="F67" s="16"/>
    </row>
    <row r="68" customFormat="false" ht="15" hidden="false" customHeight="true" outlineLevel="0" collapsed="false">
      <c r="A68" s="15" t="s">
        <v>118</v>
      </c>
      <c r="B68" s="18" t="n">
        <v>15</v>
      </c>
      <c r="C68" s="16" t="s">
        <v>119</v>
      </c>
      <c r="D68" s="16"/>
      <c r="E68" s="16"/>
      <c r="F68" s="16"/>
    </row>
    <row r="69" customFormat="false" ht="15" hidden="false" customHeight="true" outlineLevel="0" collapsed="false">
      <c r="A69" s="15" t="s">
        <v>120</v>
      </c>
      <c r="B69" s="18" t="n">
        <v>30</v>
      </c>
      <c r="C69" s="16" t="s">
        <v>121</v>
      </c>
      <c r="D69" s="16"/>
      <c r="E69" s="16"/>
      <c r="F69" s="16"/>
    </row>
    <row r="70" customFormat="false" ht="12" hidden="false" customHeight="true" outlineLevel="0" collapsed="false">
      <c r="A70" s="15" t="s">
        <v>122</v>
      </c>
      <c r="B70" s="18" t="n">
        <v>303</v>
      </c>
      <c r="C70" s="16" t="s">
        <v>123</v>
      </c>
      <c r="D70" s="16"/>
      <c r="E70" s="16"/>
      <c r="F70" s="16"/>
    </row>
    <row r="71" customFormat="false" ht="15" hidden="false" customHeight="true" outlineLevel="0" collapsed="false">
      <c r="A71" s="19" t="s">
        <v>124</v>
      </c>
      <c r="B71" s="19" t="n">
        <v>635</v>
      </c>
    </row>
    <row r="72" customFormat="false" ht="15" hidden="false" customHeight="false" outlineLevel="0" collapsed="false">
      <c r="A72" s="20" t="s">
        <v>125</v>
      </c>
    </row>
    <row r="73" customFormat="false" ht="35.05" hidden="false" customHeight="true" outlineLevel="0" collapsed="false">
      <c r="A73" s="21" t="s">
        <v>126</v>
      </c>
      <c r="B73" s="21"/>
      <c r="C73" s="21"/>
      <c r="D73" s="21"/>
      <c r="E73" s="21"/>
      <c r="F73" s="21"/>
    </row>
  </sheetData>
  <mergeCells count="61">
    <mergeCell ref="A1:F1"/>
    <mergeCell ref="A2:F2"/>
    <mergeCell ref="A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A23:F23"/>
    <mergeCell ref="B24:F24"/>
    <mergeCell ref="B25:F25"/>
    <mergeCell ref="A27:F27"/>
    <mergeCell ref="B28:F28"/>
    <mergeCell ref="B29:F29"/>
    <mergeCell ref="A31:F31"/>
    <mergeCell ref="B32:F32"/>
    <mergeCell ref="B33:F33"/>
    <mergeCell ref="A35:F35"/>
    <mergeCell ref="B36:F36"/>
    <mergeCell ref="A38:F38"/>
    <mergeCell ref="B39:F39"/>
    <mergeCell ref="B40:F40"/>
    <mergeCell ref="B41:F41"/>
    <mergeCell ref="B42:F42"/>
    <mergeCell ref="B43:F43"/>
    <mergeCell ref="B44:F44"/>
    <mergeCell ref="B45:F45"/>
    <mergeCell ref="A47:F47"/>
    <mergeCell ref="B48:F48"/>
    <mergeCell ref="B49:F49"/>
    <mergeCell ref="B50:F50"/>
    <mergeCell ref="A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A73:F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127</v>
      </c>
    </row>
    <row r="3" customFormat="false" ht="15" hidden="false" customHeight="true" outlineLevel="0" collapsed="false">
      <c r="A3" s="22" t="s">
        <v>128</v>
      </c>
      <c r="B3" s="22" t="s">
        <v>129</v>
      </c>
      <c r="C3" s="22" t="s">
        <v>130</v>
      </c>
      <c r="D3" s="22" t="s">
        <v>131</v>
      </c>
    </row>
    <row r="4" customFormat="false" ht="15" hidden="false" customHeight="true" outlineLevel="0" collapsed="false">
      <c r="A4" s="5" t="s">
        <v>132</v>
      </c>
      <c r="B4" s="6" t="n">
        <v>2300309</v>
      </c>
      <c r="C4" s="6" t="n">
        <v>2332680</v>
      </c>
      <c r="D4" s="10" t="n">
        <f aca="false">C4-B4</f>
        <v>32371</v>
      </c>
    </row>
    <row r="5" customFormat="false" ht="15" hidden="false" customHeight="true" outlineLevel="0" collapsed="false">
      <c r="A5" s="5" t="s">
        <v>133</v>
      </c>
      <c r="B5" s="6" t="n">
        <v>0</v>
      </c>
      <c r="C5" s="6" t="n">
        <v>32371</v>
      </c>
      <c r="D5" s="10" t="n">
        <f aca="false">C5-B5</f>
        <v>32371</v>
      </c>
    </row>
    <row r="6" customFormat="false" ht="15" hidden="false" customHeight="true" outlineLevel="0" collapsed="false">
      <c r="A6" s="13" t="s">
        <v>134</v>
      </c>
      <c r="B6" s="7" t="n">
        <f aca="false">SUM(B4:B5)</f>
        <v>2300309</v>
      </c>
      <c r="C6" s="7" t="n">
        <f aca="false">SUM(C4:C5)</f>
        <v>2365051</v>
      </c>
      <c r="D6" s="7" t="n">
        <f aca="false">SUM(D4:D5)</f>
        <v>64742</v>
      </c>
    </row>
    <row r="9" customFormat="false" ht="15" hidden="false" customHeight="true" outlineLevel="0" collapsed="false">
      <c r="A9" s="4" t="s">
        <v>135</v>
      </c>
    </row>
    <row r="10" customFormat="false" ht="15" hidden="false" customHeight="true" outlineLevel="0" collapsed="false">
      <c r="A10" s="22" t="s">
        <v>136</v>
      </c>
      <c r="B10" s="22" t="s">
        <v>137</v>
      </c>
      <c r="C10" s="22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7" min="3" style="1" width="16"/>
  </cols>
  <sheetData>
    <row r="1" customFormat="false" ht="19.5" hidden="false" customHeight="true" outlineLevel="0" collapsed="false">
      <c r="A1" s="2" t="s">
        <v>139</v>
      </c>
    </row>
    <row r="3" customFormat="false" ht="15" hidden="false" customHeight="true" outlineLevel="0" collapsed="false">
      <c r="A3" s="22" t="s">
        <v>140</v>
      </c>
      <c r="B3" s="22" t="s">
        <v>141</v>
      </c>
      <c r="C3" s="22" t="s">
        <v>142</v>
      </c>
      <c r="D3" s="22" t="s">
        <v>143</v>
      </c>
      <c r="E3" s="22" t="s">
        <v>144</v>
      </c>
      <c r="F3" s="22" t="s">
        <v>145</v>
      </c>
      <c r="G3" s="2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9.5" hidden="false" customHeight="true" outlineLevel="0" collapsed="false">
      <c r="A1" s="2" t="s">
        <v>147</v>
      </c>
    </row>
    <row r="3" customFormat="false" ht="15" hidden="false" customHeight="true" outlineLevel="0" collapsed="false">
      <c r="A3" s="22" t="s">
        <v>148</v>
      </c>
      <c r="B3" s="22" t="s">
        <v>149</v>
      </c>
      <c r="C3" s="22" t="s">
        <v>137</v>
      </c>
      <c r="D3" s="22" t="s">
        <v>138</v>
      </c>
      <c r="E3" s="22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8" min="3" style="1" width="14"/>
  </cols>
  <sheetData>
    <row r="1" customFormat="false" ht="19.5" hidden="false" customHeight="true" outlineLevel="0" collapsed="false">
      <c r="A1" s="2" t="s">
        <v>151</v>
      </c>
    </row>
    <row r="3" customFormat="false" ht="15" hidden="false" customHeight="true" outlineLevel="0" collapsed="false">
      <c r="A3" s="22" t="s">
        <v>152</v>
      </c>
      <c r="B3" s="22" t="s">
        <v>137</v>
      </c>
      <c r="C3" s="22" t="s">
        <v>129</v>
      </c>
      <c r="D3" s="22" t="s">
        <v>130</v>
      </c>
      <c r="E3" s="22" t="s">
        <v>153</v>
      </c>
      <c r="F3" s="22" t="s">
        <v>154</v>
      </c>
      <c r="G3" s="22" t="s">
        <v>155</v>
      </c>
      <c r="H3" s="22" t="s">
        <v>156</v>
      </c>
    </row>
    <row r="4" customFormat="false" ht="15" hidden="false" customHeight="true" outlineLevel="0" collapsed="false">
      <c r="A4" s="5" t="s">
        <v>157</v>
      </c>
      <c r="B4" s="5" t="s">
        <v>158</v>
      </c>
      <c r="C4" s="6" t="n">
        <v>10800</v>
      </c>
      <c r="D4" s="6" t="n">
        <v>10900</v>
      </c>
      <c r="E4" s="6" t="n">
        <v>1448.5</v>
      </c>
      <c r="F4" s="10" t="n">
        <f aca="false">D4-E4</f>
        <v>9451.5</v>
      </c>
      <c r="G4" s="6" t="n">
        <v>0</v>
      </c>
      <c r="H4" s="23" t="n">
        <f aca="false">IFERROR(E4/D4,0)</f>
        <v>0.132889908256881</v>
      </c>
    </row>
    <row r="5" customFormat="false" ht="15" hidden="false" customHeight="true" outlineLevel="0" collapsed="false">
      <c r="A5" s="5" t="s">
        <v>159</v>
      </c>
      <c r="B5" s="5" t="s">
        <v>160</v>
      </c>
      <c r="C5" s="6" t="n">
        <v>19575</v>
      </c>
      <c r="D5" s="6" t="n">
        <v>19675</v>
      </c>
      <c r="E5" s="6" t="n">
        <v>16497</v>
      </c>
      <c r="F5" s="10" t="n">
        <f aca="false">D5-E5</f>
        <v>3178</v>
      </c>
      <c r="G5" s="6" t="n">
        <v>0</v>
      </c>
      <c r="H5" s="23" t="n">
        <f aca="false">IFERROR(E5/D5,0)</f>
        <v>0.838475222363405</v>
      </c>
    </row>
    <row r="6" customFormat="false" ht="15" hidden="false" customHeight="true" outlineLevel="0" collapsed="false">
      <c r="A6" s="5" t="s">
        <v>161</v>
      </c>
      <c r="B6" s="5" t="s">
        <v>162</v>
      </c>
      <c r="C6" s="6" t="n">
        <v>13206</v>
      </c>
      <c r="D6" s="6" t="n">
        <v>15488</v>
      </c>
      <c r="E6" s="6" t="n">
        <v>16111.5</v>
      </c>
      <c r="F6" s="10" t="n">
        <f aca="false">D6-E6</f>
        <v>-623.5</v>
      </c>
      <c r="G6" s="6" t="n">
        <v>0</v>
      </c>
      <c r="H6" s="23" t="n">
        <f aca="false">IFERROR(E6/D6,0)</f>
        <v>1.0402569731405</v>
      </c>
    </row>
    <row r="7" customFormat="false" ht="15" hidden="false" customHeight="true" outlineLevel="0" collapsed="false">
      <c r="A7" s="5" t="s">
        <v>163</v>
      </c>
      <c r="B7" s="5" t="s">
        <v>164</v>
      </c>
      <c r="C7" s="6" t="n">
        <v>67077</v>
      </c>
      <c r="D7" s="6" t="n">
        <v>67077</v>
      </c>
      <c r="E7" s="6" t="n">
        <v>63370.5</v>
      </c>
      <c r="F7" s="10" t="n">
        <f aca="false">D7-E7</f>
        <v>3706.5</v>
      </c>
      <c r="G7" s="6" t="n">
        <v>0</v>
      </c>
      <c r="H7" s="23" t="n">
        <f aca="false">IFERROR(E7/D7,0)</f>
        <v>0.944742609240127</v>
      </c>
    </row>
    <row r="8" customFormat="false" ht="15" hidden="false" customHeight="true" outlineLevel="0" collapsed="false">
      <c r="A8" s="5" t="s">
        <v>165</v>
      </c>
      <c r="B8" s="5" t="s">
        <v>166</v>
      </c>
      <c r="C8" s="6" t="n">
        <v>39340</v>
      </c>
      <c r="D8" s="6" t="n">
        <v>39790</v>
      </c>
      <c r="E8" s="6" t="n">
        <v>21073.5</v>
      </c>
      <c r="F8" s="10" t="n">
        <f aca="false">D8-E8</f>
        <v>18716.5</v>
      </c>
      <c r="G8" s="6" t="n">
        <v>0</v>
      </c>
      <c r="H8" s="23" t="n">
        <f aca="false">IFERROR(E8/D8,0)</f>
        <v>0.529617994470973</v>
      </c>
    </row>
    <row r="9" customFormat="false" ht="15" hidden="false" customHeight="true" outlineLevel="0" collapsed="false">
      <c r="A9" s="5" t="s">
        <v>167</v>
      </c>
      <c r="B9" s="5" t="s">
        <v>168</v>
      </c>
      <c r="C9" s="6" t="n">
        <v>243255</v>
      </c>
      <c r="D9" s="6" t="n">
        <v>247365</v>
      </c>
      <c r="E9" s="6" t="n">
        <v>301988</v>
      </c>
      <c r="F9" s="10" t="n">
        <f aca="false">D9-E9</f>
        <v>-54623</v>
      </c>
      <c r="G9" s="6" t="n">
        <v>0</v>
      </c>
      <c r="H9" s="23" t="n">
        <f aca="false">IFERROR(E9/D9,0)</f>
        <v>1.22081943686455</v>
      </c>
    </row>
    <row r="10" customFormat="false" ht="15" hidden="false" customHeight="true" outlineLevel="0" collapsed="false">
      <c r="A10" s="5" t="s">
        <v>169</v>
      </c>
      <c r="B10" s="5" t="s">
        <v>170</v>
      </c>
      <c r="C10" s="6" t="n">
        <v>46860</v>
      </c>
      <c r="D10" s="6" t="n">
        <v>47430</v>
      </c>
      <c r="E10" s="6" t="n">
        <v>58885.5</v>
      </c>
      <c r="F10" s="10" t="n">
        <f aca="false">D10-E10</f>
        <v>-11455.5</v>
      </c>
      <c r="G10" s="6" t="n">
        <v>0</v>
      </c>
      <c r="H10" s="23" t="n">
        <f aca="false">IFERROR(E10/D10,0)</f>
        <v>1.24152435167615</v>
      </c>
    </row>
    <row r="11" customFormat="false" ht="15" hidden="false" customHeight="true" outlineLevel="0" collapsed="false">
      <c r="A11" s="5" t="s">
        <v>171</v>
      </c>
      <c r="B11" s="5" t="s">
        <v>172</v>
      </c>
      <c r="C11" s="6" t="n">
        <v>8100</v>
      </c>
      <c r="D11" s="6" t="n">
        <v>8550</v>
      </c>
      <c r="E11" s="6" t="n">
        <v>13994</v>
      </c>
      <c r="F11" s="10" t="n">
        <f aca="false">D11-E11</f>
        <v>-5444</v>
      </c>
      <c r="G11" s="6" t="n">
        <v>0</v>
      </c>
      <c r="H11" s="23" t="n">
        <f aca="false">IFERROR(E11/D11,0)</f>
        <v>1.63672514619883</v>
      </c>
    </row>
    <row r="12" customFormat="false" ht="15" hidden="false" customHeight="true" outlineLevel="0" collapsed="false">
      <c r="A12" s="5" t="s">
        <v>173</v>
      </c>
      <c r="B12" s="5" t="s">
        <v>174</v>
      </c>
      <c r="C12" s="6" t="n">
        <v>50660</v>
      </c>
      <c r="D12" s="6" t="n">
        <v>51080</v>
      </c>
      <c r="E12" s="6" t="n">
        <v>46415.5</v>
      </c>
      <c r="F12" s="10" t="n">
        <f aca="false">D12-E12</f>
        <v>4664.5</v>
      </c>
      <c r="G12" s="6" t="n">
        <v>0</v>
      </c>
      <c r="H12" s="23" t="n">
        <f aca="false">IFERROR(E12/D12,0)</f>
        <v>0.908682458888019</v>
      </c>
    </row>
    <row r="13" customFormat="false" ht="15" hidden="false" customHeight="true" outlineLevel="0" collapsed="false">
      <c r="A13" s="5" t="s">
        <v>175</v>
      </c>
      <c r="B13" s="5" t="s">
        <v>176</v>
      </c>
      <c r="C13" s="6" t="n">
        <v>18150</v>
      </c>
      <c r="D13" s="6" t="n">
        <v>18150</v>
      </c>
      <c r="E13" s="6" t="n">
        <v>17521.5</v>
      </c>
      <c r="F13" s="10" t="n">
        <f aca="false">D13-E13</f>
        <v>628.5</v>
      </c>
      <c r="G13" s="6" t="n">
        <v>0</v>
      </c>
      <c r="H13" s="23" t="n">
        <f aca="false">IFERROR(E13/D13,0)</f>
        <v>0.965371900826446</v>
      </c>
    </row>
    <row r="14" customFormat="false" ht="15" hidden="false" customHeight="true" outlineLevel="0" collapsed="false">
      <c r="A14" s="5" t="s">
        <v>177</v>
      </c>
      <c r="B14" s="5" t="s">
        <v>178</v>
      </c>
      <c r="C14" s="6" t="n">
        <v>0</v>
      </c>
      <c r="D14" s="6" t="n">
        <v>0</v>
      </c>
      <c r="E14" s="6" t="n">
        <v>106</v>
      </c>
      <c r="F14" s="10" t="n">
        <f aca="false">D14-E14</f>
        <v>-106</v>
      </c>
      <c r="G14" s="6" t="n">
        <v>0</v>
      </c>
      <c r="H14" s="23" t="n">
        <f aca="false">IFERROR(E14/D14,0)</f>
        <v>0</v>
      </c>
    </row>
    <row r="15" customFormat="false" ht="15" hidden="false" customHeight="true" outlineLevel="0" collapsed="false">
      <c r="A15" s="5" t="s">
        <v>179</v>
      </c>
      <c r="B15" s="5" t="s">
        <v>180</v>
      </c>
      <c r="C15" s="6" t="n">
        <v>10664</v>
      </c>
      <c r="D15" s="6" t="n">
        <v>13531</v>
      </c>
      <c r="E15" s="6" t="n">
        <v>8316.84</v>
      </c>
      <c r="F15" s="10" t="n">
        <f aca="false">D15-E15</f>
        <v>5214.16</v>
      </c>
      <c r="G15" s="6" t="n">
        <v>0</v>
      </c>
      <c r="H15" s="23" t="n">
        <f aca="false">IFERROR(E15/D15,0)</f>
        <v>0.61465080186239</v>
      </c>
    </row>
    <row r="16" customFormat="false" ht="15" hidden="false" customHeight="true" outlineLevel="0" collapsed="false">
      <c r="A16" s="5" t="s">
        <v>181</v>
      </c>
      <c r="B16" s="5" t="s">
        <v>182</v>
      </c>
      <c r="C16" s="6" t="n">
        <v>97667</v>
      </c>
      <c r="D16" s="6" t="n">
        <v>97667</v>
      </c>
      <c r="E16" s="6" t="n">
        <v>22525.24</v>
      </c>
      <c r="F16" s="10" t="n">
        <f aca="false">D16-E16</f>
        <v>75141.76</v>
      </c>
      <c r="G16" s="6" t="n">
        <v>0</v>
      </c>
      <c r="H16" s="23" t="n">
        <f aca="false">IFERROR(E16/D16,0)</f>
        <v>0.230633069511708</v>
      </c>
    </row>
    <row r="17" customFormat="false" ht="15" hidden="false" customHeight="true" outlineLevel="0" collapsed="false">
      <c r="A17" s="5" t="s">
        <v>183</v>
      </c>
      <c r="B17" s="5" t="s">
        <v>184</v>
      </c>
      <c r="C17" s="6" t="n">
        <v>22085</v>
      </c>
      <c r="D17" s="6" t="n">
        <v>22585</v>
      </c>
      <c r="E17" s="6" t="n">
        <v>12046.87</v>
      </c>
      <c r="F17" s="10" t="n">
        <f aca="false">D17-E17</f>
        <v>10538.13</v>
      </c>
      <c r="G17" s="6" t="n">
        <v>0</v>
      </c>
      <c r="H17" s="23" t="n">
        <f aca="false">IFERROR(E17/D17,0)</f>
        <v>0.533401372592429</v>
      </c>
    </row>
    <row r="18" customFormat="false" ht="15" hidden="false" customHeight="true" outlineLevel="0" collapsed="false">
      <c r="A18" s="5" t="s">
        <v>185</v>
      </c>
      <c r="B18" s="5" t="s">
        <v>186</v>
      </c>
      <c r="C18" s="6" t="n">
        <v>163620</v>
      </c>
      <c r="D18" s="6" t="n">
        <v>166602</v>
      </c>
      <c r="E18" s="6" t="n">
        <v>74601.11</v>
      </c>
      <c r="F18" s="10" t="n">
        <f aca="false">D18-E18</f>
        <v>92000.89</v>
      </c>
      <c r="G18" s="6" t="n">
        <v>0</v>
      </c>
      <c r="H18" s="23" t="n">
        <f aca="false">IFERROR(E18/D18,0)</f>
        <v>0.447780398794732</v>
      </c>
    </row>
    <row r="19" customFormat="false" ht="15" hidden="false" customHeight="true" outlineLevel="0" collapsed="false">
      <c r="A19" s="5" t="s">
        <v>187</v>
      </c>
      <c r="B19" s="5" t="s">
        <v>188</v>
      </c>
      <c r="C19" s="6" t="n">
        <v>371637</v>
      </c>
      <c r="D19" s="6" t="n">
        <v>366745</v>
      </c>
      <c r="E19" s="6" t="n">
        <v>287966.65</v>
      </c>
      <c r="F19" s="10" t="n">
        <f aca="false">D19-E19</f>
        <v>78778.35</v>
      </c>
      <c r="G19" s="6" t="n">
        <v>0</v>
      </c>
      <c r="H19" s="23" t="n">
        <f aca="false">IFERROR(E19/D19,0)</f>
        <v>0.785195844524125</v>
      </c>
    </row>
    <row r="20" customFormat="false" ht="15" hidden="false" customHeight="true" outlineLevel="0" collapsed="false">
      <c r="A20" s="5" t="s">
        <v>189</v>
      </c>
      <c r="B20" s="5" t="s">
        <v>190</v>
      </c>
      <c r="C20" s="6" t="n">
        <v>18450</v>
      </c>
      <c r="D20" s="6" t="n">
        <v>18838</v>
      </c>
      <c r="E20" s="6" t="n">
        <v>6882.96</v>
      </c>
      <c r="F20" s="10" t="n">
        <f aca="false">D20-E20</f>
        <v>11955.04</v>
      </c>
      <c r="G20" s="6" t="n">
        <v>0</v>
      </c>
      <c r="H20" s="23" t="n">
        <f aca="false">IFERROR(E20/D20,0)</f>
        <v>0.365376366917932</v>
      </c>
    </row>
    <row r="21" customFormat="false" ht="15" hidden="false" customHeight="true" outlineLevel="0" collapsed="false">
      <c r="A21" s="5" t="s">
        <v>191</v>
      </c>
      <c r="B21" s="5" t="s">
        <v>192</v>
      </c>
      <c r="C21" s="6" t="n">
        <v>57400</v>
      </c>
      <c r="D21" s="6" t="n">
        <v>57623</v>
      </c>
      <c r="E21" s="6" t="n">
        <v>45462.73</v>
      </c>
      <c r="F21" s="10" t="n">
        <f aca="false">D21-E21</f>
        <v>12160.27</v>
      </c>
      <c r="G21" s="6" t="n">
        <v>0</v>
      </c>
      <c r="H21" s="23" t="n">
        <f aca="false">IFERROR(E21/D21,0)</f>
        <v>0.788968467452233</v>
      </c>
    </row>
    <row r="22" customFormat="false" ht="15" hidden="false" customHeight="true" outlineLevel="0" collapsed="false">
      <c r="A22" s="5" t="s">
        <v>193</v>
      </c>
      <c r="B22" s="5" t="s">
        <v>194</v>
      </c>
      <c r="C22" s="6" t="n">
        <v>44000</v>
      </c>
      <c r="D22" s="6" t="n">
        <v>44000</v>
      </c>
      <c r="E22" s="6" t="n">
        <v>20788.7</v>
      </c>
      <c r="F22" s="10" t="n">
        <f aca="false">D22-E22</f>
        <v>23211.3</v>
      </c>
      <c r="G22" s="6" t="n">
        <v>0</v>
      </c>
      <c r="H22" s="23" t="n">
        <f aca="false">IFERROR(E22/D22,0)</f>
        <v>0.472470454545455</v>
      </c>
    </row>
    <row r="23" customFormat="false" ht="15" hidden="false" customHeight="true" outlineLevel="0" collapsed="false">
      <c r="A23" s="5" t="s">
        <v>195</v>
      </c>
      <c r="B23" s="5" t="s">
        <v>196</v>
      </c>
      <c r="C23" s="6" t="n">
        <v>0</v>
      </c>
      <c r="D23" s="6" t="n">
        <v>0</v>
      </c>
      <c r="E23" s="6" t="n">
        <v>0</v>
      </c>
      <c r="F23" s="10" t="n">
        <f aca="false">D23-E23</f>
        <v>0</v>
      </c>
      <c r="G23" s="6" t="n">
        <v>0</v>
      </c>
      <c r="H23" s="23" t="n">
        <f aca="false">IFERROR(E23/D23,0)</f>
        <v>0</v>
      </c>
    </row>
    <row r="24" customFormat="false" ht="15" hidden="false" customHeight="true" outlineLevel="0" collapsed="false">
      <c r="A24" s="5" t="s">
        <v>197</v>
      </c>
      <c r="B24" s="5" t="s">
        <v>198</v>
      </c>
      <c r="C24" s="6" t="n">
        <v>1000</v>
      </c>
      <c r="D24" s="6" t="n">
        <v>4360</v>
      </c>
      <c r="E24" s="6" t="n">
        <v>9771.2</v>
      </c>
      <c r="F24" s="10" t="n">
        <f aca="false">D24-E24</f>
        <v>-5411.2</v>
      </c>
      <c r="G24" s="6" t="n">
        <v>0</v>
      </c>
      <c r="H24" s="23" t="n">
        <f aca="false">IFERROR(E24/D24,0)</f>
        <v>2.24110091743119</v>
      </c>
    </row>
    <row r="25" customFormat="false" ht="15" hidden="false" customHeight="true" outlineLevel="0" collapsed="false">
      <c r="A25" s="5" t="s">
        <v>199</v>
      </c>
      <c r="B25" s="5" t="s">
        <v>200</v>
      </c>
      <c r="C25" s="6" t="n">
        <v>70000</v>
      </c>
      <c r="D25" s="6" t="n">
        <v>70000</v>
      </c>
      <c r="E25" s="6" t="n">
        <v>40070.75</v>
      </c>
      <c r="F25" s="10" t="n">
        <f aca="false">D25-E25</f>
        <v>29929.25</v>
      </c>
      <c r="G25" s="6" t="n">
        <v>0</v>
      </c>
      <c r="H25" s="23" t="n">
        <f aca="false">IFERROR(E25/D25,0)</f>
        <v>0.572439285714286</v>
      </c>
    </row>
    <row r="26" customFormat="false" ht="15" hidden="false" customHeight="true" outlineLevel="0" collapsed="false">
      <c r="A26" s="5" t="s">
        <v>201</v>
      </c>
      <c r="B26" s="5" t="s">
        <v>202</v>
      </c>
      <c r="C26" s="6" t="n">
        <v>9000</v>
      </c>
      <c r="D26" s="6" t="n">
        <v>9000</v>
      </c>
      <c r="E26" s="6" t="n">
        <v>10709.84</v>
      </c>
      <c r="F26" s="10" t="n">
        <f aca="false">D26-E26</f>
        <v>-1709.84</v>
      </c>
      <c r="G26" s="6" t="n">
        <v>0</v>
      </c>
      <c r="H26" s="23" t="n">
        <f aca="false">IFERROR(E26/D26,0)</f>
        <v>1.18998222222222</v>
      </c>
    </row>
    <row r="27" customFormat="false" ht="15" hidden="false" customHeight="true" outlineLevel="0" collapsed="false">
      <c r="A27" s="5" t="s">
        <v>203</v>
      </c>
      <c r="B27" s="5" t="s">
        <v>204</v>
      </c>
      <c r="C27" s="6" t="n">
        <v>26800</v>
      </c>
      <c r="D27" s="6" t="n">
        <v>26800</v>
      </c>
      <c r="E27" s="6" t="n">
        <v>21423</v>
      </c>
      <c r="F27" s="10" t="n">
        <f aca="false">D27-E27</f>
        <v>5377</v>
      </c>
      <c r="G27" s="6" t="n">
        <v>0</v>
      </c>
      <c r="H27" s="23" t="n">
        <f aca="false">IFERROR(E27/D27,0)</f>
        <v>0.799365671641791</v>
      </c>
    </row>
    <row r="28" customFormat="false" ht="15" hidden="false" customHeight="true" outlineLevel="0" collapsed="false">
      <c r="A28" s="5" t="s">
        <v>205</v>
      </c>
      <c r="B28" s="5" t="s">
        <v>206</v>
      </c>
      <c r="C28" s="6" t="n">
        <v>11000</v>
      </c>
      <c r="D28" s="6" t="n">
        <v>11000</v>
      </c>
      <c r="E28" s="6" t="n">
        <v>13008.75</v>
      </c>
      <c r="F28" s="10" t="n">
        <f aca="false">D28-E28</f>
        <v>-2008.75</v>
      </c>
      <c r="G28" s="6" t="n">
        <v>0</v>
      </c>
      <c r="H28" s="23" t="n">
        <f aca="false">IFERROR(E28/D28,0)</f>
        <v>1.18261363636364</v>
      </c>
    </row>
    <row r="29" customFormat="false" ht="15" hidden="false" customHeight="true" outlineLevel="0" collapsed="false">
      <c r="A29" s="5" t="s">
        <v>207</v>
      </c>
      <c r="B29" s="5" t="s">
        <v>208</v>
      </c>
      <c r="C29" s="6" t="n">
        <v>206809.13</v>
      </c>
      <c r="D29" s="6" t="n">
        <v>210032.29</v>
      </c>
      <c r="E29" s="6" t="n">
        <v>224915.87</v>
      </c>
      <c r="F29" s="10" t="n">
        <f aca="false">D29-E29</f>
        <v>-14883.58</v>
      </c>
      <c r="G29" s="6" t="n">
        <v>0</v>
      </c>
      <c r="H29" s="23" t="n">
        <f aca="false">IFERROR(E29/D29,0)</f>
        <v>1.07086329440107</v>
      </c>
    </row>
    <row r="30" customFormat="false" ht="15" hidden="false" customHeight="true" outlineLevel="0" collapsed="false">
      <c r="A30" s="5" t="s">
        <v>209</v>
      </c>
      <c r="B30" s="5" t="s">
        <v>210</v>
      </c>
      <c r="C30" s="6" t="n">
        <v>39552.25</v>
      </c>
      <c r="D30" s="6" t="n">
        <v>40201.13</v>
      </c>
      <c r="E30" s="6" t="n">
        <v>42642.55</v>
      </c>
      <c r="F30" s="10" t="n">
        <f aca="false">D30-E30</f>
        <v>-2441.42000000001</v>
      </c>
      <c r="G30" s="6" t="n">
        <v>0</v>
      </c>
      <c r="H30" s="23" t="n">
        <f aca="false">IFERROR(E30/D30,0)</f>
        <v>1.0607301337052</v>
      </c>
    </row>
    <row r="31" customFormat="false" ht="15" hidden="false" customHeight="true" outlineLevel="0" collapsed="false">
      <c r="A31" s="13" t="s">
        <v>211</v>
      </c>
      <c r="C31" s="7" t="n">
        <f aca="false">SUM(C4:C30)</f>
        <v>1666707.38</v>
      </c>
      <c r="D31" s="7" t="n">
        <f aca="false">SUM(D4:D30)</f>
        <v>1684489.42</v>
      </c>
      <c r="E31" s="7" t="n">
        <f aca="false">SUM(E4:E30)</f>
        <v>1398544.56</v>
      </c>
      <c r="F31" s="7" t="n">
        <f aca="false">SUM(F4:F30)</f>
        <v>285944.86</v>
      </c>
      <c r="G31" s="7" t="n">
        <f aca="false">SUM(G4:G30)</f>
        <v>0</v>
      </c>
      <c r="H31" s="8" t="n">
        <f aca="false">IFERROR(E31/D31,0)</f>
        <v>0.83024834908135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" t="s">
        <v>212</v>
      </c>
    </row>
    <row r="3" customFormat="false" ht="15" hidden="false" customHeight="true" outlineLevel="0" collapsed="false">
      <c r="A3" s="22" t="s">
        <v>213</v>
      </c>
      <c r="B3" s="22" t="s">
        <v>214</v>
      </c>
      <c r="C3" s="22" t="s">
        <v>215</v>
      </c>
      <c r="D3" s="22" t="s">
        <v>153</v>
      </c>
      <c r="E3" s="22" t="s">
        <v>154</v>
      </c>
      <c r="F3" s="22" t="s">
        <v>156</v>
      </c>
    </row>
    <row r="4" customFormat="false" ht="15" hidden="false" customHeight="true" outlineLevel="0" collapsed="false">
      <c r="A4" s="13" t="s">
        <v>216</v>
      </c>
      <c r="B4" s="5" t="n">
        <v>11</v>
      </c>
      <c r="C4" s="6" t="n">
        <v>525505</v>
      </c>
      <c r="D4" s="6" t="n">
        <v>557411.5</v>
      </c>
      <c r="E4" s="10" t="n">
        <f aca="false">C4-D4</f>
        <v>-31906.5</v>
      </c>
      <c r="F4" s="23" t="n">
        <f aca="false">IFERROR(D4/C4,0)</f>
        <v>1.06071588281748</v>
      </c>
    </row>
    <row r="5" customFormat="false" ht="15" hidden="false" customHeight="true" outlineLevel="0" collapsed="false">
      <c r="A5" s="13" t="s">
        <v>217</v>
      </c>
      <c r="B5" s="5" t="n">
        <v>9</v>
      </c>
      <c r="C5" s="6" t="n">
        <v>787591</v>
      </c>
      <c r="D5" s="6" t="n">
        <v>478591.1</v>
      </c>
      <c r="E5" s="10" t="n">
        <f aca="false">C5-D5</f>
        <v>308999.9</v>
      </c>
      <c r="F5" s="23" t="n">
        <f aca="false">IFERROR(D5/C5,0)</f>
        <v>0.607664511148553</v>
      </c>
    </row>
    <row r="6" customFormat="false" ht="15" hidden="false" customHeight="true" outlineLevel="0" collapsed="false">
      <c r="A6" s="13" t="s">
        <v>218</v>
      </c>
      <c r="B6" s="5" t="n">
        <v>5</v>
      </c>
      <c r="C6" s="6" t="n">
        <v>121160</v>
      </c>
      <c r="D6" s="6" t="n">
        <v>94983.54</v>
      </c>
      <c r="E6" s="10" t="n">
        <f aca="false">C6-D6</f>
        <v>26176.46</v>
      </c>
      <c r="F6" s="23" t="n">
        <f aca="false">IFERROR(D6/C6,0)</f>
        <v>0.783951304060746</v>
      </c>
    </row>
    <row r="7" customFormat="false" ht="15" hidden="false" customHeight="true" outlineLevel="0" collapsed="false">
      <c r="A7" s="13" t="s">
        <v>219</v>
      </c>
      <c r="B7" s="5" t="n">
        <v>2</v>
      </c>
      <c r="C7" s="6" t="n">
        <v>250233.42</v>
      </c>
      <c r="D7" s="6" t="n">
        <v>267558.42</v>
      </c>
      <c r="E7" s="10" t="n">
        <f aca="false">C7-D7</f>
        <v>-17325</v>
      </c>
      <c r="F7" s="23" t="n">
        <f aca="false">IFERROR(D7/C7,0)</f>
        <v>1.0692353563325</v>
      </c>
    </row>
    <row r="8" customFormat="false" ht="15" hidden="false" customHeight="true" outlineLevel="0" collapsed="false">
      <c r="A8" s="13" t="s">
        <v>211</v>
      </c>
      <c r="B8" s="24" t="n">
        <f aca="false">SUM(B4:B7)</f>
        <v>27</v>
      </c>
      <c r="C8" s="7" t="n">
        <f aca="false">SUM(C4:C7)</f>
        <v>1684489.42</v>
      </c>
      <c r="D8" s="7" t="n">
        <f aca="false">SUM(D4:D7)</f>
        <v>1398544.56</v>
      </c>
      <c r="E8" s="7" t="n">
        <f aca="false">SUM(E4:E7)</f>
        <v>285944.86</v>
      </c>
      <c r="F8" s="8" t="n">
        <f aca="false">IFERROR(D8/C8,0)</f>
        <v>0.83024834908135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2" t="s">
        <v>220</v>
      </c>
    </row>
    <row r="2" customFormat="false" ht="15" hidden="false" customHeight="true" outlineLevel="0" collapsed="false">
      <c r="A2" s="3" t="s">
        <v>221</v>
      </c>
    </row>
    <row r="4" customFormat="false" ht="15" hidden="false" customHeight="true" outlineLevel="0" collapsed="false">
      <c r="A4" s="22" t="s">
        <v>152</v>
      </c>
      <c r="B4" s="22" t="s">
        <v>137</v>
      </c>
      <c r="C4" s="22" t="s">
        <v>130</v>
      </c>
      <c r="D4" s="22" t="s">
        <v>153</v>
      </c>
      <c r="E4" s="22" t="s">
        <v>154</v>
      </c>
      <c r="F4" s="22" t="s">
        <v>222</v>
      </c>
      <c r="G4" s="22" t="s">
        <v>150</v>
      </c>
    </row>
    <row r="5" customFormat="false" ht="15" hidden="false" customHeight="true" outlineLevel="0" collapsed="false">
      <c r="A5" s="5" t="s">
        <v>157</v>
      </c>
      <c r="B5" s="5" t="s">
        <v>158</v>
      </c>
      <c r="C5" s="6" t="n">
        <v>10900</v>
      </c>
      <c r="D5" s="6" t="n">
        <v>1448.5</v>
      </c>
      <c r="E5" s="10" t="n">
        <f aca="false">C5-D5</f>
        <v>9451.5</v>
      </c>
      <c r="F5" s="23" t="n">
        <f aca="false">IFERROR((D5-C5)/C5,0)</f>
        <v>-0.867110091743119</v>
      </c>
      <c r="G5" s="25" t="str">
        <f aca="false">IF(C5=0,"UNBUDGETED",IF(F5&gt;0.5,"CRITICAL",IF(F5&gt;0.1,"OVER",IF(F5&lt;-0.1,"UNDER","ON"))))</f>
        <v>UNDER</v>
      </c>
    </row>
    <row r="6" customFormat="false" ht="15" hidden="false" customHeight="true" outlineLevel="0" collapsed="false">
      <c r="A6" s="5" t="s">
        <v>159</v>
      </c>
      <c r="B6" s="5" t="s">
        <v>160</v>
      </c>
      <c r="C6" s="6" t="n">
        <v>19675</v>
      </c>
      <c r="D6" s="6" t="n">
        <v>16497</v>
      </c>
      <c r="E6" s="10" t="n">
        <f aca="false">C6-D6</f>
        <v>3178</v>
      </c>
      <c r="F6" s="23" t="n">
        <f aca="false">IFERROR((D6-C6)/C6,0)</f>
        <v>-0.161524777636595</v>
      </c>
      <c r="G6" s="25" t="str">
        <f aca="false">IF(C6=0,"UNBUDGETED",IF(F6&gt;0.5,"CRITICAL",IF(F6&gt;0.1,"OVER",IF(F6&lt;-0.1,"UNDER","ON"))))</f>
        <v>UNDER</v>
      </c>
    </row>
    <row r="7" customFormat="false" ht="15" hidden="false" customHeight="true" outlineLevel="0" collapsed="false">
      <c r="A7" s="5" t="s">
        <v>161</v>
      </c>
      <c r="B7" s="5" t="s">
        <v>162</v>
      </c>
      <c r="C7" s="6" t="n">
        <v>15488</v>
      </c>
      <c r="D7" s="6" t="n">
        <v>16111.5</v>
      </c>
      <c r="E7" s="10" t="n">
        <f aca="false">C7-D7</f>
        <v>-623.5</v>
      </c>
      <c r="F7" s="23" t="n">
        <f aca="false">IFERROR((D7-C7)/C7,0)</f>
        <v>0.0402569731404959</v>
      </c>
      <c r="G7" s="25" t="str">
        <f aca="false">IF(C7=0,"UNBUDGETED",IF(F7&gt;0.5,"CRITICAL",IF(F7&gt;0.1,"OVER",IF(F7&lt;-0.1,"UNDER","ON"))))</f>
        <v>ON</v>
      </c>
    </row>
    <row r="8" customFormat="false" ht="15" hidden="false" customHeight="true" outlineLevel="0" collapsed="false">
      <c r="A8" s="5" t="s">
        <v>163</v>
      </c>
      <c r="B8" s="5" t="s">
        <v>164</v>
      </c>
      <c r="C8" s="6" t="n">
        <v>67077</v>
      </c>
      <c r="D8" s="6" t="n">
        <v>63370.5</v>
      </c>
      <c r="E8" s="10" t="n">
        <f aca="false">C8-D8</f>
        <v>3706.5</v>
      </c>
      <c r="F8" s="23" t="n">
        <f aca="false">IFERROR((D8-C8)/C8,0)</f>
        <v>-0.055257390759873</v>
      </c>
      <c r="G8" s="25" t="str">
        <f aca="false">IF(C8=0,"UNBUDGETED",IF(F8&gt;0.5,"CRITICAL",IF(F8&gt;0.1,"OVER",IF(F8&lt;-0.1,"UNDER","ON"))))</f>
        <v>ON</v>
      </c>
    </row>
    <row r="9" customFormat="false" ht="15" hidden="false" customHeight="true" outlineLevel="0" collapsed="false">
      <c r="A9" s="5" t="s">
        <v>165</v>
      </c>
      <c r="B9" s="5" t="s">
        <v>166</v>
      </c>
      <c r="C9" s="6" t="n">
        <v>39790</v>
      </c>
      <c r="D9" s="6" t="n">
        <v>21073.5</v>
      </c>
      <c r="E9" s="10" t="n">
        <f aca="false">C9-D9</f>
        <v>18716.5</v>
      </c>
      <c r="F9" s="23" t="n">
        <f aca="false">IFERROR((D9-C9)/C9,0)</f>
        <v>-0.470382005529027</v>
      </c>
      <c r="G9" s="25" t="str">
        <f aca="false">IF(C9=0,"UNBUDGETED",IF(F9&gt;0.5,"CRITICAL",IF(F9&gt;0.1,"OVER",IF(F9&lt;-0.1,"UNDER","ON"))))</f>
        <v>UNDER</v>
      </c>
    </row>
    <row r="10" customFormat="false" ht="15" hidden="false" customHeight="true" outlineLevel="0" collapsed="false">
      <c r="A10" s="5" t="s">
        <v>167</v>
      </c>
      <c r="B10" s="5" t="s">
        <v>168</v>
      </c>
      <c r="C10" s="6" t="n">
        <v>247365</v>
      </c>
      <c r="D10" s="6" t="n">
        <v>301988</v>
      </c>
      <c r="E10" s="10" t="n">
        <f aca="false">C10-D10</f>
        <v>-54623</v>
      </c>
      <c r="F10" s="23" t="n">
        <f aca="false">IFERROR((D10-C10)/C10,0)</f>
        <v>0.220819436864552</v>
      </c>
      <c r="G10" s="25" t="str">
        <f aca="false">IF(C10=0,"UNBUDGETED",IF(F10&gt;0.5,"CRITICAL",IF(F10&gt;0.1,"OVER",IF(F10&lt;-0.1,"UNDER","ON"))))</f>
        <v>OVER</v>
      </c>
    </row>
    <row r="11" customFormat="false" ht="15" hidden="false" customHeight="true" outlineLevel="0" collapsed="false">
      <c r="A11" s="5" t="s">
        <v>169</v>
      </c>
      <c r="B11" s="5" t="s">
        <v>170</v>
      </c>
      <c r="C11" s="6" t="n">
        <v>47430</v>
      </c>
      <c r="D11" s="6" t="n">
        <v>58885.5</v>
      </c>
      <c r="E11" s="10" t="n">
        <f aca="false">C11-D11</f>
        <v>-11455.5</v>
      </c>
      <c r="F11" s="23" t="n">
        <f aca="false">IFERROR((D11-C11)/C11,0)</f>
        <v>0.241524351676154</v>
      </c>
      <c r="G11" s="25" t="str">
        <f aca="false">IF(C11=0,"UNBUDGETED",IF(F11&gt;0.5,"CRITICAL",IF(F11&gt;0.1,"OVER",IF(F11&lt;-0.1,"UNDER","ON"))))</f>
        <v>OVER</v>
      </c>
    </row>
    <row r="12" customFormat="false" ht="15" hidden="false" customHeight="true" outlineLevel="0" collapsed="false">
      <c r="A12" s="5" t="s">
        <v>171</v>
      </c>
      <c r="B12" s="5" t="s">
        <v>172</v>
      </c>
      <c r="C12" s="6" t="n">
        <v>8550</v>
      </c>
      <c r="D12" s="6" t="n">
        <v>13994</v>
      </c>
      <c r="E12" s="10" t="n">
        <f aca="false">C12-D12</f>
        <v>-5444</v>
      </c>
      <c r="F12" s="23" t="n">
        <f aca="false">IFERROR((D12-C12)/C12,0)</f>
        <v>0.63672514619883</v>
      </c>
      <c r="G12" s="25" t="str">
        <f aca="false">IF(C12=0,"UNBUDGETED",IF(F12&gt;0.5,"CRITICAL",IF(F12&gt;0.1,"OVER",IF(F12&lt;-0.1,"UNDER","ON"))))</f>
        <v>CRITICAL</v>
      </c>
    </row>
    <row r="13" customFormat="false" ht="15" hidden="false" customHeight="true" outlineLevel="0" collapsed="false">
      <c r="A13" s="5" t="s">
        <v>173</v>
      </c>
      <c r="B13" s="5" t="s">
        <v>174</v>
      </c>
      <c r="C13" s="6" t="n">
        <v>51080</v>
      </c>
      <c r="D13" s="6" t="n">
        <v>46415.5</v>
      </c>
      <c r="E13" s="10" t="n">
        <f aca="false">C13-D13</f>
        <v>4664.5</v>
      </c>
      <c r="F13" s="23" t="n">
        <f aca="false">IFERROR((D13-C13)/C13,0)</f>
        <v>-0.0913175411119812</v>
      </c>
      <c r="G13" s="25" t="str">
        <f aca="false">IF(C13=0,"UNBUDGETED",IF(F13&gt;0.5,"CRITICAL",IF(F13&gt;0.1,"OVER",IF(F13&lt;-0.1,"UNDER","ON"))))</f>
        <v>ON</v>
      </c>
    </row>
    <row r="14" customFormat="false" ht="15" hidden="false" customHeight="true" outlineLevel="0" collapsed="false">
      <c r="A14" s="5" t="s">
        <v>175</v>
      </c>
      <c r="B14" s="5" t="s">
        <v>176</v>
      </c>
      <c r="C14" s="6" t="n">
        <v>18150</v>
      </c>
      <c r="D14" s="6" t="n">
        <v>17521.5</v>
      </c>
      <c r="E14" s="10" t="n">
        <f aca="false">C14-D14</f>
        <v>628.5</v>
      </c>
      <c r="F14" s="23" t="n">
        <f aca="false">IFERROR((D14-C14)/C14,0)</f>
        <v>-0.0346280991735537</v>
      </c>
      <c r="G14" s="25" t="str">
        <f aca="false">IF(C14=0,"UNBUDGETED",IF(F14&gt;0.5,"CRITICAL",IF(F14&gt;0.1,"OVER",IF(F14&lt;-0.1,"UNDER","ON"))))</f>
        <v>ON</v>
      </c>
    </row>
    <row r="15" customFormat="false" ht="15" hidden="false" customHeight="true" outlineLevel="0" collapsed="false">
      <c r="A15" s="5" t="s">
        <v>177</v>
      </c>
      <c r="B15" s="5" t="s">
        <v>178</v>
      </c>
      <c r="C15" s="6" t="n">
        <v>0</v>
      </c>
      <c r="D15" s="6" t="n">
        <v>106</v>
      </c>
      <c r="E15" s="10" t="n">
        <f aca="false">C15-D15</f>
        <v>-106</v>
      </c>
      <c r="F15" s="23" t="n">
        <f aca="false">IFERROR((D15-C15)/C15,0)</f>
        <v>0</v>
      </c>
      <c r="G15" s="25" t="str">
        <f aca="false">IF(C15=0,"UNBUDGETED",IF(F15&gt;0.5,"CRITICAL",IF(F15&gt;0.1,"OVER",IF(F15&lt;-0.1,"UNDER","ON"))))</f>
        <v>UNBUDGETED</v>
      </c>
    </row>
    <row r="16" customFormat="false" ht="15" hidden="false" customHeight="true" outlineLevel="0" collapsed="false">
      <c r="A16" s="5" t="s">
        <v>179</v>
      </c>
      <c r="B16" s="5" t="s">
        <v>180</v>
      </c>
      <c r="C16" s="6" t="n">
        <v>13531</v>
      </c>
      <c r="D16" s="6" t="n">
        <v>8316.84</v>
      </c>
      <c r="E16" s="10" t="n">
        <f aca="false">C16-D16</f>
        <v>5214.16</v>
      </c>
      <c r="F16" s="23" t="n">
        <f aca="false">IFERROR((D16-C16)/C16,0)</f>
        <v>-0.38534919813761</v>
      </c>
      <c r="G16" s="25" t="str">
        <f aca="false">IF(C16=0,"UNBUDGETED",IF(F16&gt;0.5,"CRITICAL",IF(F16&gt;0.1,"OVER",IF(F16&lt;-0.1,"UNDER","ON"))))</f>
        <v>UNDER</v>
      </c>
    </row>
    <row r="17" customFormat="false" ht="15" hidden="false" customHeight="true" outlineLevel="0" collapsed="false">
      <c r="A17" s="5" t="s">
        <v>181</v>
      </c>
      <c r="B17" s="5" t="s">
        <v>182</v>
      </c>
      <c r="C17" s="6" t="n">
        <v>97667</v>
      </c>
      <c r="D17" s="6" t="n">
        <v>22525.24</v>
      </c>
      <c r="E17" s="10" t="n">
        <f aca="false">C17-D17</f>
        <v>75141.76</v>
      </c>
      <c r="F17" s="23" t="n">
        <f aca="false">IFERROR((D17-C17)/C17,0)</f>
        <v>-0.769366930488292</v>
      </c>
      <c r="G17" s="25" t="str">
        <f aca="false">IF(C17=0,"UNBUDGETED",IF(F17&gt;0.5,"CRITICAL",IF(F17&gt;0.1,"OVER",IF(F17&lt;-0.1,"UNDER","ON"))))</f>
        <v>UNDER</v>
      </c>
    </row>
    <row r="18" customFormat="false" ht="15" hidden="false" customHeight="true" outlineLevel="0" collapsed="false">
      <c r="A18" s="5" t="s">
        <v>183</v>
      </c>
      <c r="B18" s="5" t="s">
        <v>184</v>
      </c>
      <c r="C18" s="6" t="n">
        <v>22585</v>
      </c>
      <c r="D18" s="6" t="n">
        <v>12046.87</v>
      </c>
      <c r="E18" s="10" t="n">
        <f aca="false">C18-D18</f>
        <v>10538.13</v>
      </c>
      <c r="F18" s="23" t="n">
        <f aca="false">IFERROR((D18-C18)/C18,0)</f>
        <v>-0.466598627407571</v>
      </c>
      <c r="G18" s="25" t="str">
        <f aca="false">IF(C18=0,"UNBUDGETED",IF(F18&gt;0.5,"CRITICAL",IF(F18&gt;0.1,"OVER",IF(F18&lt;-0.1,"UNDER","ON"))))</f>
        <v>UNDER</v>
      </c>
    </row>
    <row r="19" customFormat="false" ht="15" hidden="false" customHeight="true" outlineLevel="0" collapsed="false">
      <c r="A19" s="5" t="s">
        <v>185</v>
      </c>
      <c r="B19" s="5" t="s">
        <v>186</v>
      </c>
      <c r="C19" s="6" t="n">
        <v>166602</v>
      </c>
      <c r="D19" s="6" t="n">
        <v>74601.11</v>
      </c>
      <c r="E19" s="10" t="n">
        <f aca="false">C19-D19</f>
        <v>92000.89</v>
      </c>
      <c r="F19" s="23" t="n">
        <f aca="false">IFERROR((D19-C19)/C19,0)</f>
        <v>-0.552219601205268</v>
      </c>
      <c r="G19" s="25" t="str">
        <f aca="false">IF(C19=0,"UNBUDGETED",IF(F19&gt;0.5,"CRITICAL",IF(F19&gt;0.1,"OVER",IF(F19&lt;-0.1,"UNDER","ON"))))</f>
        <v>UNDER</v>
      </c>
    </row>
    <row r="20" customFormat="false" ht="15" hidden="false" customHeight="true" outlineLevel="0" collapsed="false">
      <c r="A20" s="5" t="s">
        <v>187</v>
      </c>
      <c r="B20" s="5" t="s">
        <v>188</v>
      </c>
      <c r="C20" s="6" t="n">
        <v>366745</v>
      </c>
      <c r="D20" s="6" t="n">
        <v>287966.65</v>
      </c>
      <c r="E20" s="10" t="n">
        <f aca="false">C20-D20</f>
        <v>78778.35</v>
      </c>
      <c r="F20" s="23" t="n">
        <f aca="false">IFERROR((D20-C20)/C20,0)</f>
        <v>-0.214804155475876</v>
      </c>
      <c r="G20" s="25" t="str">
        <f aca="false">IF(C20=0,"UNBUDGETED",IF(F20&gt;0.5,"CRITICAL",IF(F20&gt;0.1,"OVER",IF(F20&lt;-0.1,"UNDER","ON"))))</f>
        <v>UNDER</v>
      </c>
    </row>
    <row r="21" customFormat="false" ht="15" hidden="false" customHeight="true" outlineLevel="0" collapsed="false">
      <c r="A21" s="5" t="s">
        <v>189</v>
      </c>
      <c r="B21" s="5" t="s">
        <v>190</v>
      </c>
      <c r="C21" s="6" t="n">
        <v>18838</v>
      </c>
      <c r="D21" s="6" t="n">
        <v>6882.96</v>
      </c>
      <c r="E21" s="10" t="n">
        <f aca="false">C21-D21</f>
        <v>11955.04</v>
      </c>
      <c r="F21" s="23" t="n">
        <f aca="false">IFERROR((D21-C21)/C21,0)</f>
        <v>-0.634623633082068</v>
      </c>
      <c r="G21" s="25" t="str">
        <f aca="false">IF(C21=0,"UNBUDGETED",IF(F21&gt;0.5,"CRITICAL",IF(F21&gt;0.1,"OVER",IF(F21&lt;-0.1,"UNDER","ON"))))</f>
        <v>UNDER</v>
      </c>
    </row>
    <row r="22" customFormat="false" ht="15" hidden="false" customHeight="true" outlineLevel="0" collapsed="false">
      <c r="A22" s="5" t="s">
        <v>191</v>
      </c>
      <c r="B22" s="5" t="s">
        <v>192</v>
      </c>
      <c r="C22" s="6" t="n">
        <v>57623</v>
      </c>
      <c r="D22" s="6" t="n">
        <v>45462.73</v>
      </c>
      <c r="E22" s="10" t="n">
        <f aca="false">C22-D22</f>
        <v>12160.27</v>
      </c>
      <c r="F22" s="23" t="n">
        <f aca="false">IFERROR((D22-C22)/C22,0)</f>
        <v>-0.211031532547767</v>
      </c>
      <c r="G22" s="25" t="str">
        <f aca="false">IF(C22=0,"UNBUDGETED",IF(F22&gt;0.5,"CRITICAL",IF(F22&gt;0.1,"OVER",IF(F22&lt;-0.1,"UNDER","ON"))))</f>
        <v>UNDER</v>
      </c>
    </row>
    <row r="23" customFormat="false" ht="15" hidden="false" customHeight="true" outlineLevel="0" collapsed="false">
      <c r="A23" s="5" t="s">
        <v>193</v>
      </c>
      <c r="B23" s="5" t="s">
        <v>194</v>
      </c>
      <c r="C23" s="6" t="n">
        <v>44000</v>
      </c>
      <c r="D23" s="6" t="n">
        <v>20788.7</v>
      </c>
      <c r="E23" s="10" t="n">
        <f aca="false">C23-D23</f>
        <v>23211.3</v>
      </c>
      <c r="F23" s="23" t="n">
        <f aca="false">IFERROR((D23-C23)/C23,0)</f>
        <v>-0.527529545454545</v>
      </c>
      <c r="G23" s="25" t="str">
        <f aca="false">IF(C23=0,"UNBUDGETED",IF(F23&gt;0.5,"CRITICAL",IF(F23&gt;0.1,"OVER",IF(F23&lt;-0.1,"UNDER","ON"))))</f>
        <v>UNDER</v>
      </c>
    </row>
    <row r="24" customFormat="false" ht="15" hidden="false" customHeight="true" outlineLevel="0" collapsed="false">
      <c r="A24" s="5" t="s">
        <v>197</v>
      </c>
      <c r="B24" s="5" t="s">
        <v>198</v>
      </c>
      <c r="C24" s="6" t="n">
        <v>4360</v>
      </c>
      <c r="D24" s="6" t="n">
        <v>9771.2</v>
      </c>
      <c r="E24" s="10" t="n">
        <f aca="false">C24-D24</f>
        <v>-5411.2</v>
      </c>
      <c r="F24" s="23" t="n">
        <f aca="false">IFERROR((D24-C24)/C24,0)</f>
        <v>1.24110091743119</v>
      </c>
      <c r="G24" s="25" t="str">
        <f aca="false">IF(C24=0,"UNBUDGETED",IF(F24&gt;0.5,"CRITICAL",IF(F24&gt;0.1,"OVER",IF(F24&lt;-0.1,"UNDER","ON"))))</f>
        <v>CRITICAL</v>
      </c>
    </row>
    <row r="25" customFormat="false" ht="15" hidden="false" customHeight="true" outlineLevel="0" collapsed="false">
      <c r="A25" s="5" t="s">
        <v>199</v>
      </c>
      <c r="B25" s="5" t="s">
        <v>200</v>
      </c>
      <c r="C25" s="6" t="n">
        <v>70000</v>
      </c>
      <c r="D25" s="6" t="n">
        <v>40070.75</v>
      </c>
      <c r="E25" s="10" t="n">
        <f aca="false">C25-D25</f>
        <v>29929.25</v>
      </c>
      <c r="F25" s="23" t="n">
        <f aca="false">IFERROR((D25-C25)/C25,0)</f>
        <v>-0.427560714285714</v>
      </c>
      <c r="G25" s="25" t="str">
        <f aca="false">IF(C25=0,"UNBUDGETED",IF(F25&gt;0.5,"CRITICAL",IF(F25&gt;0.1,"OVER",IF(F25&lt;-0.1,"UNDER","ON"))))</f>
        <v>UNDER</v>
      </c>
    </row>
    <row r="26" customFormat="false" ht="15" hidden="false" customHeight="true" outlineLevel="0" collapsed="false">
      <c r="A26" s="5" t="s">
        <v>201</v>
      </c>
      <c r="B26" s="5" t="s">
        <v>202</v>
      </c>
      <c r="C26" s="6" t="n">
        <v>9000</v>
      </c>
      <c r="D26" s="6" t="n">
        <v>10709.84</v>
      </c>
      <c r="E26" s="10" t="n">
        <f aca="false">C26-D26</f>
        <v>-1709.84</v>
      </c>
      <c r="F26" s="23" t="n">
        <f aca="false">IFERROR((D26-C26)/C26,0)</f>
        <v>0.189982222222222</v>
      </c>
      <c r="G26" s="25" t="str">
        <f aca="false">IF(C26=0,"UNBUDGETED",IF(F26&gt;0.5,"CRITICAL",IF(F26&gt;0.1,"OVER",IF(F26&lt;-0.1,"UNDER","ON"))))</f>
        <v>OVER</v>
      </c>
    </row>
    <row r="27" customFormat="false" ht="15" hidden="false" customHeight="true" outlineLevel="0" collapsed="false">
      <c r="A27" s="5" t="s">
        <v>203</v>
      </c>
      <c r="B27" s="5" t="s">
        <v>204</v>
      </c>
      <c r="C27" s="6" t="n">
        <v>26800</v>
      </c>
      <c r="D27" s="6" t="n">
        <v>21423</v>
      </c>
      <c r="E27" s="10" t="n">
        <f aca="false">C27-D27</f>
        <v>5377</v>
      </c>
      <c r="F27" s="23" t="n">
        <f aca="false">IFERROR((D27-C27)/C27,0)</f>
        <v>-0.200634328358209</v>
      </c>
      <c r="G27" s="25" t="str">
        <f aca="false">IF(C27=0,"UNBUDGETED",IF(F27&gt;0.5,"CRITICAL",IF(F27&gt;0.1,"OVER",IF(F27&lt;-0.1,"UNDER","ON"))))</f>
        <v>UNDER</v>
      </c>
    </row>
    <row r="28" customFormat="false" ht="15" hidden="false" customHeight="true" outlineLevel="0" collapsed="false">
      <c r="A28" s="5" t="s">
        <v>205</v>
      </c>
      <c r="B28" s="5" t="s">
        <v>206</v>
      </c>
      <c r="C28" s="6" t="n">
        <v>11000</v>
      </c>
      <c r="D28" s="6" t="n">
        <v>13008.75</v>
      </c>
      <c r="E28" s="10" t="n">
        <f aca="false">C28-D28</f>
        <v>-2008.75</v>
      </c>
      <c r="F28" s="23" t="n">
        <f aca="false">IFERROR((D28-C28)/C28,0)</f>
        <v>0.182613636363636</v>
      </c>
      <c r="G28" s="25" t="str">
        <f aca="false">IF(C28=0,"UNBUDGETED",IF(F28&gt;0.5,"CRITICAL",IF(F28&gt;0.1,"OVER",IF(F28&lt;-0.1,"UNDER","ON"))))</f>
        <v>OVER</v>
      </c>
    </row>
    <row r="29" customFormat="false" ht="15" hidden="false" customHeight="true" outlineLevel="0" collapsed="false">
      <c r="A29" s="5" t="s">
        <v>207</v>
      </c>
      <c r="B29" s="5" t="s">
        <v>208</v>
      </c>
      <c r="C29" s="6" t="n">
        <v>210032.29</v>
      </c>
      <c r="D29" s="6" t="n">
        <v>224915.87</v>
      </c>
      <c r="E29" s="10" t="n">
        <f aca="false">C29-D29</f>
        <v>-14883.58</v>
      </c>
      <c r="F29" s="23" t="n">
        <f aca="false">IFERROR((D29-C29)/C29,0)</f>
        <v>0.0708632944010656</v>
      </c>
      <c r="G29" s="25" t="str">
        <f aca="false">IF(C29=0,"UNBUDGETED",IF(F29&gt;0.5,"CRITICAL",IF(F29&gt;0.1,"OVER",IF(F29&lt;-0.1,"UNDER","ON"))))</f>
        <v>ON</v>
      </c>
    </row>
    <row r="30" customFormat="false" ht="15" hidden="false" customHeight="true" outlineLevel="0" collapsed="false">
      <c r="A30" s="5" t="s">
        <v>209</v>
      </c>
      <c r="B30" s="5" t="s">
        <v>210</v>
      </c>
      <c r="C30" s="6" t="n">
        <v>40201.13</v>
      </c>
      <c r="D30" s="6" t="n">
        <v>42642.55</v>
      </c>
      <c r="E30" s="10" t="n">
        <f aca="false">C30-D30</f>
        <v>-2441.42000000001</v>
      </c>
      <c r="F30" s="23" t="n">
        <f aca="false">IFERROR((D30-C30)/C30,0)</f>
        <v>0.060730133705197</v>
      </c>
      <c r="G30" s="25" t="str">
        <f aca="false">IF(C30=0,"UNBUDGETED",IF(F30&gt;0.5,"CRITICAL",IF(F30&gt;0.1,"OVER",IF(F30&lt;-0.1,"UNDER","ON"))))</f>
        <v>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223</v>
      </c>
    </row>
    <row r="3" customFormat="false" ht="15" hidden="false" customHeight="true" outlineLevel="0" collapsed="false">
      <c r="A3" s="22" t="s">
        <v>224</v>
      </c>
      <c r="B3" s="22" t="s">
        <v>225</v>
      </c>
      <c r="C3" s="22" t="s">
        <v>226</v>
      </c>
      <c r="D3" s="22" t="s">
        <v>227</v>
      </c>
    </row>
    <row r="4" customFormat="false" ht="15" hidden="false" customHeight="true" outlineLevel="0" collapsed="false">
      <c r="A4" s="5" t="s">
        <v>228</v>
      </c>
      <c r="B4" s="6" t="n">
        <v>154840.21</v>
      </c>
      <c r="C4" s="5" t="n">
        <v>111</v>
      </c>
      <c r="D4" s="23" t="n">
        <f aca="false">IFERROR(B4/SUM(B$4:B$21),0)</f>
        <v>0.316942277528889</v>
      </c>
    </row>
    <row r="5" customFormat="false" ht="15" hidden="false" customHeight="true" outlineLevel="0" collapsed="false">
      <c r="A5" s="5" t="s">
        <v>229</v>
      </c>
      <c r="B5" s="6" t="n">
        <v>108692.89</v>
      </c>
      <c r="C5" s="5" t="n">
        <v>27</v>
      </c>
      <c r="D5" s="23" t="n">
        <f aca="false">IFERROR(B5/SUM(B$4:B$21),0)</f>
        <v>0.222483372425011</v>
      </c>
    </row>
    <row r="6" customFormat="false" ht="15" hidden="false" customHeight="true" outlineLevel="0" collapsed="false">
      <c r="A6" s="5" t="s">
        <v>230</v>
      </c>
      <c r="B6" s="6" t="n">
        <v>70168.11</v>
      </c>
      <c r="C6" s="5" t="n">
        <v>34</v>
      </c>
      <c r="D6" s="23" t="n">
        <f aca="false">IFERROR(B6/SUM(B$4:B$21),0)</f>
        <v>0.143627037145568</v>
      </c>
    </row>
    <row r="7" customFormat="false" ht="15" hidden="false" customHeight="true" outlineLevel="0" collapsed="false">
      <c r="A7" s="5" t="s">
        <v>60</v>
      </c>
      <c r="B7" s="6" t="n">
        <v>40070.75</v>
      </c>
      <c r="C7" s="5" t="n">
        <v>7</v>
      </c>
      <c r="D7" s="23" t="n">
        <f aca="false">IFERROR(B7/SUM(B$4:B$21),0)</f>
        <v>0.0820207797915716</v>
      </c>
    </row>
    <row r="8" customFormat="false" ht="15" hidden="false" customHeight="true" outlineLevel="0" collapsed="false">
      <c r="A8" s="5" t="s">
        <v>231</v>
      </c>
      <c r="B8" s="6" t="n">
        <v>35790.67</v>
      </c>
      <c r="C8" s="5" t="n">
        <v>36</v>
      </c>
      <c r="D8" s="23" t="n">
        <f aca="false">IFERROR(B8/SUM(B$4:B$21),0)</f>
        <v>0.0732598881394236</v>
      </c>
    </row>
    <row r="9" customFormat="false" ht="15" hidden="false" customHeight="true" outlineLevel="0" collapsed="false">
      <c r="A9" s="5" t="s">
        <v>232</v>
      </c>
      <c r="B9" s="6" t="n">
        <v>24178.58</v>
      </c>
      <c r="C9" s="5" t="n">
        <v>3</v>
      </c>
      <c r="D9" s="23" t="n">
        <f aca="false">IFERROR(B9/SUM(B$4:B$21),0)</f>
        <v>0.0494911122415452</v>
      </c>
    </row>
    <row r="10" customFormat="false" ht="15" hidden="false" customHeight="true" outlineLevel="0" collapsed="false">
      <c r="A10" s="5" t="s">
        <v>233</v>
      </c>
      <c r="B10" s="6" t="n">
        <v>20634.39</v>
      </c>
      <c r="C10" s="5" t="n">
        <v>19</v>
      </c>
      <c r="D10" s="23" t="n">
        <f aca="false">IFERROR(B10/SUM(B$4:B$21),0)</f>
        <v>0.0422365131254945</v>
      </c>
    </row>
    <row r="11" customFormat="false" ht="15" hidden="false" customHeight="true" outlineLevel="0" collapsed="false">
      <c r="A11" s="5" t="s">
        <v>234</v>
      </c>
      <c r="B11" s="6" t="n">
        <v>10155.75</v>
      </c>
      <c r="C11" s="5" t="n">
        <v>23</v>
      </c>
      <c r="D11" s="23" t="n">
        <f aca="false">IFERROR(B11/SUM(B$4:B$21),0)</f>
        <v>0.020787794946894</v>
      </c>
    </row>
    <row r="12" customFormat="false" ht="15" hidden="false" customHeight="true" outlineLevel="0" collapsed="false">
      <c r="A12" s="5" t="s">
        <v>235</v>
      </c>
      <c r="B12" s="6" t="n">
        <v>5350</v>
      </c>
      <c r="C12" s="5" t="n">
        <v>2</v>
      </c>
      <c r="D12" s="23" t="n">
        <f aca="false">IFERROR(B12/SUM(B$4:B$21),0)</f>
        <v>0.0109509098752808</v>
      </c>
    </row>
    <row r="13" customFormat="false" ht="15" hidden="false" customHeight="true" outlineLevel="0" collapsed="false">
      <c r="A13" s="5" t="s">
        <v>236</v>
      </c>
      <c r="B13" s="6" t="n">
        <v>4866</v>
      </c>
      <c r="C13" s="5" t="n">
        <v>2</v>
      </c>
      <c r="D13" s="23" t="n">
        <f aca="false">IFERROR(B13/SUM(B$4:B$21),0)</f>
        <v>0.00996021073890026</v>
      </c>
    </row>
    <row r="14" customFormat="false" ht="15" hidden="false" customHeight="true" outlineLevel="0" collapsed="false">
      <c r="A14" s="5" t="s">
        <v>237</v>
      </c>
      <c r="B14" s="6" t="n">
        <v>4421.2</v>
      </c>
      <c r="C14" s="5" t="n">
        <v>4</v>
      </c>
      <c r="D14" s="23" t="n">
        <f aca="false">IFERROR(B14/SUM(B$4:B$21),0)</f>
        <v>0.00904975004497037</v>
      </c>
    </row>
    <row r="15" customFormat="false" ht="15" hidden="false" customHeight="true" outlineLevel="0" collapsed="false">
      <c r="A15" s="5" t="s">
        <v>238</v>
      </c>
      <c r="B15" s="6" t="n">
        <v>4073</v>
      </c>
      <c r="C15" s="5" t="n">
        <v>1</v>
      </c>
      <c r="D15" s="23" t="n">
        <f aca="false">IFERROR(B15/SUM(B$4:B$21),0)</f>
        <v>0.00833701979850817</v>
      </c>
    </row>
    <row r="16" customFormat="false" ht="15" hidden="false" customHeight="true" outlineLevel="0" collapsed="false">
      <c r="A16" s="5" t="s">
        <v>239</v>
      </c>
      <c r="B16" s="6" t="n">
        <v>3505</v>
      </c>
      <c r="C16" s="5" t="n">
        <v>4</v>
      </c>
      <c r="D16" s="23" t="n">
        <f aca="false">IFERROR(B16/SUM(B$4:B$21),0)</f>
        <v>0.00717438114259051</v>
      </c>
    </row>
    <row r="17" customFormat="false" ht="15" hidden="false" customHeight="true" outlineLevel="0" collapsed="false">
      <c r="A17" s="5" t="s">
        <v>240</v>
      </c>
      <c r="B17" s="6" t="n">
        <v>554.09</v>
      </c>
      <c r="C17" s="5" t="n">
        <v>2</v>
      </c>
      <c r="D17" s="23" t="n">
        <f aca="false">IFERROR(B17/SUM(B$4:B$21),0)</f>
        <v>0.00113416629024193</v>
      </c>
    </row>
    <row r="18" customFormat="false" ht="15" hidden="false" customHeight="true" outlineLevel="0" collapsed="false">
      <c r="A18" s="5" t="s">
        <v>241</v>
      </c>
      <c r="B18" s="6" t="n">
        <v>551.04</v>
      </c>
      <c r="C18" s="5" t="n">
        <v>1</v>
      </c>
      <c r="D18" s="23" t="n">
        <f aca="false">IFERROR(B18/SUM(B$4:B$21),0)</f>
        <v>0.0011279232481635</v>
      </c>
    </row>
    <row r="19" customFormat="false" ht="15" hidden="false" customHeight="true" outlineLevel="0" collapsed="false">
      <c r="A19" s="5" t="s">
        <v>242</v>
      </c>
      <c r="B19" s="6" t="n">
        <v>392.76</v>
      </c>
      <c r="C19" s="5" t="n">
        <v>2</v>
      </c>
      <c r="D19" s="23" t="n">
        <f aca="false">IFERROR(B19/SUM(B$4:B$21),0)</f>
        <v>0.000803940067778559</v>
      </c>
    </row>
    <row r="20" customFormat="false" ht="15" hidden="false" customHeight="true" outlineLevel="0" collapsed="false">
      <c r="A20" s="5" t="s">
        <v>243</v>
      </c>
      <c r="B20" s="6" t="n">
        <v>226.18</v>
      </c>
      <c r="C20" s="5" t="n">
        <v>1</v>
      </c>
      <c r="D20" s="23" t="n">
        <f aca="false">IFERROR(B20/SUM(B$4:B$21),0)</f>
        <v>0.000462967625344114</v>
      </c>
    </row>
    <row r="21" customFormat="false" ht="15" hidden="false" customHeight="true" outlineLevel="0" collapsed="false">
      <c r="A21" s="5" t="s">
        <v>244</v>
      </c>
      <c r="B21" s="6" t="n">
        <v>73.26</v>
      </c>
      <c r="C21" s="5" t="n">
        <v>1</v>
      </c>
      <c r="D21" s="23" t="n">
        <f aca="false">IFERROR(B21/SUM(B$4:B$21),0)</f>
        <v>0.000149955823824873</v>
      </c>
    </row>
    <row r="22" customFormat="false" ht="15" hidden="false" customHeight="true" outlineLevel="0" collapsed="false">
      <c r="A22" s="13" t="s">
        <v>245</v>
      </c>
      <c r="B22" s="7" t="n">
        <f aca="false">SUM(B4:B21)</f>
        <v>488543.88</v>
      </c>
      <c r="C22" s="26" t="n">
        <f aca="false">SUM(C4:C21)</f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5" hidden="false" customHeight="true" outlineLevel="0" collapsed="false">
      <c r="A1" s="2" t="s">
        <v>246</v>
      </c>
    </row>
    <row r="3" customFormat="false" ht="15" hidden="false" customHeight="true" outlineLevel="0" collapsed="false">
      <c r="A3" s="22" t="s">
        <v>247</v>
      </c>
      <c r="B3" s="22" t="s">
        <v>248</v>
      </c>
      <c r="C3" s="22" t="s">
        <v>249</v>
      </c>
      <c r="D3" s="22" t="s">
        <v>250</v>
      </c>
      <c r="E3" s="22" t="s">
        <v>251</v>
      </c>
    </row>
    <row r="4" customFormat="false" ht="15" hidden="false" customHeight="true" outlineLevel="0" collapsed="false">
      <c r="A4" s="5" t="s">
        <v>252</v>
      </c>
      <c r="B4" s="27" t="n">
        <v>2528</v>
      </c>
      <c r="C4" s="6" t="n">
        <v>74332</v>
      </c>
      <c r="D4" s="28" t="n">
        <f aca="false">IFERROR(C4/B4,0)</f>
        <v>29.4034810126582</v>
      </c>
      <c r="E4" s="5" t="s">
        <v>253</v>
      </c>
    </row>
    <row r="5" customFormat="false" ht="15" hidden="false" customHeight="true" outlineLevel="0" collapsed="false">
      <c r="A5" s="5" t="s">
        <v>254</v>
      </c>
      <c r="B5" s="27" t="n">
        <v>2287</v>
      </c>
      <c r="C5" s="6" t="n">
        <v>74008</v>
      </c>
      <c r="D5" s="28" t="n">
        <f aca="false">IFERROR(C5/B5,0)</f>
        <v>32.3602973327503</v>
      </c>
      <c r="E5" s="5" t="s">
        <v>253</v>
      </c>
    </row>
    <row r="6" customFormat="false" ht="15" hidden="false" customHeight="true" outlineLevel="0" collapsed="false">
      <c r="A6" s="5" t="s">
        <v>255</v>
      </c>
      <c r="B6" s="27" t="n">
        <v>2054</v>
      </c>
      <c r="C6" s="6" t="n">
        <v>92916</v>
      </c>
      <c r="D6" s="28" t="n">
        <f aca="false">IFERROR(C6/B6,0)</f>
        <v>45.236611489776</v>
      </c>
      <c r="E6" s="5" t="s">
        <v>256</v>
      </c>
    </row>
    <row r="7" customFormat="false" ht="15" hidden="false" customHeight="true" outlineLevel="0" collapsed="false">
      <c r="A7" s="5" t="s">
        <v>257</v>
      </c>
      <c r="B7" s="27" t="n">
        <v>1231</v>
      </c>
      <c r="C7" s="6" t="n">
        <v>25719</v>
      </c>
      <c r="D7" s="28" t="n">
        <f aca="false">IFERROR(C7/B7,0)</f>
        <v>20.8927701056052</v>
      </c>
      <c r="E7" s="5" t="s">
        <v>253</v>
      </c>
    </row>
    <row r="8" customFormat="false" ht="15" hidden="false" customHeight="true" outlineLevel="0" collapsed="false">
      <c r="A8" s="5" t="s">
        <v>258</v>
      </c>
      <c r="B8" s="27" t="n">
        <v>1201</v>
      </c>
      <c r="C8" s="6" t="n">
        <v>27049</v>
      </c>
      <c r="D8" s="28" t="n">
        <f aca="false">IFERROR(C8/B8,0)</f>
        <v>22.5220649458784</v>
      </c>
      <c r="E8" s="5" t="s">
        <v>253</v>
      </c>
    </row>
    <row r="9" customFormat="false" ht="15" hidden="false" customHeight="true" outlineLevel="0" collapsed="false">
      <c r="A9" s="5" t="s">
        <v>259</v>
      </c>
      <c r="B9" s="27" t="n">
        <v>1193</v>
      </c>
      <c r="C9" s="6" t="n">
        <v>31435</v>
      </c>
      <c r="D9" s="28" t="n">
        <f aca="false">IFERROR(C9/B9,0)</f>
        <v>26.349538977368</v>
      </c>
      <c r="E9" s="5" t="s">
        <v>253</v>
      </c>
    </row>
    <row r="10" customFormat="false" ht="15" hidden="false" customHeight="true" outlineLevel="0" collapsed="false">
      <c r="A10" s="5" t="s">
        <v>260</v>
      </c>
      <c r="B10" s="27" t="n">
        <v>1026</v>
      </c>
      <c r="C10" s="6" t="n">
        <v>27186</v>
      </c>
      <c r="D10" s="28" t="n">
        <f aca="false">IFERROR(C10/B10,0)</f>
        <v>26.4970760233918</v>
      </c>
      <c r="E10" s="5" t="s">
        <v>253</v>
      </c>
    </row>
    <row r="11" customFormat="false" ht="15" hidden="false" customHeight="true" outlineLevel="0" collapsed="false">
      <c r="A11" s="5" t="s">
        <v>261</v>
      </c>
      <c r="B11" s="27" t="n">
        <v>885</v>
      </c>
      <c r="C11" s="6" t="n">
        <v>14392</v>
      </c>
      <c r="D11" s="28" t="n">
        <f aca="false">IFERROR(C11/B11,0)</f>
        <v>16.2621468926554</v>
      </c>
      <c r="E11" s="5" t="s">
        <v>262</v>
      </c>
    </row>
    <row r="12" customFormat="false" ht="15" hidden="false" customHeight="true" outlineLevel="0" collapsed="false">
      <c r="A12" s="5" t="s">
        <v>263</v>
      </c>
      <c r="B12" s="27" t="n">
        <v>857</v>
      </c>
      <c r="C12" s="6" t="n">
        <v>25965</v>
      </c>
      <c r="D12" s="28" t="n">
        <f aca="false">IFERROR(C12/B12,0)</f>
        <v>30.2975495915986</v>
      </c>
      <c r="E12" s="5" t="s">
        <v>253</v>
      </c>
    </row>
    <row r="13" customFormat="false" ht="15" hidden="false" customHeight="true" outlineLevel="0" collapsed="false">
      <c r="A13" s="5" t="s">
        <v>264</v>
      </c>
      <c r="B13" s="27" t="n">
        <v>828</v>
      </c>
      <c r="C13" s="6" t="n">
        <v>18348</v>
      </c>
      <c r="D13" s="28" t="n">
        <f aca="false">IFERROR(C13/B13,0)</f>
        <v>22.1594202898551</v>
      </c>
      <c r="E13" s="5" t="s">
        <v>253</v>
      </c>
    </row>
    <row r="14" customFormat="false" ht="15" hidden="false" customHeight="true" outlineLevel="0" collapsed="false">
      <c r="A14" s="5" t="s">
        <v>265</v>
      </c>
      <c r="B14" s="27" t="n">
        <v>765</v>
      </c>
      <c r="C14" s="6" t="n">
        <v>15080</v>
      </c>
      <c r="D14" s="28" t="n">
        <f aca="false">IFERROR(C14/B14,0)</f>
        <v>19.7124183006536</v>
      </c>
      <c r="E14" s="5" t="s">
        <v>262</v>
      </c>
    </row>
    <row r="15" customFormat="false" ht="15" hidden="false" customHeight="true" outlineLevel="0" collapsed="false">
      <c r="A15" s="5" t="s">
        <v>266</v>
      </c>
      <c r="B15" s="27" t="n">
        <v>733.5</v>
      </c>
      <c r="C15" s="6" t="n">
        <v>21936</v>
      </c>
      <c r="D15" s="28" t="n">
        <f aca="false">IFERROR(C15/B15,0)</f>
        <v>29.9059304703477</v>
      </c>
      <c r="E15" s="5" t="s">
        <v>253</v>
      </c>
    </row>
    <row r="16" customFormat="false" ht="15" hidden="false" customHeight="true" outlineLevel="0" collapsed="false">
      <c r="A16" s="5" t="s">
        <v>267</v>
      </c>
      <c r="B16" s="27" t="n">
        <v>694.5</v>
      </c>
      <c r="C16" s="6" t="n">
        <v>11832</v>
      </c>
      <c r="D16" s="28" t="n">
        <f aca="false">IFERROR(C16/B16,0)</f>
        <v>17.036717062635</v>
      </c>
      <c r="E16" s="5" t="s">
        <v>262</v>
      </c>
    </row>
    <row r="17" customFormat="false" ht="15" hidden="false" customHeight="true" outlineLevel="0" collapsed="false">
      <c r="A17" s="5" t="s">
        <v>268</v>
      </c>
      <c r="B17" s="27" t="n">
        <v>664</v>
      </c>
      <c r="C17" s="6" t="n">
        <v>19920</v>
      </c>
      <c r="D17" s="28" t="n">
        <f aca="false">IFERROR(C17/B17,0)</f>
        <v>30</v>
      </c>
      <c r="E17" s="5" t="s">
        <v>253</v>
      </c>
    </row>
    <row r="18" customFormat="false" ht="15" hidden="false" customHeight="true" outlineLevel="0" collapsed="false">
      <c r="A18" s="5" t="s">
        <v>269</v>
      </c>
      <c r="B18" s="27" t="n">
        <v>461</v>
      </c>
      <c r="C18" s="6" t="n">
        <v>8290</v>
      </c>
      <c r="D18" s="28" t="n">
        <f aca="false">IFERROR(C18/B18,0)</f>
        <v>17.9826464208243</v>
      </c>
      <c r="E18" s="5" t="s">
        <v>262</v>
      </c>
    </row>
    <row r="19" customFormat="false" ht="15" hidden="false" customHeight="true" outlineLevel="0" collapsed="false">
      <c r="A19" s="5" t="s">
        <v>270</v>
      </c>
      <c r="B19" s="27" t="n">
        <v>433</v>
      </c>
      <c r="C19" s="6" t="n">
        <v>9036</v>
      </c>
      <c r="D19" s="28" t="n">
        <f aca="false">IFERROR(C19/B19,0)</f>
        <v>20.8683602771363</v>
      </c>
      <c r="E19" s="5" t="s">
        <v>253</v>
      </c>
    </row>
    <row r="20" customFormat="false" ht="15" hidden="false" customHeight="true" outlineLevel="0" collapsed="false">
      <c r="A20" s="5" t="s">
        <v>271</v>
      </c>
      <c r="B20" s="27" t="n">
        <v>343</v>
      </c>
      <c r="C20" s="6" t="n">
        <v>17170</v>
      </c>
      <c r="D20" s="28" t="n">
        <f aca="false">IFERROR(C20/B20,0)</f>
        <v>50.0583090379009</v>
      </c>
      <c r="E20" s="5" t="s">
        <v>256</v>
      </c>
    </row>
    <row r="21" customFormat="false" ht="15" hidden="false" customHeight="true" outlineLevel="0" collapsed="false">
      <c r="A21" s="5" t="s">
        <v>272</v>
      </c>
      <c r="B21" s="27" t="n">
        <v>271</v>
      </c>
      <c r="C21" s="6" t="n">
        <v>9433</v>
      </c>
      <c r="D21" s="28" t="n">
        <f aca="false">IFERROR(C21/B21,0)</f>
        <v>34.8081180811808</v>
      </c>
      <c r="E21" s="5" t="s">
        <v>253</v>
      </c>
    </row>
    <row r="22" customFormat="false" ht="15" hidden="false" customHeight="true" outlineLevel="0" collapsed="false">
      <c r="A22" s="5" t="s">
        <v>273</v>
      </c>
      <c r="B22" s="27" t="n">
        <v>223</v>
      </c>
      <c r="C22" s="6" t="n">
        <v>2936</v>
      </c>
      <c r="D22" s="28" t="n">
        <f aca="false">IFERROR(C22/B22,0)</f>
        <v>13.1659192825112</v>
      </c>
      <c r="E22" s="5" t="s">
        <v>262</v>
      </c>
    </row>
    <row r="23" customFormat="false" ht="15" hidden="false" customHeight="true" outlineLevel="0" collapsed="false">
      <c r="A23" s="5" t="s">
        <v>274</v>
      </c>
      <c r="B23" s="27" t="n">
        <v>175</v>
      </c>
      <c r="C23" s="6" t="n">
        <v>10938</v>
      </c>
      <c r="D23" s="28" t="n">
        <f aca="false">IFERROR(C23/B23,0)</f>
        <v>62.5028571428571</v>
      </c>
      <c r="E23" s="5" t="s">
        <v>256</v>
      </c>
    </row>
    <row r="24" customFormat="false" ht="15" hidden="false" customHeight="true" outlineLevel="0" collapsed="false">
      <c r="A24" s="5" t="s">
        <v>275</v>
      </c>
      <c r="B24" s="27" t="n">
        <v>133</v>
      </c>
      <c r="C24" s="6" t="n">
        <v>7008</v>
      </c>
      <c r="D24" s="28" t="n">
        <f aca="false">IFERROR(C24/B24,0)</f>
        <v>52.6917293233083</v>
      </c>
      <c r="E24" s="5" t="s">
        <v>256</v>
      </c>
    </row>
    <row r="25" customFormat="false" ht="15" hidden="false" customHeight="true" outlineLevel="0" collapsed="false">
      <c r="A25" s="5" t="s">
        <v>276</v>
      </c>
      <c r="B25" s="27" t="n">
        <v>96</v>
      </c>
      <c r="C25" s="6" t="n">
        <v>5106</v>
      </c>
      <c r="D25" s="28" t="n">
        <f aca="false">IFERROR(C25/B25,0)</f>
        <v>53.1875</v>
      </c>
      <c r="E25" s="5" t="s">
        <v>256</v>
      </c>
    </row>
    <row r="26" customFormat="false" ht="15" hidden="false" customHeight="true" outlineLevel="0" collapsed="false">
      <c r="A26" s="5" t="s">
        <v>277</v>
      </c>
      <c r="B26" s="27" t="n">
        <v>85</v>
      </c>
      <c r="C26" s="6" t="n">
        <v>1637</v>
      </c>
      <c r="D26" s="28" t="n">
        <f aca="false">IFERROR(C26/B26,0)</f>
        <v>19.2588235294118</v>
      </c>
      <c r="E26" s="5" t="s">
        <v>262</v>
      </c>
    </row>
    <row r="27" customFormat="false" ht="15" hidden="false" customHeight="true" outlineLevel="0" collapsed="false">
      <c r="A27" s="5" t="s">
        <v>278</v>
      </c>
      <c r="B27" s="27" t="n">
        <v>48</v>
      </c>
      <c r="C27" s="6" t="n">
        <v>1104</v>
      </c>
      <c r="D27" s="28" t="n">
        <f aca="false">IFERROR(C27/B27,0)</f>
        <v>23</v>
      </c>
      <c r="E27" s="5" t="s">
        <v>253</v>
      </c>
    </row>
    <row r="28" customFormat="false" ht="15" hidden="false" customHeight="true" outlineLevel="0" collapsed="false">
      <c r="A28" s="5" t="s">
        <v>279</v>
      </c>
      <c r="B28" s="27" t="n">
        <v>32</v>
      </c>
      <c r="C28" s="6" t="n">
        <v>608</v>
      </c>
      <c r="D28" s="28" t="n">
        <f aca="false">IFERROR(C28/B28,0)</f>
        <v>19</v>
      </c>
      <c r="E28" s="5" t="s">
        <v>262</v>
      </c>
    </row>
    <row r="29" customFormat="false" ht="15" hidden="false" customHeight="true" outlineLevel="0" collapsed="false">
      <c r="A29" s="5" t="s">
        <v>280</v>
      </c>
      <c r="B29" s="27" t="n">
        <v>24</v>
      </c>
      <c r="C29" s="6" t="n">
        <v>768</v>
      </c>
      <c r="D29" s="28" t="n">
        <f aca="false">IFERROR(C29/B29,0)</f>
        <v>32</v>
      </c>
      <c r="E29" s="5" t="s">
        <v>253</v>
      </c>
    </row>
    <row r="30" customFormat="false" ht="15" hidden="false" customHeight="true" outlineLevel="0" collapsed="false">
      <c r="A30" s="5" t="s">
        <v>281</v>
      </c>
      <c r="B30" s="27" t="n">
        <v>17</v>
      </c>
      <c r="C30" s="6" t="n">
        <v>612</v>
      </c>
      <c r="D30" s="28" t="n">
        <f aca="false">IFERROR(C30/B30,0)</f>
        <v>36</v>
      </c>
      <c r="E30" s="5" t="s">
        <v>256</v>
      </c>
    </row>
    <row r="31" customFormat="false" ht="15" hidden="false" customHeight="true" outlineLevel="0" collapsed="false">
      <c r="A31" s="5" t="s">
        <v>282</v>
      </c>
      <c r="B31" s="27" t="n">
        <v>16</v>
      </c>
      <c r="C31" s="6" t="n">
        <v>288</v>
      </c>
      <c r="D31" s="28" t="n">
        <f aca="false">IFERROR(C31/B31,0)</f>
        <v>18</v>
      </c>
      <c r="E31" s="5" t="s">
        <v>262</v>
      </c>
    </row>
    <row r="32" customFormat="false" ht="15" hidden="false" customHeight="true" outlineLevel="0" collapsed="false">
      <c r="A32" s="5" t="s">
        <v>283</v>
      </c>
      <c r="B32" s="27" t="n">
        <v>16</v>
      </c>
      <c r="C32" s="6" t="n">
        <v>368</v>
      </c>
      <c r="D32" s="28" t="n">
        <f aca="false">IFERROR(C32/B32,0)</f>
        <v>23</v>
      </c>
      <c r="E32" s="5" t="s">
        <v>253</v>
      </c>
    </row>
    <row r="33" customFormat="false" ht="15" hidden="false" customHeight="true" outlineLevel="0" collapsed="false">
      <c r="A33" s="5" t="s">
        <v>284</v>
      </c>
      <c r="B33" s="27" t="n">
        <v>10</v>
      </c>
      <c r="C33" s="6" t="n">
        <v>316</v>
      </c>
      <c r="D33" s="28" t="n">
        <f aca="false">IFERROR(C33/B33,0)</f>
        <v>31.6</v>
      </c>
      <c r="E33" s="5" t="s">
        <v>253</v>
      </c>
    </row>
    <row r="34" customFormat="false" ht="15" hidden="false" customHeight="true" outlineLevel="0" collapsed="false">
      <c r="A34" s="5" t="s">
        <v>285</v>
      </c>
      <c r="B34" s="27" t="n">
        <v>8</v>
      </c>
      <c r="C34" s="6" t="n">
        <v>200</v>
      </c>
      <c r="D34" s="28" t="n">
        <f aca="false">IFERROR(C34/B34,0)</f>
        <v>25</v>
      </c>
      <c r="E34" s="5" t="s">
        <v>253</v>
      </c>
    </row>
    <row r="35" customFormat="false" ht="15" hidden="false" customHeight="true" outlineLevel="0" collapsed="false">
      <c r="A35" s="5" t="s">
        <v>286</v>
      </c>
      <c r="B35" s="27" t="n">
        <v>7</v>
      </c>
      <c r="C35" s="6" t="n">
        <v>128</v>
      </c>
      <c r="D35" s="28" t="n">
        <f aca="false">IFERROR(C35/B35,0)</f>
        <v>18.2857142857143</v>
      </c>
      <c r="E35" s="5" t="s">
        <v>262</v>
      </c>
    </row>
    <row r="36" customFormat="false" ht="15" hidden="false" customHeight="true" outlineLevel="0" collapsed="false">
      <c r="A36" s="5" t="s">
        <v>287</v>
      </c>
      <c r="B36" s="27" t="n">
        <v>7</v>
      </c>
      <c r="C36" s="6" t="n">
        <v>128</v>
      </c>
      <c r="D36" s="28" t="n">
        <f aca="false">IFERROR(C36/B36,0)</f>
        <v>18.2857142857143</v>
      </c>
      <c r="E36" s="5" t="s">
        <v>262</v>
      </c>
    </row>
    <row r="37" customFormat="false" ht="15" hidden="false" customHeight="true" outlineLevel="0" collapsed="false">
      <c r="A37" s="5" t="s">
        <v>288</v>
      </c>
      <c r="B37" s="27" t="n">
        <v>6</v>
      </c>
      <c r="C37" s="6" t="n">
        <v>150</v>
      </c>
      <c r="D37" s="28" t="n">
        <f aca="false">IFERROR(C37/B37,0)</f>
        <v>25</v>
      </c>
      <c r="E37" s="5" t="s">
        <v>253</v>
      </c>
    </row>
    <row r="38" customFormat="false" ht="15" hidden="false" customHeight="true" outlineLevel="0" collapsed="false">
      <c r="A38" s="5" t="s">
        <v>289</v>
      </c>
      <c r="B38" s="27" t="n">
        <v>6</v>
      </c>
      <c r="C38" s="6" t="n">
        <v>156</v>
      </c>
      <c r="D38" s="28" t="n">
        <f aca="false">IFERROR(C38/B38,0)</f>
        <v>26</v>
      </c>
      <c r="E38" s="5" t="s">
        <v>253</v>
      </c>
    </row>
    <row r="39" customFormat="false" ht="15" hidden="false" customHeight="true" outlineLevel="0" collapsed="false">
      <c r="A39" s="5" t="s">
        <v>290</v>
      </c>
      <c r="B39" s="27" t="n">
        <v>6</v>
      </c>
      <c r="C39" s="6" t="n">
        <v>252</v>
      </c>
      <c r="D39" s="28" t="n">
        <f aca="false">IFERROR(C39/B39,0)</f>
        <v>42</v>
      </c>
      <c r="E39" s="5" t="s">
        <v>291</v>
      </c>
    </row>
    <row r="40" customFormat="false" ht="15" hidden="false" customHeight="true" outlineLevel="0" collapsed="false">
      <c r="A40" s="5" t="s">
        <v>292</v>
      </c>
      <c r="B40" s="27" t="n">
        <v>6</v>
      </c>
      <c r="C40" s="6" t="n">
        <v>243</v>
      </c>
      <c r="D40" s="28" t="n">
        <f aca="false">IFERROR(C40/B40,0)</f>
        <v>40.5</v>
      </c>
      <c r="E40" s="5" t="s">
        <v>291</v>
      </c>
    </row>
    <row r="41" customFormat="false" ht="15" hidden="false" customHeight="true" outlineLevel="0" collapsed="false">
      <c r="A41" s="5" t="s">
        <v>293</v>
      </c>
      <c r="B41" s="27" t="n">
        <v>5</v>
      </c>
      <c r="C41" s="6" t="n">
        <v>270</v>
      </c>
      <c r="D41" s="28" t="n">
        <f aca="false">IFERROR(C41/B41,0)</f>
        <v>54</v>
      </c>
      <c r="E41" s="5" t="s">
        <v>291</v>
      </c>
    </row>
    <row r="42" customFormat="false" ht="15" hidden="false" customHeight="true" outlineLevel="0" collapsed="false">
      <c r="A42" s="5" t="s">
        <v>294</v>
      </c>
      <c r="B42" s="27" t="n">
        <v>5</v>
      </c>
      <c r="C42" s="6" t="n">
        <v>150</v>
      </c>
      <c r="D42" s="28" t="n">
        <f aca="false">IFERROR(C42/B42,0)</f>
        <v>30</v>
      </c>
      <c r="E42" s="5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9.5" hidden="false" customHeight="true" outlineLevel="0" collapsed="false">
      <c r="A1" s="2" t="s">
        <v>295</v>
      </c>
    </row>
    <row r="3" customFormat="false" ht="15" hidden="false" customHeight="true" outlineLevel="0" collapsed="false">
      <c r="A3" s="22" t="s">
        <v>251</v>
      </c>
      <c r="B3" s="22" t="s">
        <v>296</v>
      </c>
      <c r="C3" s="22" t="s">
        <v>248</v>
      </c>
      <c r="D3" s="22" t="s">
        <v>249</v>
      </c>
      <c r="E3" s="22" t="s">
        <v>297</v>
      </c>
    </row>
    <row r="4" customFormat="false" ht="15" hidden="false" customHeight="true" outlineLevel="0" collapsed="false">
      <c r="A4" s="13" t="s">
        <v>256</v>
      </c>
      <c r="B4" s="5" t="n">
        <v>6</v>
      </c>
      <c r="C4" s="27" t="n">
        <v>2818</v>
      </c>
      <c r="D4" s="6" t="n">
        <v>133750</v>
      </c>
      <c r="E4" s="23" t="n">
        <f aca="false">IFERROR(C4/SUM(C$4:C$7),0)</f>
        <v>0.145362632827814</v>
      </c>
    </row>
    <row r="5" customFormat="false" ht="15" hidden="false" customHeight="true" outlineLevel="0" collapsed="false">
      <c r="A5" s="13" t="s">
        <v>253</v>
      </c>
      <c r="B5" s="5" t="n">
        <v>19</v>
      </c>
      <c r="C5" s="27" t="n">
        <v>13370.5</v>
      </c>
      <c r="D5" s="6" t="n">
        <v>367428</v>
      </c>
      <c r="E5" s="23" t="n">
        <f aca="false">IFERROR(C5/SUM(C$4:C$7),0)</f>
        <v>0.689698751676468</v>
      </c>
    </row>
    <row r="6" customFormat="false" ht="15" hidden="false" customHeight="true" outlineLevel="0" collapsed="false">
      <c r="A6" s="13" t="s">
        <v>262</v>
      </c>
      <c r="B6" s="5" t="n">
        <v>10</v>
      </c>
      <c r="C6" s="27" t="n">
        <v>3175.5</v>
      </c>
      <c r="D6" s="6" t="n">
        <v>55318</v>
      </c>
      <c r="E6" s="23" t="n">
        <f aca="false">IFERROR(C6/SUM(C$4:C$7),0)</f>
        <v>0.163803775920768</v>
      </c>
    </row>
    <row r="7" customFormat="false" ht="15" hidden="false" customHeight="true" outlineLevel="0" collapsed="false">
      <c r="A7" s="13" t="s">
        <v>291</v>
      </c>
      <c r="B7" s="5" t="n">
        <v>4</v>
      </c>
      <c r="C7" s="27" t="n">
        <v>22</v>
      </c>
      <c r="D7" s="6" t="n">
        <v>915</v>
      </c>
      <c r="E7" s="23" t="n">
        <f aca="false">IFERROR(C7/SUM(C$4:C$7),0)</f>
        <v>0.001134839574951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298</v>
      </c>
    </row>
    <row r="3" customFormat="false" ht="15" hidden="false" customHeight="true" outlineLevel="0" collapsed="false">
      <c r="A3" s="5" t="s">
        <v>299</v>
      </c>
      <c r="B3" s="27" t="n">
        <v>19386</v>
      </c>
    </row>
    <row r="4" customFormat="false" ht="15" hidden="false" customHeight="true" outlineLevel="0" collapsed="false">
      <c r="A4" s="5" t="s">
        <v>300</v>
      </c>
      <c r="B4" s="29" t="n">
        <v>39</v>
      </c>
    </row>
    <row r="5" customFormat="false" ht="15" hidden="false" customHeight="true" outlineLevel="0" collapsed="false">
      <c r="A5" s="5" t="s">
        <v>301</v>
      </c>
      <c r="B5" s="27" t="n">
        <v>143.6</v>
      </c>
    </row>
    <row r="6" customFormat="false" ht="15" hidden="false" customHeight="true" outlineLevel="0" collapsed="false">
      <c r="A6" s="5" t="s">
        <v>302</v>
      </c>
      <c r="B6" s="30" t="n">
        <v>120.33</v>
      </c>
    </row>
    <row r="7" customFormat="false" ht="15" hidden="false" customHeight="true" outlineLevel="0" collapsed="false">
      <c r="A7" s="5" t="s">
        <v>12</v>
      </c>
      <c r="B7" s="3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9.5" hidden="false" customHeight="true" outlineLevel="0" collapsed="false">
      <c r="A1" s="2" t="s">
        <v>303</v>
      </c>
    </row>
    <row r="3" customFormat="false" ht="15" hidden="false" customHeight="true" outlineLevel="0" collapsed="false">
      <c r="A3" s="22" t="s">
        <v>304</v>
      </c>
      <c r="B3" s="22" t="s">
        <v>305</v>
      </c>
      <c r="C3" s="22" t="s">
        <v>306</v>
      </c>
      <c r="D3" s="22" t="s">
        <v>131</v>
      </c>
    </row>
    <row r="4" customFormat="false" ht="15" hidden="false" customHeight="true" outlineLevel="0" collapsed="false">
      <c r="A4" s="5" t="s">
        <v>307</v>
      </c>
      <c r="B4" s="31" t="n">
        <v>0.277873767512046</v>
      </c>
      <c r="C4" s="31" t="n">
        <v>0.34</v>
      </c>
      <c r="D4" s="23" t="n">
        <f aca="false">B4-C4</f>
        <v>-0.062126232487954</v>
      </c>
    </row>
    <row r="5" customFormat="false" ht="15" hidden="false" customHeight="true" outlineLevel="0" collapsed="false">
      <c r="A5" s="5" t="s">
        <v>308</v>
      </c>
      <c r="B5" s="31" t="n">
        <v>0.470718642068106</v>
      </c>
      <c r="C5" s="31" t="n">
        <v>0.45</v>
      </c>
      <c r="D5" s="23" t="n">
        <f aca="false">B5-C5</f>
        <v>0.020718642068106</v>
      </c>
    </row>
    <row r="6" customFormat="false" ht="15" hidden="false" customHeight="true" outlineLevel="0" collapsed="false">
      <c r="A6" s="5" t="s">
        <v>309</v>
      </c>
      <c r="B6" s="31" t="n">
        <v>0.316942277528888</v>
      </c>
      <c r="C6" s="31" t="n">
        <v>0.38</v>
      </c>
      <c r="D6" s="23" t="n">
        <f aca="false">B6-C6</f>
        <v>-0.063057722471112</v>
      </c>
    </row>
    <row r="7" customFormat="false" ht="15" hidden="false" customHeight="true" outlineLevel="0" collapsed="false">
      <c r="A7" s="5" t="s">
        <v>310</v>
      </c>
      <c r="B7" s="27" t="n">
        <v>143.6</v>
      </c>
      <c r="C7" s="27" t="n">
        <v>95</v>
      </c>
      <c r="D7" s="32" t="n">
        <f aca="false">B7-C7</f>
        <v>48.6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9.5" hidden="false" customHeight="true" outlineLevel="0" collapsed="false">
      <c r="A1" s="2" t="s">
        <v>311</v>
      </c>
    </row>
    <row r="3" customFormat="false" ht="15" hidden="false" customHeight="true" outlineLevel="0" collapsed="false">
      <c r="A3" s="22" t="s">
        <v>312</v>
      </c>
      <c r="B3" s="22" t="s">
        <v>150</v>
      </c>
      <c r="C3" s="22" t="s">
        <v>313</v>
      </c>
    </row>
    <row r="4" customFormat="false" ht="15" hidden="false" customHeight="true" outlineLevel="0" collapsed="false">
      <c r="A4" s="5" t="s">
        <v>314</v>
      </c>
      <c r="B4" s="33" t="s">
        <v>315</v>
      </c>
      <c r="C4" s="5" t="s">
        <v>316</v>
      </c>
    </row>
    <row r="5" customFormat="false" ht="15" hidden="false" customHeight="true" outlineLevel="0" collapsed="false">
      <c r="A5" s="5" t="s">
        <v>317</v>
      </c>
      <c r="B5" s="33" t="s">
        <v>315</v>
      </c>
      <c r="C5" s="5" t="s">
        <v>318</v>
      </c>
    </row>
    <row r="6" customFormat="false" ht="15" hidden="false" customHeight="true" outlineLevel="0" collapsed="false">
      <c r="A6" s="5" t="s">
        <v>319</v>
      </c>
      <c r="B6" s="33" t="s">
        <v>315</v>
      </c>
      <c r="C6" s="5" t="s">
        <v>320</v>
      </c>
    </row>
    <row r="7" customFormat="false" ht="15" hidden="false" customHeight="true" outlineLevel="0" collapsed="false">
      <c r="A7" s="5" t="s">
        <v>321</v>
      </c>
      <c r="B7" s="33" t="s">
        <v>315</v>
      </c>
      <c r="C7" s="5" t="s">
        <v>322</v>
      </c>
    </row>
    <row r="8" customFormat="false" ht="15" hidden="false" customHeight="true" outlineLevel="0" collapsed="false">
      <c r="A8" s="5" t="s">
        <v>323</v>
      </c>
      <c r="B8" s="33" t="s">
        <v>315</v>
      </c>
      <c r="C8" s="5" t="s">
        <v>324</v>
      </c>
    </row>
    <row r="9" customFormat="false" ht="15" hidden="false" customHeight="true" outlineLevel="0" collapsed="false">
      <c r="A9" s="5" t="s">
        <v>325</v>
      </c>
      <c r="B9" s="33" t="s">
        <v>315</v>
      </c>
      <c r="C9" s="5" t="s">
        <v>326</v>
      </c>
    </row>
    <row r="10" customFormat="false" ht="15" hidden="false" customHeight="true" outlineLevel="0" collapsed="false">
      <c r="A10" s="5" t="s">
        <v>327</v>
      </c>
      <c r="B10" s="34" t="s">
        <v>328</v>
      </c>
      <c r="C10" s="5" t="s">
        <v>329</v>
      </c>
    </row>
    <row r="11" customFormat="false" ht="15" hidden="false" customHeight="true" outlineLevel="0" collapsed="false">
      <c r="A11" s="5" t="s">
        <v>330</v>
      </c>
      <c r="B11" s="34" t="s">
        <v>328</v>
      </c>
      <c r="C11" s="5" t="s">
        <v>331</v>
      </c>
    </row>
    <row r="12" customFormat="false" ht="15" hidden="false" customHeight="true" outlineLevel="0" collapsed="false">
      <c r="A12" s="5" t="s">
        <v>6</v>
      </c>
      <c r="B12" s="34" t="s">
        <v>328</v>
      </c>
      <c r="C12" s="5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333</v>
      </c>
    </row>
    <row r="3" customFormat="false" ht="15" hidden="false" customHeight="true" outlineLevel="0" collapsed="false">
      <c r="A3" s="22" t="s">
        <v>14</v>
      </c>
      <c r="B3" s="22" t="s">
        <v>334</v>
      </c>
      <c r="C3" s="22" t="s">
        <v>335</v>
      </c>
      <c r="D3" s="22" t="s">
        <v>131</v>
      </c>
    </row>
    <row r="4" customFormat="false" ht="15" hidden="false" customHeight="true" outlineLevel="0" collapsed="false">
      <c r="A4" s="5" t="s">
        <v>336</v>
      </c>
      <c r="B4" s="6" t="n">
        <v>1398544.56</v>
      </c>
      <c r="C4" s="6" t="n">
        <v>1398544.56</v>
      </c>
      <c r="D4" s="10" t="n">
        <f aca="false">IF(ISNUMBER(B4),B4-C4,"—")</f>
        <v>0</v>
      </c>
    </row>
    <row r="5" customFormat="false" ht="15" hidden="false" customHeight="true" outlineLevel="0" collapsed="false">
      <c r="A5" s="5" t="s">
        <v>337</v>
      </c>
      <c r="B5" s="6" t="n">
        <v>-2332680</v>
      </c>
      <c r="C5" s="6" t="n">
        <v>2332680</v>
      </c>
      <c r="D5" s="10" t="n">
        <f aca="false">IF(ISNUMBER(B5),B5-C5,"—")</f>
        <v>-4665360</v>
      </c>
    </row>
    <row r="6" customFormat="false" ht="15" hidden="false" customHeight="true" outlineLevel="0" collapsed="false">
      <c r="A6" s="5" t="s">
        <v>338</v>
      </c>
      <c r="C6" s="6" t="n">
        <v>488543.88</v>
      </c>
      <c r="D6" s="10" t="str">
        <f aca="false">IF(ISNUMBER(B6),B6-C6,"—")</f>
        <v>—</v>
      </c>
    </row>
    <row r="7" customFormat="false" ht="15" hidden="false" customHeight="true" outlineLevel="0" collapsed="false">
      <c r="A7" s="5" t="s">
        <v>339</v>
      </c>
      <c r="C7" s="6" t="n">
        <v>824969.92</v>
      </c>
      <c r="D7" s="10" t="str">
        <f aca="false">IF(ISNUMBER(B7),B7-C7,"—")</f>
        <v>—</v>
      </c>
    </row>
    <row r="8" customFormat="false" ht="15" hidden="false" customHeight="true" outlineLevel="0" collapsed="false">
      <c r="A8" s="5" t="s">
        <v>340</v>
      </c>
      <c r="C8" s="6" t="n">
        <v>85030.76</v>
      </c>
      <c r="D8" s="10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341</v>
      </c>
    </row>
    <row r="3" customFormat="false" ht="15" hidden="false" customHeight="true" outlineLevel="0" collapsed="false">
      <c r="A3" s="22" t="s">
        <v>304</v>
      </c>
      <c r="B3" s="22" t="s">
        <v>342</v>
      </c>
      <c r="C3" s="22" t="s">
        <v>343</v>
      </c>
    </row>
    <row r="4" customFormat="false" ht="15" hidden="false" customHeight="true" outlineLevel="0" collapsed="false">
      <c r="A4" s="35" t="s">
        <v>307</v>
      </c>
      <c r="B4" s="35" t="s">
        <v>344</v>
      </c>
      <c r="C4" s="35" t="s">
        <v>345</v>
      </c>
    </row>
    <row r="5" customFormat="false" ht="15" hidden="false" customHeight="true" outlineLevel="0" collapsed="false">
      <c r="A5" s="35" t="s">
        <v>12</v>
      </c>
      <c r="B5" s="35" t="s">
        <v>344</v>
      </c>
      <c r="C5" s="35" t="s">
        <v>346</v>
      </c>
    </row>
    <row r="6" customFormat="false" ht="15" hidden="false" customHeight="true" outlineLevel="0" collapsed="false">
      <c r="A6" s="35" t="s">
        <v>347</v>
      </c>
      <c r="B6" s="35" t="s">
        <v>348</v>
      </c>
      <c r="C6" s="35" t="s">
        <v>349</v>
      </c>
    </row>
    <row r="7" customFormat="false" ht="15" hidden="false" customHeight="true" outlineLevel="0" collapsed="false">
      <c r="A7" s="35" t="s">
        <v>309</v>
      </c>
      <c r="B7" s="35" t="s">
        <v>350</v>
      </c>
      <c r="C7" s="35" t="s">
        <v>351</v>
      </c>
    </row>
    <row r="8" customFormat="false" ht="15" hidden="false" customHeight="true" outlineLevel="0" collapsed="false">
      <c r="A8" s="35" t="s">
        <v>310</v>
      </c>
      <c r="B8" s="35" t="s">
        <v>352</v>
      </c>
      <c r="C8" s="35" t="s">
        <v>353</v>
      </c>
    </row>
    <row r="9" customFormat="false" ht="23.25" hidden="false" customHeight="true" outlineLevel="0" collapsed="false">
      <c r="A9" s="35" t="s">
        <v>354</v>
      </c>
      <c r="B9" s="35" t="s">
        <v>355</v>
      </c>
      <c r="C9" s="35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357</v>
      </c>
    </row>
    <row r="3" customFormat="false" ht="15" hidden="false" customHeight="true" outlineLevel="0" collapsed="false">
      <c r="A3" s="22" t="s">
        <v>358</v>
      </c>
      <c r="B3" s="22" t="s">
        <v>359</v>
      </c>
      <c r="C3" s="22" t="s">
        <v>360</v>
      </c>
    </row>
    <row r="4" customFormat="false" ht="15" hidden="false" customHeight="true" outlineLevel="0" collapsed="false">
      <c r="A4" s="5" t="s">
        <v>361</v>
      </c>
      <c r="B4" s="5" t="s">
        <v>362</v>
      </c>
      <c r="C4" s="5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2026-04-26T02:18:31Z</dcterms:created>
  <dc:creator>openpyxl</dc:creator>
  <dc:description/>
  <dc:language>en-US</dc:language>
  <cp:lastModifiedBy/>
  <dcterms:modified xsi:type="dcterms:W3CDTF">2026-04-26T02:34:19Z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