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E8CEC3"/>
      </patternFill>
    </fill>
    <fill>
      <patternFill patternType="solid">
        <fgColor rgb="00D5DEC5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#2114 · Ballard Blossom Apartments</t>
        </is>
      </c>
    </row>
    <row r="2">
      <c r="A2" s="2" t="inlineStr">
        <is>
          <t>Holland Construction · 239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80000</v>
      </c>
    </row>
    <row r="12">
      <c r="A12" s="4" t="inlineStr">
        <is>
          <t>Retention held</t>
        </is>
      </c>
      <c r="B12" s="5" t="n">
        <v>0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55000</v>
      </c>
    </row>
    <row r="21">
      <c r="A21" s="4" t="inlineStr">
        <is>
          <t>PR</t>
        </is>
      </c>
      <c r="B21" s="9" t="n">
        <v>11355.58</v>
      </c>
    </row>
    <row r="22">
      <c r="A22" s="4" t="inlineStr">
        <is>
          <t>AR</t>
        </is>
      </c>
      <c r="B22" s="9" t="n">
        <v>-80000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2114</t>
        </is>
      </c>
    </row>
    <row r="4">
      <c r="A4" s="10" t="inlineStr">
        <is>
          <t>Project name</t>
        </is>
      </c>
      <c r="B4" s="4" t="inlineStr">
        <is>
          <t>Ballard Blossom Apartments</t>
        </is>
      </c>
    </row>
    <row r="5">
      <c r="A5" s="10" t="inlineStr">
        <is>
          <t>General contractor</t>
        </is>
      </c>
      <c r="B5" s="4" t="inlineStr">
        <is>
          <t>Holland Construction</t>
        </is>
      </c>
    </row>
    <row r="6">
      <c r="A6" s="10" t="inlineStr">
        <is>
          <t>Owner</t>
        </is>
      </c>
      <c r="B6" s="4" t="n"/>
    </row>
    <row r="7">
      <c r="A7" s="10" t="inlineStr">
        <is>
          <t>Units</t>
        </is>
      </c>
      <c r="B7" s="4" t="n">
        <v>239</v>
      </c>
    </row>
    <row r="8">
      <c r="A8" s="10" t="inlineStr">
        <is>
          <t>Insurance</t>
        </is>
      </c>
      <c r="B8" s="4" t="inlineStr">
        <is>
          <t>OCIP (WRAP) — assumed by Owner</t>
        </is>
      </c>
    </row>
    <row r="9">
      <c r="A9" s="10" t="inlineStr">
        <is>
          <t>Job start</t>
        </is>
      </c>
      <c r="B9" s="4" t="inlineStr">
        <is>
          <t>Sep 2025</t>
        </is>
      </c>
    </row>
    <row r="10">
      <c r="A10" s="10" t="inlineStr">
        <is>
          <t>Expected completion</t>
        </is>
      </c>
      <c r="B10" s="4" t="inlineStr">
        <is>
          <t>Apr 2028 TCO (22-month field schedule from Jul 2026 foundations)</t>
        </is>
      </c>
    </row>
    <row r="11">
      <c r="A11" s="10" t="inlineStr">
        <is>
          <t>Architect</t>
        </is>
      </c>
      <c r="B11" s="4" t="n"/>
    </row>
    <row r="12">
      <c r="A12" s="10" t="inlineStr">
        <is>
          <t>MEP Engineer</t>
        </is>
      </c>
      <c r="B12" s="4" t="inlineStr">
        <is>
          <t>Robison Engineering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101</t>
        </is>
      </c>
      <c r="B4" s="4" t="inlineStr">
        <is>
          <t>Takeoff &amp; Purchase Labor</t>
        </is>
      </c>
      <c r="C4" s="5" t="n">
        <v>0</v>
      </c>
      <c r="D4" s="5" t="n">
        <v>0</v>
      </c>
      <c r="E4" s="5" t="n">
        <v>7372.25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601</t>
        </is>
      </c>
      <c r="B5" s="4" t="inlineStr">
        <is>
          <t>Engineering/Plans</t>
        </is>
      </c>
      <c r="C5" s="5" t="n">
        <v>0</v>
      </c>
      <c r="D5" s="5" t="n">
        <v>0</v>
      </c>
      <c r="E5" s="5" t="n">
        <v>55000</v>
      </c>
      <c r="F5" s="9">
        <f>D5-E5</f>
        <v/>
      </c>
      <c r="G5" s="5" t="n">
        <v>0</v>
      </c>
      <c r="H5" s="12">
        <f>IFERROR(E5/D5,0)</f>
        <v/>
      </c>
    </row>
    <row r="6">
      <c r="A6" s="4" t="inlineStr">
        <is>
          <t>995</t>
        </is>
      </c>
      <c r="B6" s="4" t="inlineStr">
        <is>
          <t>Payroll Burden</t>
        </is>
      </c>
      <c r="C6" s="5" t="n">
        <v>0</v>
      </c>
      <c r="D6" s="5" t="n">
        <v>0</v>
      </c>
      <c r="E6" s="5" t="n">
        <v>3419.25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998</t>
        </is>
      </c>
      <c r="B7" s="4" t="inlineStr">
        <is>
          <t>Payroll Taxes</t>
        </is>
      </c>
      <c r="C7" s="5" t="n">
        <v>0</v>
      </c>
      <c r="D7" s="5" t="n">
        <v>0</v>
      </c>
      <c r="E7" s="5" t="n">
        <v>564.08</v>
      </c>
      <c r="F7" s="9">
        <f>D7-E7</f>
        <v/>
      </c>
      <c r="G7" s="5" t="n">
        <v>0</v>
      </c>
      <c r="H7" s="12">
        <f>IFERROR(E7/D7,0)</f>
        <v/>
      </c>
    </row>
    <row r="8">
      <c r="A8" s="10" t="inlineStr">
        <is>
          <t>TOTAL</t>
        </is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6">
        <f>SUM(G4:G7)</f>
        <v/>
      </c>
      <c r="H8" s="7">
        <f>IFERROR(E8/D8,0)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1</v>
      </c>
      <c r="C4" s="5" t="n">
        <v>0</v>
      </c>
      <c r="D4" s="5" t="n">
        <v>7372.25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1</v>
      </c>
      <c r="C6" s="5" t="n">
        <v>0</v>
      </c>
      <c r="D6" s="5" t="n">
        <v>55000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0</v>
      </c>
      <c r="D7" s="5" t="n">
        <v>3983.33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0</v>
      </c>
      <c r="D5" s="5" t="n">
        <v>7372.25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601</t>
        </is>
      </c>
      <c r="B6" s="4" t="inlineStr">
        <is>
          <t>Engineering/Plans</t>
        </is>
      </c>
      <c r="C6" s="5" t="n">
        <v>0</v>
      </c>
      <c r="D6" s="5" t="n">
        <v>55000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995</t>
        </is>
      </c>
      <c r="B7" s="4" t="inlineStr">
        <is>
          <t>Payroll Burden</t>
        </is>
      </c>
      <c r="C7" s="5" t="n">
        <v>0</v>
      </c>
      <c r="D7" s="5" t="n">
        <v>3419.25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998</t>
        </is>
      </c>
      <c r="B8" s="4" t="inlineStr">
        <is>
          <t>Payroll Taxes</t>
        </is>
      </c>
      <c r="C8" s="5" t="n">
        <v>0</v>
      </c>
      <c r="D8" s="5" t="n">
        <v>564.08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4" t="inlineStr">
        <is>
          <t>Robison Engineering, Inc.</t>
        </is>
      </c>
      <c r="B4" s="5" t="n">
        <v>55000</v>
      </c>
      <c r="C4" s="4" t="n">
        <v>1</v>
      </c>
      <c r="D4" s="12">
        <f>IFERROR(B4/SUM(B$4:B$4),0)</f>
        <v/>
      </c>
    </row>
    <row r="5">
      <c r="A5" s="10" t="inlineStr">
        <is>
          <t>TOTAL AP</t>
        </is>
      </c>
      <c r="B5" s="6">
        <f>SUM(B4:B4)</f>
        <v/>
      </c>
      <c r="C5" s="15">
        <f>SUM(C4:C4)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Gerard, Jeffrey S</t>
        </is>
      </c>
      <c r="B4" s="16" t="n">
        <v>62</v>
      </c>
      <c r="C4" s="5" t="n">
        <v>4278</v>
      </c>
      <c r="D4" s="17">
        <f>IFERROR(C4/B4,0)</f>
        <v/>
      </c>
      <c r="E4" s="4" t="inlineStr">
        <is>
          <t>LEAD/SUPERVISOR</t>
        </is>
      </c>
    </row>
    <row r="5">
      <c r="A5" s="4" t="inlineStr">
        <is>
          <t>Gerard, Jordan E</t>
        </is>
      </c>
      <c r="B5" s="16" t="n">
        <v>52.2</v>
      </c>
      <c r="C5" s="5" t="n">
        <v>3094</v>
      </c>
      <c r="D5" s="17">
        <f>IFERROR(C5/B5,0)</f>
        <v/>
      </c>
      <c r="E5" s="4" t="inlineStr">
        <is>
          <t>LEAD/SUPERVISOR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2</v>
      </c>
      <c r="C4" s="16" t="n">
        <v>114.2</v>
      </c>
      <c r="D4" s="5" t="n">
        <v>7372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6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6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6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114</v>
      </c>
    </row>
    <row r="4">
      <c r="A4" s="4" t="inlineStr">
        <is>
          <t>Active workers</t>
        </is>
      </c>
      <c r="B4" s="18" t="n">
        <v>2</v>
      </c>
    </row>
    <row r="5">
      <c r="A5" s="4" t="inlineStr">
        <is>
          <t>Hours per unit (to date)</t>
        </is>
      </c>
      <c r="B5" s="16" t="n">
        <v>0.5</v>
      </c>
    </row>
    <row r="6">
      <c r="A6" s="4" t="inlineStr">
        <is>
          <t>Revenue per labor hour (billed)</t>
        </is>
      </c>
      <c r="B6" s="19" t="n">
        <v>700.22</v>
      </c>
    </row>
    <row r="7">
      <c r="A7" s="4" t="inlineStr">
        <is>
          <t>Percent complete</t>
        </is>
      </c>
      <c r="B7" s="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1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0.4780334728033473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Engineering/Plans (601) unbudgeted</t>
        </is>
      </c>
      <c r="B4" s="22" t="inlineStr">
        <is>
          <t>⚠ WATCH</t>
        </is>
      </c>
      <c r="C4" s="4" t="inlineStr">
        <is>
          <t>No revised budget but $55,000 actual spend — needs CO or budget transfer</t>
        </is>
      </c>
    </row>
    <row r="5">
      <c r="A5" s="4" t="inlineStr">
        <is>
          <t>Top vendor concentration (Robison Engineering,)</t>
        </is>
      </c>
      <c r="B5" s="22" t="inlineStr">
        <is>
          <t>⚠ WATCH</t>
        </is>
      </c>
      <c r="C5" s="4" t="inlineStr">
        <is>
          <t>100% of AP ($55,000) — high, monitor</t>
        </is>
      </c>
    </row>
    <row r="6">
      <c r="A6" s="4" t="inlineStr">
        <is>
          <t>Retention aging</t>
        </is>
      </c>
      <c r="B6" s="23" t="inlineStr">
        <is>
          <t>✓ OK</t>
        </is>
      </c>
      <c r="C6" s="4" t="inlineStr">
        <is>
          <t>$0 held · 0.0% of billed · standard range</t>
        </is>
      </c>
    </row>
    <row r="7">
      <c r="A7" s="4" t="inlineStr">
        <is>
          <t>Forecast margin</t>
        </is>
      </c>
      <c r="B7" s="22" t="inlineStr">
        <is>
          <t>⚠ WATCH</t>
        </is>
      </c>
      <c r="C7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66355.58</v>
      </c>
      <c r="C4" s="5" t="n">
        <v>66355.58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-80000</v>
      </c>
      <c r="C5" s="5" t="n">
        <v>80000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55000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11355.58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#2114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2026-04-24T15:19:14Z</dcterms:created>
  <dcterms:modified xmlns:dcterms="http://purl.org/dc/terms/" xmlns:xsi="http://www.w3.org/2001/XMLSchema-instance" xsi:type="dcterms:W3CDTF">2026-04-24T15:19:14Z</dcterms:modified>
</cp:coreProperties>
</file>