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E8CEC3"/>
      </patternFill>
    </fill>
    <fill>
      <patternFill patternType="solid">
        <fgColor rgb="00D5DEC5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#2104 · Big 1410 Apartments</t>
        </is>
      </c>
    </row>
    <row r="2">
      <c r="A2" s="2" t="inlineStr">
        <is>
          <t>BMDC Services, LLC · 24 units · Live / in-progress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1196549</v>
      </c>
    </row>
    <row r="6">
      <c r="A6" s="4" t="inlineStr">
        <is>
          <t>Revised budget (expenses)</t>
        </is>
      </c>
      <c r="B6" s="5" t="n">
        <v>870823.24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1193734</v>
      </c>
    </row>
    <row r="12">
      <c r="A12" s="4" t="inlineStr">
        <is>
          <t>Retention held</t>
        </is>
      </c>
      <c r="B12" s="5" t="n">
        <v>59686.7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10415.16</v>
      </c>
    </row>
    <row r="20">
      <c r="A20" s="4" t="inlineStr">
        <is>
          <t>AP</t>
        </is>
      </c>
      <c r="B20" s="9" t="n">
        <v>435131.49</v>
      </c>
    </row>
    <row r="21">
      <c r="A21" s="4" t="inlineStr">
        <is>
          <t>PR</t>
        </is>
      </c>
      <c r="B21" s="9" t="n">
        <v>310992.63</v>
      </c>
    </row>
    <row r="22">
      <c r="A22" s="4" t="inlineStr">
        <is>
          <t>AR</t>
        </is>
      </c>
      <c r="B22" s="9" t="n">
        <v>-1193734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2104</t>
        </is>
      </c>
    </row>
    <row r="4">
      <c r="A4" s="10" t="inlineStr">
        <is>
          <t>Project name</t>
        </is>
      </c>
      <c r="B4" s="4" t="inlineStr">
        <is>
          <t>Big 1410 Apartments</t>
        </is>
      </c>
    </row>
    <row r="5">
      <c r="A5" s="10" t="inlineStr">
        <is>
          <t>General contractor</t>
        </is>
      </c>
      <c r="B5" s="4" t="inlineStr">
        <is>
          <t>BMDC Services, LLC</t>
        </is>
      </c>
    </row>
    <row r="6">
      <c r="A6" s="10" t="inlineStr">
        <is>
          <t>Owner</t>
        </is>
      </c>
      <c r="B6" s="4" t="inlineStr">
        <is>
          <t>BMDC Services, LLC</t>
        </is>
      </c>
    </row>
    <row r="7">
      <c r="A7" s="10" t="inlineStr">
        <is>
          <t>Units</t>
        </is>
      </c>
      <c r="B7" s="4" t="n">
        <v>24</v>
      </c>
    </row>
    <row r="8">
      <c r="A8" s="10" t="inlineStr">
        <is>
          <t>Insurance</t>
        </is>
      </c>
      <c r="B8" s="4" t="inlineStr">
        <is>
          <t>Standard (COI)</t>
        </is>
      </c>
    </row>
    <row r="9">
      <c r="A9" s="10" t="inlineStr">
        <is>
          <t>Job start</t>
        </is>
      </c>
      <c r="B9" s="4" t="inlineStr">
        <is>
          <t>Jun 2024</t>
        </is>
      </c>
    </row>
    <row r="10">
      <c r="A10" s="10" t="inlineStr">
        <is>
          <t>Expected completion</t>
        </is>
      </c>
      <c r="B10" s="4" t="inlineStr">
        <is>
          <t>TBD (active — in trim)</t>
        </is>
      </c>
    </row>
    <row r="11">
      <c r="A11" s="10" t="inlineStr">
        <is>
          <t>Architect</t>
        </is>
      </c>
      <c r="B11" s="4" t="inlineStr">
        <is>
          <t>N/A</t>
        </is>
      </c>
    </row>
    <row r="12">
      <c r="A12" s="10" t="inlineStr">
        <is>
          <t>MEP Engineer</t>
        </is>
      </c>
      <c r="B12" s="4" t="inlineStr">
        <is>
          <t>N/A</t>
        </is>
      </c>
    </row>
    <row r="13">
      <c r="A13" s="10" t="inlineStr">
        <is>
          <t>RI Foreman</t>
        </is>
      </c>
      <c r="B13" s="4" t="inlineStr">
        <is>
          <t>Tommy/Ben</t>
        </is>
      </c>
    </row>
    <row r="14">
      <c r="A14" s="10" t="inlineStr">
        <is>
          <t>Status</t>
        </is>
      </c>
      <c r="B14" s="4" t="inlineStr">
        <is>
          <t>ACTIVE · in-progress · in trim</t>
        </is>
      </c>
    </row>
    <row r="15">
      <c r="A15" s="10" t="inlineStr">
        <is>
          <t>JDR report date</t>
        </is>
      </c>
      <c r="B15" s="4" t="inlineStr">
        <is>
          <t>Apr 3, 2026</t>
        </is>
      </c>
    </row>
    <row r="16">
      <c r="A16" s="10" t="inlineStr">
        <is>
          <t>Location</t>
        </is>
      </c>
      <c r="B16" s="4" t="inlineStr">
        <is>
          <t>1410 E Howell St, Seattle, WA 98122</t>
        </is>
      </c>
    </row>
    <row r="17">
      <c r="A17" s="10" t="inlineStr">
        <is>
          <t>GC Subcontract #</t>
        </is>
      </c>
      <c r="B17" s="4" t="inlineStr">
        <is>
          <t>22-0500-01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1143800</v>
      </c>
      <c r="C4" s="5" t="n">
        <v>1196549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52749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  <row r="11">
      <c r="A11" s="4" t="inlineStr">
        <is>
          <t>CO#1</t>
        </is>
      </c>
      <c r="B11" s="4" t="inlineStr">
        <is>
          <t>Storm Overflow Drains (CR1053)</t>
        </is>
      </c>
      <c r="C11" s="5" t="n">
        <v>7164</v>
      </c>
    </row>
    <row r="12">
      <c r="A12" s="4" t="inlineStr">
        <is>
          <t>CO#1.2</t>
        </is>
      </c>
      <c r="B12" s="4" t="inlineStr">
        <is>
          <t>Add Irrigation POC (CR1109)</t>
        </is>
      </c>
      <c r="C12" s="5" t="n">
        <v>2573</v>
      </c>
    </row>
    <row r="13">
      <c r="A13" s="4" t="inlineStr">
        <is>
          <t>CO#4</t>
        </is>
      </c>
      <c r="B13" s="4" t="inlineStr">
        <is>
          <t>Core Drill for Other Subs (CR1080)</t>
        </is>
      </c>
      <c r="C13" s="5" t="n">
        <v>3812</v>
      </c>
    </row>
    <row r="14">
      <c r="A14" s="4" t="inlineStr">
        <is>
          <t>CO#6</t>
        </is>
      </c>
      <c r="B14" s="4" t="inlineStr">
        <is>
          <t>Add Booster Pump (CR1137)</t>
        </is>
      </c>
      <c r="C14" s="5" t="n">
        <v>39200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  <row r="4">
      <c r="A4" s="4" t="inlineStr">
        <is>
          <t>COR#01</t>
        </is>
      </c>
      <c r="B4" s="4" t="inlineStr">
        <is>
          <t>COR</t>
        </is>
      </c>
      <c r="C4" s="4" t="inlineStr">
        <is>
          <t>Add Condensate Piping</t>
        </is>
      </c>
      <c r="D4" s="5" t="n">
        <v>0</v>
      </c>
      <c r="E4" s="4" t="inlineStr">
        <is>
          <t>NOT EXECUTED</t>
        </is>
      </c>
    </row>
    <row r="5">
      <c r="A5" s="4" t="inlineStr">
        <is>
          <t>COR#02</t>
        </is>
      </c>
      <c r="B5" s="4" t="inlineStr">
        <is>
          <t>COR</t>
        </is>
      </c>
      <c r="C5" s="4" t="inlineStr">
        <is>
          <t>Core Drilling</t>
        </is>
      </c>
      <c r="D5" s="5" t="n">
        <v>3812</v>
      </c>
      <c r="E5" s="4" t="inlineStr">
        <is>
          <t>EXECUTED as CO#4</t>
        </is>
      </c>
    </row>
    <row r="6">
      <c r="A6" s="4" t="inlineStr">
        <is>
          <t>COR#03</t>
        </is>
      </c>
      <c r="B6" s="4" t="inlineStr">
        <is>
          <t>COR</t>
        </is>
      </c>
      <c r="C6" s="4" t="inlineStr">
        <is>
          <t>Adding Overflows</t>
        </is>
      </c>
      <c r="D6" s="5" t="n">
        <v>7164</v>
      </c>
      <c r="E6" s="4" t="inlineStr">
        <is>
          <t>EXECUTED as CO#1</t>
        </is>
      </c>
    </row>
    <row r="7">
      <c r="A7" s="4" t="inlineStr">
        <is>
          <t>COR#04</t>
        </is>
      </c>
      <c r="B7" s="4" t="inlineStr">
        <is>
          <t>COR</t>
        </is>
      </c>
      <c r="C7" s="4" t="inlineStr">
        <is>
          <t>Added Irrigation</t>
        </is>
      </c>
      <c r="D7" s="5" t="n">
        <v>2573</v>
      </c>
      <c r="E7" s="4" t="inlineStr">
        <is>
          <t>EXECUTED as CO#1.2</t>
        </is>
      </c>
    </row>
    <row r="8">
      <c r="A8" s="4" t="inlineStr">
        <is>
          <t>COR#05</t>
        </is>
      </c>
      <c r="B8" s="4" t="inlineStr">
        <is>
          <t>COR</t>
        </is>
      </c>
      <c r="C8" s="4" t="inlineStr">
        <is>
          <t>Add Booster Pump</t>
        </is>
      </c>
      <c r="D8" s="5" t="n">
        <v>39200</v>
      </c>
      <c r="E8" s="4" t="inlineStr">
        <is>
          <t>EXECUTED as CO#6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4" t="inlineStr">
        <is>
          <t>100</t>
        </is>
      </c>
      <c r="B4" s="4" t="inlineStr">
        <is>
          <t>Supervision</t>
        </is>
      </c>
      <c r="C4" s="5" t="n">
        <v>2400</v>
      </c>
      <c r="D4" s="5" t="n">
        <v>2400</v>
      </c>
      <c r="E4" s="5" t="n">
        <v>4363.5</v>
      </c>
      <c r="F4" s="9">
        <f>D4-E4</f>
        <v/>
      </c>
      <c r="G4" s="5" t="n">
        <v>0</v>
      </c>
      <c r="H4" s="12">
        <f>IFERROR(E4/D4,0)</f>
        <v/>
      </c>
    </row>
    <row r="5">
      <c r="A5" s="4" t="inlineStr">
        <is>
          <t>101</t>
        </is>
      </c>
      <c r="B5" s="4" t="inlineStr">
        <is>
          <t>Takeoff &amp; Purchase Labor</t>
        </is>
      </c>
      <c r="C5" s="5" t="n">
        <v>4800</v>
      </c>
      <c r="D5" s="5" t="n">
        <v>4800</v>
      </c>
      <c r="E5" s="5" t="n">
        <v>9215</v>
      </c>
      <c r="F5" s="9">
        <f>D5-E5</f>
        <v/>
      </c>
      <c r="G5" s="5" t="n">
        <v>0</v>
      </c>
      <c r="H5" s="12">
        <f>IFERROR(E5/D5,0)</f>
        <v/>
      </c>
    </row>
    <row r="6">
      <c r="A6" s="4" t="inlineStr">
        <is>
          <t>110</t>
        </is>
      </c>
      <c r="B6" s="4" t="inlineStr">
        <is>
          <t>Underground Labor</t>
        </is>
      </c>
      <c r="C6" s="5" t="n">
        <v>7125</v>
      </c>
      <c r="D6" s="5" t="n">
        <v>7125</v>
      </c>
      <c r="E6" s="5" t="n">
        <v>8973.5</v>
      </c>
      <c r="F6" s="9">
        <f>D6-E6</f>
        <v/>
      </c>
      <c r="G6" s="5" t="n">
        <v>0</v>
      </c>
      <c r="H6" s="12">
        <f>IFERROR(E6/D6,0)</f>
        <v/>
      </c>
    </row>
    <row r="7">
      <c r="A7" s="4" t="inlineStr">
        <is>
          <t>111</t>
        </is>
      </c>
      <c r="B7" s="4" t="inlineStr">
        <is>
          <t>Garage Labor</t>
        </is>
      </c>
      <c r="C7" s="5" t="n">
        <v>5000</v>
      </c>
      <c r="D7" s="5" t="n">
        <v>5000</v>
      </c>
      <c r="E7" s="5" t="n">
        <v>2268</v>
      </c>
      <c r="F7" s="9">
        <f>D7-E7</f>
        <v/>
      </c>
      <c r="G7" s="5" t="n">
        <v>0</v>
      </c>
      <c r="H7" s="12">
        <f>IFERROR(E7/D7,0)</f>
        <v/>
      </c>
    </row>
    <row r="8">
      <c r="A8" s="4" t="inlineStr">
        <is>
          <t>112</t>
        </is>
      </c>
      <c r="B8" s="4" t="inlineStr">
        <is>
          <t>Canout Labor</t>
        </is>
      </c>
      <c r="C8" s="5" t="n">
        <v>4100</v>
      </c>
      <c r="D8" s="5" t="n">
        <v>4100</v>
      </c>
      <c r="E8" s="5" t="n">
        <v>3928</v>
      </c>
      <c r="F8" s="9">
        <f>D8-E8</f>
        <v/>
      </c>
      <c r="G8" s="5" t="n">
        <v>0</v>
      </c>
      <c r="H8" s="12">
        <f>IFERROR(E8/D8,0)</f>
        <v/>
      </c>
    </row>
    <row r="9">
      <c r="A9" s="4" t="inlineStr">
        <is>
          <t>120</t>
        </is>
      </c>
      <c r="B9" s="4" t="inlineStr">
        <is>
          <t>Roughin Labor</t>
        </is>
      </c>
      <c r="C9" s="5" t="n">
        <v>86380</v>
      </c>
      <c r="D9" s="5" t="n">
        <v>91880</v>
      </c>
      <c r="E9" s="5" t="n">
        <v>132816</v>
      </c>
      <c r="F9" s="9">
        <f>D9-E9</f>
        <v/>
      </c>
      <c r="G9" s="5" t="n">
        <v>0</v>
      </c>
      <c r="H9" s="12">
        <f>IFERROR(E9/D9,0)</f>
        <v/>
      </c>
    </row>
    <row r="10">
      <c r="A10" s="4" t="inlineStr">
        <is>
          <t>130</t>
        </is>
      </c>
      <c r="B10" s="4" t="inlineStr">
        <is>
          <t>Finish Labor</t>
        </is>
      </c>
      <c r="C10" s="5" t="n">
        <v>12080</v>
      </c>
      <c r="D10" s="5" t="n">
        <v>12080</v>
      </c>
      <c r="E10" s="5" t="n">
        <v>10320.5</v>
      </c>
      <c r="F10" s="9">
        <f>D10-E10</f>
        <v/>
      </c>
      <c r="G10" s="5" t="n">
        <v>0</v>
      </c>
      <c r="H10" s="12">
        <f>IFERROR(E10/D10,0)</f>
        <v/>
      </c>
    </row>
    <row r="11">
      <c r="A11" s="4" t="inlineStr">
        <is>
          <t>140</t>
        </is>
      </c>
      <c r="B11" s="4" t="inlineStr">
        <is>
          <t>Gas Labor</t>
        </is>
      </c>
      <c r="C11" s="5" t="n">
        <v>4000</v>
      </c>
      <c r="D11" s="5" t="n">
        <v>4000</v>
      </c>
      <c r="E11" s="5" t="n">
        <v>3848</v>
      </c>
      <c r="F11" s="9">
        <f>D11-E11</f>
        <v/>
      </c>
      <c r="G11" s="5" t="n">
        <v>0</v>
      </c>
      <c r="H11" s="12">
        <f>IFERROR(E11/D11,0)</f>
        <v/>
      </c>
    </row>
    <row r="12">
      <c r="A12" s="4" t="inlineStr">
        <is>
          <t>141</t>
        </is>
      </c>
      <c r="B12" s="4" t="inlineStr">
        <is>
          <t>Water Main/Insulation Lab</t>
        </is>
      </c>
      <c r="C12" s="5" t="n">
        <v>22570</v>
      </c>
      <c r="D12" s="5" t="n">
        <v>23420</v>
      </c>
      <c r="E12" s="5" t="n">
        <v>17012.5</v>
      </c>
      <c r="F12" s="9">
        <f>D12-E12</f>
        <v/>
      </c>
      <c r="G12" s="5" t="n">
        <v>0</v>
      </c>
      <c r="H12" s="12">
        <f>IFERROR(E12/D12,0)</f>
        <v/>
      </c>
    </row>
    <row r="13">
      <c r="A13" s="4" t="inlineStr">
        <is>
          <t>142</t>
        </is>
      </c>
      <c r="B13" s="4" t="inlineStr">
        <is>
          <t>Mech Room Labor</t>
        </is>
      </c>
      <c r="C13" s="5" t="n">
        <v>39600</v>
      </c>
      <c r="D13" s="5" t="n">
        <v>42600</v>
      </c>
      <c r="E13" s="5" t="n">
        <v>9336</v>
      </c>
      <c r="F13" s="9">
        <f>D13-E13</f>
        <v/>
      </c>
      <c r="G13" s="5" t="n">
        <v>0</v>
      </c>
      <c r="H13" s="12">
        <f>IFERROR(E13/D13,0)</f>
        <v/>
      </c>
    </row>
    <row r="14">
      <c r="A14" s="4" t="inlineStr">
        <is>
          <t>210</t>
        </is>
      </c>
      <c r="B14" s="4" t="inlineStr">
        <is>
          <t>Underground Material</t>
        </is>
      </c>
      <c r="C14" s="5" t="n">
        <v>8500</v>
      </c>
      <c r="D14" s="5" t="n">
        <v>8500</v>
      </c>
      <c r="E14" s="5" t="n">
        <v>4029.94</v>
      </c>
      <c r="F14" s="9">
        <f>D14-E14</f>
        <v/>
      </c>
      <c r="G14" s="5" t="n">
        <v>0</v>
      </c>
      <c r="H14" s="12">
        <f>IFERROR(E14/D14,0)</f>
        <v/>
      </c>
    </row>
    <row r="15">
      <c r="A15" s="4" t="inlineStr">
        <is>
          <t>211</t>
        </is>
      </c>
      <c r="B15" s="4" t="inlineStr">
        <is>
          <t>Garage Material</t>
        </is>
      </c>
      <c r="C15" s="5" t="n">
        <v>4000</v>
      </c>
      <c r="D15" s="5" t="n">
        <v>4000</v>
      </c>
      <c r="E15" s="5" t="n">
        <v>2904.28</v>
      </c>
      <c r="F15" s="9">
        <f>D15-E15</f>
        <v/>
      </c>
      <c r="G15" s="5" t="n">
        <v>0</v>
      </c>
      <c r="H15" s="12">
        <f>IFERROR(E15/D15,0)</f>
        <v/>
      </c>
    </row>
    <row r="16">
      <c r="A16" s="4" t="inlineStr">
        <is>
          <t>212</t>
        </is>
      </c>
      <c r="B16" s="4" t="inlineStr">
        <is>
          <t>Canout Material</t>
        </is>
      </c>
      <c r="C16" s="5" t="n">
        <v>4018</v>
      </c>
      <c r="D16" s="5" t="n">
        <v>4018</v>
      </c>
      <c r="E16" s="5" t="n">
        <v>1262.92</v>
      </c>
      <c r="F16" s="9">
        <f>D16-E16</f>
        <v/>
      </c>
      <c r="G16" s="5" t="n">
        <v>0</v>
      </c>
      <c r="H16" s="12">
        <f>IFERROR(E16/D16,0)</f>
        <v/>
      </c>
    </row>
    <row r="17">
      <c r="A17" s="4" t="inlineStr">
        <is>
          <t>220</t>
        </is>
      </c>
      <c r="B17" s="4" t="inlineStr">
        <is>
          <t>Roughin Material</t>
        </is>
      </c>
      <c r="C17" s="5" t="n">
        <v>53635</v>
      </c>
      <c r="D17" s="5" t="n">
        <v>53835</v>
      </c>
      <c r="E17" s="5" t="n">
        <v>18939.04</v>
      </c>
      <c r="F17" s="9">
        <f>D17-E17</f>
        <v/>
      </c>
      <c r="G17" s="5" t="n">
        <v>-17.06</v>
      </c>
      <c r="H17" s="12">
        <f>IFERROR(E17/D17,0)</f>
        <v/>
      </c>
    </row>
    <row r="18">
      <c r="A18" s="4" t="inlineStr">
        <is>
          <t>230</t>
        </is>
      </c>
      <c r="B18" s="4" t="inlineStr">
        <is>
          <t>Finish Material</t>
        </is>
      </c>
      <c r="C18" s="5" t="n">
        <v>384025</v>
      </c>
      <c r="D18" s="5" t="n">
        <v>411659</v>
      </c>
      <c r="E18" s="5" t="n">
        <v>343464.97</v>
      </c>
      <c r="F18" s="9">
        <f>D18-E18</f>
        <v/>
      </c>
      <c r="G18" s="5" t="n">
        <v>93.43000000000001</v>
      </c>
      <c r="H18" s="12">
        <f>IFERROR(E18/D18,0)</f>
        <v/>
      </c>
    </row>
    <row r="19">
      <c r="A19" s="4" t="inlineStr">
        <is>
          <t>240</t>
        </is>
      </c>
      <c r="B19" s="4" t="inlineStr">
        <is>
          <t>Gas Material</t>
        </is>
      </c>
      <c r="C19" s="5" t="n">
        <v>7500</v>
      </c>
      <c r="D19" s="5" t="n">
        <v>7500</v>
      </c>
      <c r="E19" s="5" t="n">
        <v>2063.38</v>
      </c>
      <c r="F19" s="9">
        <f>D19-E19</f>
        <v/>
      </c>
      <c r="G19" s="5" t="n">
        <v>0</v>
      </c>
      <c r="H19" s="12">
        <f>IFERROR(E19/D19,0)</f>
        <v/>
      </c>
    </row>
    <row r="20">
      <c r="A20" s="4" t="inlineStr">
        <is>
          <t>241</t>
        </is>
      </c>
      <c r="B20" s="4" t="inlineStr">
        <is>
          <t>Water Main/Insulation Mat</t>
        </is>
      </c>
      <c r="C20" s="5" t="n">
        <v>24065</v>
      </c>
      <c r="D20" s="5" t="n">
        <v>25015</v>
      </c>
      <c r="E20" s="5" t="n">
        <v>31392.49</v>
      </c>
      <c r="F20" s="9">
        <f>D20-E20</f>
        <v/>
      </c>
      <c r="G20" s="5" t="n">
        <v>137.53</v>
      </c>
      <c r="H20" s="12">
        <f>IFERROR(E20/D20,0)</f>
        <v/>
      </c>
    </row>
    <row r="21">
      <c r="A21" s="4" t="inlineStr">
        <is>
          <t>242</t>
        </is>
      </c>
      <c r="B21" s="4" t="inlineStr">
        <is>
          <t>Mech Room Material</t>
        </is>
      </c>
      <c r="C21" s="5" t="n">
        <v>44400</v>
      </c>
      <c r="D21" s="5" t="n">
        <v>44400</v>
      </c>
      <c r="E21" s="5" t="n">
        <v>28522.36</v>
      </c>
      <c r="F21" s="9">
        <f>D21-E21</f>
        <v/>
      </c>
      <c r="G21" s="5" t="n">
        <v>4462.42</v>
      </c>
      <c r="H21" s="12">
        <f>IFERROR(E21/D21,0)</f>
        <v/>
      </c>
    </row>
    <row r="22">
      <c r="A22" s="4" t="inlineStr">
        <is>
          <t>603</t>
        </is>
      </c>
      <c r="B22" s="4" t="inlineStr">
        <is>
          <t>Permits &amp; Licenses</t>
        </is>
      </c>
      <c r="C22" s="5" t="n">
        <v>8675</v>
      </c>
      <c r="D22" s="5" t="n">
        <v>8675</v>
      </c>
      <c r="E22" s="5" t="n">
        <v>2505</v>
      </c>
      <c r="F22" s="9">
        <f>D22-E22</f>
        <v/>
      </c>
      <c r="G22" s="5" t="n">
        <v>0</v>
      </c>
      <c r="H22" s="12">
        <f>IFERROR(E22/D22,0)</f>
        <v/>
      </c>
    </row>
    <row r="23">
      <c r="A23" s="4" t="inlineStr">
        <is>
          <t>607</t>
        </is>
      </c>
      <c r="B23" s="4" t="inlineStr">
        <is>
          <t>Other Expenses</t>
        </is>
      </c>
      <c r="C23" s="5" t="n">
        <v>10000</v>
      </c>
      <c r="D23" s="5" t="n">
        <v>10000</v>
      </c>
      <c r="E23" s="5" t="n">
        <v>10462.27</v>
      </c>
      <c r="F23" s="9">
        <f>D23-E23</f>
        <v/>
      </c>
      <c r="G23" s="5" t="n">
        <v>0</v>
      </c>
      <c r="H23" s="12">
        <f>IFERROR(E23/D23,0)</f>
        <v/>
      </c>
    </row>
    <row r="24">
      <c r="A24" s="4" t="inlineStr">
        <is>
          <t>995</t>
        </is>
      </c>
      <c r="B24" s="4" t="inlineStr">
        <is>
          <t>Payroll Burden</t>
        </is>
      </c>
      <c r="C24" s="5" t="n">
        <v>76820.47</v>
      </c>
      <c r="D24" s="5" t="n">
        <v>80714.75</v>
      </c>
      <c r="E24" s="5" t="n">
        <v>93452.28999999999</v>
      </c>
      <c r="F24" s="9">
        <f>D24-E24</f>
        <v/>
      </c>
      <c r="G24" s="5" t="n">
        <v>0</v>
      </c>
      <c r="H24" s="12">
        <f>IFERROR(E24/D24,0)</f>
        <v/>
      </c>
    </row>
    <row r="25">
      <c r="A25" s="4" t="inlineStr">
        <is>
          <t>998</t>
        </is>
      </c>
      <c r="B25" s="4" t="inlineStr">
        <is>
          <t>Payroll Taxes</t>
        </is>
      </c>
      <c r="C25" s="5" t="n">
        <v>14386.21</v>
      </c>
      <c r="D25" s="5" t="n">
        <v>15101.49</v>
      </c>
      <c r="E25" s="5" t="n">
        <v>15459.34</v>
      </c>
      <c r="F25" s="9">
        <f>D25-E25</f>
        <v/>
      </c>
      <c r="G25" s="5" t="n">
        <v>0</v>
      </c>
      <c r="H25" s="12">
        <f>IFERROR(E25/D25,0)</f>
        <v/>
      </c>
    </row>
    <row r="26">
      <c r="A26" s="10" t="inlineStr">
        <is>
          <t>TOTAL</t>
        </is>
      </c>
      <c r="C26" s="6">
        <f>SUM(C4:C25)</f>
        <v/>
      </c>
      <c r="D26" s="6">
        <f>SUM(D4:D25)</f>
        <v/>
      </c>
      <c r="E26" s="6">
        <f>SUM(E4:E25)</f>
        <v/>
      </c>
      <c r="F26" s="6">
        <f>SUM(F4:F25)</f>
        <v/>
      </c>
      <c r="G26" s="6">
        <f>SUM(G4:G25)</f>
        <v/>
      </c>
      <c r="H26" s="7">
        <f>IFERROR(E26/D26,0)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10</v>
      </c>
      <c r="C4" s="5" t="n">
        <v>197405</v>
      </c>
      <c r="D4" s="5" t="n">
        <v>202081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8</v>
      </c>
      <c r="C5" s="5" t="n">
        <v>558927</v>
      </c>
      <c r="D5" s="5" t="n">
        <v>432579.3799999999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2</v>
      </c>
      <c r="C6" s="5" t="n">
        <v>18675</v>
      </c>
      <c r="D6" s="5" t="n">
        <v>12967.27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2</v>
      </c>
      <c r="C7" s="5" t="n">
        <v>95816.24000000001</v>
      </c>
      <c r="D7" s="5" t="n">
        <v>108911.63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  <row r="5">
      <c r="A5" s="4" t="inlineStr">
        <is>
          <t>100</t>
        </is>
      </c>
      <c r="B5" s="4" t="inlineStr">
        <is>
          <t>Supervision</t>
        </is>
      </c>
      <c r="C5" s="5" t="n">
        <v>2400</v>
      </c>
      <c r="D5" s="5" t="n">
        <v>4363.5</v>
      </c>
      <c r="E5" s="9">
        <f>C5-D5</f>
        <v/>
      </c>
      <c r="F5" s="12">
        <f>IFERROR((D5-C5)/C5,0)</f>
        <v/>
      </c>
      <c r="G5" s="14">
        <f>IF(C5=0,"UNBUDGETED",IF(F5&gt;0.5,"CRITICAL",IF(F5&gt;0.1,"OVER",IF(F5&lt;-0.1,"UNDER","ON"))))</f>
        <v/>
      </c>
    </row>
    <row r="6">
      <c r="A6" s="4" t="inlineStr">
        <is>
          <t>101</t>
        </is>
      </c>
      <c r="B6" s="4" t="inlineStr">
        <is>
          <t>Takeoff &amp; Purchase Labor</t>
        </is>
      </c>
      <c r="C6" s="5" t="n">
        <v>4800</v>
      </c>
      <c r="D6" s="5" t="n">
        <v>9215</v>
      </c>
      <c r="E6" s="9">
        <f>C6-D6</f>
        <v/>
      </c>
      <c r="F6" s="12">
        <f>IFERROR((D6-C6)/C6,0)</f>
        <v/>
      </c>
      <c r="G6" s="14">
        <f>IF(C6=0,"UNBUDGETED",IF(F6&gt;0.5,"CRITICAL",IF(F6&gt;0.1,"OVER",IF(F6&lt;-0.1,"UNDER","ON"))))</f>
        <v/>
      </c>
    </row>
    <row r="7">
      <c r="A7" s="4" t="inlineStr">
        <is>
          <t>110</t>
        </is>
      </c>
      <c r="B7" s="4" t="inlineStr">
        <is>
          <t>Underground Labor</t>
        </is>
      </c>
      <c r="C7" s="5" t="n">
        <v>7125</v>
      </c>
      <c r="D7" s="5" t="n">
        <v>8973.5</v>
      </c>
      <c r="E7" s="9">
        <f>C7-D7</f>
        <v/>
      </c>
      <c r="F7" s="12">
        <f>IFERROR((D7-C7)/C7,0)</f>
        <v/>
      </c>
      <c r="G7" s="14">
        <f>IF(C7=0,"UNBUDGETED",IF(F7&gt;0.5,"CRITICAL",IF(F7&gt;0.1,"OVER",IF(F7&lt;-0.1,"UNDER","ON"))))</f>
        <v/>
      </c>
    </row>
    <row r="8">
      <c r="A8" s="4" t="inlineStr">
        <is>
          <t>111</t>
        </is>
      </c>
      <c r="B8" s="4" t="inlineStr">
        <is>
          <t>Garage Labor</t>
        </is>
      </c>
      <c r="C8" s="5" t="n">
        <v>5000</v>
      </c>
      <c r="D8" s="5" t="n">
        <v>2268</v>
      </c>
      <c r="E8" s="9">
        <f>C8-D8</f>
        <v/>
      </c>
      <c r="F8" s="12">
        <f>IFERROR((D8-C8)/C8,0)</f>
        <v/>
      </c>
      <c r="G8" s="14">
        <f>IF(C8=0,"UNBUDGETED",IF(F8&gt;0.5,"CRITICAL",IF(F8&gt;0.1,"OVER",IF(F8&lt;-0.1,"UNDER","ON"))))</f>
        <v/>
      </c>
    </row>
    <row r="9">
      <c r="A9" s="4" t="inlineStr">
        <is>
          <t>112</t>
        </is>
      </c>
      <c r="B9" s="4" t="inlineStr">
        <is>
          <t>Canout Labor</t>
        </is>
      </c>
      <c r="C9" s="5" t="n">
        <v>4100</v>
      </c>
      <c r="D9" s="5" t="n">
        <v>3928</v>
      </c>
      <c r="E9" s="9">
        <f>C9-D9</f>
        <v/>
      </c>
      <c r="F9" s="12">
        <f>IFERROR((D9-C9)/C9,0)</f>
        <v/>
      </c>
      <c r="G9" s="14">
        <f>IF(C9=0,"UNBUDGETED",IF(F9&gt;0.5,"CRITICAL",IF(F9&gt;0.1,"OVER",IF(F9&lt;-0.1,"UNDER","ON"))))</f>
        <v/>
      </c>
    </row>
    <row r="10">
      <c r="A10" s="4" t="inlineStr">
        <is>
          <t>120</t>
        </is>
      </c>
      <c r="B10" s="4" t="inlineStr">
        <is>
          <t>Roughin Labor</t>
        </is>
      </c>
      <c r="C10" s="5" t="n">
        <v>91880</v>
      </c>
      <c r="D10" s="5" t="n">
        <v>132816</v>
      </c>
      <c r="E10" s="9">
        <f>C10-D10</f>
        <v/>
      </c>
      <c r="F10" s="12">
        <f>IFERROR((D10-C10)/C10,0)</f>
        <v/>
      </c>
      <c r="G10" s="14">
        <f>IF(C10=0,"UNBUDGETED",IF(F10&gt;0.5,"CRITICAL",IF(F10&gt;0.1,"OVER",IF(F10&lt;-0.1,"UNDER","ON"))))</f>
        <v/>
      </c>
    </row>
    <row r="11">
      <c r="A11" s="4" t="inlineStr">
        <is>
          <t>130</t>
        </is>
      </c>
      <c r="B11" s="4" t="inlineStr">
        <is>
          <t>Finish Labor</t>
        </is>
      </c>
      <c r="C11" s="5" t="n">
        <v>12080</v>
      </c>
      <c r="D11" s="5" t="n">
        <v>10320.5</v>
      </c>
      <c r="E11" s="9">
        <f>C11-D11</f>
        <v/>
      </c>
      <c r="F11" s="12">
        <f>IFERROR((D11-C11)/C11,0)</f>
        <v/>
      </c>
      <c r="G11" s="14">
        <f>IF(C11=0,"UNBUDGETED",IF(F11&gt;0.5,"CRITICAL",IF(F11&gt;0.1,"OVER",IF(F11&lt;-0.1,"UNDER","ON"))))</f>
        <v/>
      </c>
    </row>
    <row r="12">
      <c r="A12" s="4" t="inlineStr">
        <is>
          <t>140</t>
        </is>
      </c>
      <c r="B12" s="4" t="inlineStr">
        <is>
          <t>Gas Labor</t>
        </is>
      </c>
      <c r="C12" s="5" t="n">
        <v>4000</v>
      </c>
      <c r="D12" s="5" t="n">
        <v>3848</v>
      </c>
      <c r="E12" s="9">
        <f>C12-D12</f>
        <v/>
      </c>
      <c r="F12" s="12">
        <f>IFERROR((D12-C12)/C12,0)</f>
        <v/>
      </c>
      <c r="G12" s="14">
        <f>IF(C12=0,"UNBUDGETED",IF(F12&gt;0.5,"CRITICAL",IF(F12&gt;0.1,"OVER",IF(F12&lt;-0.1,"UNDER","ON"))))</f>
        <v/>
      </c>
    </row>
    <row r="13">
      <c r="A13" s="4" t="inlineStr">
        <is>
          <t>141</t>
        </is>
      </c>
      <c r="B13" s="4" t="inlineStr">
        <is>
          <t>Water Main/Insulation Lab</t>
        </is>
      </c>
      <c r="C13" s="5" t="n">
        <v>23420</v>
      </c>
      <c r="D13" s="5" t="n">
        <v>17012.5</v>
      </c>
      <c r="E13" s="9">
        <f>C13-D13</f>
        <v/>
      </c>
      <c r="F13" s="12">
        <f>IFERROR((D13-C13)/C13,0)</f>
        <v/>
      </c>
      <c r="G13" s="14">
        <f>IF(C13=0,"UNBUDGETED",IF(F13&gt;0.5,"CRITICAL",IF(F13&gt;0.1,"OVER",IF(F13&lt;-0.1,"UNDER","ON"))))</f>
        <v/>
      </c>
    </row>
    <row r="14">
      <c r="A14" s="4" t="inlineStr">
        <is>
          <t>142</t>
        </is>
      </c>
      <c r="B14" s="4" t="inlineStr">
        <is>
          <t>Mech Room Labor</t>
        </is>
      </c>
      <c r="C14" s="5" t="n">
        <v>42600</v>
      </c>
      <c r="D14" s="5" t="n">
        <v>9336</v>
      </c>
      <c r="E14" s="9">
        <f>C14-D14</f>
        <v/>
      </c>
      <c r="F14" s="12">
        <f>IFERROR((D14-C14)/C14,0)</f>
        <v/>
      </c>
      <c r="G14" s="14">
        <f>IF(C14=0,"UNBUDGETED",IF(F14&gt;0.5,"CRITICAL",IF(F14&gt;0.1,"OVER",IF(F14&lt;-0.1,"UNDER","ON"))))</f>
        <v/>
      </c>
    </row>
    <row r="15">
      <c r="A15" s="4" t="inlineStr">
        <is>
          <t>210</t>
        </is>
      </c>
      <c r="B15" s="4" t="inlineStr">
        <is>
          <t>Underground Material</t>
        </is>
      </c>
      <c r="C15" s="5" t="n">
        <v>8500</v>
      </c>
      <c r="D15" s="5" t="n">
        <v>4029.94</v>
      </c>
      <c r="E15" s="9">
        <f>C15-D15</f>
        <v/>
      </c>
      <c r="F15" s="12">
        <f>IFERROR((D15-C15)/C15,0)</f>
        <v/>
      </c>
      <c r="G15" s="14">
        <f>IF(C15=0,"UNBUDGETED",IF(F15&gt;0.5,"CRITICAL",IF(F15&gt;0.1,"OVER",IF(F15&lt;-0.1,"UNDER","ON"))))</f>
        <v/>
      </c>
    </row>
    <row r="16">
      <c r="A16" s="4" t="inlineStr">
        <is>
          <t>211</t>
        </is>
      </c>
      <c r="B16" s="4" t="inlineStr">
        <is>
          <t>Garage Material</t>
        </is>
      </c>
      <c r="C16" s="5" t="n">
        <v>4000</v>
      </c>
      <c r="D16" s="5" t="n">
        <v>2904.28</v>
      </c>
      <c r="E16" s="9">
        <f>C16-D16</f>
        <v/>
      </c>
      <c r="F16" s="12">
        <f>IFERROR((D16-C16)/C16,0)</f>
        <v/>
      </c>
      <c r="G16" s="14">
        <f>IF(C16=0,"UNBUDGETED",IF(F16&gt;0.5,"CRITICAL",IF(F16&gt;0.1,"OVER",IF(F16&lt;-0.1,"UNDER","ON"))))</f>
        <v/>
      </c>
    </row>
    <row r="17">
      <c r="A17" s="4" t="inlineStr">
        <is>
          <t>212</t>
        </is>
      </c>
      <c r="B17" s="4" t="inlineStr">
        <is>
          <t>Canout Material</t>
        </is>
      </c>
      <c r="C17" s="5" t="n">
        <v>4018</v>
      </c>
      <c r="D17" s="5" t="n">
        <v>1262.92</v>
      </c>
      <c r="E17" s="9">
        <f>C17-D17</f>
        <v/>
      </c>
      <c r="F17" s="12">
        <f>IFERROR((D17-C17)/C17,0)</f>
        <v/>
      </c>
      <c r="G17" s="14">
        <f>IF(C17=0,"UNBUDGETED",IF(F17&gt;0.5,"CRITICAL",IF(F17&gt;0.1,"OVER",IF(F17&lt;-0.1,"UNDER","ON"))))</f>
        <v/>
      </c>
    </row>
    <row r="18">
      <c r="A18" s="4" t="inlineStr">
        <is>
          <t>220</t>
        </is>
      </c>
      <c r="B18" s="4" t="inlineStr">
        <is>
          <t>Roughin Material</t>
        </is>
      </c>
      <c r="C18" s="5" t="n">
        <v>53835</v>
      </c>
      <c r="D18" s="5" t="n">
        <v>18939.04</v>
      </c>
      <c r="E18" s="9">
        <f>C18-D18</f>
        <v/>
      </c>
      <c r="F18" s="12">
        <f>IFERROR((D18-C18)/C18,0)</f>
        <v/>
      </c>
      <c r="G18" s="14">
        <f>IF(C18=0,"UNBUDGETED",IF(F18&gt;0.5,"CRITICAL",IF(F18&gt;0.1,"OVER",IF(F18&lt;-0.1,"UNDER","ON"))))</f>
        <v/>
      </c>
    </row>
    <row r="19">
      <c r="A19" s="4" t="inlineStr">
        <is>
          <t>230</t>
        </is>
      </c>
      <c r="B19" s="4" t="inlineStr">
        <is>
          <t>Finish Material</t>
        </is>
      </c>
      <c r="C19" s="5" t="n">
        <v>411659</v>
      </c>
      <c r="D19" s="5" t="n">
        <v>343464.97</v>
      </c>
      <c r="E19" s="9">
        <f>C19-D19</f>
        <v/>
      </c>
      <c r="F19" s="12">
        <f>IFERROR((D19-C19)/C19,0)</f>
        <v/>
      </c>
      <c r="G19" s="14">
        <f>IF(C19=0,"UNBUDGETED",IF(F19&gt;0.5,"CRITICAL",IF(F19&gt;0.1,"OVER",IF(F19&lt;-0.1,"UNDER","ON"))))</f>
        <v/>
      </c>
    </row>
    <row r="20">
      <c r="A20" s="4" t="inlineStr">
        <is>
          <t>240</t>
        </is>
      </c>
      <c r="B20" s="4" t="inlineStr">
        <is>
          <t>Gas Material</t>
        </is>
      </c>
      <c r="C20" s="5" t="n">
        <v>7500</v>
      </c>
      <c r="D20" s="5" t="n">
        <v>2063.38</v>
      </c>
      <c r="E20" s="9">
        <f>C20-D20</f>
        <v/>
      </c>
      <c r="F20" s="12">
        <f>IFERROR((D20-C20)/C20,0)</f>
        <v/>
      </c>
      <c r="G20" s="14">
        <f>IF(C20=0,"UNBUDGETED",IF(F20&gt;0.5,"CRITICAL",IF(F20&gt;0.1,"OVER",IF(F20&lt;-0.1,"UNDER","ON"))))</f>
        <v/>
      </c>
    </row>
    <row r="21">
      <c r="A21" s="4" t="inlineStr">
        <is>
          <t>241</t>
        </is>
      </c>
      <c r="B21" s="4" t="inlineStr">
        <is>
          <t>Water Main/Insulation Mat</t>
        </is>
      </c>
      <c r="C21" s="5" t="n">
        <v>25015</v>
      </c>
      <c r="D21" s="5" t="n">
        <v>31392.49</v>
      </c>
      <c r="E21" s="9">
        <f>C21-D21</f>
        <v/>
      </c>
      <c r="F21" s="12">
        <f>IFERROR((D21-C21)/C21,0)</f>
        <v/>
      </c>
      <c r="G21" s="14">
        <f>IF(C21=0,"UNBUDGETED",IF(F21&gt;0.5,"CRITICAL",IF(F21&gt;0.1,"OVER",IF(F21&lt;-0.1,"UNDER","ON"))))</f>
        <v/>
      </c>
    </row>
    <row r="22">
      <c r="A22" s="4" t="inlineStr">
        <is>
          <t>242</t>
        </is>
      </c>
      <c r="B22" s="4" t="inlineStr">
        <is>
          <t>Mech Room Material</t>
        </is>
      </c>
      <c r="C22" s="5" t="n">
        <v>44400</v>
      </c>
      <c r="D22" s="5" t="n">
        <v>28522.36</v>
      </c>
      <c r="E22" s="9">
        <f>C22-D22</f>
        <v/>
      </c>
      <c r="F22" s="12">
        <f>IFERROR((D22-C22)/C22,0)</f>
        <v/>
      </c>
      <c r="G22" s="14">
        <f>IF(C22=0,"UNBUDGETED",IF(F22&gt;0.5,"CRITICAL",IF(F22&gt;0.1,"OVER",IF(F22&lt;-0.1,"UNDER","ON"))))</f>
        <v/>
      </c>
    </row>
    <row r="23">
      <c r="A23" s="4" t="inlineStr">
        <is>
          <t>603</t>
        </is>
      </c>
      <c r="B23" s="4" t="inlineStr">
        <is>
          <t>Permits &amp; Licenses</t>
        </is>
      </c>
      <c r="C23" s="5" t="n">
        <v>8675</v>
      </c>
      <c r="D23" s="5" t="n">
        <v>2505</v>
      </c>
      <c r="E23" s="9">
        <f>C23-D23</f>
        <v/>
      </c>
      <c r="F23" s="12">
        <f>IFERROR((D23-C23)/C23,0)</f>
        <v/>
      </c>
      <c r="G23" s="14">
        <f>IF(C23=0,"UNBUDGETED",IF(F23&gt;0.5,"CRITICAL",IF(F23&gt;0.1,"OVER",IF(F23&lt;-0.1,"UNDER","ON"))))</f>
        <v/>
      </c>
    </row>
    <row r="24">
      <c r="A24" s="4" t="inlineStr">
        <is>
          <t>607</t>
        </is>
      </c>
      <c r="B24" s="4" t="inlineStr">
        <is>
          <t>Other Expenses</t>
        </is>
      </c>
      <c r="C24" s="5" t="n">
        <v>10000</v>
      </c>
      <c r="D24" s="5" t="n">
        <v>10462.27</v>
      </c>
      <c r="E24" s="9">
        <f>C24-D24</f>
        <v/>
      </c>
      <c r="F24" s="12">
        <f>IFERROR((D24-C24)/C24,0)</f>
        <v/>
      </c>
      <c r="G24" s="14">
        <f>IF(C24=0,"UNBUDGETED",IF(F24&gt;0.5,"CRITICAL",IF(F24&gt;0.1,"OVER",IF(F24&lt;-0.1,"UNDER","ON"))))</f>
        <v/>
      </c>
    </row>
    <row r="25">
      <c r="A25" s="4" t="inlineStr">
        <is>
          <t>995</t>
        </is>
      </c>
      <c r="B25" s="4" t="inlineStr">
        <is>
          <t>Payroll Burden</t>
        </is>
      </c>
      <c r="C25" s="5" t="n">
        <v>80714.75</v>
      </c>
      <c r="D25" s="5" t="n">
        <v>93452.28999999999</v>
      </c>
      <c r="E25" s="9">
        <f>C25-D25</f>
        <v/>
      </c>
      <c r="F25" s="12">
        <f>IFERROR((D25-C25)/C25,0)</f>
        <v/>
      </c>
      <c r="G25" s="14">
        <f>IF(C25=0,"UNBUDGETED",IF(F25&gt;0.5,"CRITICAL",IF(F25&gt;0.1,"OVER",IF(F25&lt;-0.1,"UNDER","ON"))))</f>
        <v/>
      </c>
    </row>
    <row r="26">
      <c r="A26" s="4" t="inlineStr">
        <is>
          <t>998</t>
        </is>
      </c>
      <c r="B26" s="4" t="inlineStr">
        <is>
          <t>Payroll Taxes</t>
        </is>
      </c>
      <c r="C26" s="5" t="n">
        <v>15101.49</v>
      </c>
      <c r="D26" s="5" t="n">
        <v>15459.34</v>
      </c>
      <c r="E26" s="9">
        <f>C26-D26</f>
        <v/>
      </c>
      <c r="F26" s="12">
        <f>IFERROR((D26-C26)/C26,0)</f>
        <v/>
      </c>
      <c r="G26" s="14">
        <f>IF(C26=0,"UNBUDGETED",IF(F26&gt;0.5,"CRITICAL",IF(F26&gt;0.1,"OVER",IF(F26&lt;-0.1,"UNDER","ON"))))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4" t="inlineStr">
        <is>
          <t>California Hydronics Corp</t>
        </is>
      </c>
      <c r="B4" s="5" t="n">
        <v>286931</v>
      </c>
      <c r="C4" s="4" t="n">
        <v>6</v>
      </c>
      <c r="D4" s="12">
        <f>IFERROR(B4/SUM(B$4:B$15),0)</f>
        <v/>
      </c>
    </row>
    <row r="5">
      <c r="A5" s="4" t="inlineStr">
        <is>
          <t>Consolidated Supply Co.</t>
        </is>
      </c>
      <c r="B5" s="5" t="n">
        <v>48240.57999999999</v>
      </c>
      <c r="C5" s="4" t="n">
        <v>81</v>
      </c>
      <c r="D5" s="12">
        <f>IFERROR(B5/SUM(B$4:B$15),0)</f>
        <v/>
      </c>
    </row>
    <row r="6">
      <c r="A6" s="4" t="inlineStr">
        <is>
          <t>Bank of America CC</t>
        </is>
      </c>
      <c r="B6" s="5" t="n">
        <v>26613.41</v>
      </c>
      <c r="C6" s="4" t="n">
        <v>51</v>
      </c>
      <c r="D6" s="12">
        <f>IFERROR(B6/SUM(B$4:B$15),0)</f>
        <v/>
      </c>
    </row>
    <row r="7">
      <c r="A7" s="4" t="inlineStr">
        <is>
          <t>Pacific Plumbing Supply Co., LLC</t>
        </is>
      </c>
      <c r="B7" s="5" t="n">
        <v>23158.46</v>
      </c>
      <c r="C7" s="4" t="n">
        <v>30</v>
      </c>
      <c r="D7" s="12">
        <f>IFERROR(B7/SUM(B$4:B$15),0)</f>
        <v/>
      </c>
    </row>
    <row r="8">
      <c r="A8" s="4" t="inlineStr">
        <is>
          <t>Ferguson Enterprises, Inc. #3007</t>
        </is>
      </c>
      <c r="B8" s="5" t="n">
        <v>20208.49</v>
      </c>
      <c r="C8" s="4" t="n">
        <v>7</v>
      </c>
      <c r="D8" s="12">
        <f>IFERROR(B8/SUM(B$4:B$15),0)</f>
        <v/>
      </c>
    </row>
    <row r="9">
      <c r="A9" s="4" t="inlineStr">
        <is>
          <t>Keller Supply Company</t>
        </is>
      </c>
      <c r="B9" s="5" t="n">
        <v>16443.42</v>
      </c>
      <c r="C9" s="4" t="n">
        <v>16</v>
      </c>
      <c r="D9" s="12">
        <f>IFERROR(B9/SUM(B$4:B$15),0)</f>
        <v/>
      </c>
    </row>
    <row r="10">
      <c r="A10" s="4" t="inlineStr">
        <is>
          <t>MacArthur Co. NW 6276</t>
        </is>
      </c>
      <c r="B10" s="5" t="n">
        <v>6281.879999999999</v>
      </c>
      <c r="C10" s="4" t="n">
        <v>3</v>
      </c>
      <c r="D10" s="12">
        <f>IFERROR(B10/SUM(B$4:B$15),0)</f>
        <v/>
      </c>
    </row>
    <row r="11">
      <c r="A11" s="4" t="inlineStr">
        <is>
          <t>Rosen Supply Kirkland</t>
        </is>
      </c>
      <c r="B11" s="5" t="n">
        <v>6183.319999999999</v>
      </c>
      <c r="C11" s="4" t="n">
        <v>22</v>
      </c>
      <c r="D11" s="12">
        <f>IFERROR(B11/SUM(B$4:B$15),0)</f>
        <v/>
      </c>
    </row>
    <row r="12">
      <c r="A12" s="4" t="inlineStr">
        <is>
          <t>Kele, Inc $ MI Controls</t>
        </is>
      </c>
      <c r="B12" s="5" t="n">
        <v>466</v>
      </c>
      <c r="C12" s="4" t="n">
        <v>1</v>
      </c>
      <c r="D12" s="12">
        <f>IFERROR(B12/SUM(B$4:B$15),0)</f>
        <v/>
      </c>
    </row>
    <row r="13">
      <c r="A13" s="4" t="inlineStr">
        <is>
          <t>Mechanical Sales, Inc.</t>
        </is>
      </c>
      <c r="B13" s="5" t="n">
        <v>335.78</v>
      </c>
      <c r="C13" s="4" t="n">
        <v>1</v>
      </c>
      <c r="D13" s="12">
        <f>IFERROR(B13/SUM(B$4:B$15),0)</f>
        <v/>
      </c>
    </row>
    <row r="14">
      <c r="A14" s="4" t="inlineStr">
        <is>
          <t>Capital One Credit Card</t>
        </is>
      </c>
      <c r="B14" s="5" t="n">
        <v>225.15</v>
      </c>
      <c r="C14" s="4" t="n">
        <v>7</v>
      </c>
      <c r="D14" s="12">
        <f>IFERROR(B14/SUM(B$4:B$15),0)</f>
        <v/>
      </c>
    </row>
    <row r="15">
      <c r="A15" s="4" t="inlineStr">
        <is>
          <t>Pac West Sales</t>
        </is>
      </c>
      <c r="B15" s="5" t="n">
        <v>44</v>
      </c>
      <c r="C15" s="4" t="n">
        <v>1</v>
      </c>
      <c r="D15" s="12">
        <f>IFERROR(B15/SUM(B$4:B$15),0)</f>
        <v/>
      </c>
    </row>
    <row r="16">
      <c r="A16" s="10" t="inlineStr">
        <is>
          <t>TOTAL AP</t>
        </is>
      </c>
      <c r="B16" s="6">
        <f>SUM(B4:B15)</f>
        <v/>
      </c>
      <c r="C16" s="15">
        <f>SUM(C4:C15)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  <row r="4">
      <c r="A4" s="4" t="inlineStr">
        <is>
          <t>Gomez Aguirre, Exequiel</t>
        </is>
      </c>
      <c r="B4" s="16" t="n">
        <v>1627.5</v>
      </c>
      <c r="C4" s="5" t="n">
        <v>40122</v>
      </c>
      <c r="D4" s="17">
        <f>IFERROR(C4/B4,0)</f>
        <v/>
      </c>
      <c r="E4" s="4" t="inlineStr">
        <is>
          <t>JOURNEYMAN</t>
        </is>
      </c>
    </row>
    <row r="5">
      <c r="A5" s="4" t="inlineStr">
        <is>
          <t>Eisenhauer, Tommy J</t>
        </is>
      </c>
      <c r="B5" s="16" t="n">
        <v>1608.8</v>
      </c>
      <c r="C5" s="5" t="n">
        <v>91699</v>
      </c>
      <c r="D5" s="17">
        <f>IFERROR(C5/B5,0)</f>
        <v/>
      </c>
      <c r="E5" s="4" t="inlineStr">
        <is>
          <t>LEAD/SUPERVISOR</t>
        </is>
      </c>
    </row>
    <row r="6">
      <c r="A6" s="4" t="inlineStr">
        <is>
          <t>Martinez Reyes, Juan C</t>
        </is>
      </c>
      <c r="B6" s="16" t="n">
        <v>387</v>
      </c>
      <c r="C6" s="5" t="n">
        <v>17028</v>
      </c>
      <c r="D6" s="17">
        <f>IFERROR(C6/B6,0)</f>
        <v/>
      </c>
      <c r="E6" s="4" t="inlineStr">
        <is>
          <t>LEAD/SUPERVISOR</t>
        </is>
      </c>
    </row>
    <row r="7">
      <c r="A7" s="4" t="inlineStr">
        <is>
          <t>Barnhart, Joseph N</t>
        </is>
      </c>
      <c r="B7" s="16" t="n">
        <v>260</v>
      </c>
      <c r="C7" s="5" t="n">
        <v>17297</v>
      </c>
      <c r="D7" s="17">
        <f>IFERROR(C7/B7,0)</f>
        <v/>
      </c>
      <c r="E7" s="4" t="inlineStr">
        <is>
          <t>LEAD/SUPERVISOR</t>
        </is>
      </c>
    </row>
    <row r="8">
      <c r="A8" s="4" t="inlineStr">
        <is>
          <t>Mackey, Cole J</t>
        </is>
      </c>
      <c r="B8" s="16" t="n">
        <v>158.5</v>
      </c>
      <c r="C8" s="5" t="n">
        <v>8242</v>
      </c>
      <c r="D8" s="17">
        <f>IFERROR(C8/B8,0)</f>
        <v/>
      </c>
      <c r="E8" s="4" t="inlineStr">
        <is>
          <t>LEAD/SUPERVISOR</t>
        </is>
      </c>
    </row>
    <row r="9">
      <c r="A9" s="4" t="inlineStr">
        <is>
          <t>Gerard, Jeffrey S</t>
        </is>
      </c>
      <c r="B9" s="16" t="n">
        <v>119</v>
      </c>
      <c r="C9" s="5" t="n">
        <v>8211</v>
      </c>
      <c r="D9" s="17">
        <f>IFERROR(C9/B9,0)</f>
        <v/>
      </c>
      <c r="E9" s="4" t="inlineStr">
        <is>
          <t>LEAD/SUPERVISOR</t>
        </is>
      </c>
    </row>
    <row r="10">
      <c r="A10" s="4" t="inlineStr">
        <is>
          <t>Games, Jordan M</t>
        </is>
      </c>
      <c r="B10" s="16" t="n">
        <v>90.8</v>
      </c>
      <c r="C10" s="5" t="n">
        <v>4810</v>
      </c>
      <c r="D10" s="17">
        <f>IFERROR(C10/B10,0)</f>
        <v/>
      </c>
      <c r="E10" s="4" t="inlineStr">
        <is>
          <t>LEAD/SUPERVISOR</t>
        </is>
      </c>
    </row>
    <row r="11">
      <c r="A11" s="4" t="inlineStr">
        <is>
          <t>Araque, Mario W</t>
        </is>
      </c>
      <c r="B11" s="16" t="n">
        <v>68.2</v>
      </c>
      <c r="C11" s="5" t="n">
        <v>1638</v>
      </c>
      <c r="D11" s="17">
        <f>IFERROR(C11/B11,0)</f>
        <v/>
      </c>
      <c r="E11" s="4" t="inlineStr">
        <is>
          <t>JOURNEYMAN</t>
        </is>
      </c>
    </row>
    <row r="12">
      <c r="A12" s="4" t="inlineStr">
        <is>
          <t>Johnson, Jake E</t>
        </is>
      </c>
      <c r="B12" s="16" t="n">
        <v>66</v>
      </c>
      <c r="C12" s="5" t="n">
        <v>3432</v>
      </c>
      <c r="D12" s="17">
        <f>IFERROR(C12/B12,0)</f>
        <v/>
      </c>
      <c r="E12" s="4" t="inlineStr">
        <is>
          <t>LEAD/SUPERVISOR</t>
        </is>
      </c>
    </row>
    <row r="13">
      <c r="A13" s="4" t="inlineStr">
        <is>
          <t>Anderson, Richard P</t>
        </is>
      </c>
      <c r="B13" s="16" t="n">
        <v>45</v>
      </c>
      <c r="C13" s="5" t="n">
        <v>2927</v>
      </c>
      <c r="D13" s="17">
        <f>IFERROR(C13/B13,0)</f>
        <v/>
      </c>
      <c r="E13" s="4" t="inlineStr">
        <is>
          <t>LEAD/SUPERVISOR</t>
        </is>
      </c>
    </row>
    <row r="14">
      <c r="A14" s="4" t="inlineStr">
        <is>
          <t>Boss, Benjamin T</t>
        </is>
      </c>
      <c r="B14" s="16" t="n">
        <v>36</v>
      </c>
      <c r="C14" s="5" t="n">
        <v>1836</v>
      </c>
      <c r="D14" s="17">
        <f>IFERROR(C14/B14,0)</f>
        <v/>
      </c>
      <c r="E14" s="4" t="inlineStr">
        <is>
          <t>LEAD/SUPERVISOR</t>
        </is>
      </c>
    </row>
    <row r="15">
      <c r="A15" s="4" t="inlineStr">
        <is>
          <t>Nunez Bravo, Jose L</t>
        </is>
      </c>
      <c r="B15" s="16" t="n">
        <v>31.2</v>
      </c>
      <c r="C15" s="5" t="n">
        <v>750</v>
      </c>
      <c r="D15" s="17">
        <f>IFERROR(C15/B15,0)</f>
        <v/>
      </c>
      <c r="E15" s="4" t="inlineStr">
        <is>
          <t>JOURNEYMAN</t>
        </is>
      </c>
    </row>
    <row r="16">
      <c r="A16" s="4" t="inlineStr">
        <is>
          <t>Gerard, Jordan E</t>
        </is>
      </c>
      <c r="B16" s="16" t="n">
        <v>29.5</v>
      </c>
      <c r="C16" s="5" t="n">
        <v>1766</v>
      </c>
      <c r="D16" s="17">
        <f>IFERROR(C16/B16,0)</f>
        <v/>
      </c>
      <c r="E16" s="4" t="inlineStr">
        <is>
          <t>LEAD/SUPERVISOR</t>
        </is>
      </c>
    </row>
    <row r="17">
      <c r="A17" s="4" t="inlineStr">
        <is>
          <t>Suniga Aviles, Kelvin A</t>
        </is>
      </c>
      <c r="B17" s="16" t="n">
        <v>15.8</v>
      </c>
      <c r="C17" s="5" t="n">
        <v>394</v>
      </c>
      <c r="D17" s="17">
        <f>IFERROR(C17/B17,0)</f>
        <v/>
      </c>
      <c r="E17" s="4" t="inlineStr">
        <is>
          <t>JOURNEYMAN</t>
        </is>
      </c>
    </row>
    <row r="18">
      <c r="A18" s="4" t="inlineStr">
        <is>
          <t>Del Villar, Flabio</t>
        </is>
      </c>
      <c r="B18" s="16" t="n">
        <v>15</v>
      </c>
      <c r="C18" s="5" t="n">
        <v>375</v>
      </c>
      <c r="D18" s="17">
        <f>IFERROR(C18/B18,0)</f>
        <v/>
      </c>
      <c r="E18" s="4" t="inlineStr">
        <is>
          <t>JOURNEYMAN</t>
        </is>
      </c>
    </row>
    <row r="19">
      <c r="A19" s="4" t="inlineStr">
        <is>
          <t>Melgar Moz, Brandon</t>
        </is>
      </c>
      <c r="B19" s="16" t="n">
        <v>8</v>
      </c>
      <c r="C19" s="5" t="n">
        <v>176</v>
      </c>
      <c r="D19" s="17">
        <f>IFERROR(C19/B19,0)</f>
        <v/>
      </c>
      <c r="E19" s="4" t="inlineStr">
        <is>
          <t>JOURNEYMAN</t>
        </is>
      </c>
    </row>
    <row r="20">
      <c r="A20" s="4" t="inlineStr">
        <is>
          <t>Zuniga Avilez, Eduar A</t>
        </is>
      </c>
      <c r="B20" s="16" t="n">
        <v>8</v>
      </c>
      <c r="C20" s="5" t="n">
        <v>192</v>
      </c>
      <c r="D20" s="17">
        <f>IFERROR(C20/B20,0)</f>
        <v/>
      </c>
      <c r="E20" s="4" t="inlineStr">
        <is>
          <t>JOURNEYMAN</t>
        </is>
      </c>
    </row>
    <row r="21">
      <c r="A21" s="4" t="inlineStr">
        <is>
          <t>Yohannes Jr., Samson</t>
        </is>
      </c>
      <c r="B21" s="16" t="n">
        <v>8</v>
      </c>
      <c r="C21" s="5" t="n">
        <v>264</v>
      </c>
      <c r="D21" s="17">
        <f>IFERROR(C21/B21,0)</f>
        <v/>
      </c>
      <c r="E21" s="4" t="inlineStr">
        <is>
          <t>JOURNEYMAN</t>
        </is>
      </c>
    </row>
    <row r="22">
      <c r="A22" s="4" t="inlineStr">
        <is>
          <t>Silva Morales, Jair J</t>
        </is>
      </c>
      <c r="B22" s="16" t="n">
        <v>8</v>
      </c>
      <c r="C22" s="5" t="n">
        <v>272</v>
      </c>
      <c r="D22" s="17">
        <f>IFERROR(C22/B22,0)</f>
        <v/>
      </c>
      <c r="E22" s="4" t="inlineStr">
        <is>
          <t>JOURNEYMAN</t>
        </is>
      </c>
    </row>
    <row r="23">
      <c r="A23" s="4" t="inlineStr">
        <is>
          <t>Calderon M, Roberto H</t>
        </is>
      </c>
      <c r="B23" s="16" t="n">
        <v>7</v>
      </c>
      <c r="C23" s="5" t="n">
        <v>154</v>
      </c>
      <c r="D23" s="17">
        <f>IFERROR(C23/B23,0)</f>
        <v/>
      </c>
      <c r="E23" s="4" t="inlineStr">
        <is>
          <t>JOURNEYMAN</t>
        </is>
      </c>
    </row>
    <row r="24">
      <c r="A24" s="4" t="inlineStr">
        <is>
          <t>Cruz, Azael S</t>
        </is>
      </c>
      <c r="B24" s="16" t="n">
        <v>7</v>
      </c>
      <c r="C24" s="5" t="n">
        <v>224</v>
      </c>
      <c r="D24" s="17">
        <f>IFERROR(C24/B24,0)</f>
        <v/>
      </c>
      <c r="E24" s="4" t="inlineStr">
        <is>
          <t>JOURNEYMAN</t>
        </is>
      </c>
    </row>
    <row r="25">
      <c r="A25" s="4" t="inlineStr">
        <is>
          <t>Jimenez Alvarenga, Gerson M</t>
        </is>
      </c>
      <c r="B25" s="16" t="n">
        <v>7</v>
      </c>
      <c r="C25" s="5" t="n">
        <v>273</v>
      </c>
      <c r="D25" s="17">
        <f>IFERROR(C25/B25,0)</f>
        <v/>
      </c>
      <c r="E25" s="4" t="inlineStr">
        <is>
          <t>LEAD/SUPERVISOR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11</v>
      </c>
      <c r="C4" s="16" t="n">
        <v>2807.5</v>
      </c>
      <c r="D4" s="5" t="n">
        <v>157520</v>
      </c>
      <c r="E4" s="12">
        <f>IFERROR(C4/SUM(C$4:C$7),0)</f>
        <v/>
      </c>
    </row>
    <row r="5">
      <c r="A5" s="10" t="inlineStr">
        <is>
          <t>JOURNEYMAN</t>
        </is>
      </c>
      <c r="B5" s="4" t="n">
        <v>11</v>
      </c>
      <c r="C5" s="16" t="n">
        <v>1803.8</v>
      </c>
      <c r="D5" s="5" t="n">
        <v>44561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6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6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6" t="n">
        <v>4611</v>
      </c>
    </row>
    <row r="4">
      <c r="A4" s="4" t="inlineStr">
        <is>
          <t>Active workers</t>
        </is>
      </c>
      <c r="B4" s="18" t="n">
        <v>22</v>
      </c>
    </row>
    <row r="5">
      <c r="A5" s="4" t="inlineStr">
        <is>
          <t>Hours per unit (to date)</t>
        </is>
      </c>
      <c r="B5" s="16" t="n">
        <v>192.1</v>
      </c>
    </row>
    <row r="6">
      <c r="A6" s="4" t="inlineStr">
        <is>
          <t>Revenue per labor hour (billed)</t>
        </is>
      </c>
      <c r="B6" s="19" t="n">
        <v>258.87</v>
      </c>
    </row>
    <row r="7">
      <c r="A7" s="4" t="inlineStr">
        <is>
          <t>Percent complete</t>
        </is>
      </c>
      <c r="B7" s="20" t="n">
        <v>0.9976474009839965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20" t="n">
        <v>0.2722209955463588</v>
      </c>
      <c r="C4" s="20" t="n">
        <v>0.34</v>
      </c>
      <c r="D4" s="12">
        <f>B4-C4</f>
        <v/>
      </c>
    </row>
    <row r="5">
      <c r="A5" s="4" t="inlineStr">
        <is>
          <t>Roughin labor share (code 120)</t>
        </is>
      </c>
      <c r="B5" s="20" t="n">
        <v>0.4654390719586637</v>
      </c>
      <c r="C5" s="20" t="n">
        <v>0.45</v>
      </c>
      <c r="D5" s="12">
        <f>B5-C5</f>
        <v/>
      </c>
    </row>
    <row r="6">
      <c r="A6" s="4" t="inlineStr">
        <is>
          <t>Top vendor concentration</t>
        </is>
      </c>
      <c r="B6" s="20" t="n">
        <v>0.6594121698707671</v>
      </c>
      <c r="C6" s="20" t="n">
        <v>0.38</v>
      </c>
      <c r="D6" s="12">
        <f>B6-C6</f>
        <v/>
      </c>
    </row>
    <row r="7">
      <c r="A7" s="4" t="inlineStr">
        <is>
          <t>Hours per unit</t>
        </is>
      </c>
      <c r="B7" s="16" t="n">
        <v>192.1354166666667</v>
      </c>
      <c r="C7" s="16" t="n">
        <v>95</v>
      </c>
      <c r="D7" s="21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Supervision (100) CRITICAL overrun</t>
        </is>
      </c>
      <c r="B4" s="22" t="inlineStr">
        <is>
          <t>⚠ WATCH</t>
        </is>
      </c>
      <c r="C4" s="4" t="inlineStr">
        <is>
          <t>Actual $4,364 vs revised $2,400 (+82%) — needs immediate attention</t>
        </is>
      </c>
    </row>
    <row r="5">
      <c r="A5" s="4" t="inlineStr">
        <is>
          <t>Takeoff &amp; Purchase Labor (101) CRITICAL overrun</t>
        </is>
      </c>
      <c r="B5" s="22" t="inlineStr">
        <is>
          <t>⚠ WATCH</t>
        </is>
      </c>
      <c r="C5" s="4" t="inlineStr">
        <is>
          <t>Actual $9,215 vs revised $4,800 (+92%) — needs immediate attention</t>
        </is>
      </c>
    </row>
    <row r="6">
      <c r="A6" s="4" t="inlineStr">
        <is>
          <t>Underground Labor (110) over revised</t>
        </is>
      </c>
      <c r="B6" s="22" t="inlineStr">
        <is>
          <t>⚠ WATCH</t>
        </is>
      </c>
      <c r="C6" s="4" t="inlineStr">
        <is>
          <t>Actual $8,974 vs revised $7,125 (+26%) — monitor</t>
        </is>
      </c>
    </row>
    <row r="7">
      <c r="A7" s="4" t="inlineStr">
        <is>
          <t>Roughin Labor (120) over revised</t>
        </is>
      </c>
      <c r="B7" s="22" t="inlineStr">
        <is>
          <t>⚠ WATCH</t>
        </is>
      </c>
      <c r="C7" s="4" t="inlineStr">
        <is>
          <t>Actual $132,816 vs revised $91,880 (+45%) — monitor</t>
        </is>
      </c>
    </row>
    <row r="8">
      <c r="A8" s="4" t="inlineStr">
        <is>
          <t>Water Main/Insulation Mat (241) over revised</t>
        </is>
      </c>
      <c r="B8" s="22" t="inlineStr">
        <is>
          <t>⚠ WATCH</t>
        </is>
      </c>
      <c r="C8" s="4" t="inlineStr">
        <is>
          <t>Actual $31,392 vs revised $25,015 (+25%) — monitor</t>
        </is>
      </c>
    </row>
    <row r="9">
      <c r="A9" s="4" t="inlineStr">
        <is>
          <t>Payroll Burden (995) over revised</t>
        </is>
      </c>
      <c r="B9" s="22" t="inlineStr">
        <is>
          <t>⚠ WATCH</t>
        </is>
      </c>
      <c r="C9" s="4" t="inlineStr">
        <is>
          <t>Actual $93,452 vs revised $80,715 (+16%) — monitor</t>
        </is>
      </c>
    </row>
    <row r="10">
      <c r="A10" s="4" t="inlineStr">
        <is>
          <t>Top vendor concentration (California Hydronics)</t>
        </is>
      </c>
      <c r="B10" s="22" t="inlineStr">
        <is>
          <t>⚠ WATCH</t>
        </is>
      </c>
      <c r="C10" s="4" t="inlineStr">
        <is>
          <t>66% of AP ($286,931) — high, monitor</t>
        </is>
      </c>
    </row>
    <row r="11">
      <c r="A11" s="4" t="inlineStr">
        <is>
          <t>Retention aging</t>
        </is>
      </c>
      <c r="B11" s="23" t="inlineStr">
        <is>
          <t>✓ OK</t>
        </is>
      </c>
      <c r="C11" s="4" t="inlineStr">
        <is>
          <t>$59,687 held · 5.0% of billed · standard range</t>
        </is>
      </c>
    </row>
    <row r="12">
      <c r="A12" s="4" t="inlineStr">
        <is>
          <t>Forecast margin</t>
        </is>
      </c>
      <c r="B12" s="23" t="inlineStr">
        <is>
          <t>✓ OK</t>
        </is>
      </c>
      <c r="C12" s="4" t="inlineStr">
        <is>
          <t>27.2%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756539.28</v>
      </c>
      <c r="C4" s="5" t="n">
        <v>756539.28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-1193734</v>
      </c>
      <c r="C5" s="5" t="n">
        <v>1193734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435131.49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310992.63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10415.16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4" t="inlineStr">
        <is>
          <t>Forecast margin %</t>
        </is>
      </c>
      <c r="B4" s="24" t="inlineStr">
        <is>
          <t>01 Overview</t>
        </is>
      </c>
      <c r="C4" s="24" t="inlineStr">
        <is>
          <t>Forecast net profit / Revised contract value</t>
        </is>
      </c>
    </row>
    <row r="5">
      <c r="A5" s="24" t="inlineStr">
        <is>
          <t>Percent complete</t>
        </is>
      </c>
      <c r="B5" s="24" t="inlineStr">
        <is>
          <t>01 Overview</t>
        </is>
      </c>
      <c r="C5" s="24" t="inlineStr">
        <is>
          <t>Billed to date / Revised contract value</t>
        </is>
      </c>
    </row>
    <row r="6">
      <c r="A6" s="24" t="inlineStr">
        <is>
          <t>Roughin labor share</t>
        </is>
      </c>
      <c r="B6" s="24" t="inlineStr">
        <is>
          <t>06 Cost Codes</t>
        </is>
      </c>
      <c r="C6" s="24" t="inlineStr">
        <is>
          <t>Code 120 revised / Total labor revised budget</t>
        </is>
      </c>
    </row>
    <row r="7">
      <c r="A7" s="24" t="inlineStr">
        <is>
          <t>Top vendor concentration</t>
        </is>
      </c>
      <c r="B7" s="24" t="inlineStr">
        <is>
          <t>09 Vendor Analysis</t>
        </is>
      </c>
      <c r="C7" s="24" t="inlineStr">
        <is>
          <t>Largest single vendor AP spend / Total AP</t>
        </is>
      </c>
    </row>
    <row r="8">
      <c r="A8" s="24" t="inlineStr">
        <is>
          <t>Hours per unit</t>
        </is>
      </c>
      <c r="B8" s="24" t="inlineStr">
        <is>
          <t>12 Productivity</t>
        </is>
      </c>
      <c r="C8" s="24" t="inlineStr">
        <is>
          <t>Total PR hours to date / Unit count</t>
        </is>
      </c>
    </row>
    <row r="9">
      <c r="A9" s="24" t="inlineStr">
        <is>
          <t>BVA status codes</t>
        </is>
      </c>
      <c r="B9" s="24" t="inlineStr">
        <is>
          <t>08 BVA</t>
        </is>
      </c>
      <c r="C9" s="24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2026-04-23</t>
        </is>
      </c>
      <c r="B4" s="4" t="inlineStr">
        <is>
          <t>v1.0 · live</t>
        </is>
      </c>
      <c r="C4" s="4" t="inlineStr">
        <is>
          <t>Initial build for #2104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2026-04-24T14:46:07Z</dcterms:created>
  <dcterms:modified xmlns:dcterms="http://purl.org/dc/terms/" xmlns:xsi="http://www.w3.org/2001/XMLSchema-instance" xsi:type="dcterms:W3CDTF">2026-04-24T14:46:07Z</dcterms:modified>
</cp:coreProperties>
</file>