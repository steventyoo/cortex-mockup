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<sst xmlns="http://schemas.openxmlformats.org/spreadsheetml/2006/main" count="1642" uniqueCount="759">
  <si>
    <t xml:space="preserve">Job #2049 · Exxel Pacific Reserve at Lynnwood REBUILD (post-construction-defect remediation of 2028 job)</t>
  </si>
  <si>
    <t xml:space="preserve">Cortex JCR v2  •  Exxel (customer 2049SH)  •  5800 Scriber Lake Road, Lynnwood, WA 98036  •  Owner: TBD — per 2028 original contract (Reserve at Lynnwood LP or similar Exxel-owned entity)</t>
  </si>
  <si>
    <t xml:space="preserve">PROJECT OVERVIEW</t>
  </si>
  <si>
    <t xml:space="preserve">Project Job #</t>
  </si>
  <si>
    <t xml:space="preserve">2049</t>
  </si>
  <si>
    <t xml:space="preserve">2049 Job Detail Report.pdf (Sage Timberline, 04/03/2026)</t>
  </si>
  <si>
    <t xml:space="preserve">Project Name (Sage)</t>
  </si>
  <si>
    <t xml:space="preserve">GRE Greenlake</t>
  </si>
  <si>
    <t xml:space="preserve">Project Description</t>
  </si>
  <si>
    <t xml:space="preserve">Exxel Lynnwood Reserve Rebuild Apartments — 295-unit 7-story midrise multi-family (16 Type A ADA), Lynnwood</t>
  </si>
  <si>
    <t xml:space="preserve">OWP Project List with Schedule - UPDATED 04-01-26.xlsx + contract</t>
  </si>
  <si>
    <t xml:space="preserve">General Contractor</t>
  </si>
  <si>
    <t xml:space="preserve">Exxel</t>
  </si>
  <si>
    <t xml:space="preserve">OWP Project List with Schedule - UPDATED 04-01-26.xlsx</t>
  </si>
  <si>
    <t xml:space="preserve">Customer Code (Sage)</t>
  </si>
  <si>
    <t xml:space="preserve">2049SH</t>
  </si>
  <si>
    <t xml:space="preserve">Owner / Developer</t>
  </si>
  <si>
    <t xml:space="preserve">TBD — per 2028 original contract (Reserve at Lynnwood LP or similar Exxel-owned entity)</t>
  </si>
  <si>
    <t xml:space="preserve">GC PM</t>
  </si>
  <si>
    <t xml:space="preserve">TBD — Exxel (CMA architect of record)</t>
  </si>
  <si>
    <t xml:space="preserve">2049-Shelter Holdings subcontract 201506ONELLC + Boren &amp; Spruce CO docs</t>
  </si>
  <si>
    <t xml:space="preserve">GC Superintendent</t>
  </si>
  <si>
    <t xml:space="preserve">Brett (per Brett Reserve folder)</t>
  </si>
  <si>
    <t xml:space="preserve">GC PE</t>
  </si>
  <si>
    <t xml:space="preserve">N/A</t>
  </si>
  <si>
    <t xml:space="preserve">OWP Signatory</t>
  </si>
  <si>
    <t xml:space="preserve">Richard Donelson (OWP per CO#11 signature authority on 201506ONELLC subcontract)</t>
  </si>
  <si>
    <t xml:space="preserve">Jobsite Location</t>
  </si>
  <si>
    <t xml:space="preserve">5800 Scriber Lake Road, Lynnwood, WA 98036</t>
  </si>
  <si>
    <t xml:space="preserve">Insurance</t>
  </si>
  <si>
    <t xml:space="preserve">Not Wrap</t>
  </si>
  <si>
    <t xml:space="preserve">Fixture Schedule</t>
  </si>
  <si>
    <t xml:space="preserve">1855 fixtures total (656 unit + 98 retail/common)</t>
  </si>
  <si>
    <t xml:space="preserve">Submittal Table of Contents + Plumbing Scope</t>
  </si>
  <si>
    <t xml:space="preserve">Architect</t>
  </si>
  <si>
    <t xml:space="preserve">TBD — CMA per RFI responses (e.g., 'CMA Response 24 Jan 19', 'CMA Response 30 May 18')</t>
  </si>
  <si>
    <t xml:space="preserve">Exxel Lynnwood Reserve Rebuild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</si>
  <si>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</si>
  <si>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</si>
  <si>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</si>
  <si>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</si>
  <si>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</si>
  <si>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2017-12 start → 2019-09 (22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</si>
  <si>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</si>
  <si>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</si>
  <si>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</si>
  <si>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</si>
  <si>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</si>
  <si>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$2,898,965.00 + ($100,815.00) COs (3.48%)</t>
  </si>
  <si>
    <t xml:space="preserve">48.9% margin</t>
  </si>
  <si>
    <t xml:space="preserve">51.1% of revenue</t>
  </si>
  <si>
    <t xml:space="preserve">58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</si>
  <si>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</si>
  <si>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</si>
  <si>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295-unit mixed-use (102 Type B + 6 Type A/ADA) at 5800 Scriber Lake Road, Lynnwood, WA 98036, 7-story midrise multi-family (Type 1A podium + Type VA above).</t>
  </si>
  <si>
    <t xml:space="preserve">GC: Exxel (2049SH); Owner: TBD — per 2028 original contract (Reserve at Lynnwood LP or similar Exxel-owned entity).</t>
  </si>
  <si>
    <t xml:space="preserve">Insurance: Not Wrap (retail-adjacent residential).</t>
  </si>
  <si>
    <t xml:space="preserve">Project team: TBD — Exxel (CMA architect of record) (GC PM) · Brett (per Brett Reserve folder) (GC Sup) · TBD — CMA per RFI responses (e.g., 'CMA Response 24 Jan 19', 'CMA Response 30 May 18') (Architect) · Richard Donelson (OWP per CO#11 signature authority on 201506ONELLC subcontract) (OWP signatory).</t>
  </si>
  <si>
    <t xml:space="preserve">SOURCES</t>
  </si>
  <si>
    <t xml:space="preserve">Canonical financial source: 2049 Job Detail Report.pdf (Sage Timberline, 04/03/2026)</t>
  </si>
  <si>
    <t xml:space="preserve">Job totals (JDR footer): Revenue $2,999,780.00 / Expenses $1,532,182.53 / Net $1,467,597.47 / Retainage $149,989.00</t>
  </si>
  <si>
    <t xml:space="preserve">Source breakdown (derived): PR $868,442.74 · AP $520,745.58 · GL $142,994.21</t>
  </si>
  <si>
    <t xml:space="preserve">Contract: Lump Sum $2,898,965.00 → $2,999,780.00</t>
  </si>
  <si>
    <t xml:space="preserve">Change Orders (executed): $100,815.00 net across 9 COs (CO log in enriched meta)</t>
  </si>
  <si>
    <t xml:space="preserve">Project Team: TBD — Exxel (CMA architect of record) (PM) · Brett (per Brett Reserve folder) (Sup) · TBD — CMA per RFI responses (e.g., 'CMA Response 24 Jan 19', 'CMA Response 30 May 18') · TBD — per 2028 original contract (Reserve at Lynnwood LP or similar Exxel-owned entity)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</si>
  <si>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</si>
  <si>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</si>
  <si>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</si>
  <si>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</si>
  <si>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</si>
  <si>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</si>
  <si>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</si>
  <si>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</si>
  <si>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</si>
  <si>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</si>
  <si>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</si>
  <si>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</si>
  <si>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</si>
  <si>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28 cost codes from JDR. Contract $2,898,965 → $2,999,780.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</si>
  <si>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</si>
  <si>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</si>
  <si>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</si>
  <si>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</si>
  <si>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</si>
  <si>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</si>
  <si>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</si>
  <si>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</si>
  <si>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</si>
  <si>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</si>
  <si>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</si>
  <si>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</si>
  <si>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</si>
  <si>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</si>
  <si>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</si>
  <si>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</si>
  <si>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</si>
  <si>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</si>
  <si>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</si>
  <si>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</si>
  <si>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</si>
  <si>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</si>
  <si>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</si>
  <si>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</si>
  <si>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</si>
  <si>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</si>
  <si>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</si>
  <si>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</si>
  <si>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</si>
  <si>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</si>
  <si>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</si>
  <si>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</si>
  <si>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</si>
  <si>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</si>
  <si>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</si>
  <si>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</si>
  <si>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</si>
  <si>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</si>
  <si>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</si>
  <si>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</si>
  <si>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</si>
  <si>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</si>
  <si>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</si>
  <si>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</si>
  <si>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</si>
  <si>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</si>
  <si>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</si>
  <si>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</si>
  <si>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</si>
  <si>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</si>
  <si>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</si>
  <si>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</si>
  <si>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</si>
  <si>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</si>
  <si>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</si>
  <si>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</si>
  <si>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</si>
  <si>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</si>
  <si>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</si>
  <si>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</si>
  <si>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</si>
  <si>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</si>
  <si>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</si>
  <si>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</si>
  <si>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</si>
  <si>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</si>
  <si>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</si>
  <si>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</si>
  <si>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</si>
  <si>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</si>
  <si>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</si>
  <si>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</si>
  <si>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</si>
  <si>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</si>
  <si>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100,101,110,111,120,130,140,141,142,143,150</t>
  </si>
  <si>
    <t xml:space="preserve">Material</t>
  </si>
  <si>
    <t xml:space="preserve">210,211,212,220,230,240,241,242,243</t>
  </si>
  <si>
    <t xml:space="preserve">Overhead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</si>
  <si>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</si>
  <si>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</si>
  <si>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</si>
  <si>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</si>
  <si>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</si>
  <si>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</si>
  <si>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</si>
  <si>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</si>
  <si>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</si>
  <si>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1380RS</t>
  </si>
  <si>
    <t xml:space="preserve">Rosen Supply Kirkland</t>
  </si>
  <si>
    <t xml:space="preserve">Plumbing / Supplies</t>
  </si>
  <si>
    <t xml:space="preserve">1130CS</t>
  </si>
  <si>
    <t xml:space="preserve">Consolidated Supply Co.</t>
  </si>
  <si>
    <t xml:space="preserve">1231KS</t>
  </si>
  <si>
    <t xml:space="preserve">Keller Supply Company</t>
  </si>
  <si>
    <t xml:space="preserve">3612MS</t>
  </si>
  <si>
    <t xml:space="preserve">Mechanical Sales, Inc.</t>
  </si>
  <si>
    <t xml:space="preserve">1175FE</t>
  </si>
  <si>
    <t xml:space="preserve">Ferguson Enterprises, Inc. #3007</t>
  </si>
  <si>
    <t xml:space="preserve">6912MF</t>
  </si>
  <si>
    <t xml:space="preserve">Mechanical Firestop Services, LLC</t>
  </si>
  <si>
    <t xml:space="preserve">Uncategorized</t>
  </si>
  <si>
    <t xml:space="preserve">3129MR</t>
  </si>
  <si>
    <t xml:space="preserve">Mechanical Resource Services, Inc.</t>
  </si>
  <si>
    <t xml:space="preserve">5560CH</t>
  </si>
  <si>
    <t xml:space="preserve">California Hydronics Corp</t>
  </si>
  <si>
    <t xml:space="preserve">2049RS</t>
  </si>
  <si>
    <t xml:space="preserve">Rosen Supply Company, Inc. $Reserve</t>
  </si>
  <si>
    <t xml:space="preserve">2713AR</t>
  </si>
  <si>
    <t xml:space="preserve">Ahern Rentals</t>
  </si>
  <si>
    <t xml:space="preserve">3181SC</t>
  </si>
  <si>
    <t xml:space="preserve">Scan2Core, Inc.</t>
  </si>
  <si>
    <t xml:space="preserve">1234CO</t>
  </si>
  <si>
    <t xml:space="preserve">Capital One Credit Card</t>
  </si>
  <si>
    <t xml:space="preserve">Credit Card (mixed)</t>
  </si>
  <si>
    <t xml:space="preserve">2132MH</t>
  </si>
  <si>
    <t xml:space="preserve">Manor Hardware &amp; Construction Supply</t>
  </si>
  <si>
    <t xml:space="preserve">1641AR</t>
  </si>
  <si>
    <t xml:space="preserve">A.R. Brown Backflow Testing</t>
  </si>
  <si>
    <t xml:space="preserve">Testing subcontractor</t>
  </si>
  <si>
    <t xml:space="preserve">1021AT</t>
  </si>
  <si>
    <t xml:space="preserve">ACME Corp</t>
  </si>
  <si>
    <t xml:space="preserve">1625FE</t>
  </si>
  <si>
    <t xml:space="preserve">Franklin Engineering</t>
  </si>
  <si>
    <t xml:space="preserve">Engineering (601)</t>
  </si>
  <si>
    <t xml:space="preserve">1950SR</t>
  </si>
  <si>
    <t xml:space="preserve">Sunbelt Rentals, Inc.</t>
  </si>
  <si>
    <t xml:space="preserve">Crew &amp; Labor — Worker Roster</t>
  </si>
  <si>
    <t xml:space="preserve">All 58 unique payroll workers. OWP signatory: Richard Donelson (OWP per CO#11 signature authority on 201506ONELLC subcontract).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</si>
  <si>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</si>
  <si>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</si>
  <si>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</si>
  <si>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</si>
  <si>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</si>
  <si>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</si>
  <si>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PA11</t>
  </si>
  <si>
    <t xml:space="preserve">Paco Leyva, Orlando</t>
  </si>
  <si>
    <t xml:space="preserve">CR77</t>
  </si>
  <si>
    <t xml:space="preserve">Cruz Gonzalez, Julio C</t>
  </si>
  <si>
    <t xml:space="preserve">ES09</t>
  </si>
  <si>
    <t xml:space="preserve">Escalante Escobar, Boanerge</t>
  </si>
  <si>
    <t xml:space="preserve">AM03</t>
  </si>
  <si>
    <t xml:space="preserve">Amaya Gonzalez, Edilberto A</t>
  </si>
  <si>
    <t xml:space="preserve">RA55</t>
  </si>
  <si>
    <t xml:space="preserve">Ramos Herrera, Franklin J</t>
  </si>
  <si>
    <t xml:space="preserve">JI50</t>
  </si>
  <si>
    <t xml:space="preserve">Jimenez Alvarenga, Gerson M</t>
  </si>
  <si>
    <t xml:space="preserve">CO69</t>
  </si>
  <si>
    <t xml:space="preserve">Cornejo Orellana, Carlos E</t>
  </si>
  <si>
    <t xml:space="preserve">BE54</t>
  </si>
  <si>
    <t xml:space="preserve">Benites Portillo, Marvin E</t>
  </si>
  <si>
    <t xml:space="preserve">GE70</t>
  </si>
  <si>
    <t xml:space="preserve">Gerard, Jordan E</t>
  </si>
  <si>
    <t xml:space="preserve">FR04</t>
  </si>
  <si>
    <t xml:space="preserve">Frausto Mendoza, Pedro</t>
  </si>
  <si>
    <t xml:space="preserve">LI49</t>
  </si>
  <si>
    <t xml:space="preserve">Lima Romero, Melvin A</t>
  </si>
  <si>
    <t xml:space="preserve">MO56</t>
  </si>
  <si>
    <t xml:space="preserve">Montenegro, Carlos E</t>
  </si>
  <si>
    <t xml:space="preserve">GU17</t>
  </si>
  <si>
    <t xml:space="preserve">Guerrero, Ali A</t>
  </si>
  <si>
    <t xml:space="preserve">DE45</t>
  </si>
  <si>
    <t xml:space="preserve">de la Torre, Kevin A</t>
  </si>
  <si>
    <t xml:space="preserve">GU78</t>
  </si>
  <si>
    <t xml:space="preserve">Gutierrez Salas, Jose</t>
  </si>
  <si>
    <t xml:space="preserve">RO75</t>
  </si>
  <si>
    <t xml:space="preserve">Ross, Kelli M</t>
  </si>
  <si>
    <t xml:space="preserve">SI48</t>
  </si>
  <si>
    <t xml:space="preserve">Silva Morales, Jair J</t>
  </si>
  <si>
    <t xml:space="preserve">LO87</t>
  </si>
  <si>
    <t xml:space="preserve">Lovo, German G</t>
  </si>
  <si>
    <t xml:space="preserve">RI84</t>
  </si>
  <si>
    <t xml:space="preserve">Rivera, Eli P</t>
  </si>
  <si>
    <t xml:space="preserve">ST02</t>
  </si>
  <si>
    <t xml:space="preserve">Stahlschmidt, John P</t>
  </si>
  <si>
    <t xml:space="preserve">CR19</t>
  </si>
  <si>
    <t xml:space="preserve">Crespin Portillo, Juan D</t>
  </si>
  <si>
    <t xml:space="preserve">DI07</t>
  </si>
  <si>
    <t xml:space="preserve">Diaz Moreno, Kevin J</t>
  </si>
  <si>
    <t xml:space="preserve">QU35</t>
  </si>
  <si>
    <t xml:space="preserve">Quintanilla, Esteban R</t>
  </si>
  <si>
    <t xml:space="preserve">LE17</t>
  </si>
  <si>
    <t xml:space="preserve">Lee, Ha Nul</t>
  </si>
  <si>
    <t xml:space="preserve">AS10</t>
  </si>
  <si>
    <t xml:space="preserve">Ascencio, Jose L</t>
  </si>
  <si>
    <t xml:space="preserve">HU06</t>
  </si>
  <si>
    <t xml:space="preserve">Hubbard, Robert W</t>
  </si>
  <si>
    <t xml:space="preserve">TR60</t>
  </si>
  <si>
    <t xml:space="preserve">Trower-Kelly, Fidel D</t>
  </si>
  <si>
    <t xml:space="preserve">BA45</t>
  </si>
  <si>
    <t xml:space="preserve">Balderas Ortiz, Ricardo I</t>
  </si>
  <si>
    <t xml:space="preserve">PO73</t>
  </si>
  <si>
    <t xml:space="preserve">Portillo Soriano, Walter A</t>
  </si>
  <si>
    <t xml:space="preserve">MC09</t>
  </si>
  <si>
    <t xml:space="preserve">McCabe, Thomas C</t>
  </si>
  <si>
    <t xml:space="preserve">SA54</t>
  </si>
  <si>
    <t xml:space="preserve">Sanders, Allen O</t>
  </si>
  <si>
    <t xml:space="preserve">GE69</t>
  </si>
  <si>
    <t xml:space="preserve">Gerard, Jeffrey S</t>
  </si>
  <si>
    <t xml:space="preserve">VA98</t>
  </si>
  <si>
    <t xml:space="preserve">Vazquez Popoca, Jose N</t>
  </si>
  <si>
    <t xml:space="preserve">SE64</t>
  </si>
  <si>
    <t xml:space="preserve">Sepulveda Gonzalez, Alfredo</t>
  </si>
  <si>
    <t xml:space="preserve">DO56</t>
  </si>
  <si>
    <t xml:space="preserve">Donelson, Richard T</t>
  </si>
  <si>
    <t xml:space="preserve">CR79</t>
  </si>
  <si>
    <t xml:space="preserve">Cruz Guzman, Joel A</t>
  </si>
  <si>
    <t xml:space="preserve">KI55</t>
  </si>
  <si>
    <t xml:space="preserve">Kinssies, Jr, John E</t>
  </si>
  <si>
    <t xml:space="preserve">AG48</t>
  </si>
  <si>
    <t xml:space="preserve">Aguayo Robles, Carlos I</t>
  </si>
  <si>
    <t xml:space="preserve">CA07</t>
  </si>
  <si>
    <t xml:space="preserve">Cabrera Morales, Antonio</t>
  </si>
  <si>
    <t xml:space="preserve">CR87</t>
  </si>
  <si>
    <t xml:space="preserve">Cruz Reyes, Jose</t>
  </si>
  <si>
    <t xml:space="preserve">EL33</t>
  </si>
  <si>
    <t xml:space="preserve">Eliassen, Cory H</t>
  </si>
  <si>
    <t xml:space="preserve">HE70</t>
  </si>
  <si>
    <t xml:space="preserve">Hernandez Gonzalez, Osbaldo</t>
  </si>
  <si>
    <t xml:space="preserve">CA77</t>
  </si>
  <si>
    <t xml:space="preserve">Castro Hernandez, Jose A</t>
  </si>
  <si>
    <t xml:space="preserve">RE91</t>
  </si>
  <si>
    <t xml:space="preserve">Reyes, Maria E</t>
  </si>
  <si>
    <t xml:space="preserve">GO51</t>
  </si>
  <si>
    <t xml:space="preserve">Gomez Reyes, Edith N</t>
  </si>
  <si>
    <t xml:space="preserve">SO71</t>
  </si>
  <si>
    <t xml:space="preserve">Sorto Regalado, Milton J</t>
  </si>
  <si>
    <t xml:space="preserve">TA96</t>
  </si>
  <si>
    <t xml:space="preserve">Taylor, Evan R</t>
  </si>
  <si>
    <t xml:space="preserve">EI74</t>
  </si>
  <si>
    <t xml:space="preserve">Eisenhauer, Tommy J</t>
  </si>
  <si>
    <t xml:space="preserve">FO55</t>
  </si>
  <si>
    <t xml:space="preserve">Fonseca Teruel, Eduardo</t>
  </si>
  <si>
    <t xml:space="preserve">DR04</t>
  </si>
  <si>
    <t xml:space="preserve">Draves, Steven W</t>
  </si>
  <si>
    <t xml:space="preserve">CH20</t>
  </si>
  <si>
    <t xml:space="preserve">Chevez, Herson G</t>
  </si>
  <si>
    <t xml:space="preserve">RO06</t>
  </si>
  <si>
    <t xml:space="preserve">Roberts, Lake A</t>
  </si>
  <si>
    <t xml:space="preserve">ME53</t>
  </si>
  <si>
    <t xml:space="preserve">Mendoza Morales, Jesus A</t>
  </si>
  <si>
    <t xml:space="preserve">GE71</t>
  </si>
  <si>
    <t xml:space="preserve">Gerard, Mitchell J</t>
  </si>
  <si>
    <t xml:space="preserve">RE18</t>
  </si>
  <si>
    <t xml:space="preserve">Reed, Reuben H</t>
  </si>
  <si>
    <t xml:space="preserve">HU04</t>
  </si>
  <si>
    <t xml:space="preserve">Hubbard, Dustin R</t>
  </si>
  <si>
    <t xml:space="preserve">BA70</t>
  </si>
  <si>
    <t xml:space="preserve">Barnhart, Joseph N</t>
  </si>
  <si>
    <t xml:space="preserve">WA35</t>
  </si>
  <si>
    <t xml:space="preserve">Waites, Thaddeus Z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</si>
  <si>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</si>
  <si>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</si>
  <si>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</si>
  <si>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</si>
  <si>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</si>
  <si>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</si>
  <si>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</si>
  <si>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</si>
  <si>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</si>
  <si>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</si>
  <si>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</si>
  <si>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</si>
  <si>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</si>
  <si>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</si>
  <si>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</si>
  <si>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PA11 Paco Leyva, Orlando (1916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</si>
  <si>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</si>
  <si>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</si>
  <si>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</si>
  <si>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</si>
  <si>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</si>
  <si>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</si>
  <si>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</si>
  <si>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</si>
  <si>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</si>
  <si>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</si>
  <si>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295 units (1855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</si>
  <si>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</si>
  <si>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</si>
  <si>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</si>
  <si>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</si>
  <si>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</si>
  <si>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</si>
  <si>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</si>
  <si>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</si>
  <si>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</si>
  <si>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</si>
  <si>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</si>
  <si>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</si>
  <si>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</si>
  <si>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</si>
  <si>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</si>
  <si>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</si>
  <si>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</si>
  <si>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</si>
  <si>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</si>
  <si>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</si>
  <si>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</si>
  <si>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</si>
  <si>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(295)</t>
  </si>
  <si>
    <t xml:space="preserve">USD</t>
  </si>
  <si>
    <t xml:space="preserve">295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</si>
  <si>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</si>
  <si>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</si>
  <si>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</si>
  <si>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</si>
  <si>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</si>
  <si>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</si>
  <si>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1855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</si>
  <si>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</si>
  <si>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</si>
  <si>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</si>
  <si>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</si>
  <si>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</si>
  <si>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</si>
  <si>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</si>
  <si>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</si>
  <si>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</si>
  <si>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2018-03-23</t>
  </si>
  <si>
    <t xml:space="preserve">Lump Sum Subcontract</t>
  </si>
  <si>
    <t xml:space="preserve">Closed</t>
  </si>
  <si>
    <t xml:space="preserve">Exxel Lynnwood Reserve Rebuild Apartments plumbing (295 units, 7 stories) — per Div 22</t>
  </si>
  <si>
    <t xml:space="preserve">CO-NET</t>
  </si>
  <si>
    <t xml:space="preserve">—</t>
  </si>
  <si>
    <t xml:space="preserve">Change Orders (executed, 9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</si>
  <si>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</si>
  <si>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</si>
  <si>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</si>
  <si>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</si>
  <si>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362 invoices to Exxel. Retainage $149,989.00.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</si>
  <si>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</si>
  <si>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</si>
  <si>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</si>
  <si>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</si>
  <si>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561</t>
  </si>
  <si>
    <t xml:space="preserve">01/18/19</t>
  </si>
  <si>
    <t xml:space="preserve">560</t>
  </si>
  <si>
    <t xml:space="preserve">02/20/19</t>
  </si>
  <si>
    <t xml:space="preserve">676</t>
  </si>
  <si>
    <t xml:space="preserve">03/20/19</t>
  </si>
  <si>
    <t xml:space="preserve">614</t>
  </si>
  <si>
    <t xml:space="preserve">04/19/19</t>
  </si>
  <si>
    <t xml:space="preserve">518</t>
  </si>
  <si>
    <t xml:space="preserve">05/20/19</t>
  </si>
  <si>
    <t xml:space="preserve">06/19/19</t>
  </si>
  <si>
    <t xml:space="preserve">682</t>
  </si>
  <si>
    <t xml:space="preserve">06/20/18</t>
  </si>
  <si>
    <t xml:space="preserve">608</t>
  </si>
  <si>
    <t xml:space="preserve">07/19/19</t>
  </si>
  <si>
    <t xml:space="preserve">531</t>
  </si>
  <si>
    <t xml:space="preserve">07/20/18</t>
  </si>
  <si>
    <t xml:space="preserve">598</t>
  </si>
  <si>
    <t xml:space="preserve">08/20/18</t>
  </si>
  <si>
    <t xml:space="preserve">761</t>
  </si>
  <si>
    <t xml:space="preserve">08/20/19</t>
  </si>
  <si>
    <t xml:space="preserve">446</t>
  </si>
  <si>
    <t xml:space="preserve">09/19/18</t>
  </si>
  <si>
    <t xml:space="preserve">513</t>
  </si>
  <si>
    <t xml:space="preserve">10/19/18</t>
  </si>
  <si>
    <t xml:space="preserve">535</t>
  </si>
  <si>
    <t xml:space="preserve">11/16/18</t>
  </si>
  <si>
    <t xml:space="preserve">195</t>
  </si>
  <si>
    <t xml:space="preserve">12/12/18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</si>
  <si>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</si>
  <si>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</si>
  <si>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</si>
  <si>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</si>
  <si>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</si>
  <si>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</si>
  <si>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</si>
  <si>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</si>
  <si>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$1,467,597.47 on $2,999,780.00 revenue = 48.9% gross margin.</t>
  </si>
  <si>
    <t xml:space="preserve">Verified</t>
  </si>
  <si>
    <t xml:space="preserve">CONTRACT CHANGE</t>
  </si>
  <si>
    <t xml:space="preserve">Original $2,898,965.00 → final $2,999,780.00 = $+100,815.00 net (3.48%) across 9 executed COs.</t>
  </si>
  <si>
    <t xml:space="preserve">2049 Job Detail Report.pdf (Sage Timberline, 04/03/2026) + CO log</t>
  </si>
  <si>
    <t xml:space="preserve">LABOR PROFILE</t>
  </si>
  <si>
    <t xml:space="preserve">Labor cost $568,449.55 (18.9% of rev) across 21,819 hrs and 58 workers. Blended wage $26.05/hr.</t>
  </si>
  <si>
    <t xml:space="preserve">VENDOR CONCENTRATION</t>
  </si>
  <si>
    <t xml:space="preserve">Top 5 AP vendors: ~$487,352.21 (94% of AP). Top vendor: Rosen Supply Kirkland ($177,659.83).</t>
  </si>
  <si>
    <t xml:space="preserve">RETAINAGE</t>
  </si>
  <si>
    <t xml:space="preserve">Retainage $149,989.00 — outstanding as of report date.</t>
  </si>
  <si>
    <t xml:space="preserve">ROUGH-IN SHARE</t>
  </si>
  <si>
    <t xml:space="preserve">Code 120 Roughin Labor = 14,406 hrs (66% of labor hours).</t>
  </si>
  <si>
    <t xml:space="preserve">TOP COST CODE</t>
  </si>
  <si>
    <t xml:space="preserve">Largest actual cost: 120 Roughin Labor = $361,459.35</t>
  </si>
  <si>
    <t xml:space="preserve">WORKER CONCENTRATION</t>
  </si>
  <si>
    <t xml:space="preserve">Top worker Paco Leyva, Orlando = 1,916 hrs (9% of total).</t>
  </si>
  <si>
    <t xml:space="preserve">INSURANCE</t>
  </si>
  <si>
    <t xml:space="preserve">Not Wrap — retail-adjacent mixed-use.</t>
  </si>
  <si>
    <t xml:space="preserve">SCOPE CONTEXT</t>
  </si>
  <si>
    <t xml:space="preserve">Exxel Lynnwood Reserve Rebuild Apartments — 295-unit 7-story midrise (279 standard + 16 Type A ADA) + P1/P2 parking at 5800 Scriber Lake Road, Lynnwood, WA 98036.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</si>
  <si>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</si>
  <si>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</si>
  <si>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</si>
  <si>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</si>
  <si>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</si>
  <si>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</si>
  <si>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</si>
  <si>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</si>
  <si>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</si>
  <si>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</si>
  <si>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</si>
  <si>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</si>
  <si>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Exxel Pacific Reserve at Lynnwood REBUILD (post-construction-defect remediation of 2028 job)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</si>
  <si>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</si>
  <si>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</si>
  <si>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</si>
  <si>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</si>
  <si>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</si>
  <si>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</si>
  <si>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</si>
  <si>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REBUILD / DEFECT REMEDIATION — Post-construction rebuild of the original Reserve at Lynnwood (OWP Job 2028, Exxel project 201506). Re-scope includes: replace PT-deck sleeves, chip-into L1 slab on grade, re-roughin plumbing across BLDG B + BLDG C (5 floors each), re-stock and re-install fiberglass tub/shower stalls, re-roughin hot/cold/return water mains, re-install water heater package (3 HTP Modcon 500V boilers), repair waste/vent/drain piping on basement parking + L1 SOG. Triggered by Exxel CO#11 from original 2028 contract (dated 3/23/18, amount $2,588,665 = the Rebuild scope).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</si>
  <si>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</si>
  <si>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</si>
  <si>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</si>
  <si>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</si>
  <si>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</si>
  <si>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</si>
  <si>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</si>
  <si>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</si>
  <si>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</si>
  <si>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</si>
  <si>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</si>
  <si>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2017-12</t>
  </si>
  <si>
    <t xml:space="preserve">Work End</t>
  </si>
  <si>
    <t xml:space="preserve">end_date</t>
  </si>
  <si>
    <t xml:space="preserve">2019-09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</si>
  <si>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</si>
  <si>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</si>
  <si>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</si>
  <si>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</si>
  <si>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</si>
  <si>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</si>
  <si>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</si>
  <si>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</si>
  <si>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</si>
  <si>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</si>
  <si>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</si>
  <si>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</si>
  <si>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</si>
  <si>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</si>
  <si>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</si>
  <si>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9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</si>
  <si>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</si>
  <si>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</si>
  <si>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</si>
  <si>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</si>
  <si>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</si>
  <si>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</si>
  <si>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</si>
  <si>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</si>
  <si>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</si>
  <si>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</si>
  <si>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</si>
  <si>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</si>
  <si>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</si>
  <si>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</si>
  <si>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</si>
  <si>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</si>
  <si>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</si>
  <si>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</si>
  <si>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</si>
  <si>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</si>
  <si>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</si>
  <si>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</si>
  <si>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</si>
  <si>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</si>
  <si>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</si>
  <si>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</si>
  <si>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</si>
  <si>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</si>
  <si>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</si>
  <si>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</si>
  <si>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</si>
  <si>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</si>
  <si>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</si>
  <si>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</si>
  <si>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</si>
  <si>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</si>
  <si>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</si>
  <si>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</si>
  <si>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</si>
  <si>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</si>
  <si>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</si>
  <si>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</si>
  <si>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</si>
  <si>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</si>
  <si>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</si>
  <si>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</si>
  <si>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</si>
  <si>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</si>
  <si>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</si>
  <si>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</si>
  <si>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</si>
  <si>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</si>
  <si>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</si>
  <si>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</si>
  <si>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</si>
  <si>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</si>
  <si>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</si>
  <si>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</si>
  <si>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</si>
  <si>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</si>
  <si>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</si>
  <si>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</si>
  <si>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</si>
  <si>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</si>
  <si>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</si>
  <si>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</si>
  <si>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</si>
  <si>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</si>
  <si>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</si>
  <si>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</si>
  <si>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</si>
  <si>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</si>
  <si>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</si>
  <si>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</si>
  <si>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</si>
  <si>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</si>
  <si>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</si>
  <si>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</si>
  <si>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</si>
  <si>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</si>
  <si>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</si>
  <si>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</si>
  <si>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</si>
  <si>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</si>
  <si>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</si>
  <si>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</si>
  <si>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</si>
  <si>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</si>
  <si>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</si>
  <si>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</si>
  <si>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</si>
  <si>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</si>
  <si>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</si>
  <si>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</si>
  <si>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</si>
  <si>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</si>
  <si>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9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</si>
  <si>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</si>
  <si>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</si>
  <si>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</si>
  <si>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</si>
  <si>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</si>
  <si>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</si>
  <si>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$2,898,965.00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</si>
  <si>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</si>
  <si>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</si>
  <si>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</si>
  <si>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</si>
  <si>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</si>
  <si>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</si>
  <si>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</si>
  <si>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</si>
  <si>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</si>
  <si>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$149,989.00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</si>
  <si>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</si>
  <si>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</si>
  <si>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</si>
  <si>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</si>
  <si>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</si>
  <si>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</si>
  <si>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</si>
  <si>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</si>
  <si>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</si>
  <si>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$2,898,965 → $2,999,780 (9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</si>
  <si>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</si>
  <si>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</si>
  <si>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</si>
  <si>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</si>
  <si>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17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</si>
  <si>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</si>
  <si>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</si>
  <si>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</si>
  <si>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</si>
  <si>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</si>
  <si>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</si>
  <si>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</si>
  <si>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</si>
  <si>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</si>
  <si>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</si>
  <si>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</si>
  <si>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</si>
  <si>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</si>
  <si>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</si>
  <si>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</si>
  <si>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</si>
  <si>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</si>
  <si>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</si>
  <si>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</si>
  <si>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</si>
  <si>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</si>
  <si>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</si>
  <si>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</si>
  <si>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</si>
  <si>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</si>
  <si>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</si>
  <si>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</si>
  <si>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3.48%</t>
  </si>
  <si>
    <t xml:space="preserve">±10%</t>
  </si>
  <si>
    <t xml:space="preserve">HEALTHY</t>
  </si>
  <si>
    <t xml:space="preserve">+3.48% net (9 COs)</t>
  </si>
  <si>
    <t xml:space="preserve">&lt;30%</t>
  </si>
  <si>
    <t xml:space="preserve">18.9%</t>
  </si>
  <si>
    <t xml:space="preserve">GL Overhead % of Revenue</t>
  </si>
  <si>
    <t xml:space="preserve">&lt;5%</t>
  </si>
  <si>
    <t xml:space="preserve">4.8%</t>
  </si>
  <si>
    <t xml:space="preserve">Vendor Concentration (Top 5)</t>
  </si>
  <si>
    <t xml:space="preserve">&lt;95%</t>
  </si>
  <si>
    <t xml:space="preserve">Top 5 = 94% of AP</t>
  </si>
  <si>
    <t xml:space="preserve">Retainage %</t>
  </si>
  <si>
    <t xml:space="preserve">&lt;10%</t>
  </si>
  <si>
    <t xml:space="preserve">5.0%</t>
  </si>
  <si>
    <t xml:space="preserve">&gt;30%</t>
  </si>
  <si>
    <t xml:space="preserve">48.9%</t>
  </si>
  <si>
    <t xml:space="preserve">Labor Hrs Total</t>
  </si>
  <si>
    <t xml:space="preserve">varies</t>
  </si>
  <si>
    <t xml:space="preserve">INFO</t>
  </si>
  <si>
    <t xml:space="preserve">21,819 hrs, 58 workers</t>
  </si>
  <si>
    <t xml:space="preserve">Worker Concentration (top 1)</t>
  </si>
  <si>
    <t xml:space="preserve">&lt;25%</t>
  </si>
  <si>
    <t xml:space="preserve">8.8% (Paco Leyva, Orlando)</t>
  </si>
  <si>
    <t xml:space="preserve">Rough-in Labor Share</t>
  </si>
  <si>
    <t xml:space="preserve">40-65%</t>
  </si>
  <si>
    <t xml:space="preserve">WATCH</t>
  </si>
  <si>
    <t xml:space="preserve">66%</t>
  </si>
  <si>
    <t xml:space="preserve">Retainage Legacy</t>
  </si>
  <si>
    <t xml:space="preserve">OUTSTANDING</t>
  </si>
  <si>
    <t xml:space="preserve">&lt;90 days post-closeout</t>
  </si>
  <si>
    <t xml:space="preserve">$149,989.00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</si>
  <si>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</si>
  <si>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</si>
  <si>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</si>
  <si>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</si>
  <si>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</si>
  <si>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</si>
  <si>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</si>
  <si>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</si>
  <si>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</si>
  <si>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</si>
  <si>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$10,169/unit rev, $4,975/unit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</si>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</sst>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295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2999780</v>
      </c>
      <c r="D25" s="9" t="n">
        <v>1467597.47</v>
      </c>
      <c r="F25" s="9" t="n">
        <v>1532182.53</v>
      </c>
      <c r="H25" s="10" t="n">
        <v>21819.25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15000</v>
      </c>
      <c r="E6" s="15" t="n">
        <v>15200</v>
      </c>
      <c r="F6" s="9" t="n">
        <v>3977.5</v>
      </c>
      <c r="G6" s="16" t="n">
        <f aca="false">F6-E6</f>
        <v>-11222.5</v>
      </c>
      <c r="H6" s="17" t="n">
        <f aca="false">IF(E6=0,"",F6/E6)</f>
        <v>0.261677631578947</v>
      </c>
      <c r="I6" s="10" t="n">
        <v>77.5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25000</v>
      </c>
      <c r="E7" s="15" t="n">
        <v>25500</v>
      </c>
      <c r="F7" s="9" t="n">
        <v>9262.5</v>
      </c>
      <c r="G7" s="16" t="n">
        <f aca="false">F7-E7</f>
        <v>-16237.5</v>
      </c>
      <c r="H7" s="17" t="n">
        <f aca="false">IF(E7=0,"",F7/E7)</f>
        <v>0.363235294117647</v>
      </c>
      <c r="I7" s="10" t="n">
        <v>165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12900</v>
      </c>
      <c r="E8" s="15" t="n">
        <v>20040</v>
      </c>
      <c r="F8" s="9" t="n">
        <v>12882</v>
      </c>
      <c r="G8" s="16" t="n">
        <f aca="false">F8-E8</f>
        <v>-7158</v>
      </c>
      <c r="H8" s="17" t="n">
        <f aca="false">IF(E8=0,"",F8/E8)</f>
        <v>0.642814371257485</v>
      </c>
      <c r="I8" s="10" t="n">
        <v>436.5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109290</v>
      </c>
      <c r="E9" s="15" t="n">
        <v>109830</v>
      </c>
      <c r="F9" s="9" t="n">
        <v>17823</v>
      </c>
      <c r="G9" s="16" t="n">
        <f aca="false">F9-E9</f>
        <v>-92007</v>
      </c>
      <c r="H9" s="17" t="n">
        <f aca="false">IF(E9=0,"",F9/E9)</f>
        <v>0.162278066102158</v>
      </c>
      <c r="I9" s="10" t="n">
        <v>645.5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404800</v>
      </c>
      <c r="E10" s="15" t="n">
        <v>432470</v>
      </c>
      <c r="F10" s="9" t="n">
        <v>361459.35</v>
      </c>
      <c r="G10" s="16" t="n">
        <f aca="false">F10-E10</f>
        <v>-71010.65</v>
      </c>
      <c r="H10" s="17" t="n">
        <f aca="false">IF(E10=0,"",F10/E10)</f>
        <v>0.835802136564386</v>
      </c>
      <c r="I10" s="10" t="n">
        <v>14406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83990</v>
      </c>
      <c r="E11" s="15" t="n">
        <v>84050</v>
      </c>
      <c r="F11" s="9" t="n">
        <v>83036.25</v>
      </c>
      <c r="G11" s="16" t="n">
        <f aca="false">F11-E11</f>
        <v>-1013.75</v>
      </c>
      <c r="H11" s="17" t="n">
        <f aca="false">IF(E11=0,"",F11/E11)</f>
        <v>0.987938726948245</v>
      </c>
      <c r="I11" s="10" t="n">
        <v>3028.5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14400</v>
      </c>
      <c r="E12" s="15" t="n">
        <v>16200</v>
      </c>
      <c r="F12" s="9" t="n">
        <v>11964.5</v>
      </c>
      <c r="G12" s="16" t="n">
        <f aca="false">F12-E12</f>
        <v>-4235.5</v>
      </c>
      <c r="H12" s="17" t="n">
        <f aca="false">IF(E12=0,"",F12/E12)</f>
        <v>0.738549382716049</v>
      </c>
      <c r="I12" s="10" t="n">
        <v>391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124740</v>
      </c>
      <c r="E13" s="15" t="n">
        <v>124740</v>
      </c>
      <c r="F13" s="9" t="n">
        <v>55727.75</v>
      </c>
      <c r="G13" s="16" t="n">
        <f aca="false">F13-E13</f>
        <v>-69012.25</v>
      </c>
      <c r="H13" s="17" t="n">
        <f aca="false">IF(E13=0,"",F13/E13)</f>
        <v>0.446751242584576</v>
      </c>
      <c r="I13" s="10" t="n">
        <v>2253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20000</v>
      </c>
      <c r="E14" s="15" t="n">
        <v>20880</v>
      </c>
      <c r="F14" s="9" t="n">
        <v>11736.7</v>
      </c>
      <c r="G14" s="16" t="n">
        <f aca="false">F14-E14</f>
        <v>-9143.3</v>
      </c>
      <c r="H14" s="17" t="n">
        <f aca="false">IF(E14=0,"",F14/E14)</f>
        <v>0.562102490421456</v>
      </c>
      <c r="I14" s="10" t="n">
        <v>371.25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0</v>
      </c>
      <c r="E15" s="15" t="n">
        <v>0</v>
      </c>
      <c r="F15" s="9" t="n">
        <v>530</v>
      </c>
      <c r="G15" s="16" t="n">
        <f aca="false">F15-E15</f>
        <v>530</v>
      </c>
      <c r="H15" s="17" t="str">
        <f aca="false">IF(E15=0,"",F15/E15)</f>
        <v/>
      </c>
      <c r="I15" s="10" t="n">
        <v>16</v>
      </c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0</v>
      </c>
      <c r="E16" s="15" t="n">
        <v>0</v>
      </c>
      <c r="F16" s="9" t="n">
        <v>50</v>
      </c>
      <c r="G16" s="16" t="n">
        <f aca="false">F16-E16</f>
        <v>50</v>
      </c>
      <c r="H16" s="17" t="str">
        <f aca="false">IF(E16=0,"",F16/E16)</f>
        <v/>
      </c>
      <c r="I16" s="10" t="n">
        <v>1</v>
      </c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2600</v>
      </c>
      <c r="E17" s="15" t="n">
        <v>8465</v>
      </c>
      <c r="F17" s="9" t="n">
        <v>3633.46</v>
      </c>
      <c r="G17" s="16" t="n">
        <f aca="false">F17-E17</f>
        <v>-4831.54</v>
      </c>
      <c r="H17" s="17" t="n">
        <f aca="false">IF(E17=0,"",F17/E17)</f>
        <v>0.429233313644418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63000</v>
      </c>
      <c r="E18" s="15" t="n">
        <v>63600</v>
      </c>
      <c r="F18" s="9" t="n">
        <v>3799.24</v>
      </c>
      <c r="G18" s="16" t="n">
        <f aca="false">F18-E18</f>
        <v>-59800.76</v>
      </c>
      <c r="H18" s="17" t="n">
        <f aca="false">IF(E18=0,"",F18/E18)</f>
        <v>0.0597364779874214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7000</v>
      </c>
      <c r="E19" s="15" t="n">
        <v>7000</v>
      </c>
      <c r="F19" s="9" t="n">
        <v>74.33</v>
      </c>
      <c r="G19" s="16" t="n">
        <f aca="false">F19-E19</f>
        <v>-6925.67</v>
      </c>
      <c r="H19" s="17" t="n">
        <f aca="false">IF(E19=0,"",F19/E19)</f>
        <v>0.0106185714285714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96000</v>
      </c>
      <c r="E20" s="15" t="n">
        <v>96762</v>
      </c>
      <c r="F20" s="9" t="n">
        <v>140166.18</v>
      </c>
      <c r="G20" s="16" t="n">
        <f aca="false">F20-E20</f>
        <v>43404.18</v>
      </c>
      <c r="H20" s="17" t="n">
        <f aca="false">IF(E20=0,"",F20/E20)</f>
        <v>1.4485663793638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334600</v>
      </c>
      <c r="E21" s="15" t="n">
        <v>347595</v>
      </c>
      <c r="F21" s="9" t="n">
        <v>335404.06</v>
      </c>
      <c r="G21" s="16" t="n">
        <f aca="false">F21-E21</f>
        <v>-12190.94</v>
      </c>
      <c r="H21" s="17" t="n">
        <f aca="false">IF(E21=0,"",F21/E21)</f>
        <v>0.964927746371496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6000</v>
      </c>
      <c r="E22" s="15" t="n">
        <v>7500</v>
      </c>
      <c r="F22" s="9" t="n">
        <v>11428.68</v>
      </c>
      <c r="G22" s="16" t="n">
        <f aca="false">F22-E22</f>
        <v>3928.68</v>
      </c>
      <c r="H22" s="17" t="n">
        <f aca="false">IF(E22=0,"",F22/E22)</f>
        <v>1.523824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127400</v>
      </c>
      <c r="E23" s="15" t="n">
        <v>127400</v>
      </c>
      <c r="F23" s="9" t="n">
        <v>96552.88</v>
      </c>
      <c r="G23" s="16" t="n">
        <f aca="false">F23-E23</f>
        <v>-30847.12</v>
      </c>
      <c r="H23" s="17" t="n">
        <f aca="false">IF(E23=0,"",F23/E23)</f>
        <v>0.757871899529042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33200</v>
      </c>
      <c r="E24" s="15" t="n">
        <v>33500</v>
      </c>
      <c r="F24" s="9" t="n">
        <v>27383.35</v>
      </c>
      <c r="G24" s="16" t="n">
        <f aca="false">F24-E24</f>
        <v>-6116.65</v>
      </c>
      <c r="H24" s="17" t="n">
        <f aca="false">IF(E24=0,"",F24/E24)</f>
        <v>0.817413432835821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0</v>
      </c>
      <c r="E25" s="15" t="n">
        <v>0</v>
      </c>
      <c r="F25" s="9" t="n">
        <v>0</v>
      </c>
      <c r="G25" s="16" t="n">
        <f aca="false">F25-E25</f>
        <v>0</v>
      </c>
      <c r="H25" s="17" t="str">
        <f aca="false">IF(E25=0,"",F25/E25)</f>
        <v/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5000</v>
      </c>
      <c r="E26" s="15" t="n">
        <v>6200</v>
      </c>
      <c r="F26" s="9" t="n">
        <v>22111.5</v>
      </c>
      <c r="G26" s="16" t="n">
        <f aca="false">F26-E26</f>
        <v>15911.5</v>
      </c>
      <c r="H26" s="17" t="n">
        <f aca="false">IF(E26=0,"",F26/E26)</f>
        <v>3.56637096774194</v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4000</v>
      </c>
      <c r="E27" s="15" t="n">
        <v>5000</v>
      </c>
      <c r="F27" s="9" t="n">
        <v>103</v>
      </c>
      <c r="G27" s="16" t="n">
        <f aca="false">F27-E27</f>
        <v>-4897</v>
      </c>
      <c r="H27" s="17" t="n">
        <f aca="false">IF(E27=0,"",F27/E27)</f>
        <v>0.0206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10250</v>
      </c>
      <c r="E28" s="15" t="n">
        <v>10250</v>
      </c>
      <c r="F28" s="9" t="n">
        <v>3071.92</v>
      </c>
      <c r="G28" s="16" t="n">
        <f aca="false">F28-E28</f>
        <v>-7178.08</v>
      </c>
      <c r="H28" s="17" t="n">
        <f aca="false">IF(E28=0,"",F28/E28)</f>
        <v>0.299699512195122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24000</v>
      </c>
      <c r="E29" s="15" t="n">
        <v>25500</v>
      </c>
      <c r="F29" s="9" t="n">
        <v>20155.02</v>
      </c>
      <c r="G29" s="16" t="n">
        <f aca="false">F29-E29</f>
        <v>-5344.98</v>
      </c>
      <c r="H29" s="17" t="n">
        <f aca="false">IF(E29=0,"",F29/E29)</f>
        <v>0.790392941176471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10000</v>
      </c>
      <c r="E30" s="15" t="n">
        <v>10000</v>
      </c>
      <c r="F30" s="9" t="n">
        <v>2750</v>
      </c>
      <c r="G30" s="16" t="n">
        <f aca="false">F30-E30</f>
        <v>-7250</v>
      </c>
      <c r="H30" s="17" t="n">
        <f aca="false">IF(E30=0,"",F30/E30)</f>
        <v>0.275</v>
      </c>
      <c r="I30" s="11"/>
      <c r="J30" s="11" t="s">
        <v>5</v>
      </c>
    </row>
    <row r="31" customFormat="false" ht="15" hidden="false" customHeight="false" outlineLevel="0" collapsed="false">
      <c r="B31" s="11" t="s">
        <v>138</v>
      </c>
      <c r="C31" s="11" t="s">
        <v>139</v>
      </c>
      <c r="D31" s="15" t="n">
        <v>370110.42</v>
      </c>
      <c r="E31" s="15" t="n">
        <v>387565.92</v>
      </c>
      <c r="F31" s="9" t="n">
        <v>253391.18</v>
      </c>
      <c r="G31" s="16" t="n">
        <f aca="false">F31-E31</f>
        <v>-134174.74</v>
      </c>
      <c r="H31" s="17" t="n">
        <f aca="false">IF(E31=0,"",F31/E31)</f>
        <v>0.653801500400242</v>
      </c>
      <c r="I31" s="11"/>
      <c r="J31" s="11" t="s">
        <v>5</v>
      </c>
    </row>
    <row r="32" customFormat="false" ht="15" hidden="false" customHeight="false" outlineLevel="0" collapsed="false">
      <c r="B32" s="11" t="s">
        <v>140</v>
      </c>
      <c r="C32" s="11" t="s">
        <v>141</v>
      </c>
      <c r="D32" s="15" t="n">
        <v>62433.18</v>
      </c>
      <c r="E32" s="15" t="n">
        <v>65400.62</v>
      </c>
      <c r="F32" s="9" t="n">
        <v>43708.18</v>
      </c>
      <c r="G32" s="16" t="n">
        <f aca="false">F32-E32</f>
        <v>-21692.44</v>
      </c>
      <c r="H32" s="17" t="n">
        <f aca="false">IF(E32=0,"",F32/E32)</f>
        <v>0.668314459404207</v>
      </c>
      <c r="I32" s="11"/>
      <c r="J32" s="11" t="s">
        <v>5</v>
      </c>
    </row>
    <row r="33" customFormat="false" ht="15" hidden="false" customHeight="false" outlineLevel="0" collapsed="false">
      <c r="B33" s="11" t="s">
        <v>142</v>
      </c>
      <c r="C33" s="11" t="s">
        <v>143</v>
      </c>
      <c r="D33" s="15" t="n">
        <v>-2898965</v>
      </c>
      <c r="E33" s="15" t="n">
        <v>-2999780</v>
      </c>
      <c r="F33" s="9" t="n">
        <v>-2999780</v>
      </c>
      <c r="G33" s="16" t="n">
        <f aca="false">F33-E33</f>
        <v>0</v>
      </c>
      <c r="H33" s="17" t="n">
        <f aca="false">IF(E33=0,"",F33/E33)</f>
        <v>1</v>
      </c>
      <c r="I33" s="11"/>
      <c r="J33" s="11" t="s">
        <v>5</v>
      </c>
    </row>
    <row r="34" customFormat="false" ht="15" hidden="false" customHeight="false" outlineLevel="0" collapsed="false">
      <c r="B34" s="18" t="s">
        <v>144</v>
      </c>
      <c r="D34" s="19" t="n">
        <f aca="false">SUM(D6:D33)</f>
        <v>-933251.4</v>
      </c>
      <c r="E34" s="19" t="n">
        <f aca="false">SUM(E6:E33)</f>
        <v>-949131.46</v>
      </c>
      <c r="F34" s="20" t="n">
        <f aca="false">SUM(F6:F33)</f>
        <v>-1467597.47</v>
      </c>
      <c r="G34" s="16" t="n">
        <f aca="false">F34-E34</f>
        <v>-518466.01</v>
      </c>
      <c r="I34" s="21" t="n">
        <f aca="false">SUM(I6:I33)</f>
        <v>21791.25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145</v>
      </c>
    </row>
    <row r="3" customFormat="false" ht="21.75" hidden="false" customHeight="true" outlineLevel="0" collapsed="false">
      <c r="B3" s="2" t="s">
        <v>146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147</v>
      </c>
      <c r="C5" s="3" t="s">
        <v>148</v>
      </c>
      <c r="D5" s="3" t="s">
        <v>149</v>
      </c>
      <c r="E5" s="3" t="s">
        <v>150</v>
      </c>
      <c r="F5" s="3" t="s">
        <v>151</v>
      </c>
      <c r="G5" s="3" t="s">
        <v>87</v>
      </c>
    </row>
    <row r="6" customFormat="false" ht="15" hidden="false" customHeight="false" outlineLevel="0" collapsed="false">
      <c r="B6" s="11" t="s">
        <v>152</v>
      </c>
      <c r="C6" s="11" t="s">
        <v>153</v>
      </c>
      <c r="D6" s="9" t="n">
        <v>568449.55</v>
      </c>
      <c r="E6" s="17" t="n">
        <f aca="false">D6/$D$11</f>
        <v>0.371006416578839</v>
      </c>
      <c r="F6" s="17" t="n">
        <f aca="false">D6/2999780</f>
        <v>0.189497079785851</v>
      </c>
      <c r="G6" s="11" t="s">
        <v>5</v>
      </c>
    </row>
    <row r="7" customFormat="false" ht="15" hidden="false" customHeight="false" outlineLevel="0" collapsed="false">
      <c r="B7" s="11" t="s">
        <v>154</v>
      </c>
      <c r="C7" s="11" t="s">
        <v>155</v>
      </c>
      <c r="D7" s="9" t="n">
        <v>618442.18</v>
      </c>
      <c r="E7" s="17" t="n">
        <f aca="false">D7/$D$11</f>
        <v>0.403634794086838</v>
      </c>
      <c r="F7" s="17" t="n">
        <f aca="false">D7/2999780</f>
        <v>0.206162511917541</v>
      </c>
      <c r="G7" s="11" t="s">
        <v>5</v>
      </c>
    </row>
    <row r="8" customFormat="false" ht="15" hidden="false" customHeight="false" outlineLevel="0" collapsed="false">
      <c r="B8" s="11" t="s">
        <v>156</v>
      </c>
      <c r="C8" s="11" t="s">
        <v>157</v>
      </c>
      <c r="D8" s="9" t="n">
        <v>48191.44</v>
      </c>
      <c r="E8" s="17" t="n">
        <f aca="false">D8/$D$11</f>
        <v>0.0314528060830977</v>
      </c>
      <c r="F8" s="17" t="n">
        <f aca="false">D8/2999780</f>
        <v>0.0160649914327051</v>
      </c>
      <c r="G8" s="11" t="s">
        <v>5</v>
      </c>
    </row>
    <row r="9" customFormat="false" ht="15" hidden="false" customHeight="false" outlineLevel="0" collapsed="false">
      <c r="B9" s="11" t="s">
        <v>139</v>
      </c>
      <c r="C9" s="11" t="s">
        <v>138</v>
      </c>
      <c r="D9" s="9" t="n">
        <v>253391.18</v>
      </c>
      <c r="E9" s="17" t="n">
        <f aca="false">D9/$D$11</f>
        <v>0.165379238464493</v>
      </c>
      <c r="F9" s="17" t="n">
        <f aca="false">D9/2999780</f>
        <v>0.0844699211275494</v>
      </c>
      <c r="G9" s="11" t="s">
        <v>5</v>
      </c>
    </row>
    <row r="10" customFormat="false" ht="15" hidden="false" customHeight="false" outlineLevel="0" collapsed="false">
      <c r="B10" s="11" t="s">
        <v>141</v>
      </c>
      <c r="C10" s="11" t="s">
        <v>140</v>
      </c>
      <c r="D10" s="9" t="n">
        <v>43708.18</v>
      </c>
      <c r="E10" s="17" t="n">
        <f aca="false">D10/$D$11</f>
        <v>0.0285267447867324</v>
      </c>
      <c r="F10" s="17" t="n">
        <f aca="false">D10/2999780</f>
        <v>0.0145704618338678</v>
      </c>
      <c r="G10" s="11" t="s">
        <v>5</v>
      </c>
    </row>
    <row r="11" customFormat="false" ht="15" hidden="false" customHeight="false" outlineLevel="0" collapsed="false">
      <c r="B11" s="18" t="s">
        <v>158</v>
      </c>
      <c r="D11" s="20" t="n">
        <f aca="false">SUM(D6:D10)</f>
        <v>1532182.53</v>
      </c>
      <c r="E11" s="17" t="n">
        <v>1</v>
      </c>
      <c r="F11" s="17" t="n">
        <f aca="false">D11/2999780</f>
        <v>0.510764966097514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159</v>
      </c>
    </row>
    <row r="3" customFormat="false" ht="21.75" hidden="false" customHeight="true" outlineLevel="0" collapsed="false">
      <c r="B3" s="2" t="s">
        <v>160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87</v>
      </c>
    </row>
    <row r="6" customFormat="false" ht="15" hidden="false" customHeight="false" outlineLevel="0" collapsed="false">
      <c r="B6" s="11" t="s">
        <v>166</v>
      </c>
      <c r="C6" s="11" t="s">
        <v>167</v>
      </c>
      <c r="D6" s="9" t="n">
        <v>177659.83</v>
      </c>
      <c r="E6" s="22" t="n">
        <v>183</v>
      </c>
      <c r="F6" s="11" t="s">
        <v>168</v>
      </c>
      <c r="G6" s="11" t="s">
        <v>5</v>
      </c>
    </row>
    <row r="7" customFormat="false" ht="15" hidden="false" customHeight="false" outlineLevel="0" collapsed="false">
      <c r="B7" s="11" t="s">
        <v>169</v>
      </c>
      <c r="C7" s="11" t="s">
        <v>170</v>
      </c>
      <c r="D7" s="9" t="n">
        <v>125346.97</v>
      </c>
      <c r="E7" s="22" t="n">
        <v>63</v>
      </c>
      <c r="F7" s="11" t="s">
        <v>168</v>
      </c>
      <c r="G7" s="11" t="s">
        <v>5</v>
      </c>
    </row>
    <row r="8" customFormat="false" ht="15" hidden="false" customHeight="false" outlineLevel="0" collapsed="false">
      <c r="B8" s="11" t="s">
        <v>171</v>
      </c>
      <c r="C8" s="11" t="s">
        <v>172</v>
      </c>
      <c r="D8" s="9" t="n">
        <v>103120.85</v>
      </c>
      <c r="E8" s="22" t="n">
        <v>45</v>
      </c>
      <c r="F8" s="11" t="s">
        <v>168</v>
      </c>
      <c r="G8" s="11" t="s">
        <v>5</v>
      </c>
    </row>
    <row r="9" customFormat="false" ht="15" hidden="false" customHeight="false" outlineLevel="0" collapsed="false">
      <c r="B9" s="11" t="s">
        <v>173</v>
      </c>
      <c r="C9" s="11" t="s">
        <v>174</v>
      </c>
      <c r="D9" s="9" t="n">
        <v>49315.84</v>
      </c>
      <c r="E9" s="22" t="n">
        <v>2</v>
      </c>
      <c r="F9" s="11" t="s">
        <v>168</v>
      </c>
      <c r="G9" s="11" t="s">
        <v>5</v>
      </c>
    </row>
    <row r="10" customFormat="false" ht="15" hidden="false" customHeight="false" outlineLevel="0" collapsed="false">
      <c r="B10" s="11" t="s">
        <v>175</v>
      </c>
      <c r="C10" s="11" t="s">
        <v>176</v>
      </c>
      <c r="D10" s="9" t="n">
        <v>31908.72</v>
      </c>
      <c r="E10" s="22" t="n">
        <v>42</v>
      </c>
      <c r="F10" s="11" t="s">
        <v>168</v>
      </c>
      <c r="G10" s="11" t="s">
        <v>5</v>
      </c>
    </row>
    <row r="11" customFormat="false" ht="15" hidden="false" customHeight="false" outlineLevel="0" collapsed="false">
      <c r="B11" s="11" t="s">
        <v>177</v>
      </c>
      <c r="C11" s="11" t="s">
        <v>178</v>
      </c>
      <c r="D11" s="9" t="n">
        <v>16675</v>
      </c>
      <c r="E11" s="22" t="n">
        <v>2</v>
      </c>
      <c r="F11" s="11" t="s">
        <v>179</v>
      </c>
      <c r="G11" s="11" t="s">
        <v>5</v>
      </c>
    </row>
    <row r="12" customFormat="false" ht="15" hidden="false" customHeight="false" outlineLevel="0" collapsed="false">
      <c r="B12" s="11" t="s">
        <v>180</v>
      </c>
      <c r="C12" s="11" t="s">
        <v>181</v>
      </c>
      <c r="D12" s="9" t="n">
        <v>4187.5</v>
      </c>
      <c r="E12" s="22" t="n">
        <v>1</v>
      </c>
      <c r="F12" s="11" t="s">
        <v>179</v>
      </c>
      <c r="G12" s="11" t="s">
        <v>5</v>
      </c>
    </row>
    <row r="13" customFormat="false" ht="15" hidden="false" customHeight="false" outlineLevel="0" collapsed="false">
      <c r="B13" s="11" t="s">
        <v>182</v>
      </c>
      <c r="C13" s="11" t="s">
        <v>183</v>
      </c>
      <c r="D13" s="9" t="n">
        <v>3875</v>
      </c>
      <c r="E13" s="22" t="n">
        <v>3</v>
      </c>
      <c r="F13" s="11" t="s">
        <v>168</v>
      </c>
      <c r="G13" s="11" t="s">
        <v>5</v>
      </c>
    </row>
    <row r="14" customFormat="false" ht="15" hidden="false" customHeight="false" outlineLevel="0" collapsed="false">
      <c r="B14" s="11" t="s">
        <v>184</v>
      </c>
      <c r="C14" s="11" t="s">
        <v>185</v>
      </c>
      <c r="D14" s="9" t="n">
        <v>3078.97</v>
      </c>
      <c r="E14" s="22" t="n">
        <v>7</v>
      </c>
      <c r="F14" s="11" t="s">
        <v>168</v>
      </c>
      <c r="G14" s="11" t="s">
        <v>5</v>
      </c>
    </row>
    <row r="15" customFormat="false" ht="15" hidden="false" customHeight="false" outlineLevel="0" collapsed="false">
      <c r="B15" s="11" t="s">
        <v>186</v>
      </c>
      <c r="C15" s="11" t="s">
        <v>187</v>
      </c>
      <c r="D15" s="9" t="n">
        <v>2978.42</v>
      </c>
      <c r="E15" s="22" t="n">
        <v>7</v>
      </c>
      <c r="F15" s="11" t="s">
        <v>179</v>
      </c>
      <c r="G15" s="11" t="s">
        <v>5</v>
      </c>
    </row>
    <row r="16" customFormat="false" ht="15" hidden="false" customHeight="false" outlineLevel="0" collapsed="false">
      <c r="B16" s="11" t="s">
        <v>188</v>
      </c>
      <c r="C16" s="11" t="s">
        <v>189</v>
      </c>
      <c r="D16" s="9" t="n">
        <v>984</v>
      </c>
      <c r="E16" s="22" t="n">
        <v>1</v>
      </c>
      <c r="F16" s="11" t="s">
        <v>179</v>
      </c>
      <c r="G16" s="11" t="s">
        <v>5</v>
      </c>
    </row>
    <row r="17" customFormat="false" ht="15" hidden="false" customHeight="false" outlineLevel="0" collapsed="false">
      <c r="B17" s="11" t="s">
        <v>190</v>
      </c>
      <c r="C17" s="11" t="s">
        <v>191</v>
      </c>
      <c r="D17" s="9" t="n">
        <v>531.75</v>
      </c>
      <c r="E17" s="22" t="n">
        <v>8</v>
      </c>
      <c r="F17" s="11" t="s">
        <v>192</v>
      </c>
      <c r="G17" s="11" t="s">
        <v>5</v>
      </c>
    </row>
    <row r="18" customFormat="false" ht="15" hidden="false" customHeight="false" outlineLevel="0" collapsed="false">
      <c r="B18" s="11" t="s">
        <v>193</v>
      </c>
      <c r="C18" s="11" t="s">
        <v>194</v>
      </c>
      <c r="D18" s="9" t="n">
        <v>451.36</v>
      </c>
      <c r="E18" s="22" t="n">
        <v>4</v>
      </c>
      <c r="F18" s="11" t="s">
        <v>168</v>
      </c>
      <c r="G18" s="11" t="s">
        <v>5</v>
      </c>
    </row>
    <row r="19" customFormat="false" ht="15" hidden="false" customHeight="false" outlineLevel="0" collapsed="false">
      <c r="B19" s="11" t="s">
        <v>195</v>
      </c>
      <c r="C19" s="11" t="s">
        <v>196</v>
      </c>
      <c r="D19" s="9" t="n">
        <v>265</v>
      </c>
      <c r="E19" s="22" t="n">
        <v>3</v>
      </c>
      <c r="F19" s="11" t="s">
        <v>197</v>
      </c>
      <c r="G19" s="11" t="s">
        <v>5</v>
      </c>
    </row>
    <row r="20" customFormat="false" ht="15" hidden="false" customHeight="false" outlineLevel="0" collapsed="false">
      <c r="B20" s="11" t="s">
        <v>198</v>
      </c>
      <c r="C20" s="11" t="s">
        <v>199</v>
      </c>
      <c r="D20" s="9" t="n">
        <v>169.87</v>
      </c>
      <c r="E20" s="22" t="n">
        <v>2</v>
      </c>
      <c r="F20" s="11" t="s">
        <v>179</v>
      </c>
      <c r="G20" s="11" t="s">
        <v>5</v>
      </c>
    </row>
    <row r="21" customFormat="false" ht="15" hidden="false" customHeight="false" outlineLevel="0" collapsed="false">
      <c r="B21" s="11" t="s">
        <v>200</v>
      </c>
      <c r="C21" s="11" t="s">
        <v>201</v>
      </c>
      <c r="D21" s="9" t="n">
        <v>103</v>
      </c>
      <c r="E21" s="22" t="n">
        <v>1</v>
      </c>
      <c r="F21" s="11" t="s">
        <v>202</v>
      </c>
      <c r="G21" s="11" t="s">
        <v>5</v>
      </c>
    </row>
    <row r="22" customFormat="false" ht="15" hidden="false" customHeight="false" outlineLevel="0" collapsed="false">
      <c r="B22" s="11" t="s">
        <v>203</v>
      </c>
      <c r="C22" s="11" t="s">
        <v>204</v>
      </c>
      <c r="D22" s="9" t="n">
        <v>93.5</v>
      </c>
      <c r="E22" s="22" t="n">
        <v>1</v>
      </c>
      <c r="F22" s="11" t="s">
        <v>179</v>
      </c>
      <c r="G22" s="11" t="s">
        <v>5</v>
      </c>
    </row>
    <row r="23" customFormat="false" ht="15" hidden="false" customHeight="false" outlineLevel="0" collapsed="false">
      <c r="B23" s="18" t="s">
        <v>144</v>
      </c>
      <c r="D23" s="20" t="n">
        <f aca="false">SUM(D6:D22)</f>
        <v>520745.58</v>
      </c>
      <c r="E23" s="23" t="n">
        <f aca="false">SUM(E6:E22)</f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205</v>
      </c>
    </row>
    <row r="3" customFormat="false" ht="21.75" hidden="false" customHeight="true" outlineLevel="0" collapsed="false">
      <c r="B3" s="2" t="s">
        <v>206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207</v>
      </c>
      <c r="C5" s="3" t="s">
        <v>208</v>
      </c>
      <c r="D5" s="3" t="s">
        <v>209</v>
      </c>
      <c r="E5" s="3" t="s">
        <v>210</v>
      </c>
      <c r="F5" s="3" t="s">
        <v>211</v>
      </c>
      <c r="G5" s="3" t="s">
        <v>212</v>
      </c>
      <c r="H5" s="3" t="s">
        <v>87</v>
      </c>
    </row>
    <row r="6" customFormat="false" ht="15" hidden="false" customHeight="false" outlineLevel="0" collapsed="false">
      <c r="B6" s="11" t="s">
        <v>213</v>
      </c>
      <c r="C6" s="11" t="s">
        <v>214</v>
      </c>
      <c r="D6" s="10" t="n">
        <v>1916</v>
      </c>
      <c r="E6" s="9" t="n">
        <v>71217.25</v>
      </c>
      <c r="F6" s="20" t="n">
        <f aca="false">IF(D6=0,0,E6/D6)</f>
        <v>37.169754697286</v>
      </c>
      <c r="G6" s="22" t="n">
        <v>65</v>
      </c>
      <c r="H6" s="11" t="s">
        <v>5</v>
      </c>
    </row>
    <row r="7" customFormat="false" ht="15" hidden="false" customHeight="false" outlineLevel="0" collapsed="false">
      <c r="B7" s="11" t="s">
        <v>215</v>
      </c>
      <c r="C7" s="11" t="s">
        <v>216</v>
      </c>
      <c r="D7" s="10" t="n">
        <v>1875.5</v>
      </c>
      <c r="E7" s="9" t="n">
        <v>43104.5</v>
      </c>
      <c r="F7" s="20" t="n">
        <f aca="false">IF(D7=0,0,E7/D7)</f>
        <v>22.9829378832311</v>
      </c>
      <c r="G7" s="22" t="n">
        <v>52</v>
      </c>
      <c r="H7" s="11" t="s">
        <v>5</v>
      </c>
    </row>
    <row r="8" customFormat="false" ht="15" hidden="false" customHeight="false" outlineLevel="0" collapsed="false">
      <c r="B8" s="11" t="s">
        <v>217</v>
      </c>
      <c r="C8" s="11" t="s">
        <v>218</v>
      </c>
      <c r="D8" s="10" t="n">
        <v>1732</v>
      </c>
      <c r="E8" s="9" t="n">
        <v>34600</v>
      </c>
      <c r="F8" s="20" t="n">
        <f aca="false">IF(D8=0,0,E8/D8)</f>
        <v>19.9769053117783</v>
      </c>
      <c r="G8" s="22" t="n">
        <v>43</v>
      </c>
      <c r="H8" s="11" t="s">
        <v>5</v>
      </c>
    </row>
    <row r="9" customFormat="false" ht="15" hidden="false" customHeight="false" outlineLevel="0" collapsed="false">
      <c r="B9" s="11" t="s">
        <v>219</v>
      </c>
      <c r="C9" s="11" t="s">
        <v>220</v>
      </c>
      <c r="D9" s="10" t="n">
        <v>1459.5</v>
      </c>
      <c r="E9" s="9" t="n">
        <v>43995.25</v>
      </c>
      <c r="F9" s="20" t="n">
        <f aca="false">IF(D9=0,0,E9/D9)</f>
        <v>30.1440561836245</v>
      </c>
      <c r="G9" s="22" t="n">
        <v>40</v>
      </c>
      <c r="H9" s="11" t="s">
        <v>5</v>
      </c>
    </row>
    <row r="10" customFormat="false" ht="15" hidden="false" customHeight="false" outlineLevel="0" collapsed="false">
      <c r="B10" s="11" t="s">
        <v>221</v>
      </c>
      <c r="C10" s="11" t="s">
        <v>222</v>
      </c>
      <c r="D10" s="10" t="n">
        <v>1419</v>
      </c>
      <c r="E10" s="9" t="n">
        <v>33236.5</v>
      </c>
      <c r="F10" s="20" t="n">
        <f aca="false">IF(D10=0,0,E10/D10)</f>
        <v>23.422480620155</v>
      </c>
      <c r="G10" s="22" t="n">
        <v>46</v>
      </c>
      <c r="H10" s="11" t="s">
        <v>5</v>
      </c>
    </row>
    <row r="11" customFormat="false" ht="15" hidden="false" customHeight="false" outlineLevel="0" collapsed="false">
      <c r="B11" s="11" t="s">
        <v>223</v>
      </c>
      <c r="C11" s="11" t="s">
        <v>224</v>
      </c>
      <c r="D11" s="10" t="n">
        <v>1263</v>
      </c>
      <c r="E11" s="9" t="n">
        <v>27271</v>
      </c>
      <c r="F11" s="20" t="n">
        <f aca="false">IF(D11=0,0,E11/D11)</f>
        <v>21.5922406967538</v>
      </c>
      <c r="G11" s="22" t="n">
        <v>33</v>
      </c>
      <c r="H11" s="11" t="s">
        <v>5</v>
      </c>
    </row>
    <row r="12" customFormat="false" ht="15" hidden="false" customHeight="false" outlineLevel="0" collapsed="false">
      <c r="B12" s="11" t="s">
        <v>225</v>
      </c>
      <c r="C12" s="11" t="s">
        <v>226</v>
      </c>
      <c r="D12" s="10" t="n">
        <v>1161.5</v>
      </c>
      <c r="E12" s="9" t="n">
        <v>23262</v>
      </c>
      <c r="F12" s="20" t="n">
        <f aca="false">IF(D12=0,0,E12/D12)</f>
        <v>20.0275505811451</v>
      </c>
      <c r="G12" s="22" t="n">
        <v>33</v>
      </c>
      <c r="H12" s="11" t="s">
        <v>5</v>
      </c>
    </row>
    <row r="13" customFormat="false" ht="15" hidden="false" customHeight="false" outlineLevel="0" collapsed="false">
      <c r="B13" s="11" t="s">
        <v>227</v>
      </c>
      <c r="C13" s="11" t="s">
        <v>228</v>
      </c>
      <c r="D13" s="10" t="n">
        <v>1011</v>
      </c>
      <c r="E13" s="9" t="n">
        <v>23775</v>
      </c>
      <c r="F13" s="20" t="n">
        <f aca="false">IF(D13=0,0,E13/D13)</f>
        <v>23.5163204747774</v>
      </c>
      <c r="G13" s="22" t="n">
        <v>29</v>
      </c>
      <c r="H13" s="11" t="s">
        <v>5</v>
      </c>
    </row>
    <row r="14" customFormat="false" ht="15" hidden="false" customHeight="false" outlineLevel="0" collapsed="false">
      <c r="B14" s="11" t="s">
        <v>229</v>
      </c>
      <c r="C14" s="11" t="s">
        <v>230</v>
      </c>
      <c r="D14" s="10" t="n">
        <v>972</v>
      </c>
      <c r="E14" s="9" t="n">
        <v>34554</v>
      </c>
      <c r="F14" s="20" t="n">
        <f aca="false">IF(D14=0,0,E14/D14)</f>
        <v>35.5493827160494</v>
      </c>
      <c r="G14" s="22" t="n">
        <v>32</v>
      </c>
      <c r="H14" s="11" t="s">
        <v>5</v>
      </c>
    </row>
    <row r="15" customFormat="false" ht="15" hidden="false" customHeight="false" outlineLevel="0" collapsed="false">
      <c r="B15" s="11" t="s">
        <v>231</v>
      </c>
      <c r="C15" s="11" t="s">
        <v>232</v>
      </c>
      <c r="D15" s="10" t="n">
        <v>967</v>
      </c>
      <c r="E15" s="9" t="n">
        <v>18878.5</v>
      </c>
      <c r="F15" s="20" t="n">
        <f aca="false">IF(D15=0,0,E15/D15)</f>
        <v>19.5227507755946</v>
      </c>
      <c r="G15" s="22" t="n">
        <v>28</v>
      </c>
      <c r="H15" s="11" t="s">
        <v>5</v>
      </c>
    </row>
    <row r="16" customFormat="false" ht="15" hidden="false" customHeight="false" outlineLevel="0" collapsed="false">
      <c r="B16" s="11" t="s">
        <v>233</v>
      </c>
      <c r="C16" s="11" t="s">
        <v>234</v>
      </c>
      <c r="D16" s="10" t="n">
        <v>902</v>
      </c>
      <c r="E16" s="9" t="n">
        <v>30099</v>
      </c>
      <c r="F16" s="20" t="n">
        <f aca="false">IF(D16=0,0,E16/D16)</f>
        <v>33.3691796008869</v>
      </c>
      <c r="G16" s="22" t="n">
        <v>24</v>
      </c>
      <c r="H16" s="11" t="s">
        <v>5</v>
      </c>
    </row>
    <row r="17" customFormat="false" ht="15" hidden="false" customHeight="false" outlineLevel="0" collapsed="false">
      <c r="B17" s="11" t="s">
        <v>235</v>
      </c>
      <c r="C17" s="11" t="s">
        <v>236</v>
      </c>
      <c r="D17" s="10" t="n">
        <v>691</v>
      </c>
      <c r="E17" s="9" t="n">
        <v>19376</v>
      </c>
      <c r="F17" s="20" t="n">
        <f aca="false">IF(D17=0,0,E17/D17)</f>
        <v>28.040520984081</v>
      </c>
      <c r="G17" s="22" t="n">
        <v>20</v>
      </c>
      <c r="H17" s="11" t="s">
        <v>5</v>
      </c>
    </row>
    <row r="18" customFormat="false" ht="15" hidden="false" customHeight="false" outlineLevel="0" collapsed="false">
      <c r="B18" s="11" t="s">
        <v>237</v>
      </c>
      <c r="C18" s="11" t="s">
        <v>238</v>
      </c>
      <c r="D18" s="10" t="n">
        <v>652</v>
      </c>
      <c r="E18" s="9" t="n">
        <v>11277.75</v>
      </c>
      <c r="F18" s="20" t="n">
        <f aca="false">IF(D18=0,0,E18/D18)</f>
        <v>17.2971625766871</v>
      </c>
      <c r="G18" s="22" t="n">
        <v>21</v>
      </c>
      <c r="H18" s="11" t="s">
        <v>5</v>
      </c>
    </row>
    <row r="19" customFormat="false" ht="15" hidden="false" customHeight="false" outlineLevel="0" collapsed="false">
      <c r="B19" s="11" t="s">
        <v>239</v>
      </c>
      <c r="C19" s="11" t="s">
        <v>240</v>
      </c>
      <c r="D19" s="10" t="n">
        <v>504</v>
      </c>
      <c r="E19" s="9" t="n">
        <v>8064</v>
      </c>
      <c r="F19" s="20" t="n">
        <f aca="false">IF(D19=0,0,E19/D19)</f>
        <v>16</v>
      </c>
      <c r="G19" s="22" t="n">
        <v>14</v>
      </c>
      <c r="H19" s="11" t="s">
        <v>5</v>
      </c>
    </row>
    <row r="20" customFormat="false" ht="15" hidden="false" customHeight="false" outlineLevel="0" collapsed="false">
      <c r="B20" s="11" t="s">
        <v>241</v>
      </c>
      <c r="C20" s="11" t="s">
        <v>242</v>
      </c>
      <c r="D20" s="10" t="n">
        <v>419.5</v>
      </c>
      <c r="E20" s="9" t="n">
        <v>7587</v>
      </c>
      <c r="F20" s="20" t="n">
        <f aca="false">IF(D20=0,0,E20/D20)</f>
        <v>18.0858164481526</v>
      </c>
      <c r="G20" s="22" t="n">
        <v>13</v>
      </c>
      <c r="H20" s="11" t="s">
        <v>5</v>
      </c>
    </row>
    <row r="21" customFormat="false" ht="15" hidden="false" customHeight="false" outlineLevel="0" collapsed="false">
      <c r="B21" s="11" t="s">
        <v>243</v>
      </c>
      <c r="C21" s="11" t="s">
        <v>244</v>
      </c>
      <c r="D21" s="10" t="n">
        <v>346</v>
      </c>
      <c r="E21" s="9" t="n">
        <v>13845</v>
      </c>
      <c r="F21" s="20" t="n">
        <f aca="false">IF(D21=0,0,E21/D21)</f>
        <v>40.014450867052</v>
      </c>
      <c r="G21" s="22" t="n">
        <v>9</v>
      </c>
      <c r="H21" s="11" t="s">
        <v>5</v>
      </c>
    </row>
    <row r="22" customFormat="false" ht="15" hidden="false" customHeight="false" outlineLevel="0" collapsed="false">
      <c r="B22" s="11" t="s">
        <v>245</v>
      </c>
      <c r="C22" s="11" t="s">
        <v>246</v>
      </c>
      <c r="D22" s="10" t="n">
        <v>345</v>
      </c>
      <c r="E22" s="9" t="n">
        <v>8289</v>
      </c>
      <c r="F22" s="20" t="n">
        <f aca="false">IF(D22=0,0,E22/D22)</f>
        <v>24.0260869565217</v>
      </c>
      <c r="G22" s="22" t="n">
        <v>11</v>
      </c>
      <c r="H22" s="11" t="s">
        <v>5</v>
      </c>
    </row>
    <row r="23" customFormat="false" ht="15" hidden="false" customHeight="false" outlineLevel="0" collapsed="false">
      <c r="B23" s="11" t="s">
        <v>247</v>
      </c>
      <c r="C23" s="11" t="s">
        <v>248</v>
      </c>
      <c r="D23" s="10" t="n">
        <v>308.5</v>
      </c>
      <c r="E23" s="9" t="n">
        <v>7570.5</v>
      </c>
      <c r="F23" s="20" t="n">
        <f aca="false">IF(D23=0,0,E23/D23)</f>
        <v>24.5397082658023</v>
      </c>
      <c r="G23" s="22" t="n">
        <v>18</v>
      </c>
      <c r="H23" s="11" t="s">
        <v>5</v>
      </c>
    </row>
    <row r="24" customFormat="false" ht="15" hidden="false" customHeight="false" outlineLevel="0" collapsed="false">
      <c r="B24" s="11" t="s">
        <v>249</v>
      </c>
      <c r="C24" s="11" t="s">
        <v>250</v>
      </c>
      <c r="D24" s="10" t="n">
        <v>275</v>
      </c>
      <c r="E24" s="9" t="n">
        <v>7560</v>
      </c>
      <c r="F24" s="20" t="n">
        <f aca="false">IF(D24=0,0,E24/D24)</f>
        <v>27.4909090909091</v>
      </c>
      <c r="G24" s="22" t="n">
        <v>11</v>
      </c>
      <c r="H24" s="11" t="s">
        <v>5</v>
      </c>
    </row>
    <row r="25" customFormat="false" ht="15" hidden="false" customHeight="false" outlineLevel="0" collapsed="false">
      <c r="B25" s="11" t="s">
        <v>251</v>
      </c>
      <c r="C25" s="11" t="s">
        <v>252</v>
      </c>
      <c r="D25" s="10" t="n">
        <v>265</v>
      </c>
      <c r="E25" s="9" t="n">
        <v>5136.5</v>
      </c>
      <c r="F25" s="20" t="n">
        <f aca="false">IF(D25=0,0,E25/D25)</f>
        <v>19.3830188679245</v>
      </c>
      <c r="G25" s="22" t="n">
        <v>13</v>
      </c>
      <c r="H25" s="11" t="s">
        <v>5</v>
      </c>
    </row>
    <row r="26" customFormat="false" ht="15" hidden="false" customHeight="false" outlineLevel="0" collapsed="false">
      <c r="B26" s="11" t="s">
        <v>253</v>
      </c>
      <c r="C26" s="11" t="s">
        <v>254</v>
      </c>
      <c r="D26" s="10" t="n">
        <v>260</v>
      </c>
      <c r="E26" s="9" t="n">
        <v>4418</v>
      </c>
      <c r="F26" s="20" t="n">
        <f aca="false">IF(D26=0,0,E26/D26)</f>
        <v>16.9923076923077</v>
      </c>
      <c r="G26" s="22" t="n">
        <v>9</v>
      </c>
      <c r="H26" s="11" t="s">
        <v>5</v>
      </c>
    </row>
    <row r="27" customFormat="false" ht="15" hidden="false" customHeight="false" outlineLevel="0" collapsed="false">
      <c r="B27" s="11" t="s">
        <v>255</v>
      </c>
      <c r="C27" s="11" t="s">
        <v>256</v>
      </c>
      <c r="D27" s="10" t="n">
        <v>252</v>
      </c>
      <c r="E27" s="9" t="n">
        <v>4032</v>
      </c>
      <c r="F27" s="20" t="n">
        <f aca="false">IF(D27=0,0,E27/D27)</f>
        <v>16</v>
      </c>
      <c r="G27" s="22" t="n">
        <v>7</v>
      </c>
      <c r="H27" s="11" t="s">
        <v>5</v>
      </c>
    </row>
    <row r="28" customFormat="false" ht="15" hidden="false" customHeight="false" outlineLevel="0" collapsed="false">
      <c r="B28" s="11" t="s">
        <v>257</v>
      </c>
      <c r="C28" s="11" t="s">
        <v>258</v>
      </c>
      <c r="D28" s="10" t="n">
        <v>237.5</v>
      </c>
      <c r="E28" s="9" t="n">
        <v>10518</v>
      </c>
      <c r="F28" s="20" t="n">
        <f aca="false">IF(D28=0,0,E28/D28)</f>
        <v>44.2863157894737</v>
      </c>
      <c r="G28" s="22" t="n">
        <v>19</v>
      </c>
      <c r="H28" s="11" t="s">
        <v>5</v>
      </c>
    </row>
    <row r="29" customFormat="false" ht="15" hidden="false" customHeight="false" outlineLevel="0" collapsed="false">
      <c r="B29" s="11" t="s">
        <v>259</v>
      </c>
      <c r="C29" s="11" t="s">
        <v>260</v>
      </c>
      <c r="D29" s="10" t="n">
        <v>191</v>
      </c>
      <c r="E29" s="9" t="n">
        <v>3247</v>
      </c>
      <c r="F29" s="20" t="n">
        <f aca="false">IF(D29=0,0,E29/D29)</f>
        <v>17</v>
      </c>
      <c r="G29" s="22" t="n">
        <v>5</v>
      </c>
      <c r="H29" s="11" t="s">
        <v>5</v>
      </c>
    </row>
    <row r="30" customFormat="false" ht="15" hidden="false" customHeight="false" outlineLevel="0" collapsed="false">
      <c r="B30" s="11" t="s">
        <v>261</v>
      </c>
      <c r="C30" s="11" t="s">
        <v>262</v>
      </c>
      <c r="D30" s="10" t="n">
        <v>191</v>
      </c>
      <c r="E30" s="9" t="n">
        <v>5268</v>
      </c>
      <c r="F30" s="20" t="n">
        <f aca="false">IF(D30=0,0,E30/D30)</f>
        <v>27.5811518324607</v>
      </c>
      <c r="G30" s="22" t="n">
        <v>8</v>
      </c>
      <c r="H30" s="11" t="s">
        <v>5</v>
      </c>
    </row>
    <row r="31" customFormat="false" ht="15" hidden="false" customHeight="false" outlineLevel="0" collapsed="false">
      <c r="B31" s="11" t="s">
        <v>263</v>
      </c>
      <c r="C31" s="11" t="s">
        <v>264</v>
      </c>
      <c r="D31" s="10" t="n">
        <v>189.5</v>
      </c>
      <c r="E31" s="9" t="n">
        <v>9311</v>
      </c>
      <c r="F31" s="20" t="n">
        <f aca="false">IF(D31=0,0,E31/D31)</f>
        <v>49.1345646437995</v>
      </c>
      <c r="G31" s="22" t="n">
        <v>36</v>
      </c>
      <c r="H31" s="11" t="s">
        <v>5</v>
      </c>
    </row>
    <row r="32" customFormat="false" ht="15" hidden="false" customHeight="false" outlineLevel="0" collapsed="false">
      <c r="B32" s="11" t="s">
        <v>265</v>
      </c>
      <c r="C32" s="11" t="s">
        <v>266</v>
      </c>
      <c r="D32" s="10" t="n">
        <v>184</v>
      </c>
      <c r="E32" s="9" t="n">
        <v>3631</v>
      </c>
      <c r="F32" s="20" t="n">
        <f aca="false">IF(D32=0,0,E32/D32)</f>
        <v>19.7336956521739</v>
      </c>
      <c r="G32" s="22" t="n">
        <v>14</v>
      </c>
      <c r="H32" s="11" t="s">
        <v>5</v>
      </c>
    </row>
    <row r="33" customFormat="false" ht="15" hidden="false" customHeight="false" outlineLevel="0" collapsed="false">
      <c r="B33" s="11" t="s">
        <v>267</v>
      </c>
      <c r="C33" s="11" t="s">
        <v>268</v>
      </c>
      <c r="D33" s="10" t="n">
        <v>171</v>
      </c>
      <c r="E33" s="9" t="n">
        <v>5035</v>
      </c>
      <c r="F33" s="20" t="n">
        <f aca="false">IF(D33=0,0,E33/D33)</f>
        <v>29.4444444444444</v>
      </c>
      <c r="G33" s="22" t="n">
        <v>6</v>
      </c>
      <c r="H33" s="11" t="s">
        <v>5</v>
      </c>
    </row>
    <row r="34" customFormat="false" ht="15" hidden="false" customHeight="false" outlineLevel="0" collapsed="false">
      <c r="B34" s="11" t="s">
        <v>269</v>
      </c>
      <c r="C34" s="11" t="s">
        <v>270</v>
      </c>
      <c r="D34" s="10" t="n">
        <v>162</v>
      </c>
      <c r="E34" s="9" t="n">
        <v>3172</v>
      </c>
      <c r="F34" s="20" t="n">
        <f aca="false">IF(D34=0,0,E34/D34)</f>
        <v>19.5802469135802</v>
      </c>
      <c r="G34" s="22" t="n">
        <v>4</v>
      </c>
      <c r="H34" s="11" t="s">
        <v>5</v>
      </c>
    </row>
    <row r="35" customFormat="false" ht="15" hidden="false" customHeight="false" outlineLevel="0" collapsed="false">
      <c r="B35" s="11" t="s">
        <v>271</v>
      </c>
      <c r="C35" s="11" t="s">
        <v>272</v>
      </c>
      <c r="D35" s="10" t="n">
        <v>158.75</v>
      </c>
      <c r="E35" s="9" t="n">
        <v>5440.88</v>
      </c>
      <c r="F35" s="20" t="n">
        <f aca="false">IF(D35=0,0,E35/D35)</f>
        <v>34.2732598425197</v>
      </c>
      <c r="G35" s="22" t="n">
        <v>6</v>
      </c>
      <c r="H35" s="11" t="s">
        <v>5</v>
      </c>
    </row>
    <row r="36" customFormat="false" ht="15" hidden="false" customHeight="false" outlineLevel="0" collapsed="false">
      <c r="B36" s="11" t="s">
        <v>273</v>
      </c>
      <c r="C36" s="11" t="s">
        <v>274</v>
      </c>
      <c r="D36" s="10" t="n">
        <v>157</v>
      </c>
      <c r="E36" s="9" t="n">
        <v>8488.5</v>
      </c>
      <c r="F36" s="20" t="n">
        <f aca="false">IF(D36=0,0,E36/D36)</f>
        <v>54.0668789808917</v>
      </c>
      <c r="G36" s="22" t="n">
        <v>25</v>
      </c>
      <c r="H36" s="11" t="s">
        <v>5</v>
      </c>
    </row>
    <row r="37" customFormat="false" ht="15" hidden="false" customHeight="false" outlineLevel="0" collapsed="false">
      <c r="B37" s="11" t="s">
        <v>275</v>
      </c>
      <c r="C37" s="11" t="s">
        <v>276</v>
      </c>
      <c r="D37" s="10" t="n">
        <v>156.5</v>
      </c>
      <c r="E37" s="9" t="n">
        <v>7915</v>
      </c>
      <c r="F37" s="20" t="n">
        <f aca="false">IF(D37=0,0,E37/D37)</f>
        <v>50.5750798722045</v>
      </c>
      <c r="G37" s="22" t="n">
        <v>59</v>
      </c>
      <c r="H37" s="11" t="s">
        <v>5</v>
      </c>
    </row>
    <row r="38" customFormat="false" ht="15" hidden="false" customHeight="false" outlineLevel="0" collapsed="false">
      <c r="B38" s="11" t="s">
        <v>277</v>
      </c>
      <c r="C38" s="11" t="s">
        <v>278</v>
      </c>
      <c r="D38" s="10" t="n">
        <v>133.5</v>
      </c>
      <c r="E38" s="9" t="n">
        <v>2304</v>
      </c>
      <c r="F38" s="20" t="n">
        <f aca="false">IF(D38=0,0,E38/D38)</f>
        <v>17.2584269662921</v>
      </c>
      <c r="G38" s="22" t="n">
        <v>9</v>
      </c>
      <c r="H38" s="11" t="s">
        <v>5</v>
      </c>
    </row>
    <row r="39" customFormat="false" ht="15" hidden="false" customHeight="false" outlineLevel="0" collapsed="false">
      <c r="B39" s="11" t="s">
        <v>279</v>
      </c>
      <c r="C39" s="11" t="s">
        <v>280</v>
      </c>
      <c r="D39" s="10" t="n">
        <v>131</v>
      </c>
      <c r="E39" s="9" t="n">
        <v>4393</v>
      </c>
      <c r="F39" s="20" t="n">
        <f aca="false">IF(D39=0,0,E39/D39)</f>
        <v>33.5343511450382</v>
      </c>
      <c r="G39" s="22" t="n">
        <v>9</v>
      </c>
      <c r="H39" s="11" t="s">
        <v>5</v>
      </c>
    </row>
    <row r="40" customFormat="false" ht="15" hidden="false" customHeight="false" outlineLevel="0" collapsed="false">
      <c r="B40" s="11" t="s">
        <v>281</v>
      </c>
      <c r="C40" s="11" t="s">
        <v>282</v>
      </c>
      <c r="D40" s="10" t="n">
        <v>86</v>
      </c>
      <c r="E40" s="9" t="n">
        <v>5325</v>
      </c>
      <c r="F40" s="20" t="n">
        <f aca="false">IF(D40=0,0,E40/D40)</f>
        <v>61.9186046511628</v>
      </c>
      <c r="G40" s="22" t="n">
        <v>45</v>
      </c>
      <c r="H40" s="11" t="s">
        <v>5</v>
      </c>
    </row>
    <row r="41" customFormat="false" ht="15" hidden="false" customHeight="false" outlineLevel="0" collapsed="false">
      <c r="B41" s="11" t="s">
        <v>283</v>
      </c>
      <c r="C41" s="11" t="s">
        <v>284</v>
      </c>
      <c r="D41" s="10" t="n">
        <v>85</v>
      </c>
      <c r="E41" s="9" t="n">
        <v>2013</v>
      </c>
      <c r="F41" s="20" t="n">
        <f aca="false">IF(D41=0,0,E41/D41)</f>
        <v>23.6823529411765</v>
      </c>
      <c r="G41" s="22" t="n">
        <v>3</v>
      </c>
      <c r="H41" s="11" t="s">
        <v>5</v>
      </c>
    </row>
    <row r="42" customFormat="false" ht="15" hidden="false" customHeight="false" outlineLevel="0" collapsed="false">
      <c r="B42" s="11" t="s">
        <v>285</v>
      </c>
      <c r="C42" s="11" t="s">
        <v>286</v>
      </c>
      <c r="D42" s="10" t="n">
        <v>73.5</v>
      </c>
      <c r="E42" s="9" t="n">
        <v>2006</v>
      </c>
      <c r="F42" s="20" t="n">
        <f aca="false">IF(D42=0,0,E42/D42)</f>
        <v>27.2925170068027</v>
      </c>
      <c r="G42" s="22" t="n">
        <v>5</v>
      </c>
      <c r="H42" s="11" t="s">
        <v>5</v>
      </c>
    </row>
    <row r="43" customFormat="false" ht="15" hidden="false" customHeight="false" outlineLevel="0" collapsed="false">
      <c r="B43" s="11" t="s">
        <v>287</v>
      </c>
      <c r="C43" s="11" t="s">
        <v>288</v>
      </c>
      <c r="D43" s="10" t="n">
        <v>72</v>
      </c>
      <c r="E43" s="9" t="n">
        <v>640</v>
      </c>
      <c r="F43" s="20" t="n">
        <f aca="false">IF(D43=0,0,E43/D43)</f>
        <v>8.88888888888889</v>
      </c>
      <c r="G43" s="22" t="n">
        <v>2</v>
      </c>
      <c r="H43" s="11" t="s">
        <v>5</v>
      </c>
    </row>
    <row r="44" customFormat="false" ht="15" hidden="false" customHeight="false" outlineLevel="0" collapsed="false">
      <c r="B44" s="11" t="s">
        <v>289</v>
      </c>
      <c r="C44" s="11" t="s">
        <v>290</v>
      </c>
      <c r="D44" s="10" t="n">
        <v>72</v>
      </c>
      <c r="E44" s="9" t="n">
        <v>1216</v>
      </c>
      <c r="F44" s="20" t="n">
        <f aca="false">IF(D44=0,0,E44/D44)</f>
        <v>16.8888888888889</v>
      </c>
      <c r="G44" s="22" t="n">
        <v>2</v>
      </c>
      <c r="H44" s="11" t="s">
        <v>5</v>
      </c>
    </row>
    <row r="45" customFormat="false" ht="15" hidden="false" customHeight="false" outlineLevel="0" collapsed="false">
      <c r="B45" s="11" t="s">
        <v>291</v>
      </c>
      <c r="C45" s="11" t="s">
        <v>292</v>
      </c>
      <c r="D45" s="10" t="n">
        <v>62</v>
      </c>
      <c r="E45" s="9" t="n">
        <v>1518</v>
      </c>
      <c r="F45" s="20" t="n">
        <f aca="false">IF(D45=0,0,E45/D45)</f>
        <v>24.4838709677419</v>
      </c>
      <c r="G45" s="22" t="n">
        <v>3</v>
      </c>
      <c r="H45" s="11" t="s">
        <v>5</v>
      </c>
    </row>
    <row r="46" customFormat="false" ht="15" hidden="false" customHeight="false" outlineLevel="0" collapsed="false">
      <c r="B46" s="11" t="s">
        <v>293</v>
      </c>
      <c r="C46" s="11" t="s">
        <v>294</v>
      </c>
      <c r="D46" s="10" t="n">
        <v>54.5</v>
      </c>
      <c r="E46" s="9" t="n">
        <v>1893.75</v>
      </c>
      <c r="F46" s="20" t="n">
        <f aca="false">IF(D46=0,0,E46/D46)</f>
        <v>34.7477064220184</v>
      </c>
      <c r="G46" s="22" t="n">
        <v>6</v>
      </c>
      <c r="H46" s="11" t="s">
        <v>5</v>
      </c>
    </row>
    <row r="47" customFormat="false" ht="15" hidden="false" customHeight="false" outlineLevel="0" collapsed="false">
      <c r="B47" s="11" t="s">
        <v>295</v>
      </c>
      <c r="C47" s="11" t="s">
        <v>296</v>
      </c>
      <c r="D47" s="10" t="n">
        <v>32</v>
      </c>
      <c r="E47" s="9" t="n">
        <v>640</v>
      </c>
      <c r="F47" s="20" t="n">
        <f aca="false">IF(D47=0,0,E47/D47)</f>
        <v>20</v>
      </c>
      <c r="G47" s="22" t="n">
        <v>2</v>
      </c>
      <c r="H47" s="11" t="s">
        <v>5</v>
      </c>
    </row>
    <row r="48" customFormat="false" ht="15" hidden="false" customHeight="false" outlineLevel="0" collapsed="false">
      <c r="B48" s="11" t="s">
        <v>297</v>
      </c>
      <c r="C48" s="11" t="s">
        <v>298</v>
      </c>
      <c r="D48" s="10" t="n">
        <v>32</v>
      </c>
      <c r="E48" s="9" t="n">
        <v>1024</v>
      </c>
      <c r="F48" s="20" t="n">
        <f aca="false">IF(D48=0,0,E48/D48)</f>
        <v>32</v>
      </c>
      <c r="G48" s="22" t="n">
        <v>2</v>
      </c>
      <c r="H48" s="11" t="s">
        <v>5</v>
      </c>
    </row>
    <row r="49" customFormat="false" ht="15" hidden="false" customHeight="false" outlineLevel="0" collapsed="false">
      <c r="B49" s="11" t="s">
        <v>299</v>
      </c>
      <c r="C49" s="11" t="s">
        <v>300</v>
      </c>
      <c r="D49" s="10" t="n">
        <v>26</v>
      </c>
      <c r="E49" s="9" t="n">
        <v>558</v>
      </c>
      <c r="F49" s="20" t="n">
        <f aca="false">IF(D49=0,0,E49/D49)</f>
        <v>21.4615384615385</v>
      </c>
      <c r="G49" s="22" t="n">
        <v>3</v>
      </c>
      <c r="H49" s="11" t="s">
        <v>5</v>
      </c>
    </row>
    <row r="50" customFormat="false" ht="15" hidden="false" customHeight="false" outlineLevel="0" collapsed="false">
      <c r="B50" s="11" t="s">
        <v>301</v>
      </c>
      <c r="C50" s="11" t="s">
        <v>302</v>
      </c>
      <c r="D50" s="10" t="n">
        <v>26</v>
      </c>
      <c r="E50" s="9" t="n">
        <v>690</v>
      </c>
      <c r="F50" s="20" t="n">
        <f aca="false">IF(D50=0,0,E50/D50)</f>
        <v>26.5384615384615</v>
      </c>
      <c r="G50" s="22" t="n">
        <v>3</v>
      </c>
      <c r="H50" s="11" t="s">
        <v>5</v>
      </c>
    </row>
    <row r="51" customFormat="false" ht="15" hidden="false" customHeight="false" outlineLevel="0" collapsed="false">
      <c r="B51" s="11" t="s">
        <v>303</v>
      </c>
      <c r="C51" s="11" t="s">
        <v>304</v>
      </c>
      <c r="D51" s="10" t="n">
        <v>24</v>
      </c>
      <c r="E51" s="9" t="n">
        <v>384</v>
      </c>
      <c r="F51" s="20" t="n">
        <f aca="false">IF(D51=0,0,E51/D51)</f>
        <v>16</v>
      </c>
      <c r="G51" s="22" t="n">
        <v>1</v>
      </c>
      <c r="H51" s="11" t="s">
        <v>5</v>
      </c>
    </row>
    <row r="52" customFormat="false" ht="15" hidden="false" customHeight="false" outlineLevel="0" collapsed="false">
      <c r="B52" s="11" t="s">
        <v>305</v>
      </c>
      <c r="C52" s="11" t="s">
        <v>306</v>
      </c>
      <c r="D52" s="10" t="n">
        <v>23.5</v>
      </c>
      <c r="E52" s="9" t="n">
        <v>812.5</v>
      </c>
      <c r="F52" s="20" t="n">
        <f aca="false">IF(D52=0,0,E52/D52)</f>
        <v>34.5744680851064</v>
      </c>
      <c r="G52" s="22" t="n">
        <v>2</v>
      </c>
      <c r="H52" s="11" t="s">
        <v>5</v>
      </c>
    </row>
    <row r="53" customFormat="false" ht="15" hidden="false" customHeight="false" outlineLevel="0" collapsed="false">
      <c r="B53" s="11" t="s">
        <v>307</v>
      </c>
      <c r="C53" s="11" t="s">
        <v>308</v>
      </c>
      <c r="D53" s="10" t="n">
        <v>19</v>
      </c>
      <c r="E53" s="9" t="n">
        <v>627</v>
      </c>
      <c r="F53" s="20" t="n">
        <f aca="false">IF(D53=0,0,E53/D53)</f>
        <v>33</v>
      </c>
      <c r="G53" s="22" t="n">
        <v>3</v>
      </c>
      <c r="H53" s="11" t="s">
        <v>5</v>
      </c>
    </row>
    <row r="54" customFormat="false" ht="15" hidden="false" customHeight="false" outlineLevel="0" collapsed="false">
      <c r="B54" s="11" t="s">
        <v>309</v>
      </c>
      <c r="C54" s="11" t="s">
        <v>310</v>
      </c>
      <c r="D54" s="10" t="n">
        <v>18</v>
      </c>
      <c r="E54" s="9" t="n">
        <v>414</v>
      </c>
      <c r="F54" s="20" t="n">
        <f aca="false">IF(D54=0,0,E54/D54)</f>
        <v>23</v>
      </c>
      <c r="G54" s="22" t="n">
        <v>2</v>
      </c>
      <c r="H54" s="11" t="s">
        <v>5</v>
      </c>
    </row>
    <row r="55" customFormat="false" ht="15" hidden="false" customHeight="false" outlineLevel="0" collapsed="false">
      <c r="B55" s="11" t="s">
        <v>311</v>
      </c>
      <c r="C55" s="11" t="s">
        <v>312</v>
      </c>
      <c r="D55" s="10" t="n">
        <v>15.5</v>
      </c>
      <c r="E55" s="9" t="n">
        <v>558</v>
      </c>
      <c r="F55" s="20" t="n">
        <f aca="false">IF(D55=0,0,E55/D55)</f>
        <v>36</v>
      </c>
      <c r="G55" s="22" t="n">
        <v>2</v>
      </c>
      <c r="H55" s="11" t="s">
        <v>5</v>
      </c>
    </row>
    <row r="56" customFormat="false" ht="15" hidden="false" customHeight="false" outlineLevel="0" collapsed="false">
      <c r="B56" s="11" t="s">
        <v>313</v>
      </c>
      <c r="C56" s="11" t="s">
        <v>314</v>
      </c>
      <c r="D56" s="10" t="n">
        <v>10</v>
      </c>
      <c r="E56" s="9" t="n">
        <v>198</v>
      </c>
      <c r="F56" s="20" t="n">
        <f aca="false">IF(D56=0,0,E56/D56)</f>
        <v>19.8</v>
      </c>
      <c r="G56" s="22" t="n">
        <v>1</v>
      </c>
      <c r="H56" s="11" t="s">
        <v>5</v>
      </c>
    </row>
    <row r="57" customFormat="false" ht="15" hidden="false" customHeight="false" outlineLevel="0" collapsed="false">
      <c r="B57" s="11" t="s">
        <v>315</v>
      </c>
      <c r="C57" s="11" t="s">
        <v>316</v>
      </c>
      <c r="D57" s="10" t="n">
        <v>8</v>
      </c>
      <c r="E57" s="9" t="n">
        <v>144</v>
      </c>
      <c r="F57" s="20" t="n">
        <f aca="false">IF(D57=0,0,E57/D57)</f>
        <v>18</v>
      </c>
      <c r="G57" s="22" t="n">
        <v>1</v>
      </c>
      <c r="H57" s="11" t="s">
        <v>5</v>
      </c>
    </row>
    <row r="58" customFormat="false" ht="15" hidden="false" customHeight="false" outlineLevel="0" collapsed="false">
      <c r="B58" s="11" t="s">
        <v>317</v>
      </c>
      <c r="C58" s="11" t="s">
        <v>318</v>
      </c>
      <c r="D58" s="10" t="n">
        <v>7.5</v>
      </c>
      <c r="E58" s="9" t="n">
        <v>270</v>
      </c>
      <c r="F58" s="20" t="n">
        <f aca="false">IF(D58=0,0,E58/D58)</f>
        <v>36</v>
      </c>
      <c r="G58" s="22" t="n">
        <v>2</v>
      </c>
      <c r="H58" s="11" t="s">
        <v>5</v>
      </c>
    </row>
    <row r="59" customFormat="false" ht="15" hidden="false" customHeight="false" outlineLevel="0" collapsed="false">
      <c r="B59" s="11" t="s">
        <v>319</v>
      </c>
      <c r="C59" s="11" t="s">
        <v>320</v>
      </c>
      <c r="D59" s="10" t="n">
        <v>4.5</v>
      </c>
      <c r="E59" s="9" t="n">
        <v>144</v>
      </c>
      <c r="F59" s="20" t="n">
        <f aca="false">IF(D59=0,0,E59/D59)</f>
        <v>32</v>
      </c>
      <c r="G59" s="22" t="n">
        <v>1</v>
      </c>
      <c r="H59" s="11" t="s">
        <v>5</v>
      </c>
    </row>
    <row r="60" customFormat="false" ht="15" hidden="false" customHeight="false" outlineLevel="0" collapsed="false">
      <c r="B60" s="11" t="s">
        <v>321</v>
      </c>
      <c r="C60" s="11" t="s">
        <v>322</v>
      </c>
      <c r="D60" s="10" t="n">
        <v>4</v>
      </c>
      <c r="E60" s="9" t="n">
        <v>205</v>
      </c>
      <c r="F60" s="20" t="n">
        <f aca="false">IF(D60=0,0,E60/D60)</f>
        <v>51.25</v>
      </c>
      <c r="G60" s="22" t="n">
        <v>1</v>
      </c>
      <c r="H60" s="11" t="s">
        <v>5</v>
      </c>
    </row>
    <row r="61" customFormat="false" ht="15" hidden="false" customHeight="false" outlineLevel="0" collapsed="false">
      <c r="B61" s="11" t="s">
        <v>323</v>
      </c>
      <c r="C61" s="11" t="s">
        <v>324</v>
      </c>
      <c r="D61" s="10" t="n">
        <v>2</v>
      </c>
      <c r="E61" s="9" t="n">
        <v>46</v>
      </c>
      <c r="F61" s="20" t="n">
        <f aca="false">IF(D61=0,0,E61/D61)</f>
        <v>23</v>
      </c>
      <c r="G61" s="22" t="n">
        <v>1</v>
      </c>
      <c r="H61" s="11" t="s">
        <v>5</v>
      </c>
    </row>
    <row r="62" customFormat="false" ht="15" hidden="false" customHeight="false" outlineLevel="0" collapsed="false">
      <c r="B62" s="11" t="s">
        <v>325</v>
      </c>
      <c r="C62" s="11" t="s">
        <v>326</v>
      </c>
      <c r="D62" s="10" t="n">
        <v>2</v>
      </c>
      <c r="E62" s="9" t="n">
        <v>100</v>
      </c>
      <c r="F62" s="20" t="n">
        <f aca="false">IF(D62=0,0,E62/D62)</f>
        <v>50</v>
      </c>
      <c r="G62" s="22" t="n">
        <v>1</v>
      </c>
      <c r="H62" s="11" t="s">
        <v>5</v>
      </c>
    </row>
    <row r="63" customFormat="false" ht="15" hidden="false" customHeight="false" outlineLevel="0" collapsed="false">
      <c r="B63" s="11" t="s">
        <v>327</v>
      </c>
      <c r="C63" s="11" t="s">
        <v>328</v>
      </c>
      <c r="D63" s="10" t="n">
        <v>1</v>
      </c>
      <c r="E63" s="9" t="n">
        <v>45</v>
      </c>
      <c r="F63" s="20" t="n">
        <f aca="false">IF(D63=0,0,E63/D63)</f>
        <v>45</v>
      </c>
      <c r="G63" s="22" t="n">
        <v>1</v>
      </c>
      <c r="H63" s="11" t="s">
        <v>5</v>
      </c>
    </row>
    <row r="64" customFormat="false" ht="15" hidden="false" customHeight="false" outlineLevel="0" collapsed="false">
      <c r="B64" s="18" t="s">
        <v>144</v>
      </c>
      <c r="D64" s="21" t="n">
        <f aca="false">SUM(D6:D63)</f>
        <v>21819.25</v>
      </c>
      <c r="E64" s="20" t="n">
        <f aca="false">SUM(E6:E63)</f>
        <v>571343.38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329</v>
      </c>
    </row>
    <row r="3" customFormat="false" ht="21.75" hidden="false" customHeight="true" outlineLevel="0" collapsed="false">
      <c r="B3" s="2" t="s">
        <v>330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331</v>
      </c>
    </row>
    <row r="6" customFormat="false" ht="15" hidden="false" customHeight="false" outlineLevel="0" collapsed="false">
      <c r="B6" s="3" t="s">
        <v>332</v>
      </c>
      <c r="C6" s="3" t="s">
        <v>333</v>
      </c>
      <c r="D6" s="3" t="s">
        <v>334</v>
      </c>
      <c r="E6" s="3" t="s">
        <v>87</v>
      </c>
    </row>
    <row r="7" customFormat="false" ht="15" hidden="false" customHeight="false" outlineLevel="0" collapsed="false">
      <c r="B7" s="11" t="s">
        <v>335</v>
      </c>
      <c r="C7" s="10" t="n">
        <v>58</v>
      </c>
      <c r="D7" s="11" t="s">
        <v>336</v>
      </c>
      <c r="E7" s="11" t="s">
        <v>5</v>
      </c>
    </row>
    <row r="8" customFormat="false" ht="15" hidden="false" customHeight="false" outlineLevel="0" collapsed="false">
      <c r="B8" s="11" t="s">
        <v>337</v>
      </c>
      <c r="C8" s="10" t="n">
        <v>21819.25</v>
      </c>
      <c r="D8" s="11" t="s">
        <v>338</v>
      </c>
      <c r="E8" s="11" t="s">
        <v>5</v>
      </c>
    </row>
    <row r="9" customFormat="false" ht="15" hidden="false" customHeight="false" outlineLevel="0" collapsed="false">
      <c r="B9" s="11" t="s">
        <v>339</v>
      </c>
      <c r="C9" s="10" t="n">
        <v>571343.38</v>
      </c>
      <c r="D9" s="11" t="s">
        <v>338</v>
      </c>
      <c r="E9" s="11" t="s">
        <v>5</v>
      </c>
    </row>
    <row r="10" customFormat="false" ht="15" hidden="false" customHeight="false" outlineLevel="0" collapsed="false">
      <c r="B10" s="11" t="s">
        <v>340</v>
      </c>
      <c r="C10" s="9" t="n">
        <v>26.1852895951969</v>
      </c>
      <c r="D10" s="11" t="s">
        <v>341</v>
      </c>
      <c r="E10" s="11" t="s">
        <v>342</v>
      </c>
    </row>
    <row r="11" customFormat="false" ht="15" hidden="false" customHeight="false" outlineLevel="0" collapsed="false">
      <c r="B11" s="11" t="s">
        <v>343</v>
      </c>
      <c r="C11" s="24" t="n">
        <v>0.0878123675195069</v>
      </c>
      <c r="D11" s="11" t="s">
        <v>344</v>
      </c>
      <c r="E11" s="11" t="s">
        <v>342</v>
      </c>
    </row>
    <row r="12" customFormat="false" ht="15" hidden="false" customHeight="false" outlineLevel="0" collapsed="false">
      <c r="B12" s="11" t="s">
        <v>345</v>
      </c>
      <c r="C12" s="24" t="n">
        <v>0.385072814143474</v>
      </c>
      <c r="D12" s="11" t="s">
        <v>346</v>
      </c>
      <c r="E12" s="11" t="s">
        <v>342</v>
      </c>
    </row>
    <row r="13" customFormat="false" ht="15" hidden="false" customHeight="false" outlineLevel="0" collapsed="false">
      <c r="B13" s="11" t="s">
        <v>347</v>
      </c>
      <c r="C13" s="9" t="n">
        <v>61.9186046511628</v>
      </c>
      <c r="D13" s="11" t="s">
        <v>348</v>
      </c>
      <c r="E13" s="11" t="s">
        <v>342</v>
      </c>
    </row>
    <row r="14" customFormat="false" ht="15" hidden="false" customHeight="false" outlineLevel="0" collapsed="false">
      <c r="B14" s="11" t="s">
        <v>349</v>
      </c>
      <c r="C14" s="9" t="n">
        <v>8.88888888888889</v>
      </c>
      <c r="D14" s="11" t="s">
        <v>348</v>
      </c>
      <c r="E14" s="11" t="s">
        <v>342</v>
      </c>
    </row>
    <row r="15" customFormat="false" ht="15" hidden="false" customHeight="false" outlineLevel="0" collapsed="false">
      <c r="B15" s="11" t="s">
        <v>350</v>
      </c>
      <c r="C15" s="10" t="n">
        <v>376.193965517241</v>
      </c>
      <c r="D15" s="11" t="s">
        <v>351</v>
      </c>
      <c r="E15" s="11" t="s">
        <v>342</v>
      </c>
    </row>
    <row r="16" customFormat="false" ht="15" hidden="false" customHeight="false" outlineLevel="0" collapsed="false">
      <c r="B16" s="11" t="s">
        <v>352</v>
      </c>
      <c r="C16" s="10" t="n">
        <v>14.9310344827586</v>
      </c>
      <c r="D16" s="11" t="s">
        <v>353</v>
      </c>
      <c r="E16" s="11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354</v>
      </c>
    </row>
    <row r="3" customFormat="false" ht="21.75" hidden="false" customHeight="true" outlineLevel="0" collapsed="false">
      <c r="B3" s="2" t="s">
        <v>355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332</v>
      </c>
      <c r="C5" s="3" t="s">
        <v>333</v>
      </c>
      <c r="D5" s="3" t="s">
        <v>356</v>
      </c>
      <c r="E5" s="3" t="s">
        <v>357</v>
      </c>
    </row>
    <row r="6" customFormat="false" ht="15" hidden="false" customHeight="false" outlineLevel="0" collapsed="false">
      <c r="B6" s="11" t="s">
        <v>358</v>
      </c>
      <c r="C6" s="9" t="n">
        <v>137.483185719033</v>
      </c>
      <c r="D6" s="11" t="s">
        <v>359</v>
      </c>
    </row>
    <row r="7" customFormat="false" ht="15" hidden="false" customHeight="false" outlineLevel="0" collapsed="false">
      <c r="B7" s="11" t="s">
        <v>360</v>
      </c>
      <c r="C7" s="9" t="n">
        <v>67.2615910262727</v>
      </c>
      <c r="D7" s="11" t="s">
        <v>359</v>
      </c>
    </row>
    <row r="8" customFormat="false" ht="15" hidden="false" customHeight="false" outlineLevel="0" collapsed="false">
      <c r="B8" s="11" t="s">
        <v>361</v>
      </c>
      <c r="C8" s="9" t="n">
        <v>26.0526622134125</v>
      </c>
      <c r="D8" s="11" t="s">
        <v>359</v>
      </c>
      <c r="E8" s="11" t="s">
        <v>362</v>
      </c>
    </row>
    <row r="9" customFormat="false" ht="15" hidden="false" customHeight="false" outlineLevel="0" collapsed="false">
      <c r="B9" s="11" t="s">
        <v>363</v>
      </c>
      <c r="C9" s="9" t="n">
        <v>53.4181</v>
      </c>
      <c r="D9" s="11" t="s">
        <v>359</v>
      </c>
      <c r="E9" s="11" t="s">
        <v>364</v>
      </c>
    </row>
    <row r="10" customFormat="false" ht="15" hidden="false" customHeight="false" outlineLevel="0" collapsed="false">
      <c r="B10" s="11" t="s">
        <v>365</v>
      </c>
      <c r="C10" s="25" t="n">
        <v>1.3421</v>
      </c>
      <c r="D10" s="11" t="s">
        <v>366</v>
      </c>
      <c r="E10" s="11" t="s">
        <v>367</v>
      </c>
    </row>
    <row r="11" customFormat="false" ht="15" hidden="false" customHeight="false" outlineLevel="0" collapsed="false">
      <c r="B11" s="11" t="s">
        <v>368</v>
      </c>
      <c r="C11" s="10" t="n">
        <v>14406</v>
      </c>
      <c r="D11" s="11" t="s">
        <v>369</v>
      </c>
    </row>
    <row r="12" customFormat="false" ht="15" hidden="false" customHeight="false" outlineLevel="0" collapsed="false">
      <c r="B12" s="11" t="s">
        <v>370</v>
      </c>
      <c r="C12" s="10" t="n">
        <v>3028.5</v>
      </c>
      <c r="D12" s="11" t="s">
        <v>369</v>
      </c>
    </row>
    <row r="13" customFormat="false" ht="15" hidden="false" customHeight="false" outlineLevel="0" collapsed="false">
      <c r="B13" s="11" t="s">
        <v>371</v>
      </c>
      <c r="C13" s="26" t="n">
        <v>0.661091034245397</v>
      </c>
      <c r="D13" s="11" t="s">
        <v>372</v>
      </c>
    </row>
    <row r="14" customFormat="false" ht="15" hidden="false" customHeight="false" outlineLevel="0" collapsed="false">
      <c r="B14" s="11" t="s">
        <v>373</v>
      </c>
      <c r="C14" s="26" t="n">
        <v>0.489235033902486</v>
      </c>
      <c r="D14" s="11" t="s">
        <v>372</v>
      </c>
    </row>
    <row r="15" customFormat="false" ht="15" hidden="false" customHeight="false" outlineLevel="0" collapsed="false">
      <c r="B15" s="11" t="s">
        <v>374</v>
      </c>
      <c r="C15" s="26" t="n">
        <v>0.189497079785851</v>
      </c>
      <c r="D15" s="11" t="s">
        <v>372</v>
      </c>
    </row>
    <row r="16" customFormat="false" ht="15" hidden="false" customHeight="false" outlineLevel="0" collapsed="false">
      <c r="B16" s="11" t="s">
        <v>375</v>
      </c>
      <c r="C16" s="26" t="n">
        <v>0.206162511917541</v>
      </c>
      <c r="D16" s="11" t="s">
        <v>372</v>
      </c>
    </row>
    <row r="17" customFormat="false" ht="15" hidden="false" customHeight="false" outlineLevel="0" collapsed="false">
      <c r="B17" s="11" t="s">
        <v>376</v>
      </c>
      <c r="C17" s="26" t="n">
        <v>0.510764966097514</v>
      </c>
      <c r="D17" s="11" t="s">
        <v>372</v>
      </c>
      <c r="E17" s="11" t="s">
        <v>377</v>
      </c>
    </row>
    <row r="18" customFormat="false" ht="15" hidden="false" customHeight="false" outlineLevel="0" collapsed="false">
      <c r="B18" s="11" t="s">
        <v>378</v>
      </c>
      <c r="C18" s="9" t="n">
        <v>10168.7457627119</v>
      </c>
      <c r="D18" s="11" t="s">
        <v>379</v>
      </c>
      <c r="E18" s="11" t="s">
        <v>380</v>
      </c>
    </row>
    <row r="19" customFormat="false" ht="15" hidden="false" customHeight="false" outlineLevel="0" collapsed="false">
      <c r="B19" s="11" t="s">
        <v>381</v>
      </c>
      <c r="C19" s="10" t="n">
        <v>73.9635593220339</v>
      </c>
      <c r="D19" s="11" t="s">
        <v>369</v>
      </c>
    </row>
    <row r="20" customFormat="false" ht="15" hidden="false" customHeight="false" outlineLevel="0" collapsed="false">
      <c r="B20" s="11" t="s">
        <v>382</v>
      </c>
      <c r="C20" s="9" t="n">
        <v>1926.94762711864</v>
      </c>
      <c r="D20" s="11" t="s">
        <v>379</v>
      </c>
    </row>
    <row r="21" customFormat="false" ht="15" hidden="false" customHeight="false" outlineLevel="0" collapsed="false">
      <c r="B21" s="11" t="s">
        <v>383</v>
      </c>
      <c r="C21" s="9" t="n">
        <v>2096.41416949153</v>
      </c>
      <c r="D21" s="11" t="s">
        <v>379</v>
      </c>
    </row>
    <row r="22" customFormat="false" ht="15" hidden="false" customHeight="false" outlineLevel="0" collapsed="false">
      <c r="B22" s="11" t="s">
        <v>384</v>
      </c>
      <c r="C22" s="9" t="n">
        <v>5193.83908474576</v>
      </c>
      <c r="D22" s="11" t="s">
        <v>379</v>
      </c>
    </row>
    <row r="23" customFormat="false" ht="15" hidden="false" customHeight="false" outlineLevel="0" collapsed="false">
      <c r="B23" s="11" t="s">
        <v>385</v>
      </c>
      <c r="C23" s="10" t="n">
        <v>48.8338983050847</v>
      </c>
      <c r="D23" s="11" t="s">
        <v>369</v>
      </c>
    </row>
    <row r="24" customFormat="false" ht="15" hidden="false" customHeight="false" outlineLevel="0" collapsed="false">
      <c r="B24" s="11" t="s">
        <v>386</v>
      </c>
      <c r="C24" s="9" t="n">
        <v>1617.1320754717</v>
      </c>
      <c r="D24" s="11" t="s">
        <v>379</v>
      </c>
      <c r="E24" s="11" t="s">
        <v>387</v>
      </c>
    </row>
    <row r="25" customFormat="false" ht="15" hidden="false" customHeight="false" outlineLevel="0" collapsed="false">
      <c r="B25" s="11" t="s">
        <v>388</v>
      </c>
      <c r="C25" s="10" t="n">
        <v>11.7623989218329</v>
      </c>
      <c r="D25" s="11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389</v>
      </c>
    </row>
    <row r="3" customFormat="false" ht="21.75" hidden="false" customHeight="true" outlineLevel="0" collapsed="false">
      <c r="B3" s="2" t="s">
        <v>390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391</v>
      </c>
      <c r="C5" s="3" t="s">
        <v>392</v>
      </c>
      <c r="D5" s="3" t="s">
        <v>393</v>
      </c>
      <c r="E5" s="3" t="s">
        <v>394</v>
      </c>
      <c r="F5" s="3" t="s">
        <v>67</v>
      </c>
      <c r="G5" s="3" t="s">
        <v>80</v>
      </c>
      <c r="H5" s="3" t="s">
        <v>395</v>
      </c>
      <c r="I5" s="3" t="s">
        <v>87</v>
      </c>
    </row>
    <row r="6" customFormat="false" ht="15" hidden="false" customHeight="false" outlineLevel="0" collapsed="false">
      <c r="B6" s="11" t="s">
        <v>396</v>
      </c>
      <c r="C6" s="11" t="s">
        <v>397</v>
      </c>
      <c r="D6" s="11" t="s">
        <v>12</v>
      </c>
      <c r="E6" s="11" t="s">
        <v>398</v>
      </c>
      <c r="F6" s="11" t="s">
        <v>399</v>
      </c>
      <c r="G6" s="11" t="s">
        <v>400</v>
      </c>
      <c r="H6" s="9" t="n">
        <v>2898965</v>
      </c>
      <c r="I6" s="11" t="s">
        <v>20</v>
      </c>
    </row>
    <row r="7" customFormat="false" ht="15" hidden="false" customHeight="false" outlineLevel="0" collapsed="false">
      <c r="B7" s="11" t="s">
        <v>401</v>
      </c>
      <c r="C7" s="11" t="s">
        <v>402</v>
      </c>
      <c r="D7" s="11" t="s">
        <v>12</v>
      </c>
      <c r="E7" s="11" t="s">
        <v>403</v>
      </c>
      <c r="F7" s="11" t="s">
        <v>404</v>
      </c>
      <c r="G7" s="11" t="s">
        <v>405</v>
      </c>
      <c r="H7" s="9" t="n">
        <v>100815</v>
      </c>
      <c r="I7" s="11" t="s">
        <v>5</v>
      </c>
    </row>
    <row r="8" customFormat="false" ht="15" hidden="false" customHeight="false" outlineLevel="0" collapsed="false">
      <c r="B8" s="18" t="s">
        <v>406</v>
      </c>
      <c r="H8" s="20" t="n">
        <f aca="false">SUM(H6:H7)</f>
        <v>2999780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407</v>
      </c>
    </row>
    <row r="3" customFormat="false" ht="21.75" hidden="false" customHeight="true" outlineLevel="0" collapsed="false">
      <c r="B3" s="2" t="s">
        <v>408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409</v>
      </c>
      <c r="C5" s="3" t="s">
        <v>392</v>
      </c>
      <c r="D5" s="3" t="s">
        <v>410</v>
      </c>
      <c r="E5" s="3" t="s">
        <v>411</v>
      </c>
      <c r="F5" s="3" t="s">
        <v>412</v>
      </c>
      <c r="G5" s="3" t="s">
        <v>87</v>
      </c>
    </row>
    <row r="6" customFormat="false" ht="15" hidden="false" customHeight="false" outlineLevel="0" collapsed="false">
      <c r="B6" s="11" t="s">
        <v>413</v>
      </c>
      <c r="C6" s="11" t="s">
        <v>414</v>
      </c>
      <c r="D6" s="27" t="n">
        <v>-264675</v>
      </c>
      <c r="E6" s="27" t="n">
        <v>-13233.75</v>
      </c>
      <c r="F6" s="22" t="n">
        <v>1</v>
      </c>
      <c r="G6" s="11" t="s">
        <v>5</v>
      </c>
    </row>
    <row r="7" customFormat="false" ht="15" hidden="false" customHeight="false" outlineLevel="0" collapsed="false">
      <c r="B7" s="11" t="s">
        <v>415</v>
      </c>
      <c r="C7" s="11" t="s">
        <v>416</v>
      </c>
      <c r="D7" s="27" t="n">
        <v>-63040</v>
      </c>
      <c r="E7" s="27" t="n">
        <v>-3152</v>
      </c>
      <c r="F7" s="22" t="n">
        <v>1</v>
      </c>
      <c r="G7" s="11" t="s">
        <v>5</v>
      </c>
    </row>
    <row r="8" customFormat="false" ht="15" hidden="false" customHeight="false" outlineLevel="0" collapsed="false">
      <c r="B8" s="11" t="s">
        <v>417</v>
      </c>
      <c r="C8" s="11" t="s">
        <v>418</v>
      </c>
      <c r="D8" s="27" t="n">
        <v>-92555</v>
      </c>
      <c r="E8" s="27" t="n">
        <v>-4627.75</v>
      </c>
      <c r="F8" s="22" t="n">
        <v>1</v>
      </c>
      <c r="G8" s="11" t="s">
        <v>5</v>
      </c>
    </row>
    <row r="9" customFormat="false" ht="15" hidden="false" customHeight="false" outlineLevel="0" collapsed="false">
      <c r="B9" s="11" t="s">
        <v>419</v>
      </c>
      <c r="C9" s="11" t="s">
        <v>420</v>
      </c>
      <c r="D9" s="27" t="n">
        <v>-49150</v>
      </c>
      <c r="E9" s="27" t="n">
        <v>-2457.5</v>
      </c>
      <c r="F9" s="22" t="n">
        <v>1</v>
      </c>
      <c r="G9" s="11" t="s">
        <v>5</v>
      </c>
    </row>
    <row r="10" customFormat="false" ht="15" hidden="false" customHeight="false" outlineLevel="0" collapsed="false">
      <c r="B10" s="11" t="s">
        <v>421</v>
      </c>
      <c r="C10" s="11" t="s">
        <v>422</v>
      </c>
      <c r="D10" s="27" t="n">
        <v>-80009</v>
      </c>
      <c r="E10" s="27" t="n">
        <v>-4000.45</v>
      </c>
      <c r="F10" s="22" t="n">
        <v>1</v>
      </c>
      <c r="G10" s="11" t="s">
        <v>5</v>
      </c>
    </row>
    <row r="11" customFormat="false" ht="15" hidden="false" customHeight="false" outlineLevel="0" collapsed="false">
      <c r="B11" s="11" t="s">
        <v>128</v>
      </c>
      <c r="C11" s="11" t="s">
        <v>423</v>
      </c>
      <c r="D11" s="27" t="n">
        <v>-67271</v>
      </c>
      <c r="E11" s="27" t="n">
        <v>-3363.55</v>
      </c>
      <c r="F11" s="22" t="n">
        <v>1</v>
      </c>
      <c r="G11" s="11" t="s">
        <v>5</v>
      </c>
    </row>
    <row r="12" customFormat="false" ht="15" hidden="false" customHeight="false" outlineLevel="0" collapsed="false">
      <c r="B12" s="11" t="s">
        <v>424</v>
      </c>
      <c r="C12" s="11" t="s">
        <v>425</v>
      </c>
      <c r="D12" s="27" t="n">
        <v>-146180</v>
      </c>
      <c r="E12" s="27" t="n">
        <v>-7309</v>
      </c>
      <c r="F12" s="22" t="n">
        <v>1</v>
      </c>
      <c r="G12" s="11" t="s">
        <v>5</v>
      </c>
    </row>
    <row r="13" customFormat="false" ht="15" hidden="false" customHeight="false" outlineLevel="0" collapsed="false">
      <c r="B13" s="11" t="s">
        <v>426</v>
      </c>
      <c r="C13" s="11" t="s">
        <v>427</v>
      </c>
      <c r="D13" s="27" t="n">
        <v>-46170</v>
      </c>
      <c r="E13" s="27" t="n">
        <v>-2308.5</v>
      </c>
      <c r="F13" s="22" t="n">
        <v>1</v>
      </c>
      <c r="G13" s="11" t="s">
        <v>5</v>
      </c>
    </row>
    <row r="14" customFormat="false" ht="15" hidden="false" customHeight="false" outlineLevel="0" collapsed="false">
      <c r="B14" s="11" t="s">
        <v>428</v>
      </c>
      <c r="C14" s="11" t="s">
        <v>429</v>
      </c>
      <c r="D14" s="27" t="n">
        <v>-228225</v>
      </c>
      <c r="E14" s="27" t="n">
        <v>-11411.25</v>
      </c>
      <c r="F14" s="22" t="n">
        <v>1</v>
      </c>
      <c r="G14" s="11" t="s">
        <v>5</v>
      </c>
    </row>
    <row r="15" customFormat="false" ht="15" hidden="false" customHeight="false" outlineLevel="0" collapsed="false">
      <c r="B15" s="11" t="s">
        <v>430</v>
      </c>
      <c r="C15" s="11" t="s">
        <v>431</v>
      </c>
      <c r="D15" s="27" t="n">
        <v>-367760</v>
      </c>
      <c r="E15" s="27" t="n">
        <v>-18388</v>
      </c>
      <c r="F15" s="22" t="n">
        <v>1</v>
      </c>
      <c r="G15" s="11" t="s">
        <v>5</v>
      </c>
    </row>
    <row r="16" customFormat="false" ht="15" hidden="false" customHeight="false" outlineLevel="0" collapsed="false">
      <c r="B16" s="11" t="s">
        <v>432</v>
      </c>
      <c r="C16" s="11" t="s">
        <v>433</v>
      </c>
      <c r="D16" s="27" t="n">
        <v>-2015</v>
      </c>
      <c r="E16" s="27" t="n">
        <v>-100.75</v>
      </c>
      <c r="F16" s="22" t="n">
        <v>1</v>
      </c>
      <c r="G16" s="11" t="s">
        <v>5</v>
      </c>
    </row>
    <row r="17" customFormat="false" ht="15" hidden="false" customHeight="false" outlineLevel="0" collapsed="false">
      <c r="B17" s="11" t="s">
        <v>434</v>
      </c>
      <c r="C17" s="11" t="s">
        <v>435</v>
      </c>
      <c r="D17" s="27" t="n">
        <v>-530315</v>
      </c>
      <c r="E17" s="27" t="n">
        <v>-26515.75</v>
      </c>
      <c r="F17" s="22" t="n">
        <v>1</v>
      </c>
      <c r="G17" s="11" t="s">
        <v>5</v>
      </c>
    </row>
    <row r="18" customFormat="false" ht="15" hidden="false" customHeight="false" outlineLevel="0" collapsed="false">
      <c r="B18" s="11" t="s">
        <v>436</v>
      </c>
      <c r="C18" s="11" t="s">
        <v>437</v>
      </c>
      <c r="D18" s="27" t="n">
        <v>-478250</v>
      </c>
      <c r="E18" s="27" t="n">
        <v>-23912.5</v>
      </c>
      <c r="F18" s="22" t="n">
        <v>1</v>
      </c>
      <c r="G18" s="11" t="s">
        <v>5</v>
      </c>
    </row>
    <row r="19" customFormat="false" ht="15" hidden="false" customHeight="false" outlineLevel="0" collapsed="false">
      <c r="B19" s="11" t="s">
        <v>438</v>
      </c>
      <c r="C19" s="11" t="s">
        <v>439</v>
      </c>
      <c r="D19" s="27" t="n">
        <v>-395610</v>
      </c>
      <c r="E19" s="27" t="n">
        <v>-19780.5</v>
      </c>
      <c r="F19" s="22" t="n">
        <v>1</v>
      </c>
      <c r="G19" s="11" t="s">
        <v>5</v>
      </c>
    </row>
    <row r="20" customFormat="false" ht="15" hidden="false" customHeight="false" outlineLevel="0" collapsed="false">
      <c r="B20" s="11" t="s">
        <v>440</v>
      </c>
      <c r="C20" s="11" t="s">
        <v>441</v>
      </c>
      <c r="D20" s="27" t="n">
        <v>-188555</v>
      </c>
      <c r="E20" s="27" t="n">
        <v>-9427.75</v>
      </c>
      <c r="F20" s="22" t="n">
        <v>1</v>
      </c>
      <c r="G20" s="11" t="s">
        <v>5</v>
      </c>
    </row>
    <row r="21" customFormat="false" ht="15" hidden="false" customHeight="false" outlineLevel="0" collapsed="false">
      <c r="B21" s="18" t="s">
        <v>442</v>
      </c>
      <c r="D21" s="16" t="n">
        <f aca="false">SUM(D6:D20)</f>
        <v>-2999780</v>
      </c>
      <c r="E21" s="16" t="n">
        <f aca="false">SUM(E6:E20)</f>
        <v>-149989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443</v>
      </c>
    </row>
    <row r="3" customFormat="false" ht="21.75" hidden="false" customHeight="true" outlineLevel="0" collapsed="false">
      <c r="B3" s="2" t="s">
        <v>444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445</v>
      </c>
      <c r="C5" s="3" t="s">
        <v>446</v>
      </c>
      <c r="D5" s="3" t="s">
        <v>447</v>
      </c>
      <c r="E5" s="3" t="s">
        <v>448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449</v>
      </c>
      <c r="D6" s="11" t="s">
        <v>450</v>
      </c>
      <c r="E6" s="13" t="s">
        <v>451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452</v>
      </c>
      <c r="D7" s="11" t="s">
        <v>453</v>
      </c>
      <c r="E7" s="13" t="s">
        <v>451</v>
      </c>
      <c r="F7" s="11" t="s">
        <v>454</v>
      </c>
    </row>
    <row r="8" customFormat="false" ht="15" hidden="false" customHeight="false" outlineLevel="0" collapsed="false">
      <c r="B8" s="11" t="n">
        <v>3</v>
      </c>
      <c r="C8" s="11" t="s">
        <v>455</v>
      </c>
      <c r="D8" s="11" t="s">
        <v>456</v>
      </c>
      <c r="E8" s="13" t="s">
        <v>451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457</v>
      </c>
      <c r="D9" s="11" t="s">
        <v>458</v>
      </c>
      <c r="E9" s="13" t="s">
        <v>451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459</v>
      </c>
      <c r="D10" s="11" t="s">
        <v>460</v>
      </c>
      <c r="E10" s="13" t="s">
        <v>451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461</v>
      </c>
      <c r="D11" s="11" t="s">
        <v>462</v>
      </c>
      <c r="E11" s="13" t="s">
        <v>451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463</v>
      </c>
      <c r="D12" s="11" t="s">
        <v>464</v>
      </c>
      <c r="E12" s="13" t="s">
        <v>451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465</v>
      </c>
      <c r="D13" s="11" t="s">
        <v>466</v>
      </c>
      <c r="E13" s="13" t="s">
        <v>451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467</v>
      </c>
      <c r="D14" s="11" t="s">
        <v>468</v>
      </c>
      <c r="E14" s="13" t="s">
        <v>451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469</v>
      </c>
      <c r="D15" s="11" t="s">
        <v>470</v>
      </c>
      <c r="E15" s="13" t="s">
        <v>451</v>
      </c>
      <c r="F15" s="11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472</v>
      </c>
    </row>
    <row r="3" customFormat="false" ht="21.75" hidden="false" customHeight="true" outlineLevel="0" collapsed="false">
      <c r="B3" s="2" t="s">
        <v>473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474</v>
      </c>
      <c r="C5" s="3" t="s">
        <v>475</v>
      </c>
      <c r="D5" s="3" t="s">
        <v>333</v>
      </c>
      <c r="E5" s="3" t="s">
        <v>147</v>
      </c>
      <c r="F5" s="3" t="s">
        <v>334</v>
      </c>
      <c r="G5" s="3" t="s">
        <v>448</v>
      </c>
      <c r="H5" s="3" t="s">
        <v>476</v>
      </c>
    </row>
    <row r="6" customFormat="false" ht="15" hidden="false" customHeight="false" outlineLevel="0" collapsed="false">
      <c r="B6" s="11" t="s">
        <v>477</v>
      </c>
      <c r="C6" s="11" t="s">
        <v>478</v>
      </c>
      <c r="D6" s="11" t="s">
        <v>4</v>
      </c>
      <c r="E6" s="11" t="s">
        <v>479</v>
      </c>
      <c r="F6" s="11" t="s">
        <v>480</v>
      </c>
      <c r="G6" s="13" t="s">
        <v>451</v>
      </c>
      <c r="H6" s="11" t="s">
        <v>5</v>
      </c>
    </row>
    <row r="7" customFormat="false" ht="15" hidden="false" customHeight="false" outlineLevel="0" collapsed="false">
      <c r="B7" s="11" t="s">
        <v>481</v>
      </c>
      <c r="C7" s="11" t="s">
        <v>482</v>
      </c>
      <c r="D7" s="11" t="s">
        <v>483</v>
      </c>
      <c r="E7" s="11" t="s">
        <v>479</v>
      </c>
      <c r="F7" s="11"/>
      <c r="G7" s="13" t="s">
        <v>451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484</v>
      </c>
      <c r="D8" s="11" t="s">
        <v>12</v>
      </c>
      <c r="E8" s="11" t="s">
        <v>479</v>
      </c>
      <c r="F8" s="11"/>
      <c r="G8" s="13" t="s">
        <v>451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485</v>
      </c>
      <c r="D9" s="11" t="s">
        <v>17</v>
      </c>
      <c r="E9" s="11" t="s">
        <v>479</v>
      </c>
      <c r="F9" s="11"/>
      <c r="G9" s="13" t="s">
        <v>451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486</v>
      </c>
      <c r="D10" s="11" t="s">
        <v>35</v>
      </c>
      <c r="E10" s="11" t="s">
        <v>479</v>
      </c>
      <c r="F10" s="11"/>
      <c r="G10" s="13" t="s">
        <v>451</v>
      </c>
      <c r="H10" s="11" t="s">
        <v>36</v>
      </c>
    </row>
    <row r="11" customFormat="false" ht="15" hidden="false" customHeight="false" outlineLevel="0" collapsed="false">
      <c r="B11" s="11" t="s">
        <v>487</v>
      </c>
      <c r="C11" s="11" t="s">
        <v>488</v>
      </c>
      <c r="D11" s="11" t="s">
        <v>28</v>
      </c>
      <c r="E11" s="11" t="s">
        <v>479</v>
      </c>
      <c r="F11" s="11"/>
      <c r="G11" s="13" t="s">
        <v>451</v>
      </c>
      <c r="H11" s="11" t="s">
        <v>13</v>
      </c>
    </row>
    <row r="12" customFormat="false" ht="15" hidden="false" customHeight="false" outlineLevel="0" collapsed="false">
      <c r="B12" s="11" t="s">
        <v>489</v>
      </c>
      <c r="C12" s="11" t="s">
        <v>490</v>
      </c>
      <c r="D12" s="11" t="s">
        <v>491</v>
      </c>
      <c r="E12" s="11" t="s">
        <v>479</v>
      </c>
      <c r="F12" s="11"/>
      <c r="G12" s="13" t="s">
        <v>451</v>
      </c>
      <c r="H12" s="11" t="s">
        <v>492</v>
      </c>
    </row>
    <row r="13" customFormat="false" ht="15" hidden="false" customHeight="false" outlineLevel="0" collapsed="false">
      <c r="B13" s="11" t="s">
        <v>493</v>
      </c>
      <c r="C13" s="11" t="s">
        <v>494</v>
      </c>
      <c r="D13" s="11" t="s">
        <v>30</v>
      </c>
      <c r="E13" s="11" t="s">
        <v>479</v>
      </c>
      <c r="F13" s="11"/>
      <c r="G13" s="13" t="s">
        <v>451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495</v>
      </c>
      <c r="D14" s="11" t="s">
        <v>19</v>
      </c>
      <c r="E14" s="11" t="s">
        <v>479</v>
      </c>
      <c r="F14" s="11"/>
      <c r="G14" s="13" t="s">
        <v>451</v>
      </c>
      <c r="H14" s="11" t="s">
        <v>20</v>
      </c>
    </row>
    <row r="15" customFormat="false" ht="15" hidden="false" customHeight="false" outlineLevel="0" collapsed="false">
      <c r="B15" s="11" t="s">
        <v>496</v>
      </c>
      <c r="C15" s="11" t="s">
        <v>497</v>
      </c>
      <c r="D15" s="11" t="s">
        <v>22</v>
      </c>
      <c r="E15" s="11" t="s">
        <v>479</v>
      </c>
      <c r="F15" s="11"/>
      <c r="G15" s="13" t="s">
        <v>451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498</v>
      </c>
      <c r="D16" s="11" t="s">
        <v>26</v>
      </c>
      <c r="E16" s="11" t="s">
        <v>479</v>
      </c>
      <c r="F16" s="11"/>
      <c r="G16" s="13" t="s">
        <v>451</v>
      </c>
      <c r="H16" s="11" t="s">
        <v>20</v>
      </c>
    </row>
    <row r="17" customFormat="false" ht="15" hidden="false" customHeight="false" outlineLevel="0" collapsed="false">
      <c r="B17" s="11" t="s">
        <v>499</v>
      </c>
      <c r="C17" s="11" t="s">
        <v>500</v>
      </c>
      <c r="D17" s="11" t="s">
        <v>397</v>
      </c>
      <c r="E17" s="11" t="s">
        <v>479</v>
      </c>
      <c r="F17" s="11"/>
      <c r="G17" s="13" t="s">
        <v>451</v>
      </c>
      <c r="H17" s="11" t="s">
        <v>20</v>
      </c>
    </row>
    <row r="18" customFormat="false" ht="15" hidden="false" customHeight="false" outlineLevel="0" collapsed="false">
      <c r="B18" s="11" t="s">
        <v>501</v>
      </c>
      <c r="C18" s="11" t="s">
        <v>502</v>
      </c>
      <c r="D18" s="11" t="s">
        <v>503</v>
      </c>
      <c r="E18" s="11" t="s">
        <v>479</v>
      </c>
      <c r="F18" s="11"/>
      <c r="G18" s="13" t="s">
        <v>451</v>
      </c>
      <c r="H18" s="11" t="s">
        <v>5</v>
      </c>
    </row>
    <row r="19" customFormat="false" ht="15" hidden="false" customHeight="false" outlineLevel="0" collapsed="false">
      <c r="B19" s="11" t="s">
        <v>504</v>
      </c>
      <c r="C19" s="11" t="s">
        <v>505</v>
      </c>
      <c r="D19" s="11" t="s">
        <v>506</v>
      </c>
      <c r="E19" s="11" t="s">
        <v>479</v>
      </c>
      <c r="F19" s="11"/>
      <c r="G19" s="13" t="s">
        <v>451</v>
      </c>
      <c r="H19" s="11" t="s">
        <v>5</v>
      </c>
    </row>
    <row r="20" customFormat="false" ht="15" hidden="false" customHeight="false" outlineLevel="0" collapsed="false">
      <c r="B20" s="11" t="s">
        <v>507</v>
      </c>
      <c r="C20" s="11" t="s">
        <v>508</v>
      </c>
      <c r="D20" s="22" t="n">
        <v>22</v>
      </c>
      <c r="E20" s="11" t="s">
        <v>479</v>
      </c>
      <c r="F20" s="11"/>
      <c r="G20" s="13" t="s">
        <v>451</v>
      </c>
      <c r="H20" s="11" t="s">
        <v>342</v>
      </c>
    </row>
    <row r="21" customFormat="false" ht="15" hidden="false" customHeight="false" outlineLevel="0" collapsed="false">
      <c r="B21" s="11" t="s">
        <v>39</v>
      </c>
      <c r="C21" s="11" t="s">
        <v>509</v>
      </c>
      <c r="D21" s="22" t="n">
        <v>295</v>
      </c>
      <c r="E21" s="11" t="s">
        <v>479</v>
      </c>
      <c r="F21" s="11" t="s">
        <v>510</v>
      </c>
      <c r="G21" s="13" t="s">
        <v>451</v>
      </c>
      <c r="H21" s="11" t="s">
        <v>511</v>
      </c>
    </row>
    <row r="22" customFormat="false" ht="15" hidden="false" customHeight="false" outlineLevel="0" collapsed="false">
      <c r="B22" s="11" t="s">
        <v>512</v>
      </c>
      <c r="C22" s="11" t="s">
        <v>513</v>
      </c>
      <c r="D22" s="22" t="n">
        <v>1855</v>
      </c>
      <c r="E22" s="11" t="s">
        <v>479</v>
      </c>
      <c r="F22" s="11" t="s">
        <v>514</v>
      </c>
      <c r="G22" s="13" t="s">
        <v>451</v>
      </c>
      <c r="H22" s="11" t="s">
        <v>511</v>
      </c>
    </row>
    <row r="23" customFormat="false" ht="15" hidden="false" customHeight="false" outlineLevel="0" collapsed="false">
      <c r="B23" s="11" t="s">
        <v>515</v>
      </c>
      <c r="C23" s="11" t="s">
        <v>516</v>
      </c>
      <c r="D23" s="9" t="n">
        <v>2898965</v>
      </c>
      <c r="E23" s="11" t="s">
        <v>517</v>
      </c>
      <c r="F23" s="11"/>
      <c r="G23" s="13" t="s">
        <v>451</v>
      </c>
      <c r="H23" s="11" t="s">
        <v>13</v>
      </c>
    </row>
    <row r="24" customFormat="false" ht="15" hidden="false" customHeight="false" outlineLevel="0" collapsed="false">
      <c r="B24" s="11" t="s">
        <v>518</v>
      </c>
      <c r="C24" s="11" t="s">
        <v>519</v>
      </c>
      <c r="D24" s="9" t="n">
        <v>2999780</v>
      </c>
      <c r="E24" s="11" t="s">
        <v>517</v>
      </c>
      <c r="F24" s="11"/>
      <c r="G24" s="13" t="s">
        <v>451</v>
      </c>
      <c r="H24" s="11" t="s">
        <v>13</v>
      </c>
    </row>
    <row r="25" customFormat="false" ht="15" hidden="false" customHeight="false" outlineLevel="0" collapsed="false">
      <c r="B25" s="11" t="s">
        <v>520</v>
      </c>
      <c r="C25" s="11" t="s">
        <v>521</v>
      </c>
      <c r="D25" s="9" t="n">
        <v>100815</v>
      </c>
      <c r="E25" s="11" t="s">
        <v>517</v>
      </c>
      <c r="F25" s="11" t="s">
        <v>522</v>
      </c>
      <c r="G25" s="13" t="s">
        <v>451</v>
      </c>
      <c r="H25" s="11" t="s">
        <v>454</v>
      </c>
    </row>
    <row r="26" customFormat="false" ht="15" hidden="false" customHeight="false" outlineLevel="0" collapsed="false">
      <c r="B26" s="11" t="s">
        <v>523</v>
      </c>
      <c r="C26" s="11" t="s">
        <v>524</v>
      </c>
      <c r="D26" s="26" t="n">
        <v>0.034776204610956</v>
      </c>
      <c r="E26" s="11" t="s">
        <v>517</v>
      </c>
      <c r="F26" s="11"/>
      <c r="G26" s="13" t="s">
        <v>451</v>
      </c>
      <c r="H26" s="11" t="s">
        <v>342</v>
      </c>
    </row>
    <row r="27" customFormat="false" ht="15" hidden="false" customHeight="false" outlineLevel="0" collapsed="false">
      <c r="B27" s="11" t="s">
        <v>525</v>
      </c>
      <c r="C27" s="11" t="s">
        <v>526</v>
      </c>
      <c r="D27" s="9" t="n">
        <v>2999780</v>
      </c>
      <c r="E27" s="11" t="s">
        <v>517</v>
      </c>
      <c r="F27" s="11" t="s">
        <v>527</v>
      </c>
      <c r="G27" s="13" t="s">
        <v>451</v>
      </c>
      <c r="H27" s="11" t="s">
        <v>5</v>
      </c>
    </row>
    <row r="28" customFormat="false" ht="15" hidden="false" customHeight="false" outlineLevel="0" collapsed="false">
      <c r="B28" s="11" t="s">
        <v>528</v>
      </c>
      <c r="C28" s="11" t="s">
        <v>529</v>
      </c>
      <c r="D28" s="9" t="n">
        <v>1532182.53</v>
      </c>
      <c r="E28" s="11" t="s">
        <v>517</v>
      </c>
      <c r="F28" s="11" t="s">
        <v>530</v>
      </c>
      <c r="G28" s="13" t="s">
        <v>451</v>
      </c>
      <c r="H28" s="11" t="s">
        <v>5</v>
      </c>
    </row>
    <row r="29" customFormat="false" ht="15" hidden="false" customHeight="false" outlineLevel="0" collapsed="false">
      <c r="B29" s="11" t="s">
        <v>531</v>
      </c>
      <c r="C29" s="11" t="s">
        <v>532</v>
      </c>
      <c r="D29" s="9" t="n">
        <v>1467597.47</v>
      </c>
      <c r="E29" s="11" t="s">
        <v>517</v>
      </c>
      <c r="F29" s="11" t="s">
        <v>533</v>
      </c>
      <c r="G29" s="13" t="s">
        <v>451</v>
      </c>
      <c r="H29" s="11" t="s">
        <v>5</v>
      </c>
    </row>
    <row r="30" customFormat="false" ht="15" hidden="false" customHeight="false" outlineLevel="0" collapsed="false">
      <c r="B30" s="11" t="s">
        <v>373</v>
      </c>
      <c r="C30" s="11" t="s">
        <v>534</v>
      </c>
      <c r="D30" s="26" t="n">
        <v>0.489235033902486</v>
      </c>
      <c r="E30" s="11" t="s">
        <v>517</v>
      </c>
      <c r="F30" s="11"/>
      <c r="G30" s="13" t="s">
        <v>451</v>
      </c>
      <c r="H30" s="11" t="s">
        <v>342</v>
      </c>
    </row>
    <row r="31" customFormat="false" ht="15" hidden="false" customHeight="false" outlineLevel="0" collapsed="false">
      <c r="B31" s="11" t="s">
        <v>535</v>
      </c>
      <c r="C31" s="11" t="s">
        <v>536</v>
      </c>
      <c r="D31" s="9" t="n">
        <v>149989</v>
      </c>
      <c r="E31" s="11" t="s">
        <v>517</v>
      </c>
      <c r="F31" s="11" t="s">
        <v>537</v>
      </c>
      <c r="G31" s="13" t="s">
        <v>451</v>
      </c>
      <c r="H31" s="11" t="s">
        <v>5</v>
      </c>
    </row>
    <row r="32" customFormat="false" ht="15" hidden="false" customHeight="false" outlineLevel="0" collapsed="false">
      <c r="B32" s="11" t="s">
        <v>538</v>
      </c>
      <c r="C32" s="11" t="s">
        <v>539</v>
      </c>
      <c r="D32" s="26" t="n">
        <v>0.05</v>
      </c>
      <c r="E32" s="11" t="s">
        <v>517</v>
      </c>
      <c r="F32" s="11"/>
      <c r="G32" s="13" t="s">
        <v>451</v>
      </c>
      <c r="H32" s="11" t="s">
        <v>342</v>
      </c>
    </row>
    <row r="33" customFormat="false" ht="15" hidden="false" customHeight="false" outlineLevel="0" collapsed="false">
      <c r="B33" s="11" t="s">
        <v>540</v>
      </c>
      <c r="C33" s="11" t="s">
        <v>541</v>
      </c>
      <c r="D33" s="9" t="n">
        <v>568449.55</v>
      </c>
      <c r="E33" s="11" t="s">
        <v>152</v>
      </c>
      <c r="F33" s="11" t="s">
        <v>542</v>
      </c>
      <c r="G33" s="13" t="s">
        <v>451</v>
      </c>
      <c r="H33" s="11" t="s">
        <v>5</v>
      </c>
    </row>
    <row r="34" customFormat="false" ht="15" hidden="false" customHeight="false" outlineLevel="0" collapsed="false">
      <c r="B34" s="11" t="s">
        <v>543</v>
      </c>
      <c r="C34" s="11" t="s">
        <v>544</v>
      </c>
      <c r="D34" s="9" t="n">
        <v>618442.18</v>
      </c>
      <c r="E34" s="11" t="s">
        <v>154</v>
      </c>
      <c r="F34" s="11" t="s">
        <v>545</v>
      </c>
      <c r="G34" s="13" t="s">
        <v>451</v>
      </c>
      <c r="H34" s="11" t="s">
        <v>5</v>
      </c>
    </row>
    <row r="35" customFormat="false" ht="15" hidden="false" customHeight="false" outlineLevel="0" collapsed="false">
      <c r="B35" s="11" t="s">
        <v>546</v>
      </c>
      <c r="C35" s="11" t="s">
        <v>547</v>
      </c>
      <c r="D35" s="9" t="n">
        <v>48191.44</v>
      </c>
      <c r="E35" s="11" t="s">
        <v>517</v>
      </c>
      <c r="F35" s="11" t="s">
        <v>548</v>
      </c>
      <c r="G35" s="13" t="s">
        <v>451</v>
      </c>
      <c r="H35" s="11" t="s">
        <v>5</v>
      </c>
    </row>
    <row r="36" customFormat="false" ht="15" hidden="false" customHeight="false" outlineLevel="0" collapsed="false">
      <c r="B36" s="11" t="s">
        <v>549</v>
      </c>
      <c r="C36" s="11" t="s">
        <v>550</v>
      </c>
      <c r="D36" s="9" t="n">
        <v>253391.18</v>
      </c>
      <c r="E36" s="11" t="s">
        <v>152</v>
      </c>
      <c r="F36" s="11" t="s">
        <v>551</v>
      </c>
      <c r="G36" s="13" t="s">
        <v>451</v>
      </c>
      <c r="H36" s="11" t="s">
        <v>5</v>
      </c>
    </row>
    <row r="37" customFormat="false" ht="15" hidden="false" customHeight="false" outlineLevel="0" collapsed="false">
      <c r="B37" s="11" t="s">
        <v>552</v>
      </c>
      <c r="C37" s="11" t="s">
        <v>553</v>
      </c>
      <c r="D37" s="9" t="n">
        <v>43708.18</v>
      </c>
      <c r="E37" s="11" t="s">
        <v>152</v>
      </c>
      <c r="F37" s="11" t="s">
        <v>554</v>
      </c>
      <c r="G37" s="13" t="s">
        <v>451</v>
      </c>
      <c r="H37" s="11" t="s">
        <v>5</v>
      </c>
    </row>
    <row r="38" customFormat="false" ht="15" hidden="false" customHeight="false" outlineLevel="0" collapsed="false">
      <c r="B38" s="11" t="s">
        <v>337</v>
      </c>
      <c r="C38" s="11" t="s">
        <v>555</v>
      </c>
      <c r="D38" s="10" t="n">
        <v>21819.25</v>
      </c>
      <c r="E38" s="11" t="s">
        <v>152</v>
      </c>
      <c r="F38" s="11" t="s">
        <v>556</v>
      </c>
      <c r="G38" s="13" t="s">
        <v>451</v>
      </c>
      <c r="H38" s="11" t="s">
        <v>5</v>
      </c>
    </row>
    <row r="39" customFormat="false" ht="15" hidden="false" customHeight="false" outlineLevel="0" collapsed="false">
      <c r="B39" s="11" t="s">
        <v>335</v>
      </c>
      <c r="C39" s="11" t="s">
        <v>557</v>
      </c>
      <c r="D39" s="22" t="n">
        <v>58</v>
      </c>
      <c r="E39" s="11" t="s">
        <v>152</v>
      </c>
      <c r="F39" s="11" t="s">
        <v>558</v>
      </c>
      <c r="G39" s="13" t="s">
        <v>451</v>
      </c>
      <c r="H39" s="11" t="s">
        <v>5</v>
      </c>
    </row>
    <row r="40" customFormat="false" ht="15" hidden="false" customHeight="false" outlineLevel="0" collapsed="false">
      <c r="B40" s="11" t="s">
        <v>559</v>
      </c>
      <c r="C40" s="11" t="s">
        <v>560</v>
      </c>
      <c r="D40" s="9" t="n">
        <v>26.0526622134125</v>
      </c>
      <c r="E40" s="11" t="s">
        <v>152</v>
      </c>
      <c r="F40" s="11"/>
      <c r="G40" s="13" t="s">
        <v>451</v>
      </c>
      <c r="H40" s="11" t="s">
        <v>342</v>
      </c>
    </row>
    <row r="41" customFormat="false" ht="15" hidden="false" customHeight="false" outlineLevel="0" collapsed="false">
      <c r="B41" s="11" t="s">
        <v>561</v>
      </c>
      <c r="C41" s="11" t="s">
        <v>562</v>
      </c>
      <c r="D41" s="9" t="n">
        <v>53.4181</v>
      </c>
      <c r="E41" s="11" t="s">
        <v>152</v>
      </c>
      <c r="F41" s="11"/>
      <c r="G41" s="13" t="s">
        <v>451</v>
      </c>
      <c r="H41" s="11" t="s">
        <v>342</v>
      </c>
    </row>
    <row r="42" customFormat="false" ht="15" hidden="false" customHeight="false" outlineLevel="0" collapsed="false">
      <c r="B42" s="11" t="s">
        <v>365</v>
      </c>
      <c r="C42" s="11" t="s">
        <v>563</v>
      </c>
      <c r="D42" s="25" t="n">
        <v>1.3421</v>
      </c>
      <c r="E42" s="11" t="s">
        <v>152</v>
      </c>
      <c r="F42" s="11"/>
      <c r="G42" s="13" t="s">
        <v>451</v>
      </c>
      <c r="H42" s="11" t="s">
        <v>342</v>
      </c>
    </row>
    <row r="43" customFormat="false" ht="15" hidden="false" customHeight="false" outlineLevel="0" collapsed="false">
      <c r="B43" s="11" t="s">
        <v>564</v>
      </c>
      <c r="C43" s="11" t="s">
        <v>565</v>
      </c>
      <c r="D43" s="10" t="n">
        <v>14406</v>
      </c>
      <c r="E43" s="11" t="s">
        <v>152</v>
      </c>
      <c r="F43" s="11" t="s">
        <v>566</v>
      </c>
      <c r="G43" s="13" t="s">
        <v>451</v>
      </c>
      <c r="H43" s="11" t="s">
        <v>5</v>
      </c>
    </row>
    <row r="44" customFormat="false" ht="15" hidden="false" customHeight="false" outlineLevel="0" collapsed="false">
      <c r="B44" s="11" t="s">
        <v>567</v>
      </c>
      <c r="C44" s="11" t="s">
        <v>568</v>
      </c>
      <c r="D44" s="10" t="n">
        <v>3028.5</v>
      </c>
      <c r="E44" s="11" t="s">
        <v>152</v>
      </c>
      <c r="F44" s="11" t="s">
        <v>569</v>
      </c>
      <c r="G44" s="13" t="s">
        <v>451</v>
      </c>
      <c r="H44" s="11" t="s">
        <v>5</v>
      </c>
    </row>
    <row r="45" customFormat="false" ht="15" hidden="false" customHeight="false" outlineLevel="0" collapsed="false">
      <c r="B45" s="11" t="s">
        <v>570</v>
      </c>
      <c r="C45" s="11" t="s">
        <v>571</v>
      </c>
      <c r="D45" s="9" t="n">
        <v>137.483185719033</v>
      </c>
      <c r="E45" s="11" t="s">
        <v>572</v>
      </c>
      <c r="F45" s="11"/>
      <c r="G45" s="13" t="s">
        <v>451</v>
      </c>
      <c r="H45" s="11" t="s">
        <v>342</v>
      </c>
    </row>
    <row r="46" customFormat="false" ht="15" hidden="false" customHeight="false" outlineLevel="0" collapsed="false">
      <c r="B46" s="11" t="s">
        <v>573</v>
      </c>
      <c r="C46" s="11" t="s">
        <v>574</v>
      </c>
      <c r="D46" s="9" t="n">
        <v>67.2615910262727</v>
      </c>
      <c r="E46" s="11" t="s">
        <v>572</v>
      </c>
      <c r="F46" s="11"/>
      <c r="G46" s="13" t="s">
        <v>451</v>
      </c>
      <c r="H46" s="11" t="s">
        <v>342</v>
      </c>
    </row>
    <row r="47" customFormat="false" ht="15" hidden="false" customHeight="false" outlineLevel="0" collapsed="false">
      <c r="B47" s="11" t="s">
        <v>575</v>
      </c>
      <c r="C47" s="11" t="s">
        <v>576</v>
      </c>
      <c r="D47" s="9" t="n">
        <v>10168.7457627119</v>
      </c>
      <c r="E47" s="11" t="s">
        <v>572</v>
      </c>
      <c r="F47" s="11" t="s">
        <v>380</v>
      </c>
      <c r="G47" s="13" t="s">
        <v>451</v>
      </c>
      <c r="H47" s="11" t="s">
        <v>342</v>
      </c>
    </row>
    <row r="48" customFormat="false" ht="15" hidden="false" customHeight="false" outlineLevel="0" collapsed="false">
      <c r="B48" s="11" t="s">
        <v>384</v>
      </c>
      <c r="C48" s="11" t="s">
        <v>577</v>
      </c>
      <c r="D48" s="9" t="n">
        <v>5193.83908474576</v>
      </c>
      <c r="E48" s="11" t="s">
        <v>572</v>
      </c>
      <c r="F48" s="11"/>
      <c r="G48" s="13" t="s">
        <v>451</v>
      </c>
      <c r="H48" s="11" t="s">
        <v>342</v>
      </c>
    </row>
    <row r="49" customFormat="false" ht="15" hidden="false" customHeight="false" outlineLevel="0" collapsed="false">
      <c r="B49" s="11" t="s">
        <v>578</v>
      </c>
      <c r="C49" s="11" t="s">
        <v>579</v>
      </c>
      <c r="D49" s="10" t="n">
        <v>73.9635593220339</v>
      </c>
      <c r="E49" s="11" t="s">
        <v>572</v>
      </c>
      <c r="F49" s="11"/>
      <c r="G49" s="13" t="s">
        <v>451</v>
      </c>
      <c r="H49" s="11" t="s">
        <v>342</v>
      </c>
    </row>
    <row r="50" customFormat="false" ht="15" hidden="false" customHeight="false" outlineLevel="0" collapsed="false">
      <c r="B50" s="11" t="s">
        <v>386</v>
      </c>
      <c r="C50" s="11" t="s">
        <v>580</v>
      </c>
      <c r="D50" s="9" t="n">
        <v>1617.1320754717</v>
      </c>
      <c r="E50" s="11" t="s">
        <v>572</v>
      </c>
      <c r="F50" s="11" t="s">
        <v>387</v>
      </c>
      <c r="G50" s="13" t="s">
        <v>451</v>
      </c>
      <c r="H50" s="11" t="s">
        <v>342</v>
      </c>
    </row>
    <row r="51" customFormat="false" ht="15" hidden="false" customHeight="false" outlineLevel="0" collapsed="false">
      <c r="B51" s="11" t="s">
        <v>374</v>
      </c>
      <c r="C51" s="11" t="s">
        <v>581</v>
      </c>
      <c r="D51" s="26" t="n">
        <v>0.189497079785851</v>
      </c>
      <c r="E51" s="11" t="s">
        <v>582</v>
      </c>
      <c r="F51" s="11"/>
      <c r="G51" s="13" t="s">
        <v>451</v>
      </c>
      <c r="H51" s="11" t="s">
        <v>342</v>
      </c>
    </row>
    <row r="52" customFormat="false" ht="15" hidden="false" customHeight="false" outlineLevel="0" collapsed="false">
      <c r="B52" s="11" t="s">
        <v>375</v>
      </c>
      <c r="C52" s="11" t="s">
        <v>583</v>
      </c>
      <c r="D52" s="26" t="n">
        <v>0.206162511917541</v>
      </c>
      <c r="E52" s="11" t="s">
        <v>582</v>
      </c>
      <c r="F52" s="11"/>
      <c r="G52" s="13" t="s">
        <v>451</v>
      </c>
      <c r="H52" s="11" t="s">
        <v>342</v>
      </c>
    </row>
    <row r="53" customFormat="false" ht="15" hidden="false" customHeight="false" outlineLevel="0" collapsed="false">
      <c r="B53" s="11" t="s">
        <v>584</v>
      </c>
      <c r="C53" s="11" t="s">
        <v>585</v>
      </c>
      <c r="D53" s="22" t="n">
        <v>17</v>
      </c>
      <c r="E53" s="11" t="s">
        <v>154</v>
      </c>
      <c r="F53" s="11"/>
      <c r="G53" s="13" t="s">
        <v>451</v>
      </c>
      <c r="H53" s="11" t="s">
        <v>5</v>
      </c>
    </row>
    <row r="54" customFormat="false" ht="15" hidden="false" customHeight="false" outlineLevel="0" collapsed="false">
      <c r="B54" s="11" t="s">
        <v>586</v>
      </c>
      <c r="C54" s="11" t="s">
        <v>587</v>
      </c>
      <c r="D54" s="22" t="n">
        <v>15</v>
      </c>
      <c r="E54" s="11" t="s">
        <v>588</v>
      </c>
      <c r="F54" s="11"/>
      <c r="G54" s="13" t="s">
        <v>451</v>
      </c>
      <c r="H54" s="11" t="s">
        <v>5</v>
      </c>
    </row>
    <row r="55" customFormat="false" ht="15" hidden="false" customHeight="false" outlineLevel="0" collapsed="false">
      <c r="B55" s="11" t="s">
        <v>589</v>
      </c>
      <c r="C55" s="11" t="s">
        <v>590</v>
      </c>
      <c r="D55" s="26" t="n">
        <v>0.0878123675195069</v>
      </c>
      <c r="E55" s="11" t="s">
        <v>591</v>
      </c>
      <c r="F55" s="11"/>
      <c r="G55" s="13" t="s">
        <v>451</v>
      </c>
      <c r="H55" s="11" t="s">
        <v>342</v>
      </c>
    </row>
    <row r="56" customFormat="false" ht="15" hidden="false" customHeight="false" outlineLevel="0" collapsed="false">
      <c r="B56" s="11" t="s">
        <v>592</v>
      </c>
      <c r="C56" s="11" t="s">
        <v>593</v>
      </c>
      <c r="D56" s="26" t="n">
        <v>0.385072814143474</v>
      </c>
      <c r="E56" s="11" t="s">
        <v>591</v>
      </c>
      <c r="F56" s="11"/>
      <c r="G56" s="13" t="s">
        <v>451</v>
      </c>
      <c r="H56" s="11" t="s">
        <v>342</v>
      </c>
    </row>
    <row r="57" customFormat="false" ht="15" hidden="false" customHeight="false" outlineLevel="0" collapsed="false">
      <c r="B57" s="11" t="s">
        <v>594</v>
      </c>
      <c r="C57" s="11" t="s">
        <v>595</v>
      </c>
      <c r="D57" s="22" t="n">
        <v>28</v>
      </c>
      <c r="E57" s="11" t="s">
        <v>596</v>
      </c>
      <c r="F57" s="11"/>
      <c r="G57" s="13" t="s">
        <v>451</v>
      </c>
      <c r="H57" s="11" t="s">
        <v>5</v>
      </c>
    </row>
    <row r="58" customFormat="false" ht="15" hidden="false" customHeight="false" outlineLevel="0" collapsed="false">
      <c r="B58" s="11" t="s">
        <v>597</v>
      </c>
      <c r="C58" s="11" t="s">
        <v>598</v>
      </c>
      <c r="D58" s="22" t="n">
        <v>9</v>
      </c>
      <c r="E58" s="11" t="s">
        <v>599</v>
      </c>
      <c r="F58" s="11"/>
      <c r="G58" s="13" t="s">
        <v>451</v>
      </c>
      <c r="H58" s="11" t="s">
        <v>600</v>
      </c>
    </row>
    <row r="59" customFormat="false" ht="15" hidden="false" customHeight="false" outlineLevel="0" collapsed="false">
      <c r="B59" s="11" t="s">
        <v>601</v>
      </c>
      <c r="C59" s="11" t="s">
        <v>602</v>
      </c>
      <c r="D59" s="22" t="n">
        <v>2</v>
      </c>
      <c r="E59" s="11" t="s">
        <v>599</v>
      </c>
      <c r="F59" s="11"/>
      <c r="G59" s="13" t="s">
        <v>451</v>
      </c>
      <c r="H59" s="11" t="s">
        <v>603</v>
      </c>
    </row>
    <row r="60" customFormat="false" ht="15" hidden="false" customHeight="false" outlineLevel="0" collapsed="false">
      <c r="B60" s="11" t="s">
        <v>604</v>
      </c>
      <c r="C60" s="11" t="s">
        <v>605</v>
      </c>
      <c r="D60" s="22" t="n">
        <v>10</v>
      </c>
      <c r="E60" s="11" t="s">
        <v>599</v>
      </c>
      <c r="F60" s="11"/>
      <c r="G60" s="13" t="s">
        <v>451</v>
      </c>
      <c r="H60" s="11" t="s">
        <v>606</v>
      </c>
    </row>
    <row r="61" customFormat="false" ht="15" hidden="false" customHeight="false" outlineLevel="0" collapsed="false">
      <c r="B61" s="11" t="s">
        <v>607</v>
      </c>
      <c r="C61" s="11" t="s">
        <v>608</v>
      </c>
      <c r="D61" s="22" t="n">
        <v>7</v>
      </c>
      <c r="E61" s="11" t="s">
        <v>599</v>
      </c>
      <c r="F61" s="11"/>
      <c r="G61" s="13" t="s">
        <v>451</v>
      </c>
      <c r="H61" s="11" t="s">
        <v>609</v>
      </c>
    </row>
    <row r="62" customFormat="false" ht="15" hidden="false" customHeight="false" outlineLevel="0" collapsed="false">
      <c r="B62" s="11" t="s">
        <v>610</v>
      </c>
      <c r="C62" s="11" t="s">
        <v>611</v>
      </c>
      <c r="D62" s="22" t="n">
        <v>273</v>
      </c>
      <c r="E62" s="11" t="s">
        <v>599</v>
      </c>
      <c r="F62" s="11" t="s">
        <v>612</v>
      </c>
      <c r="G62" s="13" t="s">
        <v>451</v>
      </c>
      <c r="H62" s="11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614</v>
      </c>
    </row>
    <row r="3" customFormat="false" ht="21.75" hidden="false" customHeight="true" outlineLevel="0" collapsed="false">
      <c r="B3" s="2" t="s">
        <v>615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616</v>
      </c>
      <c r="C5" s="3" t="s">
        <v>161</v>
      </c>
      <c r="D5" s="3" t="s">
        <v>162</v>
      </c>
      <c r="E5" s="3" t="s">
        <v>163</v>
      </c>
      <c r="F5" s="3" t="s">
        <v>164</v>
      </c>
      <c r="G5" s="3" t="s">
        <v>617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166</v>
      </c>
      <c r="D6" s="11" t="s">
        <v>167</v>
      </c>
      <c r="E6" s="9" t="n">
        <v>177659.83</v>
      </c>
      <c r="F6" s="22" t="n">
        <v>183</v>
      </c>
      <c r="G6" s="17" t="n">
        <f aca="false">E6/520745.58</f>
        <v>0.341164355154008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169</v>
      </c>
      <c r="D7" s="11" t="s">
        <v>170</v>
      </c>
      <c r="E7" s="9" t="n">
        <v>125346.97</v>
      </c>
      <c r="F7" s="22" t="n">
        <v>63</v>
      </c>
      <c r="G7" s="17" t="n">
        <f aca="false">E7/520745.58</f>
        <v>0.240706738211777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171</v>
      </c>
      <c r="D8" s="11" t="s">
        <v>172</v>
      </c>
      <c r="E8" s="9" t="n">
        <v>103120.85</v>
      </c>
      <c r="F8" s="22" t="n">
        <v>45</v>
      </c>
      <c r="G8" s="17" t="n">
        <f aca="false">E8/520745.58</f>
        <v>0.198025396586179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173</v>
      </c>
      <c r="D9" s="11" t="s">
        <v>174</v>
      </c>
      <c r="E9" s="9" t="n">
        <v>49315.84</v>
      </c>
      <c r="F9" s="22" t="n">
        <v>2</v>
      </c>
      <c r="G9" s="17" t="n">
        <f aca="false">E9/520745.58</f>
        <v>0.0947023688612009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175</v>
      </c>
      <c r="D10" s="11" t="s">
        <v>176</v>
      </c>
      <c r="E10" s="9" t="n">
        <v>31908.72</v>
      </c>
      <c r="F10" s="22" t="n">
        <v>42</v>
      </c>
      <c r="G10" s="17" t="n">
        <f aca="false">E10/520745.58</f>
        <v>0.0612750664153501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177</v>
      </c>
      <c r="D11" s="11" t="s">
        <v>178</v>
      </c>
      <c r="E11" s="9" t="n">
        <v>16675</v>
      </c>
      <c r="F11" s="22" t="n">
        <v>2</v>
      </c>
      <c r="G11" s="17" t="n">
        <f aca="false">E11/520745.58</f>
        <v>0.0320213951695951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180</v>
      </c>
      <c r="D12" s="11" t="s">
        <v>181</v>
      </c>
      <c r="E12" s="9" t="n">
        <v>4187.5</v>
      </c>
      <c r="F12" s="22" t="n">
        <v>1</v>
      </c>
      <c r="G12" s="17" t="n">
        <f aca="false">E12/520745.58</f>
        <v>0.0080413548589313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182</v>
      </c>
      <c r="D13" s="11" t="s">
        <v>183</v>
      </c>
      <c r="E13" s="9" t="n">
        <v>3875</v>
      </c>
      <c r="F13" s="22" t="n">
        <v>3</v>
      </c>
      <c r="G13" s="17" t="n">
        <f aca="false">E13/520745.58</f>
        <v>0.00744125375005583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184</v>
      </c>
      <c r="D14" s="11" t="s">
        <v>185</v>
      </c>
      <c r="E14" s="9" t="n">
        <v>3078.97</v>
      </c>
      <c r="F14" s="22" t="n">
        <v>7</v>
      </c>
      <c r="G14" s="17" t="n">
        <f aca="false">E14/520745.58</f>
        <v>0.00591261859582178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186</v>
      </c>
      <c r="D15" s="11" t="s">
        <v>187</v>
      </c>
      <c r="E15" s="9" t="n">
        <v>2978.42</v>
      </c>
      <c r="F15" s="22" t="n">
        <v>7</v>
      </c>
      <c r="G15" s="17" t="n">
        <f aca="false">E15/520745.58</f>
        <v>0.00571953006303001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188</v>
      </c>
      <c r="D16" s="11" t="s">
        <v>189</v>
      </c>
      <c r="E16" s="9" t="n">
        <v>984</v>
      </c>
      <c r="F16" s="22" t="n">
        <v>1</v>
      </c>
      <c r="G16" s="17" t="n">
        <f aca="false">E16/520745.58</f>
        <v>0.00188959837162708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190</v>
      </c>
      <c r="D17" s="11" t="s">
        <v>191</v>
      </c>
      <c r="E17" s="9" t="n">
        <v>531.75</v>
      </c>
      <c r="F17" s="22" t="n">
        <v>8</v>
      </c>
      <c r="G17" s="17" t="n">
        <f aca="false">E17/520745.58</f>
        <v>0.0010211320468625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193</v>
      </c>
      <c r="D18" s="11" t="s">
        <v>194</v>
      </c>
      <c r="E18" s="9" t="n">
        <v>451.36</v>
      </c>
      <c r="F18" s="22" t="n">
        <v>4</v>
      </c>
      <c r="G18" s="17" t="n">
        <f aca="false">E18/520745.58</f>
        <v>0.000866757236806504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195</v>
      </c>
      <c r="D19" s="11" t="s">
        <v>196</v>
      </c>
      <c r="E19" s="9" t="n">
        <v>265</v>
      </c>
      <c r="F19" s="22" t="n">
        <v>3</v>
      </c>
      <c r="G19" s="17" t="n">
        <f aca="false">E19/520745.58</f>
        <v>0.000508885740326399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198</v>
      </c>
      <c r="D20" s="11" t="s">
        <v>199</v>
      </c>
      <c r="E20" s="9" t="n">
        <v>169.87</v>
      </c>
      <c r="F20" s="22" t="n">
        <v>2</v>
      </c>
      <c r="G20" s="17" t="n">
        <f aca="false">E20/520745.58</f>
        <v>0.000326205361166964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200</v>
      </c>
      <c r="D21" s="11" t="s">
        <v>201</v>
      </c>
      <c r="E21" s="9" t="n">
        <v>103</v>
      </c>
      <c r="F21" s="22" t="n">
        <v>1</v>
      </c>
      <c r="G21" s="17" t="n">
        <f aca="false">E21/520745.58</f>
        <v>0.000197793325485355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203</v>
      </c>
      <c r="D22" s="11" t="s">
        <v>204</v>
      </c>
      <c r="E22" s="9" t="n">
        <v>93.5</v>
      </c>
      <c r="F22" s="22" t="n">
        <v>1</v>
      </c>
      <c r="G22" s="17" t="n">
        <f aca="false">E22/520745.58</f>
        <v>0.000179550251775541</v>
      </c>
      <c r="H22" s="11" t="s">
        <v>5</v>
      </c>
    </row>
    <row r="23" customFormat="false" ht="15" hidden="false" customHeight="false" outlineLevel="0" collapsed="false">
      <c r="B23" s="18" t="s">
        <v>144</v>
      </c>
      <c r="E23" s="20" t="n">
        <f aca="false">SUM(E6:E22)</f>
        <v>520745.58</v>
      </c>
      <c r="F23" s="23" t="n">
        <f aca="false">SUM(F6:F22)</f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618</v>
      </c>
    </row>
    <row r="3" customFormat="false" ht="21.75" hidden="false" customHeight="true" outlineLevel="0" collapsed="false">
      <c r="B3" s="2" t="s">
        <v>619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620</v>
      </c>
      <c r="C5" s="3" t="s">
        <v>394</v>
      </c>
      <c r="D5" s="3" t="s">
        <v>392</v>
      </c>
      <c r="E5" s="3" t="s">
        <v>621</v>
      </c>
      <c r="F5" s="3" t="s">
        <v>622</v>
      </c>
      <c r="G5" s="3" t="s">
        <v>623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624</v>
      </c>
      <c r="C6" s="11" t="s">
        <v>625</v>
      </c>
      <c r="D6" s="11" t="s">
        <v>397</v>
      </c>
      <c r="E6" s="11" t="s">
        <v>626</v>
      </c>
      <c r="F6" s="11" t="s">
        <v>12</v>
      </c>
      <c r="G6" s="27" t="n">
        <v>2898965</v>
      </c>
      <c r="H6" s="11" t="s">
        <v>404</v>
      </c>
      <c r="I6" s="11" t="s">
        <v>20</v>
      </c>
    </row>
    <row r="7" customFormat="false" ht="15" hidden="false" customHeight="false" outlineLevel="0" collapsed="false">
      <c r="B7" s="11" t="s">
        <v>627</v>
      </c>
      <c r="C7" s="11" t="s">
        <v>628</v>
      </c>
      <c r="D7" s="11" t="s">
        <v>414</v>
      </c>
      <c r="E7" s="11" t="s">
        <v>629</v>
      </c>
      <c r="F7" s="11" t="s">
        <v>630</v>
      </c>
      <c r="G7" s="27" t="n">
        <v>0</v>
      </c>
      <c r="H7" s="11" t="s">
        <v>631</v>
      </c>
      <c r="I7" s="11" t="s">
        <v>5</v>
      </c>
    </row>
    <row r="8" customFormat="false" ht="15" hidden="false" customHeight="false" outlineLevel="0" collapsed="false">
      <c r="B8" s="11" t="s">
        <v>632</v>
      </c>
      <c r="C8" s="11" t="s">
        <v>628</v>
      </c>
      <c r="D8" s="11" t="s">
        <v>441</v>
      </c>
      <c r="E8" s="11" t="s">
        <v>633</v>
      </c>
      <c r="F8" s="11" t="s">
        <v>630</v>
      </c>
      <c r="G8" s="27" t="n">
        <v>0</v>
      </c>
      <c r="H8" s="11" t="s">
        <v>631</v>
      </c>
      <c r="I8" s="11" t="s">
        <v>5</v>
      </c>
    </row>
    <row r="9" customFormat="false" ht="15" hidden="false" customHeight="false" outlineLevel="0" collapsed="false">
      <c r="B9" s="11" t="s">
        <v>634</v>
      </c>
      <c r="C9" s="11" t="s">
        <v>535</v>
      </c>
      <c r="D9" s="11" t="s">
        <v>635</v>
      </c>
      <c r="E9" s="11" t="s">
        <v>636</v>
      </c>
      <c r="F9" s="11" t="s">
        <v>69</v>
      </c>
      <c r="G9" s="27" t="n">
        <v>0</v>
      </c>
      <c r="H9" s="11" t="s">
        <v>637</v>
      </c>
      <c r="I9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638</v>
      </c>
    </row>
    <row r="3" customFormat="false" ht="21.75" hidden="false" customHeight="true" outlineLevel="0" collapsed="false">
      <c r="B3" s="2" t="s">
        <v>639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147</v>
      </c>
      <c r="C5" s="3" t="s">
        <v>640</v>
      </c>
      <c r="D5" s="3" t="s">
        <v>641</v>
      </c>
      <c r="E5" s="3" t="s">
        <v>642</v>
      </c>
      <c r="F5" s="3" t="s">
        <v>334</v>
      </c>
    </row>
    <row r="6" customFormat="false" ht="15" hidden="false" customHeight="false" outlineLevel="0" collapsed="false">
      <c r="B6" s="11" t="s">
        <v>643</v>
      </c>
      <c r="C6" s="11" t="s">
        <v>644</v>
      </c>
      <c r="D6" s="27" t="n">
        <v>100815</v>
      </c>
      <c r="E6" s="11" t="s">
        <v>645</v>
      </c>
      <c r="F6" s="11" t="s">
        <v>646</v>
      </c>
    </row>
    <row r="7" customFormat="false" ht="15" hidden="false" customHeight="false" outlineLevel="0" collapsed="false">
      <c r="B7" s="11" t="s">
        <v>152</v>
      </c>
      <c r="C7" s="11" t="s">
        <v>647</v>
      </c>
      <c r="D7" s="27" t="n">
        <v>-280460.45</v>
      </c>
      <c r="E7" s="11" t="s">
        <v>648</v>
      </c>
      <c r="F7" s="11" t="s">
        <v>51</v>
      </c>
    </row>
    <row r="8" customFormat="false" ht="15" hidden="false" customHeight="false" outlineLevel="0" collapsed="false">
      <c r="B8" s="11" t="s">
        <v>154</v>
      </c>
      <c r="C8" s="11" t="s">
        <v>649</v>
      </c>
      <c r="D8" s="27" t="n">
        <v>-73379.82</v>
      </c>
      <c r="E8" s="11" t="s">
        <v>650</v>
      </c>
      <c r="F8" s="11" t="s">
        <v>651</v>
      </c>
    </row>
    <row r="9" customFormat="false" ht="15" hidden="false" customHeight="false" outlineLevel="0" collapsed="false">
      <c r="B9" s="11" t="s">
        <v>156</v>
      </c>
      <c r="C9" s="11" t="s">
        <v>652</v>
      </c>
      <c r="D9" s="27" t="n">
        <v>-8758.56</v>
      </c>
      <c r="E9" s="11" t="s">
        <v>653</v>
      </c>
      <c r="F9" s="11"/>
    </row>
    <row r="10" customFormat="false" ht="15" hidden="false" customHeight="false" outlineLevel="0" collapsed="false">
      <c r="B10" s="11" t="s">
        <v>654</v>
      </c>
      <c r="C10" s="11" t="s">
        <v>655</v>
      </c>
      <c r="D10" s="27" t="n">
        <v>-155867.18</v>
      </c>
      <c r="E10" s="11" t="s">
        <v>656</v>
      </c>
      <c r="F10" s="11"/>
    </row>
    <row r="11" customFormat="false" ht="15" hidden="false" customHeight="false" outlineLevel="0" collapsed="false">
      <c r="B11" s="18" t="s">
        <v>657</v>
      </c>
      <c r="D11" s="16" t="n">
        <f aca="false">SUM(D6:D10)</f>
        <v>-417651.01</v>
      </c>
    </row>
    <row r="14" customFormat="false" ht="15" hidden="false" customHeight="false" outlineLevel="0" collapsed="false">
      <c r="B14" s="3" t="s">
        <v>658</v>
      </c>
    </row>
    <row r="15" customFormat="false" ht="15" hidden="false" customHeight="false" outlineLevel="0" collapsed="false">
      <c r="B15" s="3" t="s">
        <v>659</v>
      </c>
      <c r="C15" s="3" t="s">
        <v>660</v>
      </c>
      <c r="D15" s="3" t="s">
        <v>661</v>
      </c>
      <c r="E15" s="3" t="s">
        <v>334</v>
      </c>
    </row>
    <row r="16" customFormat="false" ht="15" hidden="false" customHeight="false" outlineLevel="0" collapsed="false">
      <c r="B16" s="11" t="s">
        <v>662</v>
      </c>
      <c r="C16" s="22" t="n">
        <v>9</v>
      </c>
      <c r="D16" s="27" t="n">
        <v>100815</v>
      </c>
      <c r="E16" s="11" t="s">
        <v>663</v>
      </c>
    </row>
    <row r="17" customFormat="false" ht="15" hidden="false" customHeight="false" outlineLevel="0" collapsed="false">
      <c r="B17" s="11" t="s">
        <v>664</v>
      </c>
      <c r="C17" s="22" t="n">
        <v>11</v>
      </c>
      <c r="D17" s="27" t="n">
        <v>-280460.45</v>
      </c>
      <c r="E17" s="11" t="s">
        <v>665</v>
      </c>
    </row>
    <row r="18" customFormat="false" ht="15" hidden="false" customHeight="false" outlineLevel="0" collapsed="false">
      <c r="B18" s="11" t="s">
        <v>666</v>
      </c>
      <c r="C18" s="22" t="n">
        <v>9</v>
      </c>
      <c r="D18" s="27" t="n">
        <v>-73379.82</v>
      </c>
      <c r="E18" s="11" t="s">
        <v>651</v>
      </c>
    </row>
    <row r="19" customFormat="false" ht="15" hidden="false" customHeight="false" outlineLevel="0" collapsed="false">
      <c r="B19" s="11" t="s">
        <v>667</v>
      </c>
      <c r="C19" s="22" t="n">
        <v>2</v>
      </c>
      <c r="D19" s="27" t="n">
        <v>-155867.18</v>
      </c>
      <c r="E19" s="11" t="s">
        <v>668</v>
      </c>
    </row>
    <row r="20" customFormat="false" ht="15" hidden="false" customHeight="false" outlineLevel="0" collapsed="false">
      <c r="B20" s="11" t="s">
        <v>669</v>
      </c>
      <c r="C20" s="22" t="n">
        <v>5</v>
      </c>
      <c r="D20" s="27" t="n">
        <v>-8758.56</v>
      </c>
      <c r="E20" s="11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671</v>
      </c>
    </row>
    <row r="3" customFormat="false" ht="21.75" hidden="false" customHeight="true" outlineLevel="0" collapsed="false">
      <c r="B3" s="2" t="s">
        <v>672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673</v>
      </c>
    </row>
    <row r="6" customFormat="false" ht="15" hidden="false" customHeight="false" outlineLevel="0" collapsed="false">
      <c r="B6" s="3" t="s">
        <v>674</v>
      </c>
      <c r="C6" s="3" t="s">
        <v>675</v>
      </c>
      <c r="D6" s="3" t="s">
        <v>676</v>
      </c>
      <c r="E6" s="3" t="s">
        <v>67</v>
      </c>
      <c r="F6" s="3" t="s">
        <v>677</v>
      </c>
    </row>
    <row r="7" customFormat="false" ht="15" hidden="false" customHeight="false" outlineLevel="0" collapsed="false">
      <c r="B7" s="11" t="s">
        <v>678</v>
      </c>
      <c r="C7" s="11" t="s">
        <v>679</v>
      </c>
      <c r="D7" s="11" t="s">
        <v>680</v>
      </c>
      <c r="E7" s="13" t="s">
        <v>681</v>
      </c>
      <c r="F7" s="11" t="s">
        <v>682</v>
      </c>
    </row>
    <row r="8" customFormat="false" ht="15" hidden="false" customHeight="false" outlineLevel="0" collapsed="false">
      <c r="B8" s="11" t="s">
        <v>374</v>
      </c>
      <c r="C8" s="24" t="n">
        <v>0.189497079785851</v>
      </c>
      <c r="D8" s="11" t="s">
        <v>683</v>
      </c>
      <c r="E8" s="13" t="s">
        <v>681</v>
      </c>
      <c r="F8" s="11" t="s">
        <v>684</v>
      </c>
    </row>
    <row r="9" customFormat="false" ht="15" hidden="false" customHeight="false" outlineLevel="0" collapsed="false">
      <c r="B9" s="11" t="s">
        <v>685</v>
      </c>
      <c r="C9" s="24" t="n">
        <v>0.0476682323370381</v>
      </c>
      <c r="D9" s="11" t="s">
        <v>686</v>
      </c>
      <c r="E9" s="13" t="s">
        <v>681</v>
      </c>
      <c r="F9" s="11" t="s">
        <v>687</v>
      </c>
    </row>
    <row r="10" customFormat="false" ht="15" hidden="false" customHeight="false" outlineLevel="0" collapsed="false">
      <c r="B10" s="11" t="s">
        <v>688</v>
      </c>
      <c r="C10" s="24" t="n">
        <v>0.935873925228516</v>
      </c>
      <c r="D10" s="11" t="s">
        <v>689</v>
      </c>
      <c r="E10" s="13" t="s">
        <v>681</v>
      </c>
      <c r="F10" s="11" t="s">
        <v>690</v>
      </c>
    </row>
    <row r="11" customFormat="false" ht="15" hidden="false" customHeight="false" outlineLevel="0" collapsed="false">
      <c r="B11" s="11" t="s">
        <v>691</v>
      </c>
      <c r="C11" s="24" t="n">
        <v>0.05</v>
      </c>
      <c r="D11" s="11" t="s">
        <v>692</v>
      </c>
      <c r="E11" s="13" t="s">
        <v>681</v>
      </c>
      <c r="F11" s="11" t="s">
        <v>693</v>
      </c>
    </row>
    <row r="12" customFormat="false" ht="15" hidden="false" customHeight="false" outlineLevel="0" collapsed="false">
      <c r="B12" s="11" t="s">
        <v>373</v>
      </c>
      <c r="C12" s="24" t="n">
        <v>0.489235033902486</v>
      </c>
      <c r="D12" s="11" t="s">
        <v>694</v>
      </c>
      <c r="E12" s="13" t="s">
        <v>681</v>
      </c>
      <c r="F12" s="11" t="s">
        <v>695</v>
      </c>
    </row>
    <row r="13" customFormat="false" ht="15" hidden="false" customHeight="false" outlineLevel="0" collapsed="false">
      <c r="B13" s="11" t="s">
        <v>696</v>
      </c>
      <c r="C13" s="10" t="n">
        <v>21819.25</v>
      </c>
      <c r="D13" s="11" t="s">
        <v>697</v>
      </c>
      <c r="E13" s="28" t="s">
        <v>698</v>
      </c>
      <c r="F13" s="11" t="s">
        <v>699</v>
      </c>
    </row>
    <row r="14" customFormat="false" ht="15" hidden="false" customHeight="false" outlineLevel="0" collapsed="false">
      <c r="B14" s="11" t="s">
        <v>700</v>
      </c>
      <c r="C14" s="24" t="n">
        <v>0.0878123675195069</v>
      </c>
      <c r="D14" s="11" t="s">
        <v>701</v>
      </c>
      <c r="E14" s="13" t="s">
        <v>681</v>
      </c>
      <c r="F14" s="11" t="s">
        <v>702</v>
      </c>
    </row>
    <row r="15" customFormat="false" ht="15" hidden="false" customHeight="false" outlineLevel="0" collapsed="false">
      <c r="B15" s="11" t="s">
        <v>703</v>
      </c>
      <c r="C15" s="24" t="n">
        <v>0.661091034245397</v>
      </c>
      <c r="D15" s="11" t="s">
        <v>704</v>
      </c>
      <c r="E15" s="29" t="s">
        <v>705</v>
      </c>
      <c r="F15" s="11" t="s">
        <v>706</v>
      </c>
    </row>
    <row r="16" customFormat="false" ht="15" hidden="false" customHeight="false" outlineLevel="0" collapsed="false">
      <c r="B16" s="11" t="s">
        <v>707</v>
      </c>
      <c r="C16" s="11" t="s">
        <v>708</v>
      </c>
      <c r="D16" s="11" t="s">
        <v>709</v>
      </c>
      <c r="E16" s="29" t="s">
        <v>705</v>
      </c>
      <c r="F16" s="11" t="s">
        <v>710</v>
      </c>
    </row>
    <row r="18" customFormat="false" ht="15" hidden="false" customHeight="false" outlineLevel="0" collapsed="false">
      <c r="B18" s="3" t="s">
        <v>711</v>
      </c>
    </row>
    <row r="19" customFormat="false" ht="15" hidden="false" customHeight="false" outlineLevel="0" collapsed="false">
      <c r="B19" s="3" t="s">
        <v>712</v>
      </c>
      <c r="C19" s="3" t="s">
        <v>713</v>
      </c>
      <c r="D19" s="3" t="s">
        <v>448</v>
      </c>
      <c r="E19" s="3" t="s">
        <v>714</v>
      </c>
      <c r="F19" s="3" t="s">
        <v>715</v>
      </c>
    </row>
    <row r="20" customFormat="false" ht="15" hidden="false" customHeight="false" outlineLevel="0" collapsed="false">
      <c r="B20" s="11" t="s">
        <v>716</v>
      </c>
      <c r="C20" s="24" t="n">
        <v>0.489235033902486</v>
      </c>
      <c r="D20" s="11" t="s">
        <v>83</v>
      </c>
      <c r="E20" s="11" t="s">
        <v>717</v>
      </c>
      <c r="F20" s="11" t="s">
        <v>695</v>
      </c>
    </row>
    <row r="21" customFormat="false" ht="15" hidden="false" customHeight="false" outlineLevel="0" collapsed="false">
      <c r="B21" s="11" t="s">
        <v>718</v>
      </c>
      <c r="C21" s="11" t="s">
        <v>710</v>
      </c>
      <c r="D21" s="11" t="s">
        <v>637</v>
      </c>
      <c r="E21" s="11" t="s">
        <v>719</v>
      </c>
      <c r="F21" s="11" t="s">
        <v>637</v>
      </c>
    </row>
    <row r="22" customFormat="false" ht="15" hidden="false" customHeight="false" outlineLevel="0" collapsed="false">
      <c r="B22" s="11" t="s">
        <v>720</v>
      </c>
      <c r="C22" s="11" t="s">
        <v>721</v>
      </c>
      <c r="D22" s="11" t="s">
        <v>451</v>
      </c>
      <c r="E22" s="11" t="s">
        <v>380</v>
      </c>
      <c r="F22" s="11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722</v>
      </c>
    </row>
    <row r="3" customFormat="false" ht="21.75" hidden="false" customHeight="true" outlineLevel="0" collapsed="false">
      <c r="B3" s="2" t="s">
        <v>723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445</v>
      </c>
      <c r="C5" s="3" t="s">
        <v>724</v>
      </c>
      <c r="D5" s="3" t="s">
        <v>725</v>
      </c>
      <c r="E5" s="3" t="s">
        <v>333</v>
      </c>
      <c r="F5" s="3" t="s">
        <v>726</v>
      </c>
      <c r="G5" s="3" t="s">
        <v>727</v>
      </c>
      <c r="H5" s="3" t="s">
        <v>448</v>
      </c>
      <c r="I5" s="3" t="s">
        <v>728</v>
      </c>
    </row>
    <row r="6" customFormat="false" ht="15" hidden="false" customHeight="false" outlineLevel="0" collapsed="false">
      <c r="B6" s="22" t="n">
        <v>1</v>
      </c>
      <c r="C6" s="11" t="s">
        <v>478</v>
      </c>
      <c r="D6" s="11" t="s">
        <v>477</v>
      </c>
      <c r="E6" s="11" t="s">
        <v>4</v>
      </c>
      <c r="F6" s="11" t="s">
        <v>729</v>
      </c>
      <c r="G6" s="11" t="s">
        <v>472</v>
      </c>
      <c r="H6" s="13" t="s">
        <v>451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482</v>
      </c>
      <c r="D7" s="11" t="s">
        <v>481</v>
      </c>
      <c r="E7" s="11" t="s">
        <v>483</v>
      </c>
      <c r="F7" s="11" t="s">
        <v>730</v>
      </c>
      <c r="G7" s="11" t="s">
        <v>472</v>
      </c>
      <c r="H7" s="13" t="s">
        <v>451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484</v>
      </c>
      <c r="D8" s="11" t="s">
        <v>11</v>
      </c>
      <c r="E8" s="11" t="s">
        <v>12</v>
      </c>
      <c r="F8" s="11" t="s">
        <v>730</v>
      </c>
      <c r="G8" s="11" t="s">
        <v>472</v>
      </c>
      <c r="H8" s="13" t="s">
        <v>451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485</v>
      </c>
      <c r="D9" s="11" t="s">
        <v>71</v>
      </c>
      <c r="E9" s="11" t="s">
        <v>17</v>
      </c>
      <c r="F9" s="11" t="s">
        <v>730</v>
      </c>
      <c r="G9" s="11" t="s">
        <v>472</v>
      </c>
      <c r="H9" s="13" t="s">
        <v>451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486</v>
      </c>
      <c r="D10" s="11" t="s">
        <v>34</v>
      </c>
      <c r="E10" s="11" t="s">
        <v>35</v>
      </c>
      <c r="F10" s="11" t="s">
        <v>730</v>
      </c>
      <c r="G10" s="11" t="s">
        <v>472</v>
      </c>
      <c r="H10" s="13" t="s">
        <v>451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488</v>
      </c>
      <c r="D11" s="11" t="s">
        <v>487</v>
      </c>
      <c r="E11" s="11" t="s">
        <v>28</v>
      </c>
      <c r="F11" s="11" t="s">
        <v>730</v>
      </c>
      <c r="G11" s="11" t="s">
        <v>472</v>
      </c>
      <c r="H11" s="13" t="s">
        <v>451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490</v>
      </c>
      <c r="D12" s="11" t="s">
        <v>489</v>
      </c>
      <c r="E12" s="11" t="s">
        <v>491</v>
      </c>
      <c r="F12" s="11" t="s">
        <v>730</v>
      </c>
      <c r="G12" s="11" t="s">
        <v>472</v>
      </c>
      <c r="H12" s="13" t="s">
        <v>451</v>
      </c>
      <c r="I12" s="11" t="s">
        <v>492</v>
      </c>
    </row>
    <row r="13" customFormat="false" ht="15" hidden="false" customHeight="false" outlineLevel="0" collapsed="false">
      <c r="B13" s="22" t="n">
        <v>8</v>
      </c>
      <c r="C13" s="11" t="s">
        <v>494</v>
      </c>
      <c r="D13" s="11" t="s">
        <v>493</v>
      </c>
      <c r="E13" s="11" t="s">
        <v>30</v>
      </c>
      <c r="F13" s="11" t="s">
        <v>730</v>
      </c>
      <c r="G13" s="11" t="s">
        <v>472</v>
      </c>
      <c r="H13" s="13" t="s">
        <v>451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495</v>
      </c>
      <c r="D14" s="11" t="s">
        <v>18</v>
      </c>
      <c r="E14" s="11" t="s">
        <v>19</v>
      </c>
      <c r="F14" s="11" t="s">
        <v>730</v>
      </c>
      <c r="G14" s="11" t="s">
        <v>472</v>
      </c>
      <c r="H14" s="13" t="s">
        <v>451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497</v>
      </c>
      <c r="D15" s="11" t="s">
        <v>496</v>
      </c>
      <c r="E15" s="11" t="s">
        <v>22</v>
      </c>
      <c r="F15" s="11" t="s">
        <v>730</v>
      </c>
      <c r="G15" s="11" t="s">
        <v>472</v>
      </c>
      <c r="H15" s="13" t="s">
        <v>451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498</v>
      </c>
      <c r="D16" s="11" t="s">
        <v>25</v>
      </c>
      <c r="E16" s="11" t="s">
        <v>26</v>
      </c>
      <c r="F16" s="11" t="s">
        <v>730</v>
      </c>
      <c r="G16" s="11" t="s">
        <v>472</v>
      </c>
      <c r="H16" s="13" t="s">
        <v>451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500</v>
      </c>
      <c r="D17" s="11" t="s">
        <v>499</v>
      </c>
      <c r="E17" s="11" t="s">
        <v>397</v>
      </c>
      <c r="F17" s="11" t="s">
        <v>731</v>
      </c>
      <c r="G17" s="11" t="s">
        <v>472</v>
      </c>
      <c r="H17" s="13" t="s">
        <v>451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502</v>
      </c>
      <c r="D18" s="11" t="s">
        <v>501</v>
      </c>
      <c r="E18" s="11" t="s">
        <v>503</v>
      </c>
      <c r="F18" s="11" t="s">
        <v>731</v>
      </c>
      <c r="G18" s="11" t="s">
        <v>472</v>
      </c>
      <c r="H18" s="13" t="s">
        <v>451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505</v>
      </c>
      <c r="D19" s="11" t="s">
        <v>504</v>
      </c>
      <c r="E19" s="11" t="s">
        <v>506</v>
      </c>
      <c r="F19" s="11" t="s">
        <v>731</v>
      </c>
      <c r="G19" s="11" t="s">
        <v>472</v>
      </c>
      <c r="H19" s="13" t="s">
        <v>451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508</v>
      </c>
      <c r="D20" s="11" t="s">
        <v>507</v>
      </c>
      <c r="E20" s="22" t="n">
        <v>22</v>
      </c>
      <c r="F20" s="11" t="s">
        <v>732</v>
      </c>
      <c r="G20" s="11" t="s">
        <v>472</v>
      </c>
      <c r="H20" s="13" t="s">
        <v>451</v>
      </c>
      <c r="I20" s="11" t="s">
        <v>342</v>
      </c>
    </row>
    <row r="21" customFormat="false" ht="15" hidden="false" customHeight="false" outlineLevel="0" collapsed="false">
      <c r="B21" s="22" t="n">
        <v>16</v>
      </c>
      <c r="C21" s="11" t="s">
        <v>509</v>
      </c>
      <c r="D21" s="11" t="s">
        <v>39</v>
      </c>
      <c r="E21" s="22" t="n">
        <v>295</v>
      </c>
      <c r="F21" s="11" t="s">
        <v>733</v>
      </c>
      <c r="G21" s="11" t="s">
        <v>472</v>
      </c>
      <c r="H21" s="13" t="s">
        <v>451</v>
      </c>
      <c r="I21" s="11" t="s">
        <v>511</v>
      </c>
    </row>
    <row r="22" customFormat="false" ht="15" hidden="false" customHeight="false" outlineLevel="0" collapsed="false">
      <c r="B22" s="22" t="n">
        <v>17</v>
      </c>
      <c r="C22" s="11" t="s">
        <v>513</v>
      </c>
      <c r="D22" s="11" t="s">
        <v>512</v>
      </c>
      <c r="E22" s="22" t="n">
        <v>1855</v>
      </c>
      <c r="F22" s="11" t="s">
        <v>734</v>
      </c>
      <c r="G22" s="11" t="s">
        <v>472</v>
      </c>
      <c r="H22" s="13" t="s">
        <v>451</v>
      </c>
      <c r="I22" s="11" t="s">
        <v>511</v>
      </c>
    </row>
    <row r="23" customFormat="false" ht="15" hidden="false" customHeight="false" outlineLevel="0" collapsed="false">
      <c r="B23" s="22" t="n">
        <v>18</v>
      </c>
      <c r="C23" s="11" t="s">
        <v>516</v>
      </c>
      <c r="D23" s="11" t="s">
        <v>515</v>
      </c>
      <c r="E23" s="9" t="n">
        <v>2898965</v>
      </c>
      <c r="F23" s="11" t="s">
        <v>379</v>
      </c>
      <c r="G23" s="11" t="s">
        <v>472</v>
      </c>
      <c r="H23" s="13" t="s">
        <v>451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519</v>
      </c>
      <c r="D24" s="11" t="s">
        <v>518</v>
      </c>
      <c r="E24" s="9" t="n">
        <v>2999780</v>
      </c>
      <c r="F24" s="11" t="s">
        <v>379</v>
      </c>
      <c r="G24" s="11" t="s">
        <v>472</v>
      </c>
      <c r="H24" s="13" t="s">
        <v>451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521</v>
      </c>
      <c r="D25" s="11" t="s">
        <v>520</v>
      </c>
      <c r="E25" s="9" t="n">
        <v>100815</v>
      </c>
      <c r="F25" s="11" t="s">
        <v>379</v>
      </c>
      <c r="G25" s="11" t="s">
        <v>472</v>
      </c>
      <c r="H25" s="13" t="s">
        <v>451</v>
      </c>
      <c r="I25" s="11" t="s">
        <v>454</v>
      </c>
    </row>
    <row r="26" customFormat="false" ht="15" hidden="false" customHeight="false" outlineLevel="0" collapsed="false">
      <c r="B26" s="22" t="n">
        <v>21</v>
      </c>
      <c r="C26" s="11" t="s">
        <v>524</v>
      </c>
      <c r="D26" s="11" t="s">
        <v>523</v>
      </c>
      <c r="E26" s="26" t="n">
        <v>0.034776204610956</v>
      </c>
      <c r="F26" s="11" t="s">
        <v>372</v>
      </c>
      <c r="G26" s="11" t="s">
        <v>472</v>
      </c>
      <c r="H26" s="13" t="s">
        <v>451</v>
      </c>
      <c r="I26" s="11" t="s">
        <v>342</v>
      </c>
    </row>
    <row r="27" customFormat="false" ht="15" hidden="false" customHeight="false" outlineLevel="0" collapsed="false">
      <c r="B27" s="22" t="n">
        <v>22</v>
      </c>
      <c r="C27" s="11" t="s">
        <v>526</v>
      </c>
      <c r="D27" s="11" t="s">
        <v>525</v>
      </c>
      <c r="E27" s="9" t="n">
        <v>2999780</v>
      </c>
      <c r="F27" s="11" t="s">
        <v>379</v>
      </c>
      <c r="G27" s="11" t="s">
        <v>472</v>
      </c>
      <c r="H27" s="13" t="s">
        <v>451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529</v>
      </c>
      <c r="D28" s="11" t="s">
        <v>528</v>
      </c>
      <c r="E28" s="9" t="n">
        <v>1532182.53</v>
      </c>
      <c r="F28" s="11" t="s">
        <v>379</v>
      </c>
      <c r="G28" s="11" t="s">
        <v>472</v>
      </c>
      <c r="H28" s="13" t="s">
        <v>451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532</v>
      </c>
      <c r="D29" s="11" t="s">
        <v>531</v>
      </c>
      <c r="E29" s="9" t="n">
        <v>1467597.47</v>
      </c>
      <c r="F29" s="11" t="s">
        <v>379</v>
      </c>
      <c r="G29" s="11" t="s">
        <v>472</v>
      </c>
      <c r="H29" s="13" t="s">
        <v>451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534</v>
      </c>
      <c r="D30" s="11" t="s">
        <v>373</v>
      </c>
      <c r="E30" s="26" t="n">
        <v>0.489235033902486</v>
      </c>
      <c r="F30" s="11" t="s">
        <v>372</v>
      </c>
      <c r="G30" s="11" t="s">
        <v>472</v>
      </c>
      <c r="H30" s="13" t="s">
        <v>451</v>
      </c>
      <c r="I30" s="11" t="s">
        <v>342</v>
      </c>
    </row>
    <row r="31" customFormat="false" ht="15" hidden="false" customHeight="false" outlineLevel="0" collapsed="false">
      <c r="B31" s="22" t="n">
        <v>26</v>
      </c>
      <c r="C31" s="11" t="s">
        <v>536</v>
      </c>
      <c r="D31" s="11" t="s">
        <v>535</v>
      </c>
      <c r="E31" s="9" t="n">
        <v>149989</v>
      </c>
      <c r="F31" s="11" t="s">
        <v>379</v>
      </c>
      <c r="G31" s="11" t="s">
        <v>472</v>
      </c>
      <c r="H31" s="13" t="s">
        <v>451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539</v>
      </c>
      <c r="D32" s="11" t="s">
        <v>538</v>
      </c>
      <c r="E32" s="26" t="n">
        <v>0.05</v>
      </c>
      <c r="F32" s="11" t="s">
        <v>372</v>
      </c>
      <c r="G32" s="11" t="s">
        <v>472</v>
      </c>
      <c r="H32" s="13" t="s">
        <v>451</v>
      </c>
      <c r="I32" s="11" t="s">
        <v>342</v>
      </c>
    </row>
    <row r="33" customFormat="false" ht="15" hidden="false" customHeight="false" outlineLevel="0" collapsed="false">
      <c r="B33" s="22" t="n">
        <v>28</v>
      </c>
      <c r="C33" s="11" t="s">
        <v>541</v>
      </c>
      <c r="D33" s="11" t="s">
        <v>540</v>
      </c>
      <c r="E33" s="9" t="n">
        <v>568449.55</v>
      </c>
      <c r="F33" s="11" t="s">
        <v>379</v>
      </c>
      <c r="G33" s="11" t="s">
        <v>472</v>
      </c>
      <c r="H33" s="13" t="s">
        <v>451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544</v>
      </c>
      <c r="D34" s="11" t="s">
        <v>543</v>
      </c>
      <c r="E34" s="9" t="n">
        <v>618442.18</v>
      </c>
      <c r="F34" s="11" t="s">
        <v>379</v>
      </c>
      <c r="G34" s="11" t="s">
        <v>472</v>
      </c>
      <c r="H34" s="13" t="s">
        <v>451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547</v>
      </c>
      <c r="D35" s="11" t="s">
        <v>546</v>
      </c>
      <c r="E35" s="9" t="n">
        <v>48191.44</v>
      </c>
      <c r="F35" s="11" t="s">
        <v>379</v>
      </c>
      <c r="G35" s="11" t="s">
        <v>472</v>
      </c>
      <c r="H35" s="13" t="s">
        <v>451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550</v>
      </c>
      <c r="D36" s="11" t="s">
        <v>549</v>
      </c>
      <c r="E36" s="9" t="n">
        <v>253391.18</v>
      </c>
      <c r="F36" s="11" t="s">
        <v>379</v>
      </c>
      <c r="G36" s="11" t="s">
        <v>472</v>
      </c>
      <c r="H36" s="13" t="s">
        <v>451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553</v>
      </c>
      <c r="D37" s="11" t="s">
        <v>552</v>
      </c>
      <c r="E37" s="9" t="n">
        <v>43708.18</v>
      </c>
      <c r="F37" s="11" t="s">
        <v>379</v>
      </c>
      <c r="G37" s="11" t="s">
        <v>472</v>
      </c>
      <c r="H37" s="13" t="s">
        <v>451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555</v>
      </c>
      <c r="D38" s="11" t="s">
        <v>337</v>
      </c>
      <c r="E38" s="10" t="n">
        <v>21819.25</v>
      </c>
      <c r="F38" s="11" t="s">
        <v>735</v>
      </c>
      <c r="G38" s="11" t="s">
        <v>472</v>
      </c>
      <c r="H38" s="13" t="s">
        <v>451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557</v>
      </c>
      <c r="D39" s="11" t="s">
        <v>335</v>
      </c>
      <c r="E39" s="22" t="n">
        <v>58</v>
      </c>
      <c r="F39" s="11" t="s">
        <v>734</v>
      </c>
      <c r="G39" s="11" t="s">
        <v>472</v>
      </c>
      <c r="H39" s="13" t="s">
        <v>451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560</v>
      </c>
      <c r="D40" s="11" t="s">
        <v>559</v>
      </c>
      <c r="E40" s="9" t="n">
        <v>26.0526622134125</v>
      </c>
      <c r="F40" s="11" t="s">
        <v>359</v>
      </c>
      <c r="G40" s="11" t="s">
        <v>472</v>
      </c>
      <c r="H40" s="13" t="s">
        <v>451</v>
      </c>
      <c r="I40" s="11" t="s">
        <v>342</v>
      </c>
    </row>
    <row r="41" customFormat="false" ht="15" hidden="false" customHeight="false" outlineLevel="0" collapsed="false">
      <c r="B41" s="22" t="n">
        <v>36</v>
      </c>
      <c r="C41" s="11" t="s">
        <v>562</v>
      </c>
      <c r="D41" s="11" t="s">
        <v>561</v>
      </c>
      <c r="E41" s="9" t="n">
        <v>53.4181</v>
      </c>
      <c r="F41" s="11" t="s">
        <v>359</v>
      </c>
      <c r="G41" s="11" t="s">
        <v>472</v>
      </c>
      <c r="H41" s="13" t="s">
        <v>451</v>
      </c>
      <c r="I41" s="11" t="s">
        <v>342</v>
      </c>
    </row>
    <row r="42" customFormat="false" ht="15" hidden="false" customHeight="false" outlineLevel="0" collapsed="false">
      <c r="B42" s="22" t="n">
        <v>37</v>
      </c>
      <c r="C42" s="11" t="s">
        <v>563</v>
      </c>
      <c r="D42" s="11" t="s">
        <v>365</v>
      </c>
      <c r="E42" s="25" t="n">
        <v>1.3421</v>
      </c>
      <c r="F42" s="11" t="s">
        <v>366</v>
      </c>
      <c r="G42" s="11" t="s">
        <v>472</v>
      </c>
      <c r="H42" s="13" t="s">
        <v>451</v>
      </c>
      <c r="I42" s="11" t="s">
        <v>342</v>
      </c>
    </row>
    <row r="43" customFormat="false" ht="15" hidden="false" customHeight="false" outlineLevel="0" collapsed="false">
      <c r="B43" s="22" t="n">
        <v>38</v>
      </c>
      <c r="C43" s="11" t="s">
        <v>565</v>
      </c>
      <c r="D43" s="11" t="s">
        <v>564</v>
      </c>
      <c r="E43" s="10" t="n">
        <v>14406</v>
      </c>
      <c r="F43" s="11" t="s">
        <v>735</v>
      </c>
      <c r="G43" s="11" t="s">
        <v>472</v>
      </c>
      <c r="H43" s="13" t="s">
        <v>451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568</v>
      </c>
      <c r="D44" s="11" t="s">
        <v>567</v>
      </c>
      <c r="E44" s="10" t="n">
        <v>3028.5</v>
      </c>
      <c r="F44" s="11" t="s">
        <v>735</v>
      </c>
      <c r="G44" s="11" t="s">
        <v>472</v>
      </c>
      <c r="H44" s="13" t="s">
        <v>451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571</v>
      </c>
      <c r="D45" s="11" t="s">
        <v>570</v>
      </c>
      <c r="E45" s="9" t="n">
        <v>137.483185719033</v>
      </c>
      <c r="F45" s="11" t="s">
        <v>359</v>
      </c>
      <c r="G45" s="11" t="s">
        <v>472</v>
      </c>
      <c r="H45" s="13" t="s">
        <v>451</v>
      </c>
      <c r="I45" s="11" t="s">
        <v>342</v>
      </c>
    </row>
    <row r="46" customFormat="false" ht="15" hidden="false" customHeight="false" outlineLevel="0" collapsed="false">
      <c r="B46" s="22" t="n">
        <v>41</v>
      </c>
      <c r="C46" s="11" t="s">
        <v>574</v>
      </c>
      <c r="D46" s="11" t="s">
        <v>573</v>
      </c>
      <c r="E46" s="9" t="n">
        <v>67.2615910262727</v>
      </c>
      <c r="F46" s="11" t="s">
        <v>359</v>
      </c>
      <c r="G46" s="11" t="s">
        <v>472</v>
      </c>
      <c r="H46" s="13" t="s">
        <v>451</v>
      </c>
      <c r="I46" s="11" t="s">
        <v>342</v>
      </c>
    </row>
    <row r="47" customFormat="false" ht="15" hidden="false" customHeight="false" outlineLevel="0" collapsed="false">
      <c r="B47" s="22" t="n">
        <v>42</v>
      </c>
      <c r="C47" s="11" t="s">
        <v>576</v>
      </c>
      <c r="D47" s="11" t="s">
        <v>575</v>
      </c>
      <c r="E47" s="9" t="n">
        <v>10168.7457627119</v>
      </c>
      <c r="F47" s="11" t="s">
        <v>379</v>
      </c>
      <c r="G47" s="11" t="s">
        <v>472</v>
      </c>
      <c r="H47" s="13" t="s">
        <v>451</v>
      </c>
      <c r="I47" s="11" t="s">
        <v>342</v>
      </c>
    </row>
    <row r="48" customFormat="false" ht="15" hidden="false" customHeight="false" outlineLevel="0" collapsed="false">
      <c r="B48" s="22" t="n">
        <v>43</v>
      </c>
      <c r="C48" s="11" t="s">
        <v>577</v>
      </c>
      <c r="D48" s="11" t="s">
        <v>384</v>
      </c>
      <c r="E48" s="9" t="n">
        <v>5193.83908474576</v>
      </c>
      <c r="F48" s="11" t="s">
        <v>379</v>
      </c>
      <c r="G48" s="11" t="s">
        <v>472</v>
      </c>
      <c r="H48" s="13" t="s">
        <v>451</v>
      </c>
      <c r="I48" s="11" t="s">
        <v>342</v>
      </c>
    </row>
    <row r="49" customFormat="false" ht="15" hidden="false" customHeight="false" outlineLevel="0" collapsed="false">
      <c r="B49" s="22" t="n">
        <v>44</v>
      </c>
      <c r="C49" s="11" t="s">
        <v>579</v>
      </c>
      <c r="D49" s="11" t="s">
        <v>578</v>
      </c>
      <c r="E49" s="10" t="n">
        <v>73.9635593220339</v>
      </c>
      <c r="F49" s="11" t="s">
        <v>735</v>
      </c>
      <c r="G49" s="11" t="s">
        <v>472</v>
      </c>
      <c r="H49" s="13" t="s">
        <v>451</v>
      </c>
      <c r="I49" s="11" t="s">
        <v>342</v>
      </c>
    </row>
    <row r="50" customFormat="false" ht="15" hidden="false" customHeight="false" outlineLevel="0" collapsed="false">
      <c r="B50" s="22" t="n">
        <v>45</v>
      </c>
      <c r="C50" s="11" t="s">
        <v>580</v>
      </c>
      <c r="D50" s="11" t="s">
        <v>386</v>
      </c>
      <c r="E50" s="9" t="n">
        <v>1617.1320754717</v>
      </c>
      <c r="F50" s="11" t="s">
        <v>379</v>
      </c>
      <c r="G50" s="11" t="s">
        <v>472</v>
      </c>
      <c r="H50" s="13" t="s">
        <v>451</v>
      </c>
      <c r="I50" s="11" t="s">
        <v>342</v>
      </c>
    </row>
    <row r="51" customFormat="false" ht="15" hidden="false" customHeight="false" outlineLevel="0" collapsed="false">
      <c r="B51" s="22" t="n">
        <v>46</v>
      </c>
      <c r="C51" s="11" t="s">
        <v>581</v>
      </c>
      <c r="D51" s="11" t="s">
        <v>374</v>
      </c>
      <c r="E51" s="26" t="n">
        <v>0.189497079785851</v>
      </c>
      <c r="F51" s="11" t="s">
        <v>372</v>
      </c>
      <c r="G51" s="11" t="s">
        <v>472</v>
      </c>
      <c r="H51" s="13" t="s">
        <v>451</v>
      </c>
      <c r="I51" s="11" t="s">
        <v>342</v>
      </c>
    </row>
    <row r="52" customFormat="false" ht="15" hidden="false" customHeight="false" outlineLevel="0" collapsed="false">
      <c r="B52" s="22" t="n">
        <v>47</v>
      </c>
      <c r="C52" s="11" t="s">
        <v>583</v>
      </c>
      <c r="D52" s="11" t="s">
        <v>375</v>
      </c>
      <c r="E52" s="26" t="n">
        <v>0.206162511917541</v>
      </c>
      <c r="F52" s="11" t="s">
        <v>372</v>
      </c>
      <c r="G52" s="11" t="s">
        <v>472</v>
      </c>
      <c r="H52" s="13" t="s">
        <v>451</v>
      </c>
      <c r="I52" s="11" t="s">
        <v>342</v>
      </c>
    </row>
    <row r="53" customFormat="false" ht="15" hidden="false" customHeight="false" outlineLevel="0" collapsed="false">
      <c r="B53" s="22" t="n">
        <v>48</v>
      </c>
      <c r="C53" s="11" t="s">
        <v>585</v>
      </c>
      <c r="D53" s="11" t="s">
        <v>584</v>
      </c>
      <c r="E53" s="22" t="n">
        <v>17</v>
      </c>
      <c r="F53" s="11" t="s">
        <v>734</v>
      </c>
      <c r="G53" s="11" t="s">
        <v>472</v>
      </c>
      <c r="H53" s="13" t="s">
        <v>451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587</v>
      </c>
      <c r="D54" s="11" t="s">
        <v>586</v>
      </c>
      <c r="E54" s="22" t="n">
        <v>15</v>
      </c>
      <c r="F54" s="11" t="s">
        <v>734</v>
      </c>
      <c r="G54" s="11" t="s">
        <v>472</v>
      </c>
      <c r="H54" s="13" t="s">
        <v>451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590</v>
      </c>
      <c r="D55" s="11" t="s">
        <v>589</v>
      </c>
      <c r="E55" s="26" t="n">
        <v>0.0878123675195069</v>
      </c>
      <c r="F55" s="11" t="s">
        <v>372</v>
      </c>
      <c r="G55" s="11" t="s">
        <v>472</v>
      </c>
      <c r="H55" s="13" t="s">
        <v>451</v>
      </c>
      <c r="I55" s="11" t="s">
        <v>342</v>
      </c>
    </row>
    <row r="56" customFormat="false" ht="15" hidden="false" customHeight="false" outlineLevel="0" collapsed="false">
      <c r="B56" s="22" t="n">
        <v>51</v>
      </c>
      <c r="C56" s="11" t="s">
        <v>593</v>
      </c>
      <c r="D56" s="11" t="s">
        <v>592</v>
      </c>
      <c r="E56" s="26" t="n">
        <v>0.385072814143474</v>
      </c>
      <c r="F56" s="11" t="s">
        <v>372</v>
      </c>
      <c r="G56" s="11" t="s">
        <v>472</v>
      </c>
      <c r="H56" s="13" t="s">
        <v>451</v>
      </c>
      <c r="I56" s="11" t="s">
        <v>342</v>
      </c>
    </row>
    <row r="57" customFormat="false" ht="15" hidden="false" customHeight="false" outlineLevel="0" collapsed="false">
      <c r="B57" s="22" t="n">
        <v>52</v>
      </c>
      <c r="C57" s="11" t="s">
        <v>595</v>
      </c>
      <c r="D57" s="11" t="s">
        <v>594</v>
      </c>
      <c r="E57" s="22" t="n">
        <v>28</v>
      </c>
      <c r="F57" s="11" t="s">
        <v>734</v>
      </c>
      <c r="G57" s="11" t="s">
        <v>472</v>
      </c>
      <c r="H57" s="13" t="s">
        <v>451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598</v>
      </c>
      <c r="D58" s="11" t="s">
        <v>597</v>
      </c>
      <c r="E58" s="22" t="n">
        <v>9</v>
      </c>
      <c r="F58" s="11" t="s">
        <v>734</v>
      </c>
      <c r="G58" s="11" t="s">
        <v>472</v>
      </c>
      <c r="H58" s="13" t="s">
        <v>451</v>
      </c>
      <c r="I58" s="11" t="s">
        <v>600</v>
      </c>
    </row>
    <row r="59" customFormat="false" ht="15" hidden="false" customHeight="false" outlineLevel="0" collapsed="false">
      <c r="B59" s="22" t="n">
        <v>54</v>
      </c>
      <c r="C59" s="11" t="s">
        <v>602</v>
      </c>
      <c r="D59" s="11" t="s">
        <v>601</v>
      </c>
      <c r="E59" s="22" t="n">
        <v>2</v>
      </c>
      <c r="F59" s="11" t="s">
        <v>734</v>
      </c>
      <c r="G59" s="11" t="s">
        <v>472</v>
      </c>
      <c r="H59" s="13" t="s">
        <v>451</v>
      </c>
      <c r="I59" s="11" t="s">
        <v>603</v>
      </c>
    </row>
    <row r="60" customFormat="false" ht="15" hidden="false" customHeight="false" outlineLevel="0" collapsed="false">
      <c r="B60" s="22" t="n">
        <v>55</v>
      </c>
      <c r="C60" s="11" t="s">
        <v>605</v>
      </c>
      <c r="D60" s="11" t="s">
        <v>604</v>
      </c>
      <c r="E60" s="22" t="n">
        <v>10</v>
      </c>
      <c r="F60" s="11" t="s">
        <v>734</v>
      </c>
      <c r="G60" s="11" t="s">
        <v>472</v>
      </c>
      <c r="H60" s="13" t="s">
        <v>451</v>
      </c>
      <c r="I60" s="11" t="s">
        <v>606</v>
      </c>
    </row>
    <row r="61" customFormat="false" ht="15" hidden="false" customHeight="false" outlineLevel="0" collapsed="false">
      <c r="B61" s="22" t="n">
        <v>56</v>
      </c>
      <c r="C61" s="11" t="s">
        <v>608</v>
      </c>
      <c r="D61" s="11" t="s">
        <v>607</v>
      </c>
      <c r="E61" s="22" t="n">
        <v>7</v>
      </c>
      <c r="F61" s="11" t="s">
        <v>734</v>
      </c>
      <c r="G61" s="11" t="s">
        <v>472</v>
      </c>
      <c r="H61" s="13" t="s">
        <v>451</v>
      </c>
      <c r="I61" s="11" t="s">
        <v>609</v>
      </c>
    </row>
    <row r="62" customFormat="false" ht="15" hidden="false" customHeight="false" outlineLevel="0" collapsed="false">
      <c r="B62" s="22" t="n">
        <v>57</v>
      </c>
      <c r="C62" s="11" t="s">
        <v>611</v>
      </c>
      <c r="D62" s="11" t="s">
        <v>610</v>
      </c>
      <c r="E62" s="22" t="n">
        <v>273</v>
      </c>
      <c r="F62" s="11" t="s">
        <v>734</v>
      </c>
      <c r="G62" s="11" t="s">
        <v>472</v>
      </c>
      <c r="H62" s="13" t="s">
        <v>451</v>
      </c>
      <c r="I62" s="11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736</v>
      </c>
    </row>
    <row r="3" customFormat="false" ht="21.75" hidden="false" customHeight="true" outlineLevel="0" collapsed="false">
      <c r="B3" s="2" t="s">
        <v>737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445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67</v>
      </c>
      <c r="H5" s="3" t="s">
        <v>742</v>
      </c>
    </row>
    <row r="6" customFormat="false" ht="15" hidden="false" customHeight="false" outlineLevel="0" collapsed="false">
      <c r="B6" s="22" t="n">
        <v>1</v>
      </c>
      <c r="C6" s="11" t="s">
        <v>743</v>
      </c>
      <c r="D6" s="9" t="n">
        <v>2999780</v>
      </c>
      <c r="E6" s="9" t="n">
        <v>2999780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744</v>
      </c>
    </row>
    <row r="7" customFormat="false" ht="15" hidden="false" customHeight="false" outlineLevel="0" collapsed="false">
      <c r="B7" s="22" t="n">
        <v>2</v>
      </c>
      <c r="C7" s="11" t="s">
        <v>745</v>
      </c>
      <c r="D7" s="9" t="n">
        <v>1532182.53</v>
      </c>
      <c r="E7" s="9" t="n">
        <v>1532182.53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746</v>
      </c>
    </row>
    <row r="8" customFormat="false" ht="15" hidden="false" customHeight="false" outlineLevel="0" collapsed="false">
      <c r="B8" s="22" t="n">
        <v>3</v>
      </c>
      <c r="C8" s="11" t="s">
        <v>747</v>
      </c>
      <c r="D8" s="9" t="n">
        <v>1467597.47</v>
      </c>
      <c r="E8" s="9" t="n">
        <v>1467597.47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748</v>
      </c>
    </row>
    <row r="9" customFormat="false" ht="15" hidden="false" customHeight="false" outlineLevel="0" collapsed="false">
      <c r="B9" s="22" t="n">
        <v>4</v>
      </c>
      <c r="C9" s="11" t="s">
        <v>749</v>
      </c>
      <c r="D9" s="9" t="n">
        <v>2999780</v>
      </c>
      <c r="E9" s="9" t="n">
        <v>2999780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750</v>
      </c>
    </row>
    <row r="10" customFormat="false" ht="15" hidden="false" customHeight="false" outlineLevel="0" collapsed="false">
      <c r="B10" s="22" t="n">
        <v>5</v>
      </c>
      <c r="C10" s="11" t="s">
        <v>751</v>
      </c>
      <c r="D10" s="9" t="n">
        <v>21819.25</v>
      </c>
      <c r="E10" s="9" t="n">
        <v>21819.25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752</v>
      </c>
    </row>
    <row r="11" customFormat="false" ht="15" hidden="false" customHeight="false" outlineLevel="0" collapsed="false">
      <c r="B11" s="22" t="n">
        <v>6</v>
      </c>
      <c r="C11" s="11" t="s">
        <v>753</v>
      </c>
      <c r="D11" s="9" t="n">
        <v>100815</v>
      </c>
      <c r="E11" s="9" t="n">
        <v>100815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754</v>
      </c>
    </row>
    <row r="12" customFormat="false" ht="15" hidden="false" customHeight="false" outlineLevel="0" collapsed="false">
      <c r="B12" s="22" t="n">
        <v>7</v>
      </c>
      <c r="C12" s="11" t="s">
        <v>755</v>
      </c>
      <c r="D12" s="11" t="n">
        <v>58</v>
      </c>
      <c r="E12" s="11" t="n">
        <v>58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756</v>
      </c>
    </row>
    <row r="13" customFormat="false" ht="15" hidden="false" customHeight="false" outlineLevel="0" collapsed="false">
      <c r="B13" s="22" t="n">
        <v>8</v>
      </c>
      <c r="C13" s="11" t="s">
        <v>757</v>
      </c>
      <c r="D13" s="11" t="n">
        <v>28</v>
      </c>
      <c r="E13" s="11" t="n">
        <v>28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2026-04-20T23:02:48Z</dcterms:created>
  <dc:creator>openpyxl</dc:creator>
  <dc:description/>
  <dc:language>en-US</dc:language>
  <cp:lastModifiedBy/>
  <dcterms:modified xsi:type="dcterms:W3CDTF">2026-04-20T23:02:48Z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