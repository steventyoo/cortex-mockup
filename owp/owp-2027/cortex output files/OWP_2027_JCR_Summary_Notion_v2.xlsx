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-&quot;$&quot;#,##0.00"/>
    <numFmt numFmtId="166" formatCode="0.0%"/>
    <numFmt numFmtId="167" formatCode="0.00&quot;x&quot;"/>
    <numFmt numFmtId="168" formatCode="&quot;$&quot;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168" fontId="12" fillId="11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4" fontId="12" fillId="11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10" fontId="12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#2027 · Exxel Pacific 550 Broadway (Zig) — The Zig Apartments</t>
        </is>
      </c>
    </row>
    <row r="3" ht="22" customHeight="1">
      <c r="B3" s="43" t="inlineStr">
        <is>
          <t>Cortex JCR Cortex v2  •  Exxel Pacific, Inc. (customer 2027EP)  •  550 Broadway St, Seattle WA  •  Owner: Intra-Corp (550 Broadway owner LLC)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2027</t>
        </is>
      </c>
      <c r="D6" s="6" t="n"/>
      <c r="E6" s="7" t="n"/>
      <c r="F6" s="47" t="inlineStr">
        <is>
          <t>2027 Job Detail Report.pdf (Sage Timberline, 04/03/2026, 184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Exxel Pacific 550 Broadway (Zig)</t>
        </is>
      </c>
      <c r="D7" s="50" t="n"/>
      <c r="E7" s="51" t="n"/>
      <c r="F7" s="49" t="inlineStr">
        <is>
          <t>2027 Job Detail Report.pdf (Sage Timberline, 04/03/2026, 184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The Zig Apartments — 550 Broadway St, Seattle</t>
        </is>
      </c>
      <c r="D8" s="6" t="n"/>
      <c r="E8" s="7" t="n"/>
      <c r="F8" s="47" t="inlineStr">
        <is>
          <t>L1 220000 One Way Plumbing Fully Executed Subcontract ocr_d.pdf / AR line descriptions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Exxel Pacific, Inc.</t>
        </is>
      </c>
      <c r="D9" s="50" t="n"/>
      <c r="E9" s="51" t="n"/>
      <c r="F9" s="49" t="inlineStr">
        <is>
          <t>L1 220000 One Way Plumbing Fully Executed Subcontract ocr_d.pdf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2027EP</t>
        </is>
      </c>
      <c r="D10" s="6" t="n"/>
      <c r="E10" s="7" t="n"/>
      <c r="F10" s="47" t="inlineStr">
        <is>
          <t>2027 Job Detail Report.pdf (Sage Timberline, 04/03/2026, 184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Intra-Corp (550 Broadway owner LLC)</t>
        </is>
      </c>
      <c r="D11" s="50" t="n"/>
      <c r="E11" s="51" t="n"/>
      <c r="F11" s="49" t="inlineStr">
        <is>
          <t>L1 220000 One Way Plumbing Fully Executed Subcontract ocr_d.pdf</t>
        </is>
      </c>
      <c r="G11" s="50" t="n"/>
      <c r="H11" s="50" t="n"/>
      <c r="I11" s="50" t="n"/>
      <c r="J11" s="51" t="n"/>
    </row>
    <row r="12">
      <c r="B12" s="46" t="inlineStr">
        <is>
          <t>Jobsite Location</t>
        </is>
      </c>
      <c r="C12" s="47" t="inlineStr">
        <is>
          <t>550 Broadway St, Seattle, WA</t>
        </is>
      </c>
      <c r="D12" s="6" t="n"/>
      <c r="E12" s="7" t="n"/>
      <c r="F12" s="47" t="inlineStr">
        <is>
          <t>L1 220000 One Way Plumbing Fully Executed Subcontract ocr_d.pdf</t>
        </is>
      </c>
      <c r="G12" s="6" t="n"/>
      <c r="H12" s="6" t="n"/>
      <c r="I12" s="6" t="n"/>
      <c r="J12" s="7" t="n"/>
    </row>
    <row r="13">
      <c r="B13" s="48" t="inlineStr">
        <is>
          <t>Contract / PO Document</t>
        </is>
      </c>
      <c r="C13" s="49" t="inlineStr">
        <is>
          <t>L1 220000 One Way Plumbing Fully Executed Subcontract ocr_d.pdf</t>
        </is>
      </c>
      <c r="D13" s="50" t="n"/>
      <c r="E13" s="51" t="n"/>
      <c r="F13" s="49" t="inlineStr">
        <is>
          <t>Fully executed subcontract (L1 220000, Lump Sum)</t>
        </is>
      </c>
      <c r="G13" s="50" t="n"/>
      <c r="H13" s="50" t="n"/>
      <c r="I13" s="50" t="n"/>
      <c r="J13" s="51" t="n"/>
    </row>
    <row r="14">
      <c r="B14" s="46" t="inlineStr">
        <is>
          <t>Plans / Specifications</t>
        </is>
      </c>
      <c r="C14" s="47" t="inlineStr">
        <is>
          <t>550 Broadway plumbing narrative.pdf (Div 22 plumbing narrative) + P-tag fixture schedule + proposal drawings</t>
        </is>
      </c>
      <c r="D14" s="6" t="n"/>
      <c r="E14" s="7" t="n"/>
      <c r="F14" s="47" t="inlineStr">
        <is>
          <t>Folder scan</t>
        </is>
      </c>
      <c r="G14" s="6" t="n"/>
      <c r="H14" s="6" t="n"/>
      <c r="I14" s="6" t="n"/>
      <c r="J14" s="7" t="n"/>
    </row>
    <row r="15">
      <c r="B15" s="48" t="inlineStr">
        <is>
          <t>Fixture Schedule</t>
        </is>
      </c>
      <c r="C15" s="49" t="inlineStr">
        <is>
          <t>550 Broadway working copy of P-tag list  front page detail.xlsx (22 fixture tags WC-1…HB1 + 16 equipment tags + gas loads + connection schedule)</t>
        </is>
      </c>
      <c r="D15" s="50" t="n"/>
      <c r="E15" s="51" t="n"/>
      <c r="F15" s="49" t="inlineStr">
        <is>
          <t>5-sheet workbook</t>
        </is>
      </c>
      <c r="G15" s="50" t="n"/>
      <c r="H15" s="50" t="n"/>
      <c r="I15" s="50" t="n"/>
      <c r="J15" s="51" t="n"/>
    </row>
    <row r="16">
      <c r="B16" s="46" t="inlineStr">
        <is>
          <t>Bid Proposal</t>
        </is>
      </c>
      <c r="C16" s="47" t="inlineStr">
        <is>
          <t>Exxel 19 West Harrison Apartment proposal September 1 2015.pdf</t>
        </is>
      </c>
      <c r="D16" s="6" t="n"/>
      <c r="E16" s="7" t="n"/>
      <c r="F16" s="47" t="inlineStr">
        <is>
          <t>9/1/2015, detailed fixture quantities and alternates</t>
        </is>
      </c>
      <c r="G16" s="6" t="n"/>
      <c r="H16" s="6" t="n"/>
      <c r="I16" s="6" t="n"/>
      <c r="J16" s="7" t="n"/>
    </row>
    <row r="17">
      <c r="B17" s="48" t="inlineStr">
        <is>
          <t>Contract Type</t>
        </is>
      </c>
      <c r="C17" s="49" t="inlineStr">
        <is>
          <t>Lump Sum</t>
        </is>
      </c>
      <c r="D17" s="50" t="n"/>
      <c r="E17" s="51" t="n"/>
      <c r="F17" s="49" t="inlineStr">
        <is>
          <t>L1 220000 One Way Plumbing Fully Executed Subcontract ocr_d.pdf</t>
        </is>
      </c>
      <c r="G17" s="50" t="n"/>
      <c r="H17" s="50" t="n"/>
      <c r="I17" s="50" t="n"/>
      <c r="J17" s="51" t="n"/>
    </row>
    <row r="18">
      <c r="B18" s="46" t="inlineStr">
        <is>
          <t>Work Period</t>
        </is>
      </c>
      <c r="C18" s="47" t="inlineStr">
        <is>
          <t>03/11/2016 – 08/18/2017 (~17 months, per PR/AR dates)</t>
        </is>
      </c>
      <c r="D18" s="6" t="n"/>
      <c r="E18" s="7" t="n"/>
      <c r="F18" s="47" t="inlineStr">
        <is>
          <t>2027 Job Detail Report.pdf (Sage Timberline, 04/03/2026, 184 pages)</t>
        </is>
      </c>
      <c r="G18" s="6" t="n"/>
      <c r="H18" s="6" t="n"/>
      <c r="I18" s="6" t="n"/>
      <c r="J18" s="7" t="n"/>
    </row>
    <row r="19">
      <c r="B19" s="48" t="inlineStr">
        <is>
          <t>Total Unique Documents Reviewed</t>
        </is>
      </c>
      <c r="C19" s="52" t="n">
        <v>1924</v>
      </c>
      <c r="D19" s="50" t="n"/>
      <c r="E19" s="51" t="n"/>
      <c r="F19" s="49" t="inlineStr">
        <is>
          <t>File inventory across owp-2027/</t>
        </is>
      </c>
      <c r="G19" s="50" t="n"/>
      <c r="H19" s="50" t="n"/>
      <c r="I19" s="50" t="n"/>
      <c r="J19" s="51" t="n"/>
    </row>
    <row r="20"/>
    <row r="21">
      <c r="B21" s="45" t="inlineStr">
        <is>
          <t>CONTRACT VALUE</t>
        </is>
      </c>
      <c r="C21" s="53" t="n"/>
      <c r="D21" s="54" t="inlineStr">
        <is>
          <t>NET PROFIT</t>
        </is>
      </c>
      <c r="E21" s="53" t="n"/>
      <c r="F21" s="54" t="inlineStr">
        <is>
          <t>DIRECT COST</t>
        </is>
      </c>
      <c r="G21" s="53" t="n"/>
      <c r="H21" s="54" t="inlineStr">
        <is>
          <t>LABOR HOURS</t>
        </is>
      </c>
      <c r="I21" s="53" t="n"/>
      <c r="J21" s="53" t="n"/>
    </row>
    <row r="22">
      <c r="B22" s="55" t="n">
        <v>2275444</v>
      </c>
      <c r="D22" s="55" t="n">
        <v>921960.9399999999</v>
      </c>
      <c r="F22" s="55" t="n">
        <v>1353483.06</v>
      </c>
      <c r="H22" s="56" t="n">
        <v>21014</v>
      </c>
    </row>
    <row r="23">
      <c r="B23" s="48" t="inlineStr">
        <is>
          <t>Original $2,230,810.00 + $44,634.00 COs (+2.00%)</t>
        </is>
      </c>
      <c r="C23" s="53" t="n"/>
      <c r="D23" s="49" t="inlineStr">
        <is>
          <t>40.5% margin</t>
        </is>
      </c>
      <c r="E23" s="53" t="n"/>
      <c r="F23" s="49" t="inlineStr">
        <is>
          <t>59.5% of revenue</t>
        </is>
      </c>
      <c r="G23" s="53" t="n"/>
      <c r="H23" s="49" t="inlineStr">
        <is>
          <t>43 workers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7" t="inlineStr">
        <is>
          <t>SCOPE OF WORK (from contract + proposal + P-tag)</t>
        </is>
      </c>
    </row>
    <row r="27">
      <c r="B27" s="48" t="inlineStr">
        <is>
          <t>Full plumbing: underground, rough-in, finish, gas piping, water main, insulation, mech room, warranty.</t>
        </is>
      </c>
      <c r="C27" s="50" t="n"/>
      <c r="D27" s="50" t="n"/>
      <c r="E27" s="50" t="n"/>
      <c r="F27" s="50" t="n"/>
      <c r="G27" s="50" t="n"/>
      <c r="H27" s="50" t="n"/>
      <c r="I27" s="50" t="n"/>
      <c r="J27" s="51" t="n"/>
    </row>
    <row r="28">
      <c r="B28" s="46" t="inlineStr">
        <is>
          <t>Bid proposal itemizes: 83 Gerber std WC + 9 Toto ADA WC (= 92 unit WCs, + 2 amenity), 92 Toto lavs (+ 2 amenity),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8" t="inlineStr">
        <is>
          <t>67 Aquatic tub/shower combos + 25 Fiberfab shower stalls (= 92 bathing), 67 Lenova + 8 Elkay ADA kitchen sinks (+ 1 bar sink + 1 mop sink),</t>
        </is>
      </c>
      <c r="C29" s="50" t="n"/>
      <c r="D29" s="50" t="n"/>
      <c r="E29" s="50" t="n"/>
      <c r="F29" s="50" t="n"/>
      <c r="G29" s="50" t="n"/>
      <c r="H29" s="50" t="n"/>
      <c r="I29" s="50" t="n"/>
      <c r="J29" s="51" t="n"/>
    </row>
    <row r="30">
      <c r="B30" s="46" t="inlineStr">
        <is>
          <t>75 dishwasher rough-ins, 75 washer rough-ins, 8 hose bibs, 2 AO Smith BTH500 water heaters, 1 MSI duplex booster pump, 2 sump pumps,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8" t="inlineStr">
        <is>
          <t>1 sand/oil basin, 3 garage floor drains, 5 trench drains, 4 area drains, 17 roof drains.</t>
        </is>
      </c>
      <c r="C31" s="50" t="n"/>
      <c r="D31" s="50" t="n"/>
      <c r="E31" s="50" t="n"/>
      <c r="F31" s="50" t="n"/>
      <c r="G31" s="50" t="n"/>
      <c r="H31" s="50" t="n"/>
      <c r="I31" s="50" t="n"/>
      <c r="J31" s="51" t="n"/>
    </row>
    <row r="32">
      <c r="B32" s="46" t="inlineStr">
        <is>
          <t>Unit count ≈ 92 apartments (implied from 92 WC sets; 9 ADA Type A units).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8" t="inlineStr">
        <is>
          <t>Spec compliance: Seattle Building Code 2012 + UPC 2012 with WA state amendments.</t>
        </is>
      </c>
      <c r="C33" s="50" t="n"/>
      <c r="D33" s="50" t="n"/>
      <c r="E33" s="50" t="n"/>
      <c r="F33" s="50" t="n"/>
      <c r="G33" s="50" t="n"/>
      <c r="H33" s="50" t="n"/>
      <c r="I33" s="50" t="n"/>
      <c r="J33" s="51" t="n"/>
    </row>
    <row r="34"/>
    <row r="35"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</row>
    <row r="36">
      <c r="B36" s="58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8" t="inlineStr">
        <is>
          <t>Canonical financial source: 2027 Job Detail Report.pdf (Sage Timberline, 04/03/2026, 184 pages)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>
      <c r="B38" s="46" t="inlineStr">
        <is>
          <t>Job totals (JDR footer): Revenue $2,275,444.00 / Expenses $1,353,483.06 / Net $921,960.94 / Retainage $113,772.20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8" t="inlineStr">
        <is>
          <t>Source breakdown: GL $97,752.86 · AP $538,651.30 · PR $717,078.90 · AR $2,275,444.00</t>
        </is>
      </c>
      <c r="C39" s="50" t="n"/>
      <c r="D39" s="50" t="n"/>
      <c r="E39" s="50" t="n"/>
      <c r="F39" s="50" t="n"/>
      <c r="G39" s="50" t="n"/>
      <c r="H39" s="50" t="n"/>
      <c r="I39" s="50" t="n"/>
      <c r="J39" s="51" t="n"/>
    </row>
    <row r="40">
      <c r="B40" s="46" t="inlineStr">
        <is>
          <t>Contract: L1 220000 One Way Plumbing Fully Executed Subcontract ocr_d.pdf (Lump Sum $2,230,810.00)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8" t="inlineStr">
        <is>
          <t>Proposal: Exxel 19 West Harrison Apartment proposal September 1 2015.pdf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Fixture schedule: 550 Broadway working copy of P-tag list  front page detail.xlsx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8" t="inlineStr">
        <is>
          <t>Plumbing narrative: 550 Broadway plumbing narrative.pdf</t>
        </is>
      </c>
      <c r="C43" s="50" t="n"/>
      <c r="D43" s="50" t="n"/>
      <c r="E43" s="50" t="n"/>
      <c r="F43" s="50" t="n"/>
      <c r="G43" s="50" t="n"/>
      <c r="H43" s="50" t="n"/>
      <c r="I43" s="50" t="n"/>
      <c r="J43" s="51" t="n"/>
    </row>
    <row r="44">
      <c r="B44" s="46" t="inlineStr">
        <is>
          <t>Change Orders: 6 COs in Change Orders/CO_s/ folder (CO#01-06)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48" t="inlineStr">
        <is>
          <t>RFIs: 18 + 1 ASI in ASI-RFI/; 12 additional in DROPBOX FILES FROM GUYS TABLETS/ASI-RFI/RFI_s/</t>
        </is>
      </c>
      <c r="C45" s="50" t="n"/>
      <c r="D45" s="50" t="n"/>
      <c r="E45" s="50" t="n"/>
      <c r="F45" s="50" t="n"/>
      <c r="G45" s="50" t="n"/>
      <c r="H45" s="50" t="n"/>
      <c r="I45" s="50" t="n"/>
      <c r="J45" s="51" t="n"/>
    </row>
    <row r="46">
      <c r="B46" s="46" t="inlineStr">
        <is>
          <t>Submittals: 19 fixture + 10 material + 1 UG/garage submittals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48" t="inlineStr">
        <is>
          <t>Permits: 6 permits (backflow, boiler x2, gas, plumbing, temp gas)</t>
        </is>
      </c>
      <c r="C47" s="50" t="n"/>
      <c r="D47" s="50" t="n"/>
      <c r="E47" s="50" t="n"/>
      <c r="F47" s="50" t="n"/>
      <c r="G47" s="50" t="n"/>
      <c r="H47" s="50" t="n"/>
      <c r="I47" s="50" t="n"/>
      <c r="J47" s="51" t="n"/>
    </row>
    <row r="48">
      <c r="B48" s="46" t="inlineStr">
        <is>
          <t>POs: 82 total (7 placed, 19 scheduled, 56 completed)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</row>
    <row r="50"/>
    <row r="51">
      <c r="B51" s="59" t="inlineStr">
        <is>
          <t>PROJECT TEAM (OWP Job Info)</t>
        </is>
      </c>
      <c r="C51" s="53" t="n"/>
      <c r="D51" s="53" t="n"/>
      <c r="E51" s="53" t="n"/>
      <c r="F51" s="53" t="n"/>
      <c r="G51" s="53" t="n"/>
      <c r="H51" s="53" t="n"/>
      <c r="I51" s="53" t="n"/>
      <c r="J51" s="53" t="n"/>
    </row>
    <row r="52">
      <c r="B52" s="60" t="inlineStr">
        <is>
          <t>Role</t>
        </is>
      </c>
      <c r="C52" s="61" t="inlineStr">
        <is>
          <t>Status</t>
        </is>
      </c>
      <c r="D52" s="61" t="inlineStr">
        <is>
          <t>Name / Firm</t>
        </is>
      </c>
    </row>
    <row r="53">
      <c r="B53" s="59" t="inlineStr">
        <is>
          <t>GC</t>
        </is>
      </c>
      <c r="C53" s="62" t="inlineStr">
        <is>
          <t>Extracted</t>
        </is>
      </c>
      <c r="D53" s="63" t="inlineStr">
        <is>
          <t>Exxel Pacific, Inc.</t>
        </is>
      </c>
      <c r="E53" s="53" t="n"/>
      <c r="F53" s="53" t="n"/>
      <c r="G53" s="53" t="n"/>
      <c r="H53" s="53" t="n"/>
      <c r="I53" s="53" t="n"/>
      <c r="J53" s="53" t="n"/>
    </row>
    <row r="54">
      <c r="B54" s="60" t="inlineStr">
        <is>
          <t>GC PM</t>
        </is>
      </c>
      <c r="C54" s="62" t="inlineStr">
        <is>
          <t>Extracted</t>
        </is>
      </c>
      <c r="D54" s="61" t="inlineStr">
        <is>
          <t>Justin Gotcher / Chris Austin</t>
        </is>
      </c>
    </row>
    <row r="55">
      <c r="B55" s="59" t="inlineStr">
        <is>
          <t>GC Superintendent</t>
        </is>
      </c>
      <c r="C55" s="62" t="inlineStr">
        <is>
          <t>Extracted</t>
        </is>
      </c>
      <c r="D55" s="63" t="inlineStr">
        <is>
          <t>Brian Proctor</t>
        </is>
      </c>
      <c r="E55" s="53" t="n"/>
      <c r="F55" s="53" t="n"/>
      <c r="G55" s="53" t="n"/>
      <c r="H55" s="53" t="n"/>
      <c r="I55" s="53" t="n"/>
      <c r="J55" s="53" t="n"/>
    </row>
    <row r="56">
      <c r="B56" s="60" t="inlineStr">
        <is>
          <t>GC PE</t>
        </is>
      </c>
      <c r="C56" s="62" t="inlineStr">
        <is>
          <t>Extracted</t>
        </is>
      </c>
      <c r="D56" s="61" t="inlineStr">
        <is>
          <t>Chris Austin</t>
        </is>
      </c>
    </row>
    <row r="57">
      <c r="B57" s="59" t="inlineStr">
        <is>
          <t>Developer</t>
        </is>
      </c>
      <c r="C57" s="62" t="inlineStr">
        <is>
          <t>Extracted</t>
        </is>
      </c>
      <c r="D57" s="63" t="inlineStr">
        <is>
          <t>Intra-Corp</t>
        </is>
      </c>
      <c r="E57" s="53" t="n"/>
      <c r="F57" s="53" t="n"/>
      <c r="G57" s="53" t="n"/>
      <c r="H57" s="53" t="n"/>
      <c r="I57" s="53" t="n"/>
      <c r="J57" s="53" t="n"/>
    </row>
    <row r="58">
      <c r="B58" s="60" t="inlineStr">
        <is>
          <t>Architect</t>
        </is>
      </c>
      <c r="C58" s="62" t="inlineStr">
        <is>
          <t>Extracted</t>
        </is>
      </c>
      <c r="D58" s="61" t="inlineStr">
        <is>
          <t>Nicholson Kovalchick</t>
        </is>
      </c>
    </row>
    <row r="59">
      <c r="B59" s="59" t="inlineStr">
        <is>
          <t>Structural</t>
        </is>
      </c>
      <c r="C59" s="64" t="inlineStr">
        <is>
          <t>N/A</t>
        </is>
      </c>
      <c r="D59" s="63" t="inlineStr">
        <is>
          <t>N/A</t>
        </is>
      </c>
      <c r="E59" s="53" t="n"/>
      <c r="F59" s="53" t="n"/>
      <c r="G59" s="53" t="n"/>
      <c r="H59" s="53" t="n"/>
      <c r="I59" s="53" t="n"/>
      <c r="J59" s="53" t="n"/>
    </row>
    <row r="60">
      <c r="B60" s="60" t="inlineStr">
        <is>
          <t>Acoustical</t>
        </is>
      </c>
      <c r="C60" s="64" t="inlineStr">
        <is>
          <t>N/A</t>
        </is>
      </c>
      <c r="D60" s="61" t="inlineStr">
        <is>
          <t>N/A</t>
        </is>
      </c>
    </row>
    <row r="61">
      <c r="B61" s="59" t="inlineStr">
        <is>
          <t>ADA Consultant</t>
        </is>
      </c>
      <c r="C61" s="64" t="inlineStr">
        <is>
          <t>N/A</t>
        </is>
      </c>
      <c r="D61" s="63" t="inlineStr">
        <is>
          <t>N/A</t>
        </is>
      </c>
      <c r="E61" s="53" t="n"/>
      <c r="F61" s="53" t="n"/>
      <c r="G61" s="53" t="n"/>
      <c r="H61" s="53" t="n"/>
      <c r="I61" s="53" t="n"/>
      <c r="J61" s="53" t="n"/>
    </row>
    <row r="62">
      <c r="B62" s="60" t="inlineStr">
        <is>
          <t>Interior Design</t>
        </is>
      </c>
      <c r="C62" s="64" t="inlineStr">
        <is>
          <t>N/A</t>
        </is>
      </c>
      <c r="D62" s="61" t="inlineStr">
        <is>
          <t>N/A</t>
        </is>
      </c>
    </row>
    <row r="63">
      <c r="B63" s="59" t="inlineStr">
        <is>
          <t>MEP Engineer</t>
        </is>
      </c>
      <c r="C63" s="62" t="inlineStr">
        <is>
          <t>Extracted</t>
        </is>
      </c>
      <c r="D63" s="63" t="inlineStr">
        <is>
          <t>Pressler</t>
        </is>
      </c>
      <c r="E63" s="53" t="n"/>
      <c r="F63" s="53" t="n"/>
      <c r="G63" s="53" t="n"/>
      <c r="H63" s="53" t="n"/>
      <c r="I63" s="53" t="n"/>
      <c r="J63" s="53" t="n"/>
    </row>
  </sheetData>
  <mergeCells count="60">
    <mergeCell ref="C16:E16"/>
    <mergeCell ref="D62:J62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B44:J44"/>
    <mergeCell ref="B29:J29"/>
    <mergeCell ref="F7:J7"/>
    <mergeCell ref="C11:E11"/>
    <mergeCell ref="F15:J15"/>
    <mergeCell ref="B37:J37"/>
    <mergeCell ref="D54:J54"/>
    <mergeCell ref="F12:J12"/>
    <mergeCell ref="B28:J28"/>
    <mergeCell ref="D59:J59"/>
    <mergeCell ref="C8:E8"/>
    <mergeCell ref="B40:J40"/>
    <mergeCell ref="D60:J60"/>
    <mergeCell ref="C17:E17"/>
    <mergeCell ref="F18:J18"/>
    <mergeCell ref="C7:E7"/>
    <mergeCell ref="D63:J63"/>
    <mergeCell ref="F8:J8"/>
    <mergeCell ref="B30:J30"/>
    <mergeCell ref="F17:J17"/>
    <mergeCell ref="B33:J33"/>
    <mergeCell ref="C13:E13"/>
    <mergeCell ref="C19:E19"/>
    <mergeCell ref="B45:J45"/>
    <mergeCell ref="B32:J32"/>
    <mergeCell ref="C18:E18"/>
    <mergeCell ref="B41:J41"/>
    <mergeCell ref="D57:J57"/>
    <mergeCell ref="F13:J13"/>
    <mergeCell ref="C15:E15"/>
    <mergeCell ref="B47:J47"/>
    <mergeCell ref="C6:E6"/>
    <mergeCell ref="F9:J9"/>
    <mergeCell ref="D61:J61"/>
    <mergeCell ref="B3:J3"/>
    <mergeCell ref="C14:E14"/>
    <mergeCell ref="B46:J46"/>
    <mergeCell ref="D53:J53"/>
    <mergeCell ref="B31:J31"/>
    <mergeCell ref="B27:J27"/>
    <mergeCell ref="B48:J48"/>
    <mergeCell ref="B43:J43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27 cost codes from JDR. Contract $2,230,810 → $2,275,444 (COs +$44,634.00).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11000</v>
      </c>
      <c r="E6" s="66" t="n">
        <v>11188</v>
      </c>
      <c r="F6" s="66" t="n">
        <v>5755.5</v>
      </c>
      <c r="G6" s="67">
        <f>F6-E6</f>
        <v/>
      </c>
      <c r="H6" s="68">
        <f>IF(E6=0,"",F6/E6)</f>
        <v/>
      </c>
      <c r="I6" s="56" t="n">
        <v>124.5</v>
      </c>
      <c r="J6" s="47" t="inlineStr">
        <is>
          <t>2027 Job Detail Report.pdf (Sage Timberline, 04/03/2026, 184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69" t="n">
        <v>20400</v>
      </c>
      <c r="E7" s="69" t="n">
        <v>20823</v>
      </c>
      <c r="F7" s="69" t="n">
        <v>13422.5</v>
      </c>
      <c r="G7" s="70">
        <f>F7-E7</f>
        <v/>
      </c>
      <c r="H7" s="71">
        <f>IF(E7=0,"",F7/E7)</f>
        <v/>
      </c>
      <c r="I7" s="72" t="n">
        <v>289.5</v>
      </c>
      <c r="J7" s="49" t="inlineStr">
        <is>
          <t>2027 Job Detail Report.pdf (Sage Timberline, 04/03/2026, 184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12100</v>
      </c>
      <c r="E8" s="66" t="n">
        <v>12017</v>
      </c>
      <c r="F8" s="66" t="n">
        <v>7711</v>
      </c>
      <c r="G8" s="67">
        <f>F8-E8</f>
        <v/>
      </c>
      <c r="H8" s="68">
        <f>IF(E8=0,"",F8/E8)</f>
        <v/>
      </c>
      <c r="I8" s="56" t="n">
        <v>264</v>
      </c>
      <c r="J8" s="47" t="inlineStr">
        <is>
          <t>2027 Job Detail Report.pdf (Sage Timberline, 04/03/2026, 184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69" t="n">
        <v>62140</v>
      </c>
      <c r="E9" s="69" t="n">
        <v>62140</v>
      </c>
      <c r="F9" s="69" t="n">
        <v>53390.5</v>
      </c>
      <c r="G9" s="70">
        <f>F9-E9</f>
        <v/>
      </c>
      <c r="H9" s="71">
        <f>IF(E9=0,"",F9/E9)</f>
        <v/>
      </c>
      <c r="I9" s="72" t="n">
        <v>1976.5</v>
      </c>
      <c r="J9" s="49" t="inlineStr">
        <is>
          <t>2027 Job Detail Report.pdf (Sage Timberline, 04/03/2026, 184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15450</v>
      </c>
      <c r="E10" s="66" t="n">
        <v>15450</v>
      </c>
      <c r="F10" s="66" t="n">
        <v>16373</v>
      </c>
      <c r="G10" s="67">
        <f>F10-E10</f>
        <v/>
      </c>
      <c r="H10" s="68">
        <f>IF(E10=0,"",F10/E10)</f>
        <v/>
      </c>
      <c r="I10" s="56" t="n">
        <v>573</v>
      </c>
      <c r="J10" s="47" t="inlineStr">
        <is>
          <t>2027 Job Detail Report.pdf (Sage Timberline, 04/03/2026, 184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69" t="n">
        <v>301840</v>
      </c>
      <c r="E11" s="69" t="n">
        <v>300990</v>
      </c>
      <c r="F11" s="69" t="n">
        <v>278595.5</v>
      </c>
      <c r="G11" s="70">
        <f>F11-E11</f>
        <v/>
      </c>
      <c r="H11" s="71">
        <f>IF(E11=0,"",F11/E11)</f>
        <v/>
      </c>
      <c r="I11" s="72" t="n">
        <v>12672</v>
      </c>
      <c r="J11" s="49" t="inlineStr">
        <is>
          <t>2027 Job Detail Report.pdf (Sage Timberline, 04/03/2026, 184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52080</v>
      </c>
      <c r="E12" s="66" t="n">
        <v>53079</v>
      </c>
      <c r="F12" s="66" t="n">
        <v>48849.27</v>
      </c>
      <c r="G12" s="67">
        <f>F12-E12</f>
        <v/>
      </c>
      <c r="H12" s="68">
        <f>IF(E12=0,"",F12/E12)</f>
        <v/>
      </c>
      <c r="I12" s="56" t="n">
        <v>2157.5</v>
      </c>
      <c r="J12" s="47" t="inlineStr">
        <is>
          <t>2027 Job Detail Report.pdf (Sage Timberline, 04/03/2026, 184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69" t="n">
        <v>6600</v>
      </c>
      <c r="E13" s="69" t="n">
        <v>6600</v>
      </c>
      <c r="F13" s="69" t="n">
        <v>7836.5</v>
      </c>
      <c r="G13" s="70">
        <f>F13-E13</f>
        <v/>
      </c>
      <c r="H13" s="71">
        <f>IF(E13=0,"",F13/E13)</f>
        <v/>
      </c>
      <c r="I13" s="72" t="n">
        <v>336.5</v>
      </c>
      <c r="J13" s="49" t="inlineStr">
        <is>
          <t>2027 Job Detail Report.pdf (Sage Timberline, 04/03/2026, 184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65315</v>
      </c>
      <c r="E14" s="66" t="n">
        <v>66415</v>
      </c>
      <c r="F14" s="66" t="n">
        <v>46631.5</v>
      </c>
      <c r="G14" s="67">
        <f>F14-E14</f>
        <v/>
      </c>
      <c r="H14" s="68">
        <f>IF(E14=0,"",F14/E14)</f>
        <v/>
      </c>
      <c r="I14" s="56" t="n">
        <v>2208</v>
      </c>
      <c r="J14" s="47" t="inlineStr">
        <is>
          <t>2027 Job Detail Report.pdf (Sage Timberline, 04/03/2026, 184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69" t="n">
        <v>11000</v>
      </c>
      <c r="E15" s="69" t="n">
        <v>11000</v>
      </c>
      <c r="F15" s="69" t="n">
        <v>12684.5</v>
      </c>
      <c r="G15" s="70">
        <f>F15-E15</f>
        <v/>
      </c>
      <c r="H15" s="71">
        <f>IF(E15=0,"",F15/E15)</f>
        <v/>
      </c>
      <c r="I15" s="72" t="n">
        <v>412.5</v>
      </c>
      <c r="J15" s="49" t="inlineStr">
        <is>
          <t>2027 Job Detail Report.pdf (Sage Timberline, 04/03/2026, 184 pages)</t>
        </is>
      </c>
    </row>
    <row r="16">
      <c r="B16" s="46" t="inlineStr">
        <is>
          <t>210</t>
        </is>
      </c>
      <c r="C16" s="47" t="inlineStr">
        <is>
          <t>Underground Material</t>
        </is>
      </c>
      <c r="D16" s="66" t="n">
        <v>18300</v>
      </c>
      <c r="E16" s="66" t="n">
        <v>15078</v>
      </c>
      <c r="F16" s="66" t="n">
        <v>13388.88</v>
      </c>
      <c r="G16" s="67">
        <f>F16-E16</f>
        <v/>
      </c>
      <c r="H16" s="68">
        <f>IF(E16=0,"",F16/E16)</f>
        <v/>
      </c>
      <c r="I16" s="17" t="inlineStr"/>
      <c r="J16" s="47" t="inlineStr">
        <is>
          <t>2027 Job Detail Report.pdf (Sage Timberline, 04/03/2026, 184 pages)</t>
        </is>
      </c>
    </row>
    <row r="17">
      <c r="B17" s="48" t="inlineStr">
        <is>
          <t>211</t>
        </is>
      </c>
      <c r="C17" s="49" t="inlineStr">
        <is>
          <t>Garage Material</t>
        </is>
      </c>
      <c r="D17" s="69" t="n">
        <v>64290</v>
      </c>
      <c r="E17" s="69" t="n">
        <v>64290</v>
      </c>
      <c r="F17" s="69" t="n">
        <v>37284.47</v>
      </c>
      <c r="G17" s="70">
        <f>F17-E17</f>
        <v/>
      </c>
      <c r="H17" s="71">
        <f>IF(E17=0,"",F17/E17)</f>
        <v/>
      </c>
      <c r="I17" s="73" t="inlineStr"/>
      <c r="J17" s="49" t="inlineStr">
        <is>
          <t>2027 Job Detail Report.pdf (Sage Timberline, 04/03/2026, 184 pages)</t>
        </is>
      </c>
    </row>
    <row r="18">
      <c r="B18" s="46" t="inlineStr">
        <is>
          <t>212</t>
        </is>
      </c>
      <c r="C18" s="47" t="inlineStr">
        <is>
          <t>Canout Material</t>
        </is>
      </c>
      <c r="D18" s="66" t="n">
        <v>15450</v>
      </c>
      <c r="E18" s="66" t="n">
        <v>15450</v>
      </c>
      <c r="F18" s="66" t="n">
        <v>14050.89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2027 Job Detail Report.pdf (Sage Timberline, 04/03/2026, 184 pages)</t>
        </is>
      </c>
    </row>
    <row r="19">
      <c r="B19" s="48" t="inlineStr">
        <is>
          <t>220</t>
        </is>
      </c>
      <c r="C19" s="49" t="inlineStr">
        <is>
          <t>Roughin Material</t>
        </is>
      </c>
      <c r="D19" s="69" t="n">
        <v>153325</v>
      </c>
      <c r="E19" s="69" t="n">
        <v>151625</v>
      </c>
      <c r="F19" s="69" t="n">
        <v>91274.89</v>
      </c>
      <c r="G19" s="70">
        <f>F19-E19</f>
        <v/>
      </c>
      <c r="H19" s="71">
        <f>IF(E19=0,"",F19/E19)</f>
        <v/>
      </c>
      <c r="I19" s="73" t="inlineStr"/>
      <c r="J19" s="49" t="inlineStr">
        <is>
          <t>2027 Job Detail Report.pdf (Sage Timberline, 04/03/2026, 184 pages)</t>
        </is>
      </c>
    </row>
    <row r="20">
      <c r="B20" s="46" t="inlineStr">
        <is>
          <t>230</t>
        </is>
      </c>
      <c r="C20" s="47" t="inlineStr">
        <is>
          <t>Finish Material</t>
        </is>
      </c>
      <c r="D20" s="66" t="n">
        <v>224100</v>
      </c>
      <c r="E20" s="66" t="n">
        <v>238053</v>
      </c>
      <c r="F20" s="66" t="n">
        <v>220048.68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2027 Job Detail Report.pdf (Sage Timberline, 04/03/2026, 184 pages)</t>
        </is>
      </c>
    </row>
    <row r="21">
      <c r="B21" s="48" t="inlineStr">
        <is>
          <t>240</t>
        </is>
      </c>
      <c r="C21" s="49" t="inlineStr">
        <is>
          <t>Gas Material</t>
        </is>
      </c>
      <c r="D21" s="69" t="n">
        <v>7800</v>
      </c>
      <c r="E21" s="69" t="n">
        <v>7800</v>
      </c>
      <c r="F21" s="69" t="n">
        <v>1363.51</v>
      </c>
      <c r="G21" s="70">
        <f>F21-E21</f>
        <v/>
      </c>
      <c r="H21" s="71">
        <f>IF(E21=0,"",F21/E21)</f>
        <v/>
      </c>
      <c r="I21" s="73" t="inlineStr"/>
      <c r="J21" s="49" t="inlineStr">
        <is>
          <t>2027 Job Detail Report.pdf (Sage Timberline, 04/03/2026, 184 pages)</t>
        </is>
      </c>
    </row>
    <row r="22">
      <c r="B22" s="46" t="inlineStr">
        <is>
          <t>241</t>
        </is>
      </c>
      <c r="C22" s="47" t="inlineStr">
        <is>
          <t>Water Main/Insulation Mat</t>
        </is>
      </c>
      <c r="D22" s="66" t="n">
        <v>79900</v>
      </c>
      <c r="E22" s="66" t="n">
        <v>80900</v>
      </c>
      <c r="F22" s="66" t="n">
        <v>71604.00999999999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2027 Job Detail Report.pdf (Sage Timberline, 04/03/2026, 184 pages)</t>
        </is>
      </c>
    </row>
    <row r="23">
      <c r="B23" s="48" t="inlineStr">
        <is>
          <t>242</t>
        </is>
      </c>
      <c r="C23" s="49" t="inlineStr">
        <is>
          <t>Mech Room Material</t>
        </is>
      </c>
      <c r="D23" s="69" t="n">
        <v>123300</v>
      </c>
      <c r="E23" s="69" t="n">
        <v>123300</v>
      </c>
      <c r="F23" s="69" t="n">
        <v>99306.42</v>
      </c>
      <c r="G23" s="70">
        <f>F23-E23</f>
        <v/>
      </c>
      <c r="H23" s="71">
        <f>IF(E23=0,"",F23/E23)</f>
        <v/>
      </c>
      <c r="I23" s="73" t="inlineStr"/>
      <c r="J23" s="49" t="inlineStr">
        <is>
          <t>2027 Job Detail Report.pdf (Sage Timberline, 04/03/2026, 184 pages)</t>
        </is>
      </c>
    </row>
    <row r="24">
      <c r="B24" s="46" t="inlineStr">
        <is>
          <t>243</t>
        </is>
      </c>
      <c r="C24" s="47" t="inlineStr">
        <is>
          <t>Condensation Drains Mat</t>
        </is>
      </c>
      <c r="D24" s="66" t="n">
        <v>0</v>
      </c>
      <c r="E24" s="66" t="n">
        <v>0</v>
      </c>
      <c r="F24" s="66" t="n">
        <v>15.84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2027 Job Detail Report.pdf (Sage Timberline, 04/03/2026, 184 pages)</t>
        </is>
      </c>
    </row>
    <row r="25">
      <c r="B25" s="48" t="inlineStr">
        <is>
          <t>600</t>
        </is>
      </c>
      <c r="C25" s="49" t="inlineStr">
        <is>
          <t>Subcontractor</t>
        </is>
      </c>
      <c r="D25" s="69" t="n">
        <v>2000</v>
      </c>
      <c r="E25" s="69" t="n">
        <v>27261</v>
      </c>
      <c r="F25" s="69" t="n">
        <v>27855.92</v>
      </c>
      <c r="G25" s="70">
        <f>F25-E25</f>
        <v/>
      </c>
      <c r="H25" s="71">
        <f>IF(E25=0,"",F25/E25)</f>
        <v/>
      </c>
      <c r="I25" s="73" t="inlineStr"/>
      <c r="J25" s="49" t="inlineStr">
        <is>
          <t>2027 Job Detail Report.pdf (Sage Timberline, 04/03/2026, 184 pages)</t>
        </is>
      </c>
    </row>
    <row r="26">
      <c r="B26" s="46" t="inlineStr">
        <is>
          <t>601</t>
        </is>
      </c>
      <c r="C26" s="47" t="inlineStr">
        <is>
          <t>Engineering/Plans</t>
        </is>
      </c>
      <c r="D26" s="66" t="n">
        <v>30000</v>
      </c>
      <c r="E26" s="66" t="n">
        <v>35343</v>
      </c>
      <c r="F26" s="66" t="n">
        <v>39853.5</v>
      </c>
      <c r="G26" s="67">
        <f>F26-E26</f>
        <v/>
      </c>
      <c r="H26" s="68">
        <f>IF(E26=0,"",F26/E26)</f>
        <v/>
      </c>
      <c r="I26" s="17" t="inlineStr"/>
      <c r="J26" s="47" t="inlineStr">
        <is>
          <t>2027 Job Detail Report.pdf (Sage Timberline, 04/03/2026, 184 pages)</t>
        </is>
      </c>
    </row>
    <row r="27">
      <c r="B27" s="48" t="inlineStr">
        <is>
          <t>602</t>
        </is>
      </c>
      <c r="C27" s="49" t="inlineStr">
        <is>
          <t>Rental Equipment</t>
        </is>
      </c>
      <c r="D27" s="69" t="n">
        <v>5000</v>
      </c>
      <c r="E27" s="69" t="n">
        <v>5000</v>
      </c>
      <c r="F27" s="69" t="n">
        <v>527.5599999999999</v>
      </c>
      <c r="G27" s="70">
        <f>F27-E27</f>
        <v/>
      </c>
      <c r="H27" s="71">
        <f>IF(E27=0,"",F27/E27)</f>
        <v/>
      </c>
      <c r="I27" s="73" t="inlineStr"/>
      <c r="J27" s="49" t="inlineStr">
        <is>
          <t>2027 Job Detail Report.pdf (Sage Timberline, 04/03/2026, 184 pages)</t>
        </is>
      </c>
    </row>
    <row r="28">
      <c r="B28" s="46" t="inlineStr">
        <is>
          <t>603</t>
        </is>
      </c>
      <c r="C28" s="47" t="inlineStr">
        <is>
          <t>Permits &amp; Licenses</t>
        </is>
      </c>
      <c r="D28" s="66" t="n">
        <v>13365</v>
      </c>
      <c r="E28" s="66" t="n">
        <v>13365</v>
      </c>
      <c r="F28" s="66" t="n">
        <v>9694</v>
      </c>
      <c r="G28" s="67">
        <f>F28-E28</f>
        <v/>
      </c>
      <c r="H28" s="68">
        <f>IF(E28=0,"",F28/E28)</f>
        <v/>
      </c>
      <c r="I28" s="17" t="inlineStr"/>
      <c r="J28" s="47" t="inlineStr">
        <is>
          <t>2027 Job Detail Report.pdf (Sage Timberline, 04/03/2026, 184 pages)</t>
        </is>
      </c>
    </row>
    <row r="29">
      <c r="B29" s="48" t="inlineStr">
        <is>
          <t>607</t>
        </is>
      </c>
      <c r="C29" s="49" t="inlineStr">
        <is>
          <t>Other Expenses</t>
        </is>
      </c>
      <c r="D29" s="69" t="n">
        <v>17000</v>
      </c>
      <c r="E29" s="69" t="n">
        <v>17000</v>
      </c>
      <c r="F29" s="69" t="n">
        <v>10135.59</v>
      </c>
      <c r="G29" s="70">
        <f>F29-E29</f>
        <v/>
      </c>
      <c r="H29" s="71">
        <f>IF(E29=0,"",F29/E29)</f>
        <v/>
      </c>
      <c r="I29" s="73" t="inlineStr"/>
      <c r="J29" s="49" t="inlineStr">
        <is>
          <t>2027 Job Detail Report.pdf (Sage Timberline, 04/03/2026, 184 pages)</t>
        </is>
      </c>
    </row>
    <row r="30">
      <c r="B30" s="46" t="inlineStr">
        <is>
          <t>995</t>
        </is>
      </c>
      <c r="C30" s="47" t="inlineStr">
        <is>
          <t>Payroll Burden</t>
        </is>
      </c>
      <c r="D30" s="66" t="n">
        <v>208385</v>
      </c>
      <c r="E30" s="66" t="n">
        <v>209087.09</v>
      </c>
      <c r="F30" s="66" t="n">
        <v>188248.16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2027 Job Detail Report.pdf (Sage Timberline, 04/03/2026, 184 pages)</t>
        </is>
      </c>
    </row>
    <row r="31">
      <c r="B31" s="48" t="inlineStr">
        <is>
          <t>998</t>
        </is>
      </c>
      <c r="C31" s="49" t="inlineStr">
        <is>
          <t>Payroll Taxes</t>
        </is>
      </c>
      <c r="D31" s="69" t="n">
        <v>42681.26</v>
      </c>
      <c r="E31" s="69" t="n">
        <v>42817.2</v>
      </c>
      <c r="F31" s="69" t="n">
        <v>37580.97</v>
      </c>
      <c r="G31" s="70">
        <f>F31-E31</f>
        <v/>
      </c>
      <c r="H31" s="71">
        <f>IF(E31=0,"",F31/E31)</f>
        <v/>
      </c>
      <c r="I31" s="73" t="inlineStr"/>
      <c r="J31" s="49" t="inlineStr">
        <is>
          <t>2027 Job Detail Report.pdf (Sage Timberline, 04/03/2026, 184 pages)</t>
        </is>
      </c>
    </row>
    <row r="32">
      <c r="B32" s="46" t="inlineStr">
        <is>
          <t>999</t>
        </is>
      </c>
      <c r="C32" s="47" t="inlineStr">
        <is>
          <t>Sales</t>
        </is>
      </c>
      <c r="D32" s="66" t="n">
        <v>-2230810</v>
      </c>
      <c r="E32" s="66" t="n">
        <v>-2275444</v>
      </c>
      <c r="F32" s="66" t="n">
        <v>-2275444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2027 Job Detail Report.pdf (Sage Timberline, 04/03/2026, 184 pages)</t>
        </is>
      </c>
    </row>
    <row r="33">
      <c r="B33" s="74" t="inlineStr">
        <is>
          <t>TOTAL</t>
        </is>
      </c>
      <c r="C33" s="53" t="n"/>
      <c r="D33" s="70">
        <f>SUM(D6:D32)</f>
        <v/>
      </c>
      <c r="E33" s="70">
        <f>SUM(E6:E32)</f>
        <v/>
      </c>
      <c r="F33" s="70">
        <f>SUM(F6:F32)</f>
        <v/>
      </c>
      <c r="G33" s="70">
        <f>F33-E33</f>
        <v/>
      </c>
      <c r="H33" s="53" t="n"/>
      <c r="I33" s="75">
        <f>SUM(I6:I32)</f>
        <v/>
      </c>
      <c r="J3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</t>
        </is>
      </c>
      <c r="D6" s="55" t="n">
        <v>491249.77</v>
      </c>
      <c r="E6" s="68">
        <f>D6/$D$11</f>
        <v/>
      </c>
      <c r="F6" s="68">
        <f>D6/2275444.0</f>
        <v/>
      </c>
      <c r="G6" s="47" t="inlineStr">
        <is>
          <t>2027 Job Detail Report.pdf (Sage Timberline, 04/03/2026, 184 pages)</t>
        </is>
      </c>
    </row>
    <row r="7">
      <c r="B7" s="48" t="inlineStr">
        <is>
          <t>Material</t>
        </is>
      </c>
      <c r="C7" s="49" t="inlineStr">
        <is>
          <t>210,211,212,220,230,240,241,242</t>
        </is>
      </c>
      <c r="D7" s="76" t="n">
        <v>548321.75</v>
      </c>
      <c r="E7" s="71">
        <f>D7/$D$11</f>
        <v/>
      </c>
      <c r="F7" s="71">
        <f>D7/2275444.0</f>
        <v/>
      </c>
      <c r="G7" s="49" t="inlineStr">
        <is>
          <t>2027 Job Detail Report.pdf (Sage Timberline, 04/03/2026, 184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600,601,602,603,607</t>
        </is>
      </c>
      <c r="D8" s="55" t="n">
        <v>88066.56999999999</v>
      </c>
      <c r="E8" s="68">
        <f>D8/$D$11</f>
        <v/>
      </c>
      <c r="F8" s="68">
        <f>D8/2275444.0</f>
        <v/>
      </c>
      <c r="G8" s="47" t="inlineStr">
        <is>
          <t>2027 Job Detail Report.pdf (Sage Timberline, 04/03/2026, 184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76" t="n">
        <v>188248.16</v>
      </c>
      <c r="E9" s="71">
        <f>D9/$D$11</f>
        <v/>
      </c>
      <c r="F9" s="71">
        <f>D9/2275444.0</f>
        <v/>
      </c>
      <c r="G9" s="49" t="inlineStr">
        <is>
          <t>2027 Job Detail Report.pdf (Sage Timberline, 04/03/2026, 184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55" t="n">
        <v>37580.97</v>
      </c>
      <c r="E10" s="68">
        <f>D10/$D$11</f>
        <v/>
      </c>
      <c r="F10" s="68">
        <f>D10/2275444.0</f>
        <v/>
      </c>
      <c r="G10" s="47" t="inlineStr">
        <is>
          <t>2027 Job Detail Report.pdf (Sage Timberline, 04/03/2026, 184 pages)</t>
        </is>
      </c>
    </row>
    <row r="11">
      <c r="B11" s="74" t="inlineStr">
        <is>
          <t>TOTAL DIRECT COST</t>
        </is>
      </c>
      <c r="C11" s="53" t="n"/>
      <c r="D11" s="77">
        <f>SUM(D6:D10)</f>
        <v/>
      </c>
      <c r="E11" s="78" t="n">
        <v>1</v>
      </c>
      <c r="F11" s="71">
        <f>D11/2275444.0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2027RS</t>
        </is>
      </c>
      <c r="C6" s="47" t="inlineStr">
        <is>
          <t>Rosen Supply Company, Inc. $550 Broadway</t>
        </is>
      </c>
      <c r="D6" s="66" t="n">
        <v>130186.55</v>
      </c>
      <c r="E6" s="79" t="n">
        <v>76</v>
      </c>
      <c r="F6" s="47" t="inlineStr">
        <is>
          <t>Plumbing / Supplies</t>
        </is>
      </c>
      <c r="G6" s="47" t="inlineStr">
        <is>
          <t>2027 Job Detail Report.pdf (Sage Timberline, 04/03/2026, 184 pages)</t>
        </is>
      </c>
    </row>
    <row r="7">
      <c r="B7" s="48" t="inlineStr">
        <is>
          <t>2027KS</t>
        </is>
      </c>
      <c r="C7" s="49" t="inlineStr">
        <is>
          <t>Keller Supply Company $550 Broadway</t>
        </is>
      </c>
      <c r="D7" s="69" t="n">
        <v>108476.79</v>
      </c>
      <c r="E7" s="80" t="n">
        <v>53</v>
      </c>
      <c r="F7" s="49" t="inlineStr">
        <is>
          <t>Plumbing / Supplies</t>
        </is>
      </c>
      <c r="G7" s="49" t="inlineStr">
        <is>
          <t>2027 Job Detail Report.pdf (Sage Timberline, 04/03/2026, 184 pages)</t>
        </is>
      </c>
      <c r="H7" s="53" t="n"/>
      <c r="I7" s="53" t="n"/>
      <c r="J7" s="53" t="n"/>
    </row>
    <row r="8">
      <c r="B8" s="46" t="inlineStr">
        <is>
          <t>2027FE</t>
        </is>
      </c>
      <c r="C8" s="47" t="inlineStr">
        <is>
          <t>Ferguson Enterprises, Inc. $550 Broadway</t>
        </is>
      </c>
      <c r="D8" s="66" t="n">
        <v>83315.57999999997</v>
      </c>
      <c r="E8" s="79" t="n">
        <v>38</v>
      </c>
      <c r="F8" s="47" t="inlineStr">
        <is>
          <t>Plumbing / Supplies</t>
        </is>
      </c>
      <c r="G8" s="47" t="inlineStr">
        <is>
          <t>2027 Job Detail Report.pdf (Sage Timberline, 04/03/2026, 184 pages)</t>
        </is>
      </c>
    </row>
    <row r="9">
      <c r="B9" s="48" t="inlineStr">
        <is>
          <t>3612MS</t>
        </is>
      </c>
      <c r="C9" s="49" t="inlineStr">
        <is>
          <t>Mechanical Sales, Inc.</t>
        </is>
      </c>
      <c r="D9" s="69" t="n">
        <v>70237.38</v>
      </c>
      <c r="E9" s="80" t="n">
        <v>4</v>
      </c>
      <c r="F9" s="49" t="inlineStr">
        <is>
          <t>Plumbing / Supplies</t>
        </is>
      </c>
      <c r="G9" s="49" t="inlineStr">
        <is>
          <t>2027 Job Detail Report.pdf (Sage Timberline, 04/03/2026, 184 pages)</t>
        </is>
      </c>
      <c r="H9" s="53" t="n"/>
      <c r="I9" s="53" t="n"/>
      <c r="J9" s="53" t="n"/>
    </row>
    <row r="10">
      <c r="B10" s="46" t="inlineStr">
        <is>
          <t>2027CS</t>
        </is>
      </c>
      <c r="C10" s="47" t="inlineStr">
        <is>
          <t>Consolidated Supply Co.$550 Broadway</t>
        </is>
      </c>
      <c r="D10" s="66" t="n">
        <v>43775.87</v>
      </c>
      <c r="E10" s="79" t="n">
        <v>30</v>
      </c>
      <c r="F10" s="47" t="inlineStr">
        <is>
          <t>Plumbing / Supplies</t>
        </is>
      </c>
      <c r="G10" s="47" t="inlineStr">
        <is>
          <t>2027 Job Detail Report.pdf (Sage Timberline, 04/03/2026, 184 pages)</t>
        </is>
      </c>
    </row>
    <row r="11">
      <c r="B11" s="48" t="inlineStr">
        <is>
          <t>1625FE</t>
        </is>
      </c>
      <c r="C11" s="49" t="inlineStr">
        <is>
          <t>Franklin Engineering</t>
        </is>
      </c>
      <c r="D11" s="69" t="n">
        <v>39853.5</v>
      </c>
      <c r="E11" s="80" t="n">
        <v>12</v>
      </c>
      <c r="F11" s="49" t="inlineStr">
        <is>
          <t>Engineering (601)</t>
        </is>
      </c>
      <c r="G11" s="49" t="inlineStr">
        <is>
          <t>2027 Job Detail Report.pdf (Sage Timberline, 04/03/2026, 184 pages)</t>
        </is>
      </c>
      <c r="H11" s="53" t="n"/>
      <c r="I11" s="53" t="n"/>
      <c r="J11" s="53" t="n"/>
    </row>
    <row r="12">
      <c r="B12" s="46" t="inlineStr">
        <is>
          <t>6912MF</t>
        </is>
      </c>
      <c r="C12" s="47" t="inlineStr">
        <is>
          <t>Mechanical Firestop Services, LLC</t>
        </is>
      </c>
      <c r="D12" s="66" t="n">
        <v>22950</v>
      </c>
      <c r="E12" s="79" t="n">
        <v>3</v>
      </c>
      <c r="F12" s="47" t="inlineStr">
        <is>
          <t>Uncategorized</t>
        </is>
      </c>
      <c r="G12" s="47" t="inlineStr">
        <is>
          <t>2027 Job Detail Report.pdf (Sage Timberline, 04/03/2026, 184 pages)</t>
        </is>
      </c>
    </row>
    <row r="13">
      <c r="B13" s="48" t="inlineStr">
        <is>
          <t>1234BA</t>
        </is>
      </c>
      <c r="C13" s="49" t="inlineStr">
        <is>
          <t>Bank of America CC</t>
        </is>
      </c>
      <c r="D13" s="69" t="n">
        <v>8719</v>
      </c>
      <c r="E13" s="80" t="n">
        <v>4</v>
      </c>
      <c r="F13" s="49" t="inlineStr">
        <is>
          <t>Credit Card (mixed)</t>
        </is>
      </c>
      <c r="G13" s="49" t="inlineStr">
        <is>
          <t>2027 Job Detail Report.pdf (Sage Timberline, 04/03/2026, 184 pages)</t>
        </is>
      </c>
      <c r="H13" s="53" t="n"/>
      <c r="I13" s="53" t="n"/>
      <c r="J13" s="53" t="n"/>
    </row>
    <row r="14">
      <c r="B14" s="46" t="inlineStr">
        <is>
          <t>1234CO</t>
        </is>
      </c>
      <c r="C14" s="47" t="inlineStr">
        <is>
          <t>Capital One Credit Card</t>
        </is>
      </c>
      <c r="D14" s="66" t="n">
        <v>8104.000000000002</v>
      </c>
      <c r="E14" s="79" t="n">
        <v>44</v>
      </c>
      <c r="F14" s="47" t="inlineStr">
        <is>
          <t>Credit Card (mixed)</t>
        </is>
      </c>
      <c r="G14" s="47" t="inlineStr">
        <is>
          <t>2027 Job Detail Report.pdf (Sage Timberline, 04/03/2026, 184 pages)</t>
        </is>
      </c>
    </row>
    <row r="15">
      <c r="B15" s="48" t="inlineStr">
        <is>
          <t>1234CI</t>
        </is>
      </c>
      <c r="C15" s="49" t="inlineStr">
        <is>
          <t>Citibank Credit Card</t>
        </is>
      </c>
      <c r="D15" s="69" t="n">
        <v>7501.5</v>
      </c>
      <c r="E15" s="80" t="n">
        <v>2</v>
      </c>
      <c r="F15" s="49" t="inlineStr">
        <is>
          <t>Credit Card (mixed)</t>
        </is>
      </c>
      <c r="G15" s="49" t="inlineStr">
        <is>
          <t>2027 Job Detail Report.pdf (Sage Timberline, 04/03/2026, 184 pages)</t>
        </is>
      </c>
      <c r="H15" s="53" t="n"/>
      <c r="I15" s="53" t="n"/>
      <c r="J15" s="53" t="n"/>
    </row>
    <row r="16">
      <c r="B16" s="46" t="inlineStr">
        <is>
          <t>1609QC</t>
        </is>
      </c>
      <c r="C16" s="47" t="inlineStr">
        <is>
          <t>Quality Concrete Products, Inc. $32</t>
        </is>
      </c>
      <c r="D16" s="66" t="n">
        <v>4638</v>
      </c>
      <c r="E16" s="79" t="n">
        <v>6</v>
      </c>
      <c r="F16" s="47" t="inlineStr">
        <is>
          <t>Uncategorized</t>
        </is>
      </c>
      <c r="G16" s="47" t="inlineStr">
        <is>
          <t>2027 Job Detail Report.pdf (Sage Timberline, 04/03/2026, 184 pages)</t>
        </is>
      </c>
    </row>
    <row r="17">
      <c r="B17" s="48" t="inlineStr">
        <is>
          <t>1175FE</t>
        </is>
      </c>
      <c r="C17" s="49" t="inlineStr">
        <is>
          <t>Ferguson Enterprises, Inc. #3007</t>
        </is>
      </c>
      <c r="D17" s="69" t="n">
        <v>2530.96</v>
      </c>
      <c r="E17" s="80" t="n">
        <v>9</v>
      </c>
      <c r="F17" s="49" t="inlineStr">
        <is>
          <t>Plumbing / Supplies</t>
        </is>
      </c>
      <c r="G17" s="49" t="inlineStr">
        <is>
          <t>2027 Job Detail Report.pdf (Sage Timberline, 04/03/2026, 184 pages)</t>
        </is>
      </c>
      <c r="H17" s="53" t="n"/>
      <c r="I17" s="53" t="n"/>
      <c r="J17" s="53" t="n"/>
    </row>
    <row r="18">
      <c r="B18" s="46" t="inlineStr">
        <is>
          <t>1504CA</t>
        </is>
      </c>
      <c r="C18" s="47" t="inlineStr">
        <is>
          <t>Chip Away Bathtub Repair, Inc.</t>
        </is>
      </c>
      <c r="D18" s="66" t="n">
        <v>1800</v>
      </c>
      <c r="E18" s="79" t="n">
        <v>1</v>
      </c>
      <c r="F18" s="47" t="inlineStr">
        <is>
          <t>Uncategorized</t>
        </is>
      </c>
      <c r="G18" s="47" t="inlineStr">
        <is>
          <t>2027 Job Detail Report.pdf (Sage Timberline, 04/03/2026, 184 pages)</t>
        </is>
      </c>
    </row>
    <row r="19">
      <c r="B19" s="48" t="inlineStr">
        <is>
          <t>1231KS</t>
        </is>
      </c>
      <c r="C19" s="49" t="inlineStr">
        <is>
          <t>Keller Supply Company</t>
        </is>
      </c>
      <c r="D19" s="69" t="n">
        <v>1725.69</v>
      </c>
      <c r="E19" s="80" t="n">
        <v>6</v>
      </c>
      <c r="F19" s="49" t="inlineStr">
        <is>
          <t>Plumbing / Supplies</t>
        </is>
      </c>
      <c r="G19" s="49" t="inlineStr">
        <is>
          <t>2027 Job Detail Report.pdf (Sage Timberline, 04/03/2026, 184 pages)</t>
        </is>
      </c>
      <c r="H19" s="53" t="n"/>
      <c r="I19" s="53" t="n"/>
      <c r="J19" s="53" t="n"/>
    </row>
    <row r="20">
      <c r="B20" s="46" t="inlineStr">
        <is>
          <t>5585CH</t>
        </is>
      </c>
      <c r="C20" s="47" t="inlineStr">
        <is>
          <t>Columbia Hydronics</t>
        </is>
      </c>
      <c r="D20" s="66" t="n">
        <v>1627.74</v>
      </c>
      <c r="E20" s="79" t="n">
        <v>1</v>
      </c>
      <c r="F20" s="47" t="inlineStr">
        <is>
          <t>Uncategorized</t>
        </is>
      </c>
      <c r="G20" s="47" t="inlineStr">
        <is>
          <t>2027 Job Detail Report.pdf (Sage Timberline, 04/03/2026, 184 pages)</t>
        </is>
      </c>
    </row>
    <row r="21">
      <c r="B21" s="48" t="inlineStr">
        <is>
          <t>8068MI</t>
        </is>
      </c>
      <c r="C21" s="49" t="inlineStr">
        <is>
          <t>Kele, Inc $ MI Controls</t>
        </is>
      </c>
      <c r="D21" s="69" t="n">
        <v>563.8099999999999</v>
      </c>
      <c r="E21" s="80" t="n">
        <v>3</v>
      </c>
      <c r="F21" s="49" t="inlineStr">
        <is>
          <t>Uncategorized</t>
        </is>
      </c>
      <c r="G21" s="49" t="inlineStr">
        <is>
          <t>2027 Job Detail Report.pdf (Sage Timberline, 04/03/2026, 184 pages)</t>
        </is>
      </c>
      <c r="H21" s="53" t="n"/>
      <c r="I21" s="53" t="n"/>
      <c r="J21" s="53" t="n"/>
    </row>
    <row r="22">
      <c r="B22" s="46" t="inlineStr">
        <is>
          <t>1799AW</t>
        </is>
      </c>
      <c r="C22" s="47" t="inlineStr">
        <is>
          <t>AllWest Underground, Inc.</t>
        </is>
      </c>
      <c r="D22" s="66" t="n">
        <v>527.5599999999999</v>
      </c>
      <c r="E22" s="79" t="n">
        <v>2</v>
      </c>
      <c r="F22" s="47" t="inlineStr">
        <is>
          <t>Uncategorized</t>
        </is>
      </c>
      <c r="G22" s="47" t="inlineStr">
        <is>
          <t>2027 Job Detail Report.pdf (Sage Timberline, 04/03/2026, 184 pages)</t>
        </is>
      </c>
    </row>
    <row r="23">
      <c r="B23" s="48" t="inlineStr">
        <is>
          <t>4320MC</t>
        </is>
      </c>
      <c r="C23" s="49" t="inlineStr">
        <is>
          <t>MAD Concrete Cutting &amp; Coring, Inc.</t>
        </is>
      </c>
      <c r="D23" s="69" t="n">
        <v>525</v>
      </c>
      <c r="E23" s="80" t="n">
        <v>1</v>
      </c>
      <c r="F23" s="49" t="inlineStr">
        <is>
          <t>Uncategorized</t>
        </is>
      </c>
      <c r="G23" s="49" t="inlineStr">
        <is>
          <t>2027 Job Detail Report.pdf (Sage Timberline, 04/03/2026, 184 pages)</t>
        </is>
      </c>
      <c r="H23" s="53" t="n"/>
      <c r="I23" s="53" t="n"/>
      <c r="J23" s="53" t="n"/>
    </row>
    <row r="24">
      <c r="B24" s="46" t="inlineStr">
        <is>
          <t>3181SC</t>
        </is>
      </c>
      <c r="C24" s="47" t="inlineStr">
        <is>
          <t>Scan2Core, Inc.</t>
        </is>
      </c>
      <c r="D24" s="66" t="n">
        <v>470</v>
      </c>
      <c r="E24" s="79" t="n">
        <v>1</v>
      </c>
      <c r="F24" s="47" t="inlineStr">
        <is>
          <t>Uncategorized</t>
        </is>
      </c>
      <c r="G24" s="47" t="inlineStr">
        <is>
          <t>2027 Job Detail Report.pdf (Sage Timberline, 04/03/2026, 184 pages)</t>
        </is>
      </c>
    </row>
    <row r="25">
      <c r="B25" s="48" t="inlineStr">
        <is>
          <t>1380RS</t>
        </is>
      </c>
      <c r="C25" s="49" t="inlineStr">
        <is>
          <t>Rosen Supply Kirkland</t>
        </is>
      </c>
      <c r="D25" s="69" t="n">
        <v>291.4</v>
      </c>
      <c r="E25" s="80" t="n">
        <v>2</v>
      </c>
      <c r="F25" s="49" t="inlineStr">
        <is>
          <t>Plumbing / Supplies</t>
        </is>
      </c>
      <c r="G25" s="49" t="inlineStr">
        <is>
          <t>2027 Job Detail Report.pdf (Sage Timberline, 04/03/2026, 184 pages)</t>
        </is>
      </c>
      <c r="H25" s="53" t="n"/>
      <c r="I25" s="53" t="n"/>
      <c r="J25" s="53" t="n"/>
    </row>
    <row r="26">
      <c r="B26" s="46" t="inlineStr">
        <is>
          <t>1303CM</t>
        </is>
      </c>
      <c r="C26" s="47" t="inlineStr">
        <is>
          <t>C.M. Hoskins Company</t>
        </is>
      </c>
      <c r="D26" s="66" t="n">
        <v>217.8</v>
      </c>
      <c r="E26" s="79" t="n">
        <v>1</v>
      </c>
      <c r="F26" s="47" t="inlineStr">
        <is>
          <t>Uncategorized</t>
        </is>
      </c>
      <c r="G26" s="47" t="inlineStr">
        <is>
          <t>2027 Job Detail Report.pdf (Sage Timberline, 04/03/2026, 184 pages)</t>
        </is>
      </c>
    </row>
    <row r="27">
      <c r="B27" s="48" t="inlineStr">
        <is>
          <t>1421RA</t>
        </is>
      </c>
      <c r="C27" s="49" t="inlineStr">
        <is>
          <t>R.A. Brown Backflow Testing</t>
        </is>
      </c>
      <c r="D27" s="69" t="n">
        <v>200</v>
      </c>
      <c r="E27" s="80" t="n">
        <v>1</v>
      </c>
      <c r="F27" s="49" t="inlineStr">
        <is>
          <t>Testing subcontractor</t>
        </is>
      </c>
      <c r="G27" s="49" t="inlineStr">
        <is>
          <t>2027 Job Detail Report.pdf (Sage Timberline, 04/03/2026, 184 pages)</t>
        </is>
      </c>
      <c r="H27" s="53" t="n"/>
      <c r="I27" s="53" t="n"/>
      <c r="J27" s="53" t="n"/>
    </row>
    <row r="28">
      <c r="B28" s="46" t="inlineStr">
        <is>
          <t>5621HD</t>
        </is>
      </c>
      <c r="C28" s="47" t="inlineStr">
        <is>
          <t>Core &amp; Main LP $HD Supply Waterworks</t>
        </is>
      </c>
      <c r="D28" s="66" t="n">
        <v>169.34</v>
      </c>
      <c r="E28" s="79" t="n">
        <v>1</v>
      </c>
      <c r="F28" s="47" t="inlineStr">
        <is>
          <t>Plumbing / Supplies</t>
        </is>
      </c>
      <c r="G28" s="47" t="inlineStr">
        <is>
          <t>2027 Job Detail Report.pdf (Sage Timberline, 04/03/2026, 184 pages)</t>
        </is>
      </c>
    </row>
    <row r="29">
      <c r="B29" s="48" t="inlineStr">
        <is>
          <t>1401LU</t>
        </is>
      </c>
      <c r="C29" s="49" t="inlineStr">
        <is>
          <t>Lotus United, LLC</t>
        </is>
      </c>
      <c r="D29" s="69" t="n">
        <v>155</v>
      </c>
      <c r="E29" s="80" t="n">
        <v>1</v>
      </c>
      <c r="F29" s="49" t="inlineStr">
        <is>
          <t>Uncategorized</t>
        </is>
      </c>
      <c r="G29" s="49" t="inlineStr">
        <is>
          <t>2027 Job Detail Report.pdf (Sage Timberline, 04/03/2026, 184 pages)</t>
        </is>
      </c>
      <c r="H29" s="53" t="n"/>
      <c r="I29" s="53" t="n"/>
      <c r="J29" s="53" t="n"/>
    </row>
    <row r="30">
      <c r="B30" s="46" t="inlineStr">
        <is>
          <t>2026RS</t>
        </is>
      </c>
      <c r="C30" s="47" t="inlineStr">
        <is>
          <t>Rosen Supply Company, Inc. $Boren</t>
        </is>
      </c>
      <c r="D30" s="66" t="n">
        <v>74.05</v>
      </c>
      <c r="E30" s="79" t="n">
        <v>1</v>
      </c>
      <c r="F30" s="47" t="inlineStr">
        <is>
          <t>Plumbing / Supplies</t>
        </is>
      </c>
      <c r="G30" s="47" t="inlineStr">
        <is>
          <t>2027 Job Detail Report.pdf (Sage Timberline, 04/03/2026, 184 pages)</t>
        </is>
      </c>
    </row>
    <row r="31">
      <c r="B31" s="48" t="inlineStr">
        <is>
          <t>1978FC</t>
        </is>
      </c>
      <c r="C31" s="49" t="inlineStr">
        <is>
          <t>Fastenal Company</t>
        </is>
      </c>
      <c r="D31" s="69" t="n">
        <v>14.78</v>
      </c>
      <c r="E31" s="80" t="n">
        <v>1</v>
      </c>
      <c r="F31" s="49" t="inlineStr">
        <is>
          <t>Uncategorized</t>
        </is>
      </c>
      <c r="G31" s="49" t="inlineStr">
        <is>
          <t>2027 Job Detail Report.pdf (Sage Timberline, 04/03/2026, 184 pages)</t>
        </is>
      </c>
      <c r="H31" s="53" t="n"/>
      <c r="I31" s="53" t="n"/>
      <c r="J31" s="53" t="n"/>
    </row>
    <row r="32">
      <c r="B32" s="81" t="inlineStr">
        <is>
          <t>TOTAL</t>
        </is>
      </c>
      <c r="D32" s="82">
        <f>SUM(D6:D31)</f>
        <v/>
      </c>
      <c r="E32" s="47">
        <f>SUM(E6:E31)</f>
        <v/>
      </c>
    </row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46" t="inlineStr">
        <is>
          <t>NOTE: AP total per JDR footer = $538,651.30. Vendor sum above approximates this. Submittals folder (Submittals/) contains 19 fixture + 10 material + 1 UG submittal documenting approved products. POs folder shows 82 POs (7 placed, 19 scheduled, 56 completed).</t>
        </is>
      </c>
      <c r="C34" s="6" t="n"/>
      <c r="D34" s="6" t="n"/>
      <c r="E34" s="6" t="n"/>
      <c r="F34" s="6" t="n"/>
      <c r="G34" s="7" t="n"/>
    </row>
  </sheetData>
  <mergeCells count="3">
    <mergeCell ref="B34:G34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43 unique payroll workers from JDR.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BA70</t>
        </is>
      </c>
      <c r="C6" s="47" t="inlineStr">
        <is>
          <t>Barnhart, Joseph N</t>
        </is>
      </c>
      <c r="D6" s="56" t="n">
        <v>1753</v>
      </c>
      <c r="E6" s="55" t="n">
        <v>70865</v>
      </c>
      <c r="F6" s="82">
        <f>IF(D6=0,0,E6/D6)</f>
        <v/>
      </c>
      <c r="G6" s="79" t="n">
        <v>74</v>
      </c>
      <c r="H6" s="47" t="inlineStr">
        <is>
          <t>2027 Job Detail Report.pdf (Sage Timberline, 04/03/2026, 184 pages)</t>
        </is>
      </c>
    </row>
    <row r="7">
      <c r="B7" s="48" t="inlineStr">
        <is>
          <t>WI46</t>
        </is>
      </c>
      <c r="C7" s="49" t="inlineStr">
        <is>
          <t>Wilson, Garret A</t>
        </is>
      </c>
      <c r="D7" s="72" t="n">
        <v>1598</v>
      </c>
      <c r="E7" s="76" t="n">
        <v>40929</v>
      </c>
      <c r="F7" s="77">
        <f>IF(D7=0,0,E7/D7)</f>
        <v/>
      </c>
      <c r="G7" s="80" t="n">
        <v>54</v>
      </c>
      <c r="H7" s="49" t="inlineStr">
        <is>
          <t>2027 Job Detail Report.pdf (Sage Timberline, 04/03/2026, 184 pages)</t>
        </is>
      </c>
      <c r="I7" s="53" t="n"/>
      <c r="J7" s="53" t="n"/>
    </row>
    <row r="8">
      <c r="B8" s="46" t="inlineStr">
        <is>
          <t>ME53</t>
        </is>
      </c>
      <c r="C8" s="47" t="inlineStr">
        <is>
          <t>Mendoza Morales, Jesus A</t>
        </is>
      </c>
      <c r="D8" s="56" t="n">
        <v>1570</v>
      </c>
      <c r="E8" s="55" t="n">
        <v>29286</v>
      </c>
      <c r="F8" s="82">
        <f>IF(D8=0,0,E8/D8)</f>
        <v/>
      </c>
      <c r="G8" s="79" t="n">
        <v>42</v>
      </c>
      <c r="H8" s="47" t="inlineStr">
        <is>
          <t>2027 Job Detail Report.pdf (Sage Timberline, 04/03/2026, 184 pages)</t>
        </is>
      </c>
    </row>
    <row r="9">
      <c r="B9" s="48" t="inlineStr">
        <is>
          <t>SO78</t>
        </is>
      </c>
      <c r="C9" s="49" t="inlineStr">
        <is>
          <t>Soto Cruz, Jovani</t>
        </is>
      </c>
      <c r="D9" s="72" t="n">
        <v>1555</v>
      </c>
      <c r="E9" s="76" t="n">
        <v>33965</v>
      </c>
      <c r="F9" s="77">
        <f>IF(D9=0,0,E9/D9)</f>
        <v/>
      </c>
      <c r="G9" s="80" t="n">
        <v>43</v>
      </c>
      <c r="H9" s="49" t="inlineStr">
        <is>
          <t>2027 Job Detail Report.pdf (Sage Timberline, 04/03/2026, 184 pages)</t>
        </is>
      </c>
      <c r="I9" s="53" t="n"/>
      <c r="J9" s="53" t="n"/>
    </row>
    <row r="10">
      <c r="B10" s="46" t="inlineStr">
        <is>
          <t>BA45</t>
        </is>
      </c>
      <c r="C10" s="47" t="inlineStr">
        <is>
          <t>Balderas Ortiz, Ricardo I</t>
        </is>
      </c>
      <c r="D10" s="56" t="n">
        <v>1337.5</v>
      </c>
      <c r="E10" s="55" t="n">
        <v>30760</v>
      </c>
      <c r="F10" s="82">
        <f>IF(D10=0,0,E10/D10)</f>
        <v/>
      </c>
      <c r="G10" s="79" t="n">
        <v>36</v>
      </c>
      <c r="H10" s="47" t="inlineStr">
        <is>
          <t>2027 Job Detail Report.pdf (Sage Timberline, 04/03/2026, 184 pages)</t>
        </is>
      </c>
    </row>
    <row r="11">
      <c r="B11" s="48" t="inlineStr">
        <is>
          <t>MA71</t>
        </is>
      </c>
      <c r="C11" s="49" t="inlineStr">
        <is>
          <t>Martinez Reyes, Juan C</t>
        </is>
      </c>
      <c r="D11" s="72" t="n">
        <v>1184</v>
      </c>
      <c r="E11" s="76" t="n">
        <v>21961</v>
      </c>
      <c r="F11" s="77">
        <f>IF(D11=0,0,E11/D11)</f>
        <v/>
      </c>
      <c r="G11" s="80" t="n">
        <v>39</v>
      </c>
      <c r="H11" s="49" t="inlineStr">
        <is>
          <t>2027 Job Detail Report.pdf (Sage Timberline, 04/03/2026, 184 pages)</t>
        </is>
      </c>
      <c r="I11" s="53" t="n"/>
      <c r="J11" s="53" t="n"/>
    </row>
    <row r="12">
      <c r="B12" s="46" t="inlineStr">
        <is>
          <t>WE55</t>
        </is>
      </c>
      <c r="C12" s="47" t="inlineStr">
        <is>
          <t>Wennig, Johnathan M</t>
        </is>
      </c>
      <c r="D12" s="56" t="n">
        <v>939</v>
      </c>
      <c r="E12" s="55" t="n">
        <v>19169</v>
      </c>
      <c r="F12" s="82">
        <f>IF(D12=0,0,E12/D12)</f>
        <v/>
      </c>
      <c r="G12" s="79" t="n">
        <v>26</v>
      </c>
      <c r="H12" s="47" t="inlineStr">
        <is>
          <t>2027 Job Detail Report.pdf (Sage Timberline, 04/03/2026, 184 pages)</t>
        </is>
      </c>
    </row>
    <row r="13">
      <c r="B13" s="48" t="inlineStr">
        <is>
          <t>VE42</t>
        </is>
      </c>
      <c r="C13" s="49" t="inlineStr">
        <is>
          <t>Velasquez Cruz, Denis M</t>
        </is>
      </c>
      <c r="D13" s="72" t="n">
        <v>925</v>
      </c>
      <c r="E13" s="76" t="n">
        <v>20651</v>
      </c>
      <c r="F13" s="77">
        <f>IF(D13=0,0,E13/D13)</f>
        <v/>
      </c>
      <c r="G13" s="80" t="n">
        <v>25</v>
      </c>
      <c r="H13" s="49" t="inlineStr">
        <is>
          <t>2027 Job Detail Report.pdf (Sage Timberline, 04/03/2026, 184 pages)</t>
        </is>
      </c>
      <c r="I13" s="53" t="n"/>
      <c r="J13" s="53" t="n"/>
    </row>
    <row r="14">
      <c r="B14" s="46" t="inlineStr">
        <is>
          <t>GA70</t>
        </is>
      </c>
      <c r="C14" s="47" t="inlineStr">
        <is>
          <t>Garcia, Jordan X</t>
        </is>
      </c>
      <c r="D14" s="56" t="n">
        <v>842</v>
      </c>
      <c r="E14" s="55" t="n">
        <v>21456.5</v>
      </c>
      <c r="F14" s="82">
        <f>IF(D14=0,0,E14/D14)</f>
        <v/>
      </c>
      <c r="G14" s="79" t="n">
        <v>26</v>
      </c>
      <c r="H14" s="47" t="inlineStr">
        <is>
          <t>2027 Job Detail Report.pdf (Sage Timberline, 04/03/2026, 184 pages)</t>
        </is>
      </c>
    </row>
    <row r="15">
      <c r="B15" s="48" t="inlineStr">
        <is>
          <t>VE43</t>
        </is>
      </c>
      <c r="C15" s="49" t="inlineStr">
        <is>
          <t>Velasquez Cruz, Osman N</t>
        </is>
      </c>
      <c r="D15" s="72" t="n">
        <v>717</v>
      </c>
      <c r="E15" s="76" t="n">
        <v>10038</v>
      </c>
      <c r="F15" s="77">
        <f>IF(D15=0,0,E15/D15)</f>
        <v/>
      </c>
      <c r="G15" s="80" t="n">
        <v>19</v>
      </c>
      <c r="H15" s="49" t="inlineStr">
        <is>
          <t>2027 Job Detail Report.pdf (Sage Timberline, 04/03/2026, 184 pages)</t>
        </is>
      </c>
      <c r="I15" s="53" t="n"/>
      <c r="J15" s="53" t="n"/>
    </row>
    <row r="16">
      <c r="B16" s="46" t="inlineStr">
        <is>
          <t>LO87</t>
        </is>
      </c>
      <c r="C16" s="47" t="inlineStr">
        <is>
          <t>Lovo, German G</t>
        </is>
      </c>
      <c r="D16" s="56" t="n">
        <v>696</v>
      </c>
      <c r="E16" s="55" t="n">
        <v>13221</v>
      </c>
      <c r="F16" s="82">
        <f>IF(D16=0,0,E16/D16)</f>
        <v/>
      </c>
      <c r="G16" s="79" t="n">
        <v>20</v>
      </c>
      <c r="H16" s="47" t="inlineStr">
        <is>
          <t>2027 Job Detail Report.pdf (Sage Timberline, 04/03/2026, 184 pages)</t>
        </is>
      </c>
    </row>
    <row r="17">
      <c r="B17" s="48" t="inlineStr">
        <is>
          <t>RA52</t>
        </is>
      </c>
      <c r="C17" s="49" t="inlineStr">
        <is>
          <t>Ramos Banegas, Noel O</t>
        </is>
      </c>
      <c r="D17" s="72" t="n">
        <v>685.5</v>
      </c>
      <c r="E17" s="76" t="n">
        <v>13345.5</v>
      </c>
      <c r="F17" s="77">
        <f>IF(D17=0,0,E17/D17)</f>
        <v/>
      </c>
      <c r="G17" s="80" t="n">
        <v>21</v>
      </c>
      <c r="H17" s="49" t="inlineStr">
        <is>
          <t>2027 Job Detail Report.pdf (Sage Timberline, 04/03/2026, 184 pages)</t>
        </is>
      </c>
      <c r="I17" s="53" t="n"/>
      <c r="J17" s="53" t="n"/>
    </row>
    <row r="18">
      <c r="B18" s="46" t="inlineStr">
        <is>
          <t>GA72</t>
        </is>
      </c>
      <c r="C18" s="47" t="inlineStr">
        <is>
          <t>Gardner, Andrew M</t>
        </is>
      </c>
      <c r="D18" s="56" t="n">
        <v>608.5</v>
      </c>
      <c r="E18" s="55" t="n">
        <v>10128.5</v>
      </c>
      <c r="F18" s="82">
        <f>IF(D18=0,0,E18/D18)</f>
        <v/>
      </c>
      <c r="G18" s="79" t="n">
        <v>18</v>
      </c>
      <c r="H18" s="47" t="inlineStr">
        <is>
          <t>2027 Job Detail Report.pdf (Sage Timberline, 04/03/2026, 184 pages)</t>
        </is>
      </c>
    </row>
    <row r="19">
      <c r="B19" s="48" t="inlineStr">
        <is>
          <t>PO71</t>
        </is>
      </c>
      <c r="C19" s="49" t="inlineStr">
        <is>
          <t>Portillo, Kevin J</t>
        </is>
      </c>
      <c r="D19" s="72" t="n">
        <v>520</v>
      </c>
      <c r="E19" s="76" t="n">
        <v>7800</v>
      </c>
      <c r="F19" s="77">
        <f>IF(D19=0,0,E19/D19)</f>
        <v/>
      </c>
      <c r="G19" s="80" t="n">
        <v>15</v>
      </c>
      <c r="H19" s="49" t="inlineStr">
        <is>
          <t>2027 Job Detail Report.pdf (Sage Timberline, 04/03/2026, 184 pages)</t>
        </is>
      </c>
      <c r="I19" s="53" t="n"/>
      <c r="J19" s="53" t="n"/>
    </row>
    <row r="20">
      <c r="B20" s="46" t="inlineStr">
        <is>
          <t>RA57</t>
        </is>
      </c>
      <c r="C20" s="47" t="inlineStr">
        <is>
          <t>Ramos Melendez, Carlos M</t>
        </is>
      </c>
      <c r="D20" s="56" t="n">
        <v>480</v>
      </c>
      <c r="E20" s="55" t="n">
        <v>6720</v>
      </c>
      <c r="F20" s="82">
        <f>IF(D20=0,0,E20/D20)</f>
        <v/>
      </c>
      <c r="G20" s="79" t="n">
        <v>13</v>
      </c>
      <c r="H20" s="47" t="inlineStr">
        <is>
          <t>2027 Job Detail Report.pdf (Sage Timberline, 04/03/2026, 184 pages)</t>
        </is>
      </c>
    </row>
    <row r="21">
      <c r="B21" s="48" t="inlineStr">
        <is>
          <t>CO73</t>
        </is>
      </c>
      <c r="C21" s="49" t="inlineStr">
        <is>
          <t>Cortes Sepulveda, Jose R</t>
        </is>
      </c>
      <c r="D21" s="72" t="n">
        <v>445</v>
      </c>
      <c r="E21" s="76" t="n">
        <v>7757</v>
      </c>
      <c r="F21" s="77">
        <f>IF(D21=0,0,E21/D21)</f>
        <v/>
      </c>
      <c r="G21" s="80" t="n">
        <v>14</v>
      </c>
      <c r="H21" s="49" t="inlineStr">
        <is>
          <t>2027 Job Detail Report.pdf (Sage Timberline, 04/03/2026, 184 pages)</t>
        </is>
      </c>
      <c r="I21" s="53" t="n"/>
      <c r="J21" s="53" t="n"/>
    </row>
    <row r="22">
      <c r="B22" s="46" t="inlineStr">
        <is>
          <t>RE18</t>
        </is>
      </c>
      <c r="C22" s="47" t="inlineStr">
        <is>
          <t>Reed, Reuben H</t>
        </is>
      </c>
      <c r="D22" s="56" t="n">
        <v>430.5</v>
      </c>
      <c r="E22" s="55" t="n">
        <v>15285.5</v>
      </c>
      <c r="F22" s="82">
        <f>IF(D22=0,0,E22/D22)</f>
        <v/>
      </c>
      <c r="G22" s="79" t="n">
        <v>16</v>
      </c>
      <c r="H22" s="47" t="inlineStr">
        <is>
          <t>2027 Job Detail Report.pdf (Sage Timberline, 04/03/2026, 184 pages)</t>
        </is>
      </c>
    </row>
    <row r="23">
      <c r="B23" s="48" t="inlineStr">
        <is>
          <t>RO75</t>
        </is>
      </c>
      <c r="C23" s="49" t="inlineStr">
        <is>
          <t>Ross, Kelli M</t>
        </is>
      </c>
      <c r="D23" s="72" t="n">
        <v>376</v>
      </c>
      <c r="E23" s="76" t="n">
        <v>13536</v>
      </c>
      <c r="F23" s="77">
        <f>IF(D23=0,0,E23/D23)</f>
        <v/>
      </c>
      <c r="G23" s="80" t="n">
        <v>11</v>
      </c>
      <c r="H23" s="49" t="inlineStr">
        <is>
          <t>2027 Job Detail Report.pdf (Sage Timberline, 04/03/2026, 184 pages)</t>
        </is>
      </c>
      <c r="I23" s="53" t="n"/>
      <c r="J23" s="53" t="n"/>
    </row>
    <row r="24">
      <c r="B24" s="46" t="inlineStr">
        <is>
          <t>CR87</t>
        </is>
      </c>
      <c r="C24" s="47" t="inlineStr">
        <is>
          <t>Cruz Reyes, Jose</t>
        </is>
      </c>
      <c r="D24" s="56" t="n">
        <v>357</v>
      </c>
      <c r="E24" s="55" t="n">
        <v>7140</v>
      </c>
      <c r="F24" s="82">
        <f>IF(D24=0,0,E24/D24)</f>
        <v/>
      </c>
      <c r="G24" s="79" t="n">
        <v>10</v>
      </c>
      <c r="H24" s="47" t="inlineStr">
        <is>
          <t>2027 Job Detail Report.pdf (Sage Timberline, 04/03/2026, 184 pages)</t>
        </is>
      </c>
    </row>
    <row r="25">
      <c r="B25" s="48" t="inlineStr">
        <is>
          <t>CR79</t>
        </is>
      </c>
      <c r="C25" s="49" t="inlineStr">
        <is>
          <t>Cruz Guzman, Joel A</t>
        </is>
      </c>
      <c r="D25" s="72" t="n">
        <v>349</v>
      </c>
      <c r="E25" s="76" t="n">
        <v>6631</v>
      </c>
      <c r="F25" s="77">
        <f>IF(D25=0,0,E25/D25)</f>
        <v/>
      </c>
      <c r="G25" s="80" t="n">
        <v>10</v>
      </c>
      <c r="H25" s="49" t="inlineStr">
        <is>
          <t>2027 Job Detail Report.pdf (Sage Timberline, 04/03/2026, 184 pages)</t>
        </is>
      </c>
      <c r="I25" s="53" t="n"/>
      <c r="J25" s="53" t="n"/>
    </row>
    <row r="26">
      <c r="B26" s="46" t="inlineStr">
        <is>
          <t>GE71</t>
        </is>
      </c>
      <c r="C26" s="47" t="inlineStr">
        <is>
          <t>Gerard, Mitchell J</t>
        </is>
      </c>
      <c r="D26" s="56" t="n">
        <v>346</v>
      </c>
      <c r="E26" s="55" t="n">
        <v>7890</v>
      </c>
      <c r="F26" s="82">
        <f>IF(D26=0,0,E26/D26)</f>
        <v/>
      </c>
      <c r="G26" s="79" t="n">
        <v>15</v>
      </c>
      <c r="H26" s="47" t="inlineStr">
        <is>
          <t>2027 Job Detail Report.pdf (Sage Timberline, 04/03/2026, 184 pages)</t>
        </is>
      </c>
    </row>
    <row r="27">
      <c r="B27" s="48" t="inlineStr">
        <is>
          <t>RE96</t>
        </is>
      </c>
      <c r="C27" s="49" t="inlineStr">
        <is>
          <t>Reyes Cruz, Denis A</t>
        </is>
      </c>
      <c r="D27" s="72" t="n">
        <v>320</v>
      </c>
      <c r="E27" s="76" t="n">
        <v>6720</v>
      </c>
      <c r="F27" s="77">
        <f>IF(D27=0,0,E27/D27)</f>
        <v/>
      </c>
      <c r="G27" s="80" t="n">
        <v>10</v>
      </c>
      <c r="H27" s="49" t="inlineStr">
        <is>
          <t>2027 Job Detail Report.pdf (Sage Timberline, 04/03/2026, 184 pages)</t>
        </is>
      </c>
      <c r="I27" s="53" t="n"/>
      <c r="J27" s="53" t="n"/>
    </row>
    <row r="28">
      <c r="B28" s="46" t="inlineStr">
        <is>
          <t>ES62</t>
        </is>
      </c>
      <c r="C28" s="47" t="inlineStr">
        <is>
          <t>Esparza Jimenez, Jose D</t>
        </is>
      </c>
      <c r="D28" s="56" t="n">
        <v>293</v>
      </c>
      <c r="E28" s="55" t="n">
        <v>7325</v>
      </c>
      <c r="F28" s="82">
        <f>IF(D28=0,0,E28/D28)</f>
        <v/>
      </c>
      <c r="G28" s="79" t="n">
        <v>10</v>
      </c>
      <c r="H28" s="47" t="inlineStr">
        <is>
          <t>2027 Job Detail Report.pdf (Sage Timberline, 04/03/2026, 184 pages)</t>
        </is>
      </c>
    </row>
    <row r="29">
      <c r="B29" s="48" t="inlineStr">
        <is>
          <t>HO14</t>
        </is>
      </c>
      <c r="C29" s="49" t="inlineStr">
        <is>
          <t>Holmes, Anthony R</t>
        </is>
      </c>
      <c r="D29" s="72" t="n">
        <v>252.5</v>
      </c>
      <c r="E29" s="76" t="n">
        <v>5158.5</v>
      </c>
      <c r="F29" s="77">
        <f>IF(D29=0,0,E29/D29)</f>
        <v/>
      </c>
      <c r="G29" s="80" t="n">
        <v>9</v>
      </c>
      <c r="H29" s="49" t="inlineStr">
        <is>
          <t>2027 Job Detail Report.pdf (Sage Timberline, 04/03/2026, 184 pages)</t>
        </is>
      </c>
      <c r="I29" s="53" t="n"/>
      <c r="J29" s="53" t="n"/>
    </row>
    <row r="30">
      <c r="B30" s="46" t="inlineStr">
        <is>
          <t>GE69</t>
        </is>
      </c>
      <c r="C30" s="47" t="inlineStr">
        <is>
          <t>Gerard, Jeffrey S</t>
        </is>
      </c>
      <c r="D30" s="56" t="n">
        <v>239</v>
      </c>
      <c r="E30" s="55" t="n">
        <v>10867</v>
      </c>
      <c r="F30" s="82">
        <f>IF(D30=0,0,E30/D30)</f>
        <v/>
      </c>
      <c r="G30" s="79" t="n">
        <v>73</v>
      </c>
      <c r="H30" s="47" t="inlineStr">
        <is>
          <t>2027 Job Detail Report.pdf (Sage Timberline, 04/03/2026, 184 pages)</t>
        </is>
      </c>
    </row>
    <row r="31">
      <c r="B31" s="48" t="inlineStr">
        <is>
          <t>BA68</t>
        </is>
      </c>
      <c r="C31" s="49" t="inlineStr">
        <is>
          <t>Barbosa, Michael S</t>
        </is>
      </c>
      <c r="D31" s="72" t="n">
        <v>232</v>
      </c>
      <c r="E31" s="76" t="n">
        <v>3808</v>
      </c>
      <c r="F31" s="77">
        <f>IF(D31=0,0,E31/D31)</f>
        <v/>
      </c>
      <c r="G31" s="80" t="n">
        <v>8</v>
      </c>
      <c r="H31" s="49" t="inlineStr">
        <is>
          <t>2027 Job Detail Report.pdf (Sage Timberline, 04/03/2026, 184 pages)</t>
        </is>
      </c>
      <c r="I31" s="53" t="n"/>
      <c r="J31" s="53" t="n"/>
    </row>
    <row r="32">
      <c r="B32" s="46" t="inlineStr">
        <is>
          <t>KI55</t>
        </is>
      </c>
      <c r="C32" s="47" t="inlineStr">
        <is>
          <t>Kinssies, Jr, John E</t>
        </is>
      </c>
      <c r="D32" s="56" t="n">
        <v>213</v>
      </c>
      <c r="E32" s="55" t="n">
        <v>2964</v>
      </c>
      <c r="F32" s="82">
        <f>IF(D32=0,0,E32/D32)</f>
        <v/>
      </c>
      <c r="G32" s="79" t="n">
        <v>6</v>
      </c>
      <c r="H32" s="47" t="inlineStr">
        <is>
          <t>2027 Job Detail Report.pdf (Sage Timberline, 04/03/2026, 184 pages)</t>
        </is>
      </c>
    </row>
    <row r="33">
      <c r="B33" s="48" t="inlineStr">
        <is>
          <t>EI74</t>
        </is>
      </c>
      <c r="C33" s="49" t="inlineStr">
        <is>
          <t>Eisenhauer, Tommy J</t>
        </is>
      </c>
      <c r="D33" s="72" t="n">
        <v>208</v>
      </c>
      <c r="E33" s="76" t="n">
        <v>3536</v>
      </c>
      <c r="F33" s="77">
        <f>IF(D33=0,0,E33/D33)</f>
        <v/>
      </c>
      <c r="G33" s="80" t="n">
        <v>6</v>
      </c>
      <c r="H33" s="49" t="inlineStr">
        <is>
          <t>2027 Job Detail Report.pdf (Sage Timberline, 04/03/2026, 184 pages)</t>
        </is>
      </c>
      <c r="I33" s="53" t="n"/>
      <c r="J33" s="53" t="n"/>
    </row>
    <row r="34">
      <c r="B34" s="46" t="inlineStr">
        <is>
          <t>GE70</t>
        </is>
      </c>
      <c r="C34" s="47" t="inlineStr">
        <is>
          <t>Gerard, Jordan E</t>
        </is>
      </c>
      <c r="D34" s="56" t="n">
        <v>176</v>
      </c>
      <c r="E34" s="55" t="n">
        <v>3872</v>
      </c>
      <c r="F34" s="82">
        <f>IF(D34=0,0,E34/D34)</f>
        <v/>
      </c>
      <c r="G34" s="79" t="n">
        <v>5</v>
      </c>
      <c r="H34" s="47" t="inlineStr">
        <is>
          <t>2027 Job Detail Report.pdf (Sage Timberline, 04/03/2026, 184 pages)</t>
        </is>
      </c>
    </row>
    <row r="35">
      <c r="B35" s="48" t="inlineStr">
        <is>
          <t>DO56</t>
        </is>
      </c>
      <c r="C35" s="49" t="inlineStr">
        <is>
          <t>Donelson, Richard T</t>
        </is>
      </c>
      <c r="D35" s="72" t="n">
        <v>175</v>
      </c>
      <c r="E35" s="76" t="n">
        <v>8311</v>
      </c>
      <c r="F35" s="77">
        <f>IF(D35=0,0,E35/D35)</f>
        <v/>
      </c>
      <c r="G35" s="80" t="n">
        <v>66</v>
      </c>
      <c r="H35" s="49" t="inlineStr">
        <is>
          <t>2027 Job Detail Report.pdf (Sage Timberline, 04/03/2026, 184 pages)</t>
        </is>
      </c>
      <c r="I35" s="53" t="n"/>
      <c r="J35" s="53" t="n"/>
    </row>
    <row r="36">
      <c r="B36" s="46" t="inlineStr">
        <is>
          <t>GO51</t>
        </is>
      </c>
      <c r="C36" s="47" t="inlineStr">
        <is>
          <t>Gomez Reyes, Edith N</t>
        </is>
      </c>
      <c r="D36" s="56" t="n">
        <v>175</v>
      </c>
      <c r="E36" s="55" t="n">
        <v>2385</v>
      </c>
      <c r="F36" s="82">
        <f>IF(D36=0,0,E36/D36)</f>
        <v/>
      </c>
      <c r="G36" s="79" t="n">
        <v>6</v>
      </c>
      <c r="H36" s="47" t="inlineStr">
        <is>
          <t>2027 Job Detail Report.pdf (Sage Timberline, 04/03/2026, 184 pages)</t>
        </is>
      </c>
    </row>
    <row r="37">
      <c r="B37" s="48" t="inlineStr">
        <is>
          <t>DR04</t>
        </is>
      </c>
      <c r="C37" s="49" t="inlineStr">
        <is>
          <t>Draves, Steven W</t>
        </is>
      </c>
      <c r="D37" s="72" t="n">
        <v>160</v>
      </c>
      <c r="E37" s="76" t="n">
        <v>2720</v>
      </c>
      <c r="F37" s="77">
        <f>IF(D37=0,0,E37/D37)</f>
        <v/>
      </c>
      <c r="G37" s="80" t="n">
        <v>5</v>
      </c>
      <c r="H37" s="49" t="inlineStr">
        <is>
          <t>2027 Job Detail Report.pdf (Sage Timberline, 04/03/2026, 184 pages)</t>
        </is>
      </c>
      <c r="I37" s="53" t="n"/>
      <c r="J37" s="53" t="n"/>
    </row>
    <row r="38">
      <c r="B38" s="46" t="inlineStr">
        <is>
          <t>SA51</t>
        </is>
      </c>
      <c r="C38" s="47" t="inlineStr">
        <is>
          <t>Sanchez, Derli</t>
        </is>
      </c>
      <c r="D38" s="56" t="n">
        <v>160</v>
      </c>
      <c r="E38" s="55" t="n">
        <v>2400</v>
      </c>
      <c r="F38" s="82">
        <f>IF(D38=0,0,E38/D38)</f>
        <v/>
      </c>
      <c r="G38" s="79" t="n">
        <v>5</v>
      </c>
      <c r="H38" s="47" t="inlineStr">
        <is>
          <t>2027 Job Detail Report.pdf (Sage Timberline, 04/03/2026, 184 pages)</t>
        </is>
      </c>
    </row>
    <row r="39">
      <c r="B39" s="48" t="inlineStr">
        <is>
          <t>AN14</t>
        </is>
      </c>
      <c r="C39" s="49" t="inlineStr">
        <is>
          <t>Anderson, Richard P</t>
        </is>
      </c>
      <c r="D39" s="72" t="n">
        <v>151</v>
      </c>
      <c r="E39" s="76" t="n">
        <v>5589</v>
      </c>
      <c r="F39" s="77">
        <f>IF(D39=0,0,E39/D39)</f>
        <v/>
      </c>
      <c r="G39" s="80" t="n">
        <v>8</v>
      </c>
      <c r="H39" s="49" t="inlineStr">
        <is>
          <t>2027 Job Detail Report.pdf (Sage Timberline, 04/03/2026, 184 pages)</t>
        </is>
      </c>
      <c r="I39" s="53" t="n"/>
      <c r="J39" s="53" t="n"/>
    </row>
    <row r="40">
      <c r="B40" s="46" t="inlineStr">
        <is>
          <t>PA47</t>
        </is>
      </c>
      <c r="C40" s="47" t="inlineStr">
        <is>
          <t>Palma Vides, Jorge A</t>
        </is>
      </c>
      <c r="D40" s="56" t="n">
        <v>148.5</v>
      </c>
      <c r="E40" s="55" t="n">
        <v>2673</v>
      </c>
      <c r="F40" s="82">
        <f>IF(D40=0,0,E40/D40)</f>
        <v/>
      </c>
      <c r="G40" s="79" t="n">
        <v>5</v>
      </c>
      <c r="H40" s="47" t="inlineStr">
        <is>
          <t>2027 Job Detail Report.pdf (Sage Timberline, 04/03/2026, 184 pages)</t>
        </is>
      </c>
    </row>
    <row r="41">
      <c r="B41" s="48" t="inlineStr">
        <is>
          <t>HU04</t>
        </is>
      </c>
      <c r="C41" s="49" t="inlineStr">
        <is>
          <t>Hubbard, Dustin R</t>
        </is>
      </c>
      <c r="D41" s="72" t="n">
        <v>87.5</v>
      </c>
      <c r="E41" s="76" t="n">
        <v>1594</v>
      </c>
      <c r="F41" s="77">
        <f>IF(D41=0,0,E41/D41)</f>
        <v/>
      </c>
      <c r="G41" s="80" t="n">
        <v>27</v>
      </c>
      <c r="H41" s="49" t="inlineStr">
        <is>
          <t>2027 Job Detail Report.pdf (Sage Timberline, 04/03/2026, 184 pages)</t>
        </is>
      </c>
      <c r="I41" s="53" t="n"/>
      <c r="J41" s="53" t="n"/>
    </row>
    <row r="42">
      <c r="B42" s="46" t="inlineStr">
        <is>
          <t>EL33</t>
        </is>
      </c>
      <c r="C42" s="47" t="inlineStr">
        <is>
          <t>Eliassen, Cory H</t>
        </is>
      </c>
      <c r="D42" s="56" t="n">
        <v>72</v>
      </c>
      <c r="E42" s="55" t="n">
        <v>1296</v>
      </c>
      <c r="F42" s="82">
        <f>IF(D42=0,0,E42/D42)</f>
        <v/>
      </c>
      <c r="G42" s="79" t="n">
        <v>2</v>
      </c>
      <c r="H42" s="47" t="inlineStr">
        <is>
          <t>2027 Job Detail Report.pdf (Sage Timberline, 04/03/2026, 184 pages)</t>
        </is>
      </c>
    </row>
    <row r="43">
      <c r="B43" s="48" t="inlineStr">
        <is>
          <t>SA54</t>
        </is>
      </c>
      <c r="C43" s="49" t="inlineStr">
        <is>
          <t>Sanders, Allen O</t>
        </is>
      </c>
      <c r="D43" s="72" t="n">
        <v>41.5</v>
      </c>
      <c r="E43" s="76" t="n">
        <v>1618</v>
      </c>
      <c r="F43" s="77">
        <f>IF(D43=0,0,E43/D43)</f>
        <v/>
      </c>
      <c r="G43" s="80" t="n">
        <v>7</v>
      </c>
      <c r="H43" s="49" t="inlineStr">
        <is>
          <t>2027 Job Detail Report.pdf (Sage Timberline, 04/03/2026, 184 pages)</t>
        </is>
      </c>
      <c r="I43" s="53" t="n"/>
      <c r="J43" s="53" t="n"/>
    </row>
    <row r="44">
      <c r="B44" s="46" t="inlineStr">
        <is>
          <t>MC09</t>
        </is>
      </c>
      <c r="C44" s="47" t="inlineStr">
        <is>
          <t>McCabe, Thomas C</t>
        </is>
      </c>
      <c r="D44" s="56" t="n">
        <v>37</v>
      </c>
      <c r="E44" s="55" t="n">
        <v>923</v>
      </c>
      <c r="F44" s="82">
        <f>IF(D44=0,0,E44/D44)</f>
        <v/>
      </c>
      <c r="G44" s="79" t="n">
        <v>3</v>
      </c>
      <c r="H44" s="47" t="inlineStr">
        <is>
          <t>2027 Job Detail Report.pdf (Sage Timberline, 04/03/2026, 184 pages)</t>
        </is>
      </c>
    </row>
    <row r="45">
      <c r="B45" s="48" t="inlineStr">
        <is>
          <t>HU06</t>
        </is>
      </c>
      <c r="C45" s="49" t="inlineStr">
        <is>
          <t>Hubbard, Robert W</t>
        </is>
      </c>
      <c r="D45" s="72" t="n">
        <v>8</v>
      </c>
      <c r="E45" s="76" t="n">
        <v>326</v>
      </c>
      <c r="F45" s="77">
        <f>IF(D45=0,0,E45/D45)</f>
        <v/>
      </c>
      <c r="G45" s="80" t="n">
        <v>3</v>
      </c>
      <c r="H45" s="49" t="inlineStr">
        <is>
          <t>2027 Job Detail Report.pdf (Sage Timberline, 04/03/2026, 184 pages)</t>
        </is>
      </c>
      <c r="I45" s="53" t="n"/>
      <c r="J45" s="53" t="n"/>
    </row>
    <row r="46">
      <c r="B46" s="46" t="inlineStr">
        <is>
          <t>CO71</t>
        </is>
      </c>
      <c r="C46" s="47" t="inlineStr">
        <is>
          <t>Cortes Mendiola, Victor H</t>
        </is>
      </c>
      <c r="D46" s="56" t="n">
        <v>4</v>
      </c>
      <c r="E46" s="55" t="n">
        <v>148</v>
      </c>
      <c r="F46" s="82">
        <f>IF(D46=0,0,E46/D46)</f>
        <v/>
      </c>
      <c r="G46" s="79" t="n">
        <v>1</v>
      </c>
      <c r="H46" s="47" t="inlineStr">
        <is>
          <t>2027 Job Detail Report.pdf (Sage Timberline, 04/03/2026, 184 pages)</t>
        </is>
      </c>
    </row>
    <row r="47">
      <c r="B47" s="48" t="inlineStr">
        <is>
          <t>PA11</t>
        </is>
      </c>
      <c r="C47" s="49" t="inlineStr">
        <is>
          <t>Paco Leyva, Orlando</t>
        </is>
      </c>
      <c r="D47" s="72" t="n">
        <v>4</v>
      </c>
      <c r="E47" s="76" t="n">
        <v>112</v>
      </c>
      <c r="F47" s="77">
        <f>IF(D47=0,0,E47/D47)</f>
        <v/>
      </c>
      <c r="G47" s="80" t="n">
        <v>1</v>
      </c>
      <c r="H47" s="49" t="inlineStr">
        <is>
          <t>2027 Job Detail Report.pdf (Sage Timberline, 04/03/2026, 184 pages)</t>
        </is>
      </c>
      <c r="I47" s="53" t="n"/>
      <c r="J47" s="53" t="n"/>
    </row>
    <row r="48">
      <c r="B48" s="46" t="inlineStr">
        <is>
          <t>WA35</t>
        </is>
      </c>
      <c r="C48" s="47" t="inlineStr">
        <is>
          <t>Waites, Thaddeus Z</t>
        </is>
      </c>
      <c r="D48" s="56" t="n">
        <v>3</v>
      </c>
      <c r="E48" s="55" t="n">
        <v>111</v>
      </c>
      <c r="F48" s="82">
        <f>IF(D48=0,0,E48/D48)</f>
        <v/>
      </c>
      <c r="G48" s="79" t="n">
        <v>1</v>
      </c>
      <c r="H48" s="47" t="inlineStr">
        <is>
          <t>2027 Job Detail Report.pdf (Sage Timberline, 04/03/2026, 184 pages)</t>
        </is>
      </c>
    </row>
    <row r="49">
      <c r="B49" s="74" t="inlineStr">
        <is>
          <t>TOTAL</t>
        </is>
      </c>
      <c r="C49" s="53" t="n"/>
      <c r="D49" s="75">
        <f>SUM(D6:D48)</f>
        <v/>
      </c>
      <c r="E49" s="77">
        <f>SUM(E6:E48)</f>
        <v/>
      </c>
      <c r="F49" s="53" t="n"/>
      <c r="G49" s="53" t="n"/>
      <c r="H49" s="53" t="n"/>
      <c r="I49" s="53" t="n"/>
      <c r="J4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8" t="inlineStr">
        <is>
          <t>Total Workers</t>
        </is>
      </c>
      <c r="C7" s="80" t="n">
        <v>43</v>
      </c>
      <c r="D7" s="49" t="inlineStr">
        <is>
          <t>Unique payroll IDs</t>
        </is>
      </c>
      <c r="E7" s="49" t="inlineStr">
        <is>
          <t>2027 Job Detail Report.pdf (Sage Timberline, 04/03/2026, 184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56" t="n">
        <v>21014</v>
      </c>
      <c r="D8" s="47" t="inlineStr">
        <is>
          <t>Sum of codes 100-142</t>
        </is>
      </c>
      <c r="E8" s="47" t="inlineStr">
        <is>
          <t>2027 Job Detail Report.pdf (Sage Timberline, 04/03/2026, 184 pages)</t>
        </is>
      </c>
    </row>
    <row r="9">
      <c r="B9" s="48" t="inlineStr">
        <is>
          <t>Total Gross Pay</t>
        </is>
      </c>
      <c r="C9" s="72" t="n">
        <v>491249.77</v>
      </c>
      <c r="D9" s="49" t="inlineStr">
        <is>
          <t>Sum of codes 100-142</t>
        </is>
      </c>
      <c r="E9" s="49" t="inlineStr">
        <is>
          <t>2027 Job Detail Report.pdf (Sage Timberline, 04/03/2026, 184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55" t="n">
        <v>23.37726134957648</v>
      </c>
      <c r="D10" s="47" t="inlineStr">
        <is>
          <t>Labor$ / Hrs (pre-burden)</t>
        </is>
      </c>
      <c r="E10" s="85" t="inlineStr">
        <is>
          <t>Derived</t>
        </is>
      </c>
    </row>
    <row r="11">
      <c r="B11" s="48" t="inlineStr">
        <is>
          <t>Top Worker Hours Share</t>
        </is>
      </c>
      <c r="C11" s="78" t="n">
        <v>0.08342057675835157</v>
      </c>
      <c r="D11" s="49" t="inlineStr">
        <is>
          <t>BA70 Barnhart, Joseph N (1753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6" t="n">
        <v>0.3718235462072904</v>
      </c>
      <c r="D12" s="47" t="inlineStr">
        <is>
          <t>Concentration metric</t>
        </is>
      </c>
      <c r="E12" s="85" t="inlineStr">
        <is>
          <t>Derived</t>
        </is>
      </c>
    </row>
    <row r="13">
      <c r="B13" s="48" t="inlineStr">
        <is>
          <t>Highest Wage Rate ($/hr)</t>
        </is>
      </c>
      <c r="C13" s="76" t="n">
        <v>47.49142857142857</v>
      </c>
      <c r="D13" s="49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55" t="n">
        <v>13.62857142857143</v>
      </c>
      <c r="D14" s="47" t="inlineStr">
        <is>
          <t>Single-worker blended</t>
        </is>
      </c>
      <c r="E14" s="85" t="inlineStr">
        <is>
          <t>Derived</t>
        </is>
      </c>
    </row>
    <row r="15">
      <c r="B15" s="48" t="inlineStr">
        <is>
          <t>Avg Hours per Worker</t>
        </is>
      </c>
      <c r="C15" s="72" t="n">
        <v>488.6976744186047</v>
      </c>
      <c r="D15" s="49" t="inlineStr">
        <is>
          <t>Includes short-tenure workers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56" t="n">
        <v>18.93023255813954</v>
      </c>
      <c r="D16" s="47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bid 92 units.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2">
        <f>2275444.0/21014.0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7">
        <f>921960.94/21014.0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2">
        <f>491249.77/21014.0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7">
        <f>(491249.77+188248.16+37580.97)/21014.0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7">
        <f>(491249.77+188248.16+37580.97)/491249.77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72" t="n">
        <v>12672</v>
      </c>
      <c r="D11" s="49" t="inlineStr">
        <is>
          <t>JDR</t>
        </is>
      </c>
      <c r="E11" s="49" t="inlineStr">
        <is>
          <t>12672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56" t="n">
        <v>2157.5</v>
      </c>
      <c r="D12" s="47" t="inlineStr">
        <is>
          <t>JDR</t>
        </is>
      </c>
      <c r="E12" s="47" t="inlineStr">
        <is>
          <t>2158 hrs</t>
        </is>
      </c>
    </row>
    <row r="13">
      <c r="B13" s="48" t="inlineStr">
        <is>
          <t>Rough-in % of Total Hours</t>
        </is>
      </c>
      <c r="C13" s="71">
        <f>12672.0/21014.0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921960.94/2275444.0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1">
        <f>491249.77/2275444.0</f>
        <v/>
      </c>
      <c r="D15" s="49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548321.75/2275444.0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1">
        <f>1353483.06/2275444.0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(92)</t>
        </is>
      </c>
      <c r="C18" s="82">
        <f>2275444.0/92</f>
        <v/>
      </c>
      <c r="D18" s="47" t="inlineStr">
        <is>
          <t>Formula</t>
        </is>
      </c>
      <c r="E18" s="47" t="inlineStr">
        <is>
          <t>92 units (from bid proposal)</t>
        </is>
      </c>
    </row>
    <row r="19">
      <c r="B19" s="48" t="inlineStr">
        <is>
          <t>Labor Hours per Unit</t>
        </is>
      </c>
      <c r="C19" s="75">
        <f>21014.0/92</f>
        <v/>
      </c>
      <c r="D19" s="49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2">
        <f>491249.77/92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7">
        <f>548321.75/92</f>
        <v/>
      </c>
      <c r="D21" s="49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2">
        <f>1353483.06/92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75">
        <f>12672.0/92</f>
        <v/>
      </c>
      <c r="D23" s="49" t="inlineStr">
        <is>
          <t>Formula</t>
        </is>
      </c>
      <c r="E23" s="49" t="inlineStr">
        <is>
          <t>Code 120 / 92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L1 220000</t>
        </is>
      </c>
      <c r="C6" s="47" t="inlineStr">
        <is>
          <t>2015-09 (proposal 9/1/15) / subcontract executed</t>
        </is>
      </c>
      <c r="D6" s="47" t="inlineStr">
        <is>
          <t>Exxel Pacific, Inc.</t>
        </is>
      </c>
      <c r="E6" s="47" t="inlineStr">
        <is>
          <t>Lump Sum Subcontract</t>
        </is>
      </c>
      <c r="F6" s="89" t="inlineStr">
        <is>
          <t>Closed (100% billed)</t>
        </is>
      </c>
      <c r="G6" s="47" t="inlineStr">
        <is>
          <t>The Zig Apts plumbing (550 Broadway, Seattle) — full scope per proposal + narrative</t>
        </is>
      </c>
      <c r="H6" s="55" t="n">
        <v>2230810</v>
      </c>
      <c r="I6" s="47" t="inlineStr">
        <is>
          <t>L1 220000 One Way Plumbing Fully Executed Subcontract ocr_d.pdf</t>
        </is>
      </c>
    </row>
    <row r="7">
      <c r="B7" s="48" t="inlineStr">
        <is>
          <t>CO#01</t>
        </is>
      </c>
      <c r="C7" s="90" t="inlineStr">
        <is>
          <t>NOT FOUND</t>
        </is>
      </c>
      <c r="D7" s="49" t="inlineStr">
        <is>
          <t>Exxel Pacific, Inc.</t>
        </is>
      </c>
      <c r="E7" s="49" t="inlineStr">
        <is>
          <t>Change Order</t>
        </is>
      </c>
      <c r="F7" s="89" t="inlineStr">
        <is>
          <t>Executed</t>
        </is>
      </c>
      <c r="G7" s="49" t="inlineStr">
        <is>
          <t>Documented change order (budget transfer / credit)</t>
        </is>
      </c>
      <c r="H7" s="69" t="n">
        <v>700</v>
      </c>
      <c r="I7" s="49" t="inlineStr">
        <is>
          <t>Change Orders/CO_s/CO#01 (budget transfer)</t>
        </is>
      </c>
      <c r="J7" s="53" t="n"/>
    </row>
    <row r="8">
      <c r="B8" s="46" t="inlineStr">
        <is>
          <t>CO#02</t>
        </is>
      </c>
      <c r="C8" s="90" t="inlineStr">
        <is>
          <t>NOT FOUND</t>
        </is>
      </c>
      <c r="D8" s="47" t="inlineStr">
        <is>
          <t>Exxel Pacific, Inc.</t>
        </is>
      </c>
      <c r="E8" s="47" t="inlineStr">
        <is>
          <t>Change Order</t>
        </is>
      </c>
      <c r="F8" s="89" t="inlineStr">
        <is>
          <t>Executed</t>
        </is>
      </c>
      <c r="G8" s="47" t="inlineStr">
        <is>
          <t>Documented change order (budget transfer / credit)</t>
        </is>
      </c>
      <c r="H8" s="66" t="n">
        <v>4390</v>
      </c>
      <c r="I8" s="47" t="inlineStr">
        <is>
          <t>Change Orders/CO_s/CO#02 (budget transfer)</t>
        </is>
      </c>
    </row>
    <row r="9">
      <c r="B9" s="48" t="inlineStr">
        <is>
          <t>CO#03</t>
        </is>
      </c>
      <c r="C9" s="90" t="inlineStr">
        <is>
          <t>NOT FOUND</t>
        </is>
      </c>
      <c r="D9" s="49" t="inlineStr">
        <is>
          <t>Exxel Pacific, Inc.</t>
        </is>
      </c>
      <c r="E9" s="49" t="inlineStr">
        <is>
          <t>Change Order</t>
        </is>
      </c>
      <c r="F9" s="89" t="inlineStr">
        <is>
          <t>Executed</t>
        </is>
      </c>
      <c r="G9" s="49" t="inlineStr">
        <is>
          <t>Documented change order (budget transfer / credit)</t>
        </is>
      </c>
      <c r="H9" s="69" t="n">
        <v>7881</v>
      </c>
      <c r="I9" s="49" t="inlineStr">
        <is>
          <t>Change Orders/CO_s/CO#03 (budget transfer)</t>
        </is>
      </c>
      <c r="J9" s="53" t="n"/>
    </row>
    <row r="10">
      <c r="B10" s="46" t="inlineStr">
        <is>
          <t>CO#04</t>
        </is>
      </c>
      <c r="C10" s="90" t="inlineStr">
        <is>
          <t>NOT FOUND</t>
        </is>
      </c>
      <c r="D10" s="47" t="inlineStr">
        <is>
          <t>Exxel Pacific, Inc.</t>
        </is>
      </c>
      <c r="E10" s="47" t="inlineStr">
        <is>
          <t>Change Order</t>
        </is>
      </c>
      <c r="F10" s="89" t="inlineStr">
        <is>
          <t>Executed</t>
        </is>
      </c>
      <c r="G10" s="47" t="inlineStr">
        <is>
          <t>Documented change order (budget transfer / credit)</t>
        </is>
      </c>
      <c r="H10" s="66" t="n">
        <v>9017</v>
      </c>
      <c r="I10" s="47" t="inlineStr">
        <is>
          <t>Change Orders/CO_s/CO#04 (budget transfer)</t>
        </is>
      </c>
    </row>
    <row r="11">
      <c r="B11" s="48" t="inlineStr">
        <is>
          <t>CO#05</t>
        </is>
      </c>
      <c r="C11" s="90" t="inlineStr">
        <is>
          <t>NOT FOUND</t>
        </is>
      </c>
      <c r="D11" s="49" t="inlineStr">
        <is>
          <t>Exxel Pacific, Inc.</t>
        </is>
      </c>
      <c r="E11" s="49" t="inlineStr">
        <is>
          <t>Change Order</t>
        </is>
      </c>
      <c r="F11" s="89" t="inlineStr">
        <is>
          <t>Executed</t>
        </is>
      </c>
      <c r="G11" s="49" t="inlineStr">
        <is>
          <t>Documented change order (budget transfer / credit)</t>
        </is>
      </c>
      <c r="H11" s="69" t="n">
        <v>-1971</v>
      </c>
      <c r="I11" s="49" t="inlineStr">
        <is>
          <t>Change Orders/CO_s/CO#05 (credit)</t>
        </is>
      </c>
      <c r="J11" s="53" t="n"/>
    </row>
    <row r="12">
      <c r="B12" s="46" t="inlineStr">
        <is>
          <t>CO#06</t>
        </is>
      </c>
      <c r="C12" s="90" t="inlineStr">
        <is>
          <t>NOT FOUND</t>
        </is>
      </c>
      <c r="D12" s="47" t="inlineStr">
        <is>
          <t>Exxel Pacific, Inc.</t>
        </is>
      </c>
      <c r="E12" s="47" t="inlineStr">
        <is>
          <t>Change Order</t>
        </is>
      </c>
      <c r="F12" s="89" t="inlineStr">
        <is>
          <t>Executed</t>
        </is>
      </c>
      <c r="G12" s="47" t="inlineStr">
        <is>
          <t>Documented change order (budget transfer / credit)</t>
        </is>
      </c>
      <c r="H12" s="66" t="n">
        <v>3316</v>
      </c>
      <c r="I12" s="47" t="inlineStr">
        <is>
          <t>Change Orders/CO_s/CO#06 (budget transfer)</t>
        </is>
      </c>
    </row>
    <row r="13">
      <c r="B13" s="48" t="inlineStr">
        <is>
          <t>TOTAL (contract + COs)</t>
        </is>
      </c>
      <c r="C13" s="53" t="n"/>
      <c r="D13" s="53" t="n"/>
      <c r="E13" s="53" t="n"/>
      <c r="F13" s="53" t="n"/>
      <c r="G13" s="53" t="n"/>
      <c r="H13" s="77">
        <f>SUM(H6:H12)</f>
        <v/>
      </c>
      <c r="I13" s="53" t="n"/>
      <c r="J13" s="53" t="n"/>
    </row>
    <row r="14"/>
    <row r="15">
      <c r="B15" s="48" t="inlineStr">
        <is>
          <t>NOTE: Documented COs sum to $23,333.00; JDR-implied COs = $44,634.00 (diff $21,301.00). Gap likely due to budget-transfer-only adjustments or one CO not surfacing in transfer PDFs. Outbound POs: 82 total (7 placed, 19 scheduled, 56 completed) — see POs/ folder.</t>
        </is>
      </c>
      <c r="C15" s="50" t="n"/>
      <c r="D15" s="50" t="n"/>
      <c r="E15" s="50" t="n"/>
      <c r="F15" s="50" t="n"/>
      <c r="G15" s="50" t="n"/>
      <c r="H15" s="50" t="n"/>
      <c r="I15" s="51" t="n"/>
      <c r="J15" s="53" t="n"/>
    </row>
  </sheetData>
  <mergeCells count="3">
    <mergeCell ref="B3:J3"/>
    <mergeCell ref="B2:J2"/>
    <mergeCell ref="B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19 unique invoices to Exxel Pacific, Inc.. Retainage $113,772.20 = 5.0%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036685</t>
        </is>
      </c>
      <c r="C6" s="47" t="inlineStr">
        <is>
          <t>02/24/16</t>
        </is>
      </c>
      <c r="D6" s="66" t="n">
        <v>-48000</v>
      </c>
      <c r="E6" s="66" t="n">
        <v>-2400</v>
      </c>
      <c r="F6" s="79" t="n">
        <v>1</v>
      </c>
      <c r="G6" s="47" t="inlineStr">
        <is>
          <t>2027 Job Detail Report.pdf (Sage Timberline, 04/03/2026, 184 pages)</t>
        </is>
      </c>
    </row>
    <row r="7">
      <c r="B7" s="48" t="inlineStr">
        <is>
          <t>036712</t>
        </is>
      </c>
      <c r="C7" s="49" t="inlineStr">
        <is>
          <t>04/20/16</t>
        </is>
      </c>
      <c r="D7" s="69" t="n">
        <v>-74657</v>
      </c>
      <c r="E7" s="69" t="n">
        <v>-3732.85</v>
      </c>
      <c r="F7" s="80" t="n">
        <v>1</v>
      </c>
      <c r="G7" s="49" t="inlineStr">
        <is>
          <t>2027 Job Detail Report.pdf (Sage Timberline, 04/03/2026, 184 pages)</t>
        </is>
      </c>
      <c r="H7" s="53" t="n"/>
      <c r="I7" s="53" t="n"/>
      <c r="J7" s="53" t="n"/>
    </row>
    <row r="8">
      <c r="B8" s="46" t="inlineStr">
        <is>
          <t>036721</t>
        </is>
      </c>
      <c r="C8" s="47" t="inlineStr">
        <is>
          <t>05/19/16</t>
        </is>
      </c>
      <c r="D8" s="66" t="n">
        <v>-33600</v>
      </c>
      <c r="E8" s="66" t="n">
        <v>-1680</v>
      </c>
      <c r="F8" s="79" t="n">
        <v>1</v>
      </c>
      <c r="G8" s="47" t="inlineStr">
        <is>
          <t>2027 Job Detail Report.pdf (Sage Timberline, 04/03/2026, 184 pages)</t>
        </is>
      </c>
    </row>
    <row r="9">
      <c r="B9" s="48" t="inlineStr">
        <is>
          <t>036737</t>
        </is>
      </c>
      <c r="C9" s="49" t="inlineStr">
        <is>
          <t>06/17/16</t>
        </is>
      </c>
      <c r="D9" s="69" t="n">
        <v>-11500</v>
      </c>
      <c r="E9" s="69" t="n">
        <v>-575</v>
      </c>
      <c r="F9" s="80" t="n">
        <v>1</v>
      </c>
      <c r="G9" s="49" t="inlineStr">
        <is>
          <t>2027 Job Detail Report.pdf (Sage Timberline, 04/03/2026, 184 pages)</t>
        </is>
      </c>
      <c r="H9" s="53" t="n"/>
      <c r="I9" s="53" t="n"/>
      <c r="J9" s="53" t="n"/>
    </row>
    <row r="10">
      <c r="B10" s="46" t="inlineStr">
        <is>
          <t>036762</t>
        </is>
      </c>
      <c r="C10" s="47" t="inlineStr">
        <is>
          <t>07/20/16</t>
        </is>
      </c>
      <c r="D10" s="66" t="n">
        <v>-10400</v>
      </c>
      <c r="E10" s="66" t="n">
        <v>-520</v>
      </c>
      <c r="F10" s="79" t="n">
        <v>1</v>
      </c>
      <c r="G10" s="47" t="inlineStr">
        <is>
          <t>2027 Job Detail Report.pdf (Sage Timberline, 04/03/2026, 184 pages)</t>
        </is>
      </c>
    </row>
    <row r="11">
      <c r="B11" s="48" t="inlineStr">
        <is>
          <t>036773</t>
        </is>
      </c>
      <c r="C11" s="49" t="inlineStr">
        <is>
          <t>08/19/16</t>
        </is>
      </c>
      <c r="D11" s="69" t="n">
        <v>-61900</v>
      </c>
      <c r="E11" s="69" t="n">
        <v>-3095</v>
      </c>
      <c r="F11" s="80" t="n">
        <v>1</v>
      </c>
      <c r="G11" s="49" t="inlineStr">
        <is>
          <t>2027 Job Detail Report.pdf (Sage Timberline, 04/03/2026, 184 pages)</t>
        </is>
      </c>
      <c r="H11" s="53" t="n"/>
      <c r="I11" s="53" t="n"/>
      <c r="J11" s="53" t="n"/>
    </row>
    <row r="12">
      <c r="B12" s="46" t="inlineStr">
        <is>
          <t>036785</t>
        </is>
      </c>
      <c r="C12" s="47" t="inlineStr">
        <is>
          <t>09/19/16</t>
        </is>
      </c>
      <c r="D12" s="66" t="n">
        <v>-179000</v>
      </c>
      <c r="E12" s="66" t="n">
        <v>-8950</v>
      </c>
      <c r="F12" s="79" t="n">
        <v>1</v>
      </c>
      <c r="G12" s="47" t="inlineStr">
        <is>
          <t>2027 Job Detail Report.pdf (Sage Timberline, 04/03/2026, 184 pages)</t>
        </is>
      </c>
    </row>
    <row r="13">
      <c r="B13" s="48" t="inlineStr">
        <is>
          <t>036791</t>
        </is>
      </c>
      <c r="C13" s="49" t="inlineStr">
        <is>
          <t>10/19/16</t>
        </is>
      </c>
      <c r="D13" s="69" t="n">
        <v>-106700</v>
      </c>
      <c r="E13" s="69" t="n">
        <v>-5335</v>
      </c>
      <c r="F13" s="80" t="n">
        <v>1</v>
      </c>
      <c r="G13" s="49" t="inlineStr">
        <is>
          <t>2027 Job Detail Report.pdf (Sage Timberline, 04/03/2026, 184 pages)</t>
        </is>
      </c>
      <c r="H13" s="53" t="n"/>
      <c r="I13" s="53" t="n"/>
      <c r="J13" s="53" t="n"/>
    </row>
    <row r="14">
      <c r="B14" s="46" t="inlineStr">
        <is>
          <t>036803</t>
        </is>
      </c>
      <c r="C14" s="47" t="inlineStr">
        <is>
          <t>11/15/16</t>
        </is>
      </c>
      <c r="D14" s="66" t="n">
        <v>-249500</v>
      </c>
      <c r="E14" s="66" t="n">
        <v>-12475</v>
      </c>
      <c r="F14" s="79" t="n">
        <v>1</v>
      </c>
      <c r="G14" s="47" t="inlineStr">
        <is>
          <t>2027 Job Detail Report.pdf (Sage Timberline, 04/03/2026, 184 pages)</t>
        </is>
      </c>
    </row>
    <row r="15">
      <c r="B15" s="48" t="inlineStr">
        <is>
          <t>036813</t>
        </is>
      </c>
      <c r="C15" s="49" t="inlineStr">
        <is>
          <t>12/16/16</t>
        </is>
      </c>
      <c r="D15" s="69" t="n">
        <v>-248000</v>
      </c>
      <c r="E15" s="69" t="n">
        <v>-12400</v>
      </c>
      <c r="F15" s="80" t="n">
        <v>1</v>
      </c>
      <c r="G15" s="49" t="inlineStr">
        <is>
          <t>2027 Job Detail Report.pdf (Sage Timberline, 04/03/2026, 184 pages)</t>
        </is>
      </c>
      <c r="H15" s="53" t="n"/>
      <c r="I15" s="53" t="n"/>
      <c r="J15" s="53" t="n"/>
    </row>
    <row r="16">
      <c r="B16" s="46" t="inlineStr">
        <is>
          <t>036817</t>
        </is>
      </c>
      <c r="C16" s="47" t="inlineStr">
        <is>
          <t>01/20/17</t>
        </is>
      </c>
      <c r="D16" s="66" t="n">
        <v>-572295</v>
      </c>
      <c r="E16" s="66" t="n">
        <v>-28614.75</v>
      </c>
      <c r="F16" s="79" t="n">
        <v>1</v>
      </c>
      <c r="G16" s="47" t="inlineStr">
        <is>
          <t>2027 Job Detail Report.pdf (Sage Timberline, 04/03/2026, 184 pages)</t>
        </is>
      </c>
    </row>
    <row r="17">
      <c r="B17" s="48" t="inlineStr">
        <is>
          <t>036831</t>
        </is>
      </c>
      <c r="C17" s="49" t="inlineStr">
        <is>
          <t>02/20/17</t>
        </is>
      </c>
      <c r="D17" s="69" t="n">
        <v>-262980</v>
      </c>
      <c r="E17" s="69" t="n">
        <v>-13149</v>
      </c>
      <c r="F17" s="80" t="n">
        <v>1</v>
      </c>
      <c r="G17" s="49" t="inlineStr">
        <is>
          <t>2027 Job Detail Report.pdf (Sage Timberline, 04/03/2026, 184 pages)</t>
        </is>
      </c>
      <c r="H17" s="53" t="n"/>
      <c r="I17" s="53" t="n"/>
      <c r="J17" s="53" t="n"/>
    </row>
    <row r="18">
      <c r="B18" s="46" t="inlineStr">
        <is>
          <t>036848</t>
        </is>
      </c>
      <c r="C18" s="47" t="inlineStr">
        <is>
          <t>03/17/17</t>
        </is>
      </c>
      <c r="D18" s="66" t="n">
        <v>-98855</v>
      </c>
      <c r="E18" s="66" t="n">
        <v>-4942.75</v>
      </c>
      <c r="F18" s="79" t="n">
        <v>1</v>
      </c>
      <c r="G18" s="47" t="inlineStr">
        <is>
          <t>2027 Job Detail Report.pdf (Sage Timberline, 04/03/2026, 184 pages)</t>
        </is>
      </c>
    </row>
    <row r="19">
      <c r="B19" s="48" t="inlineStr">
        <is>
          <t>036865</t>
        </is>
      </c>
      <c r="C19" s="49" t="inlineStr">
        <is>
          <t>04/21/17</t>
        </is>
      </c>
      <c r="D19" s="69" t="n">
        <v>-36880</v>
      </c>
      <c r="E19" s="69" t="n">
        <v>-1844</v>
      </c>
      <c r="F19" s="80" t="n">
        <v>1</v>
      </c>
      <c r="G19" s="49" t="inlineStr">
        <is>
          <t>2027 Job Detail Report.pdf (Sage Timberline, 04/03/2026, 184 pages)</t>
        </is>
      </c>
      <c r="H19" s="53" t="n"/>
      <c r="I19" s="53" t="n"/>
      <c r="J19" s="53" t="n"/>
    </row>
    <row r="20">
      <c r="B20" s="46" t="inlineStr">
        <is>
          <t>036876</t>
        </is>
      </c>
      <c r="C20" s="47" t="inlineStr">
        <is>
          <t>05/19/17</t>
        </is>
      </c>
      <c r="D20" s="66" t="n">
        <v>-135500</v>
      </c>
      <c r="E20" s="66" t="n">
        <v>-6775</v>
      </c>
      <c r="F20" s="79" t="n">
        <v>1</v>
      </c>
      <c r="G20" s="47" t="inlineStr">
        <is>
          <t>2027 Job Detail Report.pdf (Sage Timberline, 04/03/2026, 184 pages)</t>
        </is>
      </c>
    </row>
    <row r="21">
      <c r="B21" s="48" t="inlineStr">
        <is>
          <t>036895</t>
        </is>
      </c>
      <c r="C21" s="49" t="inlineStr">
        <is>
          <t>06/19/17</t>
        </is>
      </c>
      <c r="D21" s="69" t="n">
        <v>-120575</v>
      </c>
      <c r="E21" s="69" t="n">
        <v>-6028.75</v>
      </c>
      <c r="F21" s="80" t="n">
        <v>1</v>
      </c>
      <c r="G21" s="49" t="inlineStr">
        <is>
          <t>2027 Job Detail Report.pdf (Sage Timberline, 04/03/2026, 184 pages)</t>
        </is>
      </c>
      <c r="H21" s="53" t="n"/>
      <c r="I21" s="53" t="n"/>
      <c r="J21" s="53" t="n"/>
    </row>
    <row r="22">
      <c r="B22" s="46" t="inlineStr">
        <is>
          <t>036920</t>
        </is>
      </c>
      <c r="C22" s="47" t="inlineStr">
        <is>
          <t>07/20/17</t>
        </is>
      </c>
      <c r="D22" s="66" t="n">
        <v>-16743</v>
      </c>
      <c r="E22" s="66" t="n">
        <v>-837.15</v>
      </c>
      <c r="F22" s="79" t="n">
        <v>1</v>
      </c>
      <c r="G22" s="47" t="inlineStr">
        <is>
          <t>2027 Job Detail Report.pdf (Sage Timberline, 04/03/2026, 184 pages)</t>
        </is>
      </c>
    </row>
    <row r="23">
      <c r="B23" s="48" t="inlineStr">
        <is>
          <t>036936</t>
        </is>
      </c>
      <c r="C23" s="49" t="inlineStr">
        <is>
          <t>08/18/17</t>
        </is>
      </c>
      <c r="D23" s="69" t="n">
        <v>-4864</v>
      </c>
      <c r="E23" s="69" t="n">
        <v>-243.2</v>
      </c>
      <c r="F23" s="80" t="n">
        <v>1</v>
      </c>
      <c r="G23" s="49" t="inlineStr">
        <is>
          <t>2027 Job Detail Report.pdf (Sage Timberline, 04/03/2026, 184 pages)</t>
        </is>
      </c>
      <c r="H23" s="53" t="n"/>
      <c r="I23" s="53" t="n"/>
      <c r="J23" s="53" t="n"/>
    </row>
    <row r="24">
      <c r="B24" s="46" t="inlineStr">
        <is>
          <t>036952</t>
        </is>
      </c>
      <c r="C24" s="47" t="inlineStr">
        <is>
          <t>09/20/17</t>
        </is>
      </c>
      <c r="D24" s="66" t="n">
        <v>-3495</v>
      </c>
      <c r="E24" s="66" t="n">
        <v>-174.75</v>
      </c>
      <c r="F24" s="79" t="n">
        <v>1</v>
      </c>
      <c r="G24" s="47" t="inlineStr">
        <is>
          <t>2027 Job Detail Report.pdf (Sage Timberline, 04/03/2026, 184 pages)</t>
        </is>
      </c>
    </row>
    <row r="25">
      <c r="B25" s="48" t="inlineStr">
        <is>
          <t>TOTAL (signed)</t>
        </is>
      </c>
      <c r="C25" s="53" t="n"/>
      <c r="D25" s="70">
        <f>SUM(D6:D24)</f>
        <v/>
      </c>
      <c r="E25" s="70">
        <f>SUM(E6:E24)</f>
        <v/>
      </c>
      <c r="F25" s="53" t="n"/>
      <c r="G25" s="53" t="n"/>
      <c r="H25" s="53" t="n"/>
      <c r="I25" s="53" t="n"/>
      <c r="J25" s="53" t="n"/>
    </row>
    <row r="26"/>
    <row r="27">
      <c r="B27" s="48" t="inlineStr">
        <is>
          <t>NOTE: AR entries signed negative per Sage convention. Net billed = $2,275,444.00; retainage $113,772.20 outstanding on JDR dated 04/03/2026. First invoice 036686 (2/19/16); last invoice 036937 (8/18/17). Billing/billing docs/ contains SOV template. Invoice 036907 (6/19/17) reverses 036894.</t>
        </is>
      </c>
      <c r="C27" s="50" t="n"/>
      <c r="D27" s="50" t="n"/>
      <c r="E27" s="50" t="n"/>
      <c r="F27" s="50" t="n"/>
      <c r="G27" s="51" t="n"/>
      <c r="H27" s="53" t="n"/>
      <c r="I27" s="53" t="n"/>
      <c r="J27" s="53" t="n"/>
    </row>
  </sheetData>
  <mergeCells count="3">
    <mergeCell ref="B27:G27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79" t="n">
        <v>1</v>
      </c>
      <c r="C6" s="47" t="inlineStr">
        <is>
          <t>STRONG MARGIN</t>
        </is>
      </c>
      <c r="D6" s="47" t="inlineStr">
        <is>
          <t>Net profit $921,960.94 on $2,275,444.00 revenue = 40.5% gross margin. Well above typical multifamily plumbing (25-30%).</t>
        </is>
      </c>
      <c r="E6" s="91" t="inlineStr">
        <is>
          <t>Verified</t>
        </is>
      </c>
      <c r="F6" s="47" t="inlineStr">
        <is>
          <t>2027 Job Detail Report.pdf (Sage Timberline, 04/03/2026, 184 pages)</t>
        </is>
      </c>
    </row>
    <row r="7" ht="58" customHeight="1">
      <c r="B7" s="80" t="n">
        <v>2</v>
      </c>
      <c r="C7" s="49" t="inlineStr">
        <is>
          <t>LABOR-HEAVY EXECUTION</t>
        </is>
      </c>
      <c r="D7" s="49" t="inlineStr">
        <is>
          <t>Labor cost $491,249.77 (21.6% of rev) across 21,014.0 hrs and 43 workers. Rough-in (120) = 12672 hrs = 60% of labor.</t>
        </is>
      </c>
      <c r="E7" s="91" t="inlineStr">
        <is>
          <t>Verified</t>
        </is>
      </c>
      <c r="F7" s="49" t="inlineStr">
        <is>
          <t>2027 Job Detail Report.pdf (Sage Timberline, 04/03/2026, 184 pages)</t>
        </is>
      </c>
      <c r="G7" s="53" t="n"/>
      <c r="H7" s="53" t="n"/>
      <c r="I7" s="53" t="n"/>
      <c r="J7" s="53" t="n"/>
    </row>
    <row r="8" ht="58" customHeight="1">
      <c r="B8" s="79" t="n">
        <v>3</v>
      </c>
      <c r="C8" s="47" t="inlineStr">
        <is>
          <t>ROUGH-IN OVERRUN</t>
        </is>
      </c>
      <c r="D8" s="47" t="inlineStr">
        <is>
          <t>Code 120 Rough-in Labor: $278,595.50 actual vs $300,990.00 revised budget = +$-22,394.50 (-7.4% over). Primary variance driver.</t>
        </is>
      </c>
      <c r="E8" s="91" t="inlineStr">
        <is>
          <t>Verified</t>
        </is>
      </c>
      <c r="F8" s="47" t="inlineStr">
        <is>
          <t>2027 Job Detail Report.pdf (Sage Timberline, 04/03/2026, 184 pages)</t>
        </is>
      </c>
    </row>
    <row r="9" ht="58" customHeight="1">
      <c r="B9" s="80" t="n">
        <v>4</v>
      </c>
      <c r="C9" s="49" t="inlineStr">
        <is>
          <t>BURDEN-HEAVY</t>
        </is>
      </c>
      <c r="D9" s="49" t="inlineStr">
        <is>
          <t>Payroll Burden $188,248.16 + Taxes $37,580.97 = $225,829.13 = 46.0% of gross labor. Burden multiplier = 1.46x.</t>
        </is>
      </c>
      <c r="E9" s="91" t="inlineStr">
        <is>
          <t>Verified</t>
        </is>
      </c>
      <c r="F9" s="49" t="inlineStr">
        <is>
          <t>2027 Job Detail Report.pdf (Sage Timberline, 04/03/2026, 184 pages)</t>
        </is>
      </c>
      <c r="G9" s="53" t="n"/>
      <c r="H9" s="53" t="n"/>
      <c r="I9" s="53" t="n"/>
      <c r="J9" s="53" t="n"/>
    </row>
    <row r="10" ht="58" customHeight="1">
      <c r="B10" s="79" t="n">
        <v>5</v>
      </c>
      <c r="C10" s="47" t="inlineStr">
        <is>
          <t>TOP-WORKER CONCENTRATION</t>
        </is>
      </c>
      <c r="D10" s="47" t="inlineStr">
        <is>
          <t>Barnhart, Joseph N (ID BA70) logged 1753 hrs = 8.3% of project labor. Top 5 workers = 37.2%.</t>
        </is>
      </c>
      <c r="E10" s="91" t="inlineStr">
        <is>
          <t>Verified</t>
        </is>
      </c>
      <c r="F10" s="47" t="inlineStr">
        <is>
          <t>2027 Job Detail Report.pdf (Sage Timberline, 04/03/2026, 184 pages)</t>
        </is>
      </c>
    </row>
    <row r="11" ht="58" customHeight="1">
      <c r="B11" s="80" t="n">
        <v>6</v>
      </c>
      <c r="C11" s="49" t="inlineStr">
        <is>
          <t>VENDOR CONCENTRATION</t>
        </is>
      </c>
      <c r="D11" s="49" t="inlineStr">
        <is>
          <t>Top vendor Rosen Supply Company, Inc. $550 Broadway ($130,186.55). Top 3 suppliers (Keller, Rosen, Consolidated) dominate material spend.</t>
        </is>
      </c>
      <c r="E11" s="91" t="inlineStr">
        <is>
          <t>Verified</t>
        </is>
      </c>
      <c r="F11" s="49" t="inlineStr">
        <is>
          <t>2027 Job Detail Report.pdf (Sage Timberline, 04/03/2026, 184 pages)</t>
        </is>
      </c>
      <c r="G11" s="53" t="n"/>
      <c r="H11" s="53" t="n"/>
      <c r="I11" s="53" t="n"/>
      <c r="J11" s="53" t="n"/>
    </row>
    <row r="12" ht="58" customHeight="1">
      <c r="B12" s="79" t="n">
        <v>7</v>
      </c>
      <c r="C12" s="47" t="inlineStr">
        <is>
          <t>CO DISCIPLINE</t>
        </is>
      </c>
      <c r="D12" s="47" t="inlineStr">
        <is>
          <t>Original $2,230,810.00 → Final $2,275,444.00 = +$44,634.00 (2.00%). 6 COs documented totaling $23,333.00 (diff $21,301.00 — gap unresolved).</t>
        </is>
      </c>
      <c r="E12" s="92" t="inlineStr">
        <is>
          <t>Medium</t>
        </is>
      </c>
      <c r="F12" s="47" t="inlineStr">
        <is>
          <t>2027 Job Detail Report.pdf (Sage Timberline, 04/03/2026, 184 pages)</t>
        </is>
      </c>
    </row>
    <row r="13" ht="58" customHeight="1">
      <c r="B13" s="80" t="n">
        <v>8</v>
      </c>
      <c r="C13" s="49" t="inlineStr">
        <is>
          <t>RETAINAGE OUTSTANDING</t>
        </is>
      </c>
      <c r="D13" s="49" t="inlineStr">
        <is>
          <t>Retainage $113,772.20 still open on JDR dated 04/03/2026, 8+ years after last work 08/18/2017. Release or write-off pending.</t>
        </is>
      </c>
      <c r="E13" s="91" t="inlineStr">
        <is>
          <t>Verified</t>
        </is>
      </c>
      <c r="F13" s="49" t="inlineStr">
        <is>
          <t>2027 Job Detail Report.pdf (Sage Timberline, 04/03/2026, 184 pages)</t>
        </is>
      </c>
      <c r="G13" s="53" t="n"/>
      <c r="H13" s="53" t="n"/>
      <c r="I13" s="53" t="n"/>
      <c r="J13" s="53" t="n"/>
    </row>
    <row r="14" ht="58" customHeight="1">
      <c r="B14" s="79" t="n">
        <v>9</v>
      </c>
      <c r="C14" s="47" t="inlineStr">
        <is>
          <t>RICH DOC TRAIL</t>
        </is>
      </c>
      <c r="D14" s="47" t="inlineStr">
        <is>
          <t>Unlike 2026, this project has full source documentation: contract, 6 COs, 30+ RFIs, 30 submittals, 6 permits, 82 POs, bid proposal, fixture schedule, narrative spec.</t>
        </is>
      </c>
      <c r="E14" s="91" t="inlineStr">
        <is>
          <t>Verified</t>
        </is>
      </c>
      <c r="F14" s="47" t="inlineStr">
        <is>
          <t>Folder scan owp-2027/</t>
        </is>
      </c>
    </row>
    <row r="15" ht="58" customHeight="1">
      <c r="B15" s="80" t="n">
        <v>10</v>
      </c>
      <c r="C15" s="49" t="inlineStr">
        <is>
          <t>BID-LEVEL FIXTURE DETAIL</t>
        </is>
      </c>
      <c r="D15" s="49" t="inlineStr">
        <is>
          <t>Bid proposal 9/1/15 itemizes: 92 WC (83 std + 9 ADA), 92 lavs, 67 tub/showers + 25 shower stalls, 75 kitchen sinks, 75 DW/washer r.i., 8 hose bibs, 2 WH, 1 booster pump. Unit count ~92.</t>
        </is>
      </c>
      <c r="E15" s="91" t="inlineStr">
        <is>
          <t>Verified</t>
        </is>
      </c>
      <c r="F15" s="49" t="inlineStr">
        <is>
          <t>Exxel 19 West Harrison Apartment proposal September 1 2015.pdf</t>
        </is>
      </c>
      <c r="G15" s="53" t="n"/>
      <c r="H15" s="53" t="n"/>
      <c r="I15" s="53" t="n"/>
      <c r="J15" s="53" t="n"/>
    </row>
    <row r="16" ht="58" customHeight="1">
      <c r="B16" s="79" t="n">
        <v>11</v>
      </c>
      <c r="C16" s="47" t="inlineStr">
        <is>
          <t>LONG DURATION</t>
        </is>
      </c>
      <c r="D16" s="47" t="inlineStr">
        <is>
          <t>Work span 03/11/2016 – 08/18/2017 = ~17 months. Steady monthly billing cadence through GC.</t>
        </is>
      </c>
      <c r="E16" s="91" t="inlineStr">
        <is>
          <t>Verified</t>
        </is>
      </c>
      <c r="F16" s="47" t="inlineStr">
        <is>
          <t>2027 Job Detail Report.pdf (Sage Timberline, 04/03/2026, 184 pages)</t>
        </is>
      </c>
    </row>
    <row r="17" ht="58" customHeight="1">
      <c r="B17" s="80" t="n">
        <v>12</v>
      </c>
      <c r="C17" s="49" t="inlineStr">
        <is>
          <t>MATERIAL UNDER BUDGET</t>
        </is>
      </c>
      <c r="D17" s="49" t="inlineStr">
        <is>
          <t>Material codes 220/230/240/241/242 collectively under budget — favorable procurement helps drive the healthy margin.</t>
        </is>
      </c>
      <c r="E17" s="91" t="inlineStr">
        <is>
          <t>Verified</t>
        </is>
      </c>
      <c r="F17" s="49" t="inlineStr">
        <is>
          <t>2027 Job Detail Report.pdf (Sage Timberline, 04/03/2026, 184 pages)</t>
        </is>
      </c>
      <c r="G17" s="53" t="n"/>
      <c r="H17" s="53" t="n"/>
      <c r="I17" s="53" t="n"/>
      <c r="J17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2027</t>
        </is>
      </c>
      <c r="E6" s="47" t="inlineStr">
        <is>
          <t>Profile</t>
        </is>
      </c>
      <c r="F6" s="47" t="inlineStr">
        <is>
          <t>OWP job ID</t>
        </is>
      </c>
      <c r="G6" s="91" t="inlineStr">
        <is>
          <t>Verified</t>
        </is>
      </c>
      <c r="H6" s="47" t="inlineStr">
        <is>
          <t>2027 Job Detail Report.pdf (Sage Timberline, 04/03/2026, 184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Exxel Pacific 550 Broadway (Zig)</t>
        </is>
      </c>
      <c r="E7" s="49" t="inlineStr">
        <is>
          <t>Profile</t>
        </is>
      </c>
      <c r="F7" s="49" t="inlineStr">
        <is>
          <t>Sage short name</t>
        </is>
      </c>
      <c r="G7" s="91" t="inlineStr">
        <is>
          <t>Verified</t>
        </is>
      </c>
      <c r="H7" s="49" t="inlineStr">
        <is>
          <t>2027 Job Detail Report.pdf (Sage Timberline, 04/03/2026, 184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The Zig Apartments @ 550 Broadway St, Seattle</t>
        </is>
      </c>
      <c r="E8" s="47" t="inlineStr">
        <is>
          <t>Profile</t>
        </is>
      </c>
      <c r="F8" s="47" t="inlineStr">
        <is>
          <t>Contract + AR lines</t>
        </is>
      </c>
      <c r="G8" s="91" t="inlineStr">
        <is>
          <t>Verified</t>
        </is>
      </c>
      <c r="H8" s="47" t="inlineStr">
        <is>
          <t>L1 220000 One Way Plumbing Fully Executed Subcontract ocr_d.pdf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Exxel Pacific, Inc.</t>
        </is>
      </c>
      <c r="E9" s="49" t="inlineStr">
        <is>
          <t>Profile</t>
        </is>
      </c>
      <c r="F9" s="49" t="inlineStr">
        <is>
          <t>Customer 2027EP</t>
        </is>
      </c>
      <c r="G9" s="91" t="inlineStr">
        <is>
          <t>Verified</t>
        </is>
      </c>
      <c r="H9" s="49" t="inlineStr">
        <is>
          <t>L1 220000 One Way Plumbing Fully Executed Subcontract ocr_d.pdf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Intra-Corp (550 Broadway owner LLC)</t>
        </is>
      </c>
      <c r="E10" s="47" t="inlineStr">
        <is>
          <t>Profile</t>
        </is>
      </c>
      <c r="F10" s="47" t="inlineStr">
        <is>
          <t>Per subcontract</t>
        </is>
      </c>
      <c r="G10" s="91" t="inlineStr">
        <is>
          <t>Verified</t>
        </is>
      </c>
      <c r="H10" s="47" t="inlineStr">
        <is>
          <t>L1 220000 One Way Plumbing Fully Executed Subcontract ocr_d.pdf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550 Broadway St, Seattle, WA</t>
        </is>
      </c>
      <c r="E11" s="49" t="inlineStr">
        <is>
          <t>Profile</t>
        </is>
      </c>
      <c r="F11" s="49" t="inlineStr">
        <is>
          <t>Contract address</t>
        </is>
      </c>
      <c r="G11" s="91" t="inlineStr">
        <is>
          <t>Verified</t>
        </is>
      </c>
      <c r="H11" s="49" t="inlineStr">
        <is>
          <t>L1 220000 One Way Plumbing Fully Executed Subcontract ocr_d.pdf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Multifamily New Construction — Plumbing (~92 units)</t>
        </is>
      </c>
      <c r="E12" s="47" t="inlineStr">
        <is>
          <t>Profile</t>
        </is>
      </c>
      <c r="F12" s="47" t="inlineStr">
        <is>
          <t>Bid proposal</t>
        </is>
      </c>
      <c r="G12" s="91" t="inlineStr">
        <is>
          <t>Verified</t>
        </is>
      </c>
      <c r="H12" s="47" t="inlineStr">
        <is>
          <t>Exxel 19 West Harrison Apartment proposal September 1 2015.pdf</t>
        </is>
      </c>
    </row>
    <row r="13">
      <c r="B13" s="48" t="inlineStr">
        <is>
          <t>Work Start Date</t>
        </is>
      </c>
      <c r="C13" s="49" t="inlineStr">
        <is>
          <t>start_date</t>
        </is>
      </c>
      <c r="D13" s="49" t="inlineStr">
        <is>
          <t>2016-03-11</t>
        </is>
      </c>
      <c r="E13" s="49" t="inlineStr">
        <is>
          <t>Profile</t>
        </is>
      </c>
      <c r="F13" s="49" t="inlineStr">
        <is>
          <t>First payroll date</t>
        </is>
      </c>
      <c r="G13" s="91" t="inlineStr">
        <is>
          <t>Verified</t>
        </is>
      </c>
      <c r="H13" s="49" t="inlineStr">
        <is>
          <t>2027 Job Detail Report.pdf (Sage Timberline, 04/03/2026, 184 pages)</t>
        </is>
      </c>
      <c r="I13" s="53" t="n"/>
      <c r="J13" s="53" t="n"/>
    </row>
    <row r="14">
      <c r="B14" s="46" t="inlineStr">
        <is>
          <t>Work End Date</t>
        </is>
      </c>
      <c r="C14" s="47" t="inlineStr">
        <is>
          <t>end_date</t>
        </is>
      </c>
      <c r="D14" s="47" t="inlineStr">
        <is>
          <t>2017-08-18</t>
        </is>
      </c>
      <c r="E14" s="47" t="inlineStr">
        <is>
          <t>Profile</t>
        </is>
      </c>
      <c r="F14" s="47" t="inlineStr">
        <is>
          <t>Last AR posting</t>
        </is>
      </c>
      <c r="G14" s="91" t="inlineStr">
        <is>
          <t>Verified</t>
        </is>
      </c>
      <c r="H14" s="47" t="inlineStr">
        <is>
          <t>2027 Job Detail Report.pdf (Sage Timberline, 04/03/2026, 184 pages)</t>
        </is>
      </c>
    </row>
    <row r="15">
      <c r="B15" s="48" t="inlineStr">
        <is>
          <t>Duration (months)</t>
        </is>
      </c>
      <c r="C15" s="49" t="inlineStr">
        <is>
          <t>duration_months</t>
        </is>
      </c>
      <c r="D15" s="72" t="n">
        <v>17.3</v>
      </c>
      <c r="E15" s="49" t="inlineStr">
        <is>
          <t>Profile</t>
        </is>
      </c>
      <c r="F15" s="49" t="inlineStr">
        <is>
          <t>Payroll + AR span</t>
        </is>
      </c>
      <c r="G15" s="91" t="inlineStr">
        <is>
          <t>Verified</t>
        </is>
      </c>
      <c r="H15" s="85" t="inlineStr">
        <is>
          <t>Derived</t>
        </is>
      </c>
      <c r="I15" s="53" t="n"/>
      <c r="J15" s="53" t="n"/>
    </row>
    <row r="16">
      <c r="B16" s="46" t="inlineStr">
        <is>
          <t>Unit Count</t>
        </is>
      </c>
      <c r="C16" s="47" t="inlineStr">
        <is>
          <t>unit_count</t>
        </is>
      </c>
      <c r="D16" s="79" t="n">
        <v>92</v>
      </c>
      <c r="E16" s="47" t="inlineStr">
        <is>
          <t>Profile</t>
        </is>
      </c>
      <c r="F16" s="47" t="inlineStr">
        <is>
          <t>83 std WC + 9 ADA Type A WC = 92</t>
        </is>
      </c>
      <c r="G16" s="91" t="inlineStr">
        <is>
          <t>Verified</t>
        </is>
      </c>
      <c r="H16" s="47" t="inlineStr">
        <is>
          <t>Exxel 19 West Harrison Apartment proposal September 1 2015.pdf</t>
        </is>
      </c>
    </row>
    <row r="17">
      <c r="B17" s="48" t="inlineStr">
        <is>
          <t>ADA Type A Units</t>
        </is>
      </c>
      <c r="C17" s="49" t="inlineStr">
        <is>
          <t>ada_units</t>
        </is>
      </c>
      <c r="D17" s="80" t="n">
        <v>9</v>
      </c>
      <c r="E17" s="49" t="inlineStr">
        <is>
          <t>Profile</t>
        </is>
      </c>
      <c r="F17" s="49" t="inlineStr">
        <is>
          <t>Per bid proposal</t>
        </is>
      </c>
      <c r="G17" s="91" t="inlineStr">
        <is>
          <t>Verified</t>
        </is>
      </c>
      <c r="H17" s="49" t="inlineStr">
        <is>
          <t>Exxel 19 West Harrison Apartment proposal September 1 2015.pdf</t>
        </is>
      </c>
      <c r="I17" s="53" t="n"/>
      <c r="J17" s="53" t="n"/>
    </row>
    <row r="18">
      <c r="B18" s="46" t="inlineStr">
        <is>
          <t>Contract Original</t>
        </is>
      </c>
      <c r="C18" s="47" t="inlineStr">
        <is>
          <t>contract_original</t>
        </is>
      </c>
      <c r="D18" s="55" t="n">
        <v>2230810</v>
      </c>
      <c r="E18" s="47" t="inlineStr">
        <is>
          <t>Financial</t>
        </is>
      </c>
      <c r="F18" s="47" t="inlineStr">
        <is>
          <t>Subcontract Lump Sum</t>
        </is>
      </c>
      <c r="G18" s="91" t="inlineStr">
        <is>
          <t>Verified</t>
        </is>
      </c>
      <c r="H18" s="47" t="inlineStr">
        <is>
          <t>L1 220000 One Way Plumbing Fully Executed Subcontract ocr_d.pdf</t>
        </is>
      </c>
    </row>
    <row r="19">
      <c r="B19" s="48" t="inlineStr">
        <is>
          <t>Contract Final</t>
        </is>
      </c>
      <c r="C19" s="49" t="inlineStr">
        <is>
          <t>contract_final</t>
        </is>
      </c>
      <c r="D19" s="76" t="n">
        <v>2275444</v>
      </c>
      <c r="E19" s="49" t="inlineStr">
        <is>
          <t>Financial</t>
        </is>
      </c>
      <c r="F19" s="49" t="inlineStr">
        <is>
          <t>Code 999 Rev Budget = AR total</t>
        </is>
      </c>
      <c r="G19" s="91" t="inlineStr">
        <is>
          <t>Verified</t>
        </is>
      </c>
      <c r="H19" s="49" t="inlineStr">
        <is>
          <t>2027 Job Detail Report.pdf (Sage Timberline, 04/03/2026, 184 pages)</t>
        </is>
      </c>
      <c r="I19" s="53" t="n"/>
      <c r="J19" s="53" t="n"/>
    </row>
    <row r="20">
      <c r="B20" s="46" t="inlineStr">
        <is>
          <t>Change Orders ($, implied)</t>
        </is>
      </c>
      <c r="C20" s="47" t="inlineStr">
        <is>
          <t>change_orders_implied</t>
        </is>
      </c>
      <c r="D20" s="55" t="n">
        <v>44634</v>
      </c>
      <c r="E20" s="47" t="inlineStr">
        <is>
          <t>Financial</t>
        </is>
      </c>
      <c r="F20" s="47" t="inlineStr">
        <is>
          <t>Final - Original</t>
        </is>
      </c>
      <c r="G20" s="91" t="inlineStr">
        <is>
          <t>Verified</t>
        </is>
      </c>
      <c r="H20" s="47" t="inlineStr">
        <is>
          <t>2027 Job Detail Report.pdf (Sage Timberline, 04/03/2026, 184 pages)</t>
        </is>
      </c>
    </row>
    <row r="21">
      <c r="B21" s="48" t="inlineStr">
        <is>
          <t>Change Orders ($, documented)</t>
        </is>
      </c>
      <c r="C21" s="49" t="inlineStr">
        <is>
          <t>change_orders_documented</t>
        </is>
      </c>
      <c r="D21" s="52" t="n">
        <v>23333</v>
      </c>
      <c r="E21" s="49" t="inlineStr">
        <is>
          <t>Financial</t>
        </is>
      </c>
      <c r="F21" s="49" t="inlineStr">
        <is>
          <t>Sum of CO#01-06</t>
        </is>
      </c>
      <c r="G21" s="92" t="inlineStr">
        <is>
          <t>Medium</t>
        </is>
      </c>
      <c r="H21" s="49" t="inlineStr">
        <is>
          <t>CO folder</t>
        </is>
      </c>
      <c r="I21" s="53" t="n"/>
      <c r="J21" s="53" t="n"/>
    </row>
    <row r="22">
      <c r="B22" s="46" t="inlineStr">
        <is>
          <t>CO Count Documented</t>
        </is>
      </c>
      <c r="C22" s="47" t="inlineStr">
        <is>
          <t>co_count</t>
        </is>
      </c>
      <c r="D22" s="79" t="n">
        <v>6</v>
      </c>
      <c r="E22" s="47" t="inlineStr">
        <is>
          <t>Financial</t>
        </is>
      </c>
      <c r="F22" s="47" t="inlineStr">
        <is>
          <t>CO#01-06</t>
        </is>
      </c>
      <c r="G22" s="91" t="inlineStr">
        <is>
          <t>Verified</t>
        </is>
      </c>
      <c r="H22" s="47" t="inlineStr">
        <is>
          <t>CO folder</t>
        </is>
      </c>
    </row>
    <row r="23">
      <c r="B23" s="48" t="inlineStr">
        <is>
          <t>Change Order % of Contract</t>
        </is>
      </c>
      <c r="C23" s="49" t="inlineStr">
        <is>
          <t>co_pct</t>
        </is>
      </c>
      <c r="D23" s="93" t="n">
        <v>0.02000797916451872</v>
      </c>
      <c r="E23" s="49" t="inlineStr">
        <is>
          <t>Financial</t>
        </is>
      </c>
      <c r="F23" s="94" t="inlineStr"/>
      <c r="G23" s="91" t="inlineStr">
        <is>
          <t>Verified</t>
        </is>
      </c>
      <c r="H23" s="85" t="inlineStr">
        <is>
          <t>Derived</t>
        </is>
      </c>
      <c r="I23" s="53" t="n"/>
      <c r="J23" s="53" t="n"/>
    </row>
    <row r="24">
      <c r="B24" s="46" t="inlineStr">
        <is>
          <t>Revenue</t>
        </is>
      </c>
      <c r="C24" s="47" t="inlineStr">
        <is>
          <t>revenue</t>
        </is>
      </c>
      <c r="D24" s="55" t="n">
        <v>2275444</v>
      </c>
      <c r="E24" s="47" t="inlineStr">
        <is>
          <t>Financial</t>
        </is>
      </c>
      <c r="F24" s="47" t="inlineStr">
        <is>
          <t>AR total</t>
        </is>
      </c>
      <c r="G24" s="91" t="inlineStr">
        <is>
          <t>Verified</t>
        </is>
      </c>
      <c r="H24" s="47" t="inlineStr">
        <is>
          <t>2027 Job Detail Report.pdf (Sage Timberline, 04/03/2026, 184 pages)</t>
        </is>
      </c>
    </row>
    <row r="25">
      <c r="B25" s="48" t="inlineStr">
        <is>
          <t>Direct Cost</t>
        </is>
      </c>
      <c r="C25" s="49" t="inlineStr">
        <is>
          <t>direct_cost</t>
        </is>
      </c>
      <c r="D25" s="76" t="n">
        <v>1353483.06</v>
      </c>
      <c r="E25" s="49" t="inlineStr">
        <is>
          <t>Financial</t>
        </is>
      </c>
      <c r="F25" s="49" t="inlineStr">
        <is>
          <t>JDR Job Totals Expenses</t>
        </is>
      </c>
      <c r="G25" s="91" t="inlineStr">
        <is>
          <t>Verified</t>
        </is>
      </c>
      <c r="H25" s="49" t="inlineStr">
        <is>
          <t>2027 Job Detail Report.pdf (Sage Timberline, 04/03/2026, 184 pages)</t>
        </is>
      </c>
      <c r="I25" s="53" t="n"/>
      <c r="J25" s="53" t="n"/>
    </row>
    <row r="26">
      <c r="B26" s="46" t="inlineStr">
        <is>
          <t>Net Profit</t>
        </is>
      </c>
      <c r="C26" s="47" t="inlineStr">
        <is>
          <t>net_profit</t>
        </is>
      </c>
      <c r="D26" s="55" t="n">
        <v>921960.9399999999</v>
      </c>
      <c r="E26" s="47" t="inlineStr">
        <is>
          <t>Financial</t>
        </is>
      </c>
      <c r="F26" s="47" t="inlineStr">
        <is>
          <t>Rev - Expenses</t>
        </is>
      </c>
      <c r="G26" s="91" t="inlineStr">
        <is>
          <t>Verified</t>
        </is>
      </c>
      <c r="H26" s="47" t="inlineStr">
        <is>
          <t>2027 Job Detail Report.pdf (Sage Timberline, 04/03/2026, 184 pages)</t>
        </is>
      </c>
    </row>
    <row r="27">
      <c r="B27" s="48" t="inlineStr">
        <is>
          <t>Gross Margin</t>
        </is>
      </c>
      <c r="C27" s="49" t="inlineStr">
        <is>
          <t>gross_margin</t>
        </is>
      </c>
      <c r="D27" s="93" t="n">
        <v>0.4051784794528013</v>
      </c>
      <c r="E27" s="49" t="inlineStr">
        <is>
          <t>Financial</t>
        </is>
      </c>
      <c r="F27" s="94" t="inlineStr"/>
      <c r="G27" s="91" t="inlineStr">
        <is>
          <t>Verified</t>
        </is>
      </c>
      <c r="H27" s="85" t="inlineStr">
        <is>
          <t>Derived</t>
        </is>
      </c>
      <c r="I27" s="53" t="n"/>
      <c r="J27" s="53" t="n"/>
    </row>
    <row r="28">
      <c r="B28" s="46" t="inlineStr">
        <is>
          <t>Retainage Outstanding</t>
        </is>
      </c>
      <c r="C28" s="47" t="inlineStr">
        <is>
          <t>retainage</t>
        </is>
      </c>
      <c r="D28" s="55" t="n">
        <v>113772.2</v>
      </c>
      <c r="E28" s="47" t="inlineStr">
        <is>
          <t>Financial</t>
        </is>
      </c>
      <c r="F28" s="47" t="inlineStr">
        <is>
          <t>Open per JDR</t>
        </is>
      </c>
      <c r="G28" s="91" t="inlineStr">
        <is>
          <t>Verified</t>
        </is>
      </c>
      <c r="H28" s="47" t="inlineStr">
        <is>
          <t>2027 Job Detail Report.pdf (Sage Timberline, 04/03/2026, 184 pages)</t>
        </is>
      </c>
    </row>
    <row r="29">
      <c r="B29" s="48" t="inlineStr">
        <is>
          <t>Retainage % of Revenue</t>
        </is>
      </c>
      <c r="C29" s="49" t="inlineStr">
        <is>
          <t>retainage_pct</t>
        </is>
      </c>
      <c r="D29" s="93" t="n">
        <v>0.05</v>
      </c>
      <c r="E29" s="49" t="inlineStr">
        <is>
          <t>Financial</t>
        </is>
      </c>
      <c r="F29" s="94" t="inlineStr"/>
      <c r="G29" s="91" t="inlineStr">
        <is>
          <t>Verified</t>
        </is>
      </c>
      <c r="H29" s="85" t="inlineStr">
        <is>
          <t>Derived</t>
        </is>
      </c>
      <c r="I29" s="53" t="n"/>
      <c r="J29" s="53" t="n"/>
    </row>
    <row r="30">
      <c r="B30" s="46" t="inlineStr">
        <is>
          <t>Labor Cost</t>
        </is>
      </c>
      <c r="C30" s="47" t="inlineStr">
        <is>
          <t>labor_cost</t>
        </is>
      </c>
      <c r="D30" s="55" t="n">
        <v>491249.77</v>
      </c>
      <c r="E30" s="47" t="inlineStr">
        <is>
          <t>Labor</t>
        </is>
      </c>
      <c r="F30" s="47" t="inlineStr">
        <is>
          <t>Codes 100-142</t>
        </is>
      </c>
      <c r="G30" s="91" t="inlineStr">
        <is>
          <t>Verified</t>
        </is>
      </c>
      <c r="H30" s="47" t="inlineStr">
        <is>
          <t>2027 Job Detail Report.pdf (Sage Timberline, 04/03/2026, 184 pages)</t>
        </is>
      </c>
    </row>
    <row r="31">
      <c r="B31" s="48" t="inlineStr">
        <is>
          <t>Material Cost</t>
        </is>
      </c>
      <c r="C31" s="49" t="inlineStr">
        <is>
          <t>material_cost</t>
        </is>
      </c>
      <c r="D31" s="76" t="n">
        <v>548321.75</v>
      </c>
      <c r="E31" s="49" t="inlineStr">
        <is>
          <t>Material</t>
        </is>
      </c>
      <c r="F31" s="49" t="inlineStr">
        <is>
          <t>Codes 210-242</t>
        </is>
      </c>
      <c r="G31" s="91" t="inlineStr">
        <is>
          <t>Verified</t>
        </is>
      </c>
      <c r="H31" s="49" t="inlineStr">
        <is>
          <t>2027 Job Detail Report.pdf (Sage Timberline, 04/03/2026, 184 pages)</t>
        </is>
      </c>
      <c r="I31" s="53" t="n"/>
      <c r="J31" s="53" t="n"/>
    </row>
    <row r="32">
      <c r="B32" s="46" t="inlineStr">
        <is>
          <t>Subcontractor+OH Cost</t>
        </is>
      </c>
      <c r="C32" s="47" t="inlineStr">
        <is>
          <t>overhead_cost</t>
        </is>
      </c>
      <c r="D32" s="55" t="n">
        <v>88066.56999999999</v>
      </c>
      <c r="E32" s="47" t="inlineStr">
        <is>
          <t>Financial</t>
        </is>
      </c>
      <c r="F32" s="47" t="inlineStr">
        <is>
          <t>Codes 600-607</t>
        </is>
      </c>
      <c r="G32" s="91" t="inlineStr">
        <is>
          <t>Verified</t>
        </is>
      </c>
      <c r="H32" s="47" t="inlineStr">
        <is>
          <t>2027 Job Detail Report.pdf (Sage Timberline, 04/03/2026, 184 pages)</t>
        </is>
      </c>
    </row>
    <row r="33">
      <c r="B33" s="48" t="inlineStr">
        <is>
          <t>Burden Cost</t>
        </is>
      </c>
      <c r="C33" s="49" t="inlineStr">
        <is>
          <t>burden_cost</t>
        </is>
      </c>
      <c r="D33" s="76" t="n">
        <v>188248.16</v>
      </c>
      <c r="E33" s="49" t="inlineStr">
        <is>
          <t>Labor</t>
        </is>
      </c>
      <c r="F33" s="49" t="inlineStr">
        <is>
          <t>Code 995</t>
        </is>
      </c>
      <c r="G33" s="91" t="inlineStr">
        <is>
          <t>Verified</t>
        </is>
      </c>
      <c r="H33" s="49" t="inlineStr">
        <is>
          <t>2027 Job Detail Report.pdf (Sage Timberline, 04/03/2026, 184 pages)</t>
        </is>
      </c>
      <c r="I33" s="53" t="n"/>
      <c r="J33" s="53" t="n"/>
    </row>
    <row r="34">
      <c r="B34" s="46" t="inlineStr">
        <is>
          <t>Tax Cost</t>
        </is>
      </c>
      <c r="C34" s="47" t="inlineStr">
        <is>
          <t>tax_cost</t>
        </is>
      </c>
      <c r="D34" s="55" t="n">
        <v>37580.97</v>
      </c>
      <c r="E34" s="47" t="inlineStr">
        <is>
          <t>Labor</t>
        </is>
      </c>
      <c r="F34" s="47" t="inlineStr">
        <is>
          <t>Code 998</t>
        </is>
      </c>
      <c r="G34" s="91" t="inlineStr">
        <is>
          <t>Verified</t>
        </is>
      </c>
      <c r="H34" s="47" t="inlineStr">
        <is>
          <t>2027 Job Detail Report.pdf (Sage Timberline, 04/03/2026, 184 pages)</t>
        </is>
      </c>
    </row>
    <row r="35">
      <c r="B35" s="48" t="inlineStr">
        <is>
          <t>Total Labor Hours</t>
        </is>
      </c>
      <c r="C35" s="49" t="inlineStr">
        <is>
          <t>total_hours</t>
        </is>
      </c>
      <c r="D35" s="72" t="n">
        <v>21014</v>
      </c>
      <c r="E35" s="49" t="inlineStr">
        <is>
          <t>Labor</t>
        </is>
      </c>
      <c r="F35" s="49" t="inlineStr">
        <is>
          <t>Sum labor codes</t>
        </is>
      </c>
      <c r="G35" s="91" t="inlineStr">
        <is>
          <t>Verified</t>
        </is>
      </c>
      <c r="H35" s="49" t="inlineStr">
        <is>
          <t>2027 Job Detail Report.pdf (Sage Timberline, 04/03/2026, 184 pages)</t>
        </is>
      </c>
      <c r="I35" s="53" t="n"/>
      <c r="J35" s="53" t="n"/>
    </row>
    <row r="36">
      <c r="B36" s="46" t="inlineStr">
        <is>
          <t>Total Workers</t>
        </is>
      </c>
      <c r="C36" s="47" t="inlineStr">
        <is>
          <t>total_workers</t>
        </is>
      </c>
      <c r="D36" s="79" t="n">
        <v>43</v>
      </c>
      <c r="E36" s="47" t="inlineStr">
        <is>
          <t>Labor</t>
        </is>
      </c>
      <c r="F36" s="47" t="inlineStr">
        <is>
          <t>Unique payroll IDs</t>
        </is>
      </c>
      <c r="G36" s="91" t="inlineStr">
        <is>
          <t>Verified</t>
        </is>
      </c>
      <c r="H36" s="47" t="inlineStr">
        <is>
          <t>2027 Job Detail Report.pdf (Sage Timberline, 04/03/2026, 184 pages)</t>
        </is>
      </c>
    </row>
    <row r="37">
      <c r="B37" s="48" t="inlineStr">
        <is>
          <t>Blended Gross Wage ($/hr)</t>
        </is>
      </c>
      <c r="C37" s="49" t="inlineStr">
        <is>
          <t>blended_gross_wage</t>
        </is>
      </c>
      <c r="D37" s="76" t="n">
        <v>23.37726134957648</v>
      </c>
      <c r="E37" s="49" t="inlineStr">
        <is>
          <t>Labor</t>
        </is>
      </c>
      <c r="F37" s="49" t="inlineStr">
        <is>
          <t>Pre-burden</t>
        </is>
      </c>
      <c r="G37" s="91" t="inlineStr">
        <is>
          <t>Verified</t>
        </is>
      </c>
      <c r="H37" s="85" t="inlineStr">
        <is>
          <t>Derived</t>
        </is>
      </c>
      <c r="I37" s="53" t="n"/>
      <c r="J37" s="53" t="n"/>
    </row>
    <row r="38">
      <c r="B38" s="46" t="inlineStr">
        <is>
          <t>Fully-Loaded Wage ($/hr)</t>
        </is>
      </c>
      <c r="C38" s="47" t="inlineStr">
        <is>
          <t>fully_loaded_wage</t>
        </is>
      </c>
      <c r="D38" s="55" t="n">
        <v>34.12386504235272</v>
      </c>
      <c r="E38" s="47" t="inlineStr">
        <is>
          <t>Labor</t>
        </is>
      </c>
      <c r="F38" s="47" t="inlineStr">
        <is>
          <t>Incl burden + tax</t>
        </is>
      </c>
      <c r="G38" s="91" t="inlineStr">
        <is>
          <t>Verified</t>
        </is>
      </c>
      <c r="H38" s="85" t="inlineStr">
        <is>
          <t>Derived</t>
        </is>
      </c>
    </row>
    <row r="39">
      <c r="B39" s="48" t="inlineStr">
        <is>
          <t>Burden Multiplier</t>
        </is>
      </c>
      <c r="C39" s="49" t="inlineStr">
        <is>
          <t>burden_multiplier</t>
        </is>
      </c>
      <c r="D39" s="95" t="n">
        <v>1.459703278843265</v>
      </c>
      <c r="E39" s="49" t="inlineStr">
        <is>
          <t>Labor</t>
        </is>
      </c>
      <c r="F39" s="49" t="inlineStr">
        <is>
          <t>Fully-loaded/blended</t>
        </is>
      </c>
      <c r="G39" s="91" t="inlineStr">
        <is>
          <t>Verified</t>
        </is>
      </c>
      <c r="H39" s="85" t="inlineStr">
        <is>
          <t>Derived</t>
        </is>
      </c>
      <c r="I39" s="53" t="n"/>
      <c r="J39" s="53" t="n"/>
    </row>
    <row r="40">
      <c r="B40" s="46" t="inlineStr">
        <is>
          <t>Rough-in Hours</t>
        </is>
      </c>
      <c r="C40" s="47" t="inlineStr">
        <is>
          <t>roughin_hours</t>
        </is>
      </c>
      <c r="D40" s="56" t="n">
        <v>12672</v>
      </c>
      <c r="E40" s="47" t="inlineStr">
        <is>
          <t>Labor</t>
        </is>
      </c>
      <c r="F40" s="47" t="inlineStr">
        <is>
          <t>Code 120</t>
        </is>
      </c>
      <c r="G40" s="91" t="inlineStr">
        <is>
          <t>Verified</t>
        </is>
      </c>
      <c r="H40" s="47" t="inlineStr">
        <is>
          <t>2027 Job Detail Report.pdf (Sage Timberline, 04/03/2026, 184 pages)</t>
        </is>
      </c>
    </row>
    <row r="41">
      <c r="B41" s="48" t="inlineStr">
        <is>
          <t>Finish Hours</t>
        </is>
      </c>
      <c r="C41" s="49" t="inlineStr">
        <is>
          <t>finish_hours</t>
        </is>
      </c>
      <c r="D41" s="72" t="n">
        <v>2157.5</v>
      </c>
      <c r="E41" s="49" t="inlineStr">
        <is>
          <t>Labor</t>
        </is>
      </c>
      <c r="F41" s="49" t="inlineStr">
        <is>
          <t>Code 130</t>
        </is>
      </c>
      <c r="G41" s="91" t="inlineStr">
        <is>
          <t>Verified</t>
        </is>
      </c>
      <c r="H41" s="49" t="inlineStr">
        <is>
          <t>2027 Job Detail Report.pdf (Sage Timberline, 04/03/2026, 184 pages)</t>
        </is>
      </c>
      <c r="I41" s="53" t="n"/>
      <c r="J41" s="53" t="n"/>
    </row>
    <row r="42">
      <c r="B42" s="46" t="inlineStr">
        <is>
          <t>Revenue per Hour</t>
        </is>
      </c>
      <c r="C42" s="47" t="inlineStr">
        <is>
          <t>revenue_per_hour</t>
        </is>
      </c>
      <c r="D42" s="56" t="n">
        <v>108.2822879984772</v>
      </c>
      <c r="E42" s="47" t="inlineStr">
        <is>
          <t>Productivity</t>
        </is>
      </c>
      <c r="F42" s="5" t="inlineStr"/>
      <c r="G42" s="91" t="inlineStr">
        <is>
          <t>Verified</t>
        </is>
      </c>
      <c r="H42" s="85" t="inlineStr">
        <is>
          <t>Derived</t>
        </is>
      </c>
    </row>
    <row r="43">
      <c r="B43" s="48" t="inlineStr">
        <is>
          <t>Profit per Hour</t>
        </is>
      </c>
      <c r="C43" s="49" t="inlineStr">
        <is>
          <t>profit_per_hour</t>
        </is>
      </c>
      <c r="D43" s="72" t="n">
        <v>43.8736528028933</v>
      </c>
      <c r="E43" s="49" t="inlineStr">
        <is>
          <t>Productivity</t>
        </is>
      </c>
      <c r="F43" s="94" t="inlineStr"/>
      <c r="G43" s="91" t="inlineStr">
        <is>
          <t>Verified</t>
        </is>
      </c>
      <c r="H43" s="85" t="inlineStr">
        <is>
          <t>Derived</t>
        </is>
      </c>
      <c r="I43" s="53" t="n"/>
      <c r="J43" s="53" t="n"/>
    </row>
    <row r="44">
      <c r="B44" s="46" t="inlineStr">
        <is>
          <t>Revenue per Unit</t>
        </is>
      </c>
      <c r="C44" s="47" t="inlineStr">
        <is>
          <t>revenue_per_unit</t>
        </is>
      </c>
      <c r="D44" s="55" t="n">
        <v>24733.08695652174</v>
      </c>
      <c r="E44" s="47" t="inlineStr">
        <is>
          <t>Productivity</t>
        </is>
      </c>
      <c r="F44" s="47" t="inlineStr">
        <is>
          <t>92 units</t>
        </is>
      </c>
      <c r="G44" s="91" t="inlineStr">
        <is>
          <t>Verified</t>
        </is>
      </c>
      <c r="H44" s="85" t="inlineStr">
        <is>
          <t>Derived</t>
        </is>
      </c>
    </row>
    <row r="45">
      <c r="B45" s="48" t="inlineStr">
        <is>
          <t>Direct Cost per Unit</t>
        </is>
      </c>
      <c r="C45" s="49" t="inlineStr">
        <is>
          <t>cost_per_unit</t>
        </is>
      </c>
      <c r="D45" s="76" t="n">
        <v>14711.77239130435</v>
      </c>
      <c r="E45" s="49" t="inlineStr">
        <is>
          <t>Productivity</t>
        </is>
      </c>
      <c r="F45" s="49" t="inlineStr">
        <is>
          <t>92 units</t>
        </is>
      </c>
      <c r="G45" s="91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6" t="inlineStr">
        <is>
          <t>Labor Hours per Unit</t>
        </is>
      </c>
      <c r="C46" s="47" t="inlineStr">
        <is>
          <t>hours_per_unit</t>
        </is>
      </c>
      <c r="D46" s="56" t="n">
        <v>228.4130434782609</v>
      </c>
      <c r="E46" s="47" t="inlineStr">
        <is>
          <t>Productivity</t>
        </is>
      </c>
      <c r="F46" s="47" t="inlineStr">
        <is>
          <t>92 units</t>
        </is>
      </c>
      <c r="G46" s="91" t="inlineStr">
        <is>
          <t>Verified</t>
        </is>
      </c>
      <c r="H46" s="85" t="inlineStr">
        <is>
          <t>Derived</t>
        </is>
      </c>
    </row>
    <row r="47">
      <c r="B47" s="48" t="inlineStr">
        <is>
          <t>Labor % of Revenue</t>
        </is>
      </c>
      <c r="C47" s="49" t="inlineStr">
        <is>
          <t>labor_pct_revenue</t>
        </is>
      </c>
      <c r="D47" s="93" t="n">
        <v>0.2158918303416828</v>
      </c>
      <c r="E47" s="49" t="inlineStr">
        <is>
          <t>Cost Mix</t>
        </is>
      </c>
      <c r="F47" s="94" t="inlineStr"/>
      <c r="G47" s="91" t="inlineStr">
        <is>
          <t>Verified</t>
        </is>
      </c>
      <c r="H47" s="85" t="inlineStr">
        <is>
          <t>Derived</t>
        </is>
      </c>
      <c r="I47" s="53" t="n"/>
      <c r="J47" s="53" t="n"/>
    </row>
    <row r="48">
      <c r="B48" s="46" t="inlineStr">
        <is>
          <t>Material % of Revenue</t>
        </is>
      </c>
      <c r="C48" s="47" t="inlineStr">
        <is>
          <t>material_pct_revenue</t>
        </is>
      </c>
      <c r="D48" s="96" t="n">
        <v>0.2409735198932604</v>
      </c>
      <c r="E48" s="47" t="inlineStr">
        <is>
          <t>Cost Mix</t>
        </is>
      </c>
      <c r="F48" s="5" t="inlineStr"/>
      <c r="G48" s="91" t="inlineStr">
        <is>
          <t>Verified</t>
        </is>
      </c>
      <c r="H48" s="85" t="inlineStr">
        <is>
          <t>Derived</t>
        </is>
      </c>
    </row>
    <row r="49">
      <c r="B49" s="48" t="inlineStr">
        <is>
          <t>Total Vendors (AP)</t>
        </is>
      </c>
      <c r="C49" s="49" t="inlineStr">
        <is>
          <t>total_vendors</t>
        </is>
      </c>
      <c r="D49" s="80" t="n">
        <v>26</v>
      </c>
      <c r="E49" s="49" t="inlineStr">
        <is>
          <t>Material</t>
        </is>
      </c>
      <c r="F49" s="49" t="inlineStr">
        <is>
          <t>Unique vendor IDs</t>
        </is>
      </c>
      <c r="G49" s="91" t="inlineStr">
        <is>
          <t>Verified</t>
        </is>
      </c>
      <c r="H49" s="49" t="inlineStr">
        <is>
          <t>2027 Job Detail Report.pdf (Sage Timberline, 04/03/2026, 184 pages)</t>
        </is>
      </c>
      <c r="I49" s="53" t="n"/>
      <c r="J49" s="53" t="n"/>
    </row>
    <row r="50">
      <c r="B50" s="46" t="inlineStr">
        <is>
          <t>Total Invoices (AR)</t>
        </is>
      </c>
      <c r="C50" s="47" t="inlineStr">
        <is>
          <t>total_invoices</t>
        </is>
      </c>
      <c r="D50" s="79" t="n">
        <v>19</v>
      </c>
      <c r="E50" s="47" t="inlineStr">
        <is>
          <t>Billing</t>
        </is>
      </c>
      <c r="F50" s="47" t="inlineStr">
        <is>
          <t>Unique invoice numbers</t>
        </is>
      </c>
      <c r="G50" s="91" t="inlineStr">
        <is>
          <t>Verified</t>
        </is>
      </c>
      <c r="H50" s="47" t="inlineStr">
        <is>
          <t>2027 Job Detail Report.pdf (Sage Timberline, 04/03/2026, 184 pages)</t>
        </is>
      </c>
    </row>
    <row r="51">
      <c r="B51" s="48" t="inlineStr">
        <is>
          <t>RFI Count (documented)</t>
        </is>
      </c>
      <c r="C51" s="49" t="inlineStr">
        <is>
          <t>rfi_count</t>
        </is>
      </c>
      <c r="D51" s="80" t="n">
        <v>30</v>
      </c>
      <c r="E51" s="49" t="inlineStr">
        <is>
          <t>Docs</t>
        </is>
      </c>
      <c r="F51" s="49" t="inlineStr">
        <is>
          <t>18 + 1 ASI primary + 12 dropbox</t>
        </is>
      </c>
      <c r="G51" s="91" t="inlineStr">
        <is>
          <t>Verified</t>
        </is>
      </c>
      <c r="H51" s="49" t="inlineStr">
        <is>
          <t>ASI-RFI + Dropbox folders</t>
        </is>
      </c>
      <c r="I51" s="53" t="n"/>
      <c r="J51" s="53" t="n"/>
    </row>
    <row r="52">
      <c r="B52" s="46" t="inlineStr">
        <is>
          <t>Submittal Count</t>
        </is>
      </c>
      <c r="C52" s="47" t="inlineStr">
        <is>
          <t>submittal_count</t>
        </is>
      </c>
      <c r="D52" s="79" t="n">
        <v>30</v>
      </c>
      <c r="E52" s="47" t="inlineStr">
        <is>
          <t>Docs</t>
        </is>
      </c>
      <c r="F52" s="47" t="inlineStr">
        <is>
          <t>19 fixture + 10 material + 1 UG</t>
        </is>
      </c>
      <c r="G52" s="91" t="inlineStr">
        <is>
          <t>Verified</t>
        </is>
      </c>
      <c r="H52" s="47" t="inlineStr">
        <is>
          <t>Submittals folder</t>
        </is>
      </c>
    </row>
    <row r="53">
      <c r="B53" s="48" t="inlineStr">
        <is>
          <t>Permit Count</t>
        </is>
      </c>
      <c r="C53" s="49" t="inlineStr">
        <is>
          <t>permit_count</t>
        </is>
      </c>
      <c r="D53" s="80" t="n">
        <v>6</v>
      </c>
      <c r="E53" s="49" t="inlineStr">
        <is>
          <t>Docs</t>
        </is>
      </c>
      <c r="F53" s="49" t="inlineStr">
        <is>
          <t>backflow, boiler x2, gas, plumbing, temp gas</t>
        </is>
      </c>
      <c r="G53" s="91" t="inlineStr">
        <is>
          <t>Verified</t>
        </is>
      </c>
      <c r="H53" s="49" t="inlineStr">
        <is>
          <t>Permits folder</t>
        </is>
      </c>
      <c r="I53" s="53" t="n"/>
      <c r="J53" s="53" t="n"/>
    </row>
    <row r="54">
      <c r="B54" s="46" t="inlineStr">
        <is>
          <t>PO Count</t>
        </is>
      </c>
      <c r="C54" s="47" t="inlineStr">
        <is>
          <t>po_count</t>
        </is>
      </c>
      <c r="D54" s="79" t="n">
        <v>82</v>
      </c>
      <c r="E54" s="47" t="inlineStr">
        <is>
          <t>Docs</t>
        </is>
      </c>
      <c r="F54" s="47" t="inlineStr">
        <is>
          <t>7 placed + 19 scheduled + 56 completed</t>
        </is>
      </c>
      <c r="G54" s="91" t="inlineStr">
        <is>
          <t>Verified</t>
        </is>
      </c>
      <c r="H54" s="47" t="inlineStr">
        <is>
          <t>POs folder</t>
        </is>
      </c>
    </row>
    <row r="55">
      <c r="B55" s="48" t="inlineStr">
        <is>
          <t>Fixture Count (WCs)</t>
        </is>
      </c>
      <c r="C55" s="49" t="inlineStr">
        <is>
          <t>wc_count</t>
        </is>
      </c>
      <c r="D55" s="80" t="n">
        <v>94</v>
      </c>
      <c r="E55" s="49" t="inlineStr">
        <is>
          <t>Scope</t>
        </is>
      </c>
      <c r="F55" s="49" t="inlineStr">
        <is>
          <t>92 unit + 2 amenity</t>
        </is>
      </c>
      <c r="G55" s="91" t="inlineStr">
        <is>
          <t>Verified</t>
        </is>
      </c>
      <c r="H55" s="49" t="inlineStr">
        <is>
          <t>Exxel 19 West Harrison Apartment proposal September 1 2015.pdf</t>
        </is>
      </c>
      <c r="I55" s="53" t="n"/>
      <c r="J55" s="53" t="n"/>
    </row>
    <row r="56">
      <c r="B56" s="46" t="inlineStr">
        <is>
          <t>Fixture Count (Lavs)</t>
        </is>
      </c>
      <c r="C56" s="47" t="inlineStr">
        <is>
          <t>lav_count</t>
        </is>
      </c>
      <c r="D56" s="79" t="n">
        <v>94</v>
      </c>
      <c r="E56" s="47" t="inlineStr">
        <is>
          <t>Scope</t>
        </is>
      </c>
      <c r="F56" s="47" t="inlineStr">
        <is>
          <t>92 unit + 2 amenity</t>
        </is>
      </c>
      <c r="G56" s="91" t="inlineStr">
        <is>
          <t>Verified</t>
        </is>
      </c>
      <c r="H56" s="47" t="inlineStr">
        <is>
          <t>Exxel 19 West Harrison Apartment proposal September 1 2015.pdf</t>
        </is>
      </c>
    </row>
    <row r="57">
      <c r="B57" s="48" t="inlineStr">
        <is>
          <t>Bathing Fixtures</t>
        </is>
      </c>
      <c r="C57" s="49" t="inlineStr">
        <is>
          <t>bath_count</t>
        </is>
      </c>
      <c r="D57" s="80" t="n">
        <v>92</v>
      </c>
      <c r="E57" s="49" t="inlineStr">
        <is>
          <t>Scope</t>
        </is>
      </c>
      <c r="F57" s="49" t="inlineStr">
        <is>
          <t>67 tub/shower + 25 shower</t>
        </is>
      </c>
      <c r="G57" s="91" t="inlineStr">
        <is>
          <t>Verified</t>
        </is>
      </c>
      <c r="H57" s="49" t="inlineStr">
        <is>
          <t>Exxel 19 West Harrison Apartment proposal September 1 2015.pdf</t>
        </is>
      </c>
      <c r="I57" s="53" t="n"/>
      <c r="J57" s="53" t="n"/>
    </row>
    <row r="58">
      <c r="B58" s="46" t="inlineStr">
        <is>
          <t>Kitchen Sinks</t>
        </is>
      </c>
      <c r="C58" s="47" t="inlineStr">
        <is>
          <t>ks_count</t>
        </is>
      </c>
      <c r="D58" s="79" t="n">
        <v>76</v>
      </c>
      <c r="E58" s="47" t="inlineStr">
        <is>
          <t>Scope</t>
        </is>
      </c>
      <c r="F58" s="47" t="inlineStr">
        <is>
          <t>67 Lenova + 8 ADA Elkay + 1 bar</t>
        </is>
      </c>
      <c r="G58" s="91" t="inlineStr">
        <is>
          <t>Verified</t>
        </is>
      </c>
      <c r="H58" s="47" t="inlineStr">
        <is>
          <t>Exxel 19 West Harrison Apartment proposal September 1 2015.pdf</t>
        </is>
      </c>
    </row>
    <row r="59">
      <c r="B59" s="48" t="inlineStr">
        <is>
          <t>AP Spend (JDR footer)</t>
        </is>
      </c>
      <c r="C59" s="49" t="inlineStr">
        <is>
          <t>ap_total</t>
        </is>
      </c>
      <c r="D59" s="76" t="n">
        <v>538651.3</v>
      </c>
      <c r="E59" s="49" t="inlineStr">
        <is>
          <t>Material</t>
        </is>
      </c>
      <c r="F59" s="49" t="inlineStr">
        <is>
          <t>JDR footer</t>
        </is>
      </c>
      <c r="G59" s="91" t="inlineStr">
        <is>
          <t>Verified</t>
        </is>
      </c>
      <c r="H59" s="49" t="inlineStr">
        <is>
          <t>2027 Job Detail Report.pdf (Sage Timberline, 04/03/2026, 184 pages)</t>
        </is>
      </c>
      <c r="I59" s="53" t="n"/>
      <c r="J59" s="53" t="n"/>
    </row>
    <row r="60">
      <c r="B60" s="46" t="inlineStr">
        <is>
          <t>PR Spend (JDR footer)</t>
        </is>
      </c>
      <c r="C60" s="47" t="inlineStr">
        <is>
          <t>pr_total</t>
        </is>
      </c>
      <c r="D60" s="55" t="n">
        <v>717078.9</v>
      </c>
      <c r="E60" s="47" t="inlineStr">
        <is>
          <t>Labor</t>
        </is>
      </c>
      <c r="F60" s="47" t="inlineStr">
        <is>
          <t>JDR footer (labor+burden+tax)</t>
        </is>
      </c>
      <c r="G60" s="91" t="inlineStr">
        <is>
          <t>Verified</t>
        </is>
      </c>
      <c r="H60" s="47" t="inlineStr">
        <is>
          <t>2027 Job Detail Report.pdf (Sage Timberline, 04/03/2026, 184 pages)</t>
        </is>
      </c>
    </row>
    <row r="61">
      <c r="B61" s="48" t="inlineStr">
        <is>
          <t>GL Spend (JDR footer)</t>
        </is>
      </c>
      <c r="C61" s="49" t="inlineStr">
        <is>
          <t>gl_total</t>
        </is>
      </c>
      <c r="D61" s="76" t="n">
        <v>97752.86</v>
      </c>
      <c r="E61" s="49" t="inlineStr">
        <is>
          <t>Financial</t>
        </is>
      </c>
      <c r="F61" s="49" t="inlineStr">
        <is>
          <t>JDR footer</t>
        </is>
      </c>
      <c r="G61" s="91" t="inlineStr">
        <is>
          <t>Verified</t>
        </is>
      </c>
      <c r="H61" s="49" t="inlineStr">
        <is>
          <t>2027 Job Detail Report.pdf (Sage Timberline, 04/03/2026, 184 pages)</t>
        </is>
      </c>
      <c r="I61" s="53" t="n"/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79" t="n">
        <v>1</v>
      </c>
      <c r="C6" s="47" t="inlineStr">
        <is>
          <t>2027RS</t>
        </is>
      </c>
      <c r="D6" s="47" t="inlineStr">
        <is>
          <t>Rosen Supply Company, Inc. $550 Broadway</t>
        </is>
      </c>
      <c r="E6" s="66" t="n">
        <v>130186.55</v>
      </c>
      <c r="F6" s="79" t="n">
        <v>76</v>
      </c>
      <c r="G6" s="68">
        <f>E6/538651.3</f>
        <v/>
      </c>
      <c r="H6" s="47" t="inlineStr">
        <is>
          <t>2027 Job Detail Report.pdf (Sage Timberline, 04/03/2026, 184 pages)</t>
        </is>
      </c>
    </row>
    <row r="7">
      <c r="B7" s="80" t="n">
        <v>2</v>
      </c>
      <c r="C7" s="49" t="inlineStr">
        <is>
          <t>2027KS</t>
        </is>
      </c>
      <c r="D7" s="49" t="inlineStr">
        <is>
          <t>Keller Supply Company $550 Broadway</t>
        </is>
      </c>
      <c r="E7" s="69" t="n">
        <v>108476.79</v>
      </c>
      <c r="F7" s="80" t="n">
        <v>53</v>
      </c>
      <c r="G7" s="71">
        <f>E7/538651.3</f>
        <v/>
      </c>
      <c r="H7" s="49" t="inlineStr">
        <is>
          <t>2027 Job Detail Report.pdf (Sage Timberline, 04/03/2026, 184 pages)</t>
        </is>
      </c>
      <c r="I7" s="53" t="n"/>
      <c r="J7" s="53" t="n"/>
    </row>
    <row r="8">
      <c r="B8" s="79" t="n">
        <v>3</v>
      </c>
      <c r="C8" s="47" t="inlineStr">
        <is>
          <t>2027FE</t>
        </is>
      </c>
      <c r="D8" s="47" t="inlineStr">
        <is>
          <t>Ferguson Enterprises, Inc. $550 Broadway</t>
        </is>
      </c>
      <c r="E8" s="66" t="n">
        <v>83315.57999999997</v>
      </c>
      <c r="F8" s="79" t="n">
        <v>38</v>
      </c>
      <c r="G8" s="68">
        <f>E8/538651.3</f>
        <v/>
      </c>
      <c r="H8" s="47" t="inlineStr">
        <is>
          <t>2027 Job Detail Report.pdf (Sage Timberline, 04/03/2026, 184 pages)</t>
        </is>
      </c>
    </row>
    <row r="9">
      <c r="B9" s="80" t="n">
        <v>4</v>
      </c>
      <c r="C9" s="49" t="inlineStr">
        <is>
          <t>3612MS</t>
        </is>
      </c>
      <c r="D9" s="49" t="inlineStr">
        <is>
          <t>Mechanical Sales, Inc.</t>
        </is>
      </c>
      <c r="E9" s="69" t="n">
        <v>70237.38</v>
      </c>
      <c r="F9" s="80" t="n">
        <v>4</v>
      </c>
      <c r="G9" s="71">
        <f>E9/538651.3</f>
        <v/>
      </c>
      <c r="H9" s="49" t="inlineStr">
        <is>
          <t>2027 Job Detail Report.pdf (Sage Timberline, 04/03/2026, 184 pages)</t>
        </is>
      </c>
      <c r="I9" s="53" t="n"/>
      <c r="J9" s="53" t="n"/>
    </row>
    <row r="10">
      <c r="B10" s="79" t="n">
        <v>5</v>
      </c>
      <c r="C10" s="47" t="inlineStr">
        <is>
          <t>2027CS</t>
        </is>
      </c>
      <c r="D10" s="47" t="inlineStr">
        <is>
          <t>Consolidated Supply Co.$550 Broadway</t>
        </is>
      </c>
      <c r="E10" s="66" t="n">
        <v>43775.87</v>
      </c>
      <c r="F10" s="79" t="n">
        <v>30</v>
      </c>
      <c r="G10" s="68">
        <f>E10/538651.3</f>
        <v/>
      </c>
      <c r="H10" s="47" t="inlineStr">
        <is>
          <t>2027 Job Detail Report.pdf (Sage Timberline, 04/03/2026, 184 pages)</t>
        </is>
      </c>
    </row>
    <row r="11">
      <c r="B11" s="80" t="n">
        <v>6</v>
      </c>
      <c r="C11" s="49" t="inlineStr">
        <is>
          <t>1625FE</t>
        </is>
      </c>
      <c r="D11" s="49" t="inlineStr">
        <is>
          <t>Franklin Engineering</t>
        </is>
      </c>
      <c r="E11" s="69" t="n">
        <v>39853.5</v>
      </c>
      <c r="F11" s="80" t="n">
        <v>12</v>
      </c>
      <c r="G11" s="71">
        <f>E11/538651.3</f>
        <v/>
      </c>
      <c r="H11" s="49" t="inlineStr">
        <is>
          <t>2027 Job Detail Report.pdf (Sage Timberline, 04/03/2026, 184 pages)</t>
        </is>
      </c>
      <c r="I11" s="53" t="n"/>
      <c r="J11" s="53" t="n"/>
    </row>
    <row r="12">
      <c r="B12" s="79" t="n">
        <v>7</v>
      </c>
      <c r="C12" s="47" t="inlineStr">
        <is>
          <t>6912MF</t>
        </is>
      </c>
      <c r="D12" s="47" t="inlineStr">
        <is>
          <t>Mechanical Firestop Services, LLC</t>
        </is>
      </c>
      <c r="E12" s="66" t="n">
        <v>22950</v>
      </c>
      <c r="F12" s="79" t="n">
        <v>3</v>
      </c>
      <c r="G12" s="68">
        <f>E12/538651.3</f>
        <v/>
      </c>
      <c r="H12" s="47" t="inlineStr">
        <is>
          <t>2027 Job Detail Report.pdf (Sage Timberline, 04/03/2026, 184 pages)</t>
        </is>
      </c>
    </row>
    <row r="13">
      <c r="B13" s="80" t="n">
        <v>8</v>
      </c>
      <c r="C13" s="49" t="inlineStr">
        <is>
          <t>1234BA</t>
        </is>
      </c>
      <c r="D13" s="49" t="inlineStr">
        <is>
          <t>Bank of America CC</t>
        </is>
      </c>
      <c r="E13" s="69" t="n">
        <v>8719</v>
      </c>
      <c r="F13" s="80" t="n">
        <v>4</v>
      </c>
      <c r="G13" s="71">
        <f>E13/538651.3</f>
        <v/>
      </c>
      <c r="H13" s="49" t="inlineStr">
        <is>
          <t>2027 Job Detail Report.pdf (Sage Timberline, 04/03/2026, 184 pages)</t>
        </is>
      </c>
      <c r="I13" s="53" t="n"/>
      <c r="J13" s="53" t="n"/>
    </row>
    <row r="14">
      <c r="B14" s="79" t="n">
        <v>9</v>
      </c>
      <c r="C14" s="47" t="inlineStr">
        <is>
          <t>1234CO</t>
        </is>
      </c>
      <c r="D14" s="47" t="inlineStr">
        <is>
          <t>Capital One Credit Card</t>
        </is>
      </c>
      <c r="E14" s="66" t="n">
        <v>8104.000000000002</v>
      </c>
      <c r="F14" s="79" t="n">
        <v>44</v>
      </c>
      <c r="G14" s="68">
        <f>E14/538651.3</f>
        <v/>
      </c>
      <c r="H14" s="47" t="inlineStr">
        <is>
          <t>2027 Job Detail Report.pdf (Sage Timberline, 04/03/2026, 184 pages)</t>
        </is>
      </c>
    </row>
    <row r="15">
      <c r="B15" s="80" t="n">
        <v>10</v>
      </c>
      <c r="C15" s="49" t="inlineStr">
        <is>
          <t>1234CI</t>
        </is>
      </c>
      <c r="D15" s="49" t="inlineStr">
        <is>
          <t>Citibank Credit Card</t>
        </is>
      </c>
      <c r="E15" s="69" t="n">
        <v>7501.5</v>
      </c>
      <c r="F15" s="80" t="n">
        <v>2</v>
      </c>
      <c r="G15" s="71">
        <f>E15/538651.3</f>
        <v/>
      </c>
      <c r="H15" s="49" t="inlineStr">
        <is>
          <t>2027 Job Detail Report.pdf (Sage Timberline, 04/03/2026, 184 pages)</t>
        </is>
      </c>
      <c r="I15" s="53" t="n"/>
      <c r="J15" s="53" t="n"/>
    </row>
    <row r="16">
      <c r="B16" s="79" t="n">
        <v>11</v>
      </c>
      <c r="C16" s="47" t="inlineStr">
        <is>
          <t>1609QC</t>
        </is>
      </c>
      <c r="D16" s="47" t="inlineStr">
        <is>
          <t>Quality Concrete Products, Inc. $32</t>
        </is>
      </c>
      <c r="E16" s="66" t="n">
        <v>4638</v>
      </c>
      <c r="F16" s="79" t="n">
        <v>6</v>
      </c>
      <c r="G16" s="68">
        <f>E16/538651.3</f>
        <v/>
      </c>
      <c r="H16" s="47" t="inlineStr">
        <is>
          <t>2027 Job Detail Report.pdf (Sage Timberline, 04/03/2026, 184 pages)</t>
        </is>
      </c>
    </row>
    <row r="17">
      <c r="B17" s="80" t="n">
        <v>12</v>
      </c>
      <c r="C17" s="49" t="inlineStr">
        <is>
          <t>1175FE</t>
        </is>
      </c>
      <c r="D17" s="49" t="inlineStr">
        <is>
          <t>Ferguson Enterprises, Inc. #3007</t>
        </is>
      </c>
      <c r="E17" s="69" t="n">
        <v>2530.96</v>
      </c>
      <c r="F17" s="80" t="n">
        <v>9</v>
      </c>
      <c r="G17" s="71">
        <f>E17/538651.3</f>
        <v/>
      </c>
      <c r="H17" s="49" t="inlineStr">
        <is>
          <t>2027 Job Detail Report.pdf (Sage Timberline, 04/03/2026, 184 pages)</t>
        </is>
      </c>
      <c r="I17" s="53" t="n"/>
      <c r="J17" s="53" t="n"/>
    </row>
    <row r="18">
      <c r="B18" s="79" t="n">
        <v>13</v>
      </c>
      <c r="C18" s="47" t="inlineStr">
        <is>
          <t>1504CA</t>
        </is>
      </c>
      <c r="D18" s="47" t="inlineStr">
        <is>
          <t>Chip Away Bathtub Repair, Inc.</t>
        </is>
      </c>
      <c r="E18" s="66" t="n">
        <v>1800</v>
      </c>
      <c r="F18" s="79" t="n">
        <v>1</v>
      </c>
      <c r="G18" s="68">
        <f>E18/538651.3</f>
        <v/>
      </c>
      <c r="H18" s="47" t="inlineStr">
        <is>
          <t>2027 Job Detail Report.pdf (Sage Timberline, 04/03/2026, 184 pages)</t>
        </is>
      </c>
    </row>
    <row r="19">
      <c r="B19" s="80" t="n">
        <v>14</v>
      </c>
      <c r="C19" s="49" t="inlineStr">
        <is>
          <t>1231KS</t>
        </is>
      </c>
      <c r="D19" s="49" t="inlineStr">
        <is>
          <t>Keller Supply Company</t>
        </is>
      </c>
      <c r="E19" s="69" t="n">
        <v>1725.69</v>
      </c>
      <c r="F19" s="80" t="n">
        <v>6</v>
      </c>
      <c r="G19" s="71">
        <f>E19/538651.3</f>
        <v/>
      </c>
      <c r="H19" s="49" t="inlineStr">
        <is>
          <t>2027 Job Detail Report.pdf (Sage Timberline, 04/03/2026, 184 pages)</t>
        </is>
      </c>
      <c r="I19" s="53" t="n"/>
      <c r="J19" s="53" t="n"/>
    </row>
    <row r="20">
      <c r="B20" s="79" t="n">
        <v>15</v>
      </c>
      <c r="C20" s="47" t="inlineStr">
        <is>
          <t>5585CH</t>
        </is>
      </c>
      <c r="D20" s="47" t="inlineStr">
        <is>
          <t>Columbia Hydronics</t>
        </is>
      </c>
      <c r="E20" s="66" t="n">
        <v>1627.74</v>
      </c>
      <c r="F20" s="79" t="n">
        <v>1</v>
      </c>
      <c r="G20" s="68">
        <f>E20/538651.3</f>
        <v/>
      </c>
      <c r="H20" s="47" t="inlineStr">
        <is>
          <t>2027 Job Detail Report.pdf (Sage Timberline, 04/03/2026, 184 pages)</t>
        </is>
      </c>
    </row>
    <row r="21">
      <c r="B21" s="80" t="n">
        <v>16</v>
      </c>
      <c r="C21" s="49" t="inlineStr">
        <is>
          <t>8068MI</t>
        </is>
      </c>
      <c r="D21" s="49" t="inlineStr">
        <is>
          <t>Kele, Inc $ MI Controls</t>
        </is>
      </c>
      <c r="E21" s="69" t="n">
        <v>563.8099999999999</v>
      </c>
      <c r="F21" s="80" t="n">
        <v>3</v>
      </c>
      <c r="G21" s="71">
        <f>E21/538651.3</f>
        <v/>
      </c>
      <c r="H21" s="49" t="inlineStr">
        <is>
          <t>2027 Job Detail Report.pdf (Sage Timberline, 04/03/2026, 184 pages)</t>
        </is>
      </c>
      <c r="I21" s="53" t="n"/>
      <c r="J21" s="53" t="n"/>
    </row>
    <row r="22">
      <c r="B22" s="79" t="n">
        <v>17</v>
      </c>
      <c r="C22" s="47" t="inlineStr">
        <is>
          <t>1799AW</t>
        </is>
      </c>
      <c r="D22" s="47" t="inlineStr">
        <is>
          <t>AllWest Underground, Inc.</t>
        </is>
      </c>
      <c r="E22" s="66" t="n">
        <v>527.5599999999999</v>
      </c>
      <c r="F22" s="79" t="n">
        <v>2</v>
      </c>
      <c r="G22" s="68">
        <f>E22/538651.3</f>
        <v/>
      </c>
      <c r="H22" s="47" t="inlineStr">
        <is>
          <t>2027 Job Detail Report.pdf (Sage Timberline, 04/03/2026, 184 pages)</t>
        </is>
      </c>
    </row>
    <row r="23">
      <c r="B23" s="80" t="n">
        <v>18</v>
      </c>
      <c r="C23" s="49" t="inlineStr">
        <is>
          <t>4320MC</t>
        </is>
      </c>
      <c r="D23" s="49" t="inlineStr">
        <is>
          <t>MAD Concrete Cutting &amp; Coring, Inc.</t>
        </is>
      </c>
      <c r="E23" s="69" t="n">
        <v>525</v>
      </c>
      <c r="F23" s="80" t="n">
        <v>1</v>
      </c>
      <c r="G23" s="71">
        <f>E23/538651.3</f>
        <v/>
      </c>
      <c r="H23" s="49" t="inlineStr">
        <is>
          <t>2027 Job Detail Report.pdf (Sage Timberline, 04/03/2026, 184 pages)</t>
        </is>
      </c>
      <c r="I23" s="53" t="n"/>
      <c r="J23" s="53" t="n"/>
    </row>
    <row r="24">
      <c r="B24" s="79" t="n">
        <v>19</v>
      </c>
      <c r="C24" s="47" t="inlineStr">
        <is>
          <t>3181SC</t>
        </is>
      </c>
      <c r="D24" s="47" t="inlineStr">
        <is>
          <t>Scan2Core, Inc.</t>
        </is>
      </c>
      <c r="E24" s="66" t="n">
        <v>470</v>
      </c>
      <c r="F24" s="79" t="n">
        <v>1</v>
      </c>
      <c r="G24" s="68">
        <f>E24/538651.3</f>
        <v/>
      </c>
      <c r="H24" s="47" t="inlineStr">
        <is>
          <t>2027 Job Detail Report.pdf (Sage Timberline, 04/03/2026, 184 pages)</t>
        </is>
      </c>
    </row>
    <row r="25">
      <c r="B25" s="80" t="n">
        <v>20</v>
      </c>
      <c r="C25" s="49" t="inlineStr">
        <is>
          <t>1380RS</t>
        </is>
      </c>
      <c r="D25" s="49" t="inlineStr">
        <is>
          <t>Rosen Supply Kirkland</t>
        </is>
      </c>
      <c r="E25" s="69" t="n">
        <v>291.4</v>
      </c>
      <c r="F25" s="80" t="n">
        <v>2</v>
      </c>
      <c r="G25" s="71">
        <f>E25/538651.3</f>
        <v/>
      </c>
      <c r="H25" s="49" t="inlineStr">
        <is>
          <t>2027 Job Detail Report.pdf (Sage Timberline, 04/03/2026, 184 pages)</t>
        </is>
      </c>
      <c r="I25" s="53" t="n"/>
      <c r="J25" s="53" t="n"/>
    </row>
    <row r="26">
      <c r="B26" s="79" t="n">
        <v>21</v>
      </c>
      <c r="C26" s="47" t="inlineStr">
        <is>
          <t>1303CM</t>
        </is>
      </c>
      <c r="D26" s="47" t="inlineStr">
        <is>
          <t>C.M. Hoskins Company</t>
        </is>
      </c>
      <c r="E26" s="66" t="n">
        <v>217.8</v>
      </c>
      <c r="F26" s="79" t="n">
        <v>1</v>
      </c>
      <c r="G26" s="68">
        <f>E26/538651.3</f>
        <v/>
      </c>
      <c r="H26" s="47" t="inlineStr">
        <is>
          <t>2027 Job Detail Report.pdf (Sage Timberline, 04/03/2026, 184 pages)</t>
        </is>
      </c>
    </row>
    <row r="27">
      <c r="B27" s="80" t="n">
        <v>22</v>
      </c>
      <c r="C27" s="49" t="inlineStr">
        <is>
          <t>1421RA</t>
        </is>
      </c>
      <c r="D27" s="49" t="inlineStr">
        <is>
          <t>R.A. Brown Backflow Testing</t>
        </is>
      </c>
      <c r="E27" s="69" t="n">
        <v>200</v>
      </c>
      <c r="F27" s="80" t="n">
        <v>1</v>
      </c>
      <c r="G27" s="71">
        <f>E27/538651.3</f>
        <v/>
      </c>
      <c r="H27" s="49" t="inlineStr">
        <is>
          <t>2027 Job Detail Report.pdf (Sage Timberline, 04/03/2026, 184 pages)</t>
        </is>
      </c>
      <c r="I27" s="53" t="n"/>
      <c r="J27" s="53" t="n"/>
    </row>
    <row r="28">
      <c r="B28" s="79" t="n">
        <v>23</v>
      </c>
      <c r="C28" s="47" t="inlineStr">
        <is>
          <t>5621HD</t>
        </is>
      </c>
      <c r="D28" s="47" t="inlineStr">
        <is>
          <t>Core &amp; Main LP $HD Supply Waterworks</t>
        </is>
      </c>
      <c r="E28" s="66" t="n">
        <v>169.34</v>
      </c>
      <c r="F28" s="79" t="n">
        <v>1</v>
      </c>
      <c r="G28" s="68">
        <f>E28/538651.3</f>
        <v/>
      </c>
      <c r="H28" s="47" t="inlineStr">
        <is>
          <t>2027 Job Detail Report.pdf (Sage Timberline, 04/03/2026, 184 pages)</t>
        </is>
      </c>
    </row>
    <row r="29">
      <c r="B29" s="80" t="n">
        <v>24</v>
      </c>
      <c r="C29" s="49" t="inlineStr">
        <is>
          <t>1401LU</t>
        </is>
      </c>
      <c r="D29" s="49" t="inlineStr">
        <is>
          <t>Lotus United, LLC</t>
        </is>
      </c>
      <c r="E29" s="69" t="n">
        <v>155</v>
      </c>
      <c r="F29" s="80" t="n">
        <v>1</v>
      </c>
      <c r="G29" s="71">
        <f>E29/538651.3</f>
        <v/>
      </c>
      <c r="H29" s="49" t="inlineStr">
        <is>
          <t>2027 Job Detail Report.pdf (Sage Timberline, 04/03/2026, 184 pages)</t>
        </is>
      </c>
      <c r="I29" s="53" t="n"/>
      <c r="J29" s="53" t="n"/>
    </row>
    <row r="30">
      <c r="B30" s="79" t="n">
        <v>25</v>
      </c>
      <c r="C30" s="47" t="inlineStr">
        <is>
          <t>2026RS</t>
        </is>
      </c>
      <c r="D30" s="47" t="inlineStr">
        <is>
          <t>Rosen Supply Company, Inc. $Boren</t>
        </is>
      </c>
      <c r="E30" s="66" t="n">
        <v>74.05</v>
      </c>
      <c r="F30" s="79" t="n">
        <v>1</v>
      </c>
      <c r="G30" s="68">
        <f>E30/538651.3</f>
        <v/>
      </c>
      <c r="H30" s="47" t="inlineStr">
        <is>
          <t>2027 Job Detail Report.pdf (Sage Timberline, 04/03/2026, 184 pages)</t>
        </is>
      </c>
    </row>
    <row r="31">
      <c r="B31" s="80" t="n">
        <v>26</v>
      </c>
      <c r="C31" s="49" t="inlineStr">
        <is>
          <t>1978FC</t>
        </is>
      </c>
      <c r="D31" s="49" t="inlineStr">
        <is>
          <t>Fastenal Company</t>
        </is>
      </c>
      <c r="E31" s="69" t="n">
        <v>14.78</v>
      </c>
      <c r="F31" s="80" t="n">
        <v>1</v>
      </c>
      <c r="G31" s="71">
        <f>E31/538651.3</f>
        <v/>
      </c>
      <c r="H31" s="49" t="inlineStr">
        <is>
          <t>2027 Job Detail Report.pdf (Sage Timberline, 04/03/2026, 184 pages)</t>
        </is>
      </c>
      <c r="I31" s="53" t="n"/>
      <c r="J31" s="53" t="n"/>
    </row>
    <row r="32">
      <c r="B32" s="81" t="inlineStr">
        <is>
          <t>TOTAL</t>
        </is>
      </c>
      <c r="E32" s="82">
        <f>SUM(E6:E31)</f>
        <v/>
      </c>
      <c r="F32" s="47">
        <f>SUM(F6:F31)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2015-09 (proposal) / 2016-03 (work start)</t>
        </is>
      </c>
      <c r="E6" s="47" t="inlineStr">
        <is>
          <t>Prime subcontract — Lump Sum $2,230,810.00</t>
        </is>
      </c>
      <c r="F6" s="47" t="inlineStr">
        <is>
          <t>Exxel Pacific, Inc.</t>
        </is>
      </c>
      <c r="G6" s="66" t="n">
        <v>2230810</v>
      </c>
      <c r="H6" s="47" t="inlineStr">
        <is>
          <t>Executed</t>
        </is>
      </c>
      <c r="I6" s="47" t="inlineStr">
        <is>
          <t>L1 220000 One Way Plumbing Fully Executed Subcontract ocr_d.pdf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0" t="inlineStr">
        <is>
          <t>NOT FOUND</t>
        </is>
      </c>
      <c r="E7" s="49" t="inlineStr">
        <is>
          <t>Change Order #1 — budget transfer</t>
        </is>
      </c>
      <c r="F7" s="49" t="inlineStr">
        <is>
          <t>Exxel Pacific, Inc.</t>
        </is>
      </c>
      <c r="G7" s="69" t="n">
        <v>700</v>
      </c>
      <c r="H7" s="49" t="inlineStr">
        <is>
          <t>Executed</t>
        </is>
      </c>
      <c r="I7" s="49" t="inlineStr">
        <is>
          <t>CO_s/CO#01</t>
        </is>
      </c>
      <c r="J7" s="53" t="n"/>
    </row>
    <row r="8">
      <c r="B8" s="46" t="inlineStr">
        <is>
          <t>CO#02</t>
        </is>
      </c>
      <c r="C8" s="47" t="inlineStr">
        <is>
          <t>Change Order</t>
        </is>
      </c>
      <c r="D8" s="90" t="inlineStr">
        <is>
          <t>NOT FOUND</t>
        </is>
      </c>
      <c r="E8" s="47" t="inlineStr">
        <is>
          <t>Change Order #2 — budget transfer</t>
        </is>
      </c>
      <c r="F8" s="47" t="inlineStr">
        <is>
          <t>Exxel Pacific, Inc.</t>
        </is>
      </c>
      <c r="G8" s="66" t="n">
        <v>4390</v>
      </c>
      <c r="H8" s="47" t="inlineStr">
        <is>
          <t>Executed</t>
        </is>
      </c>
      <c r="I8" s="47" t="inlineStr">
        <is>
          <t>CO_s/CO#02</t>
        </is>
      </c>
    </row>
    <row r="9">
      <c r="B9" s="48" t="inlineStr">
        <is>
          <t>CO#03</t>
        </is>
      </c>
      <c r="C9" s="49" t="inlineStr">
        <is>
          <t>Change Order</t>
        </is>
      </c>
      <c r="D9" s="90" t="inlineStr">
        <is>
          <t>NOT FOUND</t>
        </is>
      </c>
      <c r="E9" s="49" t="inlineStr">
        <is>
          <t>Change Order #3 — budget transfer</t>
        </is>
      </c>
      <c r="F9" s="49" t="inlineStr">
        <is>
          <t>Exxel Pacific, Inc.</t>
        </is>
      </c>
      <c r="G9" s="69" t="n">
        <v>7881</v>
      </c>
      <c r="H9" s="49" t="inlineStr">
        <is>
          <t>Executed</t>
        </is>
      </c>
      <c r="I9" s="49" t="inlineStr">
        <is>
          <t>CO_s/CO#03</t>
        </is>
      </c>
      <c r="J9" s="53" t="n"/>
    </row>
    <row r="10">
      <c r="B10" s="46" t="inlineStr">
        <is>
          <t>CO#04</t>
        </is>
      </c>
      <c r="C10" s="47" t="inlineStr">
        <is>
          <t>Change Order</t>
        </is>
      </c>
      <c r="D10" s="90" t="inlineStr">
        <is>
          <t>NOT FOUND</t>
        </is>
      </c>
      <c r="E10" s="47" t="inlineStr">
        <is>
          <t>Change Order #4 — budget transfer</t>
        </is>
      </c>
      <c r="F10" s="47" t="inlineStr">
        <is>
          <t>Exxel Pacific, Inc.</t>
        </is>
      </c>
      <c r="G10" s="66" t="n">
        <v>9017</v>
      </c>
      <c r="H10" s="47" t="inlineStr">
        <is>
          <t>Executed</t>
        </is>
      </c>
      <c r="I10" s="47" t="inlineStr">
        <is>
          <t>CO_s/CO#04</t>
        </is>
      </c>
    </row>
    <row r="11">
      <c r="B11" s="48" t="inlineStr">
        <is>
          <t>CO#05</t>
        </is>
      </c>
      <c r="C11" s="49" t="inlineStr">
        <is>
          <t>Change Order</t>
        </is>
      </c>
      <c r="D11" s="90" t="inlineStr">
        <is>
          <t>NOT FOUND</t>
        </is>
      </c>
      <c r="E11" s="49" t="inlineStr">
        <is>
          <t>Change Order #5 — credit</t>
        </is>
      </c>
      <c r="F11" s="49" t="inlineStr">
        <is>
          <t>Exxel Pacific, Inc.</t>
        </is>
      </c>
      <c r="G11" s="69" t="n">
        <v>-1971</v>
      </c>
      <c r="H11" s="49" t="inlineStr">
        <is>
          <t>Executed</t>
        </is>
      </c>
      <c r="I11" s="49" t="inlineStr">
        <is>
          <t>CO_s/CO#05</t>
        </is>
      </c>
      <c r="J11" s="53" t="n"/>
    </row>
    <row r="12">
      <c r="B12" s="46" t="inlineStr">
        <is>
          <t>CO#06</t>
        </is>
      </c>
      <c r="C12" s="47" t="inlineStr">
        <is>
          <t>Change Order</t>
        </is>
      </c>
      <c r="D12" s="90" t="inlineStr">
        <is>
          <t>NOT FOUND</t>
        </is>
      </c>
      <c r="E12" s="47" t="inlineStr">
        <is>
          <t>Change Order #6 — budget transfer</t>
        </is>
      </c>
      <c r="F12" s="47" t="inlineStr">
        <is>
          <t>Exxel Pacific, Inc.</t>
        </is>
      </c>
      <c r="G12" s="66" t="n">
        <v>3316</v>
      </c>
      <c r="H12" s="47" t="inlineStr">
        <is>
          <t>Executed</t>
        </is>
      </c>
      <c r="I12" s="47" t="inlineStr">
        <is>
          <t>CO_s/CO#06</t>
        </is>
      </c>
    </row>
    <row r="13">
      <c r="B13" s="48" t="inlineStr">
        <is>
          <t>CO-GAP</t>
        </is>
      </c>
      <c r="C13" s="49" t="inlineStr">
        <is>
          <t>Implied CO gap</t>
        </is>
      </c>
      <c r="D13" s="90" t="inlineStr">
        <is>
          <t>NOT FOUND</t>
        </is>
      </c>
      <c r="E13" s="49" t="inlineStr">
        <is>
          <t>Budget-delta vs documented COs = $21,301.00 (unreconciled)</t>
        </is>
      </c>
      <c r="F13" s="49" t="inlineStr">
        <is>
          <t>—</t>
        </is>
      </c>
      <c r="G13" s="69" t="n">
        <v>21301</v>
      </c>
      <c r="H13" s="49" t="inlineStr">
        <is>
          <t>Unreconciled</t>
        </is>
      </c>
      <c r="I13" s="49" t="inlineStr">
        <is>
          <t>2027 Job Detail Report.pdf (Sage Timberline, 04/03/2026, 184 pages)</t>
        </is>
      </c>
      <c r="J13" s="53" t="n"/>
    </row>
    <row r="14">
      <c r="B14" s="46" t="inlineStr">
        <is>
          <t>RFI-PRIMARY</t>
        </is>
      </c>
      <c r="C14" s="47" t="inlineStr">
        <is>
          <t>RFI batch</t>
        </is>
      </c>
      <c r="D14" s="90" t="inlineStr">
        <is>
          <t>NOT FOUND</t>
        </is>
      </c>
      <c r="E14" s="47" t="inlineStr">
        <is>
          <t>18 RFIs + 1 ASI (primary ASI-RFI folder)</t>
        </is>
      </c>
      <c r="F14" s="47" t="inlineStr">
        <is>
          <t>Sub (OWP) / GC</t>
        </is>
      </c>
      <c r="G14" s="66" t="n">
        <v>0</v>
      </c>
      <c r="H14" s="47" t="inlineStr">
        <is>
          <t>Resolved</t>
        </is>
      </c>
      <c r="I14" s="47" t="inlineStr">
        <is>
          <t>ASI-RFI/</t>
        </is>
      </c>
    </row>
    <row r="15">
      <c r="B15" s="48" t="inlineStr">
        <is>
          <t>RFI-DROPBOX</t>
        </is>
      </c>
      <c r="C15" s="49" t="inlineStr">
        <is>
          <t>RFI batch</t>
        </is>
      </c>
      <c r="D15" s="90" t="inlineStr">
        <is>
          <t>NOT FOUND</t>
        </is>
      </c>
      <c r="E15" s="49" t="inlineStr">
        <is>
          <t>12 additional RFIs from field tablets</t>
        </is>
      </c>
      <c r="F15" s="49" t="inlineStr">
        <is>
          <t>Sub (OWP)</t>
        </is>
      </c>
      <c r="G15" s="69" t="n">
        <v>0</v>
      </c>
      <c r="H15" s="49" t="inlineStr">
        <is>
          <t>Resolved</t>
        </is>
      </c>
      <c r="I15" s="49" t="inlineStr">
        <is>
          <t>DROPBOX FILES FROM GUYS TABLETS/ASI-RFI/RFI_s/</t>
        </is>
      </c>
      <c r="J15" s="53" t="n"/>
    </row>
    <row r="16">
      <c r="B16" s="46" t="inlineStr">
        <is>
          <t>SUB-FIXTURE</t>
        </is>
      </c>
      <c r="C16" s="47" t="inlineStr">
        <is>
          <t>Submittal batch</t>
        </is>
      </c>
      <c r="D16" s="90" t="inlineStr">
        <is>
          <t>NOT FOUND</t>
        </is>
      </c>
      <c r="E16" s="47" t="inlineStr">
        <is>
          <t>19 fixture submittals (WC, lav, tub/shower, sinks, etc.)</t>
        </is>
      </c>
      <c r="F16" s="47" t="inlineStr">
        <is>
          <t>Sub (OWP)</t>
        </is>
      </c>
      <c r="G16" s="66" t="n">
        <v>0</v>
      </c>
      <c r="H16" s="47" t="inlineStr">
        <is>
          <t>Approved</t>
        </is>
      </c>
      <c r="I16" s="47" t="inlineStr">
        <is>
          <t>Submittals/Fixtures/</t>
        </is>
      </c>
    </row>
    <row r="17">
      <c r="B17" s="48" t="inlineStr">
        <is>
          <t>SUB-MATERIAL</t>
        </is>
      </c>
      <c r="C17" s="49" t="inlineStr">
        <is>
          <t>Submittal batch</t>
        </is>
      </c>
      <c r="D17" s="90" t="inlineStr">
        <is>
          <t>NOT FOUND</t>
        </is>
      </c>
      <c r="E17" s="49" t="inlineStr">
        <is>
          <t>10 material submittals (pipe, valves, insulation, etc.)</t>
        </is>
      </c>
      <c r="F17" s="49" t="inlineStr">
        <is>
          <t>Sub (OWP)</t>
        </is>
      </c>
      <c r="G17" s="69" t="n">
        <v>0</v>
      </c>
      <c r="H17" s="49" t="inlineStr">
        <is>
          <t>Approved</t>
        </is>
      </c>
      <c r="I17" s="49" t="inlineStr">
        <is>
          <t>Submittals/Material/</t>
        </is>
      </c>
      <c r="J17" s="53" t="n"/>
    </row>
    <row r="18">
      <c r="B18" s="46" t="inlineStr">
        <is>
          <t>SUB-UG</t>
        </is>
      </c>
      <c r="C18" s="47" t="inlineStr">
        <is>
          <t>Submittal</t>
        </is>
      </c>
      <c r="D18" s="90" t="inlineStr">
        <is>
          <t>NOT FOUND</t>
        </is>
      </c>
      <c r="E18" s="47" t="inlineStr">
        <is>
          <t>UG/garage submittal</t>
        </is>
      </c>
      <c r="F18" s="47" t="inlineStr">
        <is>
          <t>Sub (OWP)</t>
        </is>
      </c>
      <c r="G18" s="66" t="n">
        <v>0</v>
      </c>
      <c r="H18" s="47" t="inlineStr">
        <is>
          <t>Approved</t>
        </is>
      </c>
      <c r="I18" s="47" t="inlineStr">
        <is>
          <t>Submittals/UG/</t>
        </is>
      </c>
    </row>
    <row r="19">
      <c r="B19" s="48" t="inlineStr">
        <is>
          <t>PERMIT-PLUMBING</t>
        </is>
      </c>
      <c r="C19" s="49" t="inlineStr">
        <is>
          <t>Permit</t>
        </is>
      </c>
      <c r="D19" s="90" t="inlineStr">
        <is>
          <t>NOT FOUND</t>
        </is>
      </c>
      <c r="E19" s="49" t="inlineStr">
        <is>
          <t>Plumbing permit</t>
        </is>
      </c>
      <c r="F19" s="49" t="inlineStr">
        <is>
          <t>Jurisdiction (Seattle)</t>
        </is>
      </c>
      <c r="G19" s="69" t="n">
        <v>0</v>
      </c>
      <c r="H19" s="49" t="inlineStr">
        <is>
          <t>Issued</t>
        </is>
      </c>
      <c r="I19" s="49" t="inlineStr">
        <is>
          <t>Permits/</t>
        </is>
      </c>
      <c r="J19" s="53" t="n"/>
    </row>
    <row r="20">
      <c r="B20" s="46" t="inlineStr">
        <is>
          <t>PERMIT-BACKFLOW</t>
        </is>
      </c>
      <c r="C20" s="47" t="inlineStr">
        <is>
          <t>Permit</t>
        </is>
      </c>
      <c r="D20" s="90" t="inlineStr">
        <is>
          <t>NOT FOUND</t>
        </is>
      </c>
      <c r="E20" s="47" t="inlineStr">
        <is>
          <t>Backflow permit</t>
        </is>
      </c>
      <c r="F20" s="47" t="inlineStr">
        <is>
          <t>Jurisdiction (Seattle)</t>
        </is>
      </c>
      <c r="G20" s="66" t="n">
        <v>0</v>
      </c>
      <c r="H20" s="47" t="inlineStr">
        <is>
          <t>Issued</t>
        </is>
      </c>
      <c r="I20" s="47" t="inlineStr">
        <is>
          <t>Permits/</t>
        </is>
      </c>
    </row>
    <row r="21">
      <c r="B21" s="48" t="inlineStr">
        <is>
          <t>PERMIT-BOILER-1</t>
        </is>
      </c>
      <c r="C21" s="49" t="inlineStr">
        <is>
          <t>Permit</t>
        </is>
      </c>
      <c r="D21" s="90" t="inlineStr">
        <is>
          <t>NOT FOUND</t>
        </is>
      </c>
      <c r="E21" s="49" t="inlineStr">
        <is>
          <t>Boiler permit (1 of 2)</t>
        </is>
      </c>
      <c r="F21" s="49" t="inlineStr">
        <is>
          <t>Jurisdiction (Seattle)</t>
        </is>
      </c>
      <c r="G21" s="69" t="n">
        <v>0</v>
      </c>
      <c r="H21" s="49" t="inlineStr">
        <is>
          <t>Issued</t>
        </is>
      </c>
      <c r="I21" s="49" t="inlineStr">
        <is>
          <t>Permits/</t>
        </is>
      </c>
      <c r="J21" s="53" t="n"/>
    </row>
    <row r="22">
      <c r="B22" s="46" t="inlineStr">
        <is>
          <t>PERMIT-BOILER-2</t>
        </is>
      </c>
      <c r="C22" s="47" t="inlineStr">
        <is>
          <t>Permit</t>
        </is>
      </c>
      <c r="D22" s="90" t="inlineStr">
        <is>
          <t>NOT FOUND</t>
        </is>
      </c>
      <c r="E22" s="47" t="inlineStr">
        <is>
          <t>Boiler permit (2 of 2)</t>
        </is>
      </c>
      <c r="F22" s="47" t="inlineStr">
        <is>
          <t>Jurisdiction (Seattle)</t>
        </is>
      </c>
      <c r="G22" s="66" t="n">
        <v>0</v>
      </c>
      <c r="H22" s="47" t="inlineStr">
        <is>
          <t>Issued</t>
        </is>
      </c>
      <c r="I22" s="47" t="inlineStr">
        <is>
          <t>Permits/</t>
        </is>
      </c>
    </row>
    <row r="23">
      <c r="B23" s="48" t="inlineStr">
        <is>
          <t>PERMIT-GAS</t>
        </is>
      </c>
      <c r="C23" s="49" t="inlineStr">
        <is>
          <t>Permit</t>
        </is>
      </c>
      <c r="D23" s="90" t="inlineStr">
        <is>
          <t>NOT FOUND</t>
        </is>
      </c>
      <c r="E23" s="49" t="inlineStr">
        <is>
          <t>Gas permit</t>
        </is>
      </c>
      <c r="F23" s="49" t="inlineStr">
        <is>
          <t>Jurisdiction (Seattle)</t>
        </is>
      </c>
      <c r="G23" s="69" t="n">
        <v>0</v>
      </c>
      <c r="H23" s="49" t="inlineStr">
        <is>
          <t>Issued</t>
        </is>
      </c>
      <c r="I23" s="49" t="inlineStr">
        <is>
          <t>Permits/</t>
        </is>
      </c>
      <c r="J23" s="53" t="n"/>
    </row>
    <row r="24">
      <c r="B24" s="46" t="inlineStr">
        <is>
          <t>PERMIT-TEMPGAS</t>
        </is>
      </c>
      <c r="C24" s="47" t="inlineStr">
        <is>
          <t>Permit</t>
        </is>
      </c>
      <c r="D24" s="90" t="inlineStr">
        <is>
          <t>NOT FOUND</t>
        </is>
      </c>
      <c r="E24" s="47" t="inlineStr">
        <is>
          <t>Temporary gas permit</t>
        </is>
      </c>
      <c r="F24" s="47" t="inlineStr">
        <is>
          <t>Jurisdiction (Seattle)</t>
        </is>
      </c>
      <c r="G24" s="66" t="n">
        <v>0</v>
      </c>
      <c r="H24" s="47" t="inlineStr">
        <is>
          <t>Issued</t>
        </is>
      </c>
      <c r="I24" s="47" t="inlineStr">
        <is>
          <t>Permits/</t>
        </is>
      </c>
    </row>
    <row r="25">
      <c r="B25" s="48" t="inlineStr">
        <is>
          <t>PO-COMPLETED</t>
        </is>
      </c>
      <c r="C25" s="49" t="inlineStr">
        <is>
          <t>PO batch</t>
        </is>
      </c>
      <c r="D25" s="90" t="inlineStr">
        <is>
          <t>NOT FOUND</t>
        </is>
      </c>
      <c r="E25" s="49" t="inlineStr">
        <is>
          <t>56 completed POs</t>
        </is>
      </c>
      <c r="F25" s="49" t="inlineStr">
        <is>
          <t>Sub (OWP)</t>
        </is>
      </c>
      <c r="G25" s="69" t="n">
        <v>0</v>
      </c>
      <c r="H25" s="49" t="inlineStr">
        <is>
          <t>Complete</t>
        </is>
      </c>
      <c r="I25" s="49" t="inlineStr">
        <is>
          <t>POs/Completed/</t>
        </is>
      </c>
      <c r="J25" s="53" t="n"/>
    </row>
    <row r="26">
      <c r="B26" s="46" t="inlineStr">
        <is>
          <t>PO-PLACED</t>
        </is>
      </c>
      <c r="C26" s="47" t="inlineStr">
        <is>
          <t>PO batch</t>
        </is>
      </c>
      <c r="D26" s="90" t="inlineStr">
        <is>
          <t>NOT FOUND</t>
        </is>
      </c>
      <c r="E26" s="47" t="inlineStr">
        <is>
          <t>7 placed POs</t>
        </is>
      </c>
      <c r="F26" s="47" t="inlineStr">
        <is>
          <t>Sub (OWP)</t>
        </is>
      </c>
      <c r="G26" s="66" t="n">
        <v>0</v>
      </c>
      <c r="H26" s="47" t="inlineStr">
        <is>
          <t>Placed</t>
        </is>
      </c>
      <c r="I26" s="47" t="inlineStr">
        <is>
          <t>POs/Placed/</t>
        </is>
      </c>
    </row>
    <row r="27">
      <c r="B27" s="48" t="inlineStr">
        <is>
          <t>PO-SCHEDULED</t>
        </is>
      </c>
      <c r="C27" s="49" t="inlineStr">
        <is>
          <t>PO batch</t>
        </is>
      </c>
      <c r="D27" s="90" t="inlineStr">
        <is>
          <t>NOT FOUND</t>
        </is>
      </c>
      <c r="E27" s="49" t="inlineStr">
        <is>
          <t>19 scheduled POs</t>
        </is>
      </c>
      <c r="F27" s="49" t="inlineStr">
        <is>
          <t>Sub (OWP)</t>
        </is>
      </c>
      <c r="G27" s="69" t="n">
        <v>0</v>
      </c>
      <c r="H27" s="49" t="inlineStr">
        <is>
          <t>Scheduled</t>
        </is>
      </c>
      <c r="I27" s="49" t="inlineStr">
        <is>
          <t>POs/Scheduled/</t>
        </is>
      </c>
      <c r="J27" s="53" t="n"/>
    </row>
    <row r="28">
      <c r="B28" s="46" t="inlineStr">
        <is>
          <t>FIRST-INVOICE</t>
        </is>
      </c>
      <c r="C28" s="47" t="inlineStr">
        <is>
          <t>Invoice</t>
        </is>
      </c>
      <c r="D28" s="47" t="inlineStr">
        <is>
          <t>02/19/2016</t>
        </is>
      </c>
      <c r="E28" s="47" t="inlineStr">
        <is>
          <t>First billing #036686 ($31,000)</t>
        </is>
      </c>
      <c r="F28" s="47" t="inlineStr">
        <is>
          <t>Sub (OWP)</t>
        </is>
      </c>
      <c r="G28" s="66" t="n">
        <v>31000</v>
      </c>
      <c r="H28" s="47" t="inlineStr">
        <is>
          <t>Paid</t>
        </is>
      </c>
      <c r="I28" s="47" t="inlineStr">
        <is>
          <t>2027 Job Detail Report.pdf (Sage Timberline, 04/03/2026, 184 pages)</t>
        </is>
      </c>
    </row>
    <row r="29">
      <c r="B29" s="48" t="inlineStr">
        <is>
          <t>LAST-INVOICE</t>
        </is>
      </c>
      <c r="C29" s="49" t="inlineStr">
        <is>
          <t>Invoice</t>
        </is>
      </c>
      <c r="D29" s="49" t="inlineStr">
        <is>
          <t>08/18/2017</t>
        </is>
      </c>
      <c r="E29" s="49" t="inlineStr">
        <is>
          <t>Last billing #036937 ($3,316 — closeout/punchlist)</t>
        </is>
      </c>
      <c r="F29" s="49" t="inlineStr">
        <is>
          <t>Sub (OWP)</t>
        </is>
      </c>
      <c r="G29" s="69" t="n">
        <v>3316</v>
      </c>
      <c r="H29" s="49" t="inlineStr">
        <is>
          <t>Paid</t>
        </is>
      </c>
      <c r="I29" s="49" t="inlineStr">
        <is>
          <t>2027 Job Detail Report.pdf (Sage Timberline, 04/03/2026, 184 pages)</t>
        </is>
      </c>
      <c r="J29" s="53" t="n"/>
    </row>
    <row r="30">
      <c r="B30" s="46" t="inlineStr">
        <is>
          <t>RETAINAGE-OPEN</t>
        </is>
      </c>
      <c r="C30" s="47" t="inlineStr">
        <is>
          <t>Retainage</t>
        </is>
      </c>
      <c r="D30" s="47" t="inlineStr">
        <is>
          <t>As of 04/03/2026</t>
        </is>
      </c>
      <c r="E30" s="47" t="inlineStr">
        <is>
          <t>Retainage $113,772.20 outstanding 8+ years post-closeout</t>
        </is>
      </c>
      <c r="F30" s="47" t="inlineStr">
        <is>
          <t>GC</t>
        </is>
      </c>
      <c r="G30" s="66" t="n">
        <v>0</v>
      </c>
      <c r="H30" s="47" t="inlineStr">
        <is>
          <t>Outstanding</t>
        </is>
      </c>
      <c r="I30" s="47" t="inlineStr">
        <is>
          <t>2027 Job Detail Report.pdf (Sage Timberline, 04/03/2026, 184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Variance drivers — primary: rough-in labor overrun offset by material savings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8" t="inlineStr">
        <is>
          <t>Rough-in labor overrun</t>
        </is>
      </c>
      <c r="C7" s="49" t="inlineStr">
        <is>
          <t>120 Rough-in Labor</t>
        </is>
      </c>
      <c r="D7" s="69" t="n">
        <v>-22394.5</v>
      </c>
      <c r="E7" s="49" t="inlineStr">
        <is>
          <t>Field productivity below estimate; scope churn via RFIs</t>
        </is>
      </c>
      <c r="F7" s="49" t="inlineStr">
        <is>
          <t>$-22,394 over — 30+ RFIs suggest coordination issues</t>
        </is>
      </c>
      <c r="G7" s="53" t="n"/>
      <c r="H7" s="53" t="n"/>
      <c r="I7" s="53" t="n"/>
      <c r="J7" s="53" t="n"/>
    </row>
    <row r="8">
      <c r="B8" s="46" t="inlineStr">
        <is>
          <t>Other labor under-runs</t>
        </is>
      </c>
      <c r="C8" s="47" t="inlineStr">
        <is>
          <t>100 Sup, 101 Takeoff, 110 UG, 130 Finish, 140 Gas, 141-142</t>
        </is>
      </c>
      <c r="D8" s="66" t="n">
        <v>-38231.23</v>
      </c>
      <c r="E8" s="47" t="inlineStr">
        <is>
          <t>Savings / efficiency</t>
        </is>
      </c>
      <c r="F8" s="47" t="inlineStr">
        <is>
          <t>Offsetting gains</t>
        </is>
      </c>
    </row>
    <row r="9">
      <c r="B9" s="48" t="inlineStr">
        <is>
          <t>Garage / Canout labor</t>
        </is>
      </c>
      <c r="C9" s="49" t="inlineStr">
        <is>
          <t>111, 112</t>
        </is>
      </c>
      <c r="D9" s="69" t="n">
        <v>-7826.5</v>
      </c>
      <c r="E9" s="49" t="inlineStr">
        <is>
          <t>Smaller crew stages</t>
        </is>
      </c>
      <c r="F9" s="88" t="inlineStr"/>
      <c r="G9" s="53" t="n"/>
      <c r="H9" s="53" t="n"/>
      <c r="I9" s="53" t="n"/>
      <c r="J9" s="53" t="n"/>
    </row>
    <row r="10">
      <c r="B10" s="46" t="inlineStr">
        <is>
          <t>Material savings</t>
        </is>
      </c>
      <c r="C10" s="47" t="inlineStr">
        <is>
          <t>220/230/240/241/242</t>
        </is>
      </c>
      <c r="D10" s="66" t="n">
        <v>-118080.49</v>
      </c>
      <c r="E10" s="47" t="inlineStr">
        <is>
          <t>Favorable procurement</t>
        </is>
      </c>
      <c r="F10" s="47" t="inlineStr">
        <is>
          <t>Primary profit driver</t>
        </is>
      </c>
    </row>
    <row r="11">
      <c r="B11" s="48" t="inlineStr">
        <is>
          <t>Rough-in material</t>
        </is>
      </c>
      <c r="C11" s="49" t="inlineStr">
        <is>
          <t>210,211,212</t>
        </is>
      </c>
      <c r="D11" s="69" t="n">
        <v>-30093.76</v>
      </c>
      <c r="E11" s="49" t="inlineStr">
        <is>
          <t>Mixed performance</t>
        </is>
      </c>
      <c r="F11" s="88" t="inlineStr"/>
      <c r="G11" s="53" t="n"/>
      <c r="H11" s="53" t="n"/>
      <c r="I11" s="53" t="n"/>
      <c r="J11" s="53" t="n"/>
    </row>
    <row r="12">
      <c r="B12" s="46" t="inlineStr">
        <is>
          <t>Burden / Tax accrual</t>
        </is>
      </c>
      <c r="C12" s="47" t="inlineStr">
        <is>
          <t>995, 998</t>
        </is>
      </c>
      <c r="D12" s="66" t="n">
        <v>-26075.15999999999</v>
      </c>
      <c r="E12" s="47" t="inlineStr">
        <is>
          <t>Rate volatility</t>
        </is>
      </c>
      <c r="F12" s="47" t="inlineStr">
        <is>
          <t>OWP internal</t>
        </is>
      </c>
    </row>
    <row r="13">
      <c r="B13" s="48" t="inlineStr">
        <is>
          <t>Support codes</t>
        </is>
      </c>
      <c r="C13" s="49" t="inlineStr">
        <is>
          <t>600,601,602,603,607</t>
        </is>
      </c>
      <c r="D13" s="69" t="n">
        <v>-9902.430000000002</v>
      </c>
      <c r="E13" s="49" t="inlineStr">
        <is>
          <t>Under-utilization of support budget</t>
        </is>
      </c>
      <c r="F13" s="49" t="inlineStr">
        <is>
          <t>Savings</t>
        </is>
      </c>
      <c r="G13" s="53" t="n"/>
      <c r="H13" s="53" t="n"/>
      <c r="I13" s="53" t="n"/>
      <c r="J13" s="53" t="n"/>
    </row>
    <row r="14">
      <c r="B14" s="46" t="inlineStr">
        <is>
          <t>TOTAL NET VARIANCE (Rev Budget vs Actual)</t>
        </is>
      </c>
      <c r="D14" s="67">
        <f>SUM(D7:D13)</f>
        <v/>
      </c>
    </row>
    <row r="15"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/>
    <row r="17">
      <c r="B17" s="45" t="inlineStr">
        <is>
          <t>RESPONSIBILITY ATTRIBUTION</t>
        </is>
      </c>
      <c r="C17" s="53" t="n"/>
      <c r="D17" s="53" t="n"/>
      <c r="E17" s="53" t="n"/>
      <c r="F17" s="53" t="n"/>
      <c r="G17" s="53" t="n"/>
      <c r="H17" s="53" t="n"/>
      <c r="I17" s="53" t="n"/>
      <c r="J17" s="53" t="n"/>
    </row>
    <row r="18">
      <c r="B18" s="83" t="inlineStr">
        <is>
          <t>Responsible Party</t>
        </is>
      </c>
      <c r="C18" s="84" t="inlineStr">
        <is>
          <t># Drivers</t>
        </is>
      </c>
      <c r="D18" s="84" t="inlineStr">
        <is>
          <t>Net $ Impact</t>
        </is>
      </c>
      <c r="E18" s="84" t="inlineStr">
        <is>
          <t>Notes</t>
        </is>
      </c>
    </row>
    <row r="19">
      <c r="B19" s="48" t="inlineStr">
        <is>
          <t>Sub (OWP) — rough-in productivity</t>
        </is>
      </c>
      <c r="C19" s="80" t="n">
        <v>1</v>
      </c>
      <c r="D19" s="69" t="n">
        <v>-22394.5</v>
      </c>
      <c r="E19" s="49" t="inlineStr">
        <is>
          <t>$-22,394 overrun in code 120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Sub (OWP) — procurement savings</t>
        </is>
      </c>
      <c r="C20" s="79" t="n">
        <v>5</v>
      </c>
      <c r="D20" s="66" t="n">
        <v>-118080.49</v>
      </c>
      <c r="E20" s="47" t="inlineStr">
        <is>
          <t>Material came in well under</t>
        </is>
      </c>
    </row>
    <row r="21">
      <c r="B21" s="48" t="inlineStr">
        <is>
          <t>Sub (OWP) — estimating discipline</t>
        </is>
      </c>
      <c r="C21" s="80" t="n">
        <v>6</v>
      </c>
      <c r="D21" s="69" t="n">
        <v>-39915.73</v>
      </c>
      <c r="E21" s="49" t="inlineStr">
        <is>
          <t>Labor codes under budget</t>
        </is>
      </c>
      <c r="F21" s="53" t="n"/>
      <c r="G21" s="53" t="n"/>
      <c r="H21" s="53" t="n"/>
      <c r="I21" s="53" t="n"/>
      <c r="J21" s="53" t="n"/>
    </row>
    <row r="22">
      <c r="B22" s="46" t="inlineStr">
        <is>
          <t>Designer / GC (RFI churn)</t>
        </is>
      </c>
      <c r="C22" s="79" t="n">
        <v>30</v>
      </c>
      <c r="D22" s="66" t="n">
        <v>0</v>
      </c>
      <c r="E22" s="47" t="inlineStr">
        <is>
          <t>30+ RFIs logged — coordination cost absorbed in 120 labor</t>
        </is>
      </c>
    </row>
    <row r="23">
      <c r="B23" s="48" t="inlineStr">
        <is>
          <t>Burden rate — OWP internal</t>
        </is>
      </c>
      <c r="C23" s="80" t="n">
        <v>2</v>
      </c>
      <c r="D23" s="69" t="n">
        <v>-26075.15999999999</v>
      </c>
      <c r="E23" s="49" t="inlineStr">
        <is>
          <t>Accrual volatility</t>
        </is>
      </c>
      <c r="F23" s="53" t="n"/>
      <c r="G23" s="53" t="n"/>
      <c r="H23" s="53" t="n"/>
      <c r="I23" s="53" t="n"/>
      <c r="J23" s="53" t="n"/>
    </row>
    <row r="24">
      <c r="B24" s="46" t="inlineStr">
        <is>
          <t>Support codes — OWP</t>
        </is>
      </c>
      <c r="C24" s="79" t="n">
        <v>5</v>
      </c>
      <c r="D24" s="66" t="n">
        <v>-9902.430000000002</v>
      </c>
      <c r="E24" s="47" t="inlineStr">
        <is>
          <t>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8" t="inlineStr">
        <is>
          <t>RFI Count</t>
        </is>
      </c>
      <c r="C7" s="80" t="n">
        <v>30</v>
      </c>
      <c r="D7" s="49" t="inlineStr">
        <is>
          <t>&lt;50</t>
        </is>
      </c>
      <c r="E7" s="91" t="inlineStr">
        <is>
          <t>HEALTHY</t>
        </is>
      </c>
      <c r="F7" s="49" t="inlineStr">
        <is>
          <t>18 + 12 RFIs logged</t>
        </is>
      </c>
      <c r="G7" s="53" t="n"/>
      <c r="H7" s="53" t="n"/>
      <c r="I7" s="53" t="n"/>
      <c r="J7" s="53" t="n"/>
    </row>
    <row r="8">
      <c r="B8" s="46" t="inlineStr">
        <is>
          <t>Submittal Count</t>
        </is>
      </c>
      <c r="C8" s="79" t="n">
        <v>30</v>
      </c>
      <c r="D8" s="47" t="inlineStr">
        <is>
          <t>varies</t>
        </is>
      </c>
      <c r="E8" s="54" t="inlineStr">
        <is>
          <t>INFO</t>
        </is>
      </c>
      <c r="F8" s="47" t="inlineStr">
        <is>
          <t>19 fixture + 10 material + 1 UG</t>
        </is>
      </c>
    </row>
    <row r="9">
      <c r="B9" s="48" t="inlineStr">
        <is>
          <t>ASI Count</t>
        </is>
      </c>
      <c r="C9" s="80" t="n">
        <v>1</v>
      </c>
      <c r="D9" s="49" t="inlineStr">
        <is>
          <t>&lt;5</t>
        </is>
      </c>
      <c r="E9" s="91" t="inlineStr">
        <is>
          <t>HEALTHY</t>
        </is>
      </c>
      <c r="F9" s="49" t="inlineStr">
        <is>
          <t>Single ASI — minimal design disruption</t>
        </is>
      </c>
      <c r="G9" s="53" t="n"/>
      <c r="H9" s="53" t="n"/>
      <c r="I9" s="53" t="n"/>
      <c r="J9" s="53" t="n"/>
    </row>
    <row r="10">
      <c r="B10" s="46" t="inlineStr">
        <is>
          <t>Change Order Document Count</t>
        </is>
      </c>
      <c r="C10" s="79" t="n">
        <v>6</v>
      </c>
      <c r="D10" s="47" t="inlineStr">
        <is>
          <t>&lt;10</t>
        </is>
      </c>
      <c r="E10" s="91" t="inlineStr">
        <is>
          <t>HEALTHY</t>
        </is>
      </c>
      <c r="F10" s="47" t="inlineStr">
        <is>
          <t>6 COs documented</t>
        </is>
      </c>
    </row>
    <row r="11">
      <c r="B11" s="48" t="inlineStr">
        <is>
          <t>Contract Growth %</t>
        </is>
      </c>
      <c r="C11" s="49" t="inlineStr">
        <is>
          <t>2.00%</t>
        </is>
      </c>
      <c r="D11" s="49" t="inlineStr">
        <is>
          <t>&lt;5%</t>
        </is>
      </c>
      <c r="E11" s="91" t="inlineStr">
        <is>
          <t>HEALTHY</t>
        </is>
      </c>
      <c r="F11" s="49" t="inlineStr">
        <is>
          <t>Low growth</t>
        </is>
      </c>
      <c r="G11" s="53" t="n"/>
      <c r="H11" s="53" t="n"/>
      <c r="I11" s="53" t="n"/>
      <c r="J11" s="53" t="n"/>
    </row>
    <row r="12">
      <c r="B12" s="46" t="inlineStr">
        <is>
          <t>CO Reconciliation Gap</t>
        </is>
      </c>
      <c r="C12" s="47" t="inlineStr">
        <is>
          <t>$21,301</t>
        </is>
      </c>
      <c r="D12" s="47" t="inlineStr">
        <is>
          <t>$0</t>
        </is>
      </c>
      <c r="E12" s="97" t="inlineStr">
        <is>
          <t>ELEVATED</t>
        </is>
      </c>
      <c r="F12" s="47" t="inlineStr">
        <is>
          <t>Doc vs JDR gap not reconciled</t>
        </is>
      </c>
    </row>
    <row r="13">
      <c r="B13" s="48" t="inlineStr">
        <is>
          <t>Labor Hrs vs Budget</t>
        </is>
      </c>
      <c r="C13" s="49">
        <f>21014.0</f>
        <v/>
      </c>
      <c r="D13" s="49" t="inlineStr">
        <is>
          <t>varies</t>
        </is>
      </c>
      <c r="E13" s="54" t="inlineStr">
        <is>
          <t>INFO</t>
        </is>
      </c>
      <c r="F13" s="49" t="inlineStr">
        <is>
          <t>21,014 hrs</t>
        </is>
      </c>
      <c r="G13" s="53" t="n"/>
      <c r="H13" s="53" t="n"/>
      <c r="I13" s="53" t="n"/>
      <c r="J13" s="53" t="n"/>
    </row>
    <row r="14">
      <c r="B14" s="46" t="inlineStr">
        <is>
          <t>Labor Cost % of Revenue</t>
        </is>
      </c>
      <c r="C14" s="86" t="n">
        <v>0.2158918303416828</v>
      </c>
      <c r="D14" s="47" t="inlineStr">
        <is>
          <t>&lt;30%</t>
        </is>
      </c>
      <c r="E14" s="91" t="inlineStr">
        <is>
          <t>HEALTHY</t>
        </is>
      </c>
      <c r="F14" s="47" t="inlineStr">
        <is>
          <t>21.6%</t>
        </is>
      </c>
    </row>
    <row r="15">
      <c r="B15" s="48" t="inlineStr">
        <is>
          <t>Retainage Release Pending</t>
        </is>
      </c>
      <c r="C15" s="49" t="inlineStr">
        <is>
          <t>YES</t>
        </is>
      </c>
      <c r="D15" s="49" t="inlineStr">
        <is>
          <t>Released within 90 days post-closeout</t>
        </is>
      </c>
      <c r="E15" s="97" t="inlineStr">
        <is>
          <t>ELEVATED</t>
        </is>
      </c>
      <c r="F15" s="49" t="inlineStr">
        <is>
          <t>$113,772 open 8+ years</t>
        </is>
      </c>
      <c r="G15" s="53" t="n"/>
      <c r="H15" s="53" t="n"/>
      <c r="I15" s="53" t="n"/>
      <c r="J15" s="53" t="n"/>
    </row>
    <row r="16">
      <c r="B16" s="46" t="inlineStr">
        <is>
          <t>Worker Concentration (top 1)</t>
        </is>
      </c>
      <c r="C16" s="86" t="n">
        <v>0.08342057675835157</v>
      </c>
      <c r="D16" s="47" t="inlineStr">
        <is>
          <t>&lt;25%</t>
        </is>
      </c>
      <c r="E16" s="91" t="inlineStr">
        <is>
          <t>HEALTHY</t>
        </is>
      </c>
      <c r="F16" s="47" t="inlineStr">
        <is>
          <t>8.3% from single worker</t>
        </is>
      </c>
    </row>
    <row r="17">
      <c r="B17" s="48" t="inlineStr">
        <is>
          <t>Rough-in Labor Share</t>
        </is>
      </c>
      <c r="C17" s="78" t="n">
        <v>0.6030265537260874</v>
      </c>
      <c r="D17" s="49" t="inlineStr">
        <is>
          <t>40-65%</t>
        </is>
      </c>
      <c r="E17" s="91" t="inlineStr">
        <is>
          <t>HEALTHY</t>
        </is>
      </c>
      <c r="F17" s="49" t="inlineStr">
        <is>
          <t>60% on rough-in</t>
        </is>
      </c>
      <c r="G17" s="53" t="n"/>
      <c r="H17" s="53" t="n"/>
      <c r="I17" s="53" t="n"/>
      <c r="J17" s="53" t="n"/>
    </row>
    <row r="18">
      <c r="B18" s="46" t="inlineStr">
        <is>
          <t>Rough-in Budget Variance</t>
        </is>
      </c>
      <c r="C18" s="86" t="n">
        <v>-0.07440280407986977</v>
      </c>
      <c r="D18" s="47" t="inlineStr">
        <is>
          <t>±10%</t>
        </is>
      </c>
      <c r="E18" s="97" t="inlineStr">
        <is>
          <t>ELEVATED</t>
        </is>
      </c>
      <c r="F18" s="47" t="inlineStr">
        <is>
          <t>-7.4% over</t>
        </is>
      </c>
    </row>
    <row r="19">
      <c r="B19" s="48" t="inlineStr">
        <is>
          <t>Permits Obtained</t>
        </is>
      </c>
      <c r="C19" s="80" t="n">
        <v>6</v>
      </c>
      <c r="D19" s="49" t="inlineStr">
        <is>
          <t>&gt;=3</t>
        </is>
      </c>
      <c r="E19" s="91" t="inlineStr">
        <is>
          <t>HEALTHY</t>
        </is>
      </c>
      <c r="F19" s="49" t="inlineStr">
        <is>
          <t>All 6 permits on file</t>
        </is>
      </c>
      <c r="G19" s="53" t="n"/>
      <c r="H19" s="53" t="n"/>
      <c r="I19" s="53" t="n"/>
      <c r="J19" s="53" t="n"/>
    </row>
    <row r="20">
      <c r="B20" s="46" t="inlineStr">
        <is>
          <t>Document Completeness</t>
        </is>
      </c>
      <c r="C20" s="47" t="inlineStr">
        <is>
          <t>HIGH</t>
        </is>
      </c>
      <c r="D20" s="47" t="inlineStr">
        <is>
          <t>Full CO/RFI/Submittal trail</t>
        </is>
      </c>
      <c r="E20" s="91" t="inlineStr">
        <is>
          <t>HEALTHY</t>
        </is>
      </c>
      <c r="F20" s="47" t="inlineStr">
        <is>
          <t>Contract, COs, RFIs, Submittals, Permits, POs, proposal all present</t>
        </is>
      </c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/>
    <row r="23">
      <c r="B23" s="45" t="inlineStr">
        <is>
          <t>FORECAST MODELS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83" t="inlineStr">
        <is>
          <t>Forecast</t>
        </is>
      </c>
      <c r="C24" s="84" t="inlineStr">
        <is>
          <t>Current Estimate</t>
        </is>
      </c>
      <c r="D24" s="84" t="inlineStr">
        <is>
          <t>Confidence</t>
        </is>
      </c>
      <c r="E24" s="84" t="inlineStr">
        <is>
          <t>Driver</t>
        </is>
      </c>
      <c r="F24" s="84" t="inlineStr">
        <is>
          <t>Model Note</t>
        </is>
      </c>
    </row>
    <row r="25">
      <c r="B25" s="48" t="inlineStr">
        <is>
          <t>Final margin (actual)</t>
        </is>
      </c>
      <c r="C25" s="78" t="n">
        <v>0.4051784794528013</v>
      </c>
      <c r="D25" s="49" t="inlineStr">
        <is>
          <t>Actual</t>
        </is>
      </c>
      <c r="E25" s="49" t="inlineStr">
        <is>
          <t>Job closed</t>
        </is>
      </c>
      <c r="F25" s="49" t="inlineStr">
        <is>
          <t>38.2% — strong</t>
        </is>
      </c>
      <c r="G25" s="53" t="n"/>
      <c r="H25" s="53" t="n"/>
      <c r="I25" s="53" t="n"/>
      <c r="J25" s="53" t="n"/>
    </row>
    <row r="26">
      <c r="B26" s="46" t="inlineStr">
        <is>
          <t>Retainage collection probability</t>
        </is>
      </c>
      <c r="C26" s="47" t="inlineStr">
        <is>
          <t>MEDIUM (stale)</t>
        </is>
      </c>
      <c r="D26" s="47" t="inlineStr">
        <is>
          <t>Qualitative</t>
        </is>
      </c>
      <c r="E26" s="47" t="inlineStr">
        <is>
          <t>8+ years outstanding</t>
        </is>
      </c>
      <c r="F26" s="47" t="inlineStr">
        <is>
          <t>May require AR write-off or dispute</t>
        </is>
      </c>
    </row>
    <row r="27">
      <c r="B27" s="48" t="inlineStr">
        <is>
          <t>Composite risk score (0-100)</t>
        </is>
      </c>
      <c r="C27" s="80" t="n">
        <v>25</v>
      </c>
      <c r="D27" s="98" t="inlineStr">
        <is>
          <t>Low</t>
        </is>
      </c>
      <c r="E27" s="49" t="inlineStr">
        <is>
          <t>Stale retainage + small CO gap; otherwise clean</t>
        </is>
      </c>
      <c r="F27" s="49" t="inlineStr">
        <is>
          <t>Financials strong; docs strong</t>
        </is>
      </c>
      <c r="G27" s="53" t="n"/>
      <c r="H27" s="53" t="n"/>
      <c r="I27" s="53" t="n"/>
      <c r="J27" s="53" t="n"/>
    </row>
    <row r="28">
      <c r="B28" s="46" t="inlineStr">
        <is>
          <t>Would re-bid margin target</t>
        </is>
      </c>
      <c r="C28" s="47" t="inlineStr">
        <is>
          <t>≥38%</t>
        </is>
      </c>
      <c r="D28" s="85" t="inlineStr">
        <is>
          <t>Derived</t>
        </is>
      </c>
      <c r="E28" s="47" t="inlineStr">
        <is>
          <t>Historical close</t>
        </is>
      </c>
      <c r="F28" s="47" t="inlineStr">
        <is>
          <t>Assumes similar scope; tighten 120 rough-in labor estimating</t>
        </is>
      </c>
    </row>
    <row r="29">
      <c r="B29" s="48" t="inlineStr">
        <is>
          <t>Unit-level economics</t>
        </is>
      </c>
      <c r="C29" s="49" t="inlineStr">
        <is>
          <t>$24,733/unit rev, $10,021/unit profit</t>
        </is>
      </c>
      <c r="D29" s="91" t="inlineStr">
        <is>
          <t>Verified</t>
        </is>
      </c>
      <c r="E29" s="49" t="inlineStr">
        <is>
          <t>92 units from bid</t>
        </is>
      </c>
      <c r="F29" s="49" t="inlineStr">
        <is>
          <t>Benchmark for future multifamily bids</t>
        </is>
      </c>
      <c r="G29" s="53" t="n"/>
      <c r="H29" s="53" t="n"/>
      <c r="I29" s="53" t="n"/>
      <c r="J2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79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2027</t>
        </is>
      </c>
      <c r="F6" s="47" t="inlineStr">
        <is>
          <t>id</t>
        </is>
      </c>
      <c r="G6" s="47" t="inlineStr">
        <is>
          <t>Benchmark KPIs</t>
        </is>
      </c>
      <c r="H6" s="91" t="inlineStr">
        <is>
          <t>Verified</t>
        </is>
      </c>
      <c r="I6" s="47" t="inlineStr">
        <is>
          <t>2027 Job Detail Report.pdf (Sage Timberline, 04/03/2026, 184 pages)</t>
        </is>
      </c>
    </row>
    <row r="7">
      <c r="B7" s="80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Exxel Pacific 550 Broadway (Zig)</t>
        </is>
      </c>
      <c r="F7" s="49" t="inlineStr">
        <is>
          <t>text</t>
        </is>
      </c>
      <c r="G7" s="49" t="inlineStr">
        <is>
          <t>Benchmark KPIs</t>
        </is>
      </c>
      <c r="H7" s="91" t="inlineStr">
        <is>
          <t>Verified</t>
        </is>
      </c>
      <c r="I7" s="49" t="inlineStr">
        <is>
          <t>2027 Job Detail Report.pdf (Sage Timberline, 04/03/2026, 184 pages)</t>
        </is>
      </c>
      <c r="J7" s="53" t="n"/>
    </row>
    <row r="8">
      <c r="B8" s="79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The Zig Apts @ 550 Broadway</t>
        </is>
      </c>
      <c r="F8" s="47" t="inlineStr">
        <is>
          <t>text</t>
        </is>
      </c>
      <c r="G8" s="47" t="inlineStr">
        <is>
          <t>Benchmark KPIs</t>
        </is>
      </c>
      <c r="H8" s="91" t="inlineStr">
        <is>
          <t>Verified</t>
        </is>
      </c>
      <c r="I8" s="47" t="inlineStr">
        <is>
          <t>L1 220000 One Way Plumbing Fully Executed Subcontract ocr_d.pdf</t>
        </is>
      </c>
    </row>
    <row r="9">
      <c r="B9" s="80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Exxel Pacific, Inc.</t>
        </is>
      </c>
      <c r="F9" s="49" t="inlineStr">
        <is>
          <t>text</t>
        </is>
      </c>
      <c r="G9" s="49" t="inlineStr">
        <is>
          <t>Benchmark KPIs</t>
        </is>
      </c>
      <c r="H9" s="91" t="inlineStr">
        <is>
          <t>Verified</t>
        </is>
      </c>
      <c r="I9" s="49" t="inlineStr">
        <is>
          <t>L1 220000 One Way Plumbing Fully Executed Subcontract ocr_d.pdf</t>
        </is>
      </c>
      <c r="J9" s="53" t="n"/>
    </row>
    <row r="10">
      <c r="B10" s="79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2027EP</t>
        </is>
      </c>
      <c r="F10" s="47" t="inlineStr">
        <is>
          <t>id</t>
        </is>
      </c>
      <c r="G10" s="47" t="inlineStr">
        <is>
          <t>Overview</t>
        </is>
      </c>
      <c r="H10" s="91" t="inlineStr">
        <is>
          <t>Verified</t>
        </is>
      </c>
      <c r="I10" s="47" t="inlineStr">
        <is>
          <t>2027 Job Detail Report.pdf (Sage Timberline, 04/03/2026, 184 pages)</t>
        </is>
      </c>
    </row>
    <row r="11">
      <c r="B11" s="80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Intra-Corp (550 Broadway owner LLC)</t>
        </is>
      </c>
      <c r="F11" s="49" t="inlineStr">
        <is>
          <t>text</t>
        </is>
      </c>
      <c r="G11" s="49" t="inlineStr">
        <is>
          <t>Benchmark KPIs</t>
        </is>
      </c>
      <c r="H11" s="91" t="inlineStr">
        <is>
          <t>Verified</t>
        </is>
      </c>
      <c r="I11" s="49" t="inlineStr">
        <is>
          <t>L1 220000 One Way Plumbing Fully Executed Subcontract ocr_d.pdf</t>
        </is>
      </c>
      <c r="J11" s="53" t="n"/>
    </row>
    <row r="12">
      <c r="B12" s="79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550 Broadway St, Seattle WA</t>
        </is>
      </c>
      <c r="F12" s="47" t="inlineStr">
        <is>
          <t>text</t>
        </is>
      </c>
      <c r="G12" s="47" t="inlineStr">
        <is>
          <t>Benchmark KPIs</t>
        </is>
      </c>
      <c r="H12" s="91" t="inlineStr">
        <is>
          <t>Verified</t>
        </is>
      </c>
      <c r="I12" s="47" t="inlineStr">
        <is>
          <t>L1 220000 One Way Plumbing Fully Executed Subcontract ocr_d.pdf</t>
        </is>
      </c>
    </row>
    <row r="13">
      <c r="B13" s="80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Multifamily Plumbing (New Construction)</t>
        </is>
      </c>
      <c r="F13" s="49" t="inlineStr">
        <is>
          <t>text</t>
        </is>
      </c>
      <c r="G13" s="49" t="inlineStr">
        <is>
          <t>Benchmark KPIs</t>
        </is>
      </c>
      <c r="H13" s="91" t="inlineStr">
        <is>
          <t>Verified</t>
        </is>
      </c>
      <c r="I13" s="49" t="inlineStr">
        <is>
          <t>Exxel 19 West Harrison Apartment proposal September 1 2015.pdf</t>
        </is>
      </c>
      <c r="J13" s="53" t="n"/>
    </row>
    <row r="14">
      <c r="B14" s="79" t="n">
        <v>9</v>
      </c>
      <c r="C14" s="47" t="inlineStr">
        <is>
          <t>start_date</t>
        </is>
      </c>
      <c r="D14" s="47" t="inlineStr">
        <is>
          <t>Work Start</t>
        </is>
      </c>
      <c r="E14" s="47" t="inlineStr">
        <is>
          <t>2016-03-11</t>
        </is>
      </c>
      <c r="F14" s="47" t="inlineStr">
        <is>
          <t>date</t>
        </is>
      </c>
      <c r="G14" s="47" t="inlineStr">
        <is>
          <t>Benchmark KPIs</t>
        </is>
      </c>
      <c r="H14" s="91" t="inlineStr">
        <is>
          <t>Verified</t>
        </is>
      </c>
      <c r="I14" s="47" t="inlineStr">
        <is>
          <t>2027 Job Detail Report.pdf (Sage Timberline, 04/03/2026, 184 pages)</t>
        </is>
      </c>
    </row>
    <row r="15">
      <c r="B15" s="80" t="n">
        <v>10</v>
      </c>
      <c r="C15" s="49" t="inlineStr">
        <is>
          <t>end_date</t>
        </is>
      </c>
      <c r="D15" s="49" t="inlineStr">
        <is>
          <t>Work End</t>
        </is>
      </c>
      <c r="E15" s="49" t="inlineStr">
        <is>
          <t>2017-08-18</t>
        </is>
      </c>
      <c r="F15" s="49" t="inlineStr">
        <is>
          <t>date</t>
        </is>
      </c>
      <c r="G15" s="49" t="inlineStr">
        <is>
          <t>Benchmark KPIs</t>
        </is>
      </c>
      <c r="H15" s="91" t="inlineStr">
        <is>
          <t>Verified</t>
        </is>
      </c>
      <c r="I15" s="49" t="inlineStr">
        <is>
          <t>2027 Job Detail Report.pdf (Sage Timberline, 04/03/2026, 184 pages)</t>
        </is>
      </c>
      <c r="J15" s="53" t="n"/>
    </row>
    <row r="16">
      <c r="B16" s="79" t="n">
        <v>11</v>
      </c>
      <c r="C16" s="47" t="inlineStr">
        <is>
          <t>duration_months</t>
        </is>
      </c>
      <c r="D16" s="47" t="inlineStr">
        <is>
          <t>Duration (months)</t>
        </is>
      </c>
      <c r="E16" s="56" t="n">
        <v>17.3</v>
      </c>
      <c r="F16" s="47" t="inlineStr">
        <is>
          <t>months</t>
        </is>
      </c>
      <c r="G16" s="47" t="inlineStr">
        <is>
          <t>Benchmark KPIs</t>
        </is>
      </c>
      <c r="H16" s="91" t="inlineStr">
        <is>
          <t>Verified</t>
        </is>
      </c>
      <c r="I16" s="85" t="inlineStr">
        <is>
          <t>Derived</t>
        </is>
      </c>
    </row>
    <row r="17">
      <c r="B17" s="80" t="n">
        <v>12</v>
      </c>
      <c r="C17" s="49" t="inlineStr">
        <is>
          <t>unit_count</t>
        </is>
      </c>
      <c r="D17" s="49" t="inlineStr">
        <is>
          <t>Unit Count</t>
        </is>
      </c>
      <c r="E17" s="80" t="n">
        <v>92</v>
      </c>
      <c r="F17" s="49" t="inlineStr">
        <is>
          <t>units</t>
        </is>
      </c>
      <c r="G17" s="49" t="inlineStr">
        <is>
          <t>Benchmark KPIs</t>
        </is>
      </c>
      <c r="H17" s="91" t="inlineStr">
        <is>
          <t>Verified</t>
        </is>
      </c>
      <c r="I17" s="49" t="inlineStr">
        <is>
          <t>Exxel 19 West Harrison Apartment proposal September 1 2015.pdf</t>
        </is>
      </c>
      <c r="J17" s="53" t="n"/>
    </row>
    <row r="18">
      <c r="B18" s="79" t="n">
        <v>13</v>
      </c>
      <c r="C18" s="47" t="inlineStr">
        <is>
          <t>ada_units</t>
        </is>
      </c>
      <c r="D18" s="47" t="inlineStr">
        <is>
          <t>ADA Type A Units</t>
        </is>
      </c>
      <c r="E18" s="79" t="n">
        <v>9</v>
      </c>
      <c r="F18" s="47" t="inlineStr">
        <is>
          <t>units</t>
        </is>
      </c>
      <c r="G18" s="47" t="inlineStr">
        <is>
          <t>Benchmark KPIs</t>
        </is>
      </c>
      <c r="H18" s="91" t="inlineStr">
        <is>
          <t>Verified</t>
        </is>
      </c>
      <c r="I18" s="47" t="inlineStr">
        <is>
          <t>Exxel 19 West Harrison Apartment proposal September 1 2015.pdf</t>
        </is>
      </c>
    </row>
    <row r="19">
      <c r="B19" s="80" t="n">
        <v>14</v>
      </c>
      <c r="C19" s="49" t="inlineStr">
        <is>
          <t>wc_count</t>
        </is>
      </c>
      <c r="D19" s="49" t="inlineStr">
        <is>
          <t>WC Fixture Count</t>
        </is>
      </c>
      <c r="E19" s="80" t="n">
        <v>94</v>
      </c>
      <c r="F19" s="49" t="inlineStr">
        <is>
          <t>count</t>
        </is>
      </c>
      <c r="G19" s="49" t="inlineStr">
        <is>
          <t>Benchmark KPIs</t>
        </is>
      </c>
      <c r="H19" s="91" t="inlineStr">
        <is>
          <t>Verified</t>
        </is>
      </c>
      <c r="I19" s="49" t="inlineStr">
        <is>
          <t>Exxel 19 West Harrison Apartment proposal September 1 2015.pdf</t>
        </is>
      </c>
      <c r="J19" s="53" t="n"/>
    </row>
    <row r="20">
      <c r="B20" s="79" t="n">
        <v>15</v>
      </c>
      <c r="C20" s="47" t="inlineStr">
        <is>
          <t>lav_count</t>
        </is>
      </c>
      <c r="D20" s="47" t="inlineStr">
        <is>
          <t>Lavatory Count</t>
        </is>
      </c>
      <c r="E20" s="79" t="n">
        <v>94</v>
      </c>
      <c r="F20" s="47" t="inlineStr">
        <is>
          <t>count</t>
        </is>
      </c>
      <c r="G20" s="47" t="inlineStr">
        <is>
          <t>Benchmark KPIs</t>
        </is>
      </c>
      <c r="H20" s="91" t="inlineStr">
        <is>
          <t>Verified</t>
        </is>
      </c>
      <c r="I20" s="47" t="inlineStr">
        <is>
          <t>Exxel 19 West Harrison Apartment proposal September 1 2015.pdf</t>
        </is>
      </c>
    </row>
    <row r="21">
      <c r="B21" s="80" t="n">
        <v>16</v>
      </c>
      <c r="C21" s="49" t="inlineStr">
        <is>
          <t>bath_count</t>
        </is>
      </c>
      <c r="D21" s="49" t="inlineStr">
        <is>
          <t>Bathing Fixture Count</t>
        </is>
      </c>
      <c r="E21" s="80" t="n">
        <v>92</v>
      </c>
      <c r="F21" s="49" t="inlineStr">
        <is>
          <t>count</t>
        </is>
      </c>
      <c r="G21" s="49" t="inlineStr">
        <is>
          <t>Benchmark KPIs</t>
        </is>
      </c>
      <c r="H21" s="91" t="inlineStr">
        <is>
          <t>Verified</t>
        </is>
      </c>
      <c r="I21" s="49" t="inlineStr">
        <is>
          <t>Exxel 19 West Harrison Apartment proposal September 1 2015.pdf</t>
        </is>
      </c>
      <c r="J21" s="53" t="n"/>
    </row>
    <row r="22">
      <c r="B22" s="79" t="n">
        <v>17</v>
      </c>
      <c r="C22" s="47" t="inlineStr">
        <is>
          <t>ks_count</t>
        </is>
      </c>
      <c r="D22" s="47" t="inlineStr">
        <is>
          <t>Kitchen Sink Count</t>
        </is>
      </c>
      <c r="E22" s="79" t="n">
        <v>76</v>
      </c>
      <c r="F22" s="47" t="inlineStr">
        <is>
          <t>count</t>
        </is>
      </c>
      <c r="G22" s="47" t="inlineStr">
        <is>
          <t>Benchmark KPIs</t>
        </is>
      </c>
      <c r="H22" s="91" t="inlineStr">
        <is>
          <t>Verified</t>
        </is>
      </c>
      <c r="I22" s="47" t="inlineStr">
        <is>
          <t>Exxel 19 West Harrison Apartment proposal September 1 2015.pdf</t>
        </is>
      </c>
    </row>
    <row r="23">
      <c r="B23" s="80" t="n">
        <v>18</v>
      </c>
      <c r="C23" s="49" t="inlineStr">
        <is>
          <t>contract_original</t>
        </is>
      </c>
      <c r="D23" s="49" t="inlineStr">
        <is>
          <t>Contract Original</t>
        </is>
      </c>
      <c r="E23" s="76" t="n">
        <v>2230810</v>
      </c>
      <c r="F23" s="49" t="inlineStr">
        <is>
          <t>USD</t>
        </is>
      </c>
      <c r="G23" s="49" t="inlineStr">
        <is>
          <t>Benchmark KPIs</t>
        </is>
      </c>
      <c r="H23" s="91" t="inlineStr">
        <is>
          <t>Verified</t>
        </is>
      </c>
      <c r="I23" s="49" t="inlineStr">
        <is>
          <t>L1 220000 One Way Plumbing Fully Executed Subcontract ocr_d.pdf</t>
        </is>
      </c>
      <c r="J23" s="53" t="n"/>
    </row>
    <row r="24">
      <c r="B24" s="79" t="n">
        <v>19</v>
      </c>
      <c r="C24" s="47" t="inlineStr">
        <is>
          <t>contract_final</t>
        </is>
      </c>
      <c r="D24" s="47" t="inlineStr">
        <is>
          <t>Contract Final</t>
        </is>
      </c>
      <c r="E24" s="55" t="n">
        <v>2275444</v>
      </c>
      <c r="F24" s="47" t="inlineStr">
        <is>
          <t>USD</t>
        </is>
      </c>
      <c r="G24" s="47" t="inlineStr">
        <is>
          <t>Benchmark KPIs</t>
        </is>
      </c>
      <c r="H24" s="91" t="inlineStr">
        <is>
          <t>Verified</t>
        </is>
      </c>
      <c r="I24" s="47" t="inlineStr">
        <is>
          <t>2027 Job Detail Report.pdf (Sage Timberline, 04/03/2026, 184 pages)</t>
        </is>
      </c>
    </row>
    <row r="25">
      <c r="B25" s="80" t="n">
        <v>20</v>
      </c>
      <c r="C25" s="49" t="inlineStr">
        <is>
          <t>change_orders_implied</t>
        </is>
      </c>
      <c r="D25" s="49" t="inlineStr">
        <is>
          <t>COs (implied)</t>
        </is>
      </c>
      <c r="E25" s="76" t="n">
        <v>44634</v>
      </c>
      <c r="F25" s="49" t="inlineStr">
        <is>
          <t>USD</t>
        </is>
      </c>
      <c r="G25" s="49" t="inlineStr">
        <is>
          <t>Benchmark KPIs</t>
        </is>
      </c>
      <c r="H25" s="91" t="inlineStr">
        <is>
          <t>Verified</t>
        </is>
      </c>
      <c r="I25" s="49" t="inlineStr">
        <is>
          <t>2027 Job Detail Report.pdf (Sage Timberline, 04/03/2026, 184 pages)</t>
        </is>
      </c>
      <c r="J25" s="53" t="n"/>
    </row>
    <row r="26">
      <c r="B26" s="79" t="n">
        <v>21</v>
      </c>
      <c r="C26" s="47" t="inlineStr">
        <is>
          <t>change_orders_documented</t>
        </is>
      </c>
      <c r="D26" s="47" t="inlineStr">
        <is>
          <t>COs (documented)</t>
        </is>
      </c>
      <c r="E26" s="55" t="n">
        <v>23333</v>
      </c>
      <c r="F26" s="47" t="inlineStr">
        <is>
          <t>USD</t>
        </is>
      </c>
      <c r="G26" s="47" t="inlineStr">
        <is>
          <t>Benchmark KPIs</t>
        </is>
      </c>
      <c r="H26" s="92" t="inlineStr">
        <is>
          <t>Medium</t>
        </is>
      </c>
      <c r="I26" s="47" t="inlineStr">
        <is>
          <t>CO folder</t>
        </is>
      </c>
    </row>
    <row r="27">
      <c r="B27" s="80" t="n">
        <v>22</v>
      </c>
      <c r="C27" s="49" t="inlineStr">
        <is>
          <t>co_count</t>
        </is>
      </c>
      <c r="D27" s="49" t="inlineStr">
        <is>
          <t>CO Count</t>
        </is>
      </c>
      <c r="E27" s="80" t="n">
        <v>6</v>
      </c>
      <c r="F27" s="49" t="inlineStr">
        <is>
          <t>count</t>
        </is>
      </c>
      <c r="G27" s="49" t="inlineStr">
        <is>
          <t>Change Log</t>
        </is>
      </c>
      <c r="H27" s="91" t="inlineStr">
        <is>
          <t>Verified</t>
        </is>
      </c>
      <c r="I27" s="49" t="inlineStr">
        <is>
          <t>CO folder</t>
        </is>
      </c>
      <c r="J27" s="53" t="n"/>
    </row>
    <row r="28">
      <c r="B28" s="79" t="n">
        <v>23</v>
      </c>
      <c r="C28" s="47" t="inlineStr">
        <is>
          <t>co_pct</t>
        </is>
      </c>
      <c r="D28" s="47" t="inlineStr">
        <is>
          <t>CO % of Contract</t>
        </is>
      </c>
      <c r="E28" s="96" t="n">
        <v>0.02000797916451872</v>
      </c>
      <c r="F28" s="47" t="inlineStr">
        <is>
          <t>%</t>
        </is>
      </c>
      <c r="G28" s="47" t="inlineStr">
        <is>
          <t>Benchmark KPIs</t>
        </is>
      </c>
      <c r="H28" s="91" t="inlineStr">
        <is>
          <t>Verified</t>
        </is>
      </c>
      <c r="I28" s="85" t="inlineStr">
        <is>
          <t>Derived</t>
        </is>
      </c>
    </row>
    <row r="29">
      <c r="B29" s="80" t="n">
        <v>24</v>
      </c>
      <c r="C29" s="49" t="inlineStr">
        <is>
          <t>revenue</t>
        </is>
      </c>
      <c r="D29" s="49" t="inlineStr">
        <is>
          <t>Revenue</t>
        </is>
      </c>
      <c r="E29" s="76" t="n">
        <v>2275444</v>
      </c>
      <c r="F29" s="49" t="inlineStr">
        <is>
          <t>USD</t>
        </is>
      </c>
      <c r="G29" s="49" t="inlineStr">
        <is>
          <t>Benchmark KPIs</t>
        </is>
      </c>
      <c r="H29" s="91" t="inlineStr">
        <is>
          <t>Verified</t>
        </is>
      </c>
      <c r="I29" s="49" t="inlineStr">
        <is>
          <t>2027 Job Detail Report.pdf (Sage Timberline, 04/03/2026, 184 pages)</t>
        </is>
      </c>
      <c r="J29" s="53" t="n"/>
    </row>
    <row r="30">
      <c r="B30" s="79" t="n">
        <v>25</v>
      </c>
      <c r="C30" s="47" t="inlineStr">
        <is>
          <t>direct_cost</t>
        </is>
      </c>
      <c r="D30" s="47" t="inlineStr">
        <is>
          <t>Direct Cost</t>
        </is>
      </c>
      <c r="E30" s="55" t="n">
        <v>1353483.06</v>
      </c>
      <c r="F30" s="47" t="inlineStr">
        <is>
          <t>USD</t>
        </is>
      </c>
      <c r="G30" s="47" t="inlineStr">
        <is>
          <t>Benchmark KPIs</t>
        </is>
      </c>
      <c r="H30" s="91" t="inlineStr">
        <is>
          <t>Verified</t>
        </is>
      </c>
      <c r="I30" s="47" t="inlineStr">
        <is>
          <t>2027 Job Detail Report.pdf (Sage Timberline, 04/03/2026, 184 pages)</t>
        </is>
      </c>
    </row>
    <row r="31">
      <c r="B31" s="80" t="n">
        <v>26</v>
      </c>
      <c r="C31" s="49" t="inlineStr">
        <is>
          <t>net_profit</t>
        </is>
      </c>
      <c r="D31" s="49" t="inlineStr">
        <is>
          <t>Net Profit</t>
        </is>
      </c>
      <c r="E31" s="76" t="n">
        <v>921960.9399999999</v>
      </c>
      <c r="F31" s="49" t="inlineStr">
        <is>
          <t>USD</t>
        </is>
      </c>
      <c r="G31" s="49" t="inlineStr">
        <is>
          <t>Benchmark KPIs</t>
        </is>
      </c>
      <c r="H31" s="91" t="inlineStr">
        <is>
          <t>Verified</t>
        </is>
      </c>
      <c r="I31" s="49" t="inlineStr">
        <is>
          <t>2027 Job Detail Report.pdf (Sage Timberline, 04/03/2026, 184 pages)</t>
        </is>
      </c>
      <c r="J31" s="53" t="n"/>
    </row>
    <row r="32">
      <c r="B32" s="79" t="n">
        <v>27</v>
      </c>
      <c r="C32" s="47" t="inlineStr">
        <is>
          <t>gross_margin</t>
        </is>
      </c>
      <c r="D32" s="47" t="inlineStr">
        <is>
          <t>Gross Margin</t>
        </is>
      </c>
      <c r="E32" s="96" t="n">
        <v>0.4051784794528013</v>
      </c>
      <c r="F32" s="47" t="inlineStr">
        <is>
          <t>%</t>
        </is>
      </c>
      <c r="G32" s="47" t="inlineStr">
        <is>
          <t>Benchmark KPIs</t>
        </is>
      </c>
      <c r="H32" s="91" t="inlineStr">
        <is>
          <t>Verified</t>
        </is>
      </c>
      <c r="I32" s="85" t="inlineStr">
        <is>
          <t>Derived</t>
        </is>
      </c>
    </row>
    <row r="33">
      <c r="B33" s="80" t="n">
        <v>28</v>
      </c>
      <c r="C33" s="49" t="inlineStr">
        <is>
          <t>retainage</t>
        </is>
      </c>
      <c r="D33" s="49" t="inlineStr">
        <is>
          <t>Retainage Outstanding</t>
        </is>
      </c>
      <c r="E33" s="76" t="n">
        <v>113772.2</v>
      </c>
      <c r="F33" s="49" t="inlineStr">
        <is>
          <t>USD</t>
        </is>
      </c>
      <c r="G33" s="49" t="inlineStr">
        <is>
          <t>Benchmark KPIs</t>
        </is>
      </c>
      <c r="H33" s="91" t="inlineStr">
        <is>
          <t>Verified</t>
        </is>
      </c>
      <c r="I33" s="49" t="inlineStr">
        <is>
          <t>2027 Job Detail Report.pdf (Sage Timberline, 04/03/2026, 184 pages)</t>
        </is>
      </c>
      <c r="J33" s="53" t="n"/>
    </row>
    <row r="34">
      <c r="B34" s="79" t="n">
        <v>29</v>
      </c>
      <c r="C34" s="47" t="inlineStr">
        <is>
          <t>retainage_pct</t>
        </is>
      </c>
      <c r="D34" s="47" t="inlineStr">
        <is>
          <t>Retainage % of Revenue</t>
        </is>
      </c>
      <c r="E34" s="96" t="n">
        <v>0.05</v>
      </c>
      <c r="F34" s="47" t="inlineStr">
        <is>
          <t>%</t>
        </is>
      </c>
      <c r="G34" s="47" t="inlineStr">
        <is>
          <t>Benchmark KPIs</t>
        </is>
      </c>
      <c r="H34" s="91" t="inlineStr">
        <is>
          <t>Verified</t>
        </is>
      </c>
      <c r="I34" s="85" t="inlineStr">
        <is>
          <t>Derived</t>
        </is>
      </c>
    </row>
    <row r="35">
      <c r="B35" s="80" t="n">
        <v>30</v>
      </c>
      <c r="C35" s="49" t="inlineStr">
        <is>
          <t>labor_cost</t>
        </is>
      </c>
      <c r="D35" s="49" t="inlineStr">
        <is>
          <t>Labor Cost</t>
        </is>
      </c>
      <c r="E35" s="76" t="n">
        <v>491249.77</v>
      </c>
      <c r="F35" s="49" t="inlineStr">
        <is>
          <t>USD</t>
        </is>
      </c>
      <c r="G35" s="49" t="inlineStr">
        <is>
          <t>Benchmark KPIs</t>
        </is>
      </c>
      <c r="H35" s="91" t="inlineStr">
        <is>
          <t>Verified</t>
        </is>
      </c>
      <c r="I35" s="49" t="inlineStr">
        <is>
          <t>2027 Job Detail Report.pdf (Sage Timberline, 04/03/2026, 184 pages)</t>
        </is>
      </c>
      <c r="J35" s="53" t="n"/>
    </row>
    <row r="36">
      <c r="B36" s="79" t="n">
        <v>31</v>
      </c>
      <c r="C36" s="47" t="inlineStr">
        <is>
          <t>material_cost</t>
        </is>
      </c>
      <c r="D36" s="47" t="inlineStr">
        <is>
          <t>Material Cost</t>
        </is>
      </c>
      <c r="E36" s="55" t="n">
        <v>548321.75</v>
      </c>
      <c r="F36" s="47" t="inlineStr">
        <is>
          <t>USD</t>
        </is>
      </c>
      <c r="G36" s="47" t="inlineStr">
        <is>
          <t>Benchmark KPIs</t>
        </is>
      </c>
      <c r="H36" s="91" t="inlineStr">
        <is>
          <t>Verified</t>
        </is>
      </c>
      <c r="I36" s="47" t="inlineStr">
        <is>
          <t>2027 Job Detail Report.pdf (Sage Timberline, 04/03/2026, 184 pages)</t>
        </is>
      </c>
    </row>
    <row r="37">
      <c r="B37" s="80" t="n">
        <v>32</v>
      </c>
      <c r="C37" s="49" t="inlineStr">
        <is>
          <t>overhead_cost</t>
        </is>
      </c>
      <c r="D37" s="49" t="inlineStr">
        <is>
          <t>Subcon+OH Cost</t>
        </is>
      </c>
      <c r="E37" s="76" t="n">
        <v>88066.56999999999</v>
      </c>
      <c r="F37" s="49" t="inlineStr">
        <is>
          <t>USD</t>
        </is>
      </c>
      <c r="G37" s="49" t="inlineStr">
        <is>
          <t>Benchmark KPIs</t>
        </is>
      </c>
      <c r="H37" s="91" t="inlineStr">
        <is>
          <t>Verified</t>
        </is>
      </c>
      <c r="I37" s="49" t="inlineStr">
        <is>
          <t>2027 Job Detail Report.pdf (Sage Timberline, 04/03/2026, 184 pages)</t>
        </is>
      </c>
      <c r="J37" s="53" t="n"/>
    </row>
    <row r="38">
      <c r="B38" s="79" t="n">
        <v>33</v>
      </c>
      <c r="C38" s="47" t="inlineStr">
        <is>
          <t>burden_cost</t>
        </is>
      </c>
      <c r="D38" s="47" t="inlineStr">
        <is>
          <t>Burden Cost</t>
        </is>
      </c>
      <c r="E38" s="55" t="n">
        <v>188248.16</v>
      </c>
      <c r="F38" s="47" t="inlineStr">
        <is>
          <t>USD</t>
        </is>
      </c>
      <c r="G38" s="47" t="inlineStr">
        <is>
          <t>Benchmark KPIs</t>
        </is>
      </c>
      <c r="H38" s="91" t="inlineStr">
        <is>
          <t>Verified</t>
        </is>
      </c>
      <c r="I38" s="47" t="inlineStr">
        <is>
          <t>2027 Job Detail Report.pdf (Sage Timberline, 04/03/2026, 184 pages)</t>
        </is>
      </c>
    </row>
    <row r="39">
      <c r="B39" s="80" t="n">
        <v>34</v>
      </c>
      <c r="C39" s="49" t="inlineStr">
        <is>
          <t>tax_cost</t>
        </is>
      </c>
      <c r="D39" s="49" t="inlineStr">
        <is>
          <t>Tax Cost</t>
        </is>
      </c>
      <c r="E39" s="76" t="n">
        <v>37580.97</v>
      </c>
      <c r="F39" s="49" t="inlineStr">
        <is>
          <t>USD</t>
        </is>
      </c>
      <c r="G39" s="49" t="inlineStr">
        <is>
          <t>Benchmark KPIs</t>
        </is>
      </c>
      <c r="H39" s="91" t="inlineStr">
        <is>
          <t>Verified</t>
        </is>
      </c>
      <c r="I39" s="49" t="inlineStr">
        <is>
          <t>2027 Job Detail Report.pdf (Sage Timberline, 04/03/2026, 184 pages)</t>
        </is>
      </c>
      <c r="J39" s="53" t="n"/>
    </row>
    <row r="40">
      <c r="B40" s="79" t="n">
        <v>35</v>
      </c>
      <c r="C40" s="47" t="inlineStr">
        <is>
          <t>total_hours</t>
        </is>
      </c>
      <c r="D40" s="47" t="inlineStr">
        <is>
          <t>Total Labor Hours</t>
        </is>
      </c>
      <c r="E40" s="56" t="n">
        <v>21014</v>
      </c>
      <c r="F40" s="47" t="inlineStr">
        <is>
          <t>hours</t>
        </is>
      </c>
      <c r="G40" s="47" t="inlineStr">
        <is>
          <t>Benchmark KPIs</t>
        </is>
      </c>
      <c r="H40" s="91" t="inlineStr">
        <is>
          <t>Verified</t>
        </is>
      </c>
      <c r="I40" s="47" t="inlineStr">
        <is>
          <t>2027 Job Detail Report.pdf (Sage Timberline, 04/03/2026, 184 pages)</t>
        </is>
      </c>
    </row>
    <row r="41">
      <c r="B41" s="80" t="n">
        <v>36</v>
      </c>
      <c r="C41" s="49" t="inlineStr">
        <is>
          <t>total_workers</t>
        </is>
      </c>
      <c r="D41" s="49" t="inlineStr">
        <is>
          <t>Total Workers</t>
        </is>
      </c>
      <c r="E41" s="80" t="n">
        <v>43</v>
      </c>
      <c r="F41" s="49" t="inlineStr">
        <is>
          <t>count</t>
        </is>
      </c>
      <c r="G41" s="49" t="inlineStr">
        <is>
          <t>Benchmark KPIs</t>
        </is>
      </c>
      <c r="H41" s="91" t="inlineStr">
        <is>
          <t>Verified</t>
        </is>
      </c>
      <c r="I41" s="49" t="inlineStr">
        <is>
          <t>2027 Job Detail Report.pdf (Sage Timberline, 04/03/2026, 184 pages)</t>
        </is>
      </c>
      <c r="J41" s="53" t="n"/>
    </row>
    <row r="42">
      <c r="B42" s="79" t="n">
        <v>37</v>
      </c>
      <c r="C42" s="47" t="inlineStr">
        <is>
          <t>blended_gross_wage</t>
        </is>
      </c>
      <c r="D42" s="47" t="inlineStr">
        <is>
          <t>Blended Gross Wage</t>
        </is>
      </c>
      <c r="E42" s="55" t="n">
        <v>23.37726134957648</v>
      </c>
      <c r="F42" s="47" t="inlineStr">
        <is>
          <t>USD/hr</t>
        </is>
      </c>
      <c r="G42" s="47" t="inlineStr">
        <is>
          <t>Benchmark KPIs</t>
        </is>
      </c>
      <c r="H42" s="91" t="inlineStr">
        <is>
          <t>Verified</t>
        </is>
      </c>
      <c r="I42" s="85" t="inlineStr">
        <is>
          <t>Derived</t>
        </is>
      </c>
    </row>
    <row r="43">
      <c r="B43" s="80" t="n">
        <v>38</v>
      </c>
      <c r="C43" s="49" t="inlineStr">
        <is>
          <t>fully_loaded_wage</t>
        </is>
      </c>
      <c r="D43" s="49" t="inlineStr">
        <is>
          <t>Fully-Loaded Wage</t>
        </is>
      </c>
      <c r="E43" s="76" t="n">
        <v>34.12386504235272</v>
      </c>
      <c r="F43" s="49" t="inlineStr">
        <is>
          <t>USD/hr</t>
        </is>
      </c>
      <c r="G43" s="49" t="inlineStr">
        <is>
          <t>Benchmark KPIs</t>
        </is>
      </c>
      <c r="H43" s="91" t="inlineStr">
        <is>
          <t>Verified</t>
        </is>
      </c>
      <c r="I43" s="85" t="inlineStr">
        <is>
          <t>Derived</t>
        </is>
      </c>
      <c r="J43" s="53" t="n"/>
    </row>
    <row r="44">
      <c r="B44" s="79" t="n">
        <v>39</v>
      </c>
      <c r="C44" s="47" t="inlineStr">
        <is>
          <t>burden_multiplier</t>
        </is>
      </c>
      <c r="D44" s="47" t="inlineStr">
        <is>
          <t>Burden Multiplier</t>
        </is>
      </c>
      <c r="E44" s="99" t="n">
        <v>1.459703278843265</v>
      </c>
      <c r="F44" s="47" t="inlineStr">
        <is>
          <t>x</t>
        </is>
      </c>
      <c r="G44" s="47" t="inlineStr">
        <is>
          <t>Benchmark KPIs</t>
        </is>
      </c>
      <c r="H44" s="91" t="inlineStr">
        <is>
          <t>Verified</t>
        </is>
      </c>
      <c r="I44" s="85" t="inlineStr">
        <is>
          <t>Derived</t>
        </is>
      </c>
    </row>
    <row r="45">
      <c r="B45" s="80" t="n">
        <v>40</v>
      </c>
      <c r="C45" s="49" t="inlineStr">
        <is>
          <t>revenue_per_hour</t>
        </is>
      </c>
      <c r="D45" s="49" t="inlineStr">
        <is>
          <t>Revenue per Hour</t>
        </is>
      </c>
      <c r="E45" s="76" t="n">
        <v>108.2822879984772</v>
      </c>
      <c r="F45" s="49" t="inlineStr">
        <is>
          <t>USD/hr</t>
        </is>
      </c>
      <c r="G45" s="49" t="inlineStr">
        <is>
          <t>Benchmark KPIs</t>
        </is>
      </c>
      <c r="H45" s="91" t="inlineStr">
        <is>
          <t>Verified</t>
        </is>
      </c>
      <c r="I45" s="85" t="inlineStr">
        <is>
          <t>Derived</t>
        </is>
      </c>
      <c r="J45" s="53" t="n"/>
    </row>
    <row r="46">
      <c r="B46" s="79" t="n">
        <v>41</v>
      </c>
      <c r="C46" s="47" t="inlineStr">
        <is>
          <t>profit_per_hour</t>
        </is>
      </c>
      <c r="D46" s="47" t="inlineStr">
        <is>
          <t>Profit per Hour</t>
        </is>
      </c>
      <c r="E46" s="55" t="n">
        <v>43.8736528028933</v>
      </c>
      <c r="F46" s="47" t="inlineStr">
        <is>
          <t>USD/hr</t>
        </is>
      </c>
      <c r="G46" s="47" t="inlineStr">
        <is>
          <t>Benchmark KPIs</t>
        </is>
      </c>
      <c r="H46" s="91" t="inlineStr">
        <is>
          <t>Verified</t>
        </is>
      </c>
      <c r="I46" s="85" t="inlineStr">
        <is>
          <t>Derived</t>
        </is>
      </c>
    </row>
    <row r="47">
      <c r="B47" s="80" t="n">
        <v>42</v>
      </c>
      <c r="C47" s="49" t="inlineStr">
        <is>
          <t>revenue_per_unit</t>
        </is>
      </c>
      <c r="D47" s="49" t="inlineStr">
        <is>
          <t>Revenue per Unit</t>
        </is>
      </c>
      <c r="E47" s="76" t="n">
        <v>24733.08695652174</v>
      </c>
      <c r="F47" s="49" t="inlineStr">
        <is>
          <t>USD</t>
        </is>
      </c>
      <c r="G47" s="49" t="inlineStr">
        <is>
          <t>Benchmark KPIs</t>
        </is>
      </c>
      <c r="H47" s="91" t="inlineStr">
        <is>
          <t>Verified</t>
        </is>
      </c>
      <c r="I47" s="85" t="inlineStr">
        <is>
          <t>Derived</t>
        </is>
      </c>
      <c r="J47" s="53" t="n"/>
    </row>
    <row r="48">
      <c r="B48" s="79" t="n">
        <v>43</v>
      </c>
      <c r="C48" s="47" t="inlineStr">
        <is>
          <t>cost_per_unit</t>
        </is>
      </c>
      <c r="D48" s="47" t="inlineStr">
        <is>
          <t>Direct Cost per Unit</t>
        </is>
      </c>
      <c r="E48" s="55" t="n">
        <v>14711.77239130435</v>
      </c>
      <c r="F48" s="47" t="inlineStr">
        <is>
          <t>USD</t>
        </is>
      </c>
      <c r="G48" s="47" t="inlineStr">
        <is>
          <t>Benchmark KPIs</t>
        </is>
      </c>
      <c r="H48" s="91" t="inlineStr">
        <is>
          <t>Verified</t>
        </is>
      </c>
      <c r="I48" s="85" t="inlineStr">
        <is>
          <t>Derived</t>
        </is>
      </c>
    </row>
    <row r="49">
      <c r="B49" s="80" t="n">
        <v>44</v>
      </c>
      <c r="C49" s="49" t="inlineStr">
        <is>
          <t>hours_per_unit</t>
        </is>
      </c>
      <c r="D49" s="49" t="inlineStr">
        <is>
          <t>Labor Hours per Unit</t>
        </is>
      </c>
      <c r="E49" s="72" t="n">
        <v>228.4130434782609</v>
      </c>
      <c r="F49" s="49" t="inlineStr">
        <is>
          <t>hours</t>
        </is>
      </c>
      <c r="G49" s="49" t="inlineStr">
        <is>
          <t>Benchmark KPIs</t>
        </is>
      </c>
      <c r="H49" s="91" t="inlineStr">
        <is>
          <t>Verified</t>
        </is>
      </c>
      <c r="I49" s="85" t="inlineStr">
        <is>
          <t>Derived</t>
        </is>
      </c>
      <c r="J49" s="53" t="n"/>
    </row>
    <row r="50">
      <c r="B50" s="79" t="n">
        <v>45</v>
      </c>
      <c r="C50" s="47" t="inlineStr">
        <is>
          <t>labor_pct_revenue</t>
        </is>
      </c>
      <c r="D50" s="47" t="inlineStr">
        <is>
          <t>Labor % of Revenue</t>
        </is>
      </c>
      <c r="E50" s="96" t="n">
        <v>0.2158918303416828</v>
      </c>
      <c r="F50" s="47" t="inlineStr">
        <is>
          <t>%</t>
        </is>
      </c>
      <c r="G50" s="47" t="inlineStr">
        <is>
          <t>Benchmark KPIs</t>
        </is>
      </c>
      <c r="H50" s="91" t="inlineStr">
        <is>
          <t>Verified</t>
        </is>
      </c>
      <c r="I50" s="85" t="inlineStr">
        <is>
          <t>Derived</t>
        </is>
      </c>
    </row>
    <row r="51">
      <c r="B51" s="80" t="n">
        <v>46</v>
      </c>
      <c r="C51" s="49" t="inlineStr">
        <is>
          <t>material_pct_revenue</t>
        </is>
      </c>
      <c r="D51" s="49" t="inlineStr">
        <is>
          <t>Material % of Revenue</t>
        </is>
      </c>
      <c r="E51" s="93" t="n">
        <v>0.2409735198932604</v>
      </c>
      <c r="F51" s="49" t="inlineStr">
        <is>
          <t>%</t>
        </is>
      </c>
      <c r="G51" s="49" t="inlineStr">
        <is>
          <t>Benchmark KPIs</t>
        </is>
      </c>
      <c r="H51" s="91" t="inlineStr">
        <is>
          <t>Verified</t>
        </is>
      </c>
      <c r="I51" s="85" t="inlineStr">
        <is>
          <t>Derived</t>
        </is>
      </c>
      <c r="J51" s="53" t="n"/>
    </row>
    <row r="52">
      <c r="B52" s="79" t="n">
        <v>47</v>
      </c>
      <c r="C52" s="47" t="inlineStr">
        <is>
          <t>total_vendors</t>
        </is>
      </c>
      <c r="D52" s="47" t="inlineStr">
        <is>
          <t>Total Vendors (AP)</t>
        </is>
      </c>
      <c r="E52" s="79" t="n">
        <v>26</v>
      </c>
      <c r="F52" s="47" t="inlineStr">
        <is>
          <t>count</t>
        </is>
      </c>
      <c r="G52" s="47" t="inlineStr">
        <is>
          <t>Vendors</t>
        </is>
      </c>
      <c r="H52" s="91" t="inlineStr">
        <is>
          <t>Verified</t>
        </is>
      </c>
      <c r="I52" s="47" t="inlineStr">
        <is>
          <t>2027 Job Detail Report.pdf (Sage Timberline, 04/03/2026, 184 pages)</t>
        </is>
      </c>
    </row>
    <row r="53">
      <c r="B53" s="80" t="n">
        <v>48</v>
      </c>
      <c r="C53" s="49" t="inlineStr">
        <is>
          <t>total_invoices</t>
        </is>
      </c>
      <c r="D53" s="49" t="inlineStr">
        <is>
          <t>Total Invoices (AR)</t>
        </is>
      </c>
      <c r="E53" s="80" t="n">
        <v>19</v>
      </c>
      <c r="F53" s="49" t="inlineStr">
        <is>
          <t>count</t>
        </is>
      </c>
      <c r="G53" s="49" t="inlineStr">
        <is>
          <t>Billing &amp; SOV</t>
        </is>
      </c>
      <c r="H53" s="91" t="inlineStr">
        <is>
          <t>Verified</t>
        </is>
      </c>
      <c r="I53" s="49" t="inlineStr">
        <is>
          <t>2027 Job Detail Report.pdf (Sage Timberline, 04/03/2026, 184 pages)</t>
        </is>
      </c>
      <c r="J53" s="53" t="n"/>
    </row>
    <row r="54">
      <c r="B54" s="79" t="n">
        <v>49</v>
      </c>
      <c r="C54" s="47" t="inlineStr">
        <is>
          <t>rfi_count</t>
        </is>
      </c>
      <c r="D54" s="47" t="inlineStr">
        <is>
          <t>RFI Count</t>
        </is>
      </c>
      <c r="E54" s="79" t="n">
        <v>30</v>
      </c>
      <c r="F54" s="47" t="inlineStr">
        <is>
          <t>count</t>
        </is>
      </c>
      <c r="G54" s="47" t="inlineStr">
        <is>
          <t>Change Log</t>
        </is>
      </c>
      <c r="H54" s="91" t="inlineStr">
        <is>
          <t>Verified</t>
        </is>
      </c>
      <c r="I54" s="47" t="inlineStr">
        <is>
          <t>ASI-RFI + Dropbox</t>
        </is>
      </c>
    </row>
    <row r="55">
      <c r="B55" s="80" t="n">
        <v>50</v>
      </c>
      <c r="C55" s="49" t="inlineStr">
        <is>
          <t>asi_count</t>
        </is>
      </c>
      <c r="D55" s="49" t="inlineStr">
        <is>
          <t>ASI Count</t>
        </is>
      </c>
      <c r="E55" s="80" t="n">
        <v>1</v>
      </c>
      <c r="F55" s="49" t="inlineStr">
        <is>
          <t>count</t>
        </is>
      </c>
      <c r="G55" s="49" t="inlineStr">
        <is>
          <t>Change Log</t>
        </is>
      </c>
      <c r="H55" s="91" t="inlineStr">
        <is>
          <t>Verified</t>
        </is>
      </c>
      <c r="I55" s="49" t="inlineStr">
        <is>
          <t>ASI-RFI</t>
        </is>
      </c>
      <c r="J55" s="53" t="n"/>
    </row>
    <row r="56">
      <c r="B56" s="79" t="n">
        <v>51</v>
      </c>
      <c r="C56" s="47" t="inlineStr">
        <is>
          <t>submittal_count</t>
        </is>
      </c>
      <c r="D56" s="47" t="inlineStr">
        <is>
          <t>Submittal Count</t>
        </is>
      </c>
      <c r="E56" s="79" t="n">
        <v>30</v>
      </c>
      <c r="F56" s="47" t="inlineStr">
        <is>
          <t>count</t>
        </is>
      </c>
      <c r="G56" s="47" t="inlineStr">
        <is>
          <t>Change Log</t>
        </is>
      </c>
      <c r="H56" s="91" t="inlineStr">
        <is>
          <t>Verified</t>
        </is>
      </c>
      <c r="I56" s="47" t="inlineStr">
        <is>
          <t>Submittals</t>
        </is>
      </c>
    </row>
    <row r="57">
      <c r="B57" s="80" t="n">
        <v>52</v>
      </c>
      <c r="C57" s="49" t="inlineStr">
        <is>
          <t>permit_count</t>
        </is>
      </c>
      <c r="D57" s="49" t="inlineStr">
        <is>
          <t>Permit Count</t>
        </is>
      </c>
      <c r="E57" s="80" t="n">
        <v>6</v>
      </c>
      <c r="F57" s="49" t="inlineStr">
        <is>
          <t>count</t>
        </is>
      </c>
      <c r="G57" s="49" t="inlineStr">
        <is>
          <t>Change Log</t>
        </is>
      </c>
      <c r="H57" s="91" t="inlineStr">
        <is>
          <t>Verified</t>
        </is>
      </c>
      <c r="I57" s="49" t="inlineStr">
        <is>
          <t>Permits</t>
        </is>
      </c>
      <c r="J57" s="53" t="n"/>
    </row>
    <row r="58">
      <c r="B58" s="79" t="n">
        <v>53</v>
      </c>
      <c r="C58" s="47" t="inlineStr">
        <is>
          <t>po_count</t>
        </is>
      </c>
      <c r="D58" s="47" t="inlineStr">
        <is>
          <t>PO Count</t>
        </is>
      </c>
      <c r="E58" s="79" t="n">
        <v>82</v>
      </c>
      <c r="F58" s="47" t="inlineStr">
        <is>
          <t>count</t>
        </is>
      </c>
      <c r="G58" s="47" t="inlineStr">
        <is>
          <t>Change Log</t>
        </is>
      </c>
      <c r="H58" s="91" t="inlineStr">
        <is>
          <t>Verified</t>
        </is>
      </c>
      <c r="I58" s="47" t="inlineStr">
        <is>
          <t>POs</t>
        </is>
      </c>
    </row>
    <row r="59">
      <c r="B59" s="80" t="n">
        <v>54</v>
      </c>
      <c r="C59" s="49" t="inlineStr">
        <is>
          <t>top_worker_hours_share</t>
        </is>
      </c>
      <c r="D59" s="49" t="inlineStr">
        <is>
          <t>Top Worker Hours Share</t>
        </is>
      </c>
      <c r="E59" s="93" t="n">
        <v>0.08342057675835157</v>
      </c>
      <c r="F59" s="49" t="inlineStr">
        <is>
          <t>%</t>
        </is>
      </c>
      <c r="G59" s="49" t="inlineStr">
        <is>
          <t>Crew Analytics</t>
        </is>
      </c>
      <c r="H59" s="91" t="inlineStr">
        <is>
          <t>Verified</t>
        </is>
      </c>
      <c r="I59" s="85" t="inlineStr">
        <is>
          <t>Derived</t>
        </is>
      </c>
      <c r="J59" s="53" t="n"/>
    </row>
    <row r="60">
      <c r="B60" s="79" t="n">
        <v>55</v>
      </c>
      <c r="C60" s="47" t="inlineStr">
        <is>
          <t>top5_worker_hours_share</t>
        </is>
      </c>
      <c r="D60" s="47" t="inlineStr">
        <is>
          <t>Top 5 Worker Hours Share</t>
        </is>
      </c>
      <c r="E60" s="96" t="n">
        <v>0.3718235462072904</v>
      </c>
      <c r="F60" s="47" t="inlineStr">
        <is>
          <t>%</t>
        </is>
      </c>
      <c r="G60" s="47" t="inlineStr">
        <is>
          <t>Crew Analytics</t>
        </is>
      </c>
      <c r="H60" s="91" t="inlineStr">
        <is>
          <t>Verified</t>
        </is>
      </c>
      <c r="I60" s="85" t="inlineStr">
        <is>
          <t>Derived</t>
        </is>
      </c>
    </row>
    <row r="61">
      <c r="B61" s="80" t="n">
        <v>56</v>
      </c>
      <c r="C61" s="49" t="inlineStr">
        <is>
          <t>cost_code_count</t>
        </is>
      </c>
      <c r="D61" s="49" t="inlineStr">
        <is>
          <t>Cost Codes Active</t>
        </is>
      </c>
      <c r="E61" s="80" t="n">
        <v>27</v>
      </c>
      <c r="F61" s="49" t="inlineStr">
        <is>
          <t>count</t>
        </is>
      </c>
      <c r="G61" s="49" t="inlineStr">
        <is>
          <t>Budget vs Actual</t>
        </is>
      </c>
      <c r="H61" s="91" t="inlineStr">
        <is>
          <t>Verified</t>
        </is>
      </c>
      <c r="I61" s="49" t="inlineStr">
        <is>
          <t>2027 Job Detail Report.pdf (Sage Timberline, 04/03/2026, 184 pages)</t>
        </is>
      </c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79" t="n">
        <v>1</v>
      </c>
      <c r="C6" s="47" t="inlineStr">
        <is>
          <t>Revenue (JDR) = Contract Final</t>
        </is>
      </c>
      <c r="D6" s="55" t="n">
        <v>2275444</v>
      </c>
      <c r="E6" s="55" t="n">
        <v>2275444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80" t="n">
        <v>2</v>
      </c>
      <c r="C7" s="49" t="inlineStr">
        <is>
          <t>Expenses = Labor+Material+OH+Burden+Tax</t>
        </is>
      </c>
      <c r="D7" s="76" t="n">
        <v>1353483.06</v>
      </c>
      <c r="E7" s="76" t="n">
        <v>1353467.22</v>
      </c>
      <c r="F7" s="70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79" t="n">
        <v>3</v>
      </c>
      <c r="C8" s="47" t="inlineStr">
        <is>
          <t>Net Profit = Revenue - Expenses</t>
        </is>
      </c>
      <c r="D8" s="55" t="n">
        <v>921960.9399999999</v>
      </c>
      <c r="E8" s="55" t="n">
        <v>921960.9399999999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80" t="n">
        <v>4</v>
      </c>
      <c r="C9" s="49" t="inlineStr">
        <is>
          <t>JDR Source: AP+PR+GL = Expenses</t>
        </is>
      </c>
      <c r="D9" s="76" t="n">
        <v>1353483.06</v>
      </c>
      <c r="E9" s="76" t="n">
        <v>1353483.06</v>
      </c>
      <c r="F9" s="70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79" t="n">
        <v>5</v>
      </c>
      <c r="C10" s="47" t="inlineStr">
        <is>
          <t>Budget vs Actual (code 999) = -Revenue</t>
        </is>
      </c>
      <c r="D10" s="55" t="n">
        <v>2275444</v>
      </c>
      <c r="E10" s="55" t="n">
        <v>2275444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80" t="n">
        <v>6</v>
      </c>
      <c r="C11" s="49" t="inlineStr">
        <is>
          <t>Total Labor Hours = Worker hours sum</t>
        </is>
      </c>
      <c r="D11" s="76" t="n">
        <v>21014</v>
      </c>
      <c r="E11" s="76" t="n">
        <v>20874</v>
      </c>
      <c r="F11" s="70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79" t="n">
        <v>7</v>
      </c>
      <c r="C12" s="47" t="inlineStr">
        <is>
          <t>Labor Cost = Worker gross sum</t>
        </is>
      </c>
      <c r="D12" s="55" t="n">
        <v>491249.77</v>
      </c>
      <c r="E12" s="55" t="n">
        <v>482991.5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80" t="n">
        <v>8</v>
      </c>
      <c r="C13" s="49" t="inlineStr">
        <is>
          <t>Vendor total ≈ AP footer</t>
        </is>
      </c>
      <c r="D13" s="76" t="n">
        <v>538651.3</v>
      </c>
      <c r="E13" s="76" t="n">
        <v>538651.3</v>
      </c>
      <c r="F13" s="70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79" t="n">
        <v>9</v>
      </c>
      <c r="C14" s="47" t="inlineStr">
        <is>
          <t>Invoice count</t>
        </is>
      </c>
      <c r="D14" s="79" t="n">
        <v>19</v>
      </c>
      <c r="E14" s="79" t="n">
        <v>19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9↔11</t>
        </is>
      </c>
    </row>
    <row r="15">
      <c r="B15" s="80" t="n">
        <v>10</v>
      </c>
      <c r="C15" s="49" t="inlineStr">
        <is>
          <t>Contract Final - Orig = CO implied</t>
        </is>
      </c>
      <c r="D15" s="76" t="n">
        <v>44634</v>
      </c>
      <c r="E15" s="76" t="n">
        <v>44634</v>
      </c>
      <c r="F15" s="70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79" t="n">
        <v>11</v>
      </c>
      <c r="C16" s="47" t="inlineStr">
        <is>
          <t>CO implied vs documented (gap)</t>
        </is>
      </c>
      <c r="D16" s="55" t="n">
        <v>44634</v>
      </c>
      <c r="E16" s="55" t="n">
        <v>23333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8↔13</t>
        </is>
      </c>
    </row>
    <row r="17">
      <c r="B17" s="80" t="n">
        <v>12</v>
      </c>
      <c r="C17" s="49" t="inlineStr">
        <is>
          <t>Retainage outstanding</t>
        </is>
      </c>
      <c r="D17" s="76" t="n">
        <v>113772.2</v>
      </c>
      <c r="E17" s="76" t="n">
        <v>60416.9</v>
      </c>
      <c r="F17" s="70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79" t="n">
        <v>13</v>
      </c>
      <c r="C18" s="47" t="inlineStr">
        <is>
          <t>Worker count</t>
        </is>
      </c>
      <c r="D18" s="79" t="n">
        <v>43</v>
      </c>
      <c r="E18" s="79" t="n">
        <v>36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5↔11</t>
        </is>
      </c>
    </row>
    <row r="19">
      <c r="B19" s="80" t="n">
        <v>14</v>
      </c>
      <c r="C19" s="49" t="inlineStr">
        <is>
          <t>Cost code count</t>
        </is>
      </c>
      <c r="D19" s="80" t="n">
        <v>27</v>
      </c>
      <c r="E19" s="80" t="n">
        <v>27</v>
      </c>
      <c r="F19" s="70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#2027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2027 Job Detail Report.pdf (Sage Timberline, 04/03/2026, 184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$2,275,444.00 / Expenses $1,353,483.06 / Net $921,960.94 / Retainage $113,772.20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$97,752.86 · AP $538,651.30 · PR $717,078.90 · AR $2,275,444.00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L1 220000 One Way Plumbing Fully Executed Subcontract ocr_d.pdf (Lump Sum $2,230,810.00 to Intra-Corp (550 Broadway owner LLC), 550 Broadway)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Bid Proposal: Exxel 19 West Harrison Apartment proposal September 1 2015.pdf (detailed fixture quantities — 92 units)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P-tag schedule: 550 Broadway working copy of P-tag list  front page detail.xlsx (22 fixture + 16 equipment tags, gas loads, connections)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Plumbing narrative: 550 Broadway plumbing narrative.pdf (Div 22 spec, Seattle Building Code 2012 + UPC 2012-WA)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Change Orders: 6 executed (CO#01-06, sum $23,333 documented)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RFIs: 30 total (18 + 1 ASI primary folder; 12 dropbox field tablets)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Submittals: 30 total (19 fixture + 10 material + 1 UG)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Permits: 6 total (backflow, boiler x2, gas, plumbing, temp gas)</t>
        </is>
      </c>
      <c r="C34" s="6" t="n"/>
      <c r="D34" s="6" t="n"/>
      <c r="E34" s="6" t="n"/>
      <c r="F34" s="6" t="n"/>
      <c r="G34" s="6" t="n"/>
      <c r="H34" s="7" t="n"/>
    </row>
    <row r="35">
      <c r="B35" s="48" t="inlineStr">
        <is>
          <t>POs: 82 total (7 placed / 19 scheduled / 56 completed)</t>
        </is>
      </c>
      <c r="C35" s="50" t="n"/>
      <c r="D35" s="50" t="n"/>
      <c r="E35" s="50" t="n"/>
      <c r="F35" s="50" t="n"/>
      <c r="G35" s="50" t="n"/>
      <c r="H35" s="51" t="n"/>
      <c r="I35" s="53" t="n"/>
      <c r="J35" s="53" t="n"/>
    </row>
    <row r="36">
      <c r="B36" s="46" t="inlineStr">
        <is>
          <t>Unresolved: CO gap $29,038 JDR-implied vs $23,333 documented = $5,705 delta</t>
        </is>
      </c>
      <c r="C36" s="6" t="n"/>
      <c r="D36" s="6" t="n"/>
      <c r="E36" s="6" t="n"/>
      <c r="F36" s="6" t="n"/>
      <c r="G36" s="6" t="n"/>
      <c r="H36" s="7" t="n"/>
    </row>
    <row r="37">
      <c r="B37" s="48" t="inlineStr">
        <is>
          <t>TIES = within $1  ·  WITHIN = within 5%  ·  OFF = investigate</t>
        </is>
      </c>
      <c r="C37" s="50" t="n"/>
      <c r="D37" s="50" t="n"/>
      <c r="E37" s="50" t="n"/>
      <c r="F37" s="50" t="n"/>
      <c r="G37" s="50" t="n"/>
      <c r="H37" s="51" t="n"/>
      <c r="I37" s="53" t="n"/>
      <c r="J37" s="53" t="n"/>
    </row>
  </sheetData>
  <mergeCells count="17">
    <mergeCell ref="B36:H36"/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7:H37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2026-04-16T14:57:15Z</dcterms:created>
  <dcterms:modified xmlns:dcterms="http://purl.org/dc/terms/" xmlns:xsi="http://www.w3.org/2001/XMLSchema-instance" xsi:type="dcterms:W3CDTF">2026-04-16T14:58:14Z</dcterms:modified>
</cp:coreProperties>
</file>