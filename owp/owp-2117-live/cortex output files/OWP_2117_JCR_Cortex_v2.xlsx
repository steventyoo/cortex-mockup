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7.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1 Overview" sheetId="1" state="visible" r:id="rId3"/>
    <sheet name="02 Job Info" sheetId="2" state="visible" r:id="rId4"/>
    <sheet name="03 Contract" sheetId="3" state="visible" r:id="rId5"/>
    <sheet name="04 SOV-PayApps" sheetId="4" state="visible" r:id="rId6"/>
    <sheet name="05 Change Orders" sheetId="5" state="visible" r:id="rId7"/>
    <sheet name="06 Cost Codes" sheetId="6" state="visible" r:id="rId8"/>
    <sheet name="07 Cost Categories" sheetId="7" state="visible" r:id="rId9"/>
    <sheet name="08 BVA" sheetId="8" state="visible" r:id="rId10"/>
    <sheet name="09 Vendor Analysis" sheetId="9" state="visible" r:id="rId11"/>
    <sheet name="10 Crew Roster" sheetId="10" state="visible" r:id="rId12"/>
    <sheet name="11 Wage Tiers" sheetId="11" state="visible" r:id="rId13"/>
    <sheet name="12 Productivity" sheetId="12" state="visible" r:id="rId14"/>
    <sheet name="13 Benchmarks" sheetId="13" state="visible" r:id="rId15"/>
    <sheet name="14 Predictive Signals" sheetId="14" state="visible" r:id="rId16"/>
    <sheet name="15 Reconciliation" sheetId="15" state="visible" r:id="rId17"/>
    <sheet name="16 Metric Registry" sheetId="16" state="visible" r:id="rId18"/>
    <sheet name="17 Change Log" sheetId="17" state="visible" r:id="rId1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<sst xmlns="http://schemas.openxmlformats.org/spreadsheetml/2006/main" count="452" uniqueCount="368">
  <si>
    <t xml:space="preserve">OWP #2117 · Lachlan Apartments</t>
  </si>
  <si>
    <t xml:space="preserve">Ravenna Partners · 104 units · Live / in-progress</t>
  </si>
  <si>
    <t xml:space="preserve">Forecast at Completion (Revised Basis)</t>
  </si>
  <si>
    <t xml:space="preserve">Revised contract value</t>
  </si>
  <si>
    <t xml:space="preserve">Revised budget (expenses)</t>
  </si>
  <si>
    <t xml:space="preserve">Forecast net profit</t>
  </si>
  <si>
    <t xml:space="preserve">Forecast margin</t>
  </si>
  <si>
    <t xml:space="preserve">Progress to Date</t>
  </si>
  <si>
    <t xml:space="preserve">Work complete (billed)</t>
  </si>
  <si>
    <t xml:space="preserve">Retention held</t>
  </si>
  <si>
    <t xml:space="preserve">Earned less retention</t>
  </si>
  <si>
    <t xml:space="preserve">Balance to finish</t>
  </si>
  <si>
    <t xml:space="preserve">Percent complete</t>
  </si>
  <si>
    <t xml:space="preserve">Transaction Totals by Source</t>
  </si>
  <si>
    <t xml:space="preserve">Source</t>
  </si>
  <si>
    <t xml:space="preserve">Dollars</t>
  </si>
  <si>
    <t xml:space="preserve">GL</t>
  </si>
  <si>
    <t xml:space="preserve">AP</t>
  </si>
  <si>
    <t xml:space="preserve">PR</t>
  </si>
  <si>
    <t xml:space="preserve">AR</t>
  </si>
  <si>
    <t xml:space="preserve">PROJECT TEAM · KEY PLAYERS</t>
  </si>
  <si>
    <t xml:space="preserve">Pre-construction · 3-bid pursuit since Dec 2023. Final BID Nov 19 2025 = $1,948,000 / 104u / 425 trim. Pending Ravenna Partners (owner-GC) acceptance. OWP's first Ravenna engagement.</t>
  </si>
  <si>
    <t xml:space="preserve">ROLE</t>
  </si>
  <si>
    <t xml:space="preserve">VALUE</t>
  </si>
  <si>
    <t xml:space="preserve">General Contractor</t>
  </si>
  <si>
    <t xml:space="preserve">Ravenna Partners</t>
  </si>
  <si>
    <t xml:space="preserve">GC Project Manager</t>
  </si>
  <si>
    <t xml:space="preserve">Andrew Withnell — per Nov 19 2025 proposal addressee</t>
  </si>
  <si>
    <t xml:space="preserve">Owner</t>
  </si>
  <si>
    <t xml:space="preserve">Ravenna Partners (owner-GC · self-developing)</t>
  </si>
  <si>
    <t xml:space="preserve">Architect</t>
  </si>
  <si>
    <t xml:space="preserve">TBD (per Master Project List · drawings published as 'Building Permit Plans' Nov 2025)</t>
  </si>
  <si>
    <t xml:space="preserve">MEP / Plumbing Engineer</t>
  </si>
  <si>
    <t xml:space="preserve">Franklin Engineering (OWP design-build · $10,701 design fees booked YTD)</t>
  </si>
  <si>
    <t xml:space="preserve">OWP Estimator</t>
  </si>
  <si>
    <t xml:space="preserve">Richard Donelson + Gerard takeoff team (Jeffrey + Jordan)</t>
  </si>
  <si>
    <t xml:space="preserve">OWP Signatory</t>
  </si>
  <si>
    <t xml:space="preserve">Richard Donelson (per OWP proposal letterhead)</t>
  </si>
  <si>
    <t xml:space="preserve">Site Address</t>
  </si>
  <si>
    <t xml:space="preserve">3421 Woodland Park Ave N, Seattle WA (Lower Woodland / Wallingford corridor)</t>
  </si>
  <si>
    <t xml:space="preserve">Insurance</t>
  </si>
  <si>
    <t xml:space="preserve">Standard COI · non-Wrap (per Nov 2025 proposal · OCIP DEDUCT alternate available)</t>
  </si>
  <si>
    <t xml:space="preserve">Status</t>
  </si>
  <si>
    <t xml:space="preserve">ACTIVE · pre-construction (final BID Nov 19 2025 · pending Ravenna acceptance)</t>
  </si>
  <si>
    <t xml:space="preserve">Final BID</t>
  </si>
  <si>
    <t xml:space="preserve">$1,948,000 (Nov 19 2025 · 104u)</t>
  </si>
  <si>
    <t xml:space="preserve">AR Billed</t>
  </si>
  <si>
    <t xml:space="preserve">$0 (no progress billings yet)</t>
  </si>
  <si>
    <t xml:space="preserve">Direct Cost (sunk)</t>
  </si>
  <si>
    <t xml:space="preserve">$11,007</t>
  </si>
  <si>
    <t xml:space="preserve">Carrying Loss</t>
  </si>
  <si>
    <t xml:space="preserve">$(11,007) recoverable on subcontract</t>
  </si>
  <si>
    <t xml:space="preserve">Verified Fixtures</t>
  </si>
  <si>
    <t xml:space="preserve">425 trim fixtures · 4.09/unit (Nov 19 2025 proposal)</t>
  </si>
  <si>
    <t xml:space="preserve">JOB #2117 · RAVENNA PARTNERS · LACHLAN APARTMENTS · KEY PLAYERS &amp; METADATA</t>
  </si>
  <si>
    <t xml:space="preserve">Pre-construction · 3-bid pursuit since Dec 2023. Final BID Nov 19 2025 = $1,948,000 / 104u / 425 trim fixtures. Pending Ravenna Partners acceptance. OWP has $0 billed against $11,007 sunk design cost = -$11,007 carrying loss (97% Franklin Engineering MEP design fees). Sources: Bid sheets (Dec 2023 + Oct 2024 + Nov 2025) + Proposal (Nov 19 2025) + Permit Plans + MEP Coordination Plans + Sage JDR.</t>
  </si>
  <si>
    <t xml:space="preserve">IDENTITY</t>
  </si>
  <si>
    <t xml:space="preserve">Job Number</t>
  </si>
  <si>
    <t xml:space="preserve">2117</t>
  </si>
  <si>
    <t xml:space="preserve">Job Name</t>
  </si>
  <si>
    <t xml:space="preserve">Ravenna Partners · Lachlan Apartments</t>
  </si>
  <si>
    <t xml:space="preserve">Short Name</t>
  </si>
  <si>
    <t xml:space="preserve">Lachlan</t>
  </si>
  <si>
    <t xml:space="preserve">Project Type</t>
  </si>
  <si>
    <t xml:space="preserve">104-unit multifamily · 8-story + penthouse mid-rise · Lower Woodland / Wallingford corridor Seattle</t>
  </si>
  <si>
    <t xml:space="preserve">Permit</t>
  </si>
  <si>
    <t xml:space="preserve">City of Seattle plumbing/gas/backflow permits — pending bid acceptance and submittal</t>
  </si>
  <si>
    <t xml:space="preserve">Scope of Work</t>
  </si>
  <si>
    <t xml:space="preserve">Design-build plumbing scope · 104-unit multifamily · 8-story + penthouse · gas water heating + electric water heating fallback</t>
  </si>
  <si>
    <t xml:space="preserve">SCHEDULE</t>
  </si>
  <si>
    <t xml:space="preserve">1st Budget</t>
  </si>
  <si>
    <t xml:space="preserve">Dec 15 2023 (Blueprint as GC · $2,610,000 / 122u)</t>
  </si>
  <si>
    <t xml:space="preserve">2nd Budget</t>
  </si>
  <si>
    <t xml:space="preserve">Oct 17 2024 (Blueprint as GC · $2,100,000 / 100u · -19.5%)</t>
  </si>
  <si>
    <t xml:space="preserve">3rd Budget · FINAL</t>
  </si>
  <si>
    <t xml:space="preserve">Nov 19 2025 (Ravenna Partners as owner-GC · $1,948,000 / 104u / 425 trim · -7.2%)</t>
  </si>
  <si>
    <t xml:space="preserve">Field Start (target)</t>
  </si>
  <si>
    <t xml:space="preserve">TBD · pending Ravenna acceptance + city plumbing permit</t>
  </si>
  <si>
    <t xml:space="preserve">Project End (est.)</t>
  </si>
  <si>
    <t xml:space="preserve">TBD</t>
  </si>
  <si>
    <t xml:space="preserve">Duration (est.)</t>
  </si>
  <si>
    <t xml:space="preserve">~22 months once mobilized</t>
  </si>
  <si>
    <t xml:space="preserve">Schedule Note</t>
  </si>
  <si>
    <t xml:space="preserve">1st Budget Dec 2023 → 2nd Budget Oct 2024 → 3rd Budget FINAL Nov 19 2025 → Ravenna acceptance pending</t>
  </si>
  <si>
    <t xml:space="preserve">Subcontract Execution</t>
  </si>
  <si>
    <t xml:space="preserve">Pending — Ravenna acceptance of Nov 19 2025 BID</t>
  </si>
  <si>
    <t xml:space="preserve">FINANCIAL POSTURE (PRE-CONSTRUCTION · DESIGN PHASE)</t>
  </si>
  <si>
    <t xml:space="preserve">Original Contract</t>
  </si>
  <si>
    <t xml:space="preserve">Subcontract execution pending</t>
  </si>
  <si>
    <t xml:space="preserve">Latest BID submitted</t>
  </si>
  <si>
    <t xml:space="preserve">$1,948,000 (Nov 19 2025 · 104 units · $18,731/unit · 425 trim · $4,584/fixture)</t>
  </si>
  <si>
    <t xml:space="preserve">2nd Budget BID</t>
  </si>
  <si>
    <t xml:space="preserve">$2,100,000 (Oct 17 2024 · 100u · Blueprint GC era)</t>
  </si>
  <si>
    <t xml:space="preserve">Initial BID</t>
  </si>
  <si>
    <t xml:space="preserve">$2,610,000 (Dec 15 2023 · 122u · Blueprint GC era · 23-month pursuit)</t>
  </si>
  <si>
    <t xml:space="preserve">AR Billed to Date</t>
  </si>
  <si>
    <t xml:space="preserve">$0 (no progress billings yet · 3rd BID pending)</t>
  </si>
  <si>
    <t xml:space="preserve">$(11,007) — recoverable on subcontract execution</t>
  </si>
  <si>
    <t xml:space="preserve">Retainage</t>
  </si>
  <si>
    <t xml:space="preserve">$0 (no field billing yet · 5% at field start)</t>
  </si>
  <si>
    <t xml:space="preserve">Lien Position</t>
  </si>
  <si>
    <t xml:space="preserve">Subcontract not yet executed · final BID Nov 19 2025 pending Ravenna acceptance</t>
  </si>
  <si>
    <t xml:space="preserve">Warranty</t>
  </si>
  <si>
    <t xml:space="preserve">Standard 1-yr plumbing (post-completion)</t>
  </si>
  <si>
    <t xml:space="preserve">Contract on File</t>
  </si>
  <si>
    <t xml:space="preserve">FINAL BID submitted Nov 19 2025 by OWP for $1,948,000 / 104u / 425 trim. Initial bid Dec 2023 (Blueprint GC, $2.61M/122u); 2nd bid Oct 2024 ($2.10M/100u); 3rd bid Nov 2025 (Ravenna Partners GC, FINAL).</t>
  </si>
  <si>
    <t xml:space="preserve">SCOPE &amp; FIXTURE PROFILE (verified from Nov 19 2025 proposal + bid sheet ESTIMATE tab)</t>
  </si>
  <si>
    <t xml:space="preserve">Plumbing Units</t>
  </si>
  <si>
    <t xml:space="preserve">104 units ✓ CONFIRMED via bid sheet ESTIMATE tab + proposal RESIDENT UNIT TRIM block (98 standard + 6 ADA = 104)</t>
  </si>
  <si>
    <t xml:space="preserve">Total Trim Fixtures</t>
  </si>
  <si>
    <t xml:space="preserve">425 trim fixtures (verified bid sheet) · 4.09 per unit</t>
  </si>
  <si>
    <t xml:space="preserve">Total RI Fixtures</t>
  </si>
  <si>
    <t xml:space="preserve">535 RI fixtures per ESTIMATE row 95</t>
  </si>
  <si>
    <t xml:space="preserve">Total Permit Fixtures</t>
  </si>
  <si>
    <t xml:space="preserve">705 permit fixtures (642 upper + 63 lower)</t>
  </si>
  <si>
    <t xml:space="preserve">Toilets (Gerber Maxwell GWS20912 + GWS20918 ADA)</t>
  </si>
  <si>
    <t xml:space="preserve">98 standard + 6 ADA = 104 (1/unit)</t>
  </si>
  <si>
    <t xml:space="preserve">Lavatories (Kohler K-2035-1 wall-hung + Peerless P191102LF-BL matte black)</t>
  </si>
  <si>
    <t xml:space="preserve">Tubs (Sterling 71121110 Vikrell + Peerless PTT188792-BL trim)</t>
  </si>
  <si>
    <t xml:space="preserve">47 std + 6 ADA = 53</t>
  </si>
  <si>
    <t xml:space="preserve">Showers (Sterling 95077 38"x38" pans + Peerless PTT188782-BL trim)</t>
  </si>
  <si>
    <t xml:space="preserve">51 standalone</t>
  </si>
  <si>
    <t xml:space="preserve">Kitchen sinks (Peerless P7946LF-BL matte black faucet, sinks by others)</t>
  </si>
  <si>
    <t xml:space="preserve">98 std + 6 ADA = 104 (1/unit)</t>
  </si>
  <si>
    <t xml:space="preserve">Heat sources</t>
  </si>
  <si>
    <t xml:space="preserve">GAS BOILERS (3 × 199mbh AO Smith/Rinnai/Bock 100-gal vertical) + B&amp;G recirc pump + Heat Timer mixing valve</t>
  </si>
  <si>
    <t xml:space="preserve">Common area trim</t>
  </si>
  <si>
    <t xml:space="preserve">2 Toto ADA toilets + 2 Kohler lavs + 2 Kohler amenity faucets + Mustee mop sink + Elkay drinking fountain</t>
  </si>
  <si>
    <t xml:space="preserve">Plumbing systems</t>
  </si>
  <si>
    <t xml:space="preserve">5 Woodford #65 frostproof hose bibs + 1 Woodford #122 hot/cold trash room + 1 Woodford #24 garage + 13 deck drains + 7 roof drains + 3 garage drains + 1 oil/water separator + 1 foundation drain pump + gas service to 3 WHs/2 BBQs/1 firepit/1 RTU</t>
  </si>
  <si>
    <t xml:space="preserve">PROJECT TEAM — GENERAL CONTRACTOR (Ravenna Partners · owner-GC)</t>
  </si>
  <si>
    <t xml:space="preserve">GC Address</t>
  </si>
  <si>
    <t xml:space="preserve">Seattle WA (owner-GC entity)</t>
  </si>
  <si>
    <t xml:space="preserve">GC Superintendent</t>
  </si>
  <si>
    <t xml:space="preserve">GC Project Engineer</t>
  </si>
  <si>
    <t xml:space="preserve">Ravenna engagement count</t>
  </si>
  <si>
    <t xml:space="preserve">OWP's 1st Ravenna Partners engagement. Owner-GC pattern (Ravenna acts as both owner and GC). NEW GC for OWP — no closed-job history. First two budget rounds Dec 2023 + Oct 2024 were submitted under Blueprint as GC; Ravenna took over as owner-GC for Nov 2025 final bid.</t>
  </si>
  <si>
    <t xml:space="preserve">PROJECT TEAM — OWP STAFF</t>
  </si>
  <si>
    <t xml:space="preserve">OWP Roughin Foreman</t>
  </si>
  <si>
    <t xml:space="preserve">TBD · pre-construction (no field start scheduled yet)</t>
  </si>
  <si>
    <t xml:space="preserve">OWP Trim Foreman</t>
  </si>
  <si>
    <t xml:space="preserve">Active Crew</t>
  </si>
  <si>
    <t xml:space="preserve">2 workers · 3.0 hrs YTD (takeoff/design only)</t>
  </si>
  <si>
    <t xml:space="preserve">PROJECT TEAM — OWNER &amp; DEVELOPMENT</t>
  </si>
  <si>
    <t xml:space="preserve">Owner of Record</t>
  </si>
  <si>
    <t xml:space="preserve">Developer</t>
  </si>
  <si>
    <t xml:space="preserve">Owner-GC structure</t>
  </si>
  <si>
    <t xml:space="preserve">Ravenna Partners is acting as both owner and GC (self-developing). Owner-GC pattern means lean PM teams + price-sensitive negotiation + emphasis on schedule certainty.</t>
  </si>
  <si>
    <t xml:space="preserve">Address Andrew Withnell</t>
  </si>
  <si>
    <t xml:space="preserve">Per Nov 19 2025 proposal letterhead — primary OWP contact at Ravenna Partners.</t>
  </si>
  <si>
    <t xml:space="preserve">PROJECT TEAM — DESIGN</t>
  </si>
  <si>
    <t xml:space="preserve">Structural Engineer</t>
  </si>
  <si>
    <t xml:space="preserve">Civil Engineer</t>
  </si>
  <si>
    <t xml:space="preserve">Landscape Architect</t>
  </si>
  <si>
    <t xml:space="preserve">Franklin design-build note</t>
  </si>
  <si>
    <t xml:space="preserve">Franklin Engineering is OWP's design-build MEP partner — same firm engaged on #2108 Braseth, #2118 Exxel, etc. Design completed and Initial MEP Coordination Plans on file. $10,701 design fees booked YTD = ~0.55% of bid value (typical pre-permit fee ratio).</t>
  </si>
  <si>
    <t xml:space="preserve">BID HISTORY (3-budget pursuit · Dec 2023 → Nov 2025)</t>
  </si>
  <si>
    <t xml:space="preserve">Date</t>
  </si>
  <si>
    <t xml:space="preserve">Type</t>
  </si>
  <si>
    <t xml:space="preserve">GC</t>
  </si>
  <si>
    <t xml:space="preserve">Units</t>
  </si>
  <si>
    <t xml:space="preserve">Price</t>
  </si>
  <si>
    <t xml:space="preserve">Note</t>
  </si>
  <si>
    <t xml:space="preserve">2023-12-15</t>
  </si>
  <si>
    <t xml:space="preserve">BID</t>
  </si>
  <si>
    <t xml:space="preserve">Blueprint</t>
  </si>
  <si>
    <t xml:space="preserve">$2,610,000</t>
  </si>
  <si>
    <t xml:space="preserve">1st Budget · 122 units · $21,393/unit · 667 RI fixtures · scope larger than final</t>
  </si>
  <si>
    <t xml:space="preserve">2024-10-17</t>
  </si>
  <si>
    <t xml:space="preserve">$2,100,000</t>
  </si>
  <si>
    <t xml:space="preserve">2nd Budget · 100 units · -19.5% from 1st bid · -$510k · scope contraction</t>
  </si>
  <si>
    <t xml:space="preserve">2025-11-19</t>
  </si>
  <si>
    <t xml:space="preserve">$1,948,000</t>
  </si>
  <si>
    <t xml:space="preserve">3rd Budget · FINAL · 104 units · $18,731/unit · 425 trim · -7.2% from 2nd · Ravenna takes over as owner-GC</t>
  </si>
  <si>
    <t xml:space="preserve">AP VENDOR PROFILE (TAKEOFF/DESIGN PHASE)</t>
  </si>
  <si>
    <t xml:space="preserve">Top Vendor</t>
  </si>
  <si>
    <t xml:space="preserve">Franklin Engineering ($10,701 / 2 invoices / 100% of $11k AP) — design fees only</t>
  </si>
  <si>
    <t xml:space="preserve">Total AP Spend</t>
  </si>
  <si>
    <t xml:space="preserve">Active Vendors</t>
  </si>
  <si>
    <t xml:space="preserve">1 unique vendor (Franklin Engineering only · typical for design-only phase)</t>
  </si>
  <si>
    <t xml:space="preserve">Concentration Note</t>
  </si>
  <si>
    <t xml:space="preserve">100% Franklin Engineering concentration is normal for pre-permit design-build phase — will diversify when field phase begins (Pacific Plumbing, Rosen, Ferguson, Consolidated standard expected).</t>
  </si>
  <si>
    <t xml:space="preserve">DOCUMENT META (current)</t>
  </si>
  <si>
    <t xml:space="preserve">Bid Sheets (in folder)</t>
  </si>
  <si>
    <t xml:space="preserve">3 (Dec 2023 + Oct 2024 + Nov 2025)</t>
  </si>
  <si>
    <t xml:space="preserve">Proposal (Nov 2025)</t>
  </si>
  <si>
    <t xml:space="preserve">1 (.docx + .pdf)</t>
  </si>
  <si>
    <t xml:space="preserve">Permit Plans</t>
  </si>
  <si>
    <t xml:space="preserve">2 (1st + 3rd budget folders have copies)</t>
  </si>
  <si>
    <t xml:space="preserve">MEP Coordination Plans</t>
  </si>
  <si>
    <t xml:space="preserve">1 (Franklin Engineering · Nov 2025 · for OWP-internal use)</t>
  </si>
  <si>
    <t xml:space="preserve">Submittals</t>
  </si>
  <si>
    <t xml:space="preserve">3 files (Sanco package, Electric Water Heater, Sizing Tool)</t>
  </si>
  <si>
    <t xml:space="preserve">Vendor Quotes</t>
  </si>
  <si>
    <t xml:space="preserve">1 files (S024745035-0001 trim fixture quote)</t>
  </si>
  <si>
    <t xml:space="preserve">Email Threads</t>
  </si>
  <si>
    <t xml:space="preserve">2 .msg files (budget responses Dec 2023 + Oct 2024)</t>
  </si>
  <si>
    <t xml:space="preserve">Notes</t>
  </si>
  <si>
    <t xml:space="preserve">No Sage Job Book yet. CO log will populate at subcontract execution.</t>
  </si>
  <si>
    <t xml:space="preserve">DATA SOURCES</t>
  </si>
  <si>
    <t xml:space="preserve">JDR PDF</t>
  </si>
  <si>
    <t xml:space="preserve">2117 Job Detail Report (Sage Timberline · early design phase · 17 line items only)</t>
  </si>
  <si>
    <t xml:space="preserve">Parsed Data</t>
  </si>
  <si>
    <t xml:space="preserve">2117_data.json</t>
  </si>
  <si>
    <t xml:space="preserve">Dashboard Arrays</t>
  </si>
  <si>
    <t xml:space="preserve">2117_dashboard_arrays.json</t>
  </si>
  <si>
    <t xml:space="preserve">Final Bid Sheet</t>
  </si>
  <si>
    <t xml:space="preserve">Ravenna Partners - 3421 Woodland Park Apartments Bid Sheet - Nov 19 2025.xlsx</t>
  </si>
  <si>
    <t xml:space="preserve">Final Proposal</t>
  </si>
  <si>
    <t xml:space="preserve">Ravenna Partners - 3421 Woodland Park Plumbing Proposal - Nov 19 2025.docx</t>
  </si>
  <si>
    <t xml:space="preserve">Earlier Bid Sheets</t>
  </si>
  <si>
    <t xml:space="preserve">Blueprint - 3421 Woodland Park - Bid Sheet - December 15 2023.xlsx + October 17 2024.xlsx</t>
  </si>
  <si>
    <t xml:space="preserve">3421 Woodland Park - Building Permit Plans.pdf (current)</t>
  </si>
  <si>
    <t xml:space="preserve">MEP Plans</t>
  </si>
  <si>
    <t xml:space="preserve">3421 Woodland Park - Initial MEP Coordination Plans.pdf (Franklin · Nov 2025)</t>
  </si>
  <si>
    <t xml:space="preserve">GDrive Bid Folder</t>
  </si>
  <si>
    <t xml:space="preserve">Bid Book mounted at /Estimating - Won Bids/Ravenna - Lachlan/. 3 budget rounds (Dec 2023 / Oct 2024 / Nov 2025) · Bid sheets + proposals + permit plans + MEP coordination plans + Sanco/EWH submittals + vendor quotes (S024745035 trim fixture quote).</t>
  </si>
  <si>
    <t xml:space="preserve">RISK FLAGS / WATCH ITEMS</t>
  </si>
  <si>
    <t xml:space="preserve">First OWP-Ravenna engagement</t>
  </si>
  <si>
    <t xml:space="preserve">No closed-job history with Ravenna Partners. Owner-GC pattern (lean PM, price-sensitive). Watch payment cadence + CO behavior closely once subcontract executes.</t>
  </si>
  <si>
    <t xml:space="preserve">23-month bid pursuit · -25% from 1st to 3rd</t>
  </si>
  <si>
    <t xml:space="preserve">Owner repeatedly tightened scope (-18 units, -$662k from Dec 2023 → Nov 2025). Indicates strong price sensitivity. Expect tight CO scrutiny — discipline on scope clarity at subcontract execution will protect margin.</t>
  </si>
  <si>
    <t xml:space="preserve">GC label changed Dec 2023 → Nov 2025</t>
  </si>
  <si>
    <t xml:space="preserve">First two bids submitted under Blueprint as GC (Dec 2023 + Oct 2024); 3rd bid submitted to Ravenna Partners as owner-GC. Confirm whether Blueprint exited or was acquired/repositioned.</t>
  </si>
  <si>
    <t xml:space="preserve">Tariff/duty exclusion clause</t>
  </si>
  <si>
    <t xml:space="preserve">Nov 2025 proposal language: 'OWP reserves right to adjust for current/future tariff rates, duties, government charges, trade regulations.' — protects margin against 2025-onward import cost spikes.</t>
  </si>
  <si>
    <t xml:space="preserve">OCIP-deduct alternate offered</t>
  </si>
  <si>
    <t xml:space="preserve">Alt #3 offered owner an OCIP wrap deduct option but not selected per Nov 2025 proposal · standard COI assumed. Confirm at subcontract execution.</t>
  </si>
  <si>
    <t xml:space="preserve">Gas water heating risk</t>
  </si>
  <si>
    <t xml:space="preserve">3 gas boilers (199mbh × 100-gal AO Smith/Rinnai/Bock) + 1 RTU + 2 BBQ + 1 firepit = 7 gas connections. PSE meter sizing + venting routes need IFC drawing review at submittal stage.</t>
  </si>
  <si>
    <t xml:space="preserve">PROJECT NARRATIVE</t>
  </si>
  <si>
    <t xml:space="preserve">Project history</t>
  </si>
  <si>
    <t xml:space="preserve">Ravenna Partners is OWP's first engagement with this owner-GC. The Lachlan Apartments project at 3421 Woodland Park Ave N (Lower Woodland / Wallingford) has been bid 3 times since Dec 2023: 1st Budget Dec 15 2023 ($2,610,000 / 122u) and 2nd Budget Oct 17 2024 ($2,100,000 / 100u) were both submitted with Blueprint listed as GC. By Nov 19 2025 Ravenna Partners had taken over as owner-GC and OWP submitted the 3rd and FINAL bid at $1,948,000 / 104u / 425 trim fixtures (addressed to Andrew Withnell). Pending Ravenna acceptance.</t>
  </si>
  <si>
    <t xml:space="preserve">Scope refinement across 3 bids</t>
  </si>
  <si>
    <t xml:space="preserve">Bid trajectory shows scope contraction over 23 months: 1st bid 122 units / 667 RI / $2.61M → 2nd bid 100 units / 539 RI / $2.10M (-19.5%) → 3rd bid 104 units / 535 RI / $1.95M (-7.2%). Net change from 1st to 3rd: -18 units (-14.8%) and -$662k (-25.4%) — owner repeatedly tightened the program to hit pro-forma. Final program is 8-story + penthouse mid-rise w/ gas water heating (3 boilers), 53 tubs / 51 showers / 104 toilets/lavs/kitchens, matte black Peerless trim throughout.</t>
  </si>
  <si>
    <t xml:space="preserve">Sunk-cost posture</t>
  </si>
  <si>
    <t xml:space="preserve">OWP has $0 billed to date against $11,007 sunk takeoff+design cost = -$11,007 carrying loss. Top vendor Franklin Engineering = $10,701 (97% of sunk · OWP design-build MEP fees). Only 3.0 hours of OWP labor logged YTD (Jeffrey + Jordan Gerard takeoff). Tiny carrying cost relative to the $1.95M bid — typical pre-acceptance posture for a 23-month bid pursuit.</t>
  </si>
  <si>
    <t xml:space="preserve">Ravenna Partners is acting as both owner and GC (owner-GC pattern — same as #2117 Lachlan and Sierra-style #2110 LNTP-then-bid). Owner-GCs typically run lean PM teams, expect aggressive subcontractor pricing, and emphasize schedule certainty. No closed-job history with Ravenna for OWP — first engagement. Watch payment cadence and CO behavior closely once subcontract executes. OWP design-build MEP partner Franklin Engineering provides continuity (same partner used on #2108 Braseth, #2118 Exxel, etc.).</t>
  </si>
  <si>
    <t xml:space="preserve">Activation triggers</t>
  </si>
  <si>
    <t xml:space="preserve">Watch for: (a) Ravenna acceptance of Nov 19 2025 BID, (b) plumbing permit submittal to City of Seattle, (c) framing schedule visibility from Ravenna. Once subcontract executes, Franklin Engineering will publish IFC plumbing drawings (Initial MEP Coordination Plans currently on file). OWP ready to mobilize once Ravenna issues subcontract or LNTP.</t>
  </si>
  <si>
    <t xml:space="preserve">Risk profile</t>
  </si>
  <si>
    <t xml:space="preserve">New GC relationship · no closed-job history with Ravenna Partners (owner-GC). Three-bid trajectory (-25% from 1st to 3rd) shows owner is price-sensitive — expect tight CO scrutiny. Tariff/duty exclusion clause in Nov 2025 proposal (matches OWP 2025 bid template). OCIP-deduct alternate offered but not selected · standard COI assumed. Expected margin profile: 22-26% on design-build subcontracts based on OWP closed-portfolio benchmarks for new owner-GC relationships.</t>
  </si>
  <si>
    <t xml:space="preserve">Contract Summary</t>
  </si>
  <si>
    <t xml:space="preserve">Item</t>
  </si>
  <si>
    <t xml:space="preserve">Original</t>
  </si>
  <si>
    <t xml:space="preserve">Revised</t>
  </si>
  <si>
    <t xml:space="preserve">Delta</t>
  </si>
  <si>
    <t xml:space="preserve">Base construction contract</t>
  </si>
  <si>
    <t xml:space="preserve">Executed change orders (net)</t>
  </si>
  <si>
    <t xml:space="preserve">Total contract value</t>
  </si>
  <si>
    <t xml:space="preserve">Executed Change Orders</t>
  </si>
  <si>
    <t xml:space="preserve">CO #</t>
  </si>
  <si>
    <t xml:space="preserve">Description</t>
  </si>
  <si>
    <t xml:space="preserve">Amount</t>
  </si>
  <si>
    <t xml:space="preserve">Schedule of Values / Pay Application History</t>
  </si>
  <si>
    <t xml:space="preserve">Pay App</t>
  </si>
  <si>
    <t xml:space="preserve">Period End</t>
  </si>
  <si>
    <t xml:space="preserve">This Period</t>
  </si>
  <si>
    <t xml:space="preserve">Completed to Date</t>
  </si>
  <si>
    <t xml:space="preserve">Retention Held</t>
  </si>
  <si>
    <t xml:space="preserve">Previous Billed</t>
  </si>
  <si>
    <t xml:space="preserve">Current Balance</t>
  </si>
  <si>
    <t xml:space="preserve">Change Order Log</t>
  </si>
  <si>
    <t xml:space="preserve">#</t>
  </si>
  <si>
    <t xml:space="preserve">Cost Code Detail (Revised Basis)</t>
  </si>
  <si>
    <t xml:space="preserve">Code</t>
  </si>
  <si>
    <t xml:space="preserve">Actual</t>
  </si>
  <si>
    <t xml:space="preserve">Variance</t>
  </si>
  <si>
    <t xml:space="preserve">Net Due</t>
  </si>
  <si>
    <t xml:space="preserve">% Complete</t>
  </si>
  <si>
    <t xml:space="preserve">101</t>
  </si>
  <si>
    <t xml:space="preserve">Takeoff &amp; Purchase Labor</t>
  </si>
  <si>
    <t xml:space="preserve">601</t>
  </si>
  <si>
    <t xml:space="preserve">Engineering/Plans</t>
  </si>
  <si>
    <t xml:space="preserve">995</t>
  </si>
  <si>
    <t xml:space="preserve">Payroll Burden</t>
  </si>
  <si>
    <t xml:space="preserve">998</t>
  </si>
  <si>
    <t xml:space="preserve">Payroll Taxes</t>
  </si>
  <si>
    <t xml:space="preserve">TOTAL</t>
  </si>
  <si>
    <t xml:space="preserve">Cost Category Rollup</t>
  </si>
  <si>
    <t xml:space="preserve">Category</t>
  </si>
  <si>
    <t xml:space="preserve"># Codes</t>
  </si>
  <si>
    <t xml:space="preserve">Revised Budget</t>
  </si>
  <si>
    <t xml:space="preserve">Labor</t>
  </si>
  <si>
    <t xml:space="preserve">Material</t>
  </si>
  <si>
    <t xml:space="preserve">Overhead</t>
  </si>
  <si>
    <t xml:space="preserve">Burden</t>
  </si>
  <si>
    <t xml:space="preserve">Budget vs Actual — Flag list</t>
  </si>
  <si>
    <t xml:space="preserve">Revised budget is canonical basis. Flags: OVER &gt;10%, CRITICAL &gt;50%, ON ±10%, UNDER &lt;-10%.</t>
  </si>
  <si>
    <t xml:space="preserve">% Var</t>
  </si>
  <si>
    <t xml:space="preserve">Vendor Spend (AP source)</t>
  </si>
  <si>
    <t xml:space="preserve">Vendor</t>
  </si>
  <si>
    <t xml:space="preserve">Spend ($)</t>
  </si>
  <si>
    <t xml:space="preserve">Invoices</t>
  </si>
  <si>
    <t xml:space="preserve">% of Total AP</t>
  </si>
  <si>
    <t xml:space="preserve">Franklin Engineering</t>
  </si>
  <si>
    <t xml:space="preserve">TOTAL AP</t>
  </si>
  <si>
    <t xml:space="preserve">Crew Roster (PR source)</t>
  </si>
  <si>
    <t xml:space="preserve">Worker</t>
  </si>
  <si>
    <t xml:space="preserve">Hours</t>
  </si>
  <si>
    <t xml:space="preserve">Labor $</t>
  </si>
  <si>
    <t xml:space="preserve">Avg $/hr</t>
  </si>
  <si>
    <t xml:space="preserve">Tier</t>
  </si>
  <si>
    <t xml:space="preserve">Gerard, Jeffrey S</t>
  </si>
  <si>
    <t xml:space="preserve">LEAD/SUPERVISOR</t>
  </si>
  <si>
    <t xml:space="preserve">Gerard, Jordan E</t>
  </si>
  <si>
    <t xml:space="preserve">Wage Tier Distribution</t>
  </si>
  <si>
    <t xml:space="preserve"># Workers</t>
  </si>
  <si>
    <t xml:space="preserve">% of Hours</t>
  </si>
  <si>
    <t xml:space="preserve">JOURNEYMAN</t>
  </si>
  <si>
    <t xml:space="preserve">APPRENTICE/HELPER</t>
  </si>
  <si>
    <t xml:space="preserve">OT-ONLY</t>
  </si>
  <si>
    <t xml:space="preserve">Productivity Metrics</t>
  </si>
  <si>
    <t xml:space="preserve">Total labor hours (to date)</t>
  </si>
  <si>
    <t xml:space="preserve">Active workers</t>
  </si>
  <si>
    <t xml:space="preserve">Hours per unit (to date)</t>
  </si>
  <si>
    <t xml:space="preserve">Revenue per labor hour (billed)</t>
  </si>
  <si>
    <t xml:space="preserve">Portfolio Benchmarks (vs. closed jobs)</t>
  </si>
  <si>
    <t xml:space="preserve">Metric</t>
  </si>
  <si>
    <t xml:space="preserve">This Job</t>
  </si>
  <si>
    <t xml:space="preserve">Portfolio Median</t>
  </si>
  <si>
    <t xml:space="preserve">Forecast margin %</t>
  </si>
  <si>
    <t xml:space="preserve">Roughin labor share (code 120)</t>
  </si>
  <si>
    <t xml:space="preserve">Top vendor concentration</t>
  </si>
  <si>
    <t xml:space="preserve">Hours per unit</t>
  </si>
  <si>
    <t xml:space="preserve">Predictive Signals (live project)</t>
  </si>
  <si>
    <t xml:space="preserve">Signal</t>
  </si>
  <si>
    <t xml:space="preserve">Engineering/Plans (601) unbudgeted</t>
  </si>
  <si>
    <t xml:space="preserve">⚠ WATCH</t>
  </si>
  <si>
    <t xml:space="preserve">No revised budget but $10,701 actual spend — needs CO or budget transfer</t>
  </si>
  <si>
    <t xml:space="preserve">Top vendor concentration (Franklin Engineering)</t>
  </si>
  <si>
    <t xml:space="preserve">100% of AP ($10,701) — high, monitor</t>
  </si>
  <si>
    <t xml:space="preserve">Retention aging</t>
  </si>
  <si>
    <t xml:space="preserve">✓ OK</t>
  </si>
  <si>
    <t xml:space="preserve">$0 held · 0.0% of billed · standard range</t>
  </si>
  <si>
    <t xml:space="preserve">0.0% forecast margin — monitor</t>
  </si>
  <si>
    <t xml:space="preserve">JDR Reconciliation</t>
  </si>
  <si>
    <t xml:space="preserve">Reported</t>
  </si>
  <si>
    <t xml:space="preserve">Calculated</t>
  </si>
  <si>
    <t xml:space="preserve">Total expenses (from code totals)</t>
  </si>
  <si>
    <t xml:space="preserve">Revenue billed (AR ·-1)</t>
  </si>
  <si>
    <t xml:space="preserve">AP source total</t>
  </si>
  <si>
    <t xml:space="preserve">PR source total</t>
  </si>
  <si>
    <t xml:space="preserve">GL source total</t>
  </si>
  <si>
    <t xml:space="preserve">Metric Registry</t>
  </si>
  <si>
    <t xml:space="preserve">Source Tab</t>
  </si>
  <si>
    <t xml:space="preserve">Definition</t>
  </si>
  <si>
    <t xml:space="preserve">01 Overview</t>
  </si>
  <si>
    <t xml:space="preserve">Forecast net profit / Revised contract value</t>
  </si>
  <si>
    <t xml:space="preserve">Billed to date / Revised contract value</t>
  </si>
  <si>
    <t xml:space="preserve">Roughin labor share</t>
  </si>
  <si>
    <t xml:space="preserve">06 Cost Codes</t>
  </si>
  <si>
    <t xml:space="preserve">Code 120 revised / Total labor revised budget</t>
  </si>
  <si>
    <t xml:space="preserve">09 Vendor Analysis</t>
  </si>
  <si>
    <t xml:space="preserve">Largest single vendor AP spend / Total AP</t>
  </si>
  <si>
    <t xml:space="preserve">12 Productivity</t>
  </si>
  <si>
    <t xml:space="preserve">Total PR hours to date / Unit count</t>
  </si>
  <si>
    <t xml:space="preserve">BVA status codes</t>
  </si>
  <si>
    <t xml:space="preserve">08 BVA</t>
  </si>
  <si>
    <t xml:space="preserve">OVER / CRITICAL / UNDER / ON / UNBUDGETED on revised basis</t>
  </si>
  <si>
    <t xml:space="preserve">Workbook Change Log</t>
  </si>
  <si>
    <t xml:space="preserve">Version</t>
  </si>
  <si>
    <t xml:space="preserve">2026-04-24</t>
  </si>
  <si>
    <t xml:space="preserve">v1.0 · live</t>
  </si>
  <si>
    <t xml:space="preserve">Initial build for #2117 live project. 17-tab JCR schema on revised budget basis.</t>
  </si>
  <si>
    <t xml:space="preserve">2026-04-28</t>
  </si>
  <si>
    <t xml:space="preserve">v2.0 · 2020-gold</t>
  </si>
  <si>
    <t xml:space="preserve">Upgraded Job Info to 2020/2061 gold-standard depth: 14-section sectioned layout with BID HISTORY (3 entries: Dec 2023 1st Budget Blueprint era → Oct 2024 2nd Budget Blueprint era → Nov 2025 3rd Budget FINAL Ravenna Partners era), AP Vendor Profile, Document Meta (3 bid sheets, 1 proposal, 2 permit plans, 1 MEP plan, 3 submittals, 1 vendor quote), Risk Flags + Watch Items (GC handoff Blueprint→Ravenna, 23-month -25% bid trajectory, gas heating risk, OCIP option), and PROJECT NARRATIVE (6 blocks: history, scope refinement across 3 bids, sunk-cost posture, owner-GC structure, activation triggers, risk profile). Verified team from Nov 19 2025 proposal: Andrew Withnell (Ravenna PM addressee). Architect TBD, MEP Franklin Engineering (OWP design-build). Verified 425 trim fixtures (4.09/unit) + 535 RI + 705 permit fixtures from Nov 19 2025 bid sheet ESTIMATE tab + proposal RESIDENT UNIT TRIM block cross-check.</t>
  </si>
</sst>
</file>

<file path=xl/styles.xml><?xml version="1.0" encoding="utf-8"?>
<styleSheet xmlns="http://schemas.openxmlformats.org/spreadsheetml/2006/main">
  <numFmts count="6">
    <numFmt numFmtId="164" formatCode="General"/>
    <numFmt numFmtId="165" formatCode="\$#,##0;&quot;($&quot;#,##0\);\-"/>
    <numFmt numFmtId="166" formatCode="0.0%;\(0.0%\);\-"/>
    <numFmt numFmtId="167" formatCode="#,##0"/>
    <numFmt numFmtId="168" formatCode="#,##0.0"/>
    <numFmt numFmtId="169" formatCode="\$#,##0.00"/>
  </numFmts>
  <fonts count="18">
    <font>
      <sz val="11"/>
      <color theme="1"/>
      <name val="Calibri"/>
      <family val="2"/>
      <charset val="1"/>
    </font>
    <font>
      <sz val="10"/>
      <name val="Arial"/>
      <family val="0"/>
    </font>
    <font>
      <sz val="10"/>
      <name val="Arial"/>
      <family val="0"/>
    </font>
    <font>
      <sz val="10"/>
      <name val="Arial"/>
      <family val="0"/>
    </font>
    <font>
      <b val="true"/>
      <sz val="16"/>
      <color rgb="FF2C2B29"/>
      <name val="Arial"/>
      <family val="0"/>
      <charset val="1"/>
    </font>
    <font>
      <i val="true"/>
      <sz val="9"/>
      <color rgb="FF70655C"/>
      <name val="Arial"/>
      <family val="0"/>
      <charset val="1"/>
    </font>
    <font>
      <b val="true"/>
      <sz val="12"/>
      <color rgb="FF2C2B29"/>
      <name val="Arial"/>
      <family val="0"/>
      <charset val="1"/>
    </font>
    <font>
      <sz val="10"/>
      <color rgb="FF2C2B29"/>
      <name val="Arial"/>
      <family val="0"/>
      <charset val="1"/>
    </font>
    <font>
      <sz val="10"/>
      <color rgb="FF0000FF"/>
      <name val="Arial"/>
      <family val="0"/>
      <charset val="1"/>
    </font>
    <font>
      <b val="true"/>
      <sz val="10"/>
      <color rgb="FF000000"/>
      <name val="Arial"/>
      <family val="0"/>
      <charset val="1"/>
    </font>
    <font>
      <b val="true"/>
      <sz val="10"/>
      <color rgb="FFFFFFFF"/>
      <name val="Arial"/>
      <family val="0"/>
      <charset val="1"/>
    </font>
    <font>
      <sz val="10"/>
      <color rgb="FF000000"/>
      <name val="Arial"/>
      <family val="0"/>
      <charset val="1"/>
    </font>
    <font>
      <b val="true"/>
      <sz val="11"/>
      <color rgb="FF1F1F1F"/>
      <name val="Arial"/>
      <family val="0"/>
      <charset val="1"/>
    </font>
    <font>
      <i val="true"/>
      <sz val="9"/>
      <color rgb="FF6B6B6B"/>
      <name val="Arial"/>
      <family val="0"/>
      <charset val="1"/>
    </font>
    <font>
      <b val="true"/>
      <sz val="10"/>
      <color rgb="FF1F1F1F"/>
      <name val="Arial"/>
      <family val="0"/>
      <charset val="1"/>
    </font>
    <font>
      <sz val="10"/>
      <color rgb="FF1F1F1F"/>
      <name val="Arial"/>
      <family val="0"/>
      <charset val="1"/>
    </font>
    <font>
      <b val="true"/>
      <sz val="14"/>
      <color rgb="FF1F1F1F"/>
      <name val="Arial"/>
      <family val="0"/>
      <charset val="1"/>
    </font>
    <font>
      <b val="true"/>
      <sz val="10"/>
      <color rgb="FF2C2B29"/>
      <name val="Arial"/>
      <family val="0"/>
      <charset val="1"/>
    </font>
  </fonts>
  <fills count="9">
    <fill>
      <patternFill patternType="none"/>
    </fill>
    <fill>
      <patternFill patternType="gray125"/>
    </fill>
    <fill>
      <patternFill patternType="solid">
        <fgColor rgb="FF2C2B29"/>
        <bgColor rgb="FF1F1F1F"/>
      </patternFill>
    </fill>
    <fill>
      <patternFill patternType="solid">
        <fgColor rgb="FFECF0F1"/>
        <bgColor rgb="FFFFF8E7"/>
      </patternFill>
    </fill>
    <fill>
      <patternFill patternType="solid">
        <fgColor rgb="FF2C3E50"/>
        <bgColor rgb="FF2C2B29"/>
      </patternFill>
    </fill>
    <fill>
      <patternFill patternType="solid">
        <fgColor rgb="FFFFF8E7"/>
        <bgColor rgb="FFFFFFFF"/>
      </patternFill>
    </fill>
    <fill>
      <patternFill patternType="solid">
        <fgColor rgb="FFD4EDDA"/>
        <bgColor rgb="FFD5DEC5"/>
      </patternFill>
    </fill>
    <fill>
      <patternFill patternType="solid">
        <fgColor rgb="FFE8CEC3"/>
        <bgColor rgb="FFD5D8DC"/>
      </patternFill>
    </fill>
    <fill>
      <patternFill patternType="solid">
        <fgColor rgb="FFD5DEC5"/>
        <bgColor rgb="FFD5D8DC"/>
      </patternFill>
    </fill>
  </fills>
  <borders count="4">
    <border diagonalUp="false" diagonalDown="false">
      <left/>
      <right/>
      <top/>
      <bottom/>
      <diagonal/>
    </border>
    <border diagonalUp="false" diagonalDown="false">
      <left style="thin">
        <color rgb="FFD5D8DC"/>
      </left>
      <right style="thin">
        <color rgb="FFD5D8DC"/>
      </right>
      <top style="thin">
        <color rgb="FFD5D8DC"/>
      </top>
      <bottom style="thin">
        <color rgb="FFD5D8DC"/>
      </bottom>
      <diagonal/>
    </border>
    <border diagonalUp="false" diagonalDown="false">
      <left style="thin">
        <color rgb="FFD5D8DC"/>
      </left>
      <right/>
      <top style="thin">
        <color rgb="FFD5D8DC"/>
      </top>
      <bottom style="thin">
        <color rgb="FFD5D8DC"/>
      </bottom>
      <diagonal/>
    </border>
    <border diagonalUp="false" diagonalDown="false">
      <left style="thin">
        <color rgb="FFBFB8AE"/>
      </left>
      <right style="thin">
        <color rgb="FFBFB8AE"/>
      </right>
      <top style="thin">
        <color rgb="FFBFB8AE"/>
      </top>
      <bottom style="thin">
        <color rgb="FFBFB8A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right" vertical="center" textRotation="0" wrapText="false" indent="0" shrinkToFit="false"/>
      <protection locked="true" hidden="false"/>
    </xf>
    <xf numFmtId="165" fontId="9" fillId="0" borderId="0" xfId="0" applyFont="true" applyBorder="false" applyAlignment="true" applyProtection="false">
      <alignment horizontal="right" vertical="center" textRotation="0" wrapText="false" indent="0" shrinkToFit="false"/>
      <protection locked="true" hidden="false"/>
    </xf>
    <xf numFmtId="166" fontId="9" fillId="0" borderId="0" xfId="0" applyFont="true" applyBorder="false" applyAlignment="true" applyProtection="false">
      <alignment horizontal="right" vertical="center" textRotation="0" wrapText="false" indent="0" shrinkToFit="false"/>
      <protection locked="true" hidden="false"/>
    </xf>
    <xf numFmtId="164" fontId="10" fillId="2" borderId="0" xfId="0" applyFont="true" applyBorder="false" applyAlignment="true" applyProtection="false">
      <alignment horizontal="center" vertical="center" textRotation="0" wrapText="false" indent="0" shrinkToFit="false"/>
      <protection locked="true" hidden="false"/>
    </xf>
    <xf numFmtId="165" fontId="11" fillId="0" borderId="0" xfId="0" applyFont="true" applyBorder="false" applyAlignment="true" applyProtection="false">
      <alignment horizontal="right" vertical="center" textRotation="0" wrapText="false" indent="0" shrinkToFit="false"/>
      <protection locked="true" hidden="false"/>
    </xf>
    <xf numFmtId="164" fontId="12" fillId="3" borderId="0"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4" fontId="14" fillId="5" borderId="1" xfId="0" applyFont="true" applyBorder="true" applyAlignment="false" applyProtection="false">
      <alignment horizontal="general" vertical="bottom" textRotation="0" wrapText="false" indent="0" shrinkToFit="false"/>
      <protection locked="true" hidden="false"/>
    </xf>
    <xf numFmtId="164" fontId="15" fillId="5" borderId="1" xfId="0" applyFont="true" applyBorder="true" applyAlignment="true" applyProtection="false">
      <alignment horizontal="general" vertical="top" textRotation="0" wrapText="tru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12" fillId="3" borderId="2" xfId="0" applyFont="tru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4" fontId="15" fillId="0" borderId="2" xfId="0" applyFont="true" applyBorder="true" applyAlignment="true" applyProtection="false">
      <alignment horizontal="general" vertical="top" textRotation="0" wrapText="true" indent="0" shrinkToFit="false"/>
      <protection locked="true" hidden="false"/>
    </xf>
    <xf numFmtId="164" fontId="15" fillId="5" borderId="2"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15" fillId="6" borderId="1" xfId="0" applyFont="true" applyBorder="true" applyAlignment="false" applyProtection="false">
      <alignment horizontal="general" vertical="bottom" textRotation="0" wrapText="false" indent="0" shrinkToFit="false"/>
      <protection locked="true" hidden="false"/>
    </xf>
    <xf numFmtId="164" fontId="14" fillId="6" borderId="1" xfId="0" applyFont="true" applyBorder="true" applyAlignment="false" applyProtection="false">
      <alignment horizontal="general" vertical="bottom" textRotation="0" wrapText="false" indent="0" shrinkToFit="false"/>
      <protection locked="true" hidden="false"/>
    </xf>
    <xf numFmtId="164" fontId="15" fillId="6" borderId="1" xfId="0" applyFont="true" applyBorder="true" applyAlignment="true" applyProtection="false">
      <alignment horizontal="general" vertical="top" textRotation="0" wrapText="true" indent="0" shrinkToFit="false"/>
      <protection locked="true" hidden="false"/>
    </xf>
    <xf numFmtId="164" fontId="10" fillId="2" borderId="3" xfId="0" applyFont="true" applyBorder="true" applyAlignment="true" applyProtection="false">
      <alignment horizontal="center" vertical="center"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true" applyProtection="false">
      <alignment horizontal="right" vertical="center" textRotation="0" wrapText="false" indent="0" shrinkToFit="false"/>
      <protection locked="true" hidden="false"/>
    </xf>
    <xf numFmtId="167" fontId="9" fillId="0" borderId="0" xfId="0" applyFont="true" applyBorder="false" applyAlignment="true" applyProtection="false">
      <alignment horizontal="right" vertical="center" textRotation="0" wrapText="false" indent="0" shrinkToFit="false"/>
      <protection locked="true" hidden="false"/>
    </xf>
    <xf numFmtId="164" fontId="9" fillId="0" borderId="0" xfId="0" applyFont="tru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right" vertical="center" textRotation="0" wrapText="false" indent="0" shrinkToFit="false"/>
      <protection locked="true" hidden="false"/>
    </xf>
    <xf numFmtId="168" fontId="8" fillId="0" borderId="0" xfId="0" applyFont="true" applyBorder="false" applyAlignment="true" applyProtection="false">
      <alignment horizontal="right" vertical="center" textRotation="0" wrapText="false" indent="0" shrinkToFit="false"/>
      <protection locked="true" hidden="false"/>
    </xf>
    <xf numFmtId="169" fontId="11" fillId="0" borderId="0" xfId="0" applyFont="true" applyBorder="false" applyAlignment="true" applyProtection="false">
      <alignment horizontal="right" vertical="center" textRotation="0" wrapText="false" indent="0" shrinkToFit="false"/>
      <protection locked="true" hidden="false"/>
    </xf>
    <xf numFmtId="167" fontId="8" fillId="0" borderId="0" xfId="0" applyFont="true" applyBorder="false" applyAlignment="true" applyProtection="false">
      <alignment horizontal="right" vertical="center" textRotation="0" wrapText="false" indent="0" shrinkToFit="false"/>
      <protection locked="true" hidden="false"/>
    </xf>
    <xf numFmtId="169" fontId="8" fillId="0" borderId="0" xfId="0" applyFont="true" applyBorder="false" applyAlignment="true" applyProtection="false">
      <alignment horizontal="right" vertical="center" textRotation="0" wrapText="false" indent="0" shrinkToFit="false"/>
      <protection locked="true" hidden="false"/>
    </xf>
    <xf numFmtId="166" fontId="8" fillId="0" borderId="0" xfId="0" applyFont="true" applyBorder="false" applyAlignment="true" applyProtection="false">
      <alignment horizontal="right" vertical="center" textRotation="0" wrapText="false" indent="0" shrinkToFit="false"/>
      <protection locked="true" hidden="false"/>
    </xf>
    <xf numFmtId="168" fontId="11" fillId="0" borderId="0" xfId="0" applyFont="true" applyBorder="false" applyAlignment="true" applyProtection="false">
      <alignment horizontal="right" vertical="center" textRotation="0" wrapText="false" indent="0" shrinkToFit="false"/>
      <protection locked="true" hidden="false"/>
    </xf>
    <xf numFmtId="164" fontId="17" fillId="7" borderId="0" xfId="0" applyFont="true" applyBorder="false" applyAlignment="true" applyProtection="false">
      <alignment horizontal="center" vertical="center" textRotation="0" wrapText="false" indent="0" shrinkToFit="false"/>
      <protection locked="true" hidden="false"/>
    </xf>
    <xf numFmtId="164" fontId="17" fillId="8" borderId="0" xfId="0" applyFont="true" applyBorder="fals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8AE"/>
      <rgbColor rgb="FF70655C"/>
      <rgbColor rgb="FF9999FF"/>
      <rgbColor rgb="FF993366"/>
      <rgbColor rgb="FFFFF8E7"/>
      <rgbColor rgb="FFECF0F1"/>
      <rgbColor rgb="FF660066"/>
      <rgbColor rgb="FFFF8080"/>
      <rgbColor rgb="FF0066CC"/>
      <rgbColor rgb="FFD5D8DC"/>
      <rgbColor rgb="FF000080"/>
      <rgbColor rgb="FFFF00FF"/>
      <rgbColor rgb="FFFFFF00"/>
      <rgbColor rgb="FF00FFFF"/>
      <rgbColor rgb="FF800080"/>
      <rgbColor rgb="FF800000"/>
      <rgbColor rgb="FF008080"/>
      <rgbColor rgb="FF0000FF"/>
      <rgbColor rgb="FF00CCFF"/>
      <rgbColor rgb="FFD5DEC5"/>
      <rgbColor rgb="FFD4EDDA"/>
      <rgbColor rgb="FFFFFF99"/>
      <rgbColor rgb="FF99CCFF"/>
      <rgbColor rgb="FFFF99CC"/>
      <rgbColor rgb="FFCC99FF"/>
      <rgbColor rgb="FFE8CEC3"/>
      <rgbColor rgb="FF3366FF"/>
      <rgbColor rgb="FF33CCCC"/>
      <rgbColor rgb="FF99CC00"/>
      <rgbColor rgb="FFFFCC00"/>
      <rgbColor rgb="FFFF9900"/>
      <rgbColor rgb="FFFF6600"/>
      <rgbColor rgb="FF6B6B6B"/>
      <rgbColor rgb="FF969696"/>
      <rgbColor rgb="FF003366"/>
      <rgbColor rgb="FF339966"/>
      <rgbColor rgb="FF003300"/>
      <rgbColor rgb="FF1F1F1F"/>
      <rgbColor rgb="FF993300"/>
      <rgbColor rgb="FF993366"/>
      <rgbColor rgb="FF2C3E50"/>
      <rgbColor rgb="FF2C2B2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5" min="2" style="0" width="18"/>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5" t="n">
        <v>0</v>
      </c>
    </row>
    <row r="6" customFormat="false" ht="15" hidden="false" customHeight="false" outlineLevel="0" collapsed="false">
      <c r="A6" s="4" t="s">
        <v>4</v>
      </c>
      <c r="B6" s="5" t="n">
        <v>0</v>
      </c>
    </row>
    <row r="7" customFormat="false" ht="15" hidden="false" customHeight="false" outlineLevel="0" collapsed="false">
      <c r="A7" s="4" t="s">
        <v>5</v>
      </c>
      <c r="B7" s="6" t="n">
        <f aca="false">B5-B6</f>
        <v>0</v>
      </c>
    </row>
    <row r="8" customFormat="false" ht="15" hidden="false" customHeight="false" outlineLevel="0" collapsed="false">
      <c r="A8" s="4" t="s">
        <v>6</v>
      </c>
      <c r="B8" s="7" t="n">
        <f aca="false">IFERROR(B7/B5,0)</f>
        <v>0</v>
      </c>
    </row>
    <row r="10" customFormat="false" ht="15" hidden="false" customHeight="false" outlineLevel="0" collapsed="false">
      <c r="A10" s="3" t="s">
        <v>7</v>
      </c>
    </row>
    <row r="11" customFormat="false" ht="15" hidden="false" customHeight="false" outlineLevel="0" collapsed="false">
      <c r="A11" s="4" t="s">
        <v>8</v>
      </c>
      <c r="B11" s="5" t="n">
        <v>0</v>
      </c>
    </row>
    <row r="12" customFormat="false" ht="15" hidden="false" customHeight="false" outlineLevel="0" collapsed="false">
      <c r="A12" s="4" t="s">
        <v>9</v>
      </c>
      <c r="B12" s="5" t="n">
        <v>0</v>
      </c>
    </row>
    <row r="13" customFormat="false" ht="15" hidden="false" customHeight="false" outlineLevel="0" collapsed="false">
      <c r="A13" s="4" t="s">
        <v>10</v>
      </c>
      <c r="B13" s="6" t="n">
        <f aca="false">B11-B12</f>
        <v>0</v>
      </c>
    </row>
    <row r="14" customFormat="false" ht="15" hidden="false" customHeight="false" outlineLevel="0" collapsed="false">
      <c r="A14" s="4" t="s">
        <v>11</v>
      </c>
      <c r="B14" s="6" t="n">
        <f aca="false">B5-B11</f>
        <v>0</v>
      </c>
    </row>
    <row r="15" customFormat="false" ht="15" hidden="false" customHeight="false" outlineLevel="0" collapsed="false">
      <c r="A15" s="4" t="s">
        <v>12</v>
      </c>
      <c r="B15" s="7" t="n">
        <f aca="false">IFERROR(B11/B5,0)</f>
        <v>0</v>
      </c>
    </row>
    <row r="17" customFormat="false" ht="15" hidden="false" customHeight="false" outlineLevel="0" collapsed="false">
      <c r="A17" s="3" t="s">
        <v>13</v>
      </c>
    </row>
    <row r="18" customFormat="false" ht="15" hidden="false" customHeight="false" outlineLevel="0" collapsed="false">
      <c r="A18" s="8" t="s">
        <v>14</v>
      </c>
      <c r="B18" s="8" t="s">
        <v>15</v>
      </c>
    </row>
    <row r="19" customFormat="false" ht="15" hidden="false" customHeight="false" outlineLevel="0" collapsed="false">
      <c r="A19" s="4" t="s">
        <v>16</v>
      </c>
      <c r="B19" s="9" t="n">
        <v>0</v>
      </c>
    </row>
    <row r="20" customFormat="false" ht="15" hidden="false" customHeight="false" outlineLevel="0" collapsed="false">
      <c r="A20" s="4" t="s">
        <v>17</v>
      </c>
      <c r="B20" s="9" t="n">
        <v>10701.25</v>
      </c>
    </row>
    <row r="21" customFormat="false" ht="15" hidden="false" customHeight="false" outlineLevel="0" collapsed="false">
      <c r="A21" s="4" t="s">
        <v>18</v>
      </c>
      <c r="B21" s="9" t="n">
        <v>306</v>
      </c>
    </row>
    <row r="22" customFormat="false" ht="15" hidden="false" customHeight="false" outlineLevel="0" collapsed="false">
      <c r="A22" s="4" t="s">
        <v>19</v>
      </c>
      <c r="B22" s="9" t="n">
        <v>0</v>
      </c>
    </row>
    <row r="30" customFormat="false" ht="15" hidden="false" customHeight="false" outlineLevel="0" collapsed="false">
      <c r="A30" s="10" t="s">
        <v>20</v>
      </c>
      <c r="B30" s="10"/>
      <c r="C30" s="10"/>
      <c r="D30" s="10"/>
      <c r="E30" s="10"/>
      <c r="F30" s="10"/>
      <c r="G30" s="10"/>
      <c r="H30" s="11"/>
    </row>
    <row r="31" customFormat="false" ht="15" hidden="false" customHeight="false" outlineLevel="0" collapsed="false">
      <c r="A31" s="12" t="s">
        <v>21</v>
      </c>
      <c r="B31" s="12"/>
      <c r="C31" s="12"/>
      <c r="D31" s="12"/>
      <c r="E31" s="12"/>
      <c r="F31" s="12"/>
      <c r="G31" s="12"/>
      <c r="H31" s="11"/>
    </row>
    <row r="32" customFormat="false" ht="15" hidden="false" customHeight="false" outlineLevel="0" collapsed="false">
      <c r="A32" s="11"/>
      <c r="B32" s="11"/>
      <c r="C32" s="11"/>
      <c r="D32" s="11"/>
      <c r="E32" s="11"/>
      <c r="F32" s="11"/>
      <c r="G32" s="11"/>
      <c r="H32" s="11"/>
    </row>
    <row r="33" customFormat="false" ht="15" hidden="false" customHeight="false" outlineLevel="0" collapsed="false">
      <c r="A33" s="13" t="s">
        <v>22</v>
      </c>
      <c r="B33" s="13" t="s">
        <v>23</v>
      </c>
      <c r="C33" s="11"/>
      <c r="D33" s="11"/>
      <c r="E33" s="11"/>
      <c r="F33" s="11"/>
      <c r="G33" s="11"/>
      <c r="H33" s="11"/>
    </row>
    <row r="34" customFormat="false" ht="15" hidden="false" customHeight="false" outlineLevel="0" collapsed="false">
      <c r="A34" s="14" t="s">
        <v>24</v>
      </c>
      <c r="B34" s="15" t="s">
        <v>25</v>
      </c>
      <c r="C34" s="11"/>
      <c r="D34" s="11"/>
      <c r="E34" s="11"/>
      <c r="F34" s="11"/>
      <c r="G34" s="11"/>
      <c r="H34" s="11"/>
    </row>
    <row r="35" customFormat="false" ht="35.05" hidden="false" customHeight="false" outlineLevel="0" collapsed="false">
      <c r="A35" s="14" t="s">
        <v>26</v>
      </c>
      <c r="B35" s="15" t="s">
        <v>27</v>
      </c>
      <c r="C35" s="11"/>
      <c r="D35" s="11"/>
      <c r="E35" s="11"/>
      <c r="F35" s="11"/>
      <c r="G35" s="11"/>
      <c r="H35" s="11"/>
    </row>
    <row r="36" customFormat="false" ht="35.05" hidden="false" customHeight="false" outlineLevel="0" collapsed="false">
      <c r="A36" s="14" t="s">
        <v>28</v>
      </c>
      <c r="B36" s="15" t="s">
        <v>29</v>
      </c>
      <c r="C36" s="11"/>
      <c r="D36" s="11"/>
      <c r="E36" s="11"/>
      <c r="F36" s="11"/>
      <c r="G36" s="11"/>
      <c r="H36" s="11"/>
    </row>
    <row r="37" customFormat="false" ht="57.45" hidden="false" customHeight="false" outlineLevel="0" collapsed="false">
      <c r="A37" s="14" t="s">
        <v>30</v>
      </c>
      <c r="B37" s="15" t="s">
        <v>31</v>
      </c>
      <c r="C37" s="11"/>
      <c r="D37" s="11"/>
      <c r="E37" s="11"/>
      <c r="F37" s="11"/>
      <c r="G37" s="11"/>
      <c r="H37" s="11"/>
    </row>
    <row r="38" customFormat="false" ht="46.25" hidden="false" customHeight="false" outlineLevel="0" collapsed="false">
      <c r="A38" s="14" t="s">
        <v>32</v>
      </c>
      <c r="B38" s="15" t="s">
        <v>33</v>
      </c>
      <c r="C38" s="11"/>
      <c r="D38" s="11"/>
      <c r="E38" s="11"/>
      <c r="F38" s="11"/>
      <c r="G38" s="11"/>
      <c r="H38" s="11"/>
    </row>
    <row r="39" customFormat="false" ht="35.05" hidden="false" customHeight="false" outlineLevel="0" collapsed="false">
      <c r="A39" s="14" t="s">
        <v>34</v>
      </c>
      <c r="B39" s="15" t="s">
        <v>35</v>
      </c>
      <c r="C39" s="11"/>
      <c r="D39" s="11"/>
      <c r="E39" s="11"/>
      <c r="F39" s="11"/>
      <c r="G39" s="11"/>
      <c r="H39" s="11"/>
    </row>
    <row r="40" customFormat="false" ht="35.05" hidden="false" customHeight="false" outlineLevel="0" collapsed="false">
      <c r="A40" s="14" t="s">
        <v>36</v>
      </c>
      <c r="B40" s="15" t="s">
        <v>37</v>
      </c>
      <c r="C40" s="11"/>
      <c r="D40" s="11"/>
      <c r="E40" s="11"/>
      <c r="F40" s="11"/>
      <c r="G40" s="11"/>
      <c r="H40" s="11"/>
    </row>
    <row r="41" customFormat="false" ht="46.25" hidden="false" customHeight="false" outlineLevel="0" collapsed="false">
      <c r="A41" s="14" t="s">
        <v>38</v>
      </c>
      <c r="B41" s="15" t="s">
        <v>39</v>
      </c>
      <c r="C41" s="11"/>
      <c r="D41" s="11"/>
      <c r="E41" s="11"/>
      <c r="F41" s="11"/>
      <c r="G41" s="11"/>
      <c r="H41" s="11"/>
    </row>
    <row r="42" customFormat="false" ht="57.45" hidden="false" customHeight="false" outlineLevel="0" collapsed="false">
      <c r="A42" s="14" t="s">
        <v>40</v>
      </c>
      <c r="B42" s="15" t="s">
        <v>41</v>
      </c>
      <c r="C42" s="11"/>
      <c r="D42" s="11"/>
      <c r="E42" s="11"/>
      <c r="F42" s="11"/>
      <c r="G42" s="11"/>
      <c r="H42" s="11"/>
    </row>
    <row r="43" customFormat="false" ht="57.45" hidden="false" customHeight="false" outlineLevel="0" collapsed="false">
      <c r="A43" s="14" t="s">
        <v>42</v>
      </c>
      <c r="B43" s="15" t="s">
        <v>43</v>
      </c>
      <c r="C43" s="11"/>
      <c r="D43" s="11"/>
      <c r="E43" s="11"/>
      <c r="F43" s="11"/>
      <c r="G43" s="11"/>
      <c r="H43" s="11"/>
    </row>
    <row r="44" customFormat="false" ht="23.85" hidden="false" customHeight="false" outlineLevel="0" collapsed="false">
      <c r="A44" s="14" t="s">
        <v>44</v>
      </c>
      <c r="B44" s="15" t="s">
        <v>45</v>
      </c>
      <c r="C44" s="11"/>
      <c r="D44" s="11"/>
      <c r="E44" s="11"/>
      <c r="F44" s="11"/>
      <c r="G44" s="11"/>
      <c r="H44" s="11"/>
    </row>
    <row r="45" customFormat="false" ht="23.85" hidden="false" customHeight="false" outlineLevel="0" collapsed="false">
      <c r="A45" s="14" t="s">
        <v>46</v>
      </c>
      <c r="B45" s="15" t="s">
        <v>47</v>
      </c>
      <c r="C45" s="11"/>
      <c r="D45" s="11"/>
      <c r="E45" s="11"/>
      <c r="F45" s="11"/>
      <c r="G45" s="11"/>
      <c r="H45" s="11"/>
    </row>
    <row r="46" customFormat="false" ht="15" hidden="false" customHeight="false" outlineLevel="0" collapsed="false">
      <c r="A46" s="14" t="s">
        <v>48</v>
      </c>
      <c r="B46" s="15" t="s">
        <v>49</v>
      </c>
      <c r="C46" s="11"/>
      <c r="D46" s="11"/>
      <c r="E46" s="11"/>
      <c r="F46" s="11"/>
      <c r="G46" s="11"/>
      <c r="H46" s="11"/>
    </row>
    <row r="47" customFormat="false" ht="35.05" hidden="false" customHeight="false" outlineLevel="0" collapsed="false">
      <c r="A47" s="14" t="s">
        <v>50</v>
      </c>
      <c r="B47" s="15" t="s">
        <v>51</v>
      </c>
      <c r="C47" s="11"/>
      <c r="D47" s="11"/>
      <c r="E47" s="11"/>
      <c r="F47" s="11"/>
      <c r="G47" s="11"/>
      <c r="H47" s="11"/>
    </row>
    <row r="48" customFormat="false" ht="35.05" hidden="false" customHeight="false" outlineLevel="0" collapsed="false">
      <c r="A48" s="14" t="s">
        <v>52</v>
      </c>
      <c r="B48" s="15" t="s">
        <v>53</v>
      </c>
      <c r="C48" s="11"/>
      <c r="D48" s="11"/>
      <c r="E48" s="11"/>
      <c r="F48" s="11"/>
      <c r="G48" s="11"/>
      <c r="H48" s="11"/>
    </row>
    <row r="49" customFormat="false" ht="15" hidden="false" customHeight="false" outlineLevel="0" collapsed="false">
      <c r="A49" s="11"/>
      <c r="B49" s="11"/>
      <c r="C49" s="11"/>
      <c r="D49" s="11"/>
      <c r="E49" s="11"/>
      <c r="F49" s="11"/>
      <c r="G49" s="11"/>
      <c r="H49" s="11"/>
    </row>
    <row r="50" customFormat="false" ht="15" hidden="false" customHeight="false" outlineLevel="0" collapsed="false">
      <c r="A50" s="11"/>
      <c r="B50" s="11"/>
      <c r="C50" s="11"/>
      <c r="D50" s="11"/>
      <c r="E50" s="11"/>
      <c r="F50" s="11"/>
      <c r="G50" s="11"/>
      <c r="H50" s="11"/>
    </row>
    <row r="51" customFormat="false" ht="15" hidden="false" customHeight="false" outlineLevel="0" collapsed="false">
      <c r="A51" s="11"/>
      <c r="B51" s="11"/>
      <c r="C51" s="11"/>
      <c r="D51" s="11"/>
      <c r="E51" s="11"/>
      <c r="F51" s="11"/>
      <c r="G51" s="11"/>
      <c r="H51" s="11"/>
    </row>
    <row r="52" customFormat="false" ht="15" hidden="false" customHeight="false" outlineLevel="0" collapsed="false">
      <c r="A52" s="11"/>
      <c r="B52" s="11"/>
      <c r="C52" s="11"/>
      <c r="D52" s="11"/>
      <c r="E52" s="11"/>
      <c r="F52" s="11"/>
      <c r="G52" s="11"/>
      <c r="H52" s="11"/>
    </row>
    <row r="53" customFormat="false" ht="15" hidden="false" customHeight="false" outlineLevel="0" collapsed="false">
      <c r="A53" s="11"/>
      <c r="B53" s="11"/>
      <c r="C53" s="11"/>
      <c r="D53" s="11"/>
      <c r="E53" s="11"/>
      <c r="F53" s="11"/>
      <c r="G53" s="11"/>
      <c r="H53" s="11"/>
    </row>
    <row r="54" customFormat="false" ht="15" hidden="false" customHeight="false" outlineLevel="0" collapsed="false">
      <c r="A54" s="11"/>
      <c r="B54" s="11"/>
      <c r="C54" s="11"/>
      <c r="D54" s="11"/>
      <c r="E54" s="11"/>
      <c r="F54" s="11"/>
      <c r="G54" s="11"/>
      <c r="H54" s="11"/>
    </row>
    <row r="55" customFormat="false" ht="15" hidden="false" customHeight="false" outlineLevel="0" collapsed="false">
      <c r="A55" s="11"/>
      <c r="B55" s="11"/>
      <c r="C55" s="11"/>
      <c r="D55" s="11"/>
      <c r="E55" s="11"/>
      <c r="F55" s="11"/>
      <c r="G55" s="11"/>
      <c r="H55" s="11"/>
    </row>
    <row r="56" customFormat="false" ht="15" hidden="false" customHeight="false" outlineLevel="0" collapsed="false">
      <c r="A56" s="11"/>
      <c r="B56" s="11"/>
      <c r="C56" s="11"/>
      <c r="D56" s="11"/>
      <c r="E56" s="11"/>
      <c r="F56" s="11"/>
      <c r="G56" s="11"/>
      <c r="H56" s="11"/>
    </row>
    <row r="57" customFormat="false" ht="15" hidden="false" customHeight="false" outlineLevel="0" collapsed="false">
      <c r="A57" s="11"/>
      <c r="B57" s="11"/>
      <c r="C57" s="11"/>
      <c r="D57" s="11"/>
      <c r="E57" s="11"/>
      <c r="F57" s="11"/>
      <c r="G57" s="11"/>
      <c r="H57" s="11"/>
    </row>
    <row r="58" customFormat="false" ht="15" hidden="false" customHeight="false" outlineLevel="0" collapsed="false">
      <c r="A58" s="11"/>
      <c r="B58" s="11"/>
      <c r="C58" s="11"/>
      <c r="D58" s="11"/>
      <c r="E58" s="11"/>
      <c r="F58" s="11"/>
      <c r="G58" s="11"/>
      <c r="H58" s="11"/>
    </row>
    <row r="59" customFormat="false" ht="15" hidden="false" customHeight="false" outlineLevel="0" collapsed="false">
      <c r="A59" s="11"/>
      <c r="B59" s="11"/>
      <c r="C59" s="11"/>
      <c r="D59" s="11"/>
      <c r="E59" s="11"/>
      <c r="F59" s="11"/>
      <c r="G59" s="11"/>
      <c r="H59" s="11"/>
    </row>
    <row r="60" customFormat="false" ht="15" hidden="false" customHeight="false" outlineLevel="0" collapsed="false">
      <c r="A60" s="11"/>
      <c r="B60" s="11"/>
      <c r="C60" s="11"/>
      <c r="D60" s="11"/>
      <c r="E60" s="11"/>
      <c r="F60" s="11"/>
      <c r="G60" s="11"/>
      <c r="H60" s="11"/>
    </row>
    <row r="61" customFormat="false" ht="15" hidden="false" customHeight="false" outlineLevel="0" collapsed="false">
      <c r="A61" s="11"/>
      <c r="B61" s="11"/>
      <c r="C61" s="11"/>
      <c r="D61" s="11"/>
      <c r="E61" s="11"/>
      <c r="F61" s="11"/>
      <c r="G61" s="11"/>
      <c r="H61" s="11"/>
    </row>
    <row r="62" customFormat="false" ht="15" hidden="false" customHeight="false" outlineLevel="0" collapsed="false">
      <c r="A62" s="11"/>
      <c r="B62" s="11"/>
      <c r="C62" s="11"/>
      <c r="D62" s="11"/>
      <c r="E62" s="11"/>
      <c r="F62" s="11"/>
      <c r="G62" s="11"/>
      <c r="H62" s="11"/>
    </row>
    <row r="63" customFormat="false" ht="15" hidden="false" customHeight="false" outlineLevel="0" collapsed="false">
      <c r="A63" s="11"/>
      <c r="B63" s="11"/>
      <c r="C63" s="11"/>
      <c r="D63" s="11"/>
      <c r="E63" s="11"/>
      <c r="F63" s="11"/>
      <c r="G63" s="11"/>
      <c r="H63" s="11"/>
    </row>
    <row r="64" customFormat="false" ht="15" hidden="false" customHeight="false" outlineLevel="0" collapsed="false">
      <c r="A64" s="11"/>
      <c r="B64" s="11"/>
      <c r="C64" s="11"/>
      <c r="D64" s="11"/>
      <c r="E64" s="11"/>
      <c r="F64" s="11"/>
      <c r="G64" s="11"/>
      <c r="H64" s="11"/>
    </row>
    <row r="65" customFormat="false" ht="15" hidden="false" customHeight="false" outlineLevel="0" collapsed="false">
      <c r="A65" s="11"/>
      <c r="B65" s="11"/>
      <c r="C65" s="11"/>
      <c r="D65" s="11"/>
      <c r="E65" s="11"/>
      <c r="F65" s="11"/>
      <c r="G65" s="11"/>
      <c r="H65" s="11"/>
    </row>
  </sheetData>
  <mergeCells count="2">
    <mergeCell ref="A30:G30"/>
    <mergeCell ref="A31:G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36"/>
    <col collapsed="false" customWidth="true" hidden="false" outlineLevel="0" max="3" min="3" style="0" width="20"/>
    <col collapsed="false" customWidth="true" hidden="false" outlineLevel="0" max="4" min="4" style="0" width="12"/>
    <col collapsed="false" customWidth="true" hidden="false" outlineLevel="0" max="5" min="5" style="0" width="14"/>
    <col collapsed="false" customWidth="true" hidden="false" outlineLevel="0" max="6" min="6" style="0" width="50"/>
  </cols>
  <sheetData>
    <row r="1" customFormat="false" ht="17.35" hidden="false" customHeight="false" outlineLevel="0" collapsed="false">
      <c r="A1" s="16" t="s">
        <v>54</v>
      </c>
      <c r="B1" s="16"/>
      <c r="C1" s="16"/>
      <c r="D1" s="16"/>
      <c r="E1" s="16"/>
      <c r="F1" s="16"/>
    </row>
    <row r="2" customFormat="false" ht="15" hidden="false" customHeight="false" outlineLevel="0" collapsed="false">
      <c r="A2" s="12" t="s">
        <v>55</v>
      </c>
      <c r="B2" s="12"/>
      <c r="C2" s="12"/>
      <c r="D2" s="12"/>
      <c r="E2" s="12"/>
      <c r="F2" s="12"/>
    </row>
    <row r="3" customFormat="false" ht="15" hidden="false" customHeight="false" outlineLevel="0" collapsed="false">
      <c r="A3" s="17"/>
      <c r="B3" s="18"/>
      <c r="C3" s="11"/>
      <c r="D3" s="11"/>
      <c r="E3" s="11"/>
      <c r="F3" s="11"/>
    </row>
    <row r="4" customFormat="false" ht="15" hidden="false" customHeight="false" outlineLevel="0" collapsed="false">
      <c r="A4" s="19" t="s">
        <v>56</v>
      </c>
      <c r="B4" s="19"/>
      <c r="C4" s="19"/>
      <c r="D4" s="19"/>
      <c r="E4" s="19"/>
      <c r="F4" s="19"/>
    </row>
    <row r="5" customFormat="false" ht="15" hidden="false" customHeight="true" outlineLevel="0" collapsed="false">
      <c r="A5" s="20" t="s">
        <v>57</v>
      </c>
      <c r="B5" s="21" t="s">
        <v>58</v>
      </c>
      <c r="C5" s="21"/>
      <c r="D5" s="21"/>
      <c r="E5" s="21"/>
      <c r="F5" s="21"/>
    </row>
    <row r="6" customFormat="false" ht="15" hidden="false" customHeight="true" outlineLevel="0" collapsed="false">
      <c r="A6" s="20" t="s">
        <v>59</v>
      </c>
      <c r="B6" s="21" t="s">
        <v>60</v>
      </c>
      <c r="C6" s="21"/>
      <c r="D6" s="21"/>
      <c r="E6" s="21"/>
      <c r="F6" s="21"/>
    </row>
    <row r="7" customFormat="false" ht="15" hidden="false" customHeight="true" outlineLevel="0" collapsed="false">
      <c r="A7" s="20" t="s">
        <v>61</v>
      </c>
      <c r="B7" s="21" t="s">
        <v>62</v>
      </c>
      <c r="C7" s="21"/>
      <c r="D7" s="21"/>
      <c r="E7" s="21"/>
      <c r="F7" s="21"/>
    </row>
    <row r="8" customFormat="false" ht="15" hidden="false" customHeight="true" outlineLevel="0" collapsed="false">
      <c r="A8" s="20" t="s">
        <v>63</v>
      </c>
      <c r="B8" s="21" t="s">
        <v>64</v>
      </c>
      <c r="C8" s="21"/>
      <c r="D8" s="21"/>
      <c r="E8" s="21"/>
      <c r="F8" s="21"/>
    </row>
    <row r="9" customFormat="false" ht="15" hidden="false" customHeight="true" outlineLevel="0" collapsed="false">
      <c r="A9" s="20" t="s">
        <v>38</v>
      </c>
      <c r="B9" s="21" t="s">
        <v>39</v>
      </c>
      <c r="C9" s="21"/>
      <c r="D9" s="21"/>
      <c r="E9" s="21"/>
      <c r="F9" s="21"/>
    </row>
    <row r="10" customFormat="false" ht="15" hidden="false" customHeight="true" outlineLevel="0" collapsed="false">
      <c r="A10" s="20" t="s">
        <v>65</v>
      </c>
      <c r="B10" s="21" t="s">
        <v>66</v>
      </c>
      <c r="C10" s="21"/>
      <c r="D10" s="21"/>
      <c r="E10" s="21"/>
      <c r="F10" s="21"/>
    </row>
    <row r="11" customFormat="false" ht="15" hidden="false" customHeight="true" outlineLevel="0" collapsed="false">
      <c r="A11" s="20" t="s">
        <v>42</v>
      </c>
      <c r="B11" s="21" t="s">
        <v>43</v>
      </c>
      <c r="C11" s="21"/>
      <c r="D11" s="21"/>
      <c r="E11" s="21"/>
      <c r="F11" s="21"/>
    </row>
    <row r="12" customFormat="false" ht="15" hidden="false" customHeight="true" outlineLevel="0" collapsed="false">
      <c r="A12" s="20" t="s">
        <v>67</v>
      </c>
      <c r="B12" s="21" t="s">
        <v>68</v>
      </c>
      <c r="C12" s="21"/>
      <c r="D12" s="21"/>
      <c r="E12" s="21"/>
      <c r="F12" s="21"/>
    </row>
    <row r="13" customFormat="false" ht="15" hidden="false" customHeight="false" outlineLevel="0" collapsed="false">
      <c r="A13" s="17"/>
      <c r="B13" s="18"/>
      <c r="C13" s="11"/>
      <c r="D13" s="11"/>
      <c r="E13" s="11"/>
      <c r="F13" s="11"/>
    </row>
    <row r="14" customFormat="false" ht="15" hidden="false" customHeight="false" outlineLevel="0" collapsed="false">
      <c r="A14" s="19" t="s">
        <v>69</v>
      </c>
      <c r="B14" s="19"/>
      <c r="C14" s="19"/>
      <c r="D14" s="19"/>
      <c r="E14" s="19"/>
      <c r="F14" s="19"/>
    </row>
    <row r="15" customFormat="false" ht="15" hidden="false" customHeight="true" outlineLevel="0" collapsed="false">
      <c r="A15" s="20" t="s">
        <v>70</v>
      </c>
      <c r="B15" s="21" t="s">
        <v>71</v>
      </c>
      <c r="C15" s="21"/>
      <c r="D15" s="21"/>
      <c r="E15" s="21"/>
      <c r="F15" s="21"/>
    </row>
    <row r="16" customFormat="false" ht="15" hidden="false" customHeight="true" outlineLevel="0" collapsed="false">
      <c r="A16" s="20" t="s">
        <v>72</v>
      </c>
      <c r="B16" s="21" t="s">
        <v>73</v>
      </c>
      <c r="C16" s="21"/>
      <c r="D16" s="21"/>
      <c r="E16" s="21"/>
      <c r="F16" s="21"/>
    </row>
    <row r="17" customFormat="false" ht="15" hidden="false" customHeight="true" outlineLevel="0" collapsed="false">
      <c r="A17" s="20" t="s">
        <v>74</v>
      </c>
      <c r="B17" s="21" t="s">
        <v>75</v>
      </c>
      <c r="C17" s="21"/>
      <c r="D17" s="21"/>
      <c r="E17" s="21"/>
      <c r="F17" s="21"/>
    </row>
    <row r="18" customFormat="false" ht="15" hidden="false" customHeight="true" outlineLevel="0" collapsed="false">
      <c r="A18" s="20" t="s">
        <v>76</v>
      </c>
      <c r="B18" s="21" t="s">
        <v>77</v>
      </c>
      <c r="C18" s="21"/>
      <c r="D18" s="21"/>
      <c r="E18" s="21"/>
      <c r="F18" s="21"/>
    </row>
    <row r="19" customFormat="false" ht="15" hidden="false" customHeight="true" outlineLevel="0" collapsed="false">
      <c r="A19" s="20" t="s">
        <v>78</v>
      </c>
      <c r="B19" s="21" t="s">
        <v>79</v>
      </c>
      <c r="C19" s="21"/>
      <c r="D19" s="21"/>
      <c r="E19" s="21"/>
      <c r="F19" s="21"/>
    </row>
    <row r="20" customFormat="false" ht="15" hidden="false" customHeight="true" outlineLevel="0" collapsed="false">
      <c r="A20" s="20" t="s">
        <v>80</v>
      </c>
      <c r="B20" s="21" t="s">
        <v>81</v>
      </c>
      <c r="C20" s="21"/>
      <c r="D20" s="21"/>
      <c r="E20" s="21"/>
      <c r="F20" s="21"/>
    </row>
    <row r="21" customFormat="false" ht="15" hidden="false" customHeight="true" outlineLevel="0" collapsed="false">
      <c r="A21" s="20" t="s">
        <v>82</v>
      </c>
      <c r="B21" s="21" t="s">
        <v>83</v>
      </c>
      <c r="C21" s="21"/>
      <c r="D21" s="21"/>
      <c r="E21" s="21"/>
      <c r="F21" s="21"/>
    </row>
    <row r="22" customFormat="false" ht="15" hidden="false" customHeight="true" outlineLevel="0" collapsed="false">
      <c r="A22" s="20" t="s">
        <v>84</v>
      </c>
      <c r="B22" s="21" t="s">
        <v>85</v>
      </c>
      <c r="C22" s="21"/>
      <c r="D22" s="21"/>
      <c r="E22" s="21"/>
      <c r="F22" s="21"/>
    </row>
    <row r="24" customFormat="false" ht="15" hidden="false" customHeight="false" outlineLevel="0" collapsed="false">
      <c r="A24" s="19" t="s">
        <v>86</v>
      </c>
      <c r="B24" s="19"/>
      <c r="C24" s="19"/>
      <c r="D24" s="19"/>
      <c r="E24" s="19"/>
      <c r="F24" s="19"/>
    </row>
    <row r="25" customFormat="false" ht="15" hidden="false" customHeight="true" outlineLevel="0" collapsed="false">
      <c r="A25" s="20" t="s">
        <v>87</v>
      </c>
      <c r="B25" s="21" t="s">
        <v>88</v>
      </c>
      <c r="C25" s="21"/>
      <c r="D25" s="21"/>
      <c r="E25" s="21"/>
      <c r="F25" s="21"/>
    </row>
    <row r="26" customFormat="false" ht="15" hidden="false" customHeight="true" outlineLevel="0" collapsed="false">
      <c r="A26" s="20" t="s">
        <v>89</v>
      </c>
      <c r="B26" s="21" t="s">
        <v>90</v>
      </c>
      <c r="C26" s="21"/>
      <c r="D26" s="21"/>
      <c r="E26" s="21"/>
      <c r="F26" s="21"/>
    </row>
    <row r="27" customFormat="false" ht="15" hidden="false" customHeight="true" outlineLevel="0" collapsed="false">
      <c r="A27" s="20" t="s">
        <v>91</v>
      </c>
      <c r="B27" s="21" t="s">
        <v>92</v>
      </c>
      <c r="C27" s="21"/>
      <c r="D27" s="21"/>
      <c r="E27" s="21"/>
      <c r="F27" s="21"/>
    </row>
    <row r="28" customFormat="false" ht="15" hidden="false" customHeight="true" outlineLevel="0" collapsed="false">
      <c r="A28" s="20" t="s">
        <v>93</v>
      </c>
      <c r="B28" s="21" t="s">
        <v>94</v>
      </c>
      <c r="C28" s="21"/>
      <c r="D28" s="21"/>
      <c r="E28" s="21"/>
      <c r="F28" s="21"/>
    </row>
    <row r="29" customFormat="false" ht="15" hidden="false" customHeight="true" outlineLevel="0" collapsed="false">
      <c r="A29" s="20" t="s">
        <v>95</v>
      </c>
      <c r="B29" s="21" t="s">
        <v>96</v>
      </c>
      <c r="C29" s="21"/>
      <c r="D29" s="21"/>
      <c r="E29" s="21"/>
      <c r="F29" s="21"/>
    </row>
    <row r="30" customFormat="false" ht="15" hidden="false" customHeight="true" outlineLevel="0" collapsed="false">
      <c r="A30" s="20" t="s">
        <v>48</v>
      </c>
      <c r="B30" s="21" t="s">
        <v>49</v>
      </c>
      <c r="C30" s="21"/>
      <c r="D30" s="21"/>
      <c r="E30" s="21"/>
      <c r="F30" s="21"/>
    </row>
    <row r="31" customFormat="false" ht="15" hidden="false" customHeight="true" outlineLevel="0" collapsed="false">
      <c r="A31" s="20" t="s">
        <v>50</v>
      </c>
      <c r="B31" s="21" t="s">
        <v>97</v>
      </c>
      <c r="C31" s="21"/>
      <c r="D31" s="21"/>
      <c r="E31" s="21"/>
      <c r="F31" s="21"/>
    </row>
    <row r="32" customFormat="false" ht="15" hidden="false" customHeight="true" outlineLevel="0" collapsed="false">
      <c r="A32" s="20" t="s">
        <v>98</v>
      </c>
      <c r="B32" s="21" t="s">
        <v>99</v>
      </c>
      <c r="C32" s="21"/>
      <c r="D32" s="21"/>
      <c r="E32" s="21"/>
      <c r="F32" s="21"/>
    </row>
    <row r="33" customFormat="false" ht="15" hidden="false" customHeight="true" outlineLevel="0" collapsed="false">
      <c r="A33" s="20" t="s">
        <v>40</v>
      </c>
      <c r="B33" s="21" t="s">
        <v>41</v>
      </c>
      <c r="C33" s="21"/>
      <c r="D33" s="21"/>
      <c r="E33" s="21"/>
      <c r="F33" s="21"/>
    </row>
    <row r="34" customFormat="false" ht="15" hidden="false" customHeight="true" outlineLevel="0" collapsed="false">
      <c r="A34" s="20" t="s">
        <v>100</v>
      </c>
      <c r="B34" s="21" t="s">
        <v>101</v>
      </c>
      <c r="C34" s="21"/>
      <c r="D34" s="21"/>
      <c r="E34" s="21"/>
      <c r="F34" s="21"/>
    </row>
    <row r="35" customFormat="false" ht="15" hidden="false" customHeight="true" outlineLevel="0" collapsed="false">
      <c r="A35" s="20" t="s">
        <v>102</v>
      </c>
      <c r="B35" s="21" t="s">
        <v>103</v>
      </c>
      <c r="C35" s="21"/>
      <c r="D35" s="21"/>
      <c r="E35" s="21"/>
      <c r="F35" s="21"/>
    </row>
    <row r="36" customFormat="false" ht="23.85" hidden="false" customHeight="true" outlineLevel="0" collapsed="false">
      <c r="A36" s="20" t="s">
        <v>104</v>
      </c>
      <c r="B36" s="21" t="s">
        <v>105</v>
      </c>
      <c r="C36" s="21"/>
      <c r="D36" s="21"/>
      <c r="E36" s="21"/>
      <c r="F36" s="21"/>
    </row>
    <row r="38" customFormat="false" ht="15" hidden="false" customHeight="false" outlineLevel="0" collapsed="false">
      <c r="A38" s="19" t="s">
        <v>106</v>
      </c>
      <c r="B38" s="19"/>
      <c r="C38" s="19"/>
      <c r="D38" s="19"/>
      <c r="E38" s="19"/>
      <c r="F38" s="19"/>
    </row>
    <row r="39" customFormat="false" ht="15" hidden="false" customHeight="true" outlineLevel="0" collapsed="false">
      <c r="A39" s="14" t="s">
        <v>107</v>
      </c>
      <c r="B39" s="22" t="s">
        <v>108</v>
      </c>
      <c r="C39" s="22"/>
      <c r="D39" s="22"/>
      <c r="E39" s="22"/>
      <c r="F39" s="22"/>
    </row>
    <row r="40" customFormat="false" ht="15" hidden="false" customHeight="true" outlineLevel="0" collapsed="false">
      <c r="A40" s="14" t="s">
        <v>109</v>
      </c>
      <c r="B40" s="22" t="s">
        <v>110</v>
      </c>
      <c r="C40" s="22"/>
      <c r="D40" s="22"/>
      <c r="E40" s="22"/>
      <c r="F40" s="22"/>
    </row>
    <row r="41" customFormat="false" ht="15" hidden="false" customHeight="true" outlineLevel="0" collapsed="false">
      <c r="A41" s="14" t="s">
        <v>111</v>
      </c>
      <c r="B41" s="22" t="s">
        <v>112</v>
      </c>
      <c r="C41" s="22"/>
      <c r="D41" s="22"/>
      <c r="E41" s="22"/>
      <c r="F41" s="22"/>
    </row>
    <row r="42" customFormat="false" ht="15" hidden="false" customHeight="true" outlineLevel="0" collapsed="false">
      <c r="A42" s="14" t="s">
        <v>113</v>
      </c>
      <c r="B42" s="22" t="s">
        <v>114</v>
      </c>
      <c r="C42" s="22"/>
      <c r="D42" s="22"/>
      <c r="E42" s="22"/>
      <c r="F42" s="22"/>
    </row>
    <row r="43" customFormat="false" ht="15" hidden="false" customHeight="true" outlineLevel="0" collapsed="false">
      <c r="A43" s="14" t="s">
        <v>115</v>
      </c>
      <c r="B43" s="22" t="s">
        <v>116</v>
      </c>
      <c r="C43" s="22"/>
      <c r="D43" s="22"/>
      <c r="E43" s="22"/>
      <c r="F43" s="22"/>
    </row>
    <row r="44" customFormat="false" ht="15" hidden="false" customHeight="true" outlineLevel="0" collapsed="false">
      <c r="A44" s="14" t="s">
        <v>117</v>
      </c>
      <c r="B44" s="22" t="s">
        <v>116</v>
      </c>
      <c r="C44" s="22"/>
      <c r="D44" s="22"/>
      <c r="E44" s="22"/>
      <c r="F44" s="22"/>
    </row>
    <row r="45" customFormat="false" ht="15" hidden="false" customHeight="true" outlineLevel="0" collapsed="false">
      <c r="A45" s="14" t="s">
        <v>118</v>
      </c>
      <c r="B45" s="22" t="s">
        <v>119</v>
      </c>
      <c r="C45" s="22"/>
      <c r="D45" s="22"/>
      <c r="E45" s="22"/>
      <c r="F45" s="22"/>
    </row>
    <row r="46" customFormat="false" ht="15" hidden="false" customHeight="true" outlineLevel="0" collapsed="false">
      <c r="A46" s="14" t="s">
        <v>120</v>
      </c>
      <c r="B46" s="22" t="s">
        <v>121</v>
      </c>
      <c r="C46" s="22"/>
      <c r="D46" s="22"/>
      <c r="E46" s="22"/>
      <c r="F46" s="22"/>
    </row>
    <row r="47" customFormat="false" ht="15" hidden="false" customHeight="true" outlineLevel="0" collapsed="false">
      <c r="A47" s="14" t="s">
        <v>122</v>
      </c>
      <c r="B47" s="22" t="s">
        <v>123</v>
      </c>
      <c r="C47" s="22"/>
      <c r="D47" s="22"/>
      <c r="E47" s="22"/>
      <c r="F47" s="22"/>
    </row>
    <row r="48" customFormat="false" ht="15" hidden="false" customHeight="true" outlineLevel="0" collapsed="false">
      <c r="A48" s="14" t="s">
        <v>124</v>
      </c>
      <c r="B48" s="22" t="s">
        <v>125</v>
      </c>
      <c r="C48" s="22"/>
      <c r="D48" s="22"/>
      <c r="E48" s="22"/>
      <c r="F48" s="22"/>
    </row>
    <row r="49" customFormat="false" ht="15" hidden="false" customHeight="true" outlineLevel="0" collapsed="false">
      <c r="A49" s="14" t="s">
        <v>126</v>
      </c>
      <c r="B49" s="22" t="s">
        <v>127</v>
      </c>
      <c r="C49" s="22"/>
      <c r="D49" s="22"/>
      <c r="E49" s="22"/>
      <c r="F49" s="22"/>
    </row>
    <row r="50" customFormat="false" ht="23.85" hidden="false" customHeight="true" outlineLevel="0" collapsed="false">
      <c r="A50" s="14" t="s">
        <v>128</v>
      </c>
      <c r="B50" s="22" t="s">
        <v>129</v>
      </c>
      <c r="C50" s="22"/>
      <c r="D50" s="22"/>
      <c r="E50" s="22"/>
      <c r="F50" s="22"/>
    </row>
    <row r="52" customFormat="false" ht="15" hidden="false" customHeight="false" outlineLevel="0" collapsed="false">
      <c r="A52" s="19" t="s">
        <v>130</v>
      </c>
      <c r="B52" s="19"/>
      <c r="C52" s="19"/>
      <c r="D52" s="19"/>
      <c r="E52" s="19"/>
      <c r="F52" s="19"/>
    </row>
    <row r="53" customFormat="false" ht="15" hidden="false" customHeight="true" outlineLevel="0" collapsed="false">
      <c r="A53" s="14" t="s">
        <v>24</v>
      </c>
      <c r="B53" s="22" t="s">
        <v>25</v>
      </c>
      <c r="C53" s="22"/>
      <c r="D53" s="22"/>
      <c r="E53" s="22"/>
      <c r="F53" s="22"/>
    </row>
    <row r="54" customFormat="false" ht="15" hidden="false" customHeight="true" outlineLevel="0" collapsed="false">
      <c r="A54" s="14" t="s">
        <v>131</v>
      </c>
      <c r="B54" s="22" t="s">
        <v>132</v>
      </c>
      <c r="C54" s="22"/>
      <c r="D54" s="22"/>
      <c r="E54" s="22"/>
      <c r="F54" s="22"/>
    </row>
    <row r="55" customFormat="false" ht="15" hidden="false" customHeight="true" outlineLevel="0" collapsed="false">
      <c r="A55" s="14" t="s">
        <v>26</v>
      </c>
      <c r="B55" s="22" t="s">
        <v>27</v>
      </c>
      <c r="C55" s="22"/>
      <c r="D55" s="22"/>
      <c r="E55" s="22"/>
      <c r="F55" s="22"/>
    </row>
    <row r="56" customFormat="false" ht="15" hidden="false" customHeight="true" outlineLevel="0" collapsed="false">
      <c r="A56" s="14" t="s">
        <v>133</v>
      </c>
      <c r="B56" s="22" t="s">
        <v>79</v>
      </c>
      <c r="C56" s="22"/>
      <c r="D56" s="22"/>
      <c r="E56" s="22"/>
      <c r="F56" s="22"/>
    </row>
    <row r="57" customFormat="false" ht="15" hidden="false" customHeight="true" outlineLevel="0" collapsed="false">
      <c r="A57" s="14" t="s">
        <v>134</v>
      </c>
      <c r="B57" s="22" t="s">
        <v>79</v>
      </c>
      <c r="C57" s="22"/>
      <c r="D57" s="22"/>
      <c r="E57" s="22"/>
      <c r="F57" s="22"/>
    </row>
    <row r="58" customFormat="false" ht="23.85" hidden="false" customHeight="true" outlineLevel="0" collapsed="false">
      <c r="A58" s="14" t="s">
        <v>135</v>
      </c>
      <c r="B58" s="22" t="s">
        <v>136</v>
      </c>
      <c r="C58" s="22"/>
      <c r="D58" s="22"/>
      <c r="E58" s="22"/>
      <c r="F58" s="22"/>
    </row>
    <row r="60" customFormat="false" ht="15" hidden="false" customHeight="false" outlineLevel="0" collapsed="false">
      <c r="A60" s="19" t="s">
        <v>137</v>
      </c>
      <c r="B60" s="19"/>
      <c r="C60" s="19"/>
      <c r="D60" s="19"/>
      <c r="E60" s="19"/>
      <c r="F60" s="19"/>
    </row>
    <row r="61" customFormat="false" ht="15" hidden="false" customHeight="true" outlineLevel="0" collapsed="false">
      <c r="A61" s="14" t="s">
        <v>138</v>
      </c>
      <c r="B61" s="22" t="s">
        <v>139</v>
      </c>
      <c r="C61" s="22"/>
      <c r="D61" s="22"/>
      <c r="E61" s="22"/>
      <c r="F61" s="22"/>
    </row>
    <row r="62" customFormat="false" ht="15" hidden="false" customHeight="true" outlineLevel="0" collapsed="false">
      <c r="A62" s="14" t="s">
        <v>140</v>
      </c>
      <c r="B62" s="22" t="s">
        <v>79</v>
      </c>
      <c r="C62" s="22"/>
      <c r="D62" s="22"/>
      <c r="E62" s="22"/>
      <c r="F62" s="22"/>
    </row>
    <row r="63" customFormat="false" ht="15" hidden="false" customHeight="true" outlineLevel="0" collapsed="false">
      <c r="A63" s="14" t="s">
        <v>34</v>
      </c>
      <c r="B63" s="22" t="s">
        <v>35</v>
      </c>
      <c r="C63" s="22"/>
      <c r="D63" s="22"/>
      <c r="E63" s="22"/>
      <c r="F63" s="22"/>
    </row>
    <row r="64" customFormat="false" ht="15" hidden="false" customHeight="true" outlineLevel="0" collapsed="false">
      <c r="A64" s="14" t="s">
        <v>36</v>
      </c>
      <c r="B64" s="22" t="s">
        <v>37</v>
      </c>
      <c r="C64" s="22"/>
      <c r="D64" s="22"/>
      <c r="E64" s="22"/>
      <c r="F64" s="22"/>
    </row>
    <row r="65" customFormat="false" ht="15" hidden="false" customHeight="true" outlineLevel="0" collapsed="false">
      <c r="A65" s="14" t="s">
        <v>141</v>
      </c>
      <c r="B65" s="22" t="s">
        <v>142</v>
      </c>
      <c r="C65" s="22"/>
      <c r="D65" s="22"/>
      <c r="E65" s="22"/>
      <c r="F65" s="22"/>
    </row>
    <row r="67" customFormat="false" ht="15" hidden="false" customHeight="false" outlineLevel="0" collapsed="false">
      <c r="A67" s="19" t="s">
        <v>143</v>
      </c>
      <c r="B67" s="19"/>
      <c r="C67" s="19"/>
      <c r="D67" s="19"/>
      <c r="E67" s="19"/>
      <c r="F67" s="19"/>
    </row>
    <row r="68" customFormat="false" ht="15" hidden="false" customHeight="true" outlineLevel="0" collapsed="false">
      <c r="A68" s="14" t="s">
        <v>144</v>
      </c>
      <c r="B68" s="22" t="s">
        <v>29</v>
      </c>
      <c r="C68" s="22"/>
      <c r="D68" s="22"/>
      <c r="E68" s="22"/>
      <c r="F68" s="22"/>
    </row>
    <row r="69" customFormat="false" ht="15" hidden="false" customHeight="true" outlineLevel="0" collapsed="false">
      <c r="A69" s="14" t="s">
        <v>145</v>
      </c>
      <c r="B69" s="22" t="s">
        <v>25</v>
      </c>
      <c r="C69" s="22"/>
      <c r="D69" s="22"/>
      <c r="E69" s="22"/>
      <c r="F69" s="22"/>
    </row>
    <row r="70" customFormat="false" ht="23.85" hidden="false" customHeight="true" outlineLevel="0" collapsed="false">
      <c r="A70" s="14" t="s">
        <v>146</v>
      </c>
      <c r="B70" s="22" t="s">
        <v>147</v>
      </c>
      <c r="C70" s="22"/>
      <c r="D70" s="22"/>
      <c r="E70" s="22"/>
      <c r="F70" s="22"/>
    </row>
    <row r="71" customFormat="false" ht="15" hidden="false" customHeight="true" outlineLevel="0" collapsed="false">
      <c r="A71" s="14" t="s">
        <v>148</v>
      </c>
      <c r="B71" s="22" t="s">
        <v>149</v>
      </c>
      <c r="C71" s="22"/>
      <c r="D71" s="22"/>
      <c r="E71" s="22"/>
      <c r="F71" s="22"/>
    </row>
    <row r="73" customFormat="false" ht="15" hidden="false" customHeight="false" outlineLevel="0" collapsed="false">
      <c r="A73" s="19" t="s">
        <v>150</v>
      </c>
      <c r="B73" s="19"/>
      <c r="C73" s="19"/>
      <c r="D73" s="19"/>
      <c r="E73" s="19"/>
      <c r="F73" s="19"/>
    </row>
    <row r="74" customFormat="false" ht="15" hidden="false" customHeight="true" outlineLevel="0" collapsed="false">
      <c r="A74" s="14" t="s">
        <v>30</v>
      </c>
      <c r="B74" s="22" t="s">
        <v>31</v>
      </c>
      <c r="C74" s="22"/>
      <c r="D74" s="22"/>
      <c r="E74" s="22"/>
      <c r="F74" s="22"/>
    </row>
    <row r="75" customFormat="false" ht="15" hidden="false" customHeight="true" outlineLevel="0" collapsed="false">
      <c r="A75" s="14" t="s">
        <v>32</v>
      </c>
      <c r="B75" s="22" t="s">
        <v>33</v>
      </c>
      <c r="C75" s="22"/>
      <c r="D75" s="22"/>
      <c r="E75" s="22"/>
      <c r="F75" s="22"/>
    </row>
    <row r="76" customFormat="false" ht="15" hidden="false" customHeight="true" outlineLevel="0" collapsed="false">
      <c r="A76" s="14" t="s">
        <v>151</v>
      </c>
      <c r="B76" s="22" t="s">
        <v>79</v>
      </c>
      <c r="C76" s="22"/>
      <c r="D76" s="22"/>
      <c r="E76" s="22"/>
      <c r="F76" s="22"/>
    </row>
    <row r="77" customFormat="false" ht="15" hidden="false" customHeight="true" outlineLevel="0" collapsed="false">
      <c r="A77" s="14" t="s">
        <v>152</v>
      </c>
      <c r="B77" s="22" t="s">
        <v>79</v>
      </c>
      <c r="C77" s="22"/>
      <c r="D77" s="22"/>
      <c r="E77" s="22"/>
      <c r="F77" s="22"/>
    </row>
    <row r="78" customFormat="false" ht="15" hidden="false" customHeight="true" outlineLevel="0" collapsed="false">
      <c r="A78" s="14" t="s">
        <v>153</v>
      </c>
      <c r="B78" s="22" t="s">
        <v>79</v>
      </c>
      <c r="C78" s="22"/>
      <c r="D78" s="22"/>
      <c r="E78" s="22"/>
      <c r="F78" s="22"/>
    </row>
    <row r="79" customFormat="false" ht="23.85" hidden="false" customHeight="true" outlineLevel="0" collapsed="false">
      <c r="A79" s="14" t="s">
        <v>154</v>
      </c>
      <c r="B79" s="22" t="s">
        <v>155</v>
      </c>
      <c r="C79" s="22"/>
      <c r="D79" s="22"/>
      <c r="E79" s="22"/>
      <c r="F79" s="22"/>
    </row>
    <row r="81" customFormat="false" ht="15" hidden="false" customHeight="false" outlineLevel="0" collapsed="false">
      <c r="A81" s="19" t="s">
        <v>156</v>
      </c>
      <c r="B81" s="19"/>
      <c r="C81" s="19"/>
      <c r="D81" s="19"/>
      <c r="E81" s="19"/>
      <c r="F81" s="19"/>
    </row>
    <row r="82" customFormat="false" ht="15" hidden="false" customHeight="false" outlineLevel="0" collapsed="false">
      <c r="A82" s="13" t="s">
        <v>157</v>
      </c>
      <c r="B82" s="13" t="s">
        <v>158</v>
      </c>
      <c r="C82" s="13" t="s">
        <v>159</v>
      </c>
      <c r="D82" s="13" t="s">
        <v>160</v>
      </c>
      <c r="E82" s="13" t="s">
        <v>161</v>
      </c>
      <c r="F82" s="13" t="s">
        <v>162</v>
      </c>
    </row>
    <row r="83" customFormat="false" ht="23.85" hidden="false" customHeight="false" outlineLevel="0" collapsed="false">
      <c r="A83" s="23" t="s">
        <v>163</v>
      </c>
      <c r="B83" s="20" t="s">
        <v>164</v>
      </c>
      <c r="C83" s="23" t="s">
        <v>165</v>
      </c>
      <c r="D83" s="23" t="n">
        <v>122</v>
      </c>
      <c r="E83" s="23" t="s">
        <v>166</v>
      </c>
      <c r="F83" s="24" t="s">
        <v>167</v>
      </c>
    </row>
    <row r="84" customFormat="false" ht="23.85" hidden="false" customHeight="false" outlineLevel="0" collapsed="false">
      <c r="A84" s="23" t="s">
        <v>168</v>
      </c>
      <c r="B84" s="20" t="s">
        <v>164</v>
      </c>
      <c r="C84" s="23" t="s">
        <v>165</v>
      </c>
      <c r="D84" s="23" t="n">
        <v>100</v>
      </c>
      <c r="E84" s="23" t="s">
        <v>169</v>
      </c>
      <c r="F84" s="24" t="s">
        <v>170</v>
      </c>
    </row>
    <row r="85" customFormat="false" ht="23.85" hidden="false" customHeight="false" outlineLevel="0" collapsed="false">
      <c r="A85" s="25" t="s">
        <v>171</v>
      </c>
      <c r="B85" s="26" t="s">
        <v>164</v>
      </c>
      <c r="C85" s="25" t="s">
        <v>25</v>
      </c>
      <c r="D85" s="25" t="n">
        <v>104</v>
      </c>
      <c r="E85" s="25" t="s">
        <v>172</v>
      </c>
      <c r="F85" s="27" t="s">
        <v>173</v>
      </c>
    </row>
    <row r="87" customFormat="false" ht="15" hidden="false" customHeight="false" outlineLevel="0" collapsed="false">
      <c r="A87" s="19" t="s">
        <v>174</v>
      </c>
      <c r="B87" s="19"/>
      <c r="C87" s="19"/>
      <c r="D87" s="19"/>
      <c r="E87" s="19"/>
      <c r="F87" s="19"/>
    </row>
    <row r="88" customFormat="false" ht="15" hidden="false" customHeight="true" outlineLevel="0" collapsed="false">
      <c r="A88" s="14" t="s">
        <v>175</v>
      </c>
      <c r="B88" s="22" t="s">
        <v>176</v>
      </c>
      <c r="C88" s="22"/>
      <c r="D88" s="22"/>
      <c r="E88" s="22"/>
      <c r="F88" s="22"/>
    </row>
    <row r="89" customFormat="false" ht="15" hidden="false" customHeight="true" outlineLevel="0" collapsed="false">
      <c r="A89" s="14" t="s">
        <v>177</v>
      </c>
      <c r="B89" s="22" t="s">
        <v>49</v>
      </c>
      <c r="C89" s="22"/>
      <c r="D89" s="22"/>
      <c r="E89" s="22"/>
      <c r="F89" s="22"/>
    </row>
    <row r="90" customFormat="false" ht="15" hidden="false" customHeight="true" outlineLevel="0" collapsed="false">
      <c r="A90" s="14" t="s">
        <v>178</v>
      </c>
      <c r="B90" s="22" t="s">
        <v>179</v>
      </c>
      <c r="C90" s="22"/>
      <c r="D90" s="22"/>
      <c r="E90" s="22"/>
      <c r="F90" s="22"/>
    </row>
    <row r="91" customFormat="false" ht="23.85" hidden="false" customHeight="true" outlineLevel="0" collapsed="false">
      <c r="A91" s="14" t="s">
        <v>180</v>
      </c>
      <c r="B91" s="22" t="s">
        <v>181</v>
      </c>
      <c r="C91" s="22"/>
      <c r="D91" s="22"/>
      <c r="E91" s="22"/>
      <c r="F91" s="22"/>
    </row>
    <row r="93" customFormat="false" ht="15" hidden="false" customHeight="false" outlineLevel="0" collapsed="false">
      <c r="A93" s="19" t="s">
        <v>182</v>
      </c>
      <c r="B93" s="19"/>
      <c r="C93" s="19"/>
      <c r="D93" s="19"/>
      <c r="E93" s="19"/>
      <c r="F93" s="19"/>
    </row>
    <row r="94" customFormat="false" ht="15" hidden="false" customHeight="true" outlineLevel="0" collapsed="false">
      <c r="A94" s="14" t="s">
        <v>183</v>
      </c>
      <c r="B94" s="22" t="s">
        <v>184</v>
      </c>
      <c r="C94" s="22"/>
      <c r="D94" s="22"/>
      <c r="E94" s="22"/>
      <c r="F94" s="22"/>
    </row>
    <row r="95" customFormat="false" ht="15" hidden="false" customHeight="true" outlineLevel="0" collapsed="false">
      <c r="A95" s="14" t="s">
        <v>185</v>
      </c>
      <c r="B95" s="22" t="s">
        <v>186</v>
      </c>
      <c r="C95" s="22"/>
      <c r="D95" s="22"/>
      <c r="E95" s="22"/>
      <c r="F95" s="22"/>
    </row>
    <row r="96" customFormat="false" ht="15" hidden="false" customHeight="true" outlineLevel="0" collapsed="false">
      <c r="A96" s="14" t="s">
        <v>187</v>
      </c>
      <c r="B96" s="22" t="s">
        <v>188</v>
      </c>
      <c r="C96" s="22"/>
      <c r="D96" s="22"/>
      <c r="E96" s="22"/>
      <c r="F96" s="22"/>
    </row>
    <row r="97" customFormat="false" ht="15" hidden="false" customHeight="true" outlineLevel="0" collapsed="false">
      <c r="A97" s="14" t="s">
        <v>189</v>
      </c>
      <c r="B97" s="22" t="s">
        <v>190</v>
      </c>
      <c r="C97" s="22"/>
      <c r="D97" s="22"/>
      <c r="E97" s="22"/>
      <c r="F97" s="22"/>
    </row>
    <row r="98" customFormat="false" ht="15" hidden="false" customHeight="true" outlineLevel="0" collapsed="false">
      <c r="A98" s="14" t="s">
        <v>191</v>
      </c>
      <c r="B98" s="22" t="s">
        <v>192</v>
      </c>
      <c r="C98" s="22"/>
      <c r="D98" s="22"/>
      <c r="E98" s="22"/>
      <c r="F98" s="22"/>
    </row>
    <row r="99" customFormat="false" ht="15" hidden="false" customHeight="true" outlineLevel="0" collapsed="false">
      <c r="A99" s="14" t="s">
        <v>193</v>
      </c>
      <c r="B99" s="22" t="s">
        <v>194</v>
      </c>
      <c r="C99" s="22"/>
      <c r="D99" s="22"/>
      <c r="E99" s="22"/>
      <c r="F99" s="22"/>
    </row>
    <row r="100" customFormat="false" ht="15" hidden="false" customHeight="true" outlineLevel="0" collapsed="false">
      <c r="A100" s="14" t="s">
        <v>195</v>
      </c>
      <c r="B100" s="22" t="s">
        <v>196</v>
      </c>
      <c r="C100" s="22"/>
      <c r="D100" s="22"/>
      <c r="E100" s="22"/>
      <c r="F100" s="22"/>
    </row>
    <row r="101" customFormat="false" ht="15" hidden="false" customHeight="true" outlineLevel="0" collapsed="false">
      <c r="A101" s="14" t="s">
        <v>197</v>
      </c>
      <c r="B101" s="22" t="s">
        <v>198</v>
      </c>
      <c r="C101" s="22"/>
      <c r="D101" s="22"/>
      <c r="E101" s="22"/>
      <c r="F101" s="22"/>
    </row>
    <row r="103" customFormat="false" ht="15" hidden="false" customHeight="false" outlineLevel="0" collapsed="false">
      <c r="A103" s="19" t="s">
        <v>199</v>
      </c>
      <c r="B103" s="19"/>
      <c r="C103" s="19"/>
      <c r="D103" s="19"/>
      <c r="E103" s="19"/>
      <c r="F103" s="19"/>
    </row>
    <row r="104" customFormat="false" ht="15" hidden="false" customHeight="true" outlineLevel="0" collapsed="false">
      <c r="A104" s="20" t="s">
        <v>200</v>
      </c>
      <c r="B104" s="21" t="s">
        <v>201</v>
      </c>
      <c r="C104" s="21"/>
      <c r="D104" s="21"/>
      <c r="E104" s="21"/>
      <c r="F104" s="21"/>
    </row>
    <row r="105" customFormat="false" ht="15" hidden="false" customHeight="true" outlineLevel="0" collapsed="false">
      <c r="A105" s="20" t="s">
        <v>202</v>
      </c>
      <c r="B105" s="21" t="s">
        <v>203</v>
      </c>
      <c r="C105" s="21"/>
      <c r="D105" s="21"/>
      <c r="E105" s="21"/>
      <c r="F105" s="21"/>
    </row>
    <row r="106" customFormat="false" ht="15" hidden="false" customHeight="true" outlineLevel="0" collapsed="false">
      <c r="A106" s="20" t="s">
        <v>204</v>
      </c>
      <c r="B106" s="21" t="s">
        <v>205</v>
      </c>
      <c r="C106" s="21"/>
      <c r="D106" s="21"/>
      <c r="E106" s="21"/>
      <c r="F106" s="21"/>
    </row>
    <row r="107" customFormat="false" ht="15" hidden="false" customHeight="true" outlineLevel="0" collapsed="false">
      <c r="A107" s="20" t="s">
        <v>206</v>
      </c>
      <c r="B107" s="21" t="s">
        <v>207</v>
      </c>
      <c r="C107" s="21"/>
      <c r="D107" s="21"/>
      <c r="E107" s="21"/>
      <c r="F107" s="21"/>
    </row>
    <row r="108" customFormat="false" ht="15" hidden="false" customHeight="true" outlineLevel="0" collapsed="false">
      <c r="A108" s="20" t="s">
        <v>208</v>
      </c>
      <c r="B108" s="21" t="s">
        <v>209</v>
      </c>
      <c r="C108" s="21"/>
      <c r="D108" s="21"/>
      <c r="E108" s="21"/>
      <c r="F108" s="21"/>
    </row>
    <row r="109" customFormat="false" ht="15" hidden="false" customHeight="true" outlineLevel="0" collapsed="false">
      <c r="A109" s="20" t="s">
        <v>210</v>
      </c>
      <c r="B109" s="21" t="s">
        <v>211</v>
      </c>
      <c r="C109" s="21"/>
      <c r="D109" s="21"/>
      <c r="E109" s="21"/>
      <c r="F109" s="21"/>
    </row>
    <row r="110" customFormat="false" ht="15" hidden="false" customHeight="true" outlineLevel="0" collapsed="false">
      <c r="A110" s="20" t="s">
        <v>187</v>
      </c>
      <c r="B110" s="21" t="s">
        <v>212</v>
      </c>
      <c r="C110" s="21"/>
      <c r="D110" s="21"/>
      <c r="E110" s="21"/>
      <c r="F110" s="21"/>
    </row>
    <row r="111" customFormat="false" ht="15" hidden="false" customHeight="true" outlineLevel="0" collapsed="false">
      <c r="A111" s="20" t="s">
        <v>213</v>
      </c>
      <c r="B111" s="21" t="s">
        <v>214</v>
      </c>
      <c r="C111" s="21"/>
      <c r="D111" s="21"/>
      <c r="E111" s="21"/>
      <c r="F111" s="21"/>
    </row>
    <row r="112" customFormat="false" ht="23.85" hidden="false" customHeight="true" outlineLevel="0" collapsed="false">
      <c r="A112" s="20" t="s">
        <v>215</v>
      </c>
      <c r="B112" s="21" t="s">
        <v>216</v>
      </c>
      <c r="C112" s="21"/>
      <c r="D112" s="21"/>
      <c r="E112" s="21"/>
      <c r="F112" s="21"/>
    </row>
    <row r="114" customFormat="false" ht="15" hidden="false" customHeight="false" outlineLevel="0" collapsed="false">
      <c r="A114" s="19" t="s">
        <v>217</v>
      </c>
      <c r="B114" s="19"/>
      <c r="C114" s="19"/>
      <c r="D114" s="19"/>
      <c r="E114" s="19"/>
      <c r="F114" s="19"/>
    </row>
    <row r="115" customFormat="false" ht="23.85" hidden="false" customHeight="true" outlineLevel="0" collapsed="false">
      <c r="A115" s="14" t="s">
        <v>218</v>
      </c>
      <c r="B115" s="22" t="s">
        <v>219</v>
      </c>
      <c r="C115" s="22"/>
      <c r="D115" s="22"/>
      <c r="E115" s="22"/>
      <c r="F115" s="22"/>
    </row>
    <row r="116" customFormat="false" ht="23.85" hidden="false" customHeight="true" outlineLevel="0" collapsed="false">
      <c r="A116" s="14" t="s">
        <v>220</v>
      </c>
      <c r="B116" s="22" t="s">
        <v>221</v>
      </c>
      <c r="C116" s="22"/>
      <c r="D116" s="22"/>
      <c r="E116" s="22"/>
      <c r="F116" s="22"/>
    </row>
    <row r="117" customFormat="false" ht="23.85" hidden="false" customHeight="true" outlineLevel="0" collapsed="false">
      <c r="A117" s="14" t="s">
        <v>222</v>
      </c>
      <c r="B117" s="22" t="s">
        <v>223</v>
      </c>
      <c r="C117" s="22"/>
      <c r="D117" s="22"/>
      <c r="E117" s="22"/>
      <c r="F117" s="22"/>
    </row>
    <row r="118" customFormat="false" ht="23.85" hidden="false" customHeight="true" outlineLevel="0" collapsed="false">
      <c r="A118" s="14" t="s">
        <v>224</v>
      </c>
      <c r="B118" s="22" t="s">
        <v>225</v>
      </c>
      <c r="C118" s="22"/>
      <c r="D118" s="22"/>
      <c r="E118" s="22"/>
      <c r="F118" s="22"/>
    </row>
    <row r="119" customFormat="false" ht="15" hidden="false" customHeight="true" outlineLevel="0" collapsed="false">
      <c r="A119" s="14" t="s">
        <v>226</v>
      </c>
      <c r="B119" s="22" t="s">
        <v>227</v>
      </c>
      <c r="C119" s="22"/>
      <c r="D119" s="22"/>
      <c r="E119" s="22"/>
      <c r="F119" s="22"/>
    </row>
    <row r="120" customFormat="false" ht="23.85" hidden="false" customHeight="true" outlineLevel="0" collapsed="false">
      <c r="A120" s="14" t="s">
        <v>228</v>
      </c>
      <c r="B120" s="22" t="s">
        <v>229</v>
      </c>
      <c r="C120" s="22"/>
      <c r="D120" s="22"/>
      <c r="E120" s="22"/>
      <c r="F120" s="22"/>
    </row>
    <row r="122" customFormat="false" ht="15" hidden="false" customHeight="false" outlineLevel="0" collapsed="false">
      <c r="A122" s="19" t="s">
        <v>230</v>
      </c>
      <c r="B122" s="19"/>
      <c r="C122" s="19"/>
      <c r="D122" s="19"/>
      <c r="E122" s="19"/>
      <c r="F122" s="19"/>
    </row>
    <row r="123" customFormat="false" ht="46.25" hidden="false" customHeight="true" outlineLevel="0" collapsed="false">
      <c r="A123" s="14" t="s">
        <v>231</v>
      </c>
      <c r="B123" s="22" t="s">
        <v>232</v>
      </c>
      <c r="C123" s="22"/>
      <c r="D123" s="22"/>
      <c r="E123" s="22"/>
      <c r="F123" s="22"/>
    </row>
    <row r="124" customFormat="false" ht="35.05" hidden="false" customHeight="true" outlineLevel="0" collapsed="false">
      <c r="A124" s="14" t="s">
        <v>233</v>
      </c>
      <c r="B124" s="22" t="s">
        <v>234</v>
      </c>
      <c r="C124" s="22"/>
      <c r="D124" s="22"/>
      <c r="E124" s="22"/>
      <c r="F124" s="22"/>
    </row>
    <row r="125" customFormat="false" ht="35.05" hidden="false" customHeight="true" outlineLevel="0" collapsed="false">
      <c r="A125" s="14" t="s">
        <v>235</v>
      </c>
      <c r="B125" s="22" t="s">
        <v>236</v>
      </c>
      <c r="C125" s="22"/>
      <c r="D125" s="22"/>
      <c r="E125" s="22"/>
      <c r="F125" s="22"/>
    </row>
    <row r="126" customFormat="false" ht="46.25" hidden="false" customHeight="true" outlineLevel="0" collapsed="false">
      <c r="A126" s="14" t="s">
        <v>146</v>
      </c>
      <c r="B126" s="22" t="s">
        <v>237</v>
      </c>
      <c r="C126" s="22"/>
      <c r="D126" s="22"/>
      <c r="E126" s="22"/>
      <c r="F126" s="22"/>
    </row>
    <row r="127" customFormat="false" ht="35.05" hidden="false" customHeight="true" outlineLevel="0" collapsed="false">
      <c r="A127" s="14" t="s">
        <v>238</v>
      </c>
      <c r="B127" s="22" t="s">
        <v>239</v>
      </c>
      <c r="C127" s="22"/>
      <c r="D127" s="22"/>
      <c r="E127" s="22"/>
      <c r="F127" s="22"/>
    </row>
    <row r="128" customFormat="false" ht="46.25" hidden="false" customHeight="true" outlineLevel="0" collapsed="false">
      <c r="A128" s="14" t="s">
        <v>240</v>
      </c>
      <c r="B128" s="22" t="s">
        <v>241</v>
      </c>
      <c r="C128" s="22"/>
      <c r="D128" s="22"/>
      <c r="E128" s="22"/>
      <c r="F128" s="22"/>
    </row>
  </sheetData>
  <mergeCells count="110">
    <mergeCell ref="A1:F1"/>
    <mergeCell ref="A2:F2"/>
    <mergeCell ref="A4:F4"/>
    <mergeCell ref="B5:F5"/>
    <mergeCell ref="B6:F6"/>
    <mergeCell ref="B7:F7"/>
    <mergeCell ref="B8:F8"/>
    <mergeCell ref="B9:F9"/>
    <mergeCell ref="B10:F10"/>
    <mergeCell ref="B11:F11"/>
    <mergeCell ref="B12:F12"/>
    <mergeCell ref="A14:F14"/>
    <mergeCell ref="B15:F15"/>
    <mergeCell ref="B16:F16"/>
    <mergeCell ref="B17:F17"/>
    <mergeCell ref="B18:F18"/>
    <mergeCell ref="B19:F19"/>
    <mergeCell ref="B20:F20"/>
    <mergeCell ref="B21:F21"/>
    <mergeCell ref="B22:F22"/>
    <mergeCell ref="A24:F24"/>
    <mergeCell ref="B25:F25"/>
    <mergeCell ref="B26:F26"/>
    <mergeCell ref="B27:F27"/>
    <mergeCell ref="B28:F28"/>
    <mergeCell ref="B29:F29"/>
    <mergeCell ref="B30:F30"/>
    <mergeCell ref="B31:F31"/>
    <mergeCell ref="B32:F32"/>
    <mergeCell ref="B33:F33"/>
    <mergeCell ref="B34:F34"/>
    <mergeCell ref="B35:F35"/>
    <mergeCell ref="B36:F36"/>
    <mergeCell ref="A38:F38"/>
    <mergeCell ref="B39:F39"/>
    <mergeCell ref="B40:F40"/>
    <mergeCell ref="B41:F41"/>
    <mergeCell ref="B42:F42"/>
    <mergeCell ref="B43:F43"/>
    <mergeCell ref="B44:F44"/>
    <mergeCell ref="B45:F45"/>
    <mergeCell ref="B46:F46"/>
    <mergeCell ref="B47:F47"/>
    <mergeCell ref="B48:F48"/>
    <mergeCell ref="B49:F49"/>
    <mergeCell ref="B50:F50"/>
    <mergeCell ref="A52:F52"/>
    <mergeCell ref="B53:F53"/>
    <mergeCell ref="B54:F54"/>
    <mergeCell ref="B55:F55"/>
    <mergeCell ref="B56:F56"/>
    <mergeCell ref="B57:F57"/>
    <mergeCell ref="B58:F58"/>
    <mergeCell ref="A60:F60"/>
    <mergeCell ref="B61:F61"/>
    <mergeCell ref="B62:F62"/>
    <mergeCell ref="B63:F63"/>
    <mergeCell ref="B64:F64"/>
    <mergeCell ref="B65:F65"/>
    <mergeCell ref="A67:F67"/>
    <mergeCell ref="B68:F68"/>
    <mergeCell ref="B69:F69"/>
    <mergeCell ref="B70:F70"/>
    <mergeCell ref="B71:F71"/>
    <mergeCell ref="A73:F73"/>
    <mergeCell ref="B74:F74"/>
    <mergeCell ref="B75:F75"/>
    <mergeCell ref="B76:F76"/>
    <mergeCell ref="B77:F77"/>
    <mergeCell ref="B78:F78"/>
    <mergeCell ref="B79:F79"/>
    <mergeCell ref="A81:F81"/>
    <mergeCell ref="A87:F87"/>
    <mergeCell ref="B88:F88"/>
    <mergeCell ref="B89:F89"/>
    <mergeCell ref="B90:F90"/>
    <mergeCell ref="B91:F91"/>
    <mergeCell ref="A93:F93"/>
    <mergeCell ref="B94:F94"/>
    <mergeCell ref="B95:F95"/>
    <mergeCell ref="B96:F96"/>
    <mergeCell ref="B97:F97"/>
    <mergeCell ref="B98:F98"/>
    <mergeCell ref="B99:F99"/>
    <mergeCell ref="B100:F100"/>
    <mergeCell ref="B101:F101"/>
    <mergeCell ref="A103:F103"/>
    <mergeCell ref="B104:F104"/>
    <mergeCell ref="B105:F105"/>
    <mergeCell ref="B106:F106"/>
    <mergeCell ref="B107:F107"/>
    <mergeCell ref="B108:F108"/>
    <mergeCell ref="B109:F109"/>
    <mergeCell ref="B110:F110"/>
    <mergeCell ref="B111:F111"/>
    <mergeCell ref="B112:F112"/>
    <mergeCell ref="A114:F114"/>
    <mergeCell ref="B115:F115"/>
    <mergeCell ref="B116:F116"/>
    <mergeCell ref="B117:F117"/>
    <mergeCell ref="B118:F118"/>
    <mergeCell ref="B119:F119"/>
    <mergeCell ref="B120:F120"/>
    <mergeCell ref="A122:F122"/>
    <mergeCell ref="B123:F123"/>
    <mergeCell ref="B124:F124"/>
    <mergeCell ref="B125:F125"/>
    <mergeCell ref="B126:F126"/>
    <mergeCell ref="B127:F127"/>
    <mergeCell ref="B128:F1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4" min="2" style="0" width="18"/>
  </cols>
  <sheetData>
    <row r="1" customFormat="false" ht="19.7" hidden="false" customHeight="false" outlineLevel="0" collapsed="false">
      <c r="A1" s="1" t="s">
        <v>242</v>
      </c>
    </row>
    <row r="3" customFormat="false" ht="15" hidden="false" customHeight="false" outlineLevel="0" collapsed="false">
      <c r="A3" s="28" t="s">
        <v>243</v>
      </c>
      <c r="B3" s="28" t="s">
        <v>244</v>
      </c>
      <c r="C3" s="28" t="s">
        <v>245</v>
      </c>
      <c r="D3" s="28" t="s">
        <v>246</v>
      </c>
    </row>
    <row r="4" customFormat="false" ht="15" hidden="false" customHeight="false" outlineLevel="0" collapsed="false">
      <c r="A4" s="4" t="s">
        <v>247</v>
      </c>
      <c r="B4" s="5" t="n">
        <v>0</v>
      </c>
      <c r="C4" s="5" t="n">
        <v>0</v>
      </c>
      <c r="D4" s="9" t="n">
        <f aca="false">C4-B4</f>
        <v>0</v>
      </c>
    </row>
    <row r="5" customFormat="false" ht="15" hidden="false" customHeight="false" outlineLevel="0" collapsed="false">
      <c r="A5" s="4" t="s">
        <v>248</v>
      </c>
      <c r="B5" s="5" t="n">
        <v>0</v>
      </c>
      <c r="C5" s="5" t="n">
        <v>0</v>
      </c>
      <c r="D5" s="9" t="n">
        <f aca="false">C5-B5</f>
        <v>0</v>
      </c>
    </row>
    <row r="6" customFormat="false" ht="15" hidden="false" customHeight="false" outlineLevel="0" collapsed="false">
      <c r="A6" s="29" t="s">
        <v>249</v>
      </c>
      <c r="B6" s="6" t="n">
        <f aca="false">SUM(B4:B5)</f>
        <v>0</v>
      </c>
      <c r="C6" s="6" t="n">
        <f aca="false">SUM(C4:C5)</f>
        <v>0</v>
      </c>
      <c r="D6" s="6" t="n">
        <f aca="false">SUM(D4:D5)</f>
        <v>0</v>
      </c>
    </row>
    <row r="9" customFormat="false" ht="15" hidden="false" customHeight="false" outlineLevel="0" collapsed="false">
      <c r="A9" s="3" t="s">
        <v>250</v>
      </c>
    </row>
    <row r="10" customFormat="false" ht="15" hidden="false" customHeight="false" outlineLevel="0" collapsed="false">
      <c r="A10" s="28" t="s">
        <v>251</v>
      </c>
      <c r="B10" s="28" t="s">
        <v>252</v>
      </c>
      <c r="C10" s="28" t="s">
        <v>253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14"/>
    <col collapsed="false" customWidth="true" hidden="false" outlineLevel="0" max="7" min="3" style="0" width="16"/>
  </cols>
  <sheetData>
    <row r="1" customFormat="false" ht="19.7" hidden="false" customHeight="false" outlineLevel="0" collapsed="false">
      <c r="A1" s="1" t="s">
        <v>254</v>
      </c>
    </row>
    <row r="3" customFormat="false" ht="15" hidden="false" customHeight="false" outlineLevel="0" collapsed="false">
      <c r="A3" s="28" t="s">
        <v>255</v>
      </c>
      <c r="B3" s="28" t="s">
        <v>256</v>
      </c>
      <c r="C3" s="28" t="s">
        <v>257</v>
      </c>
      <c r="D3" s="28" t="s">
        <v>258</v>
      </c>
      <c r="E3" s="28" t="s">
        <v>259</v>
      </c>
      <c r="F3" s="28" t="s">
        <v>260</v>
      </c>
      <c r="G3" s="28" t="s">
        <v>261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14"/>
    <col collapsed="false" customWidth="true" hidden="false" outlineLevel="0" max="3" min="3" style="0" width="50"/>
    <col collapsed="false" customWidth="true" hidden="false" outlineLevel="0" max="4" min="4" style="0" width="18"/>
    <col collapsed="false" customWidth="true" hidden="false" outlineLevel="0" max="5" min="5" style="0" width="12"/>
  </cols>
  <sheetData>
    <row r="1" customFormat="false" ht="19.7" hidden="false" customHeight="false" outlineLevel="0" collapsed="false">
      <c r="A1" s="1" t="s">
        <v>262</v>
      </c>
    </row>
    <row r="3" customFormat="false" ht="15" hidden="false" customHeight="false" outlineLevel="0" collapsed="false">
      <c r="A3" s="28" t="s">
        <v>263</v>
      </c>
      <c r="B3" s="28" t="s">
        <v>158</v>
      </c>
      <c r="C3" s="28" t="s">
        <v>252</v>
      </c>
      <c r="D3" s="28" t="s">
        <v>253</v>
      </c>
      <c r="E3" s="28" t="s">
        <v>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36"/>
    <col collapsed="false" customWidth="true" hidden="false" outlineLevel="0" max="8" min="3" style="0" width="14"/>
  </cols>
  <sheetData>
    <row r="1" customFormat="false" ht="19.7" hidden="false" customHeight="false" outlineLevel="0" collapsed="false">
      <c r="A1" s="1" t="s">
        <v>264</v>
      </c>
    </row>
    <row r="3" customFormat="false" ht="15" hidden="false" customHeight="false" outlineLevel="0" collapsed="false">
      <c r="A3" s="28" t="s">
        <v>265</v>
      </c>
      <c r="B3" s="28" t="s">
        <v>252</v>
      </c>
      <c r="C3" s="28" t="s">
        <v>244</v>
      </c>
      <c r="D3" s="28" t="s">
        <v>245</v>
      </c>
      <c r="E3" s="28" t="s">
        <v>266</v>
      </c>
      <c r="F3" s="28" t="s">
        <v>267</v>
      </c>
      <c r="G3" s="28" t="s">
        <v>268</v>
      </c>
      <c r="H3" s="28" t="s">
        <v>269</v>
      </c>
    </row>
    <row r="4" customFormat="false" ht="15" hidden="false" customHeight="false" outlineLevel="0" collapsed="false">
      <c r="A4" s="4" t="s">
        <v>270</v>
      </c>
      <c r="B4" s="4" t="s">
        <v>271</v>
      </c>
      <c r="C4" s="5" t="n">
        <v>0</v>
      </c>
      <c r="D4" s="5" t="n">
        <v>0</v>
      </c>
      <c r="E4" s="5" t="n">
        <v>197</v>
      </c>
      <c r="F4" s="9" t="n">
        <f aca="false">D4-E4</f>
        <v>-197</v>
      </c>
      <c r="G4" s="5" t="n">
        <v>0</v>
      </c>
      <c r="H4" s="30" t="n">
        <f aca="false">IFERROR(E4/D4,0)</f>
        <v>0</v>
      </c>
    </row>
    <row r="5" customFormat="false" ht="15" hidden="false" customHeight="false" outlineLevel="0" collapsed="false">
      <c r="A5" s="4" t="s">
        <v>272</v>
      </c>
      <c r="B5" s="4" t="s">
        <v>273</v>
      </c>
      <c r="C5" s="5" t="n">
        <v>0</v>
      </c>
      <c r="D5" s="5" t="n">
        <v>0</v>
      </c>
      <c r="E5" s="5" t="n">
        <v>10701.25</v>
      </c>
      <c r="F5" s="9" t="n">
        <f aca="false">D5-E5</f>
        <v>-10701.25</v>
      </c>
      <c r="G5" s="5" t="n">
        <v>7932.5</v>
      </c>
      <c r="H5" s="30" t="n">
        <f aca="false">IFERROR(E5/D5,0)</f>
        <v>0</v>
      </c>
    </row>
    <row r="6" customFormat="false" ht="15" hidden="false" customHeight="false" outlineLevel="0" collapsed="false">
      <c r="A6" s="4" t="s">
        <v>274</v>
      </c>
      <c r="B6" s="4" t="s">
        <v>275</v>
      </c>
      <c r="C6" s="5" t="n">
        <v>0</v>
      </c>
      <c r="D6" s="5" t="n">
        <v>0</v>
      </c>
      <c r="E6" s="5" t="n">
        <v>93.93</v>
      </c>
      <c r="F6" s="9" t="n">
        <f aca="false">D6-E6</f>
        <v>-93.93</v>
      </c>
      <c r="G6" s="5" t="n">
        <v>0</v>
      </c>
      <c r="H6" s="30" t="n">
        <f aca="false">IFERROR(E6/D6,0)</f>
        <v>0</v>
      </c>
    </row>
    <row r="7" customFormat="false" ht="15" hidden="false" customHeight="false" outlineLevel="0" collapsed="false">
      <c r="A7" s="4" t="s">
        <v>276</v>
      </c>
      <c r="B7" s="4" t="s">
        <v>277</v>
      </c>
      <c r="C7" s="5" t="n">
        <v>0</v>
      </c>
      <c r="D7" s="5" t="n">
        <v>0</v>
      </c>
      <c r="E7" s="5" t="n">
        <v>15.07</v>
      </c>
      <c r="F7" s="9" t="n">
        <f aca="false">D7-E7</f>
        <v>-15.07</v>
      </c>
      <c r="G7" s="5" t="n">
        <v>0</v>
      </c>
      <c r="H7" s="30" t="n">
        <f aca="false">IFERROR(E7/D7,0)</f>
        <v>0</v>
      </c>
    </row>
    <row r="8" customFormat="false" ht="15" hidden="false" customHeight="false" outlineLevel="0" collapsed="false">
      <c r="A8" s="29" t="s">
        <v>278</v>
      </c>
      <c r="C8" s="6" t="n">
        <f aca="false">SUM(C4:C7)</f>
        <v>0</v>
      </c>
      <c r="D8" s="6" t="n">
        <f aca="false">SUM(D4:D7)</f>
        <v>0</v>
      </c>
      <c r="E8" s="6" t="n">
        <f aca="false">SUM(E4:E7)</f>
        <v>11007.25</v>
      </c>
      <c r="F8" s="6" t="n">
        <f aca="false">SUM(F4:F7)</f>
        <v>-11007.25</v>
      </c>
      <c r="G8" s="6" t="n">
        <f aca="false">SUM(G4:G7)</f>
        <v>7932.5</v>
      </c>
      <c r="H8" s="7" t="n">
        <f aca="false">IFERROR(E8/D8,0)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10"/>
    <col collapsed="false" customWidth="true" hidden="false" outlineLevel="0" max="6" min="3" style="0" width="16"/>
  </cols>
  <sheetData>
    <row r="1" customFormat="false" ht="19.7" hidden="false" customHeight="false" outlineLevel="0" collapsed="false">
      <c r="A1" s="1" t="s">
        <v>279</v>
      </c>
    </row>
    <row r="3" customFormat="false" ht="15" hidden="false" customHeight="false" outlineLevel="0" collapsed="false">
      <c r="A3" s="28" t="s">
        <v>280</v>
      </c>
      <c r="B3" s="28" t="s">
        <v>281</v>
      </c>
      <c r="C3" s="28" t="s">
        <v>282</v>
      </c>
      <c r="D3" s="28" t="s">
        <v>266</v>
      </c>
      <c r="E3" s="28" t="s">
        <v>267</v>
      </c>
      <c r="F3" s="28" t="s">
        <v>269</v>
      </c>
    </row>
    <row r="4" customFormat="false" ht="15" hidden="false" customHeight="false" outlineLevel="0" collapsed="false">
      <c r="A4" s="29" t="s">
        <v>283</v>
      </c>
      <c r="B4" s="4" t="n">
        <v>1</v>
      </c>
      <c r="C4" s="5" t="n">
        <v>0</v>
      </c>
      <c r="D4" s="5" t="n">
        <v>197</v>
      </c>
      <c r="E4" s="9" t="n">
        <f aca="false">C4-D4</f>
        <v>-197</v>
      </c>
      <c r="F4" s="30" t="n">
        <f aca="false">IFERROR(D4/C4,0)</f>
        <v>0</v>
      </c>
    </row>
    <row r="5" customFormat="false" ht="15" hidden="false" customHeight="false" outlineLevel="0" collapsed="false">
      <c r="A5" s="29" t="s">
        <v>284</v>
      </c>
      <c r="B5" s="4" t="n">
        <v>0</v>
      </c>
      <c r="C5" s="5" t="n">
        <v>0</v>
      </c>
      <c r="D5" s="5" t="n">
        <v>0</v>
      </c>
      <c r="E5" s="9" t="n">
        <f aca="false">C5-D5</f>
        <v>0</v>
      </c>
      <c r="F5" s="30" t="n">
        <f aca="false">IFERROR(D5/C5,0)</f>
        <v>0</v>
      </c>
    </row>
    <row r="6" customFormat="false" ht="15" hidden="false" customHeight="false" outlineLevel="0" collapsed="false">
      <c r="A6" s="29" t="s">
        <v>285</v>
      </c>
      <c r="B6" s="4" t="n">
        <v>1</v>
      </c>
      <c r="C6" s="5" t="n">
        <v>0</v>
      </c>
      <c r="D6" s="5" t="n">
        <v>10701.25</v>
      </c>
      <c r="E6" s="9" t="n">
        <f aca="false">C6-D6</f>
        <v>-10701.25</v>
      </c>
      <c r="F6" s="30" t="n">
        <f aca="false">IFERROR(D6/C6,0)</f>
        <v>0</v>
      </c>
    </row>
    <row r="7" customFormat="false" ht="15" hidden="false" customHeight="false" outlineLevel="0" collapsed="false">
      <c r="A7" s="29" t="s">
        <v>286</v>
      </c>
      <c r="B7" s="4" t="n">
        <v>2</v>
      </c>
      <c r="C7" s="5" t="n">
        <v>0</v>
      </c>
      <c r="D7" s="5" t="n">
        <v>109</v>
      </c>
      <c r="E7" s="9" t="n">
        <f aca="false">C7-D7</f>
        <v>-109</v>
      </c>
      <c r="F7" s="30" t="n">
        <f aca="false">IFERROR(D7/C7,0)</f>
        <v>0</v>
      </c>
    </row>
    <row r="8" customFormat="false" ht="15" hidden="false" customHeight="false" outlineLevel="0" collapsed="false">
      <c r="A8" s="29" t="s">
        <v>278</v>
      </c>
      <c r="B8" s="31" t="n">
        <f aca="false">SUM(B4:B7)</f>
        <v>4</v>
      </c>
      <c r="C8" s="6" t="n">
        <f aca="false">SUM(C4:C7)</f>
        <v>0</v>
      </c>
      <c r="D8" s="6" t="n">
        <f aca="false">SUM(D4:D7)</f>
        <v>11007.25</v>
      </c>
      <c r="E8" s="6" t="n">
        <f aca="false">SUM(E4:E7)</f>
        <v>-11007.25</v>
      </c>
      <c r="F8" s="7" t="n">
        <f aca="false">IFERROR(D8/C8,0)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36"/>
    <col collapsed="false" customWidth="true" hidden="false" outlineLevel="0" max="5" min="3" style="0" width="14"/>
    <col collapsed="false" customWidth="true" hidden="false" outlineLevel="0" max="6" min="6" style="0" width="10"/>
    <col collapsed="false" customWidth="true" hidden="false" outlineLevel="0" max="7" min="7" style="0" width="14"/>
  </cols>
  <sheetData>
    <row r="1" customFormat="false" ht="19.7" hidden="false" customHeight="false" outlineLevel="0" collapsed="false">
      <c r="A1" s="1" t="s">
        <v>287</v>
      </c>
    </row>
    <row r="2" customFormat="false" ht="15" hidden="false" customHeight="false" outlineLevel="0" collapsed="false">
      <c r="A2" s="2" t="s">
        <v>288</v>
      </c>
    </row>
    <row r="4" customFormat="false" ht="15" hidden="false" customHeight="false" outlineLevel="0" collapsed="false">
      <c r="A4" s="28" t="s">
        <v>265</v>
      </c>
      <c r="B4" s="28" t="s">
        <v>252</v>
      </c>
      <c r="C4" s="28" t="s">
        <v>245</v>
      </c>
      <c r="D4" s="28" t="s">
        <v>266</v>
      </c>
      <c r="E4" s="28" t="s">
        <v>267</v>
      </c>
      <c r="F4" s="28" t="s">
        <v>289</v>
      </c>
      <c r="G4" s="28" t="s">
        <v>42</v>
      </c>
    </row>
    <row r="5" customFormat="false" ht="15" hidden="false" customHeight="false" outlineLevel="0" collapsed="false">
      <c r="A5" s="4" t="s">
        <v>270</v>
      </c>
      <c r="B5" s="4" t="s">
        <v>271</v>
      </c>
      <c r="C5" s="5" t="n">
        <v>0</v>
      </c>
      <c r="D5" s="5" t="n">
        <v>197</v>
      </c>
      <c r="E5" s="9" t="n">
        <f aca="false">C5-D5</f>
        <v>-197</v>
      </c>
      <c r="F5" s="30" t="n">
        <f aca="false">IFERROR((D5-C5)/C5,0)</f>
        <v>0</v>
      </c>
      <c r="G5" s="32" t="str">
        <f aca="false">IF(C5=0,"UNBUDGETED",IF(F5&gt;0.5,"CRITICAL",IF(F5&gt;0.1,"OVER",IF(F5&lt;-0.1,"UNDER","ON"))))</f>
        <v>UNBUDGETED</v>
      </c>
    </row>
    <row r="6" customFormat="false" ht="15" hidden="false" customHeight="false" outlineLevel="0" collapsed="false">
      <c r="A6" s="4" t="s">
        <v>272</v>
      </c>
      <c r="B6" s="4" t="s">
        <v>273</v>
      </c>
      <c r="C6" s="5" t="n">
        <v>0</v>
      </c>
      <c r="D6" s="5" t="n">
        <v>10701.25</v>
      </c>
      <c r="E6" s="9" t="n">
        <f aca="false">C6-D6</f>
        <v>-10701.25</v>
      </c>
      <c r="F6" s="30" t="n">
        <f aca="false">IFERROR((D6-C6)/C6,0)</f>
        <v>0</v>
      </c>
      <c r="G6" s="32" t="str">
        <f aca="false">IF(C6=0,"UNBUDGETED",IF(F6&gt;0.5,"CRITICAL",IF(F6&gt;0.1,"OVER",IF(F6&lt;-0.1,"UNDER","ON"))))</f>
        <v>UNBUDGETED</v>
      </c>
    </row>
    <row r="7" customFormat="false" ht="15" hidden="false" customHeight="false" outlineLevel="0" collapsed="false">
      <c r="A7" s="4" t="s">
        <v>274</v>
      </c>
      <c r="B7" s="4" t="s">
        <v>275</v>
      </c>
      <c r="C7" s="5" t="n">
        <v>0</v>
      </c>
      <c r="D7" s="5" t="n">
        <v>93.93</v>
      </c>
      <c r="E7" s="9" t="n">
        <f aca="false">C7-D7</f>
        <v>-93.93</v>
      </c>
      <c r="F7" s="30" t="n">
        <f aca="false">IFERROR((D7-C7)/C7,0)</f>
        <v>0</v>
      </c>
      <c r="G7" s="32" t="str">
        <f aca="false">IF(C7=0,"UNBUDGETED",IF(F7&gt;0.5,"CRITICAL",IF(F7&gt;0.1,"OVER",IF(F7&lt;-0.1,"UNDER","ON"))))</f>
        <v>UNBUDGETED</v>
      </c>
    </row>
    <row r="8" customFormat="false" ht="15" hidden="false" customHeight="false" outlineLevel="0" collapsed="false">
      <c r="A8" s="4" t="s">
        <v>276</v>
      </c>
      <c r="B8" s="4" t="s">
        <v>277</v>
      </c>
      <c r="C8" s="5" t="n">
        <v>0</v>
      </c>
      <c r="D8" s="5" t="n">
        <v>15.07</v>
      </c>
      <c r="E8" s="9" t="n">
        <f aca="false">C8-D8</f>
        <v>-15.07</v>
      </c>
      <c r="F8" s="30" t="n">
        <f aca="false">IFERROR((D8-C8)/C8,0)</f>
        <v>0</v>
      </c>
      <c r="G8" s="32" t="str">
        <f aca="false">IF(C8=0,"UNBUDGETED",IF(F8&gt;0.5,"CRITICAL",IF(F8&gt;0.1,"OVER",IF(F8&lt;-0.1,"UNDER","ON"))))</f>
        <v>UNBUDGETED</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2" min="2" style="0" width="14"/>
    <col collapsed="false" customWidth="true" hidden="false" outlineLevel="0" max="3" min="3" style="0" width="12"/>
    <col collapsed="false" customWidth="true" hidden="false" outlineLevel="0" max="4" min="4" style="0" width="14"/>
  </cols>
  <sheetData>
    <row r="1" customFormat="false" ht="19.7" hidden="false" customHeight="false" outlineLevel="0" collapsed="false">
      <c r="A1" s="1" t="s">
        <v>290</v>
      </c>
    </row>
    <row r="3" customFormat="false" ht="15" hidden="false" customHeight="false" outlineLevel="0" collapsed="false">
      <c r="A3" s="28" t="s">
        <v>291</v>
      </c>
      <c r="B3" s="28" t="s">
        <v>292</v>
      </c>
      <c r="C3" s="28" t="s">
        <v>293</v>
      </c>
      <c r="D3" s="28" t="s">
        <v>294</v>
      </c>
    </row>
    <row r="4" customFormat="false" ht="15" hidden="false" customHeight="false" outlineLevel="0" collapsed="false">
      <c r="A4" s="4" t="s">
        <v>295</v>
      </c>
      <c r="B4" s="5" t="n">
        <v>10701.25</v>
      </c>
      <c r="C4" s="4" t="n">
        <v>2</v>
      </c>
      <c r="D4" s="30" t="n">
        <f aca="false">IFERROR(B4/SUM(B$4),0)</f>
        <v>1</v>
      </c>
    </row>
    <row r="5" customFormat="false" ht="15" hidden="false" customHeight="false" outlineLevel="0" collapsed="false">
      <c r="A5" s="29" t="s">
        <v>296</v>
      </c>
      <c r="B5" s="6" t="n">
        <f aca="false">SUM(B4)</f>
        <v>10701.25</v>
      </c>
      <c r="C5" s="33" t="n">
        <f aca="false">SUM(C4)</f>
        <v>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12"/>
    <col collapsed="false" customWidth="true" hidden="false" outlineLevel="0" max="3" min="3" style="0" width="14"/>
    <col collapsed="false" customWidth="true" hidden="false" outlineLevel="0" max="5" min="4" style="0" width="12"/>
  </cols>
  <sheetData>
    <row r="1" customFormat="false" ht="19.7" hidden="false" customHeight="false" outlineLevel="0" collapsed="false">
      <c r="A1" s="1" t="s">
        <v>297</v>
      </c>
    </row>
    <row r="3" customFormat="false" ht="15" hidden="false" customHeight="false" outlineLevel="0" collapsed="false">
      <c r="A3" s="28" t="s">
        <v>298</v>
      </c>
      <c r="B3" s="28" t="s">
        <v>299</v>
      </c>
      <c r="C3" s="28" t="s">
        <v>300</v>
      </c>
      <c r="D3" s="28" t="s">
        <v>301</v>
      </c>
      <c r="E3" s="28" t="s">
        <v>302</v>
      </c>
    </row>
    <row r="4" customFormat="false" ht="15" hidden="false" customHeight="false" outlineLevel="0" collapsed="false">
      <c r="A4" s="4" t="s">
        <v>303</v>
      </c>
      <c r="B4" s="34" t="n">
        <v>2</v>
      </c>
      <c r="C4" s="5" t="n">
        <v>138</v>
      </c>
      <c r="D4" s="35" t="n">
        <f aca="false">IFERROR(C4/B4,0)</f>
        <v>69</v>
      </c>
      <c r="E4" s="4" t="s">
        <v>304</v>
      </c>
    </row>
    <row r="5" customFormat="false" ht="15" hidden="false" customHeight="false" outlineLevel="0" collapsed="false">
      <c r="A5" s="4" t="s">
        <v>305</v>
      </c>
      <c r="B5" s="34" t="n">
        <v>1</v>
      </c>
      <c r="C5" s="5" t="n">
        <v>59</v>
      </c>
      <c r="D5" s="35" t="n">
        <f aca="false">IFERROR(C5/B5,0)</f>
        <v>59</v>
      </c>
      <c r="E5" s="4" t="s">
        <v>304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10"/>
    <col collapsed="false" customWidth="true" hidden="false" outlineLevel="0" max="3" min="3" style="0" width="12"/>
    <col collapsed="false" customWidth="true" hidden="false" outlineLevel="0" max="5" min="4" style="0" width="14"/>
  </cols>
  <sheetData>
    <row r="1" customFormat="false" ht="19.7" hidden="false" customHeight="false" outlineLevel="0" collapsed="false">
      <c r="A1" s="1" t="s">
        <v>306</v>
      </c>
    </row>
    <row r="3" customFormat="false" ht="15" hidden="false" customHeight="false" outlineLevel="0" collapsed="false">
      <c r="A3" s="28" t="s">
        <v>302</v>
      </c>
      <c r="B3" s="28" t="s">
        <v>307</v>
      </c>
      <c r="C3" s="28" t="s">
        <v>299</v>
      </c>
      <c r="D3" s="28" t="s">
        <v>300</v>
      </c>
      <c r="E3" s="28" t="s">
        <v>308</v>
      </c>
    </row>
    <row r="4" customFormat="false" ht="15" hidden="false" customHeight="false" outlineLevel="0" collapsed="false">
      <c r="A4" s="29" t="s">
        <v>304</v>
      </c>
      <c r="B4" s="4" t="n">
        <v>2</v>
      </c>
      <c r="C4" s="34" t="n">
        <v>3</v>
      </c>
      <c r="D4" s="5" t="n">
        <v>197</v>
      </c>
      <c r="E4" s="30" t="n">
        <f aca="false">IFERROR(C4/SUM(C$4:C$7),0)</f>
        <v>1</v>
      </c>
    </row>
    <row r="5" customFormat="false" ht="15" hidden="false" customHeight="false" outlineLevel="0" collapsed="false">
      <c r="A5" s="29" t="s">
        <v>309</v>
      </c>
      <c r="B5" s="4" t="n">
        <v>0</v>
      </c>
      <c r="C5" s="34" t="n">
        <v>0</v>
      </c>
      <c r="D5" s="5" t="n">
        <v>0</v>
      </c>
      <c r="E5" s="30" t="n">
        <f aca="false">IFERROR(C5/SUM(C$4:C$7),0)</f>
        <v>0</v>
      </c>
    </row>
    <row r="6" customFormat="false" ht="15" hidden="false" customHeight="false" outlineLevel="0" collapsed="false">
      <c r="A6" s="29" t="s">
        <v>310</v>
      </c>
      <c r="B6" s="4" t="n">
        <v>0</v>
      </c>
      <c r="C6" s="34" t="n">
        <v>0</v>
      </c>
      <c r="D6" s="5" t="n">
        <v>0</v>
      </c>
      <c r="E6" s="30" t="n">
        <f aca="false">IFERROR(C6/SUM(C$4:C$7),0)</f>
        <v>0</v>
      </c>
    </row>
    <row r="7" customFormat="false" ht="15" hidden="false" customHeight="false" outlineLevel="0" collapsed="false">
      <c r="A7" s="29" t="s">
        <v>311</v>
      </c>
      <c r="B7" s="4" t="n">
        <v>0</v>
      </c>
      <c r="C7" s="34" t="n">
        <v>0</v>
      </c>
      <c r="D7" s="5" t="n">
        <v>0</v>
      </c>
      <c r="E7" s="30" t="n">
        <f aca="false">IFERROR(C7/SUM(C$4:C$7),0)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18"/>
  </cols>
  <sheetData>
    <row r="1" customFormat="false" ht="19.7" hidden="false" customHeight="false" outlineLevel="0" collapsed="false">
      <c r="A1" s="1" t="s">
        <v>312</v>
      </c>
    </row>
    <row r="3" customFormat="false" ht="15" hidden="false" customHeight="false" outlineLevel="0" collapsed="false">
      <c r="A3" s="4" t="s">
        <v>313</v>
      </c>
      <c r="B3" s="34" t="n">
        <v>3</v>
      </c>
    </row>
    <row r="4" customFormat="false" ht="15" hidden="false" customHeight="false" outlineLevel="0" collapsed="false">
      <c r="A4" s="4" t="s">
        <v>314</v>
      </c>
      <c r="B4" s="36" t="n">
        <v>2</v>
      </c>
    </row>
    <row r="5" customFormat="false" ht="15" hidden="false" customHeight="false" outlineLevel="0" collapsed="false">
      <c r="A5" s="4" t="s">
        <v>315</v>
      </c>
      <c r="B5" s="34" t="n">
        <v>0</v>
      </c>
    </row>
    <row r="6" customFormat="false" ht="15" hidden="false" customHeight="false" outlineLevel="0" collapsed="false">
      <c r="A6" s="4" t="s">
        <v>316</v>
      </c>
      <c r="B6" s="37" t="n">
        <v>0</v>
      </c>
    </row>
    <row r="7" customFormat="false" ht="15" hidden="false" customHeight="false" outlineLevel="0" collapsed="false">
      <c r="A7" s="4" t="s">
        <v>12</v>
      </c>
      <c r="B7" s="38"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4" min="2" style="0" width="14"/>
  </cols>
  <sheetData>
    <row r="1" customFormat="false" ht="19.7" hidden="false" customHeight="false" outlineLevel="0" collapsed="false">
      <c r="A1" s="1" t="s">
        <v>317</v>
      </c>
    </row>
    <row r="3" customFormat="false" ht="15" hidden="false" customHeight="false" outlineLevel="0" collapsed="false">
      <c r="A3" s="28" t="s">
        <v>318</v>
      </c>
      <c r="B3" s="28" t="s">
        <v>319</v>
      </c>
      <c r="C3" s="28" t="s">
        <v>320</v>
      </c>
      <c r="D3" s="28" t="s">
        <v>246</v>
      </c>
    </row>
    <row r="4" customFormat="false" ht="15" hidden="false" customHeight="false" outlineLevel="0" collapsed="false">
      <c r="A4" s="4" t="s">
        <v>321</v>
      </c>
      <c r="B4" s="38" t="n">
        <v>0</v>
      </c>
      <c r="C4" s="38" t="n">
        <v>0.34</v>
      </c>
      <c r="D4" s="30" t="n">
        <f aca="false">B4-C4</f>
        <v>-0.34</v>
      </c>
    </row>
    <row r="5" customFormat="false" ht="15" hidden="false" customHeight="false" outlineLevel="0" collapsed="false">
      <c r="A5" s="4" t="s">
        <v>322</v>
      </c>
      <c r="B5" s="38" t="n">
        <v>0</v>
      </c>
      <c r="C5" s="38" t="n">
        <v>0.45</v>
      </c>
      <c r="D5" s="30" t="n">
        <f aca="false">B5-C5</f>
        <v>-0.45</v>
      </c>
    </row>
    <row r="6" customFormat="false" ht="15" hidden="false" customHeight="false" outlineLevel="0" collapsed="false">
      <c r="A6" s="4" t="s">
        <v>323</v>
      </c>
      <c r="B6" s="38" t="n">
        <v>1</v>
      </c>
      <c r="C6" s="38" t="n">
        <v>0.38</v>
      </c>
      <c r="D6" s="30" t="n">
        <f aca="false">B6-C6</f>
        <v>0.62</v>
      </c>
    </row>
    <row r="7" customFormat="false" ht="15" hidden="false" customHeight="false" outlineLevel="0" collapsed="false">
      <c r="A7" s="4" t="s">
        <v>324</v>
      </c>
      <c r="B7" s="34" t="n">
        <v>0.0288461538461539</v>
      </c>
      <c r="C7" s="34" t="n">
        <v>95</v>
      </c>
      <c r="D7" s="39" t="n">
        <f aca="false">B7-C7</f>
        <v>-94.9711538461538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16"/>
    <col collapsed="false" customWidth="true" hidden="false" outlineLevel="0" max="3" min="3" style="0" width="44"/>
  </cols>
  <sheetData>
    <row r="1" customFormat="false" ht="19.7" hidden="false" customHeight="false" outlineLevel="0" collapsed="false">
      <c r="A1" s="1" t="s">
        <v>325</v>
      </c>
    </row>
    <row r="3" customFormat="false" ht="15" hidden="false" customHeight="false" outlineLevel="0" collapsed="false">
      <c r="A3" s="28" t="s">
        <v>326</v>
      </c>
      <c r="B3" s="28" t="s">
        <v>42</v>
      </c>
      <c r="C3" s="28" t="s">
        <v>197</v>
      </c>
    </row>
    <row r="4" customFormat="false" ht="15" hidden="false" customHeight="false" outlineLevel="0" collapsed="false">
      <c r="A4" s="4" t="s">
        <v>327</v>
      </c>
      <c r="B4" s="40" t="s">
        <v>328</v>
      </c>
      <c r="C4" s="4" t="s">
        <v>329</v>
      </c>
    </row>
    <row r="5" customFormat="false" ht="15" hidden="false" customHeight="false" outlineLevel="0" collapsed="false">
      <c r="A5" s="4" t="s">
        <v>330</v>
      </c>
      <c r="B5" s="40" t="s">
        <v>328</v>
      </c>
      <c r="C5" s="4" t="s">
        <v>331</v>
      </c>
    </row>
    <row r="6" customFormat="false" ht="15" hidden="false" customHeight="false" outlineLevel="0" collapsed="false">
      <c r="A6" s="4" t="s">
        <v>332</v>
      </c>
      <c r="B6" s="41" t="s">
        <v>333</v>
      </c>
      <c r="C6" s="4" t="s">
        <v>334</v>
      </c>
    </row>
    <row r="7" customFormat="false" ht="15" hidden="false" customHeight="false" outlineLevel="0" collapsed="false">
      <c r="A7" s="4" t="s">
        <v>6</v>
      </c>
      <c r="B7" s="40" t="s">
        <v>328</v>
      </c>
      <c r="C7" s="4" t="s">
        <v>335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4" min="2" style="0" width="18"/>
  </cols>
  <sheetData>
    <row r="1" customFormat="false" ht="19.7" hidden="false" customHeight="false" outlineLevel="0" collapsed="false">
      <c r="A1" s="1" t="s">
        <v>336</v>
      </c>
    </row>
    <row r="3" customFormat="false" ht="15" hidden="false" customHeight="false" outlineLevel="0" collapsed="false">
      <c r="A3" s="28" t="s">
        <v>14</v>
      </c>
      <c r="B3" s="28" t="s">
        <v>337</v>
      </c>
      <c r="C3" s="28" t="s">
        <v>338</v>
      </c>
      <c r="D3" s="28" t="s">
        <v>246</v>
      </c>
    </row>
    <row r="4" customFormat="false" ht="15" hidden="false" customHeight="false" outlineLevel="0" collapsed="false">
      <c r="A4" s="4" t="s">
        <v>339</v>
      </c>
      <c r="B4" s="5" t="n">
        <v>11007.25</v>
      </c>
      <c r="C4" s="5" t="n">
        <v>11007.25</v>
      </c>
      <c r="D4" s="9" t="n">
        <f aca="false">IF(ISNUMBER(B4),B4-C4,"—")</f>
        <v>0</v>
      </c>
    </row>
    <row r="5" customFormat="false" ht="15" hidden="false" customHeight="false" outlineLevel="0" collapsed="false">
      <c r="A5" s="4" t="s">
        <v>340</v>
      </c>
      <c r="B5" s="5" t="n">
        <v>0</v>
      </c>
      <c r="C5" s="5" t="n">
        <v>0</v>
      </c>
      <c r="D5" s="9" t="n">
        <f aca="false">IF(ISNUMBER(B5),B5-C5,"—")</f>
        <v>0</v>
      </c>
    </row>
    <row r="6" customFormat="false" ht="15" hidden="false" customHeight="false" outlineLevel="0" collapsed="false">
      <c r="A6" s="4" t="s">
        <v>341</v>
      </c>
      <c r="C6" s="5" t="n">
        <v>10701.25</v>
      </c>
      <c r="D6" s="9" t="str">
        <f aca="false">IF(ISNUMBER(B6),B6-C6,"—")</f>
        <v>—</v>
      </c>
    </row>
    <row r="7" customFormat="false" ht="15" hidden="false" customHeight="false" outlineLevel="0" collapsed="false">
      <c r="A7" s="4" t="s">
        <v>342</v>
      </c>
      <c r="C7" s="5" t="n">
        <v>306</v>
      </c>
      <c r="D7" s="9" t="str">
        <f aca="false">IF(ISNUMBER(B7),B7-C7,"—")</f>
        <v>—</v>
      </c>
    </row>
    <row r="8" customFormat="false" ht="15" hidden="false" customHeight="false" outlineLevel="0" collapsed="false">
      <c r="A8" s="4" t="s">
        <v>343</v>
      </c>
      <c r="C8" s="5" t="n">
        <v>0</v>
      </c>
      <c r="D8" s="9" t="str">
        <f aca="false">IF(ISNUMBER(B8),B8-C8,"—")</f>
        <v>—</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20"/>
    <col collapsed="false" customWidth="true" hidden="false" outlineLevel="0" max="3" min="3" style="0" width="50"/>
  </cols>
  <sheetData>
    <row r="1" customFormat="false" ht="19.7" hidden="false" customHeight="false" outlineLevel="0" collapsed="false">
      <c r="A1" s="1" t="s">
        <v>344</v>
      </c>
    </row>
    <row r="3" customFormat="false" ht="15" hidden="false" customHeight="false" outlineLevel="0" collapsed="false">
      <c r="A3" s="28" t="s">
        <v>318</v>
      </c>
      <c r="B3" s="28" t="s">
        <v>345</v>
      </c>
      <c r="C3" s="28" t="s">
        <v>346</v>
      </c>
    </row>
    <row r="4" customFormat="false" ht="15" hidden="false" customHeight="false" outlineLevel="0" collapsed="false">
      <c r="A4" s="42" t="s">
        <v>321</v>
      </c>
      <c r="B4" s="42" t="s">
        <v>347</v>
      </c>
      <c r="C4" s="42" t="s">
        <v>348</v>
      </c>
    </row>
    <row r="5" customFormat="false" ht="15" hidden="false" customHeight="false" outlineLevel="0" collapsed="false">
      <c r="A5" s="42" t="s">
        <v>12</v>
      </c>
      <c r="B5" s="42" t="s">
        <v>347</v>
      </c>
      <c r="C5" s="42" t="s">
        <v>349</v>
      </c>
    </row>
    <row r="6" customFormat="false" ht="15" hidden="false" customHeight="false" outlineLevel="0" collapsed="false">
      <c r="A6" s="42" t="s">
        <v>350</v>
      </c>
      <c r="B6" s="42" t="s">
        <v>351</v>
      </c>
      <c r="C6" s="42" t="s">
        <v>352</v>
      </c>
    </row>
    <row r="7" customFormat="false" ht="15" hidden="false" customHeight="false" outlineLevel="0" collapsed="false">
      <c r="A7" s="42" t="s">
        <v>323</v>
      </c>
      <c r="B7" s="42" t="s">
        <v>353</v>
      </c>
      <c r="C7" s="42" t="s">
        <v>354</v>
      </c>
    </row>
    <row r="8" customFormat="false" ht="15" hidden="false" customHeight="false" outlineLevel="0" collapsed="false">
      <c r="A8" s="42" t="s">
        <v>324</v>
      </c>
      <c r="B8" s="42" t="s">
        <v>355</v>
      </c>
      <c r="C8" s="42" t="s">
        <v>356</v>
      </c>
    </row>
    <row r="9" customFormat="false" ht="23.85" hidden="false" customHeight="false" outlineLevel="0" collapsed="false">
      <c r="A9" s="42" t="s">
        <v>357</v>
      </c>
      <c r="B9" s="42" t="s">
        <v>358</v>
      </c>
      <c r="C9" s="42" t="s">
        <v>359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24"/>
    <col collapsed="false" customWidth="true" hidden="false" outlineLevel="0" max="3" min="3" style="0" width="50"/>
  </cols>
  <sheetData>
    <row r="1" customFormat="false" ht="19.7" hidden="false" customHeight="false" outlineLevel="0" collapsed="false">
      <c r="A1" s="1" t="s">
        <v>360</v>
      </c>
    </row>
    <row r="3" customFormat="false" ht="15" hidden="false" customHeight="false" outlineLevel="0" collapsed="false">
      <c r="A3" s="28" t="s">
        <v>157</v>
      </c>
      <c r="B3" s="28" t="s">
        <v>361</v>
      </c>
      <c r="C3" s="28" t="s">
        <v>162</v>
      </c>
    </row>
    <row r="4" customFormat="false" ht="15" hidden="false" customHeight="false" outlineLevel="0" collapsed="false">
      <c r="A4" s="4" t="s">
        <v>362</v>
      </c>
      <c r="B4" s="4" t="s">
        <v>363</v>
      </c>
      <c r="C4" s="4" t="s">
        <v>364</v>
      </c>
    </row>
    <row r="5" customFormat="false" ht="191.75" hidden="false" customHeight="false" outlineLevel="0" collapsed="false">
      <c r="A5" s="43" t="s">
        <v>365</v>
      </c>
      <c r="B5" s="44" t="s">
        <v>366</v>
      </c>
      <c r="C5" s="45" t="s">
        <v>367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2026-04-24T20:56:32Z</dcterms:created>
  <dc:creator>openpyxl</dc:creator>
  <dc:description/>
  <dc:language>en-US</dc:language>
  <cp:lastModifiedBy/>
  <dcterms:modified xsi:type="dcterms:W3CDTF">2026-04-28T14:57:46Z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