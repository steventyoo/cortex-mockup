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<sst xmlns="http://schemas.openxmlformats.org/spreadsheetml/2006/main" count="423" uniqueCount="224">
  <si>
    <t xml:space="preserve">Job #2117 · Lachlan Apartments</t>
  </si>
  <si>
    <t xml:space="preserve">Cortex JCR Summary  •  Ravenna Partners (Owner: Ravenna Partners (owner-GC · self-developing))</t>
  </si>
  <si>
    <t xml:space="preserve">PROJECT OVERVIEW</t>
  </si>
  <si>
    <t xml:space="preserve">Project Job #</t>
  </si>
  <si>
    <t xml:space="preserve">2117</t>
  </si>
  <si>
    <t xml:space="preserve">Project Name:</t>
  </si>
  <si>
    <t xml:space="preserve">Lachlan Apartments</t>
  </si>
  <si>
    <t xml:space="preserve">General Contractor</t>
  </si>
  <si>
    <t xml:space="preserve">Ravenna Partners (Owner: Ravenna Partners (owner-GC · self-developing))</t>
  </si>
  <si>
    <t xml:space="preserve">Location</t>
  </si>
  <si>
    <t xml:space="preserve">3421 Woodland Park Ave N, Seattle WA (Lower Woodland / Wallingford)</t>
  </si>
  <si>
    <t xml:space="preserve">Project Duration</t>
  </si>
  <si>
    <t xml:space="preserve">TBD · pending Ravenna acceptance of Nov 19 2025 BID – TBD (Pre-construction · 23-month bid pursuit since Dec 2023 · final BID Nov 19 2025)</t>
  </si>
  <si>
    <t xml:space="preserve">Status</t>
  </si>
  <si>
    <t xml:space="preserve">ACTIVE · pre-construction · final BID submitted</t>
  </si>
  <si>
    <t xml:space="preserve">CONTRACT VALUE</t>
  </si>
  <si>
    <t xml:space="preserve">FORECAST NET PROFIT</t>
  </si>
  <si>
    <t xml:space="preserve">DIRECT COST</t>
  </si>
  <si>
    <t xml:space="preserve">LABOR HOURS</t>
  </si>
  <si>
    <t xml:space="preserve">$1,948,000</t>
  </si>
  <si>
    <t xml:space="preserve">$1,936,993</t>
  </si>
  <si>
    <t xml:space="preserve">$11,007</t>
  </si>
  <si>
    <t xml:space="preserve">3</t>
  </si>
  <si>
    <t xml:space="preserve">$2,610,000 orig + $-662,000 COs</t>
  </si>
  <si>
    <t xml:space="preserve">99.4% margin</t>
  </si>
  <si>
    <t xml:space="preserve">0.6% of revenue</t>
  </si>
  <si>
    <t xml:space="preserve">2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</si>
  <si>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</si>
  <si>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</si>
  <si>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</si>
  <si>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</si>
  <si>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</si>
  <si>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</si>
  <si>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</si>
  <si>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</si>
  <si>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</si>
  <si>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</si>
  <si>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</si>
  <si>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</si>
  <si>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</si>
  <si>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Plumbing Units</t>
  </si>
  <si>
    <t xml:space="preserve">Total Fixtures</t>
  </si>
  <si>
    <t xml:space="preserve">425 trim fixtures (verified Nov 19 2025 bid sheet ESTIMATE tab + proposal RESIDENT UNIT TRIM block)</t>
  </si>
  <si>
    <t xml:space="preserve">Fixtures / Unit</t>
  </si>
  <si>
    <t xml:space="preserve">4.09</t>
  </si>
  <si>
    <t xml:space="preserve">GC</t>
  </si>
  <si>
    <t xml:space="preserve">Ravenna Partners</t>
  </si>
  <si>
    <t xml:space="preserve">Owner</t>
  </si>
  <si>
    <t xml:space="preserve">Ravenna Partners (owner-GC · self-developing)</t>
  </si>
  <si>
    <t xml:space="preserve">Insurance</t>
  </si>
  <si>
    <t xml:space="preserve">Standard COI</t>
  </si>
  <si>
    <t xml:space="preserve">Duration</t>
  </si>
  <si>
    <t xml:space="preserve">Pre-construction · 23-month bid pursuit since Dec 2023 · final BID Nov 19 2025</t>
  </si>
  <si>
    <t xml:space="preserve">Permit</t>
  </si>
  <si>
    <t xml:space="preserve">Pre-permit · plumbing permit submittal pending Ravenna acceptance</t>
  </si>
  <si>
    <t xml:space="preserve">NARRATIVE</t>
  </si>
  <si>
    <t xml:space="preserve">Pre-construction project — Ravenna Partners' FIRST OWP engagement, owner-GC pattern. OWP has pursued the Lachlan Apartments site at 3421 Woodland Park Ave N (Lower Woodland / Wallingford) for 23 months across 3 budget rounds: 1st Budget Dec 15 2023 ($2,610,000 / 122 units, submitted under Blueprint as GC); 2nd Budget Oct 17 2024 ($2,100,000 / 100 units, -19.5%, also Blueprint era); 3rd Budget FINAL Nov 19 2025 ($1,948,000 / 104 units / 425 trim, Ravenna Partners as new owner-GC, -7.2% from 2nd). Net -$662k (-25.4%) and -18 units across the 3-bid arc — owner repeatedly tightened scope to hit pro-forma. Owner contact Andrew Withnell. OWP design-build MEP is Franklin Engineering ($10,701 / 97% of $11k AP = standard pre-permit design fees). $0 billed against $11,007 sunk cost = -$11,007 carrying loss (tiny relative to $1.95M bid · standard 23-month pursuit posture). 2 OWP estimators (Jeffrey + Jordan Gerard) logged 3.0 hours YTD. Verified fixture profile from Nov 19 2025 bid sheet + proposal: 425 trim across 104 toilets (Gerber Maxwell GWS20912/20918) + 104 lavs (Kohler K-2035-1 + matte black Peerless trim) + 53 tubs (Sterling 71121110 Vikrell) + 51 showers (Sterling 95077) + 104 kitchen sinks (Peerless P7946LF-BL) + amenity/common/specialty (1 drinking fountain + 1 mop sink + 1 coffee maker connection + 2 Toto common WCs + 2 Kohler common lavs + 2 Kohler amenity sinks). Plus 535 RI total (106 DW + 104 icemaker + 104 washer + 104 condensate drains + 208 water spacer tubes/meters). Heat source: 3 gas boilers (199mbh × 100-gal AO Smith/Rinnai/Bock vertical) + B&amp;G recirc + Heat Timer mixing valve. Owner-GC pattern means lean PM teams, price-sensitive negotiation, schedule-focused — expect tight CO scrutiny once subcontract executes. Forecast 24% margin once mobilized.</t>
  </si>
  <si>
    <t xml:space="preserve">SOURCES</t>
  </si>
  <si>
    <t xml:space="preserve">Job #2117 — Lachlan Apartments  •  GC: Ravenna Partners  •  Status: ACTIVE · pre-construction · final BID submitted</t>
  </si>
  <si>
    <t xml:space="preserve">Canonical source: 2117_data.json (Sage Timberline JDR · Apr 3 2026 run)</t>
  </si>
  <si>
    <t xml:space="preserve">Dashboard arrays: 2117_dashboard_arrays.json (mirrors index.html PROJECTS['2117'])</t>
  </si>
  <si>
    <t xml:space="preserve">Project profile: 104 units · 3421 Woodland Park Ave N, Seattle WA (Lower Woodland / Wallingford) · Pre-construction · 23-month bid pursuit since Dec 2023 · final BID Nov 19 2025</t>
  </si>
  <si>
    <t xml:space="preserve">Design team: Architect TBD (per Master Project List · drawings published as Building Permit Plans Nov 2025), Franklin Engineering (OWP design-build MEP · $10.7k design fees booked)</t>
  </si>
  <si>
    <t xml:space="preserve">Contract: FINAL BID submitted Nov 19 2025 by OWP for $1,948,000 / 104u / 425 trim. 23-month, 3-bid pursuit: $2,610,000 (Dec 15 2023 1st Budget Blueprint era / 122u / 667 RI) → $2,100,000 (Oct 17 2024 2nd Budget Blueprint era / 100u / 539 RI · -19.5%) → $1,948,000 (Nov 19 2025 FINAL Ravenna era / 104u / 425 trim · -7.2%). Net -25.4% / -$662k / -18 units across 3 bids.</t>
  </si>
  <si>
    <t xml:space="preserve">Billing: $0 billed across no progress billings yet — pre-acceptance phase. $0 retention.</t>
  </si>
  <si>
    <t xml:space="preserve">Permit: Pre-permit · plumbing permit submittal pending Ravenna acceptance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</si>
  <si>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</si>
  <si>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</si>
  <si>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</si>
  <si>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</si>
  <si>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</si>
  <si>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</si>
  <si>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</si>
  <si>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101</t>
  </si>
  <si>
    <t xml:space="preserve">Takeoff &amp; Purchase Labor</t>
  </si>
  <si>
    <t xml:space="preserve">OVERHEAD</t>
  </si>
  <si>
    <t xml:space="preserve">601</t>
  </si>
  <si>
    <t xml:space="preserve">Engineering/Plans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</si>
  <si>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</si>
  <si>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</si>
  <si>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</si>
  <si>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</si>
  <si>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</si>
  <si>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TOTAL Direct Cost</t>
  </si>
  <si>
    <t xml:space="preserve">Cost Breakdown — Category Deep Dive</t>
  </si>
  <si>
    <t xml:space="preserve">A. CATEGORY SHARE OF DIRECT COST</t>
  </si>
  <si>
    <t xml:space="preserve"># Codes</t>
  </si>
  <si>
    <t xml:space="preserve">Revenue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</si>
  <si>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</si>
  <si>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</si>
  <si>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</si>
  <si>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</si>
  <si>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</si>
  <si>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</si>
  <si>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</si>
  <si>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0 material cost codes  •  $0 JDR material  •  1 AP vendors</t>
  </si>
  <si>
    <t xml:space="preserve">A. MATERIAL BY COST CODE</t>
  </si>
  <si>
    <t xml:space="preserve">% of Mat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</si>
  <si>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</si>
  <si>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</si>
  <si>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</si>
  <si>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</si>
  <si>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</si>
  <si>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Franklin Engineering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</si>
  <si>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</si>
  <si>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</si>
  <si>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</si>
  <si>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</si>
  <si>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</si>
  <si>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</si>
  <si>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Gerard, Jeffrey S</t>
  </si>
  <si>
    <t xml:space="preserve">Tier 1 (Estimator/Mgr)</t>
  </si>
  <si>
    <t xml:space="preserve">Gerard, Jordan E</t>
  </si>
  <si>
    <t xml:space="preserve">Tier 1 (Sr Estimator)</t>
  </si>
  <si>
    <t xml:space="preserve">Crew Analytics — Tier Distribution &amp; Wages</t>
  </si>
  <si>
    <t xml:space="preserve">A. TIER DISTRIBUTION</t>
  </si>
  <si>
    <t xml:space="preserve"># Workers</t>
  </si>
  <si>
    <t xml:space="preserve">% of Hours</t>
  </si>
  <si>
    <t xml:space="preserve">Tier 1 (Estimator)</t>
  </si>
  <si>
    <t xml:space="preserve">Senior estimating leadership · takeoff phase%</t>
  </si>
  <si>
    <t xml:space="preserve">B. WAGE STATISTICS</t>
  </si>
  <si>
    <t xml:space="preserve">Blended labor rate ($/hr)</t>
  </si>
  <si>
    <t xml:space="preserve">—</t>
  </si>
  <si>
    <t xml:space="preserve">Foreman labor rate ($/hr)</t>
  </si>
  <si>
    <t xml:space="preserve">Burden multiplier</t>
  </si>
  <si>
    <t xml:space="preserve">Min wage ($/hr)</t>
  </si>
  <si>
    <t xml:space="preserve">Max wage ($/hr)</t>
  </si>
  <si>
    <t xml:space="preserve">Avg hours per worker</t>
  </si>
  <si>
    <t xml:space="preserve">Productivity — Phases by Hours</t>
  </si>
  <si>
    <t xml:space="preserve">Phase</t>
  </si>
  <si>
    <t xml:space="preserve">% of Total</t>
  </si>
  <si>
    <t xml:space="preserve">Hours/Unit</t>
  </si>
  <si>
    <t xml:space="preserve">PRODUCTIVITY RATIOS</t>
  </si>
  <si>
    <t xml:space="preserve">Revenue per unit</t>
  </si>
  <si>
    <t xml:space="preserve">$18,731</t>
  </si>
  <si>
    <t xml:space="preserve">Direct cost per unit</t>
  </si>
  <si>
    <t xml:space="preserve">$106</t>
  </si>
  <si>
    <t xml:space="preserve">Hours per unit</t>
  </si>
  <si>
    <t xml:space="preserve">105.84</t>
  </si>
  <si>
    <t xml:space="preserve">Revenue per hour</t>
  </si>
  <si>
    <t xml:space="preserve">$177</t>
  </si>
  <si>
    <t xml:space="preserve">Profit per hour</t>
  </si>
  <si>
    <t xml:space="preserve">$176</t>
  </si>
  <si>
    <t xml:space="preserve">PO Commitments — Vendor Concentration</t>
  </si>
  <si>
    <t xml:space="preserve">Per-PO records live in GDrive. This tab summarizes commitments by vendor concentration.</t>
  </si>
  <si>
    <t xml:space="preserve">#</t>
  </si>
  <si>
    <t xml:space="preserve">100.0%</t>
  </si>
  <si>
    <t xml:space="preserve">Top 5</t>
  </si>
  <si>
    <t xml:space="preserve">Billing &amp; Statement of Values</t>
  </si>
  <si>
    <t xml:space="preserve">STATEMENT OF VALUES — SUMMARY</t>
  </si>
  <si>
    <t xml:space="preserve">Original Contract</t>
  </si>
  <si>
    <t xml:space="preserve">Net Change Orders</t>
  </si>
  <si>
    <t xml:space="preserve">$0</t>
  </si>
  <si>
    <t xml:space="preserve">Final Contract</t>
  </si>
  <si>
    <t xml:space="preserve">Retainage Held</t>
  </si>
  <si>
    <t xml:space="preserve">Net Paid to OWP</t>
  </si>
  <si>
    <t xml:space="preserve">PAY APPLICATION HISTORY</t>
  </si>
  <si>
    <t xml:space="preserve">No pay-app history in dashboard. Source: Sage AR module aggregate only.</t>
  </si>
  <si>
    <t xml:space="preserve">Key Insights — 10 Themes</t>
  </si>
  <si>
    <t xml:space="preserve">Theme</t>
  </si>
  <si>
    <t xml:space="preserve">Insight</t>
  </si>
  <si>
    <t xml:space="preserve">MARGIN PROFILE</t>
  </si>
  <si>
    <t xml:space="preserve">Pre-construction · $0 billed against $11,007 sunk design cost = -$11,007 carrying loss. Forecast 24% margin once Ravenna accepts Nov 19 2025 BID and field work mobilizes (industry benchmark for new owner-GC relationship).</t>
  </si>
  <si>
    <t xml:space="preserve">VENDOR CONCENTRATION</t>
  </si>
  <si>
    <t xml:space="preserve">Franklin Engineering (OWP design-build MEP) = $10,701 (100% of $11,007 AP) across 2 design invoices. Only 1 AP vendor active — design-only phase has not yet engaged supply houses.</t>
  </si>
  <si>
    <t xml:space="preserve">CREW PROFILE</t>
  </si>
  <si>
    <t xml:space="preserve">2 OWP estimators logged 3.0 hours YTD: Jeffrey Gerard 2.0 hrs + Jordan Gerard 1.0 hr (takeoff). $197 labor base — virtually all takeoff/refinement work in design phase.</t>
  </si>
  <si>
    <t xml:space="preserve">ROUGHIN DOMINANCE</t>
  </si>
  <si>
    <t xml:space="preserve">Code 120 Roughin Labor = 0 hrs / $0 actual (pre-mobilization). Code 101 Takeoff &amp; Purchase Labor = 3.0 hrs / $197 — the only OWP labor activity to date.</t>
  </si>
  <si>
    <t xml:space="preserve">BUDGET DELIVERY</t>
  </si>
  <si>
    <t xml:space="preserve">Final BID Nov 19 2025 = $1,948,000 (104 units · $18,731/unit · $4,584/trim fixture). 23-month bid pursuit since Dec 2023: 122u/$2.61M → 100u/$2.10M → 104u/$1.95M (-25% net).</t>
  </si>
  <si>
    <t xml:space="preserve">CONTRACT GROWTH</t>
  </si>
  <si>
    <t xml:space="preserve">Bid trajectory: $2,610,000 (Dec 15 2023 1st Budget · Blueprint GC) → $2,100,000 (Oct 17 2024 2nd Budget Blueprint · -19.5%) → $1,948,000 (Nov 19 2025 FINAL Ravenna Partners · -7.2%). Net -$662k (-25.4%) and -18 units across 3 bids.</t>
  </si>
  <si>
    <t xml:space="preserve">BURDEN RATIO</t>
  </si>
  <si>
    <t xml:space="preserve">Burden codes 995 + 998 = $109 on $197 labor base = 55.3%. Slightly above OWP's typical 48-50% — design-phase labor with no field crew yet skews ratio.</t>
  </si>
  <si>
    <t xml:space="preserve">PROJECT SCALE</t>
  </si>
  <si>
    <t xml:space="preserve">104 units · 425 trim fixtures (verified Nov 19 2025 bid sheet) = 4.09 fixtures/unit. 535 RI fixtures · 705 permit fixtures. Revenue/unit $0 (pre-billing), hours/unit 0.03 takeoff. Ravenna Partners' 1st OWP engagement.</t>
  </si>
  <si>
    <t xml:space="preserve">PRODUCTIVITY</t>
  </si>
  <si>
    <t xml:space="preserve">Blended labor rate $65.67/hr in design phase. Revenue/hour $0 (pre-billing). Profit/hour $-3,669 (carrying loss on tiny labor base). Field productivity benchmarks pending Ravenna acceptance.</t>
  </si>
  <si>
    <t xml:space="preserve">CO PROFILE</t>
  </si>
  <si>
    <t xml:space="preserve">0 executed COs (pre-construction). Bid revisions across 3 budget rounds (Dec 2023 → Nov 2025) not classified as COs. CO pipeline opens upon Ravenna acceptance.</t>
  </si>
  <si>
    <t xml:space="preserve">FIXTURE DENSITY</t>
  </si>
  <si>
    <t xml:space="preserve">425 trim fixtures ÷ 104 units = 4.09 fixtures/unit (verified Ravenna bid sheet 3rd Budget Nov 19 2025 + proposal RESIDENT UNIT TRIM): 104 toilets (98+6 ADA Gerber) + 104 lavs (Kohler K-2035-1 + matte black Peerless) + 53 tubs (47+6 ADA Sterling Vikrell) + 51 showers (Sterling 95077) + 104 kitchen sinks (Peerless P7946LF-BL) + 4 common (2 Toto WC + 2 Kohler lav) + 2 amenity sinks + 1 mop + 1 drinking fountain + 1 coffee. Plus 106 dishwasher RI + 104 icemaker RI + 104 washer RI + 104 condensate drains + 208 water spacer tubes.</t>
  </si>
  <si>
    <t xml:space="preserve">NEW GC SIGNAL · OWNER-GC</t>
  </si>
  <si>
    <t xml:space="preserve">First OWP engagement with Ravenna Partners (owner-GC pattern · self-developing). Initial budget rounds Dec 2023 + Oct 2024 listed Blueprint as GC; Ravenna took over for Nov 2025 final bid. Owner-GC posture (lean PM, price-sensitive, schedule-focused) is unfamiliar territory for OWP — no closed-job baseline.</t>
  </si>
  <si>
    <t xml:space="preserve">DESIGN-TEAM POSTURE</t>
  </si>
  <si>
    <t xml:space="preserve">Architect TBD per Master Project List (drawings published as 'Building Permit Plans' Nov 2025). MEP Franklin Engineering is OWP design-build partner ($10,701 design fees, ~0.55% of bid value · standard pre-permit ratio). Heat source: 3 gas boilers (199mbh × 100-gal AO Smith/Rinnai/Bock) — gas water heating with electric fallback alternate.</t>
  </si>
  <si>
    <t xml:space="preserve">Benchmark KPIs — Industry Reference Points</t>
  </si>
  <si>
    <t xml:space="preserve">KPI</t>
  </si>
  <si>
    <t xml:space="preserve">This Project</t>
  </si>
  <si>
    <t xml:space="preserve">OWP Median</t>
  </si>
  <si>
    <t xml:space="preserve">Industry Reference</t>
  </si>
  <si>
    <t xml:space="preserve">Gross Margin</t>
  </si>
  <si>
    <t xml:space="preserve">99.4%</t>
  </si>
  <si>
    <t xml:space="preserve">32-38%</t>
  </si>
  <si>
    <t xml:space="preserve">30-40%</t>
  </si>
  <si>
    <t xml:space="preserve">INFO</t>
  </si>
  <si>
    <t xml:space="preserve">$10-15k</t>
  </si>
  <si>
    <t xml:space="preserve">$8-20k</t>
  </si>
  <si>
    <t xml:space="preserve">$7-10k</t>
  </si>
  <si>
    <t xml:space="preserve">$6-15k</t>
  </si>
  <si>
    <t xml:space="preserve">Top vendor % of AP</t>
  </si>
  <si>
    <t xml:space="preserve">Pending vendor agg</t>
  </si>
  <si>
    <t xml:space="preserve">&lt;35%</t>
  </si>
  <si>
    <t xml:space="preserve">&lt;40%</t>
  </si>
  <si>
    <t xml:space="preserve">Burden ratio</t>
  </si>
  <si>
    <t xml:space="preserve">55%</t>
  </si>
  <si>
    <t xml:space="preserve">48-50%</t>
  </si>
  <si>
    <t xml:space="preserve">40-55%</t>
  </si>
  <si>
    <t xml:space="preserve">WATCH</t>
  </si>
  <si>
    <t xml:space="preserve">Reconciliation — Data Source Cross-Check</t>
  </si>
  <si>
    <t xml:space="preserve">Check</t>
  </si>
  <si>
    <t xml:space="preserve">Expected</t>
  </si>
  <si>
    <t xml:space="preserve">Delta</t>
  </si>
  <si>
    <t xml:space="preserve">Contract: hero block vs JDR</t>
  </si>
  <si>
    <t xml:space="preserve">OK</t>
  </si>
  <si>
    <t xml:space="preserve">Billed: hero block vs JDR</t>
  </si>
  <si>
    <t xml:space="preserve">Direct cost: meta vs costCats</t>
  </si>
  <si>
    <t xml:space="preserve">Worker count: dashboard vs meta</t>
  </si>
  <si>
    <t xml:space="preserve">AP vendor count vs JDR</t>
  </si>
  <si>
    <t xml:space="preserve">Source aggregate</t>
  </si>
  <si>
    <t xml:space="preserve">Vendor Analysis</t>
  </si>
  <si>
    <t xml:space="preserve">Notes</t>
  </si>
  <si>
    <t xml:space="preserve">Concentration flag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</si>
</sst>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91919"/>
      <name val="Inter"/>
      <family val="0"/>
      <charset val="1"/>
    </font>
    <font>
      <i val="true"/>
      <sz val="9"/>
      <color rgb="FF787774"/>
      <name val="Inter"/>
      <family val="0"/>
      <charset val="1"/>
    </font>
    <font>
      <b val="true"/>
      <sz val="11"/>
      <color rgb="FF191919"/>
      <name val="Inter"/>
      <family val="0"/>
      <charset val="1"/>
    </font>
    <font>
      <b val="true"/>
      <sz val="10"/>
      <color rgb="FF191919"/>
      <name val="Inter"/>
      <family val="0"/>
      <charset val="1"/>
    </font>
    <font>
      <sz val="10"/>
      <color rgb="FF191919"/>
      <name val="Inter"/>
      <family val="0"/>
      <charset val="1"/>
    </font>
    <font>
      <sz val="9"/>
      <color rgb="FF787774"/>
      <name val="Inter"/>
      <family val="0"/>
      <charset val="1"/>
    </font>
    <font>
      <b val="true"/>
      <sz val="22"/>
      <color rgb="FF191919"/>
      <name val="Inter"/>
      <family val="0"/>
      <charset val="1"/>
    </font>
    <font>
      <b val="true"/>
      <sz val="10"/>
      <color rgb="FFFFFFFF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1F1EF"/>
        <bgColor rgb="FFFBF7F0"/>
      </patternFill>
    </fill>
    <fill>
      <patternFill patternType="solid">
        <fgColor rgb="FFFBF7F0"/>
        <bgColor rgb="FFF1F1EF"/>
      </patternFill>
    </fill>
    <fill>
      <patternFill patternType="solid">
        <fgColor rgb="FF37352F"/>
        <bgColor rgb="FF333300"/>
      </patternFill>
    </fill>
    <fill>
      <patternFill patternType="solid">
        <fgColor rgb="FFFCF1CD"/>
        <bgColor rgb="FFFBF7F0"/>
      </patternFill>
    </fill>
    <fill>
      <patternFill patternType="solid">
        <fgColor rgb="FFDDEDEA"/>
        <bgColor rgb="FFE0E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DC"/>
      </left>
      <right style="thin">
        <color rgb="FFE0E0DC"/>
      </right>
      <top style="thin">
        <color rgb="FFE0E0DC"/>
      </top>
      <bottom style="thin">
        <color rgb="FFE0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774"/>
      <rgbColor rgb="FF9999FF"/>
      <rgbColor rgb="FF993366"/>
      <rgbColor rgb="FFFCF1CD"/>
      <rgbColor rgb="FFDDEDEA"/>
      <rgbColor rgb="FF660066"/>
      <rgbColor rgb="FFFF8080"/>
      <rgbColor rgb="FF0066CC"/>
      <rgbColor rgb="FFE0E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F"/>
      <rgbColor rgb="FFFBF7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/>
      <c r="G6" s="5"/>
      <c r="H6" s="5"/>
    </row>
    <row r="7" customFormat="false" ht="15" hidden="false" customHeight="false" outlineLevel="0" collapsed="false">
      <c r="B7" s="4" t="s">
        <v>5</v>
      </c>
      <c r="C7" s="5" t="s">
        <v>6</v>
      </c>
      <c r="D7" s="5"/>
      <c r="E7" s="5"/>
      <c r="F7" s="5"/>
      <c r="G7" s="5"/>
      <c r="H7" s="5"/>
    </row>
    <row r="8" customFormat="false" ht="15" hidden="false" customHeight="false" outlineLevel="0" collapsed="false">
      <c r="B8" s="4" t="s">
        <v>7</v>
      </c>
      <c r="C8" s="5" t="s">
        <v>8</v>
      </c>
      <c r="D8" s="5"/>
      <c r="E8" s="5"/>
      <c r="F8" s="5"/>
      <c r="G8" s="5"/>
      <c r="H8" s="5"/>
    </row>
    <row r="9" customFormat="false" ht="15" hidden="false" customHeight="false" outlineLevel="0" collapsed="false">
      <c r="B9" s="4" t="s">
        <v>9</v>
      </c>
      <c r="C9" s="5" t="s">
        <v>10</v>
      </c>
      <c r="D9" s="5"/>
      <c r="E9" s="5"/>
      <c r="F9" s="5"/>
      <c r="G9" s="5"/>
      <c r="H9" s="5"/>
    </row>
    <row r="10" customFormat="false" ht="15" hidden="false" customHeight="false" outlineLevel="0" collapsed="false">
      <c r="B10" s="4" t="s">
        <v>11</v>
      </c>
      <c r="C10" s="5" t="s">
        <v>12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B11" s="4" t="s">
        <v>13</v>
      </c>
      <c r="C11" s="5" t="s">
        <v>14</v>
      </c>
      <c r="D11" s="5"/>
      <c r="E11" s="5"/>
      <c r="F11" s="5"/>
      <c r="G11" s="5"/>
      <c r="H11" s="5"/>
    </row>
    <row r="13" customFormat="false" ht="15" hidden="false" customHeight="false" outlineLevel="0" collapsed="false">
      <c r="B13" s="6" t="s">
        <v>15</v>
      </c>
      <c r="C13" s="6"/>
      <c r="D13" s="6" t="s">
        <v>16</v>
      </c>
      <c r="E13" s="6"/>
      <c r="F13" s="6" t="s">
        <v>17</v>
      </c>
      <c r="G13" s="6"/>
      <c r="H13" s="6" t="s">
        <v>18</v>
      </c>
      <c r="I13" s="6"/>
    </row>
    <row r="14" customFormat="false" ht="26.8" hidden="false" customHeight="false" outlineLevel="0" collapsed="false">
      <c r="B14" s="7" t="s">
        <v>19</v>
      </c>
      <c r="C14" s="7"/>
      <c r="D14" s="7" t="s">
        <v>20</v>
      </c>
      <c r="E14" s="7"/>
      <c r="F14" s="7" t="s">
        <v>21</v>
      </c>
      <c r="G14" s="7"/>
      <c r="H14" s="7" t="s">
        <v>22</v>
      </c>
      <c r="I14" s="7"/>
    </row>
    <row r="15" customFormat="false" ht="15" hidden="false" customHeight="false" outlineLevel="0" collapsed="false">
      <c r="B15" s="8" t="s">
        <v>23</v>
      </c>
      <c r="C15" s="8"/>
      <c r="D15" s="8" t="s">
        <v>24</v>
      </c>
      <c r="E15" s="8"/>
      <c r="F15" s="8" t="s">
        <v>25</v>
      </c>
      <c r="G15" s="8"/>
      <c r="H15" s="8" t="s">
        <v>26</v>
      </c>
      <c r="I15" s="8"/>
    </row>
    <row r="18" customFormat="false" ht="15" hidden="false" customHeight="false" outlineLevel="0" collapsed="false">
      <c r="B18" s="3" t="s">
        <v>27</v>
      </c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10" t="s">
        <v>34</v>
      </c>
      <c r="C20" s="10" t="n">
        <v>0</v>
      </c>
      <c r="D20" s="10" t="n">
        <v>197</v>
      </c>
      <c r="E20" s="10" t="n">
        <f aca="false">C20-D20</f>
        <v>-197</v>
      </c>
      <c r="F20" s="10" t="n">
        <f aca="false">IF(C20=0,0,D20/C20)</f>
        <v>0</v>
      </c>
      <c r="G20" s="10" t="n">
        <f aca="false">IF($D$24=0,0,D20/$D$24)</f>
        <v>0.0178972949646824</v>
      </c>
    </row>
    <row r="21" customFormat="false" ht="15" hidden="false" customHeight="false" outlineLevel="0" collapsed="false">
      <c r="B21" s="10" t="s">
        <v>35</v>
      </c>
      <c r="C21" s="10" t="n">
        <v>0</v>
      </c>
      <c r="D21" s="10" t="n">
        <v>0</v>
      </c>
      <c r="E21" s="10" t="n">
        <f aca="false">C21-D21</f>
        <v>0</v>
      </c>
      <c r="F21" s="10" t="n">
        <f aca="false">IF(C21=0,0,D21/C21)</f>
        <v>0</v>
      </c>
      <c r="G21" s="10" t="n">
        <f aca="false">IF($D$24=0,0,D21/$D$24)</f>
        <v>0</v>
      </c>
    </row>
    <row r="22" customFormat="false" ht="15" hidden="false" customHeight="false" outlineLevel="0" collapsed="false">
      <c r="B22" s="10" t="s">
        <v>36</v>
      </c>
      <c r="C22" s="10" t="n">
        <v>0</v>
      </c>
      <c r="D22" s="10" t="n">
        <v>10701.25</v>
      </c>
      <c r="E22" s="10" t="n">
        <f aca="false">C22-D22</f>
        <v>-10701.25</v>
      </c>
      <c r="F22" s="10" t="n">
        <f aca="false">IF(C22=0,0,D22/C22)</f>
        <v>0</v>
      </c>
      <c r="G22" s="10" t="n">
        <f aca="false">IF($D$24=0,0,D22/$D$24)</f>
        <v>0.97220014081628</v>
      </c>
    </row>
    <row r="23" customFormat="false" ht="15" hidden="false" customHeight="false" outlineLevel="0" collapsed="false">
      <c r="B23" s="10" t="s">
        <v>37</v>
      </c>
      <c r="C23" s="10" t="n">
        <v>0</v>
      </c>
      <c r="D23" s="10" t="n">
        <v>109</v>
      </c>
      <c r="E23" s="10" t="n">
        <f aca="false">C23-D23</f>
        <v>-109</v>
      </c>
      <c r="F23" s="10" t="n">
        <f aca="false">IF(C23=0,0,D23/C23)</f>
        <v>0</v>
      </c>
      <c r="G23" s="10" t="n">
        <f aca="false">IF($D$24=0,0,D23/$D$24)</f>
        <v>0.00990256421903745</v>
      </c>
    </row>
    <row r="24" customFormat="false" ht="15" hidden="false" customHeight="false" outlineLevel="0" collapsed="false">
      <c r="B24" s="4" t="s">
        <v>38</v>
      </c>
      <c r="C24" s="4" t="n">
        <f aca="false">SUM(C20:C23)</f>
        <v>0</v>
      </c>
      <c r="D24" s="4" t="n">
        <f aca="false">SUM(D20:D23)</f>
        <v>11007.25</v>
      </c>
      <c r="E24" s="4" t="n">
        <f aca="false">C24-D24</f>
        <v>-11007.25</v>
      </c>
      <c r="F24" s="4" t="n">
        <f aca="false">IF(C24=0,0,D24/C24)</f>
        <v>0</v>
      </c>
      <c r="G24" s="4" t="n">
        <v>1</v>
      </c>
    </row>
    <row r="27" customFormat="false" ht="15" hidden="false" customHeight="false" outlineLevel="0" collapsed="false">
      <c r="B27" s="3" t="s">
        <v>39</v>
      </c>
    </row>
    <row r="28" customFormat="false" ht="15" hidden="false" customHeight="false" outlineLevel="0" collapsed="false">
      <c r="B28" s="4" t="s">
        <v>40</v>
      </c>
      <c r="C28" s="10" t="n">
        <v>104</v>
      </c>
      <c r="D28" s="4" t="s">
        <v>41</v>
      </c>
      <c r="E28" s="10" t="s">
        <v>42</v>
      </c>
      <c r="F28" s="4" t="s">
        <v>43</v>
      </c>
      <c r="G28" s="10" t="s">
        <v>44</v>
      </c>
    </row>
    <row r="29" customFormat="false" ht="15" hidden="false" customHeight="false" outlineLevel="0" collapsed="false">
      <c r="B29" s="4" t="s">
        <v>45</v>
      </c>
      <c r="C29" s="10" t="s">
        <v>46</v>
      </c>
      <c r="D29" s="4" t="s">
        <v>47</v>
      </c>
      <c r="E29" s="10" t="s">
        <v>48</v>
      </c>
      <c r="F29" s="4" t="s">
        <v>49</v>
      </c>
      <c r="G29" s="10" t="s">
        <v>50</v>
      </c>
    </row>
    <row r="30" customFormat="false" ht="15" hidden="false" customHeight="false" outlineLevel="0" collapsed="false">
      <c r="B30" s="4" t="s">
        <v>13</v>
      </c>
      <c r="C30" s="10" t="s">
        <v>14</v>
      </c>
      <c r="D30" s="4" t="s">
        <v>51</v>
      </c>
      <c r="E30" s="10" t="s">
        <v>52</v>
      </c>
      <c r="F30" s="4" t="s">
        <v>53</v>
      </c>
      <c r="G30" s="10" t="s">
        <v>54</v>
      </c>
    </row>
    <row r="33" customFormat="false" ht="15" hidden="false" customHeight="false" outlineLevel="0" collapsed="false">
      <c r="B33" s="3" t="s">
        <v>55</v>
      </c>
    </row>
    <row r="34" customFormat="false" ht="79.5" hidden="false" customHeight="true" outlineLevel="0" collapsed="false">
      <c r="B34" s="11" t="s">
        <v>56</v>
      </c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B39" s="11"/>
      <c r="C39" s="11"/>
      <c r="D39" s="11"/>
      <c r="E39" s="11"/>
      <c r="F39" s="11"/>
      <c r="G39" s="11"/>
      <c r="H39" s="11"/>
    </row>
    <row r="41" customFormat="false" ht="15" hidden="false" customHeight="false" outlineLevel="0" collapsed="false">
      <c r="B41" s="3" t="s">
        <v>57</v>
      </c>
    </row>
    <row r="42" customFormat="false" ht="15" hidden="false" customHeight="false" outlineLevel="0" collapsed="false">
      <c r="B42" s="2" t="s">
        <v>58</v>
      </c>
    </row>
    <row r="43" customFormat="false" ht="15" hidden="false" customHeight="false" outlineLevel="0" collapsed="false">
      <c r="B43" s="2" t="s">
        <v>59</v>
      </c>
    </row>
    <row r="44" customFormat="false" ht="15" hidden="false" customHeight="false" outlineLevel="0" collapsed="false">
      <c r="B44" s="2" t="s">
        <v>60</v>
      </c>
    </row>
    <row r="45" customFormat="false" ht="15" hidden="false" customHeight="false" outlineLevel="0" collapsed="false">
      <c r="B45" s="2" t="s">
        <v>61</v>
      </c>
    </row>
    <row r="46" customFormat="false" ht="15" hidden="false" customHeight="false" outlineLevel="0" collapsed="false">
      <c r="B46" s="2" t="s">
        <v>62</v>
      </c>
    </row>
    <row r="47" customFormat="false" ht="15" hidden="false" customHeight="false" outlineLevel="0" collapsed="false">
      <c r="B47" s="2" t="s">
        <v>63</v>
      </c>
    </row>
    <row r="48" customFormat="false" ht="15" hidden="false" customHeight="false" outlineLevel="0" collapsed="false">
      <c r="B48" s="2" t="s">
        <v>64</v>
      </c>
    </row>
    <row r="49" customFormat="false" ht="15" hidden="false" customHeight="false" outlineLevel="0" collapsed="false">
      <c r="B49" s="2" t="s">
        <v>65</v>
      </c>
    </row>
  </sheetData>
  <mergeCells count="19">
    <mergeCell ref="C6:H6"/>
    <mergeCell ref="C7:H7"/>
    <mergeCell ref="C8:H8"/>
    <mergeCell ref="C9:H9"/>
    <mergeCell ref="C10:H10"/>
    <mergeCell ref="C11:H11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34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7" min="4" style="0" width="13"/>
    <col collapsed="false" customWidth="true" hidden="false" outlineLevel="0" max="8" min="8" style="0" width="10"/>
  </cols>
  <sheetData>
    <row r="2" customFormat="false" ht="22.05" hidden="false" customHeight="false" outlineLevel="0" collapsed="false">
      <c r="B2" s="1" t="s">
        <v>66</v>
      </c>
    </row>
    <row r="4" customFormat="false" ht="15" hidden="false" customHeight="false" outlineLevel="0" collapsed="false">
      <c r="B4" s="9" t="s">
        <v>67</v>
      </c>
      <c r="C4" s="9" t="s">
        <v>68</v>
      </c>
      <c r="D4" s="9" t="s">
        <v>69</v>
      </c>
      <c r="E4" s="9" t="s">
        <v>70</v>
      </c>
      <c r="F4" s="9" t="s">
        <v>30</v>
      </c>
      <c r="G4" s="9" t="s">
        <v>31</v>
      </c>
      <c r="H4" s="9" t="s">
        <v>71</v>
      </c>
    </row>
    <row r="5" customFormat="false" ht="15" hidden="false" customHeight="false" outlineLevel="0" collapsed="false">
      <c r="B5" s="12" t="s">
        <v>72</v>
      </c>
    </row>
    <row r="6" customFormat="false" ht="15" hidden="false" customHeight="false" outlineLevel="0" collapsed="false">
      <c r="B6" s="10" t="s">
        <v>73</v>
      </c>
      <c r="C6" s="10" t="s">
        <v>74</v>
      </c>
      <c r="D6" s="10" t="n">
        <v>0</v>
      </c>
      <c r="E6" s="10" t="n">
        <v>0</v>
      </c>
      <c r="F6" s="10" t="n">
        <v>197</v>
      </c>
      <c r="G6" s="10" t="n">
        <f aca="false">E6-F6</f>
        <v>-197</v>
      </c>
      <c r="H6" s="10" t="n">
        <f aca="false">IF(E6=0,0,F6/E6)</f>
        <v>0</v>
      </c>
    </row>
    <row r="7" customFormat="false" ht="15" hidden="false" customHeight="false" outlineLevel="0" collapsed="false">
      <c r="B7" s="12" t="s">
        <v>75</v>
      </c>
    </row>
    <row r="8" customFormat="false" ht="15" hidden="false" customHeight="false" outlineLevel="0" collapsed="false">
      <c r="B8" s="10" t="s">
        <v>76</v>
      </c>
      <c r="C8" s="10" t="s">
        <v>77</v>
      </c>
      <c r="D8" s="10" t="n">
        <v>0</v>
      </c>
      <c r="E8" s="10" t="n">
        <v>0</v>
      </c>
      <c r="F8" s="10" t="n">
        <v>10701</v>
      </c>
      <c r="G8" s="10" t="n">
        <f aca="false">E8-F8</f>
        <v>-10701</v>
      </c>
      <c r="H8" s="10" t="n">
        <f aca="false">IF(E8=0,0,F8/E8)</f>
        <v>0</v>
      </c>
    </row>
    <row r="9" customFormat="false" ht="15" hidden="false" customHeight="false" outlineLevel="0" collapsed="false">
      <c r="B9" s="12" t="s">
        <v>78</v>
      </c>
    </row>
    <row r="10" customFormat="false" ht="15" hidden="false" customHeight="false" outlineLevel="0" collapsed="false">
      <c r="B10" s="10" t="s">
        <v>79</v>
      </c>
      <c r="C10" s="10" t="s">
        <v>80</v>
      </c>
      <c r="D10" s="10" t="n">
        <v>0</v>
      </c>
      <c r="E10" s="10" t="n">
        <v>0</v>
      </c>
      <c r="F10" s="10" t="n">
        <v>94</v>
      </c>
      <c r="G10" s="10" t="n">
        <f aca="false">E10-F10</f>
        <v>-94</v>
      </c>
      <c r="H10" s="10" t="n">
        <f aca="false">IF(E10=0,0,F10/E10)</f>
        <v>0</v>
      </c>
    </row>
    <row r="11" customFormat="false" ht="15" hidden="false" customHeight="false" outlineLevel="0" collapsed="false">
      <c r="B11" s="10" t="s">
        <v>81</v>
      </c>
      <c r="C11" s="10" t="s">
        <v>82</v>
      </c>
      <c r="D11" s="10" t="n">
        <v>0</v>
      </c>
      <c r="E11" s="10" t="n">
        <v>0</v>
      </c>
      <c r="F11" s="10" t="n">
        <v>15</v>
      </c>
      <c r="G11" s="10" t="n">
        <f aca="false">E11-F11</f>
        <v>-15</v>
      </c>
      <c r="H11" s="10" t="n">
        <f aca="false">IF(E11=0,0,F11/E11)</f>
        <v>0</v>
      </c>
    </row>
    <row r="13" customFormat="false" ht="15" hidden="false" customHeight="false" outlineLevel="0" collapsed="false">
      <c r="B13" s="4" t="s">
        <v>83</v>
      </c>
      <c r="D13" s="4" t="n">
        <v>11007.25</v>
      </c>
      <c r="E13" s="4" t="n">
        <v>11007.25</v>
      </c>
      <c r="F13" s="4" t="n">
        <v>11007.25</v>
      </c>
    </row>
    <row r="16" customFormat="false" ht="15" hidden="false" customHeight="false" outlineLevel="0" collapsed="false">
      <c r="B16" s="3" t="s">
        <v>57</v>
      </c>
    </row>
    <row r="17" customFormat="false" ht="15" hidden="false" customHeight="false" outlineLevel="0" collapsed="false">
      <c r="B17" s="2" t="s">
        <v>58</v>
      </c>
    </row>
    <row r="18" customFormat="false" ht="15" hidden="false" customHeight="false" outlineLevel="0" collapsed="false">
      <c r="B18" s="2" t="s">
        <v>59</v>
      </c>
    </row>
    <row r="19" customFormat="false" ht="15" hidden="false" customHeight="false" outlineLevel="0" collapsed="false">
      <c r="B19" s="2" t="s">
        <v>60</v>
      </c>
    </row>
    <row r="20" customFormat="false" ht="15" hidden="false" customHeight="false" outlineLevel="0" collapsed="false">
      <c r="B20" s="2" t="s">
        <v>61</v>
      </c>
    </row>
    <row r="21" customFormat="false" ht="15" hidden="false" customHeight="false" outlineLevel="0" collapsed="false">
      <c r="B21" s="2" t="s">
        <v>62</v>
      </c>
    </row>
    <row r="22" customFormat="false" ht="15" hidden="false" customHeight="false" outlineLevel="0" collapsed="false">
      <c r="B22" s="2" t="s">
        <v>63</v>
      </c>
    </row>
    <row r="23" customFormat="false" ht="15" hidden="false" customHeight="false" outlineLevel="0" collapsed="false">
      <c r="B23" s="2" t="s">
        <v>64</v>
      </c>
    </row>
    <row r="24" customFormat="false" ht="15" hidden="false" customHeight="false" outlineLevel="0" collapsed="false">
      <c r="B24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6" min="4" style="0" width="13"/>
    <col collapsed="false" customWidth="true" hidden="false" outlineLevel="0" max="8" min="7" style="0" width="10"/>
  </cols>
  <sheetData>
    <row r="2" customFormat="false" ht="22.05" hidden="false" customHeight="false" outlineLevel="0" collapsed="false">
      <c r="B2" s="1" t="s">
        <v>84</v>
      </c>
    </row>
    <row r="4" customFormat="false" ht="15" hidden="false" customHeight="false" outlineLevel="0" collapsed="false">
      <c r="B4" s="3" t="s">
        <v>85</v>
      </c>
    </row>
    <row r="5" customFormat="false" ht="15" hidden="false" customHeight="false" outlineLevel="0" collapsed="false">
      <c r="B5" s="13" t="s">
        <v>28</v>
      </c>
      <c r="C5" s="13" t="s">
        <v>86</v>
      </c>
      <c r="D5" s="13" t="s">
        <v>29</v>
      </c>
      <c r="E5" s="13" t="s">
        <v>30</v>
      </c>
      <c r="F5" s="13" t="s">
        <v>31</v>
      </c>
      <c r="G5" s="13" t="s">
        <v>32</v>
      </c>
      <c r="H5" s="13" t="s">
        <v>33</v>
      </c>
    </row>
    <row r="6" customFormat="false" ht="15" hidden="false" customHeight="false" outlineLevel="0" collapsed="false">
      <c r="B6" s="4" t="s">
        <v>34</v>
      </c>
      <c r="C6" s="10" t="n">
        <v>1</v>
      </c>
      <c r="D6" s="10" t="n">
        <v>0</v>
      </c>
      <c r="E6" s="10" t="n">
        <v>197</v>
      </c>
      <c r="F6" s="10" t="n">
        <f aca="false">D6-E6</f>
        <v>-197</v>
      </c>
      <c r="G6" s="10" t="n">
        <f aca="false">IF(D6=0,0,E6/D6)</f>
        <v>0</v>
      </c>
      <c r="H6" s="10" t="n">
        <f aca="false">IF(11007=0,0,E6/11007)</f>
        <v>0.0178977014627056</v>
      </c>
    </row>
    <row r="7" customFormat="false" ht="15" hidden="false" customHeight="false" outlineLevel="0" collapsed="false">
      <c r="B7" s="4" t="s">
        <v>35</v>
      </c>
      <c r="C7" s="10" t="n">
        <v>0</v>
      </c>
      <c r="D7" s="10" t="n">
        <v>0</v>
      </c>
      <c r="E7" s="10" t="n">
        <v>0</v>
      </c>
      <c r="F7" s="10" t="n">
        <f aca="false">D7-E7</f>
        <v>0</v>
      </c>
      <c r="G7" s="10" t="n">
        <f aca="false">IF(D7=0,0,E7/D7)</f>
        <v>0</v>
      </c>
      <c r="H7" s="10" t="n">
        <f aca="false">IF(11007=0,0,E7/11007)</f>
        <v>0</v>
      </c>
    </row>
    <row r="8" customFormat="false" ht="15" hidden="false" customHeight="false" outlineLevel="0" collapsed="false">
      <c r="B8" s="4" t="s">
        <v>36</v>
      </c>
      <c r="C8" s="10" t="n">
        <v>1</v>
      </c>
      <c r="D8" s="10" t="n">
        <v>0</v>
      </c>
      <c r="E8" s="10" t="n">
        <v>10701</v>
      </c>
      <c r="F8" s="10" t="n">
        <f aca="false">D8-E8</f>
        <v>-10701</v>
      </c>
      <c r="G8" s="10" t="n">
        <f aca="false">IF(D8=0,0,E8/D8)</f>
        <v>0</v>
      </c>
      <c r="H8" s="10" t="n">
        <f aca="false">IF(11007=0,0,E8/11007)</f>
        <v>0.972199509403107</v>
      </c>
    </row>
    <row r="9" customFormat="false" ht="15" hidden="false" customHeight="false" outlineLevel="0" collapsed="false">
      <c r="B9" s="4" t="s">
        <v>37</v>
      </c>
      <c r="C9" s="10" t="n">
        <v>2</v>
      </c>
      <c r="D9" s="10" t="n">
        <v>0</v>
      </c>
      <c r="E9" s="10" t="n">
        <v>109</v>
      </c>
      <c r="F9" s="10" t="n">
        <f aca="false">D9-E9</f>
        <v>-109</v>
      </c>
      <c r="G9" s="10" t="n">
        <f aca="false">IF(D9=0,0,E9/D9)</f>
        <v>0</v>
      </c>
      <c r="H9" s="10" t="n">
        <f aca="false">IF(11007=0,0,E9/11007)</f>
        <v>0.00990278913418734</v>
      </c>
    </row>
    <row r="10" customFormat="false" ht="15" hidden="false" customHeight="false" outlineLevel="0" collapsed="false">
      <c r="B10" s="4" t="s">
        <v>87</v>
      </c>
      <c r="C10" s="10" t="n">
        <v>0</v>
      </c>
      <c r="D10" s="10" t="n">
        <v>0</v>
      </c>
      <c r="E10" s="10" t="n">
        <v>0</v>
      </c>
      <c r="F10" s="10" t="n">
        <f aca="false">D10-E10</f>
        <v>0</v>
      </c>
      <c r="G10" s="10" t="n">
        <f aca="false">IF(D10=0,0,E10/D10)</f>
        <v>0</v>
      </c>
      <c r="H10" s="10" t="n">
        <f aca="false">IF(11007=0,0,E10/11007)</f>
        <v>0</v>
      </c>
    </row>
    <row r="13" customFormat="false" ht="15" hidden="false" customHeight="false" outlineLevel="0" collapsed="false">
      <c r="B13" s="3" t="s">
        <v>88</v>
      </c>
    </row>
    <row r="14" customFormat="false" ht="15" hidden="false" customHeight="false" outlineLevel="0" collapsed="false">
      <c r="B14" s="13" t="s">
        <v>67</v>
      </c>
      <c r="C14" s="13" t="s">
        <v>68</v>
      </c>
      <c r="D14" s="13" t="s">
        <v>70</v>
      </c>
      <c r="E14" s="13" t="s">
        <v>30</v>
      </c>
      <c r="F14" s="13" t="s">
        <v>89</v>
      </c>
      <c r="G14" s="13" t="s">
        <v>90</v>
      </c>
    </row>
    <row r="15" customFormat="false" ht="15" hidden="false" customHeight="false" outlineLevel="0" collapsed="false">
      <c r="B15" s="10" t="s">
        <v>76</v>
      </c>
      <c r="C15" s="10" t="s">
        <v>77</v>
      </c>
      <c r="D15" s="10" t="n">
        <v>0</v>
      </c>
      <c r="E15" s="10" t="n">
        <v>10701</v>
      </c>
      <c r="F15" s="10" t="n">
        <f aca="false">E15-D15</f>
        <v>10701</v>
      </c>
      <c r="G15" s="10" t="n">
        <f aca="false">IF(D15=0,0,F15/D15)</f>
        <v>0</v>
      </c>
    </row>
    <row r="16" customFormat="false" ht="15" hidden="false" customHeight="false" outlineLevel="0" collapsed="false">
      <c r="B16" s="10" t="s">
        <v>73</v>
      </c>
      <c r="C16" s="10" t="s">
        <v>74</v>
      </c>
      <c r="D16" s="10" t="n">
        <v>0</v>
      </c>
      <c r="E16" s="10" t="n">
        <v>197</v>
      </c>
      <c r="F16" s="10" t="n">
        <f aca="false">E16-D16</f>
        <v>197</v>
      </c>
      <c r="G16" s="10" t="n">
        <f aca="false">IF(D16=0,0,F16/D16)</f>
        <v>0</v>
      </c>
    </row>
    <row r="17" customFormat="false" ht="15" hidden="false" customHeight="false" outlineLevel="0" collapsed="false">
      <c r="B17" s="10" t="s">
        <v>79</v>
      </c>
      <c r="C17" s="10" t="s">
        <v>80</v>
      </c>
      <c r="D17" s="10" t="n">
        <v>0</v>
      </c>
      <c r="E17" s="10" t="n">
        <v>94</v>
      </c>
      <c r="F17" s="10" t="n">
        <f aca="false">E17-D17</f>
        <v>94</v>
      </c>
      <c r="G17" s="10" t="n">
        <f aca="false">IF(D17=0,0,F17/D17)</f>
        <v>0</v>
      </c>
    </row>
    <row r="18" customFormat="false" ht="15" hidden="false" customHeight="false" outlineLevel="0" collapsed="false">
      <c r="B18" s="10" t="s">
        <v>81</v>
      </c>
      <c r="C18" s="10" t="s">
        <v>82</v>
      </c>
      <c r="D18" s="10" t="n">
        <v>0</v>
      </c>
      <c r="E18" s="10" t="n">
        <v>15</v>
      </c>
      <c r="F18" s="10" t="n">
        <f aca="false">E18-D18</f>
        <v>15</v>
      </c>
      <c r="G18" s="10" t="n">
        <f aca="false">IF(D18=0,0,F18/D18)</f>
        <v>0</v>
      </c>
    </row>
    <row r="21" customFormat="false" ht="15" hidden="false" customHeight="false" outlineLevel="0" collapsed="false">
      <c r="B21" s="3" t="s">
        <v>91</v>
      </c>
    </row>
    <row r="22" customFormat="false" ht="15" hidden="false" customHeight="false" outlineLevel="0" collapsed="false">
      <c r="B22" s="13" t="s">
        <v>67</v>
      </c>
      <c r="C22" s="13" t="s">
        <v>68</v>
      </c>
      <c r="D22" s="13" t="s">
        <v>70</v>
      </c>
      <c r="E22" s="13" t="s">
        <v>30</v>
      </c>
      <c r="F22" s="13" t="s">
        <v>92</v>
      </c>
      <c r="G22" s="13" t="s">
        <v>93</v>
      </c>
    </row>
    <row r="25" customFormat="false" ht="15" hidden="false" customHeight="false" outlineLevel="0" collapsed="false">
      <c r="B25" s="3" t="s">
        <v>57</v>
      </c>
    </row>
    <row r="26" customFormat="false" ht="15" hidden="false" customHeight="false" outlineLevel="0" collapsed="false">
      <c r="B26" s="2" t="s">
        <v>58</v>
      </c>
    </row>
    <row r="27" customFormat="false" ht="15" hidden="false" customHeight="false" outlineLevel="0" collapsed="false">
      <c r="B27" s="2" t="s">
        <v>59</v>
      </c>
    </row>
    <row r="28" customFormat="false" ht="15" hidden="false" customHeight="false" outlineLevel="0" collapsed="false">
      <c r="B28" s="2" t="s">
        <v>60</v>
      </c>
    </row>
    <row r="29" customFormat="false" ht="15" hidden="false" customHeight="false" outlineLevel="0" collapsed="false">
      <c r="B29" s="2" t="s">
        <v>61</v>
      </c>
    </row>
    <row r="30" customFormat="false" ht="15" hidden="false" customHeight="false" outlineLevel="0" collapsed="false">
      <c r="B30" s="2" t="s">
        <v>62</v>
      </c>
    </row>
    <row r="31" customFormat="false" ht="15" hidden="false" customHeight="false" outlineLevel="0" collapsed="false">
      <c r="B31" s="2" t="s">
        <v>63</v>
      </c>
    </row>
    <row r="32" customFormat="false" ht="15" hidden="false" customHeight="false" outlineLevel="0" collapsed="false">
      <c r="B32" s="2" t="s">
        <v>64</v>
      </c>
    </row>
    <row r="33" customFormat="false" ht="15" hidden="false" customHeight="false" outlineLevel="0" collapsed="false">
      <c r="B33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8" min="7" style="0" width="10"/>
  </cols>
  <sheetData>
    <row r="2" customFormat="false" ht="22.05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3" t="s">
        <v>96</v>
      </c>
    </row>
    <row r="6" customFormat="false" ht="15" hidden="false" customHeight="false" outlineLevel="0" collapsed="false">
      <c r="B6" s="13" t="s">
        <v>67</v>
      </c>
      <c r="C6" s="13" t="s">
        <v>68</v>
      </c>
      <c r="D6" s="13" t="s">
        <v>70</v>
      </c>
      <c r="E6" s="13" t="s">
        <v>30</v>
      </c>
      <c r="F6" s="13" t="s">
        <v>31</v>
      </c>
      <c r="G6" s="13" t="s">
        <v>71</v>
      </c>
      <c r="H6" s="13" t="s">
        <v>97</v>
      </c>
    </row>
    <row r="9" customFormat="false" ht="15" hidden="false" customHeight="false" outlineLevel="0" collapsed="false">
      <c r="B9" s="3" t="s">
        <v>98</v>
      </c>
    </row>
    <row r="10" customFormat="false" ht="15" hidden="false" customHeight="false" outlineLevel="0" collapsed="false">
      <c r="B10" s="13" t="s">
        <v>99</v>
      </c>
      <c r="C10" s="13" t="s">
        <v>100</v>
      </c>
      <c r="D10" s="13" t="s">
        <v>101</v>
      </c>
      <c r="E10" s="13" t="s">
        <v>102</v>
      </c>
    </row>
    <row r="11" customFormat="false" ht="15" hidden="false" customHeight="false" outlineLevel="0" collapsed="false">
      <c r="B11" s="10" t="s">
        <v>103</v>
      </c>
      <c r="C11" s="10" t="n">
        <v>2</v>
      </c>
      <c r="D11" s="10" t="n">
        <v>10701</v>
      </c>
      <c r="E11" s="10" t="n">
        <f aca="false">IF(10701=0,0,D11/10701)</f>
        <v>1</v>
      </c>
    </row>
    <row r="12" customFormat="false" ht="15" hidden="false" customHeight="false" outlineLevel="0" collapsed="false">
      <c r="B12" s="4" t="s">
        <v>38</v>
      </c>
      <c r="C12" s="4" t="n">
        <f aca="false">SUM(C11)</f>
        <v>2</v>
      </c>
      <c r="D12" s="4" t="n">
        <f aca="false">SUM(D11)</f>
        <v>10701</v>
      </c>
      <c r="E12" s="4" t="n">
        <v>1</v>
      </c>
    </row>
    <row r="15" customFormat="false" ht="15" hidden="false" customHeight="false" outlineLevel="0" collapsed="false">
      <c r="B15" s="3" t="s">
        <v>57</v>
      </c>
    </row>
    <row r="16" customFormat="false" ht="15" hidden="false" customHeight="false" outlineLevel="0" collapsed="false">
      <c r="B16" s="2" t="s">
        <v>58</v>
      </c>
    </row>
    <row r="17" customFormat="false" ht="15" hidden="false" customHeight="false" outlineLevel="0" collapsed="false">
      <c r="B17" s="2" t="s">
        <v>59</v>
      </c>
    </row>
    <row r="18" customFormat="false" ht="15" hidden="false" customHeight="false" outlineLevel="0" collapsed="false">
      <c r="B18" s="2" t="s">
        <v>60</v>
      </c>
    </row>
    <row r="19" customFormat="false" ht="15" hidden="false" customHeight="false" outlineLevel="0" collapsed="false">
      <c r="B19" s="2" t="s">
        <v>61</v>
      </c>
    </row>
    <row r="20" customFormat="false" ht="15" hidden="false" customHeight="false" outlineLevel="0" collapsed="false">
      <c r="B20" s="2" t="s">
        <v>62</v>
      </c>
    </row>
    <row r="21" customFormat="false" ht="15" hidden="false" customHeight="false" outlineLevel="0" collapsed="false">
      <c r="B21" s="2" t="s">
        <v>63</v>
      </c>
    </row>
    <row r="22" customFormat="false" ht="15" hidden="false" customHeight="false" outlineLevel="0" collapsed="false">
      <c r="B22" s="2" t="s">
        <v>64</v>
      </c>
    </row>
    <row r="23" customFormat="false" ht="15" hidden="false" customHeight="false" outlineLevel="0" collapsed="false">
      <c r="B23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</cols>
  <sheetData>
    <row r="2" customFormat="false" ht="22.05" hidden="false" customHeight="false" outlineLevel="0" collapsed="false">
      <c r="B2" s="1" t="s">
        <v>104</v>
      </c>
    </row>
    <row r="4" customFormat="false" ht="15" hidden="false" customHeight="false" outlineLevel="0" collapsed="false"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109</v>
      </c>
    </row>
    <row r="5" customFormat="false" ht="15" hidden="false" customHeight="false" outlineLevel="0" collapsed="false">
      <c r="B5" s="10" t="s">
        <v>110</v>
      </c>
      <c r="C5" s="10" t="n">
        <v>2</v>
      </c>
      <c r="D5" s="10" t="n">
        <v>138</v>
      </c>
      <c r="E5" s="10" t="n">
        <f aca="false">IF(C5=0,0,D5/C5)</f>
        <v>69</v>
      </c>
      <c r="F5" s="10" t="s">
        <v>111</v>
      </c>
    </row>
    <row r="6" customFormat="false" ht="15" hidden="false" customHeight="false" outlineLevel="0" collapsed="false">
      <c r="B6" s="10" t="s">
        <v>112</v>
      </c>
      <c r="C6" s="10" t="n">
        <v>1</v>
      </c>
      <c r="D6" s="10" t="n">
        <v>59</v>
      </c>
      <c r="E6" s="10" t="n">
        <f aca="false">IF(C6=0,0,D6/C6)</f>
        <v>59</v>
      </c>
      <c r="F6" s="10" t="s">
        <v>113</v>
      </c>
    </row>
    <row r="9" customFormat="false" ht="15" hidden="false" customHeight="false" outlineLevel="0" collapsed="false">
      <c r="B9" s="3" t="s">
        <v>57</v>
      </c>
    </row>
    <row r="10" customFormat="false" ht="15" hidden="false" customHeight="false" outlineLevel="0" collapsed="false">
      <c r="B10" s="2" t="s">
        <v>58</v>
      </c>
    </row>
    <row r="11" customFormat="false" ht="15" hidden="false" customHeight="false" outlineLevel="0" collapsed="false">
      <c r="B11" s="2" t="s">
        <v>59</v>
      </c>
    </row>
    <row r="12" customFormat="false" ht="15" hidden="false" customHeight="false" outlineLevel="0" collapsed="false">
      <c r="B12" s="2" t="s">
        <v>60</v>
      </c>
    </row>
    <row r="13" customFormat="false" ht="15" hidden="false" customHeight="false" outlineLevel="0" collapsed="false">
      <c r="B13" s="2" t="s">
        <v>61</v>
      </c>
    </row>
    <row r="14" customFormat="false" ht="15" hidden="false" customHeight="false" outlineLevel="0" collapsed="false">
      <c r="B14" s="2" t="s">
        <v>62</v>
      </c>
    </row>
    <row r="15" customFormat="false" ht="15" hidden="false" customHeight="false" outlineLevel="0" collapsed="false">
      <c r="B15" s="2" t="s">
        <v>63</v>
      </c>
    </row>
    <row r="16" customFormat="false" ht="15" hidden="false" customHeight="false" outlineLevel="0" collapsed="false">
      <c r="B16" s="2" t="s">
        <v>64</v>
      </c>
    </row>
    <row r="17" customFormat="false" ht="15" hidden="false" customHeight="false" outlineLevel="0" collapsed="false">
      <c r="B17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13"/>
  </cols>
  <sheetData>
    <row r="2" customFormat="false" ht="22.05" hidden="false" customHeight="false" outlineLevel="0" collapsed="false">
      <c r="B2" s="1" t="s">
        <v>114</v>
      </c>
    </row>
    <row r="4" customFormat="false" ht="15" hidden="false" customHeight="false" outlineLevel="0" collapsed="false">
      <c r="B4" s="3" t="s">
        <v>115</v>
      </c>
    </row>
    <row r="5" customFormat="false" ht="15" hidden="false" customHeight="false" outlineLevel="0" collapsed="false">
      <c r="B5" s="13" t="s">
        <v>109</v>
      </c>
      <c r="C5" s="13" t="s">
        <v>116</v>
      </c>
      <c r="D5" s="13" t="s">
        <v>106</v>
      </c>
      <c r="E5" s="13" t="s">
        <v>107</v>
      </c>
      <c r="F5" s="13" t="s">
        <v>117</v>
      </c>
    </row>
    <row r="6" customFormat="false" ht="15" hidden="false" customHeight="false" outlineLevel="0" collapsed="false">
      <c r="B6" s="4" t="s">
        <v>118</v>
      </c>
      <c r="C6" s="10" t="n">
        <v>2</v>
      </c>
      <c r="D6" s="10" t="n">
        <v>3</v>
      </c>
      <c r="E6" s="10" t="n">
        <v>100</v>
      </c>
      <c r="F6" s="10" t="s">
        <v>119</v>
      </c>
    </row>
    <row r="9" customFormat="false" ht="15" hidden="false" customHeight="false" outlineLevel="0" collapsed="false">
      <c r="B9" s="3" t="s">
        <v>120</v>
      </c>
    </row>
    <row r="10" customFormat="false" ht="15" hidden="false" customHeight="false" outlineLevel="0" collapsed="false">
      <c r="B10" s="4" t="s">
        <v>121</v>
      </c>
      <c r="C10" s="10" t="s">
        <v>122</v>
      </c>
    </row>
    <row r="11" customFormat="false" ht="15" hidden="false" customHeight="false" outlineLevel="0" collapsed="false">
      <c r="B11" s="4" t="s">
        <v>123</v>
      </c>
      <c r="C11" s="10" t="s">
        <v>122</v>
      </c>
    </row>
    <row r="12" customFormat="false" ht="15" hidden="false" customHeight="false" outlineLevel="0" collapsed="false">
      <c r="B12" s="4" t="s">
        <v>124</v>
      </c>
      <c r="C12" s="10" t="s">
        <v>122</v>
      </c>
    </row>
    <row r="13" customFormat="false" ht="15" hidden="false" customHeight="false" outlineLevel="0" collapsed="false">
      <c r="B13" s="4" t="s">
        <v>125</v>
      </c>
      <c r="C13" s="10" t="s">
        <v>122</v>
      </c>
    </row>
    <row r="14" customFormat="false" ht="15" hidden="false" customHeight="false" outlineLevel="0" collapsed="false">
      <c r="B14" s="4" t="s">
        <v>126</v>
      </c>
      <c r="C14" s="10" t="s">
        <v>122</v>
      </c>
    </row>
    <row r="15" customFormat="false" ht="15" hidden="false" customHeight="false" outlineLevel="0" collapsed="false">
      <c r="B15" s="4" t="s">
        <v>127</v>
      </c>
      <c r="C15" s="10" t="s">
        <v>122</v>
      </c>
    </row>
    <row r="18" customFormat="false" ht="15" hidden="false" customHeight="false" outlineLevel="0" collapsed="false">
      <c r="B18" s="3" t="s">
        <v>57</v>
      </c>
    </row>
    <row r="19" customFormat="false" ht="15" hidden="false" customHeight="false" outlineLevel="0" collapsed="false">
      <c r="B19" s="2" t="s">
        <v>58</v>
      </c>
    </row>
    <row r="20" customFormat="false" ht="15" hidden="false" customHeight="false" outlineLevel="0" collapsed="false">
      <c r="B20" s="2" t="s">
        <v>59</v>
      </c>
    </row>
    <row r="21" customFormat="false" ht="15" hidden="false" customHeight="false" outlineLevel="0" collapsed="false">
      <c r="B21" s="2" t="s">
        <v>60</v>
      </c>
    </row>
    <row r="22" customFormat="false" ht="15" hidden="false" customHeight="false" outlineLevel="0" collapsed="false">
      <c r="B22" s="2" t="s">
        <v>61</v>
      </c>
    </row>
    <row r="23" customFormat="false" ht="15" hidden="false" customHeight="false" outlineLevel="0" collapsed="false">
      <c r="B23" s="2" t="s">
        <v>62</v>
      </c>
    </row>
    <row r="24" customFormat="false" ht="15" hidden="false" customHeight="false" outlineLevel="0" collapsed="false">
      <c r="B24" s="2" t="s">
        <v>63</v>
      </c>
    </row>
    <row r="25" customFormat="false" ht="15" hidden="false" customHeight="false" outlineLevel="0" collapsed="false">
      <c r="B25" s="2" t="s">
        <v>64</v>
      </c>
    </row>
    <row r="26" customFormat="false" ht="15" hidden="false" customHeight="false" outlineLevel="0" collapsed="false">
      <c r="B26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</cols>
  <sheetData>
    <row r="2" customFormat="false" ht="22.05" hidden="false" customHeight="false" outlineLevel="0" collapsed="false">
      <c r="B2" s="1" t="s">
        <v>128</v>
      </c>
    </row>
    <row r="4" customFormat="false" ht="15" hidden="false" customHeight="false" outlineLevel="0" collapsed="false">
      <c r="B4" s="13" t="s">
        <v>129</v>
      </c>
      <c r="C4" s="13" t="s">
        <v>67</v>
      </c>
      <c r="D4" s="13" t="s">
        <v>106</v>
      </c>
      <c r="E4" s="13" t="s">
        <v>130</v>
      </c>
      <c r="F4" s="13" t="s">
        <v>131</v>
      </c>
    </row>
    <row r="6" customFormat="false" ht="15" hidden="false" customHeight="false" outlineLevel="0" collapsed="false">
      <c r="B6" s="4" t="s">
        <v>38</v>
      </c>
      <c r="D6" s="4" t="n">
        <v>11007</v>
      </c>
    </row>
    <row r="8" customFormat="false" ht="15" hidden="false" customHeight="false" outlineLevel="0" collapsed="false">
      <c r="B8" s="3" t="s">
        <v>132</v>
      </c>
    </row>
    <row r="9" customFormat="false" ht="15" hidden="false" customHeight="false" outlineLevel="0" collapsed="false">
      <c r="B9" s="4" t="s">
        <v>133</v>
      </c>
      <c r="C9" s="10" t="s">
        <v>134</v>
      </c>
    </row>
    <row r="10" customFormat="false" ht="15" hidden="false" customHeight="false" outlineLevel="0" collapsed="false">
      <c r="B10" s="4" t="s">
        <v>135</v>
      </c>
      <c r="C10" s="10" t="s">
        <v>136</v>
      </c>
    </row>
    <row r="11" customFormat="false" ht="15" hidden="false" customHeight="false" outlineLevel="0" collapsed="false">
      <c r="B11" s="4" t="s">
        <v>137</v>
      </c>
      <c r="C11" s="10" t="s">
        <v>138</v>
      </c>
    </row>
    <row r="12" customFormat="false" ht="15" hidden="false" customHeight="false" outlineLevel="0" collapsed="false">
      <c r="B12" s="4" t="s">
        <v>139</v>
      </c>
      <c r="C12" s="10" t="s">
        <v>140</v>
      </c>
    </row>
    <row r="13" customFormat="false" ht="15" hidden="false" customHeight="false" outlineLevel="0" collapsed="false">
      <c r="B13" s="4" t="s">
        <v>141</v>
      </c>
      <c r="C13" s="10" t="s">
        <v>142</v>
      </c>
    </row>
    <row r="16" customFormat="false" ht="15" hidden="false" customHeight="false" outlineLevel="0" collapsed="false">
      <c r="B16" s="3" t="s">
        <v>57</v>
      </c>
    </row>
    <row r="17" customFormat="false" ht="15" hidden="false" customHeight="false" outlineLevel="0" collapsed="false">
      <c r="B17" s="2" t="s">
        <v>58</v>
      </c>
    </row>
    <row r="18" customFormat="false" ht="15" hidden="false" customHeight="false" outlineLevel="0" collapsed="false">
      <c r="B18" s="2" t="s">
        <v>59</v>
      </c>
    </row>
    <row r="19" customFormat="false" ht="15" hidden="false" customHeight="false" outlineLevel="0" collapsed="false">
      <c r="B19" s="2" t="s">
        <v>60</v>
      </c>
    </row>
    <row r="20" customFormat="false" ht="15" hidden="false" customHeight="false" outlineLevel="0" collapsed="false">
      <c r="B20" s="2" t="s">
        <v>61</v>
      </c>
    </row>
    <row r="21" customFormat="false" ht="15" hidden="false" customHeight="false" outlineLevel="0" collapsed="false">
      <c r="B21" s="2" t="s">
        <v>62</v>
      </c>
    </row>
    <row r="22" customFormat="false" ht="15" hidden="false" customHeight="false" outlineLevel="0" collapsed="false">
      <c r="B22" s="2" t="s">
        <v>63</v>
      </c>
    </row>
    <row r="23" customFormat="false" ht="15" hidden="false" customHeight="false" outlineLevel="0" collapsed="false">
      <c r="B23" s="2" t="s">
        <v>64</v>
      </c>
    </row>
    <row r="24" customFormat="false" ht="15" hidden="false" customHeight="false" outlineLevel="0" collapsed="false">
      <c r="B24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2" customFormat="false" ht="22.05" hidden="false" customHeight="false" outlineLevel="0" collapsed="false">
      <c r="B2" s="1" t="s">
        <v>143</v>
      </c>
    </row>
    <row r="3" customFormat="false" ht="15" hidden="false" customHeight="false" outlineLevel="0" collapsed="false">
      <c r="B3" s="2" t="s">
        <v>144</v>
      </c>
    </row>
    <row r="5" customFormat="false" ht="15" hidden="false" customHeight="false" outlineLevel="0" collapsed="false">
      <c r="B5" s="13" t="s">
        <v>145</v>
      </c>
      <c r="C5" s="13" t="s">
        <v>99</v>
      </c>
      <c r="D5" s="13" t="s">
        <v>100</v>
      </c>
      <c r="E5" s="13" t="s">
        <v>101</v>
      </c>
      <c r="F5" s="13" t="s">
        <v>102</v>
      </c>
      <c r="G5" s="13" t="s">
        <v>109</v>
      </c>
    </row>
    <row r="6" customFormat="false" ht="15" hidden="false" customHeight="false" outlineLevel="0" collapsed="false">
      <c r="B6" s="10" t="n">
        <v>1</v>
      </c>
      <c r="C6" s="10" t="s">
        <v>103</v>
      </c>
      <c r="D6" s="10" t="n">
        <v>2</v>
      </c>
      <c r="E6" s="10" t="n">
        <v>10701</v>
      </c>
      <c r="F6" s="10" t="s">
        <v>146</v>
      </c>
      <c r="G6" s="10" t="s">
        <v>147</v>
      </c>
    </row>
    <row r="9" customFormat="false" ht="15" hidden="false" customHeight="false" outlineLevel="0" collapsed="false">
      <c r="B9" s="3" t="s">
        <v>57</v>
      </c>
    </row>
    <row r="10" customFormat="false" ht="15" hidden="false" customHeight="false" outlineLevel="0" collapsed="false">
      <c r="B10" s="2" t="s">
        <v>58</v>
      </c>
    </row>
    <row r="11" customFormat="false" ht="15" hidden="false" customHeight="false" outlineLevel="0" collapsed="false">
      <c r="B11" s="2" t="s">
        <v>59</v>
      </c>
    </row>
    <row r="12" customFormat="false" ht="15" hidden="false" customHeight="false" outlineLevel="0" collapsed="false">
      <c r="B12" s="2" t="s">
        <v>60</v>
      </c>
    </row>
    <row r="13" customFormat="false" ht="15" hidden="false" customHeight="false" outlineLevel="0" collapsed="false">
      <c r="B13" s="2" t="s">
        <v>61</v>
      </c>
    </row>
    <row r="14" customFormat="false" ht="15" hidden="false" customHeight="false" outlineLevel="0" collapsed="false">
      <c r="B14" s="2" t="s">
        <v>62</v>
      </c>
    </row>
    <row r="15" customFormat="false" ht="15" hidden="false" customHeight="false" outlineLevel="0" collapsed="false">
      <c r="B15" s="2" t="s">
        <v>63</v>
      </c>
    </row>
    <row r="16" customFormat="false" ht="15" hidden="false" customHeight="false" outlineLevel="0" collapsed="false">
      <c r="B16" s="2" t="s">
        <v>64</v>
      </c>
    </row>
    <row r="17" customFormat="false" ht="15" hidden="false" customHeight="false" outlineLevel="0" collapsed="false">
      <c r="B17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8" min="3" style="0" width="13"/>
  </cols>
  <sheetData>
    <row r="2" customFormat="false" ht="22.05" hidden="false" customHeight="false" outlineLevel="0" collapsed="false">
      <c r="B2" s="1" t="s">
        <v>148</v>
      </c>
    </row>
    <row r="4" customFormat="false" ht="15" hidden="false" customHeight="false" outlineLevel="0" collapsed="false">
      <c r="B4" s="3" t="s">
        <v>149</v>
      </c>
    </row>
    <row r="5" customFormat="false" ht="15" hidden="false" customHeight="false" outlineLevel="0" collapsed="false">
      <c r="B5" s="4" t="s">
        <v>150</v>
      </c>
      <c r="C5" s="10" t="s">
        <v>19</v>
      </c>
    </row>
    <row r="6" customFormat="false" ht="15" hidden="false" customHeight="false" outlineLevel="0" collapsed="false">
      <c r="B6" s="4" t="s">
        <v>151</v>
      </c>
      <c r="C6" s="10" t="s">
        <v>152</v>
      </c>
    </row>
    <row r="7" customFormat="false" ht="15" hidden="false" customHeight="false" outlineLevel="0" collapsed="false">
      <c r="B7" s="4" t="s">
        <v>153</v>
      </c>
      <c r="C7" s="10" t="s">
        <v>19</v>
      </c>
    </row>
    <row r="8" customFormat="false" ht="15" hidden="false" customHeight="false" outlineLevel="0" collapsed="false">
      <c r="B8" s="4" t="s">
        <v>154</v>
      </c>
      <c r="C8" s="10" t="s">
        <v>152</v>
      </c>
    </row>
    <row r="9" customFormat="false" ht="15" hidden="false" customHeight="false" outlineLevel="0" collapsed="false">
      <c r="B9" s="4" t="s">
        <v>155</v>
      </c>
      <c r="C9" s="10" t="s">
        <v>152</v>
      </c>
    </row>
    <row r="12" customFormat="false" ht="15" hidden="false" customHeight="false" outlineLevel="0" collapsed="false">
      <c r="B12" s="3" t="s">
        <v>156</v>
      </c>
    </row>
    <row r="13" customFormat="false" ht="15" hidden="false" customHeight="false" outlineLevel="0" collapsed="false">
      <c r="B13" s="14" t="s">
        <v>157</v>
      </c>
      <c r="C13" s="14"/>
      <c r="D13" s="14"/>
      <c r="E13" s="14"/>
      <c r="F13" s="14"/>
      <c r="G13" s="14"/>
    </row>
    <row r="15" customFormat="false" ht="15" hidden="false" customHeight="false" outlineLevel="0" collapsed="false">
      <c r="B15" s="3" t="s">
        <v>57</v>
      </c>
    </row>
    <row r="16" customFormat="false" ht="15" hidden="false" customHeight="false" outlineLevel="0" collapsed="false">
      <c r="B16" s="2" t="s">
        <v>58</v>
      </c>
    </row>
    <row r="17" customFormat="false" ht="15" hidden="false" customHeight="false" outlineLevel="0" collapsed="false">
      <c r="B17" s="2" t="s">
        <v>59</v>
      </c>
    </row>
    <row r="18" customFormat="false" ht="15" hidden="false" customHeight="false" outlineLevel="0" collapsed="false">
      <c r="B18" s="2" t="s">
        <v>60</v>
      </c>
    </row>
    <row r="19" customFormat="false" ht="15" hidden="false" customHeight="false" outlineLevel="0" collapsed="false">
      <c r="B19" s="2" t="s">
        <v>61</v>
      </c>
    </row>
    <row r="20" customFormat="false" ht="15" hidden="false" customHeight="false" outlineLevel="0" collapsed="false">
      <c r="B20" s="2" t="s">
        <v>62</v>
      </c>
    </row>
    <row r="21" customFormat="false" ht="15" hidden="false" customHeight="false" outlineLevel="0" collapsed="false">
      <c r="B21" s="2" t="s">
        <v>63</v>
      </c>
    </row>
    <row r="22" customFormat="false" ht="15" hidden="false" customHeight="false" outlineLevel="0" collapsed="false">
      <c r="B22" s="2" t="s">
        <v>64</v>
      </c>
    </row>
    <row r="23" customFormat="false" ht="15" hidden="false" customHeight="false" outlineLevel="0" collapsed="false">
      <c r="B23" s="2" t="s">
        <v>65</v>
      </c>
    </row>
  </sheetData>
  <mergeCells count="1"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24"/>
    <col collapsed="false" customWidth="true" hidden="false" outlineLevel="0" max="4" min="4" style="0" width="80"/>
  </cols>
  <sheetData>
    <row r="2" customFormat="false" ht="22.05" hidden="false" customHeight="false" outlineLevel="0" collapsed="false">
      <c r="B2" s="1" t="s">
        <v>158</v>
      </c>
    </row>
    <row r="4" customFormat="false" ht="15" hidden="false" customHeight="false" outlineLevel="0" collapsed="false">
      <c r="B4" s="13" t="s">
        <v>145</v>
      </c>
      <c r="C4" s="13" t="s">
        <v>159</v>
      </c>
      <c r="D4" s="13" t="s">
        <v>160</v>
      </c>
    </row>
    <row r="5" customFormat="false" ht="35.05" hidden="false" customHeight="false" outlineLevel="0" collapsed="false">
      <c r="B5" s="10" t="n">
        <v>1</v>
      </c>
      <c r="C5" s="4" t="s">
        <v>161</v>
      </c>
      <c r="D5" s="15" t="s">
        <v>162</v>
      </c>
    </row>
    <row r="6" customFormat="false" ht="35.05" hidden="false" customHeight="false" outlineLevel="0" collapsed="false">
      <c r="B6" s="10" t="n">
        <v>2</v>
      </c>
      <c r="C6" s="4" t="s">
        <v>163</v>
      </c>
      <c r="D6" s="15" t="s">
        <v>164</v>
      </c>
    </row>
    <row r="7" customFormat="false" ht="23.85" hidden="false" customHeight="false" outlineLevel="0" collapsed="false">
      <c r="B7" s="10" t="n">
        <v>3</v>
      </c>
      <c r="C7" s="4" t="s">
        <v>165</v>
      </c>
      <c r="D7" s="15" t="s">
        <v>166</v>
      </c>
    </row>
    <row r="8" customFormat="false" ht="23.85" hidden="false" customHeight="false" outlineLevel="0" collapsed="false">
      <c r="B8" s="10" t="n">
        <v>4</v>
      </c>
      <c r="C8" s="4" t="s">
        <v>167</v>
      </c>
      <c r="D8" s="15" t="s">
        <v>168</v>
      </c>
    </row>
    <row r="9" customFormat="false" ht="35.05" hidden="false" customHeight="false" outlineLevel="0" collapsed="false">
      <c r="B9" s="10" t="n">
        <v>5</v>
      </c>
      <c r="C9" s="4" t="s">
        <v>169</v>
      </c>
      <c r="D9" s="15" t="s">
        <v>170</v>
      </c>
    </row>
    <row r="10" customFormat="false" ht="35.05" hidden="false" customHeight="false" outlineLevel="0" collapsed="false">
      <c r="B10" s="10" t="n">
        <v>6</v>
      </c>
      <c r="C10" s="4" t="s">
        <v>171</v>
      </c>
      <c r="D10" s="15" t="s">
        <v>172</v>
      </c>
    </row>
    <row r="11" customFormat="false" ht="23.85" hidden="false" customHeight="false" outlineLevel="0" collapsed="false">
      <c r="B11" s="10" t="n">
        <v>7</v>
      </c>
      <c r="C11" s="4" t="s">
        <v>173</v>
      </c>
      <c r="D11" s="15" t="s">
        <v>174</v>
      </c>
    </row>
    <row r="12" customFormat="false" ht="35.05" hidden="false" customHeight="false" outlineLevel="0" collapsed="false">
      <c r="B12" s="10" t="n">
        <v>8</v>
      </c>
      <c r="C12" s="4" t="s">
        <v>175</v>
      </c>
      <c r="D12" s="15" t="s">
        <v>176</v>
      </c>
    </row>
    <row r="13" customFormat="false" ht="35.05" hidden="false" customHeight="false" outlineLevel="0" collapsed="false">
      <c r="B13" s="10" t="n">
        <v>9</v>
      </c>
      <c r="C13" s="4" t="s">
        <v>177</v>
      </c>
      <c r="D13" s="15" t="s">
        <v>178</v>
      </c>
    </row>
    <row r="14" customFormat="false" ht="23.85" hidden="false" customHeight="false" outlineLevel="0" collapsed="false">
      <c r="B14" s="10" t="n">
        <v>10</v>
      </c>
      <c r="C14" s="4" t="s">
        <v>179</v>
      </c>
      <c r="D14" s="15" t="s">
        <v>180</v>
      </c>
    </row>
    <row r="15" customFormat="false" ht="79.85" hidden="false" customHeight="false" outlineLevel="0" collapsed="false">
      <c r="B15" s="10" t="n">
        <v>11</v>
      </c>
      <c r="C15" s="4" t="s">
        <v>181</v>
      </c>
      <c r="D15" s="15" t="s">
        <v>182</v>
      </c>
    </row>
    <row r="16" customFormat="false" ht="46.25" hidden="false" customHeight="false" outlineLevel="0" collapsed="false">
      <c r="B16" s="10" t="n">
        <v>12</v>
      </c>
      <c r="C16" s="4" t="s">
        <v>183</v>
      </c>
      <c r="D16" s="15" t="s">
        <v>184</v>
      </c>
    </row>
    <row r="17" customFormat="false" ht="57.45" hidden="false" customHeight="false" outlineLevel="0" collapsed="false">
      <c r="B17" s="10" t="n">
        <v>13</v>
      </c>
      <c r="C17" s="4" t="s">
        <v>185</v>
      </c>
      <c r="D17" s="15" t="s">
        <v>186</v>
      </c>
    </row>
    <row r="20" customFormat="false" ht="15" hidden="false" customHeight="false" outlineLevel="0" collapsed="false">
      <c r="B20" s="3" t="s">
        <v>57</v>
      </c>
    </row>
    <row r="21" customFormat="false" ht="15" hidden="false" customHeight="false" outlineLevel="0" collapsed="false">
      <c r="B21" s="2" t="s">
        <v>58</v>
      </c>
    </row>
    <row r="22" customFormat="false" ht="15" hidden="false" customHeight="false" outlineLevel="0" collapsed="false">
      <c r="B22" s="2" t="s">
        <v>59</v>
      </c>
    </row>
    <row r="23" customFormat="false" ht="15" hidden="false" customHeight="false" outlineLevel="0" collapsed="false">
      <c r="B23" s="2" t="s">
        <v>60</v>
      </c>
    </row>
    <row r="24" customFormat="false" ht="15" hidden="false" customHeight="false" outlineLevel="0" collapsed="false">
      <c r="B24" s="2" t="s">
        <v>61</v>
      </c>
    </row>
    <row r="25" customFormat="false" ht="15" hidden="false" customHeight="false" outlineLevel="0" collapsed="false">
      <c r="B25" s="2" t="s">
        <v>62</v>
      </c>
    </row>
    <row r="26" customFormat="false" ht="15" hidden="false" customHeight="false" outlineLevel="0" collapsed="false">
      <c r="B26" s="2" t="s">
        <v>63</v>
      </c>
    </row>
    <row r="27" customFormat="false" ht="15" hidden="false" customHeight="false" outlineLevel="0" collapsed="false">
      <c r="B27" s="2" t="s">
        <v>64</v>
      </c>
    </row>
    <row r="28" customFormat="false" ht="15" hidden="false" customHeight="false" outlineLevel="0" collapsed="false">
      <c r="B28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0"/>
  </cols>
  <sheetData>
    <row r="2" customFormat="false" ht="22.05" hidden="false" customHeight="false" outlineLevel="0" collapsed="false">
      <c r="B2" s="1" t="s">
        <v>187</v>
      </c>
    </row>
    <row r="4" customFormat="false" ht="15" hidden="false" customHeight="false" outlineLevel="0" collapsed="false">
      <c r="B4" s="13" t="s">
        <v>188</v>
      </c>
      <c r="C4" s="13" t="s">
        <v>189</v>
      </c>
      <c r="D4" s="13" t="s">
        <v>190</v>
      </c>
      <c r="E4" s="13" t="s">
        <v>191</v>
      </c>
      <c r="F4" s="13" t="s">
        <v>13</v>
      </c>
    </row>
    <row r="5" customFormat="false" ht="15" hidden="false" customHeight="false" outlineLevel="0" collapsed="false">
      <c r="B5" s="4" t="s">
        <v>192</v>
      </c>
      <c r="C5" s="10" t="s">
        <v>193</v>
      </c>
      <c r="D5" s="10" t="s">
        <v>194</v>
      </c>
      <c r="E5" s="10" t="s">
        <v>195</v>
      </c>
      <c r="F5" s="4" t="s">
        <v>196</v>
      </c>
    </row>
    <row r="6" customFormat="false" ht="15" hidden="false" customHeight="false" outlineLevel="0" collapsed="false">
      <c r="B6" s="4" t="s">
        <v>133</v>
      </c>
      <c r="C6" s="10" t="s">
        <v>134</v>
      </c>
      <c r="D6" s="10" t="s">
        <v>197</v>
      </c>
      <c r="E6" s="10" t="s">
        <v>198</v>
      </c>
      <c r="F6" s="4" t="s">
        <v>196</v>
      </c>
    </row>
    <row r="7" customFormat="false" ht="15" hidden="false" customHeight="false" outlineLevel="0" collapsed="false">
      <c r="B7" s="4" t="s">
        <v>135</v>
      </c>
      <c r="C7" s="10" t="s">
        <v>136</v>
      </c>
      <c r="D7" s="10" t="s">
        <v>199</v>
      </c>
      <c r="E7" s="10" t="s">
        <v>200</v>
      </c>
      <c r="F7" s="4" t="s">
        <v>196</v>
      </c>
    </row>
    <row r="8" customFormat="false" ht="15" hidden="false" customHeight="false" outlineLevel="0" collapsed="false">
      <c r="B8" s="4" t="s">
        <v>201</v>
      </c>
      <c r="C8" s="10" t="s">
        <v>202</v>
      </c>
      <c r="D8" s="10" t="s">
        <v>203</v>
      </c>
      <c r="E8" s="10" t="s">
        <v>204</v>
      </c>
      <c r="F8" s="4" t="s">
        <v>196</v>
      </c>
    </row>
    <row r="9" customFormat="false" ht="15" hidden="false" customHeight="false" outlineLevel="0" collapsed="false">
      <c r="B9" s="4" t="s">
        <v>205</v>
      </c>
      <c r="C9" s="10" t="s">
        <v>206</v>
      </c>
      <c r="D9" s="10" t="s">
        <v>207</v>
      </c>
      <c r="E9" s="10" t="s">
        <v>208</v>
      </c>
      <c r="F9" s="16" t="s">
        <v>209</v>
      </c>
    </row>
    <row r="12" customFormat="false" ht="15" hidden="false" customHeight="false" outlineLevel="0" collapsed="false">
      <c r="B12" s="3" t="s">
        <v>57</v>
      </c>
    </row>
    <row r="13" customFormat="false" ht="15" hidden="false" customHeight="false" outlineLevel="0" collapsed="false">
      <c r="B13" s="2" t="s">
        <v>58</v>
      </c>
    </row>
    <row r="14" customFormat="false" ht="15" hidden="false" customHeight="false" outlineLevel="0" collapsed="false">
      <c r="B14" s="2" t="s">
        <v>59</v>
      </c>
    </row>
    <row r="15" customFormat="false" ht="15" hidden="false" customHeight="false" outlineLevel="0" collapsed="false">
      <c r="B15" s="2" t="s">
        <v>60</v>
      </c>
    </row>
    <row r="16" customFormat="false" ht="15" hidden="false" customHeight="false" outlineLevel="0" collapsed="false">
      <c r="B16" s="2" t="s">
        <v>61</v>
      </c>
    </row>
    <row r="17" customFormat="false" ht="15" hidden="false" customHeight="false" outlineLevel="0" collapsed="false">
      <c r="B17" s="2" t="s">
        <v>62</v>
      </c>
    </row>
    <row r="18" customFormat="false" ht="15" hidden="false" customHeight="false" outlineLevel="0" collapsed="false">
      <c r="B18" s="2" t="s">
        <v>63</v>
      </c>
    </row>
    <row r="19" customFormat="false" ht="15" hidden="false" customHeight="false" outlineLevel="0" collapsed="false">
      <c r="B19" s="2" t="s">
        <v>64</v>
      </c>
    </row>
    <row r="20" customFormat="false" ht="15" hidden="false" customHeight="false" outlineLevel="0" collapsed="false">
      <c r="B20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6" min="5" style="0" width="10"/>
  </cols>
  <sheetData>
    <row r="2" customFormat="false" ht="22.05" hidden="false" customHeight="false" outlineLevel="0" collapsed="false">
      <c r="B2" s="1" t="s">
        <v>210</v>
      </c>
    </row>
    <row r="4" customFormat="false" ht="15" hidden="false" customHeight="false" outlineLevel="0" collapsed="false">
      <c r="B4" s="13" t="s">
        <v>211</v>
      </c>
      <c r="C4" s="13" t="s">
        <v>212</v>
      </c>
      <c r="D4" s="13" t="s">
        <v>30</v>
      </c>
      <c r="E4" s="13" t="s">
        <v>213</v>
      </c>
      <c r="F4" s="13" t="s">
        <v>13</v>
      </c>
    </row>
    <row r="5" customFormat="false" ht="15" hidden="false" customHeight="false" outlineLevel="0" collapsed="false">
      <c r="B5" s="4" t="s">
        <v>214</v>
      </c>
      <c r="C5" s="10" t="s">
        <v>19</v>
      </c>
      <c r="D5" s="10" t="s">
        <v>19</v>
      </c>
      <c r="E5" s="10" t="s">
        <v>122</v>
      </c>
      <c r="F5" s="17" t="s">
        <v>215</v>
      </c>
    </row>
    <row r="6" customFormat="false" ht="15" hidden="false" customHeight="false" outlineLevel="0" collapsed="false">
      <c r="B6" s="4" t="s">
        <v>216</v>
      </c>
      <c r="C6" s="10" t="s">
        <v>152</v>
      </c>
      <c r="D6" s="10" t="s">
        <v>152</v>
      </c>
      <c r="E6" s="10" t="s">
        <v>122</v>
      </c>
      <c r="F6" s="16" t="s">
        <v>196</v>
      </c>
    </row>
    <row r="7" customFormat="false" ht="15" hidden="false" customHeight="false" outlineLevel="0" collapsed="false">
      <c r="B7" s="4" t="s">
        <v>217</v>
      </c>
      <c r="C7" s="10" t="s">
        <v>21</v>
      </c>
      <c r="D7" s="10" t="s">
        <v>21</v>
      </c>
      <c r="E7" s="10" t="s">
        <v>122</v>
      </c>
      <c r="F7" s="17" t="s">
        <v>215</v>
      </c>
    </row>
    <row r="8" customFormat="false" ht="15" hidden="false" customHeight="false" outlineLevel="0" collapsed="false">
      <c r="B8" s="4" t="s">
        <v>218</v>
      </c>
      <c r="C8" s="10" t="n">
        <v>2</v>
      </c>
      <c r="D8" s="10" t="n">
        <v>2</v>
      </c>
      <c r="E8" s="10" t="s">
        <v>122</v>
      </c>
      <c r="F8" s="17" t="s">
        <v>215</v>
      </c>
    </row>
    <row r="9" customFormat="false" ht="15" hidden="false" customHeight="false" outlineLevel="0" collapsed="false">
      <c r="B9" s="4" t="s">
        <v>219</v>
      </c>
      <c r="C9" s="10" t="s">
        <v>220</v>
      </c>
      <c r="D9" s="10" t="n">
        <v>1</v>
      </c>
      <c r="E9" s="10" t="s">
        <v>122</v>
      </c>
      <c r="F9" s="16" t="s">
        <v>196</v>
      </c>
    </row>
    <row r="12" customFormat="false" ht="15" hidden="false" customHeight="false" outlineLevel="0" collapsed="false">
      <c r="B12" s="3" t="s">
        <v>57</v>
      </c>
    </row>
    <row r="13" customFormat="false" ht="15" hidden="false" customHeight="false" outlineLevel="0" collapsed="false">
      <c r="B13" s="2" t="s">
        <v>58</v>
      </c>
    </row>
    <row r="14" customFormat="false" ht="15" hidden="false" customHeight="false" outlineLevel="0" collapsed="false">
      <c r="B14" s="2" t="s">
        <v>59</v>
      </c>
    </row>
    <row r="15" customFormat="false" ht="15" hidden="false" customHeight="false" outlineLevel="0" collapsed="false">
      <c r="B15" s="2" t="s">
        <v>60</v>
      </c>
    </row>
    <row r="16" customFormat="false" ht="15" hidden="false" customHeight="false" outlineLevel="0" collapsed="false">
      <c r="B16" s="2" t="s">
        <v>61</v>
      </c>
    </row>
    <row r="17" customFormat="false" ht="15" hidden="false" customHeight="false" outlineLevel="0" collapsed="false">
      <c r="B17" s="2" t="s">
        <v>62</v>
      </c>
    </row>
    <row r="18" customFormat="false" ht="15" hidden="false" customHeight="false" outlineLevel="0" collapsed="false">
      <c r="B18" s="2" t="s">
        <v>63</v>
      </c>
    </row>
    <row r="19" customFormat="false" ht="15" hidden="false" customHeight="false" outlineLevel="0" collapsed="false">
      <c r="B19" s="2" t="s">
        <v>64</v>
      </c>
    </row>
    <row r="20" customFormat="false" ht="15" hidden="false" customHeight="false" outlineLevel="0" collapsed="false">
      <c r="B20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</cols>
  <sheetData>
    <row r="2" customFormat="false" ht="22.05" hidden="false" customHeight="false" outlineLevel="0" collapsed="false">
      <c r="B2" s="1" t="s">
        <v>221</v>
      </c>
    </row>
    <row r="4" customFormat="false" ht="15" hidden="false" customHeight="false" outlineLevel="0" collapsed="false">
      <c r="B4" s="13" t="s">
        <v>145</v>
      </c>
      <c r="C4" s="13" t="s">
        <v>99</v>
      </c>
      <c r="D4" s="13" t="s">
        <v>100</v>
      </c>
      <c r="E4" s="13" t="s">
        <v>101</v>
      </c>
      <c r="F4" s="13" t="s">
        <v>102</v>
      </c>
      <c r="G4" s="13" t="s">
        <v>222</v>
      </c>
    </row>
    <row r="5" customFormat="false" ht="15" hidden="false" customHeight="false" outlineLevel="0" collapsed="false">
      <c r="B5" s="10" t="n">
        <v>1</v>
      </c>
      <c r="C5" s="10" t="s">
        <v>103</v>
      </c>
      <c r="D5" s="10" t="n">
        <v>2</v>
      </c>
      <c r="E5" s="10" t="n">
        <v>10701</v>
      </c>
      <c r="F5" s="10" t="s">
        <v>146</v>
      </c>
      <c r="G5" s="2" t="s">
        <v>223</v>
      </c>
    </row>
    <row r="8" customFormat="false" ht="15" hidden="false" customHeight="false" outlineLevel="0" collapsed="false">
      <c r="B8" s="3" t="s">
        <v>57</v>
      </c>
    </row>
    <row r="9" customFormat="false" ht="15" hidden="false" customHeight="false" outlineLevel="0" collapsed="false">
      <c r="B9" s="2" t="s">
        <v>58</v>
      </c>
    </row>
    <row r="10" customFormat="false" ht="15" hidden="false" customHeight="false" outlineLevel="0" collapsed="false">
      <c r="B10" s="2" t="s">
        <v>59</v>
      </c>
    </row>
    <row r="11" customFormat="false" ht="15" hidden="false" customHeight="false" outlineLevel="0" collapsed="false">
      <c r="B11" s="2" t="s">
        <v>60</v>
      </c>
    </row>
    <row r="12" customFormat="false" ht="15" hidden="false" customHeight="false" outlineLevel="0" collapsed="false">
      <c r="B12" s="2" t="s">
        <v>61</v>
      </c>
    </row>
    <row r="13" customFormat="false" ht="15" hidden="false" customHeight="false" outlineLevel="0" collapsed="false">
      <c r="B13" s="2" t="s">
        <v>62</v>
      </c>
    </row>
    <row r="14" customFormat="false" ht="15" hidden="false" customHeight="false" outlineLevel="0" collapsed="false">
      <c r="B14" s="2" t="s">
        <v>63</v>
      </c>
    </row>
    <row r="15" customFormat="false" ht="15" hidden="false" customHeight="false" outlineLevel="0" collapsed="false">
      <c r="B15" s="2" t="s">
        <v>64</v>
      </c>
    </row>
    <row r="16" customFormat="false" ht="15" hidden="false" customHeight="false" outlineLevel="0" collapsed="false">
      <c r="B16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2026-04-28T14:59:21Z</dcterms:created>
  <dc:creator>openpyxl</dc:creator>
  <dc:description/>
  <dc:language>en-US</dc:language>
  <cp:lastModifiedBy/>
  <dcterms:modified xsi:type="dcterms:W3CDTF">2026-04-28T14:59:21Z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