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#2037 · University Apartments (MYSA)</t>
        </is>
      </c>
    </row>
    <row r="3">
      <c r="B3" s="2" t="inlineStr">
        <is>
          <t>Cortex JCR v2  •  Marpac Construction (customer 2037MP)  •  3025 NE 130th Street, Seattle WA  •  Owner: MYSA University Apartments LP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2037</t>
        </is>
      </c>
      <c r="D6" s="6" t="n"/>
      <c r="E6" s="7" t="n"/>
      <c r="F6" s="8" t="inlineStr">
        <is>
          <t>2037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University Apartments (MYSA)</t>
        </is>
      </c>
      <c r="D7" s="6" t="n"/>
      <c r="E7" s="7" t="n"/>
      <c r="F7" s="8" t="inlineStr">
        <is>
          <t>2037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University Apartments (MYSA) — 122-unit multifamily + 5 townhomes, Seattle WA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Marpac Construction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2037MP</t>
        </is>
      </c>
      <c r="D10" s="6" t="n"/>
      <c r="E10" s="7" t="n"/>
      <c r="F10" s="8" t="inlineStr">
        <is>
          <t>2037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MYSA University Apartments LP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Evan Chan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Doyle Gustafson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TBD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Rick / Joe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3025 NE 130th Street, Seattle WA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Not Wrap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122-unit multifamily new construction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2037-Marpac Construction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122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2017-01-09 start → 2018 (24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2076783</v>
      </c>
      <c r="D24" s="9" t="n">
        <v>859548.3699999999</v>
      </c>
      <c r="F24" s="9" t="n">
        <v>1217234.63</v>
      </c>
      <c r="H24" s="10" t="n">
        <v>14799</v>
      </c>
    </row>
    <row r="25">
      <c r="B25" s="11" t="inlineStr">
        <is>
          <t>Original $1,920,850.00 + ($155,933.00) COs (8.12%)</t>
        </is>
      </c>
      <c r="D25" s="11" t="inlineStr">
        <is>
          <t>41.4% margin</t>
        </is>
      </c>
      <c r="F25" s="11" t="inlineStr">
        <is>
          <t>58.6% of revenue</t>
        </is>
      </c>
      <c r="H25" s="11" t="inlineStr">
        <is>
          <t>50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122-unit multifamily new construction at 3025 NE 130th Street, Seattle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Marpac Construction (2037MP); Owner/Developer: MYSA University Apartments LP.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Evan Chan (GC PM) · Doyle Gustafson (GC Sup) · TBD (GC PE) · Rick / Joe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2037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$2,076,783.00 / Expenses $1,217,234.63 / Net $859,548.37 / Retainage $103,839.15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$417,369.25 · AP $478,332.73 · GL+other $321,532.65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$1,920,850.00 → $2,076,783.00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$155,933.00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Evan Chan · Doyle Gustafson · TBD · MYSA · Rick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29 cost codes from JDR. Contract $1,920,850 → $2,076,783.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10110</v>
      </c>
      <c r="E6" s="15" t="n">
        <v>11810</v>
      </c>
      <c r="F6" s="15" t="n">
        <v>7079</v>
      </c>
      <c r="G6" s="15">
        <f>F6-E6</f>
        <v/>
      </c>
      <c r="H6" s="16">
        <f>IF(E6=0,"",F6/E6)</f>
        <v/>
      </c>
      <c r="I6" s="17" t="n">
        <v>142.5</v>
      </c>
      <c r="J6" s="8" t="inlineStr">
        <is>
          <t>2037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18425</v>
      </c>
      <c r="E7" s="15" t="n">
        <v>20125</v>
      </c>
      <c r="F7" s="15" t="n">
        <v>15008.5</v>
      </c>
      <c r="G7" s="15">
        <f>F7-E7</f>
        <v/>
      </c>
      <c r="H7" s="16">
        <f>IF(E7=0,"",F7/E7)</f>
        <v/>
      </c>
      <c r="I7" s="17" t="n">
        <v>279.5</v>
      </c>
      <c r="J7" s="8" t="inlineStr">
        <is>
          <t>2037 Job Detail Report.pdf (Sage Timberline, 04/03/2026)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15920</v>
      </c>
      <c r="E8" s="15" t="n">
        <v>20680</v>
      </c>
      <c r="F8" s="15" t="n">
        <v>12034.5</v>
      </c>
      <c r="G8" s="15">
        <f>F8-E8</f>
        <v/>
      </c>
      <c r="H8" s="16">
        <f>IF(E8=0,"",F8/E8)</f>
        <v/>
      </c>
      <c r="I8" s="17" t="n">
        <v>390</v>
      </c>
      <c r="J8" s="8" t="inlineStr">
        <is>
          <t>2037 Job Detail Report.pdf (Sage Timberline, 04/03/2026)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55665</v>
      </c>
      <c r="E9" s="15" t="n">
        <v>57225</v>
      </c>
      <c r="F9" s="15" t="n">
        <v>57346.75</v>
      </c>
      <c r="G9" s="15">
        <f>F9-E9</f>
        <v/>
      </c>
      <c r="H9" s="16">
        <f>IF(E9=0,"",F9/E9)</f>
        <v/>
      </c>
      <c r="I9" s="17" t="n">
        <v>2025</v>
      </c>
      <c r="J9" s="8" t="inlineStr">
        <is>
          <t>2037 Job Detail Report.pdf (Sage Timberline, 04/03/2026)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15875</v>
      </c>
      <c r="E10" s="15" t="n">
        <v>17510</v>
      </c>
      <c r="F10" s="15" t="n">
        <v>16173.5</v>
      </c>
      <c r="G10" s="15">
        <f>F10-E10</f>
        <v/>
      </c>
      <c r="H10" s="16">
        <f>IF(E10=0,"",F10/E10)</f>
        <v/>
      </c>
      <c r="I10" s="17" t="n">
        <v>508.5</v>
      </c>
      <c r="J10" s="8" t="inlineStr">
        <is>
          <t>2037 Job Detail Report.pdf (Sage Timberline, 04/03/2026)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263000</v>
      </c>
      <c r="E11" s="15" t="n">
        <v>265970</v>
      </c>
      <c r="F11" s="15" t="n">
        <v>240637.46</v>
      </c>
      <c r="G11" s="15">
        <f>F11-E11</f>
        <v/>
      </c>
      <c r="H11" s="16">
        <f>IF(E11=0,"",F11/E11)</f>
        <v/>
      </c>
      <c r="I11" s="17" t="n">
        <v>8156.5</v>
      </c>
      <c r="J11" s="8" t="inlineStr">
        <is>
          <t>2037 Job Detail Report.pdf (Sage Timberline, 04/03/2026)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43380</v>
      </c>
      <c r="E12" s="15" t="n">
        <v>44150</v>
      </c>
      <c r="F12" s="15" t="n">
        <v>41886.75</v>
      </c>
      <c r="G12" s="15">
        <f>F12-E12</f>
        <v/>
      </c>
      <c r="H12" s="16">
        <f>IF(E12=0,"",F12/E12)</f>
        <v/>
      </c>
      <c r="I12" s="17" t="n">
        <v>1644</v>
      </c>
      <c r="J12" s="8" t="inlineStr">
        <is>
          <t>2037 Job Detail Report.pdf (Sage Timberline, 04/03/2026)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7750</v>
      </c>
      <c r="E13" s="15" t="n">
        <v>7750</v>
      </c>
      <c r="F13" s="15" t="n">
        <v>6410</v>
      </c>
      <c r="G13" s="15">
        <f>F13-E13</f>
        <v/>
      </c>
      <c r="H13" s="16">
        <f>IF(E13=0,"",F13/E13)</f>
        <v/>
      </c>
      <c r="I13" s="17" t="n">
        <v>194</v>
      </c>
      <c r="J13" s="8" t="inlineStr">
        <is>
          <t>2037 Job Detail Report.pdf (Sage Timberline, 04/03/2026)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51720</v>
      </c>
      <c r="E14" s="15" t="n">
        <v>51720</v>
      </c>
      <c r="F14" s="15" t="n">
        <v>25492.04</v>
      </c>
      <c r="G14" s="15">
        <f>F14-E14</f>
        <v/>
      </c>
      <c r="H14" s="16">
        <f>IF(E14=0,"",F14/E14)</f>
        <v/>
      </c>
      <c r="I14" s="17" t="n">
        <v>983.5</v>
      </c>
      <c r="J14" s="8" t="inlineStr">
        <is>
          <t>2037 Job Detail Report.pdf (Sage Timberline, 04/03/2026)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13000</v>
      </c>
      <c r="E15" s="15" t="n">
        <v>24060</v>
      </c>
      <c r="F15" s="15" t="n">
        <v>17394.75</v>
      </c>
      <c r="G15" s="15">
        <f>F15-E15</f>
        <v/>
      </c>
      <c r="H15" s="16">
        <f>IF(E15=0,"",F15/E15)</f>
        <v/>
      </c>
      <c r="I15" s="17" t="n">
        <v>446.5</v>
      </c>
      <c r="J15" s="8" t="inlineStr">
        <is>
          <t>2037 Job Detail Report.pdf (Sage Timberline, 04/03/2026)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0</v>
      </c>
      <c r="F16" s="15" t="n">
        <v>432</v>
      </c>
      <c r="G16" s="15">
        <f>F16-E16</f>
        <v/>
      </c>
      <c r="H16" s="16">
        <f>IF(E16=0,"",F16/E16)</f>
        <v/>
      </c>
      <c r="I16" s="17" t="n">
        <v>24</v>
      </c>
      <c r="J16" s="8" t="inlineStr">
        <is>
          <t>2037 Job Detail Report.pdf (Sage Timberline, 04/03/2026)</t>
        </is>
      </c>
    </row>
    <row r="17">
      <c r="B17" s="14" t="inlineStr">
        <is>
          <t>150</t>
        </is>
      </c>
      <c r="C17" s="5" t="inlineStr">
        <is>
          <t>Warranty Labor</t>
        </is>
      </c>
      <c r="D17" s="15" t="n">
        <v>0</v>
      </c>
      <c r="E17" s="15" t="n">
        <v>0</v>
      </c>
      <c r="F17" s="15" t="n">
        <v>250</v>
      </c>
      <c r="G17" s="15">
        <f>F17-E17</f>
        <v/>
      </c>
      <c r="H17" s="16">
        <f>IF(E17=0,"",F17/E17)</f>
        <v/>
      </c>
      <c r="I17" s="17" t="n">
        <v>5</v>
      </c>
      <c r="J17" s="8" t="inlineStr">
        <is>
          <t>2037 Job Detail Report.pdf (Sage Timberline, 04/03/2026)</t>
        </is>
      </c>
    </row>
    <row r="18">
      <c r="B18" s="14" t="inlineStr">
        <is>
          <t>210</t>
        </is>
      </c>
      <c r="C18" s="5" t="inlineStr">
        <is>
          <t>Underground Material</t>
        </is>
      </c>
      <c r="D18" s="15" t="n">
        <v>37500</v>
      </c>
      <c r="E18" s="15" t="n">
        <v>27000</v>
      </c>
      <c r="F18" s="15" t="n">
        <v>15243.5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2037 Job Detail Report.pdf (Sage Timberline, 04/03/2026)</t>
        </is>
      </c>
    </row>
    <row r="19">
      <c r="B19" s="14" t="inlineStr">
        <is>
          <t>211</t>
        </is>
      </c>
      <c r="C19" s="5" t="inlineStr">
        <is>
          <t>Garage Material</t>
        </is>
      </c>
      <c r="D19" s="15" t="n">
        <v>58095</v>
      </c>
      <c r="E19" s="15" t="n">
        <v>56631</v>
      </c>
      <c r="F19" s="15" t="n">
        <v>17635.16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2037 Job Detail Report.pdf (Sage Timberline, 04/03/2026)</t>
        </is>
      </c>
    </row>
    <row r="20">
      <c r="B20" s="14" t="inlineStr">
        <is>
          <t>212</t>
        </is>
      </c>
      <c r="C20" s="5" t="inlineStr">
        <is>
          <t>Canout Material</t>
        </is>
      </c>
      <c r="D20" s="15" t="n">
        <v>17575</v>
      </c>
      <c r="E20" s="15" t="n">
        <v>17575</v>
      </c>
      <c r="F20" s="15" t="n">
        <v>11652.7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2037 Job Detail Report.pdf (Sage Timberline, 04/03/2026)</t>
        </is>
      </c>
    </row>
    <row r="21">
      <c r="B21" s="14" t="inlineStr">
        <is>
          <t>220</t>
        </is>
      </c>
      <c r="C21" s="5" t="inlineStr">
        <is>
          <t>Roughin Material</t>
        </is>
      </c>
      <c r="D21" s="15" t="n">
        <v>101645</v>
      </c>
      <c r="E21" s="15" t="n">
        <v>105468</v>
      </c>
      <c r="F21" s="15" t="n">
        <v>106312.24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2037 Job Detail Report.pdf (Sage Timberline, 04/03/2026)</t>
        </is>
      </c>
    </row>
    <row r="22">
      <c r="B22" s="14" t="inlineStr">
        <is>
          <t>230</t>
        </is>
      </c>
      <c r="C22" s="5" t="inlineStr">
        <is>
          <t>Finish Material</t>
        </is>
      </c>
      <c r="D22" s="15" t="n">
        <v>187500</v>
      </c>
      <c r="E22" s="15" t="n">
        <v>331860</v>
      </c>
      <c r="F22" s="15" t="n">
        <v>273944.52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2037 Job Detail Report.pdf (Sage Timberline, 04/03/2026)</t>
        </is>
      </c>
    </row>
    <row r="23">
      <c r="B23" s="14" t="inlineStr">
        <is>
          <t>240</t>
        </is>
      </c>
      <c r="C23" s="5" t="inlineStr">
        <is>
          <t>Gas Material</t>
        </is>
      </c>
      <c r="D23" s="15" t="n">
        <v>5625</v>
      </c>
      <c r="E23" s="15" t="n">
        <v>5625</v>
      </c>
      <c r="F23" s="15" t="n">
        <v>4633.76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2037 Job Detail Report.pdf (Sage Timberline, 04/03/2026)</t>
        </is>
      </c>
    </row>
    <row r="24">
      <c r="B24" s="14" t="inlineStr">
        <is>
          <t>241</t>
        </is>
      </c>
      <c r="C24" s="5" t="inlineStr">
        <is>
          <t>Water Main/Insulation Mat</t>
        </is>
      </c>
      <c r="D24" s="15" t="n">
        <v>66355</v>
      </c>
      <c r="E24" s="15" t="n">
        <v>66355</v>
      </c>
      <c r="F24" s="15" t="n">
        <v>33059.1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2037 Job Detail Report.pdf (Sage Timberline, 04/03/2026)</t>
        </is>
      </c>
    </row>
    <row r="25">
      <c r="B25" s="14" t="inlineStr">
        <is>
          <t>242</t>
        </is>
      </c>
      <c r="C25" s="5" t="inlineStr">
        <is>
          <t>Mech Room Material</t>
        </is>
      </c>
      <c r="D25" s="15" t="n">
        <v>102185</v>
      </c>
      <c r="E25" s="15" t="n">
        <v>32687</v>
      </c>
      <c r="F25" s="15" t="n">
        <v>24688.69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2037 Job Detail Report.pdf (Sage Timberline, 04/03/2026)</t>
        </is>
      </c>
    </row>
    <row r="26">
      <c r="B26" s="14" t="inlineStr">
        <is>
          <t>243</t>
        </is>
      </c>
      <c r="C26" s="5" t="inlineStr">
        <is>
          <t>Condensation Drains Mat</t>
        </is>
      </c>
      <c r="D26" s="15" t="n">
        <v>0</v>
      </c>
      <c r="E26" s="15" t="n">
        <v>0</v>
      </c>
      <c r="F26" s="15" t="n">
        <v>106.54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2037 Job Detail Report.pdf (Sage Timberline, 04/03/2026)</t>
        </is>
      </c>
    </row>
    <row r="27">
      <c r="B27" s="14" t="inlineStr">
        <is>
          <t>600</t>
        </is>
      </c>
      <c r="C27" s="5" t="inlineStr">
        <is>
          <t>Subcontractor</t>
        </is>
      </c>
      <c r="D27" s="15" t="n">
        <v>500</v>
      </c>
      <c r="E27" s="15" t="n">
        <v>4225</v>
      </c>
      <c r="F27" s="15" t="n">
        <v>4420.5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2037 Job Detail Report.pdf (Sage Timberline, 04/03/2026)</t>
        </is>
      </c>
    </row>
    <row r="28">
      <c r="B28" s="14" t="inlineStr">
        <is>
          <t>601</t>
        </is>
      </c>
      <c r="C28" s="5" t="inlineStr">
        <is>
          <t>Engineering/Plans</t>
        </is>
      </c>
      <c r="D28" s="15" t="n">
        <v>36000</v>
      </c>
      <c r="E28" s="15" t="n">
        <v>39220</v>
      </c>
      <c r="F28" s="15" t="n">
        <v>44369.11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2037 Job Detail Report.pdf (Sage Timberline, 04/03/2026)</t>
        </is>
      </c>
    </row>
    <row r="29">
      <c r="B29" s="14" t="inlineStr">
        <is>
          <t>602</t>
        </is>
      </c>
      <c r="C29" s="5" t="inlineStr">
        <is>
          <t>Rental Equipment</t>
        </is>
      </c>
      <c r="D29" s="15" t="n">
        <v>4000</v>
      </c>
      <c r="E29" s="15" t="n">
        <v>4000</v>
      </c>
      <c r="F29" s="15" t="n">
        <v>1208.69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2037 Job Detail Report.pdf (Sage Timberline, 04/03/2026)</t>
        </is>
      </c>
    </row>
    <row r="30">
      <c r="B30" s="14" t="inlineStr">
        <is>
          <t>603</t>
        </is>
      </c>
      <c r="C30" s="5" t="inlineStr">
        <is>
          <t>Permits &amp; Licenses</t>
        </is>
      </c>
      <c r="D30" s="15" t="n">
        <v>11735</v>
      </c>
      <c r="E30" s="15" t="n">
        <v>12335</v>
      </c>
      <c r="F30" s="15" t="n">
        <v>9138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2037 Job Detail Report.pdf (Sage Timberline, 04/03/2026)</t>
        </is>
      </c>
    </row>
    <row r="31">
      <c r="B31" s="14" t="inlineStr">
        <is>
          <t>607</t>
        </is>
      </c>
      <c r="C31" s="5" t="inlineStr">
        <is>
          <t>Other Expenses</t>
        </is>
      </c>
      <c r="D31" s="15" t="n">
        <v>10000</v>
      </c>
      <c r="E31" s="15" t="n">
        <v>10000</v>
      </c>
      <c r="F31" s="15" t="n">
        <v>71.09999999999999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2037 Job Detail Report.pdf (Sage Timberline, 04/03/2026)</t>
        </is>
      </c>
    </row>
    <row r="32">
      <c r="B32" s="14" t="inlineStr">
        <is>
          <t>995</t>
        </is>
      </c>
      <c r="C32" s="5" t="inlineStr">
        <is>
          <t>Payroll Burden</t>
        </is>
      </c>
      <c r="D32" s="15" t="n">
        <v>228804.89</v>
      </c>
      <c r="E32" s="15" t="n">
        <v>240448.43</v>
      </c>
      <c r="F32" s="15" t="n">
        <v>196679.65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2037 Job Detail Report.pdf (Sage Timberline, 04/03/2026)</t>
        </is>
      </c>
    </row>
    <row r="33">
      <c r="B33" s="14" t="inlineStr">
        <is>
          <t>998</t>
        </is>
      </c>
      <c r="C33" s="5" t="inlineStr">
        <is>
          <t>Payroll Taxes</t>
        </is>
      </c>
      <c r="D33" s="15" t="n">
        <v>38601.52</v>
      </c>
      <c r="E33" s="15" t="n">
        <v>40602.38</v>
      </c>
      <c r="F33" s="15" t="n">
        <v>33926.12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2037 Job Detail Report.pdf (Sage Timberline, 04/03/2026)</t>
        </is>
      </c>
    </row>
    <row r="34">
      <c r="B34" s="14" t="inlineStr">
        <is>
          <t>999</t>
        </is>
      </c>
      <c r="C34" s="5" t="inlineStr">
        <is>
          <t>Sales</t>
        </is>
      </c>
      <c r="D34" s="15" t="n">
        <v>-1920850</v>
      </c>
      <c r="E34" s="15" t="n">
        <v>-2076783</v>
      </c>
      <c r="F34" s="15" t="n">
        <v>-2076783</v>
      </c>
      <c r="G34" s="15">
        <f>F34-E34</f>
        <v/>
      </c>
      <c r="H34" s="16">
        <f>IF(E34=0,"",F34/E34)</f>
        <v/>
      </c>
      <c r="I34" s="17" t="inlineStr"/>
      <c r="J34" s="8" t="inlineStr">
        <is>
          <t>2037 Job Detail Report.pdf (Sage Timberline, 04/03/2026)</t>
        </is>
      </c>
    </row>
    <row r="35">
      <c r="B35" s="18" t="inlineStr">
        <is>
          <t>TOTAL</t>
        </is>
      </c>
      <c r="D35" s="19">
        <f>SUM(D6:D34)</f>
        <v/>
      </c>
      <c r="E35" s="19">
        <f>SUM(E6:E34)</f>
        <v/>
      </c>
      <c r="F35" s="19">
        <f>SUM(F6:F34)</f>
        <v/>
      </c>
      <c r="G35" s="19">
        <f>F35-E35</f>
        <v/>
      </c>
      <c r="I35" s="10">
        <f>SUM(I6:I34)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100,101,110,111,112,120,130,140,141,142,143,150</t>
        </is>
      </c>
      <c r="D6" s="20" t="n">
        <v>440145.2499999999</v>
      </c>
      <c r="E6" s="16">
        <f>D6/$D$11</f>
        <v/>
      </c>
      <c r="F6" s="16">
        <f>D6/2076783.0</f>
        <v/>
      </c>
      <c r="G6" s="8" t="inlineStr">
        <is>
          <t>2037 Job Detail Report.pdf (Sage Timberline, 04/03/2026)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487276.21</v>
      </c>
      <c r="E7" s="16">
        <f>D7/$D$11</f>
        <v/>
      </c>
      <c r="F7" s="16">
        <f>D7/2076783.0</f>
        <v/>
      </c>
      <c r="G7" s="8" t="inlineStr">
        <is>
          <t>2037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600,601,602,603,607</t>
        </is>
      </c>
      <c r="D8" s="20" t="n">
        <v>59207.4</v>
      </c>
      <c r="E8" s="16">
        <f>D8/$D$11</f>
        <v/>
      </c>
      <c r="F8" s="16">
        <f>D8/2076783.0</f>
        <v/>
      </c>
      <c r="G8" s="8" t="inlineStr">
        <is>
          <t>2037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196679.65</v>
      </c>
      <c r="E9" s="16">
        <f>D9/$D$11</f>
        <v/>
      </c>
      <c r="F9" s="16">
        <f>D9/2076783.0</f>
        <v/>
      </c>
      <c r="G9" s="8" t="inlineStr">
        <is>
          <t>2037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33926.12</v>
      </c>
      <c r="E10" s="16">
        <f>D10/$D$11</f>
        <v/>
      </c>
      <c r="F10" s="16">
        <f>D10/2076783.0</f>
        <v/>
      </c>
      <c r="G10" s="8" t="inlineStr">
        <is>
          <t>2037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D11/2076783.0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2037RS</t>
        </is>
      </c>
      <c r="C6" s="5" t="inlineStr">
        <is>
          <t>Rosen Supply Company, Inc. $University</t>
        </is>
      </c>
      <c r="D6" s="15" t="n">
        <v>93793.49000000001</v>
      </c>
      <c r="E6" s="14" t="n">
        <v>40</v>
      </c>
      <c r="F6" s="14" t="inlineStr">
        <is>
          <t>Plumbing / Supplies</t>
        </is>
      </c>
      <c r="G6" s="8" t="inlineStr">
        <is>
          <t>2037 Job Detail Report.pdf (Sage Timberline, 04/03/2026)</t>
        </is>
      </c>
    </row>
    <row r="7">
      <c r="B7" s="14" t="inlineStr">
        <is>
          <t>1231KS</t>
        </is>
      </c>
      <c r="C7" s="5" t="inlineStr">
        <is>
          <t>Keller Supply Company</t>
        </is>
      </c>
      <c r="D7" s="15" t="n">
        <v>93338.89</v>
      </c>
      <c r="E7" s="14" t="n">
        <v>41</v>
      </c>
      <c r="F7" s="14" t="inlineStr">
        <is>
          <t>Plumbing / Supplies</t>
        </is>
      </c>
      <c r="G7" s="8" t="inlineStr">
        <is>
          <t>2037 Job Detail Report.pdf (Sage Timberline, 04/03/2026)</t>
        </is>
      </c>
    </row>
    <row r="8">
      <c r="B8" s="14" t="inlineStr">
        <is>
          <t>1380RS</t>
        </is>
      </c>
      <c r="C8" s="5" t="inlineStr">
        <is>
          <t>Rosen Supply Kirkland</t>
        </is>
      </c>
      <c r="D8" s="15" t="n">
        <v>58453.46</v>
      </c>
      <c r="E8" s="14" t="n">
        <v>70</v>
      </c>
      <c r="F8" s="14" t="inlineStr">
        <is>
          <t>Plumbing / Supplies</t>
        </is>
      </c>
      <c r="G8" s="8" t="inlineStr">
        <is>
          <t>2037 Job Detail Report.pdf (Sage Timberline, 04/03/2026)</t>
        </is>
      </c>
    </row>
    <row r="9">
      <c r="B9" s="14" t="inlineStr">
        <is>
          <t>1625FE</t>
        </is>
      </c>
      <c r="C9" s="5" t="inlineStr">
        <is>
          <t>Franklin Engineering</t>
        </is>
      </c>
      <c r="D9" s="15" t="n">
        <v>44211.75</v>
      </c>
      <c r="E9" s="14" t="n">
        <v>14</v>
      </c>
      <c r="F9" s="14" t="inlineStr">
        <is>
          <t>Engineering (601)</t>
        </is>
      </c>
      <c r="G9" s="8" t="inlineStr">
        <is>
          <t>2037 Job Detail Report.pdf (Sage Timberline, 04/03/2026)</t>
        </is>
      </c>
    </row>
    <row r="10">
      <c r="B10" s="14" t="inlineStr">
        <is>
          <t>7230BB</t>
        </is>
      </c>
      <c r="C10" s="5" t="inlineStr">
        <is>
          <t>Best Bath Systems</t>
        </is>
      </c>
      <c r="D10" s="15" t="n">
        <v>39139.25</v>
      </c>
      <c r="E10" s="14" t="n">
        <v>3</v>
      </c>
      <c r="F10" s="14" t="inlineStr">
        <is>
          <t>Uncategorized</t>
        </is>
      </c>
      <c r="G10" s="8" t="inlineStr">
        <is>
          <t>2037 Job Detail Report.pdf (Sage Timberline, 04/03/2026)</t>
        </is>
      </c>
    </row>
    <row r="11">
      <c r="B11" s="14" t="inlineStr">
        <is>
          <t>2037FE</t>
        </is>
      </c>
      <c r="C11" s="5" t="inlineStr">
        <is>
          <t>Ferguson Enterprises, Inc. $University</t>
        </is>
      </c>
      <c r="D11" s="15" t="n">
        <v>35851.78</v>
      </c>
      <c r="E11" s="14" t="n">
        <v>6</v>
      </c>
      <c r="F11" s="14" t="inlineStr">
        <is>
          <t>Plumbing / Supplies</t>
        </is>
      </c>
      <c r="G11" s="8" t="inlineStr">
        <is>
          <t>2037 Job Detail Report.pdf (Sage Timberline, 04/03/2026)</t>
        </is>
      </c>
    </row>
    <row r="12">
      <c r="B12" s="14" t="inlineStr">
        <is>
          <t>2037CS</t>
        </is>
      </c>
      <c r="C12" s="5" t="inlineStr">
        <is>
          <t>Consolidated Supply Co. $University</t>
        </is>
      </c>
      <c r="D12" s="15" t="n">
        <v>26940.43</v>
      </c>
      <c r="E12" s="14" t="n">
        <v>13</v>
      </c>
      <c r="F12" s="14" t="inlineStr">
        <is>
          <t>Plumbing / Supplies</t>
        </is>
      </c>
      <c r="G12" s="8" t="inlineStr">
        <is>
          <t>2037 Job Detail Report.pdf (Sage Timberline, 04/03/2026)</t>
        </is>
      </c>
    </row>
    <row r="13">
      <c r="B13" s="14" t="inlineStr">
        <is>
          <t>3612MS</t>
        </is>
      </c>
      <c r="C13" s="5" t="inlineStr">
        <is>
          <t>Mechanical Sales, Inc.</t>
        </is>
      </c>
      <c r="D13" s="15" t="n">
        <v>21350.99</v>
      </c>
      <c r="E13" s="14" t="n">
        <v>4</v>
      </c>
      <c r="F13" s="14" t="inlineStr">
        <is>
          <t>Plumbing / Supplies</t>
        </is>
      </c>
      <c r="G13" s="8" t="inlineStr">
        <is>
          <t>2037 Job Detail Report.pdf (Sage Timberline, 04/03/2026)</t>
        </is>
      </c>
    </row>
    <row r="14">
      <c r="B14" s="14" t="inlineStr">
        <is>
          <t>1175FE</t>
        </is>
      </c>
      <c r="C14" s="5" t="inlineStr">
        <is>
          <t>Ferguson Enterprises, Inc. #3007</t>
        </is>
      </c>
      <c r="D14" s="15" t="n">
        <v>14532.28</v>
      </c>
      <c r="E14" s="14" t="n">
        <v>22</v>
      </c>
      <c r="F14" s="14" t="inlineStr">
        <is>
          <t>Plumbing / Supplies</t>
        </is>
      </c>
      <c r="G14" s="8" t="inlineStr">
        <is>
          <t>2037 Job Detail Report.pdf (Sage Timberline, 04/03/2026)</t>
        </is>
      </c>
    </row>
    <row r="15">
      <c r="B15" s="14" t="inlineStr">
        <is>
          <t>1609QC</t>
        </is>
      </c>
      <c r="C15" s="5" t="inlineStr">
        <is>
          <t>Quality Concrete Products, Inc. $32</t>
        </is>
      </c>
      <c r="D15" s="15" t="n">
        <v>12766</v>
      </c>
      <c r="E15" s="14" t="n">
        <v>5</v>
      </c>
      <c r="F15" s="14" t="inlineStr">
        <is>
          <t>Uncategorized</t>
        </is>
      </c>
      <c r="G15" s="8" t="inlineStr">
        <is>
          <t>2037 Job Detail Report.pdf (Sage Timberline, 04/03/2026)</t>
        </is>
      </c>
    </row>
    <row r="16">
      <c r="B16" s="14" t="inlineStr">
        <is>
          <t>2037KS</t>
        </is>
      </c>
      <c r="C16" s="5" t="inlineStr">
        <is>
          <t>Keller Supply Co. $University</t>
        </is>
      </c>
      <c r="D16" s="15" t="n">
        <v>11104.17</v>
      </c>
      <c r="E16" s="14" t="n">
        <v>9</v>
      </c>
      <c r="F16" s="14" t="inlineStr">
        <is>
          <t>Plumbing / Supplies</t>
        </is>
      </c>
      <c r="G16" s="8" t="inlineStr">
        <is>
          <t>2037 Job Detail Report.pdf (Sage Timberline, 04/03/2026)</t>
        </is>
      </c>
    </row>
    <row r="17">
      <c r="B17" s="14" t="inlineStr">
        <is>
          <t>1234CO</t>
        </is>
      </c>
      <c r="C17" s="5" t="inlineStr">
        <is>
          <t>Capital One Credit Card</t>
        </is>
      </c>
      <c r="D17" s="15" t="n">
        <v>9409.73</v>
      </c>
      <c r="E17" s="14" t="n">
        <v>22</v>
      </c>
      <c r="F17" s="14" t="inlineStr">
        <is>
          <t>Credit Card (mixed)</t>
        </is>
      </c>
      <c r="G17" s="8" t="inlineStr">
        <is>
          <t>2037 Job Detail Report.pdf (Sage Timberline, 04/03/2026)</t>
        </is>
      </c>
    </row>
    <row r="18">
      <c r="B18" s="14" t="inlineStr">
        <is>
          <t>1130CS</t>
        </is>
      </c>
      <c r="C18" s="5" t="inlineStr">
        <is>
          <t>Consolidated Supply Co.</t>
        </is>
      </c>
      <c r="D18" s="15" t="n">
        <v>4756.549999999999</v>
      </c>
      <c r="E18" s="14" t="n">
        <v>12</v>
      </c>
      <c r="F18" s="14" t="inlineStr">
        <is>
          <t>Plumbing / Supplies</t>
        </is>
      </c>
      <c r="G18" s="8" t="inlineStr">
        <is>
          <t>2037 Job Detail Report.pdf (Sage Timberline, 04/03/2026)</t>
        </is>
      </c>
    </row>
    <row r="19">
      <c r="B19" s="14" t="inlineStr">
        <is>
          <t>5560CH</t>
        </is>
      </c>
      <c r="C19" s="5" t="inlineStr">
        <is>
          <t>California Hydronics Corp</t>
        </is>
      </c>
      <c r="D19" s="15" t="n">
        <v>4422.57</v>
      </c>
      <c r="E19" s="14" t="n">
        <v>4</v>
      </c>
      <c r="F19" s="14" t="inlineStr">
        <is>
          <t>Uncategorized</t>
        </is>
      </c>
      <c r="G19" s="8" t="inlineStr">
        <is>
          <t>2037 Job Detail Report.pdf (Sage Timberline, 04/03/2026)</t>
        </is>
      </c>
    </row>
    <row r="20">
      <c r="B20" s="14" t="inlineStr">
        <is>
          <t>3129MR</t>
        </is>
      </c>
      <c r="C20" s="5" t="inlineStr">
        <is>
          <t>Mechanical Resource Services, Inc.</t>
        </is>
      </c>
      <c r="D20" s="15" t="n">
        <v>1712.5</v>
      </c>
      <c r="E20" s="14" t="n">
        <v>1</v>
      </c>
      <c r="F20" s="14" t="inlineStr">
        <is>
          <t>Uncategorized</t>
        </is>
      </c>
      <c r="G20" s="8" t="inlineStr">
        <is>
          <t>2037 Job Detail Report.pdf (Sage Timberline, 04/03/2026)</t>
        </is>
      </c>
    </row>
    <row r="21">
      <c r="B21" s="14" t="inlineStr">
        <is>
          <t>1234CI</t>
        </is>
      </c>
      <c r="C21" s="5" t="inlineStr">
        <is>
          <t>Citibank Credit Card</t>
        </is>
      </c>
      <c r="D21" s="15" t="n">
        <v>1570.69</v>
      </c>
      <c r="E21" s="14" t="n">
        <v>1</v>
      </c>
      <c r="F21" s="14" t="inlineStr">
        <is>
          <t>Credit Card (mixed)</t>
        </is>
      </c>
      <c r="G21" s="8" t="inlineStr">
        <is>
          <t>2037 Job Detail Report.pdf (Sage Timberline, 04/03/2026)</t>
        </is>
      </c>
    </row>
    <row r="22">
      <c r="B22" s="14" t="inlineStr">
        <is>
          <t>3181SC</t>
        </is>
      </c>
      <c r="C22" s="5" t="inlineStr">
        <is>
          <t>Scan2Core, Inc.</t>
        </is>
      </c>
      <c r="D22" s="15" t="n">
        <v>1278</v>
      </c>
      <c r="E22" s="14" t="n">
        <v>2</v>
      </c>
      <c r="F22" s="14" t="inlineStr">
        <is>
          <t>Uncategorized</t>
        </is>
      </c>
      <c r="G22" s="8" t="inlineStr">
        <is>
          <t>2037 Job Detail Report.pdf (Sage Timberline, 04/03/2026)</t>
        </is>
      </c>
    </row>
    <row r="23">
      <c r="B23" s="14" t="inlineStr">
        <is>
          <t>1799AW</t>
        </is>
      </c>
      <c r="C23" s="5" t="inlineStr">
        <is>
          <t>AllWest Underground, Inc.</t>
        </is>
      </c>
      <c r="D23" s="15" t="n">
        <v>1208.69</v>
      </c>
      <c r="E23" s="14" t="n">
        <v>3</v>
      </c>
      <c r="F23" s="14" t="inlineStr">
        <is>
          <t>Uncategorized</t>
        </is>
      </c>
      <c r="G23" s="8" t="inlineStr">
        <is>
          <t>2037 Job Detail Report.pdf (Sage Timberline, 04/03/2026)</t>
        </is>
      </c>
    </row>
    <row r="24">
      <c r="B24" s="14" t="inlineStr">
        <is>
          <t>1504CA</t>
        </is>
      </c>
      <c r="C24" s="5" t="inlineStr">
        <is>
          <t>Chip Away Bathtub Repair, Inc.</t>
        </is>
      </c>
      <c r="D24" s="15" t="n">
        <v>725</v>
      </c>
      <c r="E24" s="14" t="n">
        <v>1</v>
      </c>
      <c r="F24" s="14" t="inlineStr">
        <is>
          <t>Uncategorized</t>
        </is>
      </c>
      <c r="G24" s="8" t="inlineStr">
        <is>
          <t>2037 Job Detail Report.pdf (Sage Timberline, 04/03/2026)</t>
        </is>
      </c>
    </row>
    <row r="25">
      <c r="B25" s="14" t="inlineStr">
        <is>
          <t>4320MC</t>
        </is>
      </c>
      <c r="C25" s="5" t="inlineStr">
        <is>
          <t>MAD Concrete Cutting &amp; Coring, Inc.</t>
        </is>
      </c>
      <c r="D25" s="15" t="n">
        <v>450</v>
      </c>
      <c r="E25" s="14" t="n">
        <v>1</v>
      </c>
      <c r="F25" s="14" t="inlineStr">
        <is>
          <t>Uncategorized</t>
        </is>
      </c>
      <c r="G25" s="8" t="inlineStr">
        <is>
          <t>2037 Job Detail Report.pdf (Sage Timberline, 04/03/2026)</t>
        </is>
      </c>
    </row>
    <row r="26">
      <c r="B26" s="14" t="inlineStr">
        <is>
          <t>2046RS</t>
        </is>
      </c>
      <c r="C26" s="5" t="inlineStr">
        <is>
          <t>Rosen Supply Company, Inc. $4218 Rooseve</t>
        </is>
      </c>
      <c r="D26" s="15" t="n">
        <v>351.16</v>
      </c>
      <c r="E26" s="14" t="n">
        <v>1</v>
      </c>
      <c r="F26" s="14" t="inlineStr">
        <is>
          <t>Plumbing / Supplies</t>
        </is>
      </c>
      <c r="G26" s="8" t="inlineStr">
        <is>
          <t>2037 Job Detail Report.pdf (Sage Timberline, 04/03/2026)</t>
        </is>
      </c>
    </row>
    <row r="27">
      <c r="B27" s="14" t="inlineStr">
        <is>
          <t>5621HD</t>
        </is>
      </c>
      <c r="C27" s="5" t="inlineStr">
        <is>
          <t>Core &amp; Main LP $HD Supply Waterworks</t>
        </is>
      </c>
      <c r="D27" s="15" t="n">
        <v>332.1</v>
      </c>
      <c r="E27" s="14" t="n">
        <v>3</v>
      </c>
      <c r="F27" s="14" t="inlineStr">
        <is>
          <t>Plumbing / Supplies</t>
        </is>
      </c>
      <c r="G27" s="8" t="inlineStr">
        <is>
          <t>2037 Job Detail Report.pdf (Sage Timberline, 04/03/2026)</t>
        </is>
      </c>
    </row>
    <row r="28">
      <c r="B28" s="14" t="inlineStr">
        <is>
          <t>1421RA</t>
        </is>
      </c>
      <c r="C28" s="5" t="inlineStr">
        <is>
          <t>R.A. Brown Backflow Testing</t>
        </is>
      </c>
      <c r="D28" s="15" t="n">
        <v>255</v>
      </c>
      <c r="E28" s="14" t="n">
        <v>2</v>
      </c>
      <c r="F28" s="14" t="inlineStr">
        <is>
          <t>Testing subcontractor</t>
        </is>
      </c>
      <c r="G28" s="8" t="inlineStr">
        <is>
          <t>2037 Job Detail Report.pdf (Sage Timberline, 04/03/2026)</t>
        </is>
      </c>
    </row>
    <row r="29">
      <c r="B29" s="14" t="inlineStr">
        <is>
          <t>1288DR</t>
        </is>
      </c>
      <c r="C29" s="5" t="inlineStr">
        <is>
          <t>DRSi</t>
        </is>
      </c>
      <c r="D29" s="15" t="n">
        <v>157.36</v>
      </c>
      <c r="E29" s="14" t="n">
        <v>2</v>
      </c>
      <c r="F29" s="14" t="inlineStr">
        <is>
          <t>Uncategorized</t>
        </is>
      </c>
      <c r="G29" s="8" t="inlineStr">
        <is>
          <t>2037 Job Detail Report.pdf (Sage Timberline, 04/03/2026)</t>
        </is>
      </c>
    </row>
    <row r="30">
      <c r="B30" s="14" t="inlineStr">
        <is>
          <t>2132MH</t>
        </is>
      </c>
      <c r="C30" s="5" t="inlineStr">
        <is>
          <t>Manor Hardware &amp; Construction Supply</t>
        </is>
      </c>
      <c r="D30" s="15" t="n">
        <v>155</v>
      </c>
      <c r="E30" s="14" t="n">
        <v>1</v>
      </c>
      <c r="F30" s="14" t="inlineStr">
        <is>
          <t>Plumbing / Supplies</t>
        </is>
      </c>
      <c r="G30" s="8" t="inlineStr">
        <is>
          <t>2037 Job Detail Report.pdf (Sage Timberline, 04/03/2026)</t>
        </is>
      </c>
    </row>
    <row r="31">
      <c r="B31" s="14" t="inlineStr">
        <is>
          <t>1021AT</t>
        </is>
      </c>
      <c r="C31" s="5" t="inlineStr">
        <is>
          <t>ACME Corp</t>
        </is>
      </c>
      <c r="D31" s="15" t="n">
        <v>65.89</v>
      </c>
      <c r="E31" s="14" t="n">
        <v>1</v>
      </c>
      <c r="F31" s="14" t="inlineStr">
        <is>
          <t>Uncategorized</t>
        </is>
      </c>
      <c r="G31" s="8" t="inlineStr">
        <is>
          <t>2037 Job Detail Report.pdf (Sage Timberline, 04/03/2026)</t>
        </is>
      </c>
    </row>
    <row r="32">
      <c r="B32" s="14" t="inlineStr">
        <is>
          <t>2036CS</t>
        </is>
      </c>
      <c r="C32" s="5" t="inlineStr">
        <is>
          <t>Consolidated Supply Co. $Westridge</t>
        </is>
      </c>
      <c r="D32" s="15" t="n">
        <v>0</v>
      </c>
      <c r="E32" s="14" t="n">
        <v>2</v>
      </c>
      <c r="F32" s="14" t="inlineStr">
        <is>
          <t>Plumbing / Supplies</t>
        </is>
      </c>
      <c r="G32" s="8" t="inlineStr">
        <is>
          <t>2037 Job Detail Report.pdf (Sage Timberline, 04/03/2026)</t>
        </is>
      </c>
    </row>
    <row r="33">
      <c r="B33" s="18" t="inlineStr">
        <is>
          <t>TOTAL</t>
        </is>
      </c>
      <c r="D33" s="21">
        <f>SUM(D6:D32)</f>
        <v/>
      </c>
      <c r="E33" s="23">
        <f>SUM(E6:E32)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50 unique payroll workers. OWP RI: Rick / Joe.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AN14</t>
        </is>
      </c>
      <c r="C6" s="5" t="inlineStr">
        <is>
          <t>Anderson, Richard P</t>
        </is>
      </c>
      <c r="D6" s="17" t="n">
        <v>1517</v>
      </c>
      <c r="E6" s="20" t="n">
        <v>64215.5</v>
      </c>
      <c r="F6" s="20">
        <f>IF(D6=0,0,E6/D6)</f>
        <v/>
      </c>
      <c r="G6" s="14" t="n">
        <v>68</v>
      </c>
      <c r="H6" s="8" t="inlineStr">
        <is>
          <t>2037 Job Detail Report.pdf (Sage Timberline, 04/03/2026)</t>
        </is>
      </c>
    </row>
    <row r="7">
      <c r="B7" s="14" t="inlineStr">
        <is>
          <t>KI55</t>
        </is>
      </c>
      <c r="C7" s="5" t="inlineStr">
        <is>
          <t>Kinssies, Jr, John E</t>
        </is>
      </c>
      <c r="D7" s="17" t="n">
        <v>1422.25</v>
      </c>
      <c r="E7" s="20" t="n">
        <v>37288.5</v>
      </c>
      <c r="F7" s="20">
        <f>IF(D7=0,0,E7/D7)</f>
        <v/>
      </c>
      <c r="G7" s="14" t="n">
        <v>64</v>
      </c>
      <c r="H7" s="8" t="inlineStr">
        <is>
          <t>2037 Job Detail Report.pdf (Sage Timberline, 04/03/2026)</t>
        </is>
      </c>
    </row>
    <row r="8">
      <c r="B8" s="14" t="inlineStr">
        <is>
          <t>RI87</t>
        </is>
      </c>
      <c r="C8" s="5" t="inlineStr">
        <is>
          <t>Rivera, Jorge A</t>
        </is>
      </c>
      <c r="D8" s="17" t="n">
        <v>1415</v>
      </c>
      <c r="E8" s="20" t="n">
        <v>42138</v>
      </c>
      <c r="F8" s="20">
        <f>IF(D8=0,0,E8/D8)</f>
        <v/>
      </c>
      <c r="G8" s="14" t="n">
        <v>39</v>
      </c>
      <c r="H8" s="8" t="inlineStr">
        <is>
          <t>2037 Job Detail Report.pdf (Sage Timberline, 04/03/2026)</t>
        </is>
      </c>
    </row>
    <row r="9">
      <c r="B9" s="14" t="inlineStr">
        <is>
          <t>RO75</t>
        </is>
      </c>
      <c r="C9" s="5" t="inlineStr">
        <is>
          <t>Ross, Kelli M</t>
        </is>
      </c>
      <c r="D9" s="17" t="n">
        <v>1013</v>
      </c>
      <c r="E9" s="20" t="n">
        <v>39000</v>
      </c>
      <c r="F9" s="20">
        <f>IF(D9=0,0,E9/D9)</f>
        <v/>
      </c>
      <c r="G9" s="14" t="n">
        <v>27</v>
      </c>
      <c r="H9" s="8" t="inlineStr">
        <is>
          <t>2037 Job Detail Report.pdf (Sage Timberline, 04/03/2026)</t>
        </is>
      </c>
    </row>
    <row r="10">
      <c r="B10" s="14" t="inlineStr">
        <is>
          <t>OB46</t>
        </is>
      </c>
      <c r="C10" s="5" t="inlineStr">
        <is>
          <t>O'Bleness, Caleb N</t>
        </is>
      </c>
      <c r="D10" s="17" t="n">
        <v>728</v>
      </c>
      <c r="E10" s="20" t="n">
        <v>19501</v>
      </c>
      <c r="F10" s="20">
        <f>IF(D10=0,0,E10/D10)</f>
        <v/>
      </c>
      <c r="G10" s="14" t="n">
        <v>20</v>
      </c>
      <c r="H10" s="8" t="inlineStr">
        <is>
          <t>2037 Job Detail Report.pdf (Sage Timberline, 04/03/2026)</t>
        </is>
      </c>
    </row>
    <row r="11">
      <c r="B11" s="14" t="inlineStr">
        <is>
          <t>GO56</t>
        </is>
      </c>
      <c r="C11" s="5" t="inlineStr">
        <is>
          <t>Gonzalez Hernandez, Josue</t>
        </is>
      </c>
      <c r="D11" s="17" t="n">
        <v>600</v>
      </c>
      <c r="E11" s="20" t="n">
        <v>17400</v>
      </c>
      <c r="F11" s="20">
        <f>IF(D11=0,0,E11/D11)</f>
        <v/>
      </c>
      <c r="G11" s="14" t="n">
        <v>19</v>
      </c>
      <c r="H11" s="8" t="inlineStr">
        <is>
          <t>2037 Job Detail Report.pdf (Sage Timberline, 04/03/2026)</t>
        </is>
      </c>
    </row>
    <row r="12">
      <c r="B12" s="14" t="inlineStr">
        <is>
          <t>ME53</t>
        </is>
      </c>
      <c r="C12" s="5" t="inlineStr">
        <is>
          <t>Mendoza Morales, Jesus A</t>
        </is>
      </c>
      <c r="D12" s="17" t="n">
        <v>590.5</v>
      </c>
      <c r="E12" s="20" t="n">
        <v>14152</v>
      </c>
      <c r="F12" s="20">
        <f>IF(D12=0,0,E12/D12)</f>
        <v/>
      </c>
      <c r="G12" s="14" t="n">
        <v>17</v>
      </c>
      <c r="H12" s="8" t="inlineStr">
        <is>
          <t>2037 Job Detail Report.pdf (Sage Timberline, 04/03/2026)</t>
        </is>
      </c>
    </row>
    <row r="13">
      <c r="B13" s="14" t="inlineStr">
        <is>
          <t>HU06</t>
        </is>
      </c>
      <c r="C13" s="5" t="inlineStr">
        <is>
          <t>Hubbard, Robert W</t>
        </is>
      </c>
      <c r="D13" s="17" t="n">
        <v>503.5</v>
      </c>
      <c r="E13" s="20" t="n">
        <v>22079.5</v>
      </c>
      <c r="F13" s="20">
        <f>IF(D13=0,0,E13/D13)</f>
        <v/>
      </c>
      <c r="G13" s="14" t="n">
        <v>37</v>
      </c>
      <c r="H13" s="8" t="inlineStr">
        <is>
          <t>2037 Job Detail Report.pdf (Sage Timberline, 04/03/2026)</t>
        </is>
      </c>
    </row>
    <row r="14">
      <c r="B14" s="14" t="inlineStr">
        <is>
          <t>EL33</t>
        </is>
      </c>
      <c r="C14" s="5" t="inlineStr">
        <is>
          <t>Eliassen, Cory H</t>
        </is>
      </c>
      <c r="D14" s="17" t="n">
        <v>425.5</v>
      </c>
      <c r="E14" s="20" t="n">
        <v>10506.5</v>
      </c>
      <c r="F14" s="20">
        <f>IF(D14=0,0,E14/D14)</f>
        <v/>
      </c>
      <c r="G14" s="14" t="n">
        <v>24</v>
      </c>
      <c r="H14" s="8" t="inlineStr">
        <is>
          <t>2037 Job Detail Report.pdf (Sage Timberline, 04/03/2026)</t>
        </is>
      </c>
    </row>
    <row r="15">
      <c r="B15" s="14" t="inlineStr">
        <is>
          <t>MC09</t>
        </is>
      </c>
      <c r="C15" s="5" t="inlineStr">
        <is>
          <t>McCabe, Thomas C</t>
        </is>
      </c>
      <c r="D15" s="17" t="n">
        <v>399</v>
      </c>
      <c r="E15" s="20" t="n">
        <v>13152</v>
      </c>
      <c r="F15" s="20">
        <f>IF(D15=0,0,E15/D15)</f>
        <v/>
      </c>
      <c r="G15" s="14" t="n">
        <v>16</v>
      </c>
      <c r="H15" s="8" t="inlineStr">
        <is>
          <t>2037 Job Detail Report.pdf (Sage Timberline, 04/03/2026)</t>
        </is>
      </c>
    </row>
    <row r="16">
      <c r="B16" s="14" t="inlineStr">
        <is>
          <t>VE42</t>
        </is>
      </c>
      <c r="C16" s="5" t="inlineStr">
        <is>
          <t>Velasquez Cruz, Denis M</t>
        </is>
      </c>
      <c r="D16" s="17" t="n">
        <v>397</v>
      </c>
      <c r="E16" s="20" t="n">
        <v>11056</v>
      </c>
      <c r="F16" s="20">
        <f>IF(D16=0,0,E16/D16)</f>
        <v/>
      </c>
      <c r="G16" s="14" t="n">
        <v>11</v>
      </c>
      <c r="H16" s="8" t="inlineStr">
        <is>
          <t>2037 Job Detail Report.pdf (Sage Timberline, 04/03/2026)</t>
        </is>
      </c>
    </row>
    <row r="17">
      <c r="B17" s="14" t="inlineStr">
        <is>
          <t>GA70</t>
        </is>
      </c>
      <c r="C17" s="5" t="inlineStr">
        <is>
          <t>Garcia, Jordan X</t>
        </is>
      </c>
      <c r="D17" s="17" t="n">
        <v>384.5</v>
      </c>
      <c r="E17" s="20" t="n">
        <v>12264</v>
      </c>
      <c r="F17" s="20">
        <f>IF(D17=0,0,E17/D17)</f>
        <v/>
      </c>
      <c r="G17" s="14" t="n">
        <v>11</v>
      </c>
      <c r="H17" s="8" t="inlineStr">
        <is>
          <t>2037 Job Detail Report.pdf (Sage Timberline, 04/03/2026)</t>
        </is>
      </c>
    </row>
    <row r="18">
      <c r="B18" s="14" t="inlineStr">
        <is>
          <t>RO06</t>
        </is>
      </c>
      <c r="C18" s="5" t="inlineStr">
        <is>
          <t>Roberts, Lake A</t>
        </is>
      </c>
      <c r="D18" s="17" t="n">
        <v>370</v>
      </c>
      <c r="E18" s="20" t="n">
        <v>6722.5</v>
      </c>
      <c r="F18" s="20">
        <f>IF(D18=0,0,E18/D18)</f>
        <v/>
      </c>
      <c r="G18" s="14" t="n">
        <v>12</v>
      </c>
      <c r="H18" s="8" t="inlineStr">
        <is>
          <t>2037 Job Detail Report.pdf (Sage Timberline, 04/03/2026)</t>
        </is>
      </c>
    </row>
    <row r="19">
      <c r="B19" s="14" t="inlineStr">
        <is>
          <t>BA42</t>
        </is>
      </c>
      <c r="C19" s="5" t="inlineStr">
        <is>
          <t>Baker, Scott W</t>
        </is>
      </c>
      <c r="D19" s="17" t="n">
        <v>360</v>
      </c>
      <c r="E19" s="20" t="n">
        <v>6120</v>
      </c>
      <c r="F19" s="20">
        <f>IF(D19=0,0,E19/D19)</f>
        <v/>
      </c>
      <c r="G19" s="14" t="n">
        <v>11</v>
      </c>
      <c r="H19" s="8" t="inlineStr">
        <is>
          <t>2037 Job Detail Report.pdf (Sage Timberline, 04/03/2026)</t>
        </is>
      </c>
    </row>
    <row r="20">
      <c r="B20" s="14" t="inlineStr">
        <is>
          <t>VE43</t>
        </is>
      </c>
      <c r="C20" s="5" t="inlineStr">
        <is>
          <t>Velasquez Cruz, Osman N</t>
        </is>
      </c>
      <c r="D20" s="17" t="n">
        <v>359</v>
      </c>
      <c r="E20" s="20" t="n">
        <v>7120</v>
      </c>
      <c r="F20" s="20">
        <f>IF(D20=0,0,E20/D20)</f>
        <v/>
      </c>
      <c r="G20" s="14" t="n">
        <v>11</v>
      </c>
      <c r="H20" s="8" t="inlineStr">
        <is>
          <t>2037 Job Detail Report.pdf (Sage Timberline, 04/03/2026)</t>
        </is>
      </c>
    </row>
    <row r="21">
      <c r="B21" s="14" t="inlineStr">
        <is>
          <t>HO18</t>
        </is>
      </c>
      <c r="C21" s="5" t="inlineStr">
        <is>
          <t>Hoeg, Xavier A</t>
        </is>
      </c>
      <c r="D21" s="17" t="n">
        <v>359</v>
      </c>
      <c r="E21" s="20" t="n">
        <v>5720</v>
      </c>
      <c r="F21" s="20">
        <f>IF(D21=0,0,E21/D21)</f>
        <v/>
      </c>
      <c r="G21" s="14" t="n">
        <v>11</v>
      </c>
      <c r="H21" s="8" t="inlineStr">
        <is>
          <t>2037 Job Detail Report.pdf (Sage Timberline, 04/03/2026)</t>
        </is>
      </c>
    </row>
    <row r="22">
      <c r="B22" s="14" t="inlineStr">
        <is>
          <t>PI54</t>
        </is>
      </c>
      <c r="C22" s="5" t="inlineStr">
        <is>
          <t>Pineda Lemus, Gerson S</t>
        </is>
      </c>
      <c r="D22" s="17" t="n">
        <v>343</v>
      </c>
      <c r="E22" s="20" t="n">
        <v>5488</v>
      </c>
      <c r="F22" s="20">
        <f>IF(D22=0,0,E22/D22)</f>
        <v/>
      </c>
      <c r="G22" s="14" t="n">
        <v>10</v>
      </c>
      <c r="H22" s="8" t="inlineStr">
        <is>
          <t>2037 Job Detail Report.pdf (Sage Timberline, 04/03/2026)</t>
        </is>
      </c>
    </row>
    <row r="23">
      <c r="B23" s="14" t="inlineStr">
        <is>
          <t>WE55</t>
        </is>
      </c>
      <c r="C23" s="5" t="inlineStr">
        <is>
          <t>Wennig, Johnathan M</t>
        </is>
      </c>
      <c r="D23" s="17" t="n">
        <v>330.25</v>
      </c>
      <c r="E23" s="20" t="n">
        <v>8602.5</v>
      </c>
      <c r="F23" s="20">
        <f>IF(D23=0,0,E23/D23)</f>
        <v/>
      </c>
      <c r="G23" s="14" t="n">
        <v>18</v>
      </c>
      <c r="H23" s="8" t="inlineStr">
        <is>
          <t>2037 Job Detail Report.pdf (Sage Timberline, 04/03/2026)</t>
        </is>
      </c>
    </row>
    <row r="24">
      <c r="B24" s="14" t="inlineStr">
        <is>
          <t>RE96</t>
        </is>
      </c>
      <c r="C24" s="5" t="inlineStr">
        <is>
          <t>Reyes Cruz, Denis A</t>
        </is>
      </c>
      <c r="D24" s="17" t="n">
        <v>329</v>
      </c>
      <c r="E24" s="20" t="n">
        <v>8205</v>
      </c>
      <c r="F24" s="20">
        <f>IF(D24=0,0,E24/D24)</f>
        <v/>
      </c>
      <c r="G24" s="14" t="n">
        <v>10</v>
      </c>
      <c r="H24" s="8" t="inlineStr">
        <is>
          <t>2037 Job Detail Report.pdf (Sage Timberline, 04/03/2026)</t>
        </is>
      </c>
    </row>
    <row r="25">
      <c r="B25" s="14" t="inlineStr">
        <is>
          <t>HE70</t>
        </is>
      </c>
      <c r="C25" s="5" t="inlineStr">
        <is>
          <t>Hernandez Gonzalez, Osbaldo</t>
        </is>
      </c>
      <c r="D25" s="17" t="n">
        <v>321.75</v>
      </c>
      <c r="E25" s="20" t="n">
        <v>6056.75</v>
      </c>
      <c r="F25" s="20">
        <f>IF(D25=0,0,E25/D25)</f>
        <v/>
      </c>
      <c r="G25" s="14" t="n">
        <v>16</v>
      </c>
      <c r="H25" s="8" t="inlineStr">
        <is>
          <t>2037 Job Detail Report.pdf (Sage Timberline, 04/03/2026)</t>
        </is>
      </c>
    </row>
    <row r="26">
      <c r="B26" s="14" t="inlineStr">
        <is>
          <t>LO58</t>
        </is>
      </c>
      <c r="C26" s="5" t="inlineStr">
        <is>
          <t>Lopez Reyes, Boris O</t>
        </is>
      </c>
      <c r="D26" s="17" t="n">
        <v>313</v>
      </c>
      <c r="E26" s="20" t="n">
        <v>5634</v>
      </c>
      <c r="F26" s="20">
        <f>IF(D26=0,0,E26/D26)</f>
        <v/>
      </c>
      <c r="G26" s="14" t="n">
        <v>11</v>
      </c>
      <c r="H26" s="8" t="inlineStr">
        <is>
          <t>2037 Job Detail Report.pdf (Sage Timberline, 04/03/2026)</t>
        </is>
      </c>
    </row>
    <row r="27">
      <c r="B27" s="14" t="inlineStr">
        <is>
          <t>GE69</t>
        </is>
      </c>
      <c r="C27" s="5" t="inlineStr">
        <is>
          <t>Gerard, Jeffrey S</t>
        </is>
      </c>
      <c r="D27" s="17" t="n">
        <v>276</v>
      </c>
      <c r="E27" s="20" t="n">
        <v>13450</v>
      </c>
      <c r="F27" s="20">
        <f>IF(D27=0,0,E27/D27)</f>
        <v/>
      </c>
      <c r="G27" s="14" t="n">
        <v>94</v>
      </c>
      <c r="H27" s="8" t="inlineStr">
        <is>
          <t>2037 Job Detail Report.pdf (Sage Timberline, 04/03/2026)</t>
        </is>
      </c>
    </row>
    <row r="28">
      <c r="B28" s="14" t="inlineStr">
        <is>
          <t>GO51</t>
        </is>
      </c>
      <c r="C28" s="5" t="inlineStr">
        <is>
          <t>Gomez Reyes, Edith N</t>
        </is>
      </c>
      <c r="D28" s="17" t="n">
        <v>219.5</v>
      </c>
      <c r="E28" s="20" t="n">
        <v>4769.5</v>
      </c>
      <c r="F28" s="20">
        <f>IF(D28=0,0,E28/D28)</f>
        <v/>
      </c>
      <c r="G28" s="14" t="n">
        <v>13</v>
      </c>
      <c r="H28" s="8" t="inlineStr">
        <is>
          <t>2037 Job Detail Report.pdf (Sage Timberline, 04/03/2026)</t>
        </is>
      </c>
    </row>
    <row r="29">
      <c r="B29" s="14" t="inlineStr">
        <is>
          <t>BA68</t>
        </is>
      </c>
      <c r="C29" s="5" t="inlineStr">
        <is>
          <t>Barbosa, Michael S</t>
        </is>
      </c>
      <c r="D29" s="17" t="n">
        <v>215.5</v>
      </c>
      <c r="E29" s="20" t="n">
        <v>4859.5</v>
      </c>
      <c r="F29" s="20">
        <f>IF(D29=0,0,E29/D29)</f>
        <v/>
      </c>
      <c r="G29" s="14" t="n">
        <v>8</v>
      </c>
      <c r="H29" s="8" t="inlineStr">
        <is>
          <t>2037 Job Detail Report.pdf (Sage Timberline, 04/03/2026)</t>
        </is>
      </c>
    </row>
    <row r="30">
      <c r="B30" s="14" t="inlineStr">
        <is>
          <t>RE91</t>
        </is>
      </c>
      <c r="C30" s="5" t="inlineStr">
        <is>
          <t>Reyes, Maria E</t>
        </is>
      </c>
      <c r="D30" s="17" t="n">
        <v>196</v>
      </c>
      <c r="E30" s="20" t="n">
        <v>3272</v>
      </c>
      <c r="F30" s="20">
        <f>IF(D30=0,0,E30/D30)</f>
        <v/>
      </c>
      <c r="G30" s="14" t="n">
        <v>12</v>
      </c>
      <c r="H30" s="8" t="inlineStr">
        <is>
          <t>2037 Job Detail Report.pdf (Sage Timberline, 04/03/2026)</t>
        </is>
      </c>
    </row>
    <row r="31">
      <c r="B31" s="14" t="inlineStr">
        <is>
          <t>TR60</t>
        </is>
      </c>
      <c r="C31" s="5" t="inlineStr">
        <is>
          <t>Trower-Kelly, Fidel D</t>
        </is>
      </c>
      <c r="D31" s="17" t="n">
        <v>196</v>
      </c>
      <c r="E31" s="20" t="n">
        <v>3184</v>
      </c>
      <c r="F31" s="20">
        <f>IF(D31=0,0,E31/D31)</f>
        <v/>
      </c>
      <c r="G31" s="14" t="n">
        <v>13</v>
      </c>
      <c r="H31" s="8" t="inlineStr">
        <is>
          <t>2037 Job Detail Report.pdf (Sage Timberline, 04/03/2026)</t>
        </is>
      </c>
    </row>
    <row r="32">
      <c r="B32" s="14" t="inlineStr">
        <is>
          <t>DO56</t>
        </is>
      </c>
      <c r="C32" s="5" t="inlineStr">
        <is>
          <t>Donelson, Richard T</t>
        </is>
      </c>
      <c r="D32" s="17" t="n">
        <v>148</v>
      </c>
      <c r="E32" s="20" t="n">
        <v>8637.5</v>
      </c>
      <c r="F32" s="20">
        <f>IF(D32=0,0,E32/D32)</f>
        <v/>
      </c>
      <c r="G32" s="14" t="n">
        <v>71</v>
      </c>
      <c r="H32" s="8" t="inlineStr">
        <is>
          <t>2037 Job Detail Report.pdf (Sage Timberline, 04/03/2026)</t>
        </is>
      </c>
    </row>
    <row r="33">
      <c r="B33" s="14" t="inlineStr">
        <is>
          <t>SA54</t>
        </is>
      </c>
      <c r="C33" s="5" t="inlineStr">
        <is>
          <t>Sanders, Allen O</t>
        </is>
      </c>
      <c r="D33" s="17" t="n">
        <v>139</v>
      </c>
      <c r="E33" s="20" t="n">
        <v>6393</v>
      </c>
      <c r="F33" s="20">
        <f>IF(D33=0,0,E33/D33)</f>
        <v/>
      </c>
      <c r="G33" s="14" t="n">
        <v>23</v>
      </c>
      <c r="H33" s="8" t="inlineStr">
        <is>
          <t>2037 Job Detail Report.pdf (Sage Timberline, 04/03/2026)</t>
        </is>
      </c>
    </row>
    <row r="34">
      <c r="B34" s="14" t="inlineStr">
        <is>
          <t>NE46</t>
        </is>
      </c>
      <c r="C34" s="5" t="inlineStr">
        <is>
          <t>Nelson, Charles E</t>
        </is>
      </c>
      <c r="D34" s="17" t="n">
        <v>94</v>
      </c>
      <c r="E34" s="20" t="n">
        <v>1504</v>
      </c>
      <c r="F34" s="20">
        <f>IF(D34=0,0,E34/D34)</f>
        <v/>
      </c>
      <c r="G34" s="14" t="n">
        <v>3</v>
      </c>
      <c r="H34" s="8" t="inlineStr">
        <is>
          <t>2037 Job Detail Report.pdf (Sage Timberline, 04/03/2026)</t>
        </is>
      </c>
    </row>
    <row r="35">
      <c r="B35" s="14" t="inlineStr">
        <is>
          <t>FO55</t>
        </is>
      </c>
      <c r="C35" s="5" t="inlineStr">
        <is>
          <t>Fonseca Teruel, Eduardo</t>
        </is>
      </c>
      <c r="D35" s="17" t="n">
        <v>68</v>
      </c>
      <c r="E35" s="20" t="n">
        <v>1224</v>
      </c>
      <c r="F35" s="20">
        <f>IF(D35=0,0,E35/D35)</f>
        <v/>
      </c>
      <c r="G35" s="14" t="n">
        <v>6</v>
      </c>
      <c r="H35" s="8" t="inlineStr">
        <is>
          <t>2037 Job Detail Report.pdf (Sage Timberline, 04/03/2026)</t>
        </is>
      </c>
    </row>
    <row r="36">
      <c r="B36" s="14" t="inlineStr">
        <is>
          <t>ST02</t>
        </is>
      </c>
      <c r="C36" s="5" t="inlineStr">
        <is>
          <t>Stahlschmidt, John P</t>
        </is>
      </c>
      <c r="D36" s="17" t="n">
        <v>40</v>
      </c>
      <c r="E36" s="20" t="n">
        <v>664</v>
      </c>
      <c r="F36" s="20">
        <f>IF(D36=0,0,E36/D36)</f>
        <v/>
      </c>
      <c r="G36" s="14" t="n">
        <v>5</v>
      </c>
      <c r="H36" s="8" t="inlineStr">
        <is>
          <t>2037 Job Detail Report.pdf (Sage Timberline, 04/03/2026)</t>
        </is>
      </c>
    </row>
    <row r="37">
      <c r="B37" s="14" t="inlineStr">
        <is>
          <t>SE64</t>
        </is>
      </c>
      <c r="C37" s="5" t="inlineStr">
        <is>
          <t>Sepulveda Gonzalez, Alfredo</t>
        </is>
      </c>
      <c r="D37" s="17" t="n">
        <v>39</v>
      </c>
      <c r="E37" s="20" t="n">
        <v>1248</v>
      </c>
      <c r="F37" s="20">
        <f>IF(D37=0,0,E37/D37)</f>
        <v/>
      </c>
      <c r="G37" s="14" t="n">
        <v>3</v>
      </c>
      <c r="H37" s="8" t="inlineStr">
        <is>
          <t>2037 Job Detail Report.pdf (Sage Timberline, 04/03/2026)</t>
        </is>
      </c>
    </row>
    <row r="38">
      <c r="B38" s="14" t="inlineStr">
        <is>
          <t>BA70</t>
        </is>
      </c>
      <c r="C38" s="5" t="inlineStr">
        <is>
          <t>Barnhart, Joseph N</t>
        </is>
      </c>
      <c r="D38" s="17" t="n">
        <v>38</v>
      </c>
      <c r="E38" s="20" t="n">
        <v>1660.5</v>
      </c>
      <c r="F38" s="20">
        <f>IF(D38=0,0,E38/D38)</f>
        <v/>
      </c>
      <c r="G38" s="14" t="n">
        <v>14</v>
      </c>
      <c r="H38" s="8" t="inlineStr">
        <is>
          <t>2037 Job Detail Report.pdf (Sage Timberline, 04/03/2026)</t>
        </is>
      </c>
    </row>
    <row r="39">
      <c r="B39" s="14" t="inlineStr">
        <is>
          <t>GA83</t>
        </is>
      </c>
      <c r="C39" s="5" t="inlineStr">
        <is>
          <t>Gauthier, Dillon R</t>
        </is>
      </c>
      <c r="D39" s="17" t="n">
        <v>24</v>
      </c>
      <c r="E39" s="20" t="n">
        <v>384</v>
      </c>
      <c r="F39" s="20">
        <f>IF(D39=0,0,E39/D39)</f>
        <v/>
      </c>
      <c r="G39" s="14" t="n">
        <v>1</v>
      </c>
      <c r="H39" s="8" t="inlineStr">
        <is>
          <t>2037 Job Detail Report.pdf (Sage Timberline, 04/03/2026)</t>
        </is>
      </c>
    </row>
    <row r="40">
      <c r="B40" s="14" t="inlineStr">
        <is>
          <t>VA98</t>
        </is>
      </c>
      <c r="C40" s="5" t="inlineStr">
        <is>
          <t>Vazquez Popoca, Jose N</t>
        </is>
      </c>
      <c r="D40" s="17" t="n">
        <v>24</v>
      </c>
      <c r="E40" s="20" t="n">
        <v>384</v>
      </c>
      <c r="F40" s="20">
        <f>IF(D40=0,0,E40/D40)</f>
        <v/>
      </c>
      <c r="G40" s="14" t="n">
        <v>2</v>
      </c>
      <c r="H40" s="8" t="inlineStr">
        <is>
          <t>2037 Job Detail Report.pdf (Sage Timberline, 04/03/2026)</t>
        </is>
      </c>
    </row>
    <row r="41">
      <c r="B41" s="14" t="inlineStr">
        <is>
          <t>WI46</t>
        </is>
      </c>
      <c r="C41" s="5" t="inlineStr">
        <is>
          <t>Wilson, Garret A</t>
        </is>
      </c>
      <c r="D41" s="17" t="n">
        <v>22.5</v>
      </c>
      <c r="E41" s="20" t="n">
        <v>802.5</v>
      </c>
      <c r="F41" s="20">
        <f>IF(D41=0,0,E41/D41)</f>
        <v/>
      </c>
      <c r="G41" s="14" t="n">
        <v>4</v>
      </c>
      <c r="H41" s="8" t="inlineStr">
        <is>
          <t>2037 Job Detail Report.pdf (Sage Timberline, 04/03/2026)</t>
        </is>
      </c>
    </row>
    <row r="42">
      <c r="B42" s="14" t="inlineStr">
        <is>
          <t>YO29</t>
        </is>
      </c>
      <c r="C42" s="5" t="inlineStr">
        <is>
          <t>Yohannes Jr., Samson</t>
        </is>
      </c>
      <c r="D42" s="17" t="n">
        <v>22.5</v>
      </c>
      <c r="E42" s="20" t="n">
        <v>411.5</v>
      </c>
      <c r="F42" s="20">
        <f>IF(D42=0,0,E42/D42)</f>
        <v/>
      </c>
      <c r="G42" s="14" t="n">
        <v>2</v>
      </c>
      <c r="H42" s="8" t="inlineStr">
        <is>
          <t>2037 Job Detail Report.pdf (Sage Timberline, 04/03/2026)</t>
        </is>
      </c>
    </row>
    <row r="43">
      <c r="B43" s="14" t="inlineStr">
        <is>
          <t>LE17</t>
        </is>
      </c>
      <c r="C43" s="5" t="inlineStr">
        <is>
          <t>Lee, Ha Nul</t>
        </is>
      </c>
      <c r="D43" s="17" t="n">
        <v>18.25</v>
      </c>
      <c r="E43" s="20" t="n">
        <v>292</v>
      </c>
      <c r="F43" s="20">
        <f>IF(D43=0,0,E43/D43)</f>
        <v/>
      </c>
      <c r="G43" s="14" t="n">
        <v>3</v>
      </c>
      <c r="H43" s="8" t="inlineStr">
        <is>
          <t>2037 Job Detail Report.pdf (Sage Timberline, 04/03/2026)</t>
        </is>
      </c>
    </row>
    <row r="44">
      <c r="B44" s="14" t="inlineStr">
        <is>
          <t>RO10</t>
        </is>
      </c>
      <c r="C44" s="5" t="inlineStr">
        <is>
          <t>Rodriguez Arevalos, Christian</t>
        </is>
      </c>
      <c r="D44" s="17" t="n">
        <v>16</v>
      </c>
      <c r="E44" s="20" t="n">
        <v>368</v>
      </c>
      <c r="F44" s="20">
        <f>IF(D44=0,0,E44/D44)</f>
        <v/>
      </c>
      <c r="G44" s="14" t="n">
        <v>1</v>
      </c>
      <c r="H44" s="8" t="inlineStr">
        <is>
          <t>2037 Job Detail Report.pdf (Sage Timberline, 04/03/2026)</t>
        </is>
      </c>
    </row>
    <row r="45">
      <c r="B45" s="14" t="inlineStr">
        <is>
          <t>EI74</t>
        </is>
      </c>
      <c r="C45" s="5" t="inlineStr">
        <is>
          <t>Eisenhauer, Tommy J</t>
        </is>
      </c>
      <c r="D45" s="17" t="n">
        <v>8</v>
      </c>
      <c r="E45" s="20" t="n">
        <v>144</v>
      </c>
      <c r="F45" s="20">
        <f>IF(D45=0,0,E45/D45)</f>
        <v/>
      </c>
      <c r="G45" s="14" t="n">
        <v>1</v>
      </c>
      <c r="H45" s="8" t="inlineStr">
        <is>
          <t>2037 Job Detail Report.pdf (Sage Timberline, 04/03/2026)</t>
        </is>
      </c>
    </row>
    <row r="46">
      <c r="B46" s="14" t="inlineStr">
        <is>
          <t>GE71</t>
        </is>
      </c>
      <c r="C46" s="5" t="inlineStr">
        <is>
          <t>Gerard, Mitchell J</t>
        </is>
      </c>
      <c r="D46" s="17" t="n">
        <v>8</v>
      </c>
      <c r="E46" s="20" t="n">
        <v>208</v>
      </c>
      <c r="F46" s="20">
        <f>IF(D46=0,0,E46/D46)</f>
        <v/>
      </c>
      <c r="G46" s="14" t="n">
        <v>1</v>
      </c>
      <c r="H46" s="8" t="inlineStr">
        <is>
          <t>2037 Job Detail Report.pdf (Sage Timberline, 04/03/2026)</t>
        </is>
      </c>
    </row>
    <row r="47">
      <c r="B47" s="14" t="inlineStr">
        <is>
          <t>LO87</t>
        </is>
      </c>
      <c r="C47" s="5" t="inlineStr">
        <is>
          <t>Lovo, German G</t>
        </is>
      </c>
      <c r="D47" s="17" t="n">
        <v>8</v>
      </c>
      <c r="E47" s="20" t="n">
        <v>184</v>
      </c>
      <c r="F47" s="20">
        <f>IF(D47=0,0,E47/D47)</f>
        <v/>
      </c>
      <c r="G47" s="14" t="n">
        <v>1</v>
      </c>
      <c r="H47" s="8" t="inlineStr">
        <is>
          <t>2037 Job Detail Report.pdf (Sage Timberline, 04/03/2026)</t>
        </is>
      </c>
    </row>
    <row r="48">
      <c r="B48" s="14" t="inlineStr">
        <is>
          <t>TA96</t>
        </is>
      </c>
      <c r="C48" s="5" t="inlineStr">
        <is>
          <t>Taylor, Evan R</t>
        </is>
      </c>
      <c r="D48" s="17" t="n">
        <v>8</v>
      </c>
      <c r="E48" s="20" t="n">
        <v>208</v>
      </c>
      <c r="F48" s="20">
        <f>IF(D48=0,0,E48/D48)</f>
        <v/>
      </c>
      <c r="G48" s="14" t="n">
        <v>1</v>
      </c>
      <c r="H48" s="8" t="inlineStr">
        <is>
          <t>2037 Job Detail Report.pdf (Sage Timberline, 04/03/2026)</t>
        </is>
      </c>
    </row>
    <row r="49">
      <c r="B49" s="14" t="inlineStr">
        <is>
          <t>BE54</t>
        </is>
      </c>
      <c r="C49" s="5" t="inlineStr">
        <is>
          <t>Benites Portillo, Marvin E</t>
        </is>
      </c>
      <c r="D49" s="17" t="n">
        <v>6</v>
      </c>
      <c r="E49" s="20" t="n">
        <v>144</v>
      </c>
      <c r="F49" s="20">
        <f>IF(D49=0,0,E49/D49)</f>
        <v/>
      </c>
      <c r="G49" s="14" t="n">
        <v>1</v>
      </c>
      <c r="H49" s="8" t="inlineStr">
        <is>
          <t>2037 Job Detail Report.pdf (Sage Timberline, 04/03/2026)</t>
        </is>
      </c>
    </row>
    <row r="50">
      <c r="B50" s="14" t="inlineStr">
        <is>
          <t>PO71</t>
        </is>
      </c>
      <c r="C50" s="5" t="inlineStr">
        <is>
          <t>Portillo, Kevin J</t>
        </is>
      </c>
      <c r="D50" s="17" t="n">
        <v>5</v>
      </c>
      <c r="E50" s="20" t="n">
        <v>90</v>
      </c>
      <c r="F50" s="20">
        <f>IF(D50=0,0,E50/D50)</f>
        <v/>
      </c>
      <c r="G50" s="14" t="n">
        <v>1</v>
      </c>
      <c r="H50" s="8" t="inlineStr">
        <is>
          <t>2037 Job Detail Report.pdf (Sage Timberline, 04/03/2026)</t>
        </is>
      </c>
    </row>
    <row r="51">
      <c r="B51" s="14" t="inlineStr">
        <is>
          <t>RE18</t>
        </is>
      </c>
      <c r="C51" s="5" t="inlineStr">
        <is>
          <t>Reed, Reuben H</t>
        </is>
      </c>
      <c r="D51" s="17" t="n">
        <v>5</v>
      </c>
      <c r="E51" s="20" t="n">
        <v>215</v>
      </c>
      <c r="F51" s="20">
        <f>IF(D51=0,0,E51/D51)</f>
        <v/>
      </c>
      <c r="G51" s="14" t="n">
        <v>1</v>
      </c>
      <c r="H51" s="8" t="inlineStr">
        <is>
          <t>2037 Job Detail Report.pdf (Sage Timberline, 04/03/2026)</t>
        </is>
      </c>
    </row>
    <row r="52">
      <c r="B52" s="14" t="inlineStr">
        <is>
          <t>ME52</t>
        </is>
      </c>
      <c r="C52" s="5" t="inlineStr">
        <is>
          <t>Mendoza, Edgar E</t>
        </is>
      </c>
      <c r="D52" s="17" t="n">
        <v>3.5</v>
      </c>
      <c r="E52" s="20" t="n">
        <v>59.5</v>
      </c>
      <c r="F52" s="20">
        <f>IF(D52=0,0,E52/D52)</f>
        <v/>
      </c>
      <c r="G52" s="14" t="n">
        <v>1</v>
      </c>
      <c r="H52" s="8" t="inlineStr">
        <is>
          <t>2037 Job Detail Report.pdf (Sage Timberline, 04/03/2026)</t>
        </is>
      </c>
    </row>
    <row r="53">
      <c r="B53" s="14" t="inlineStr">
        <is>
          <t>MA71</t>
        </is>
      </c>
      <c r="C53" s="5" t="inlineStr">
        <is>
          <t>Martinez Reyes, Juan C</t>
        </is>
      </c>
      <c r="D53" s="17" t="n">
        <v>3</v>
      </c>
      <c r="E53" s="20" t="n">
        <v>57</v>
      </c>
      <c r="F53" s="20">
        <f>IF(D53=0,0,E53/D53)</f>
        <v/>
      </c>
      <c r="G53" s="14" t="n">
        <v>1</v>
      </c>
      <c r="H53" s="8" t="inlineStr">
        <is>
          <t>2037 Job Detail Report.pdf (Sage Timberline, 04/03/2026)</t>
        </is>
      </c>
    </row>
    <row r="54">
      <c r="B54" s="14" t="inlineStr">
        <is>
          <t>HU04</t>
        </is>
      </c>
      <c r="C54" s="5" t="inlineStr">
        <is>
          <t>Hubbard, Dustin R</t>
        </is>
      </c>
      <c r="D54" s="17" t="n">
        <v>2</v>
      </c>
      <c r="E54" s="20" t="n">
        <v>44</v>
      </c>
      <c r="F54" s="20">
        <f>IF(D54=0,0,E54/D54)</f>
        <v/>
      </c>
      <c r="G54" s="14" t="n">
        <v>1</v>
      </c>
      <c r="H54" s="8" t="inlineStr">
        <is>
          <t>2037 Job Detail Report.pdf (Sage Timberline, 04/03/2026)</t>
        </is>
      </c>
    </row>
    <row r="55">
      <c r="B55" s="14" t="inlineStr">
        <is>
          <t>WA35</t>
        </is>
      </c>
      <c r="C55" s="5" t="inlineStr">
        <is>
          <t>Waites, Thaddeus Z</t>
        </is>
      </c>
      <c r="D55" s="17" t="n">
        <v>2</v>
      </c>
      <c r="E55" s="20" t="n">
        <v>86</v>
      </c>
      <c r="F55" s="20">
        <f>IF(D55=0,0,E55/D55)</f>
        <v/>
      </c>
      <c r="G55" s="14" t="n">
        <v>1</v>
      </c>
      <c r="H55" s="8" t="inlineStr">
        <is>
          <t>2037 Job Detail Report.pdf (Sage Timberline, 04/03/2026)</t>
        </is>
      </c>
    </row>
    <row r="56">
      <c r="B56" s="18" t="inlineStr">
        <is>
          <t>TOTAL</t>
        </is>
      </c>
      <c r="D56" s="10">
        <f>SUM(D6:D55)</f>
        <v/>
      </c>
      <c r="E56" s="9">
        <f>SUM(E6:E55)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50</v>
      </c>
      <c r="D7" s="5" t="inlineStr">
        <is>
          <t>Unique payroll IDs</t>
        </is>
      </c>
      <c r="E7" s="8" t="inlineStr">
        <is>
          <t>2037 Job Detail Report.pdf (Sage Timberline, 04/03/2026)</t>
        </is>
      </c>
    </row>
    <row r="8">
      <c r="B8" s="5" t="inlineStr">
        <is>
          <t>Total Labor Hours</t>
        </is>
      </c>
      <c r="C8" s="17" t="n">
        <v>14799</v>
      </c>
      <c r="D8" s="5" t="inlineStr">
        <is>
          <t>Sum of labor codes</t>
        </is>
      </c>
      <c r="E8" s="8" t="inlineStr">
        <is>
          <t>2037 Job Detail Report.pdf (Sage Timberline, 04/03/2026)</t>
        </is>
      </c>
    </row>
    <row r="9">
      <c r="B9" s="5" t="inlineStr">
        <is>
          <t>Total Gross Pay</t>
        </is>
      </c>
      <c r="C9" s="17" t="n">
        <v>440145.2499999999</v>
      </c>
      <c r="D9" s="5" t="inlineStr">
        <is>
          <t>Sum of labor codes</t>
        </is>
      </c>
      <c r="E9" s="8" t="inlineStr">
        <is>
          <t>2037 Job Detail Report.pdf (Sage Timberline, 04/03/2026)</t>
        </is>
      </c>
    </row>
    <row r="10">
      <c r="B10" s="5" t="inlineStr">
        <is>
          <t>Blended Gross Wage ($/hr)</t>
        </is>
      </c>
      <c r="C10" s="20" t="n">
        <v>29.74155348334347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0.1025069261436584</v>
      </c>
      <c r="D11" s="5" t="inlineStr">
        <is>
          <t>AN14 Anderson, Richard P (1517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0.4118690452057571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58.36148648648648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15.93314763231198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295.98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15.04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122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140.3326576120008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58.08151699439151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29.74155348334347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45.32407730252044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1.523931065937892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8156.5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1644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0.5511521048719508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0.4138845368052415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0.2119360809482743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0.2346302959914444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0.5861154631947585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(122)</t>
        </is>
      </c>
      <c r="C18" s="20" t="n">
        <v>17022.81147540984</v>
      </c>
      <c r="D18" s="14" t="inlineStr">
        <is>
          <t>USD</t>
        </is>
      </c>
      <c r="E18" s="8" t="inlineStr">
        <is>
          <t>122 units</t>
        </is>
      </c>
    </row>
    <row r="19">
      <c r="B19" s="5" t="inlineStr">
        <is>
          <t>Labor Hours per Unit</t>
        </is>
      </c>
      <c r="C19" s="17" t="n">
        <v>121.3032786885246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3607.747950819672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3994.067295081967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9977.333032786886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66.85655737704919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2017-01-09</t>
        </is>
      </c>
      <c r="D6" s="5" t="inlineStr">
        <is>
          <t>Marpac Construction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University Apartments (MYSA) plumbing (122 units) — per Div 22</t>
        </is>
      </c>
      <c r="H6" s="20" t="n">
        <v>1920850</v>
      </c>
      <c r="I6" s="8" t="inlineStr">
        <is>
          <t>2037-Marpac Construction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Marpac Construction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155933</v>
      </c>
      <c r="I7" s="8" t="inlineStr">
        <is>
          <t>2037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25 invoices to Marpac Construction. Retainage $103,839.15.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036885</t>
        </is>
      </c>
      <c r="C6" s="14" t="inlineStr">
        <is>
          <t>05/19/17</t>
        </is>
      </c>
      <c r="D6" s="15" t="n">
        <v>-62750</v>
      </c>
      <c r="E6" s="15" t="n">
        <v>-3137.5</v>
      </c>
      <c r="F6" s="14" t="n">
        <v>2</v>
      </c>
      <c r="G6" s="8" t="inlineStr">
        <is>
          <t>2037 Job Detail Report.pdf (Sage Timberline, 04/03/2026)</t>
        </is>
      </c>
    </row>
    <row r="7">
      <c r="B7" s="14" t="inlineStr">
        <is>
          <t>036903</t>
        </is>
      </c>
      <c r="C7" s="14" t="inlineStr">
        <is>
          <t>06/19/17</t>
        </is>
      </c>
      <c r="D7" s="15" t="n">
        <v>-23550</v>
      </c>
      <c r="E7" s="15" t="n">
        <v>-1177.5</v>
      </c>
      <c r="F7" s="14" t="n">
        <v>2</v>
      </c>
      <c r="G7" s="8" t="inlineStr">
        <is>
          <t>2037 Job Detail Report.pdf (Sage Timberline, 04/03/2026)</t>
        </is>
      </c>
    </row>
    <row r="8">
      <c r="B8" s="14" t="inlineStr">
        <is>
          <t>036929</t>
        </is>
      </c>
      <c r="C8" s="14" t="inlineStr">
        <is>
          <t>08/18/17</t>
        </is>
      </c>
      <c r="D8" s="15" t="n">
        <v>-46550</v>
      </c>
      <c r="E8" s="15" t="n">
        <v>-2327.5</v>
      </c>
      <c r="F8" s="14" t="n">
        <v>2</v>
      </c>
      <c r="G8" s="8" t="inlineStr">
        <is>
          <t>2037 Job Detail Report.pdf (Sage Timberline, 04/03/2026)</t>
        </is>
      </c>
    </row>
    <row r="9">
      <c r="B9" s="14" t="inlineStr">
        <is>
          <t>036950</t>
        </is>
      </c>
      <c r="C9" s="14" t="inlineStr">
        <is>
          <t>09/20/17</t>
        </is>
      </c>
      <c r="D9" s="15" t="n">
        <v>-6700</v>
      </c>
      <c r="E9" s="15" t="n">
        <v>-335</v>
      </c>
      <c r="F9" s="14" t="n">
        <v>1</v>
      </c>
      <c r="G9" s="8" t="inlineStr">
        <is>
          <t>2037 Job Detail Report.pdf (Sage Timberline, 04/03/2026)</t>
        </is>
      </c>
    </row>
    <row r="10">
      <c r="B10" s="14" t="inlineStr">
        <is>
          <t>036975</t>
        </is>
      </c>
      <c r="C10" s="14" t="inlineStr">
        <is>
          <t>11/17/17</t>
        </is>
      </c>
      <c r="D10" s="15" t="n">
        <v>-12100</v>
      </c>
      <c r="E10" s="15" t="n">
        <v>-605</v>
      </c>
      <c r="F10" s="14" t="n">
        <v>1</v>
      </c>
      <c r="G10" s="8" t="inlineStr">
        <is>
          <t>2037 Job Detail Report.pdf (Sage Timberline, 04/03/2026)</t>
        </is>
      </c>
    </row>
    <row r="11">
      <c r="B11" s="14" t="inlineStr">
        <is>
          <t>036995</t>
        </is>
      </c>
      <c r="C11" s="14" t="inlineStr">
        <is>
          <t>12/15/17</t>
        </is>
      </c>
      <c r="D11" s="15" t="n">
        <v>-27980</v>
      </c>
      <c r="E11" s="15" t="n">
        <v>-1399</v>
      </c>
      <c r="F11" s="14" t="n">
        <v>3</v>
      </c>
      <c r="G11" s="8" t="inlineStr">
        <is>
          <t>2037 Job Detail Report.pdf (Sage Timberline, 04/03/2026)</t>
        </is>
      </c>
    </row>
    <row r="12">
      <c r="B12" s="14" t="inlineStr">
        <is>
          <t>037004</t>
        </is>
      </c>
      <c r="C12" s="14" t="inlineStr">
        <is>
          <t>01/19/18</t>
        </is>
      </c>
      <c r="D12" s="15" t="n">
        <v>-9300</v>
      </c>
      <c r="E12" s="15" t="n">
        <v>-465</v>
      </c>
      <c r="F12" s="14" t="n">
        <v>1</v>
      </c>
      <c r="G12" s="8" t="inlineStr">
        <is>
          <t>2037 Job Detail Report.pdf (Sage Timberline, 04/03/2026)</t>
        </is>
      </c>
    </row>
    <row r="13">
      <c r="B13" s="14" t="inlineStr">
        <is>
          <t>037024</t>
        </is>
      </c>
      <c r="C13" s="14" t="inlineStr">
        <is>
          <t>02/20/18</t>
        </is>
      </c>
      <c r="D13" s="15" t="n">
        <v>-137040</v>
      </c>
      <c r="E13" s="15" t="n">
        <v>-6852</v>
      </c>
      <c r="F13" s="14" t="n">
        <v>3</v>
      </c>
      <c r="G13" s="8" t="inlineStr">
        <is>
          <t>2037 Job Detail Report.pdf (Sage Timberline, 04/03/2026)</t>
        </is>
      </c>
    </row>
    <row r="14">
      <c r="B14" s="14" t="inlineStr">
        <is>
          <t>037040</t>
        </is>
      </c>
      <c r="C14" s="14" t="inlineStr">
        <is>
          <t>03/20/18</t>
        </is>
      </c>
      <c r="D14" s="15" t="n">
        <v>-132480</v>
      </c>
      <c r="E14" s="15" t="n">
        <v>-6624</v>
      </c>
      <c r="F14" s="14" t="n">
        <v>4</v>
      </c>
      <c r="G14" s="8" t="inlineStr">
        <is>
          <t>2037 Job Detail Report.pdf (Sage Timberline, 04/03/2026)</t>
        </is>
      </c>
    </row>
    <row r="15">
      <c r="B15" s="14" t="inlineStr">
        <is>
          <t>037058</t>
        </is>
      </c>
      <c r="C15" s="14" t="inlineStr">
        <is>
          <t>04/20/18</t>
        </is>
      </c>
      <c r="D15" s="15" t="n">
        <v>-218050</v>
      </c>
      <c r="E15" s="15" t="n">
        <v>-10902.5</v>
      </c>
      <c r="F15" s="14" t="n">
        <v>8</v>
      </c>
      <c r="G15" s="8" t="inlineStr">
        <is>
          <t>2037 Job Detail Report.pdf (Sage Timberline, 04/03/2026)</t>
        </is>
      </c>
    </row>
    <row r="16">
      <c r="B16" s="14" t="inlineStr">
        <is>
          <t>037090</t>
        </is>
      </c>
      <c r="C16" s="14" t="inlineStr">
        <is>
          <t>05/18/18</t>
        </is>
      </c>
      <c r="D16" s="15" t="n">
        <v>-222546</v>
      </c>
      <c r="E16" s="15" t="n">
        <v>-11127.3</v>
      </c>
      <c r="F16" s="14" t="n">
        <v>10</v>
      </c>
      <c r="G16" s="8" t="inlineStr">
        <is>
          <t>2037 Job Detail Report.pdf (Sage Timberline, 04/03/2026)</t>
        </is>
      </c>
    </row>
    <row r="17">
      <c r="B17" s="14" t="inlineStr">
        <is>
          <t>037106</t>
        </is>
      </c>
      <c r="C17" s="14" t="inlineStr">
        <is>
          <t>06/20/18</t>
        </is>
      </c>
      <c r="D17" s="15" t="n">
        <v>-448210</v>
      </c>
      <c r="E17" s="15" t="n">
        <v>-22410.5</v>
      </c>
      <c r="F17" s="14" t="n">
        <v>7</v>
      </c>
      <c r="G17" s="8" t="inlineStr">
        <is>
          <t>2037 Job Detail Report.pdf (Sage Timberline, 04/03/2026)</t>
        </is>
      </c>
    </row>
    <row r="18">
      <c r="B18" s="14" t="inlineStr">
        <is>
          <t>037127</t>
        </is>
      </c>
      <c r="C18" s="14" t="inlineStr">
        <is>
          <t>07/20/18</t>
        </is>
      </c>
      <c r="D18" s="15" t="n">
        <v>-157585</v>
      </c>
      <c r="E18" s="15" t="n">
        <v>-7879.25</v>
      </c>
      <c r="F18" s="14" t="n">
        <v>11</v>
      </c>
      <c r="G18" s="8" t="inlineStr">
        <is>
          <t>2037 Job Detail Report.pdf (Sage Timberline, 04/03/2026)</t>
        </is>
      </c>
    </row>
    <row r="19">
      <c r="B19" s="14" t="inlineStr">
        <is>
          <t>037145</t>
        </is>
      </c>
      <c r="C19" s="14" t="inlineStr">
        <is>
          <t>07/20/18</t>
        </is>
      </c>
      <c r="D19" s="15" t="n">
        <v>157585</v>
      </c>
      <c r="E19" s="15" t="n">
        <v>7879.25</v>
      </c>
      <c r="F19" s="14" t="n">
        <v>11</v>
      </c>
      <c r="G19" s="8" t="inlineStr">
        <is>
          <t>2037 Job Detail Report.pdf (Sage Timberline, 04/03/2026)</t>
        </is>
      </c>
    </row>
    <row r="20">
      <c r="B20" s="14" t="inlineStr">
        <is>
          <t>037146</t>
        </is>
      </c>
      <c r="C20" s="14" t="inlineStr">
        <is>
          <t>07/20/18</t>
        </is>
      </c>
      <c r="D20" s="15" t="n">
        <v>-157585</v>
      </c>
      <c r="E20" s="15" t="n">
        <v>-7879.25</v>
      </c>
      <c r="F20" s="14" t="n">
        <v>11</v>
      </c>
      <c r="G20" s="8" t="inlineStr">
        <is>
          <t>2037 Job Detail Report.pdf (Sage Timberline, 04/03/2026)</t>
        </is>
      </c>
    </row>
    <row r="21">
      <c r="B21" s="14" t="inlineStr">
        <is>
          <t>037156</t>
        </is>
      </c>
      <c r="C21" s="14" t="inlineStr">
        <is>
          <t>08/20/18</t>
        </is>
      </c>
      <c r="D21" s="15" t="n">
        <v>-183130</v>
      </c>
      <c r="E21" s="15" t="n">
        <v>-9156.5</v>
      </c>
      <c r="F21" s="14" t="n">
        <v>12</v>
      </c>
      <c r="G21" s="8" t="inlineStr">
        <is>
          <t>2037 Job Detail Report.pdf (Sage Timberline, 04/03/2026)</t>
        </is>
      </c>
    </row>
    <row r="22">
      <c r="B22" s="14" t="inlineStr">
        <is>
          <t>037183</t>
        </is>
      </c>
      <c r="C22" s="14" t="inlineStr">
        <is>
          <t>09/19/18</t>
        </is>
      </c>
      <c r="D22" s="15" t="n">
        <v>-75300</v>
      </c>
      <c r="E22" s="15" t="n">
        <v>-3765</v>
      </c>
      <c r="F22" s="14" t="n">
        <v>7</v>
      </c>
      <c r="G22" s="8" t="inlineStr">
        <is>
          <t>2037 Job Detail Report.pdf (Sage Timberline, 04/03/2026)</t>
        </is>
      </c>
    </row>
    <row r="23">
      <c r="B23" s="14" t="inlineStr">
        <is>
          <t>037201</t>
        </is>
      </c>
      <c r="C23" s="14" t="inlineStr">
        <is>
          <t>10/19/18</t>
        </is>
      </c>
      <c r="D23" s="15" t="n">
        <v>-75040</v>
      </c>
      <c r="E23" s="15" t="n">
        <v>-3752</v>
      </c>
      <c r="F23" s="14" t="n">
        <v>4</v>
      </c>
      <c r="G23" s="8" t="inlineStr">
        <is>
          <t>2037 Job Detail Report.pdf (Sage Timberline, 04/03/2026)</t>
        </is>
      </c>
    </row>
    <row r="24">
      <c r="B24" s="14" t="inlineStr">
        <is>
          <t>037235</t>
        </is>
      </c>
      <c r="C24" s="14" t="inlineStr">
        <is>
          <t>11/16/18</t>
        </is>
      </c>
      <c r="D24" s="15" t="n">
        <v>-82890</v>
      </c>
      <c r="E24" s="15" t="n">
        <v>-4144.5</v>
      </c>
      <c r="F24" s="14" t="n">
        <v>6</v>
      </c>
      <c r="G24" s="8" t="inlineStr">
        <is>
          <t>2037 Job Detail Report.pdf (Sage Timberline, 04/03/2026)</t>
        </is>
      </c>
    </row>
    <row r="25">
      <c r="B25" s="14" t="inlineStr">
        <is>
          <t>037253</t>
        </is>
      </c>
      <c r="C25" s="14" t="inlineStr">
        <is>
          <t>12/14/18</t>
        </is>
      </c>
      <c r="D25" s="15" t="n">
        <v>-38598</v>
      </c>
      <c r="E25" s="15" t="n">
        <v>-1929.9</v>
      </c>
      <c r="F25" s="14" t="n">
        <v>4</v>
      </c>
      <c r="G25" s="8" t="inlineStr">
        <is>
          <t>2037 Job Detail Report.pdf (Sage Timberline, 04/03/2026)</t>
        </is>
      </c>
    </row>
    <row r="26">
      <c r="B26" s="14" t="inlineStr">
        <is>
          <t>037275</t>
        </is>
      </c>
      <c r="C26" s="14" t="inlineStr">
        <is>
          <t>01/18/19</t>
        </is>
      </c>
      <c r="D26" s="15" t="n">
        <v>-4981</v>
      </c>
      <c r="E26" s="15" t="n">
        <v>-249.05</v>
      </c>
      <c r="F26" s="14" t="n">
        <v>1</v>
      </c>
      <c r="G26" s="8" t="inlineStr">
        <is>
          <t>2037 Job Detail Report.pdf (Sage Timberline, 04/03/2026)</t>
        </is>
      </c>
    </row>
    <row r="27">
      <c r="B27" s="14" t="inlineStr">
        <is>
          <t>037298</t>
        </is>
      </c>
      <c r="C27" s="14" t="inlineStr">
        <is>
          <t>03/20/19</t>
        </is>
      </c>
      <c r="D27" s="15" t="n">
        <v>-65397</v>
      </c>
      <c r="E27" s="15" t="n">
        <v>-3269.849999999999</v>
      </c>
      <c r="F27" s="14" t="n">
        <v>11</v>
      </c>
      <c r="G27" s="8" t="inlineStr">
        <is>
          <t>2037 Job Detail Report.pdf (Sage Timberline, 04/03/2026)</t>
        </is>
      </c>
    </row>
    <row r="28">
      <c r="B28" s="14" t="inlineStr">
        <is>
          <t>037318</t>
        </is>
      </c>
      <c r="C28" s="14" t="inlineStr">
        <is>
          <t>04/19/19</t>
        </is>
      </c>
      <c r="D28" s="15" t="n">
        <v>-10958</v>
      </c>
      <c r="E28" s="15" t="n">
        <v>-547.9</v>
      </c>
      <c r="F28" s="14" t="n">
        <v>5</v>
      </c>
      <c r="G28" s="8" t="inlineStr">
        <is>
          <t>2037 Job Detail Report.pdf (Sage Timberline, 04/03/2026)</t>
        </is>
      </c>
    </row>
    <row r="29">
      <c r="B29" s="14" t="inlineStr">
        <is>
          <t>037363</t>
        </is>
      </c>
      <c r="C29" s="14" t="inlineStr">
        <is>
          <t>06/19/19</t>
        </is>
      </c>
      <c r="D29" s="15" t="n">
        <v>-15260</v>
      </c>
      <c r="E29" s="15" t="n">
        <v>-763</v>
      </c>
      <c r="F29" s="14" t="n">
        <v>4</v>
      </c>
      <c r="G29" s="8" t="inlineStr">
        <is>
          <t>2037 Job Detail Report.pdf (Sage Timberline, 04/03/2026)</t>
        </is>
      </c>
    </row>
    <row r="30">
      <c r="B30" s="14" t="inlineStr">
        <is>
          <t>037373</t>
        </is>
      </c>
      <c r="C30" s="14" t="inlineStr">
        <is>
          <t>07/19/19</t>
        </is>
      </c>
      <c r="D30" s="15" t="n">
        <v>-20388</v>
      </c>
      <c r="E30" s="15" t="n">
        <v>-1019.4</v>
      </c>
      <c r="F30" s="14" t="n">
        <v>6</v>
      </c>
      <c r="G30" s="8" t="inlineStr">
        <is>
          <t>2037 Job Detail Report.pdf (Sage Timberline, 04/03/2026)</t>
        </is>
      </c>
    </row>
    <row r="31">
      <c r="B31" s="18" t="inlineStr">
        <is>
          <t>TOTAL (signed)</t>
        </is>
      </c>
      <c r="D31" s="19">
        <f>SUM(D6:D30)</f>
        <v/>
      </c>
      <c r="E31" s="19">
        <f>SUM(E6:E30)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$859,548.37 on $2,076,783.00 revenue = 41.4% gross margin.</t>
        </is>
      </c>
      <c r="E6" s="26" t="inlineStr">
        <is>
          <t>Verified</t>
        </is>
      </c>
      <c r="F6" s="8" t="inlineStr">
        <is>
          <t>2037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$1,920,850.00 → final $2,076,783.00 = $+155,933.00 net (+8.12%).</t>
        </is>
      </c>
      <c r="E7" s="26" t="inlineStr">
        <is>
          <t>Verified</t>
        </is>
      </c>
      <c r="F7" s="8" t="inlineStr">
        <is>
          <t>2037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$440,145.25 (21.2% of rev) across 14,799 hrs and 50 workers. Blended wage $29.74/hr.</t>
        </is>
      </c>
      <c r="E8" s="26" t="inlineStr">
        <is>
          <t>Verified</t>
        </is>
      </c>
      <c r="F8" s="8" t="inlineStr">
        <is>
          <t>2037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~$328,936.84 (69% of AP). Top vendor: Rosen Supply Company, Inc. $University ($93,793.49).</t>
        </is>
      </c>
      <c r="E9" s="26" t="inlineStr">
        <is>
          <t>Verified</t>
        </is>
      </c>
      <c r="F9" s="8" t="inlineStr">
        <is>
          <t>2037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$103,839.15 = 5.0% of AR per JDR 04/03/2026 — legacy project, likely 7+ years stale.</t>
        </is>
      </c>
      <c r="E10" s="26" t="inlineStr">
        <is>
          <t>Verified</t>
        </is>
      </c>
      <c r="F10" s="8" t="inlineStr">
        <is>
          <t>2037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8,156 hrs (55% of labor hours).</t>
        </is>
      </c>
      <c r="E11" s="26" t="inlineStr">
        <is>
          <t>Verified</t>
        </is>
      </c>
      <c r="F11" s="8" t="inlineStr">
        <is>
          <t>2037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230 Finish Material = $273,944.52</t>
        </is>
      </c>
      <c r="E12" s="26" t="inlineStr">
        <is>
          <t>Verified</t>
        </is>
      </c>
      <c r="F12" s="8" t="inlineStr">
        <is>
          <t>2037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Anderson, Richard P = 1517 hrs (10% of total).</t>
        </is>
      </c>
      <c r="E13" s="26" t="inlineStr">
        <is>
          <t>Verified</t>
        </is>
      </c>
      <c r="F13" s="8" t="inlineStr">
        <is>
          <t>2037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Not Wrap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University Apartments (MYSA) — 122-unit multifamily + 5 townhomes, Seattle WA.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2037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2037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University Apartments (MYSA)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2037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Marpac Construction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MYSA University Apartments LP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3025 NE 130th Street, Seattle WA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(122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Not Wrap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Evan Chan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Doyle Gustafson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TBD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MYSA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Rick / Joe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2017-01-09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2037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2018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2037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24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122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1920850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2076783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155933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2037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0.08117916547361845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2076783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2037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1217234.63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2037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859548.3699999999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2037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0.4138845368052415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103839.15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2037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0.05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440145.2499999999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2037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487276.21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2037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59207.4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2037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196679.65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2037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33926.12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2037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14799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2037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50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2037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29.74155348334347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45.32407730252044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1.523931065937892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8156.5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2037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1644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2037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140.3326576120008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58.08151699439151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17022.81147540984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9977.333032786886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121.3032786885246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0.2119360809482743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0.2346302959914444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27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2037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25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2037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29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2037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2037RS</t>
        </is>
      </c>
      <c r="D6" s="5" t="inlineStr">
        <is>
          <t>Rosen Supply Company, Inc. $University</t>
        </is>
      </c>
      <c r="E6" s="15" t="n">
        <v>93793.49000000001</v>
      </c>
      <c r="F6" s="14" t="n">
        <v>40</v>
      </c>
      <c r="G6" s="16">
        <f>E6/478332.73000000004</f>
        <v/>
      </c>
      <c r="H6" s="8" t="inlineStr">
        <is>
          <t>2037 Job Detail Report.pdf (Sage Timberline, 04/03/2026)</t>
        </is>
      </c>
    </row>
    <row r="7">
      <c r="B7" s="14" t="n">
        <v>2</v>
      </c>
      <c r="C7" s="14" t="inlineStr">
        <is>
          <t>1231KS</t>
        </is>
      </c>
      <c r="D7" s="5" t="inlineStr">
        <is>
          <t>Keller Supply Company</t>
        </is>
      </c>
      <c r="E7" s="15" t="n">
        <v>93338.89</v>
      </c>
      <c r="F7" s="14" t="n">
        <v>41</v>
      </c>
      <c r="G7" s="16">
        <f>E7/478332.73000000004</f>
        <v/>
      </c>
      <c r="H7" s="8" t="inlineStr">
        <is>
          <t>2037 Job Detail Report.pdf (Sage Timberline, 04/03/2026)</t>
        </is>
      </c>
    </row>
    <row r="8">
      <c r="B8" s="14" t="n">
        <v>3</v>
      </c>
      <c r="C8" s="14" t="inlineStr">
        <is>
          <t>1380RS</t>
        </is>
      </c>
      <c r="D8" s="5" t="inlineStr">
        <is>
          <t>Rosen Supply Kirkland</t>
        </is>
      </c>
      <c r="E8" s="15" t="n">
        <v>58453.46</v>
      </c>
      <c r="F8" s="14" t="n">
        <v>70</v>
      </c>
      <c r="G8" s="16">
        <f>E8/478332.73000000004</f>
        <v/>
      </c>
      <c r="H8" s="8" t="inlineStr">
        <is>
          <t>2037 Job Detail Report.pdf (Sage Timberline, 04/03/2026)</t>
        </is>
      </c>
    </row>
    <row r="9">
      <c r="B9" s="14" t="n">
        <v>4</v>
      </c>
      <c r="C9" s="14" t="inlineStr">
        <is>
          <t>1625FE</t>
        </is>
      </c>
      <c r="D9" s="5" t="inlineStr">
        <is>
          <t>Franklin Engineering</t>
        </is>
      </c>
      <c r="E9" s="15" t="n">
        <v>44211.75</v>
      </c>
      <c r="F9" s="14" t="n">
        <v>14</v>
      </c>
      <c r="G9" s="16">
        <f>E9/478332.73000000004</f>
        <v/>
      </c>
      <c r="H9" s="8" t="inlineStr">
        <is>
          <t>2037 Job Detail Report.pdf (Sage Timberline, 04/03/2026)</t>
        </is>
      </c>
    </row>
    <row r="10">
      <c r="B10" s="14" t="n">
        <v>5</v>
      </c>
      <c r="C10" s="14" t="inlineStr">
        <is>
          <t>7230BB</t>
        </is>
      </c>
      <c r="D10" s="5" t="inlineStr">
        <is>
          <t>Best Bath Systems</t>
        </is>
      </c>
      <c r="E10" s="15" t="n">
        <v>39139.25</v>
      </c>
      <c r="F10" s="14" t="n">
        <v>3</v>
      </c>
      <c r="G10" s="16">
        <f>E10/478332.73000000004</f>
        <v/>
      </c>
      <c r="H10" s="8" t="inlineStr">
        <is>
          <t>2037 Job Detail Report.pdf (Sage Timberline, 04/03/2026)</t>
        </is>
      </c>
    </row>
    <row r="11">
      <c r="B11" s="14" t="n">
        <v>6</v>
      </c>
      <c r="C11" s="14" t="inlineStr">
        <is>
          <t>2037FE</t>
        </is>
      </c>
      <c r="D11" s="5" t="inlineStr">
        <is>
          <t>Ferguson Enterprises, Inc. $University</t>
        </is>
      </c>
      <c r="E11" s="15" t="n">
        <v>35851.78</v>
      </c>
      <c r="F11" s="14" t="n">
        <v>6</v>
      </c>
      <c r="G11" s="16">
        <f>E11/478332.73000000004</f>
        <v/>
      </c>
      <c r="H11" s="8" t="inlineStr">
        <is>
          <t>2037 Job Detail Report.pdf (Sage Timberline, 04/03/2026)</t>
        </is>
      </c>
    </row>
    <row r="12">
      <c r="B12" s="14" t="n">
        <v>7</v>
      </c>
      <c r="C12" s="14" t="inlineStr">
        <is>
          <t>2037CS</t>
        </is>
      </c>
      <c r="D12" s="5" t="inlineStr">
        <is>
          <t>Consolidated Supply Co. $University</t>
        </is>
      </c>
      <c r="E12" s="15" t="n">
        <v>26940.43</v>
      </c>
      <c r="F12" s="14" t="n">
        <v>13</v>
      </c>
      <c r="G12" s="16">
        <f>E12/478332.73000000004</f>
        <v/>
      </c>
      <c r="H12" s="8" t="inlineStr">
        <is>
          <t>2037 Job Detail Report.pdf (Sage Timberline, 04/03/2026)</t>
        </is>
      </c>
    </row>
    <row r="13">
      <c r="B13" s="14" t="n">
        <v>8</v>
      </c>
      <c r="C13" s="14" t="inlineStr">
        <is>
          <t>3612MS</t>
        </is>
      </c>
      <c r="D13" s="5" t="inlineStr">
        <is>
          <t>Mechanical Sales, Inc.</t>
        </is>
      </c>
      <c r="E13" s="15" t="n">
        <v>21350.99</v>
      </c>
      <c r="F13" s="14" t="n">
        <v>4</v>
      </c>
      <c r="G13" s="16">
        <f>E13/478332.73000000004</f>
        <v/>
      </c>
      <c r="H13" s="8" t="inlineStr">
        <is>
          <t>2037 Job Detail Report.pdf (Sage Timberline, 04/03/2026)</t>
        </is>
      </c>
    </row>
    <row r="14">
      <c r="B14" s="14" t="n">
        <v>9</v>
      </c>
      <c r="C14" s="14" t="inlineStr">
        <is>
          <t>1175FE</t>
        </is>
      </c>
      <c r="D14" s="5" t="inlineStr">
        <is>
          <t>Ferguson Enterprises, Inc. #3007</t>
        </is>
      </c>
      <c r="E14" s="15" t="n">
        <v>14532.28</v>
      </c>
      <c r="F14" s="14" t="n">
        <v>22</v>
      </c>
      <c r="G14" s="16">
        <f>E14/478332.73000000004</f>
        <v/>
      </c>
      <c r="H14" s="8" t="inlineStr">
        <is>
          <t>2037 Job Detail Report.pdf (Sage Timberline, 04/03/2026)</t>
        </is>
      </c>
    </row>
    <row r="15">
      <c r="B15" s="14" t="n">
        <v>10</v>
      </c>
      <c r="C15" s="14" t="inlineStr">
        <is>
          <t>1609QC</t>
        </is>
      </c>
      <c r="D15" s="5" t="inlineStr">
        <is>
          <t>Quality Concrete Products, Inc. $32</t>
        </is>
      </c>
      <c r="E15" s="15" t="n">
        <v>12766</v>
      </c>
      <c r="F15" s="14" t="n">
        <v>5</v>
      </c>
      <c r="G15" s="16">
        <f>E15/478332.73000000004</f>
        <v/>
      </c>
      <c r="H15" s="8" t="inlineStr">
        <is>
          <t>2037 Job Detail Report.pdf (Sage Timberline, 04/03/2026)</t>
        </is>
      </c>
    </row>
    <row r="16">
      <c r="B16" s="14" t="n">
        <v>11</v>
      </c>
      <c r="C16" s="14" t="inlineStr">
        <is>
          <t>2037KS</t>
        </is>
      </c>
      <c r="D16" s="5" t="inlineStr">
        <is>
          <t>Keller Supply Co. $University</t>
        </is>
      </c>
      <c r="E16" s="15" t="n">
        <v>11104.17</v>
      </c>
      <c r="F16" s="14" t="n">
        <v>9</v>
      </c>
      <c r="G16" s="16">
        <f>E16/478332.73000000004</f>
        <v/>
      </c>
      <c r="H16" s="8" t="inlineStr">
        <is>
          <t>2037 Job Detail Report.pdf (Sage Timberline, 04/03/2026)</t>
        </is>
      </c>
    </row>
    <row r="17">
      <c r="B17" s="14" t="n">
        <v>12</v>
      </c>
      <c r="C17" s="14" t="inlineStr">
        <is>
          <t>1234CO</t>
        </is>
      </c>
      <c r="D17" s="5" t="inlineStr">
        <is>
          <t>Capital One Credit Card</t>
        </is>
      </c>
      <c r="E17" s="15" t="n">
        <v>9409.73</v>
      </c>
      <c r="F17" s="14" t="n">
        <v>22</v>
      </c>
      <c r="G17" s="16">
        <f>E17/478332.73000000004</f>
        <v/>
      </c>
      <c r="H17" s="8" t="inlineStr">
        <is>
          <t>2037 Job Detail Report.pdf (Sage Timberline, 04/03/2026)</t>
        </is>
      </c>
    </row>
    <row r="18">
      <c r="B18" s="14" t="n">
        <v>13</v>
      </c>
      <c r="C18" s="14" t="inlineStr">
        <is>
          <t>1130CS</t>
        </is>
      </c>
      <c r="D18" s="5" t="inlineStr">
        <is>
          <t>Consolidated Supply Co.</t>
        </is>
      </c>
      <c r="E18" s="15" t="n">
        <v>4756.549999999999</v>
      </c>
      <c r="F18" s="14" t="n">
        <v>12</v>
      </c>
      <c r="G18" s="16">
        <f>E18/478332.73000000004</f>
        <v/>
      </c>
      <c r="H18" s="8" t="inlineStr">
        <is>
          <t>2037 Job Detail Report.pdf (Sage Timberline, 04/03/2026)</t>
        </is>
      </c>
    </row>
    <row r="19">
      <c r="B19" s="14" t="n">
        <v>14</v>
      </c>
      <c r="C19" s="14" t="inlineStr">
        <is>
          <t>5560CH</t>
        </is>
      </c>
      <c r="D19" s="5" t="inlineStr">
        <is>
          <t>California Hydronics Corp</t>
        </is>
      </c>
      <c r="E19" s="15" t="n">
        <v>4422.57</v>
      </c>
      <c r="F19" s="14" t="n">
        <v>4</v>
      </c>
      <c r="G19" s="16">
        <f>E19/478332.73000000004</f>
        <v/>
      </c>
      <c r="H19" s="8" t="inlineStr">
        <is>
          <t>2037 Job Detail Report.pdf (Sage Timberline, 04/03/2026)</t>
        </is>
      </c>
    </row>
    <row r="20">
      <c r="B20" s="14" t="n">
        <v>15</v>
      </c>
      <c r="C20" s="14" t="inlineStr">
        <is>
          <t>3129MR</t>
        </is>
      </c>
      <c r="D20" s="5" t="inlineStr">
        <is>
          <t>Mechanical Resource Services, Inc.</t>
        </is>
      </c>
      <c r="E20" s="15" t="n">
        <v>1712.5</v>
      </c>
      <c r="F20" s="14" t="n">
        <v>1</v>
      </c>
      <c r="G20" s="16">
        <f>E20/478332.73000000004</f>
        <v/>
      </c>
      <c r="H20" s="8" t="inlineStr">
        <is>
          <t>2037 Job Detail Report.pdf (Sage Timberline, 04/03/2026)</t>
        </is>
      </c>
    </row>
    <row r="21">
      <c r="B21" s="14" t="n">
        <v>16</v>
      </c>
      <c r="C21" s="14" t="inlineStr">
        <is>
          <t>1234CI</t>
        </is>
      </c>
      <c r="D21" s="5" t="inlineStr">
        <is>
          <t>Citibank Credit Card</t>
        </is>
      </c>
      <c r="E21" s="15" t="n">
        <v>1570.69</v>
      </c>
      <c r="F21" s="14" t="n">
        <v>1</v>
      </c>
      <c r="G21" s="16">
        <f>E21/478332.73000000004</f>
        <v/>
      </c>
      <c r="H21" s="8" t="inlineStr">
        <is>
          <t>2037 Job Detail Report.pdf (Sage Timberline, 04/03/2026)</t>
        </is>
      </c>
    </row>
    <row r="22">
      <c r="B22" s="14" t="n">
        <v>17</v>
      </c>
      <c r="C22" s="14" t="inlineStr">
        <is>
          <t>3181SC</t>
        </is>
      </c>
      <c r="D22" s="5" t="inlineStr">
        <is>
          <t>Scan2Core, Inc.</t>
        </is>
      </c>
      <c r="E22" s="15" t="n">
        <v>1278</v>
      </c>
      <c r="F22" s="14" t="n">
        <v>2</v>
      </c>
      <c r="G22" s="16">
        <f>E22/478332.73000000004</f>
        <v/>
      </c>
      <c r="H22" s="8" t="inlineStr">
        <is>
          <t>2037 Job Detail Report.pdf (Sage Timberline, 04/03/2026)</t>
        </is>
      </c>
    </row>
    <row r="23">
      <c r="B23" s="14" t="n">
        <v>18</v>
      </c>
      <c r="C23" s="14" t="inlineStr">
        <is>
          <t>1799AW</t>
        </is>
      </c>
      <c r="D23" s="5" t="inlineStr">
        <is>
          <t>AllWest Underground, Inc.</t>
        </is>
      </c>
      <c r="E23" s="15" t="n">
        <v>1208.69</v>
      </c>
      <c r="F23" s="14" t="n">
        <v>3</v>
      </c>
      <c r="G23" s="16">
        <f>E23/478332.73000000004</f>
        <v/>
      </c>
      <c r="H23" s="8" t="inlineStr">
        <is>
          <t>2037 Job Detail Report.pdf (Sage Timberline, 04/03/2026)</t>
        </is>
      </c>
    </row>
    <row r="24">
      <c r="B24" s="14" t="n">
        <v>19</v>
      </c>
      <c r="C24" s="14" t="inlineStr">
        <is>
          <t>1504CA</t>
        </is>
      </c>
      <c r="D24" s="5" t="inlineStr">
        <is>
          <t>Chip Away Bathtub Repair, Inc.</t>
        </is>
      </c>
      <c r="E24" s="15" t="n">
        <v>725</v>
      </c>
      <c r="F24" s="14" t="n">
        <v>1</v>
      </c>
      <c r="G24" s="16">
        <f>E24/478332.73000000004</f>
        <v/>
      </c>
      <c r="H24" s="8" t="inlineStr">
        <is>
          <t>2037 Job Detail Report.pdf (Sage Timberline, 04/03/2026)</t>
        </is>
      </c>
    </row>
    <row r="25">
      <c r="B25" s="14" t="n">
        <v>20</v>
      </c>
      <c r="C25" s="14" t="inlineStr">
        <is>
          <t>4320MC</t>
        </is>
      </c>
      <c r="D25" s="5" t="inlineStr">
        <is>
          <t>MAD Concrete Cutting &amp; Coring, Inc.</t>
        </is>
      </c>
      <c r="E25" s="15" t="n">
        <v>450</v>
      </c>
      <c r="F25" s="14" t="n">
        <v>1</v>
      </c>
      <c r="G25" s="16">
        <f>E25/478332.73000000004</f>
        <v/>
      </c>
      <c r="H25" s="8" t="inlineStr">
        <is>
          <t>2037 Job Detail Report.pdf (Sage Timberline, 04/03/2026)</t>
        </is>
      </c>
    </row>
    <row r="26">
      <c r="B26" s="14" t="n">
        <v>21</v>
      </c>
      <c r="C26" s="14" t="inlineStr">
        <is>
          <t>2046RS</t>
        </is>
      </c>
      <c r="D26" s="5" t="inlineStr">
        <is>
          <t>Rosen Supply Company, Inc. $4218 Rooseve</t>
        </is>
      </c>
      <c r="E26" s="15" t="n">
        <v>351.16</v>
      </c>
      <c r="F26" s="14" t="n">
        <v>1</v>
      </c>
      <c r="G26" s="16">
        <f>E26/478332.73000000004</f>
        <v/>
      </c>
      <c r="H26" s="8" t="inlineStr">
        <is>
          <t>2037 Job Detail Report.pdf (Sage Timberline, 04/03/2026)</t>
        </is>
      </c>
    </row>
    <row r="27">
      <c r="B27" s="14" t="n">
        <v>22</v>
      </c>
      <c r="C27" s="14" t="inlineStr">
        <is>
          <t>5621HD</t>
        </is>
      </c>
      <c r="D27" s="5" t="inlineStr">
        <is>
          <t>Core &amp; Main LP $HD Supply Waterworks</t>
        </is>
      </c>
      <c r="E27" s="15" t="n">
        <v>332.1</v>
      </c>
      <c r="F27" s="14" t="n">
        <v>3</v>
      </c>
      <c r="G27" s="16">
        <f>E27/478332.73000000004</f>
        <v/>
      </c>
      <c r="H27" s="8" t="inlineStr">
        <is>
          <t>2037 Job Detail Report.pdf (Sage Timberline, 04/03/2026)</t>
        </is>
      </c>
    </row>
    <row r="28">
      <c r="B28" s="14" t="n">
        <v>23</v>
      </c>
      <c r="C28" s="14" t="inlineStr">
        <is>
          <t>1421RA</t>
        </is>
      </c>
      <c r="D28" s="5" t="inlineStr">
        <is>
          <t>R.A. Brown Backflow Testing</t>
        </is>
      </c>
      <c r="E28" s="15" t="n">
        <v>255</v>
      </c>
      <c r="F28" s="14" t="n">
        <v>2</v>
      </c>
      <c r="G28" s="16">
        <f>E28/478332.73000000004</f>
        <v/>
      </c>
      <c r="H28" s="8" t="inlineStr">
        <is>
          <t>2037 Job Detail Report.pdf (Sage Timberline, 04/03/2026)</t>
        </is>
      </c>
    </row>
    <row r="29">
      <c r="B29" s="14" t="n">
        <v>24</v>
      </c>
      <c r="C29" s="14" t="inlineStr">
        <is>
          <t>1288DR</t>
        </is>
      </c>
      <c r="D29" s="5" t="inlineStr">
        <is>
          <t>DRSi</t>
        </is>
      </c>
      <c r="E29" s="15" t="n">
        <v>157.36</v>
      </c>
      <c r="F29" s="14" t="n">
        <v>2</v>
      </c>
      <c r="G29" s="16">
        <f>E29/478332.73000000004</f>
        <v/>
      </c>
      <c r="H29" s="8" t="inlineStr">
        <is>
          <t>2037 Job Detail Report.pdf (Sage Timberline, 04/03/2026)</t>
        </is>
      </c>
    </row>
    <row r="30">
      <c r="B30" s="14" t="n">
        <v>25</v>
      </c>
      <c r="C30" s="14" t="inlineStr">
        <is>
          <t>2132MH</t>
        </is>
      </c>
      <c r="D30" s="5" t="inlineStr">
        <is>
          <t>Manor Hardware &amp; Construction Supply</t>
        </is>
      </c>
      <c r="E30" s="15" t="n">
        <v>155</v>
      </c>
      <c r="F30" s="14" t="n">
        <v>1</v>
      </c>
      <c r="G30" s="16">
        <f>E30/478332.73000000004</f>
        <v/>
      </c>
      <c r="H30" s="8" t="inlineStr">
        <is>
          <t>2037 Job Detail Report.pdf (Sage Timberline, 04/03/2026)</t>
        </is>
      </c>
    </row>
    <row r="31">
      <c r="B31" s="14" t="n">
        <v>26</v>
      </c>
      <c r="C31" s="14" t="inlineStr">
        <is>
          <t>1021AT</t>
        </is>
      </c>
      <c r="D31" s="5" t="inlineStr">
        <is>
          <t>ACME Corp</t>
        </is>
      </c>
      <c r="E31" s="15" t="n">
        <v>65.89</v>
      </c>
      <c r="F31" s="14" t="n">
        <v>1</v>
      </c>
      <c r="G31" s="16">
        <f>E31/478332.73000000004</f>
        <v/>
      </c>
      <c r="H31" s="8" t="inlineStr">
        <is>
          <t>2037 Job Detail Report.pdf (Sage Timberline, 04/03/2026)</t>
        </is>
      </c>
    </row>
    <row r="32">
      <c r="B32" s="14" t="n">
        <v>27</v>
      </c>
      <c r="C32" s="14" t="inlineStr">
        <is>
          <t>2036CS</t>
        </is>
      </c>
      <c r="D32" s="5" t="inlineStr">
        <is>
          <t>Consolidated Supply Co. $Westridge</t>
        </is>
      </c>
      <c r="E32" s="15" t="n">
        <v>0</v>
      </c>
      <c r="F32" s="14" t="n">
        <v>2</v>
      </c>
      <c r="G32" s="16">
        <f>E32/478332.73000000004</f>
        <v/>
      </c>
      <c r="H32" s="8" t="inlineStr">
        <is>
          <t>2037 Job Detail Report.pdf (Sage Timberline, 04/03/2026)</t>
        </is>
      </c>
    </row>
    <row r="33">
      <c r="B33" s="18" t="inlineStr">
        <is>
          <t>TOTAL</t>
        </is>
      </c>
      <c r="E33" s="9">
        <f>SUM(E6:E32)</f>
        <v/>
      </c>
      <c r="F33" s="23">
        <f>SUM(F6:F32)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2017-01-09</t>
        </is>
      </c>
      <c r="E6" s="5" t="inlineStr">
        <is>
          <t>Prime subcontract — Lump Sum $1,920,850.00</t>
        </is>
      </c>
      <c r="F6" s="5" t="inlineStr">
        <is>
          <t>Marpac Construction</t>
        </is>
      </c>
      <c r="G6" s="15" t="n">
        <v>1920850</v>
      </c>
      <c r="H6" s="14" t="inlineStr">
        <is>
          <t>Executed</t>
        </is>
      </c>
      <c r="I6" s="8" t="inlineStr">
        <is>
          <t>2037-Marpac Construction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$+155,933.00</t>
        </is>
      </c>
      <c r="F7" s="5" t="inlineStr">
        <is>
          <t>Marpac Construction</t>
        </is>
      </c>
      <c r="G7" s="15" t="n">
        <v>155933</v>
      </c>
      <c r="H7" s="14" t="inlineStr">
        <is>
          <t>Executed</t>
        </is>
      </c>
      <c r="I7" s="8" t="inlineStr">
        <is>
          <t>2037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01/18/19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2037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12/15/17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2037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$103,839.15 open</t>
        </is>
      </c>
      <c r="F10" s="5" t="inlineStr">
        <is>
          <t>GC</t>
        </is>
      </c>
      <c r="G10" s="15" t="n">
        <v>0</v>
      </c>
      <c r="H10" s="14" t="inlineStr">
        <is>
          <t>Outstanding</t>
        </is>
      </c>
      <c r="I10" s="8" t="inlineStr">
        <is>
          <t>2037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155933</v>
      </c>
      <c r="E6" s="5" t="inlineStr">
        <is>
          <t>JDR-implied net CO impact</t>
        </is>
      </c>
      <c r="F6" s="8" t="inlineStr">
        <is>
          <t>$1,920,850 → $2,076,783</t>
        </is>
      </c>
    </row>
    <row r="7">
      <c r="B7" s="5" t="inlineStr">
        <is>
          <t>Labor</t>
        </is>
      </c>
      <c r="C7" s="5" t="inlineStr">
        <is>
          <t>100,101,110,111,112,120,130,140,141,142,143,150</t>
        </is>
      </c>
      <c r="D7" s="15" t="n">
        <v>-80854.75</v>
      </c>
      <c r="E7" s="5" t="inlineStr">
        <is>
          <t>Labor variance vs revised budget</t>
        </is>
      </c>
      <c r="F7" s="8" t="inlineStr">
        <is>
          <t>50 workers</t>
        </is>
      </c>
    </row>
    <row r="8">
      <c r="B8" s="5" t="inlineStr">
        <is>
          <t>Material</t>
        </is>
      </c>
      <c r="C8" s="5" t="inlineStr">
        <is>
          <t>210,211,212,220,230,240,241,242,243</t>
        </is>
      </c>
      <c r="D8" s="15" t="n">
        <v>-155924.79</v>
      </c>
      <c r="E8" s="5" t="inlineStr">
        <is>
          <t>Material procurement variance</t>
        </is>
      </c>
      <c r="F8" s="8" t="inlineStr">
        <is>
          <t>27 vendors</t>
        </is>
      </c>
    </row>
    <row r="9">
      <c r="B9" s="5" t="inlineStr">
        <is>
          <t>Overhead</t>
        </is>
      </c>
      <c r="C9" s="5" t="inlineStr">
        <is>
          <t>600,601,602,603,607</t>
        </is>
      </c>
      <c r="D9" s="15" t="n">
        <v>-10572.6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-50445.03999999999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155933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12</v>
      </c>
      <c r="D17" s="15" t="n">
        <v>-80854.75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9</v>
      </c>
      <c r="D18" s="15" t="n">
        <v>-155924.79</v>
      </c>
      <c r="E18" s="5" t="inlineStr">
        <is>
          <t>27 vendors</t>
        </is>
      </c>
    </row>
    <row r="19">
      <c r="B19" s="5" t="inlineStr">
        <is>
          <t>OWP burden accrual</t>
        </is>
      </c>
      <c r="C19" s="14" t="n">
        <v>2</v>
      </c>
      <c r="D19" s="15" t="n">
        <v>-50445.03999999999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5</v>
      </c>
      <c r="D20" s="15" t="n">
        <v>-10572.6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8.12%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+8.12% net</t>
        </is>
      </c>
    </row>
    <row r="8">
      <c r="B8" s="5" t="inlineStr">
        <is>
          <t>Labor % of Revenue</t>
        </is>
      </c>
      <c r="C8" s="32" t="n">
        <v>0.2119360809482743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21.2%</t>
        </is>
      </c>
    </row>
    <row r="9">
      <c r="B9" s="5" t="inlineStr">
        <is>
          <t>GL Overhead % of Revenue</t>
        </is>
      </c>
      <c r="C9" s="32" t="n">
        <v>0.1548224585813733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15.5%</t>
        </is>
      </c>
    </row>
    <row r="10">
      <c r="B10" s="5" t="inlineStr">
        <is>
          <t>Vendor Concentration (Top 5)</t>
        </is>
      </c>
      <c r="C10" s="32" t="n">
        <v>0.687673703616309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69% of AP</t>
        </is>
      </c>
    </row>
    <row r="11">
      <c r="B11" s="5" t="inlineStr">
        <is>
          <t>Retainage %</t>
        </is>
      </c>
      <c r="C11" s="32" t="n">
        <v>0.05</v>
      </c>
      <c r="D11" s="14" t="inlineStr">
        <is>
          <t>&lt;10%</t>
        </is>
      </c>
      <c r="E11" s="26" t="inlineStr">
        <is>
          <t>HEALTHY</t>
        </is>
      </c>
      <c r="F11" s="5" t="inlineStr">
        <is>
          <t>5.0%</t>
        </is>
      </c>
    </row>
    <row r="12">
      <c r="B12" s="5" t="inlineStr">
        <is>
          <t>Gross Margin</t>
        </is>
      </c>
      <c r="C12" s="32" t="n">
        <v>0.4138845368052415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41.4%</t>
        </is>
      </c>
    </row>
    <row r="13">
      <c r="B13" s="5" t="inlineStr">
        <is>
          <t>Labor Hrs Total</t>
        </is>
      </c>
      <c r="C13" s="32" t="n">
        <v>14799</v>
      </c>
      <c r="D13" s="14" t="inlineStr">
        <is>
          <t>varies</t>
        </is>
      </c>
      <c r="E13" s="33" t="inlineStr">
        <is>
          <t>INFO</t>
        </is>
      </c>
      <c r="F13" s="5" t="inlineStr">
        <is>
          <t>14,799 hrs, 50 workers</t>
        </is>
      </c>
    </row>
    <row r="14">
      <c r="B14" s="5" t="inlineStr">
        <is>
          <t>Worker Concentration (top 1)</t>
        </is>
      </c>
      <c r="C14" s="32" t="n">
        <v>0.1025069261436584</v>
      </c>
      <c r="D14" s="14" t="inlineStr">
        <is>
          <t>&lt;25%</t>
        </is>
      </c>
      <c r="E14" s="26" t="inlineStr">
        <is>
          <t>HEALTHY</t>
        </is>
      </c>
      <c r="F14" s="5" t="inlineStr">
        <is>
          <t>10.3% (Anderson, Richard P)</t>
        </is>
      </c>
    </row>
    <row r="15">
      <c r="B15" s="5" t="inlineStr">
        <is>
          <t>Rough-in Labor Share</t>
        </is>
      </c>
      <c r="C15" s="32" t="n">
        <v>0.5511521048719508</v>
      </c>
      <c r="D15" s="14" t="inlineStr">
        <is>
          <t>40-65%</t>
        </is>
      </c>
      <c r="E15" s="26" t="inlineStr">
        <is>
          <t>HEALTHY</t>
        </is>
      </c>
      <c r="F15" s="5" t="inlineStr">
        <is>
          <t>55%</t>
        </is>
      </c>
    </row>
    <row r="16">
      <c r="B16" s="5" t="inlineStr">
        <is>
          <t>Retainage Legacy</t>
        </is>
      </c>
      <c r="C16" s="14" t="inlineStr">
        <is>
          <t>STALE</t>
        </is>
      </c>
      <c r="D16" s="14" t="inlineStr">
        <is>
          <t>&lt;90 days post-closeout</t>
        </is>
      </c>
      <c r="E16" s="34" t="inlineStr">
        <is>
          <t>ELEVATED</t>
        </is>
      </c>
      <c r="F16" s="5" t="inlineStr">
        <is>
          <t>$103,839 outstanding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0.4138845368052415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41.4%</t>
        </is>
      </c>
    </row>
    <row r="22">
      <c r="B22" s="5" t="inlineStr">
        <is>
          <t>Retainage collection</t>
        </is>
      </c>
      <c r="C22" s="14" t="inlineStr">
        <is>
          <t>$103,839 open</t>
        </is>
      </c>
      <c r="D22" s="14" t="inlineStr">
        <is>
          <t>Low</t>
        </is>
      </c>
      <c r="E22" s="14" t="inlineStr">
        <is>
          <t>Legacy project</t>
        </is>
      </c>
      <c r="F22" s="5" t="inlineStr">
        <is>
          <t>May require LOI/writedown</t>
        </is>
      </c>
    </row>
    <row r="23">
      <c r="B23" s="5" t="inlineStr">
        <is>
          <t>Unit-level economics</t>
        </is>
      </c>
      <c r="C23" s="14" t="inlineStr">
        <is>
          <t>$17,023/unit rev, $7,045/unit profit</t>
        </is>
      </c>
      <c r="D23" s="14" t="inlineStr">
        <is>
          <t>Verified</t>
        </is>
      </c>
      <c r="E23" s="14" t="inlineStr">
        <is>
          <t>122 units</t>
        </is>
      </c>
      <c r="F23" s="5" t="inlineStr">
        <is>
          <t>Multifamily New Construction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2037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2037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University Apartments (MYSA)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2037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Marpac Construction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MYSA University Apartments LP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3025 NE 130th Street, Seattle WA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Multifamily New Construction (122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Not Wrap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Evan Chan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Doyle Gustafson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TBD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MYSA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Rick / Joe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2017-01-09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2037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2018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2037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24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122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1920850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2076783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155933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2037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0.08117916547361845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2076783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2037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1217234.63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2037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859548.3699999999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2037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0.4138845368052415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103839.15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2037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0.05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440145.2499999999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2037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487276.21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2037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59207.4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2037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196679.65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2037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33926.12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2037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14799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2037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50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2037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29.74155348334347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45.32407730252044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1.523931065937892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8156.5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2037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1644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2037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140.3326576120008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58.08151699439151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17022.81147540984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9977.333032786886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121.3032786885246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0.2119360809482743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0.2346302959914444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27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2037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25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2037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0.1025069261436584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0.4118690452057571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29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2037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2076783</v>
      </c>
      <c r="E6" s="20" t="n">
        <v>2076783</v>
      </c>
      <c r="F6" s="15">
        <f>D6-E6</f>
        <v/>
      </c>
      <c r="G6" s="14">
        <f>IF(ABS(F6)&lt;=1,"TIES",IF(ABS(F6)&lt;=ABS(E6)*0.05,"WITHIN","OFF"))</f>
        <v/>
      </c>
      <c r="H6" s="35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1217234.63</v>
      </c>
      <c r="E7" s="20" t="n">
        <v>1217234.63</v>
      </c>
      <c r="F7" s="15">
        <f>D7-E7</f>
        <v/>
      </c>
      <c r="G7" s="14">
        <f>IF(ABS(F7)&lt;=1,"TIES",IF(ABS(F7)&lt;=ABS(E7)*0.05,"WITHIN","OFF"))</f>
        <v/>
      </c>
      <c r="H7" s="35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859548.3699999999</v>
      </c>
      <c r="E8" s="20" t="n">
        <v>859548.3699999999</v>
      </c>
      <c r="F8" s="15">
        <f>D8-E8</f>
        <v/>
      </c>
      <c r="G8" s="14">
        <f>IF(ABS(F8)&lt;=1,"TIES",IF(ABS(F8)&lt;=ABS(E8)*0.05,"WITHIN","OFF"))</f>
        <v/>
      </c>
      <c r="H8" s="35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2076783</v>
      </c>
      <c r="E9" s="20" t="n">
        <v>2076783</v>
      </c>
      <c r="F9" s="15">
        <f>D9-E9</f>
        <v/>
      </c>
      <c r="G9" s="14">
        <f>IF(ABS(F9)&lt;=1,"TIES",IF(ABS(F9)&lt;=ABS(E9)*0.05,"WITHIN","OFF"))</f>
        <v/>
      </c>
      <c r="H9" s="35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14799</v>
      </c>
      <c r="E10" s="20" t="n">
        <v>14335</v>
      </c>
      <c r="F10" s="15">
        <f>D10-E10</f>
        <v/>
      </c>
      <c r="G10" s="14">
        <f>IF(ABS(F10)&lt;=1,"TIES",IF(ABS(F10)&lt;=ABS(E10)*0.05,"WITHIN","OFF"))</f>
        <v/>
      </c>
      <c r="H10" s="35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0" t="n">
        <v>155933</v>
      </c>
      <c r="E11" s="20" t="n">
        <v>155933</v>
      </c>
      <c r="F11" s="15">
        <f>D11-E11</f>
        <v/>
      </c>
      <c r="G11" s="14">
        <f>IF(ABS(F11)&lt;=1,"TIES",IF(ABS(F11)&lt;=ABS(E11)*0.05,"WITHIN","OFF"))</f>
        <v/>
      </c>
      <c r="H11" s="35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50</v>
      </c>
      <c r="E12" s="24" t="n">
        <v>50</v>
      </c>
      <c r="F12" s="15">
        <f>D12-E12</f>
        <v/>
      </c>
      <c r="G12" s="14">
        <f>IF(ABS(F12)&lt;=1,"TIES",IF(ABS(F12)&lt;=ABS(E12)*0.05,"WITHIN","OFF"))</f>
        <v/>
      </c>
      <c r="H12" s="35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29</v>
      </c>
      <c r="E13" s="24" t="n">
        <v>29</v>
      </c>
      <c r="F13" s="15">
        <f>D13-E13</f>
        <v/>
      </c>
      <c r="G13" s="14">
        <f>IF(ABS(F13)&lt;=1,"TIES",IF(ABS(F13)&lt;=ABS(E13)*0.05,"WITHIN","OFF"))</f>
        <v/>
      </c>
      <c r="H13" s="35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2026-04-17T21:20:49Z</dcterms:modified>
</cp:coreProperties>
</file>