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<sst xmlns="http://schemas.openxmlformats.org/spreadsheetml/2006/main" count="232" uniqueCount="182">
  <si>
    <t xml:space="preserve">OWP #2105 · Compass, 3000 Western</t>
  </si>
  <si>
    <t xml:space="preserve">Compass General Construction 1, LLC · 219 units · CANCELLED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</si>
  <si>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</si>
  <si>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</si>
  <si>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</si>
  <si>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</si>
  <si>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</si>
  <si>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</si>
  <si>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</si>
  <si>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</si>
  <si>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</si>
  <si>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</si>
  <si>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</si>
  <si>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</si>
  <si>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</si>
  <si>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</si>
  <si>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</si>
  <si>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</si>
  <si>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</si>
  <si>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</si>
  <si>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Information</t>
  </si>
  <si>
    <t xml:space="preserve">Job ID</t>
  </si>
  <si>
    <t xml:space="preserve">2105</t>
  </si>
  <si>
    <t xml:space="preserve">Project name</t>
  </si>
  <si>
    <t xml:space="preserve">Compass, 3000 Western</t>
  </si>
  <si>
    <t xml:space="preserve">General contractor</t>
  </si>
  <si>
    <t xml:space="preserve">Compass General Construction 1, LLC</t>
  </si>
  <si>
    <t xml:space="preserve">Owner</t>
  </si>
  <si>
    <t xml:space="preserve">3000 Western LLC</t>
  </si>
  <si>
    <t xml:space="preserve">Units</t>
  </si>
  <si>
    <t xml:space="preserve">Insurance</t>
  </si>
  <si>
    <t xml:space="preserve">Standard COI</t>
  </si>
  <si>
    <t xml:space="preserve">Job start</t>
  </si>
  <si>
    <t xml:space="preserve">N/A (cancelled)</t>
  </si>
  <si>
    <t xml:space="preserve">Expected completion</t>
  </si>
  <si>
    <t xml:space="preserve">CANCELLED</t>
  </si>
  <si>
    <t xml:space="preserve">Architect</t>
  </si>
  <si>
    <t xml:space="preserve">Encore Architects</t>
  </si>
  <si>
    <t xml:space="preserve">MEP Engineer</t>
  </si>
  <si>
    <t xml:space="preserve">GLUMAC / Franklin Engineering</t>
  </si>
  <si>
    <t xml:space="preserve">Status</t>
  </si>
  <si>
    <t xml:space="preserve">JDR report date</t>
  </si>
  <si>
    <t xml:space="preserve">Apr 3, 2026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</si>
  <si>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</si>
  <si>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</si>
  <si>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</si>
  <si>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</si>
  <si>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</si>
  <si>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</si>
  <si>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</si>
  <si>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</si>
  <si>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</si>
  <si>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</si>
  <si>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</si>
  <si>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</si>
  <si>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</si>
  <si>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</si>
  <si>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</si>
  <si>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</si>
  <si>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</si>
  <si>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</si>
  <si>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</si>
  <si>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</si>
  <si>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</si>
  <si>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</si>
  <si>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</si>
  <si>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date</t>
  </si>
  <si>
    <t xml:space="preserve">type</t>
  </si>
  <si>
    <t xml:space="preserve">ref</t>
  </si>
  <si>
    <t xml:space="preserve">desc</t>
  </si>
  <si>
    <t xml:space="preserve">amount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</si>
  <si>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</si>
  <si>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</si>
  <si>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</si>
  <si>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</si>
  <si>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</si>
  <si>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</si>
  <si>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</si>
  <si>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</si>
  <si>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</si>
  <si>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</si>
  <si>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142</t>
  </si>
  <si>
    <t xml:space="preserve">Mech Room Labor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</si>
  <si>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</si>
  <si>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</si>
  <si>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</si>
  <si>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</si>
  <si>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</si>
  <si>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</si>
  <si>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</si>
  <si>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</si>
  <si>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</si>
  <si>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</si>
  <si>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</si>
  <si>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</si>
  <si>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</si>
  <si>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</si>
  <si>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</si>
  <si>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</si>
  <si>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</si>
  <si>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</si>
  <si>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</si>
  <si>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</si>
  <si>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</si>
  <si>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</si>
  <si>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</si>
  <si>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</si>
  <si>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</si>
  <si>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Franklin Engineering</t>
  </si>
  <si>
    <t xml:space="preserve">Bank of America CC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</si>
  <si>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</si>
  <si>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</si>
  <si>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</si>
  <si>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</si>
  <si>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</si>
  <si>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</si>
  <si>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</si>
  <si>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Barnhart, Joseph N</t>
  </si>
  <si>
    <t xml:space="preserve">LEAD/SUPERVISOR</t>
  </si>
  <si>
    <t xml:space="preserve">Gerard, Jeffrey S</t>
  </si>
  <si>
    <t xml:space="preserve">Wage Tier Distribution</t>
  </si>
  <si>
    <t xml:space="preserve"># Workers</t>
  </si>
  <si>
    <t xml:space="preserve">% of Hours</t>
  </si>
  <si>
    <t xml:space="preserve">JOURNEYMAN</t>
  </si>
  <si>
    <t xml:space="preserve">APPRENTICE/HELPER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</si>
  <si>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</si>
  <si>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</si>
  <si>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</si>
  <si>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</si>
  <si>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</si>
  <si>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</si>
  <si>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</si>
  <si>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</si>
  <si>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</si>
  <si>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</si>
  <si>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</si>
  <si>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</si>
  <si>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</si>
  <si>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</si>
  <si>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(cancelled project)</t>
  </si>
  <si>
    <t xml:space="preserve">Signal</t>
  </si>
  <si>
    <t xml:space="preserve">Notes</t>
  </si>
  <si>
    <t xml:space="preserve">Engineering/Plans (601) unbudgeted</t>
  </si>
  <si>
    <t xml:space="preserve">⚠ WATCH</t>
  </si>
  <si>
    <t xml:space="preserve">No revised budget but $131,071 actual spend — needs CO or budget transfer</t>
  </si>
  <si>
    <t xml:space="preserve">Top vendor concentration (Franklin Engineering)</t>
  </si>
  <si>
    <t xml:space="preserve">93% of AP ($131,071) — high, monitor</t>
  </si>
  <si>
    <t xml:space="preserve">Retention aging</t>
  </si>
  <si>
    <t xml:space="preserve">✓ OK</t>
  </si>
  <si>
    <t xml:space="preserve">$0 held · 0.0% of billed · zero (cancelled)</t>
  </si>
  <si>
    <t xml:space="preserve">0.0%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</si>
  <si>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</si>
  <si>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</si>
  <si>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</si>
  <si>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</si>
  <si>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</si>
  <si>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</si>
  <si>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</si>
  <si>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</si>
  <si>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</si>
  <si>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</si>
  <si>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</si>
  <si>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</si>
  <si>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</si>
  <si>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</si>
  <si>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</si>
  <si>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</si>
  <si>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</si>
  <si>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</si>
  <si>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</si>
  <si>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</si>
  <si>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</si>
  <si>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</si>
  <si>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</si>
  <si>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</si>
  <si>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</si>
  <si>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</si>
  <si>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</si>
  <si>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</si>
  <si>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2026-04-24</t>
  </si>
  <si>
    <t xml:space="preserve">v1.0 · cancelled</t>
  </si>
  <si>
    <t xml:space="preserve">Initial build for #2105 cancelled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</si>
</sst>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C2B2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B29"/>
        <bgColor rgb="FF333300"/>
      </patternFill>
    </fill>
    <fill>
      <patternFill patternType="solid">
        <fgColor rgb="FFE8CEC3"/>
        <bgColor rgb="FFD5DEC5"/>
      </patternFill>
    </fill>
    <fill>
      <patternFill patternType="solid">
        <fgColor rgb="FFD5DEC5"/>
        <bgColor rgb="FFE8CE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E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70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</v>
      </c>
    </row>
    <row r="6" customFormat="false" ht="15" hidden="false" customHeight="false" outlineLevel="0" collapsed="false">
      <c r="A6" s="4" t="s">
        <v>4</v>
      </c>
      <c r="B6" s="5" t="n">
        <v>0</v>
      </c>
    </row>
    <row r="7" customFormat="false" ht="15" hidden="false" customHeight="false" outlineLevel="0" collapsed="false">
      <c r="A7" s="4" t="s">
        <v>5</v>
      </c>
      <c r="B7" s="6" t="n">
        <f aca="false">B5-B6</f>
        <v>0</v>
      </c>
    </row>
    <row r="8" customFormat="false" ht="15" hidden="false" customHeight="false" outlineLevel="0" collapsed="false">
      <c r="A8" s="4" t="s">
        <v>6</v>
      </c>
      <c r="B8" s="7" t="n">
        <f aca="false">IFERROR(B7/B5,0)</f>
        <v>0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5" t="n">
        <v>193091.4</v>
      </c>
    </row>
    <row r="12" customFormat="false" ht="15" hidden="false" customHeight="false" outlineLevel="0" collapsed="false">
      <c r="A12" s="4" t="s">
        <v>9</v>
      </c>
      <c r="B12" s="5" t="n">
        <v>0</v>
      </c>
    </row>
    <row r="13" customFormat="false" ht="15" hidden="false" customHeight="false" outlineLevel="0" collapsed="false">
      <c r="A13" s="4" t="s">
        <v>10</v>
      </c>
      <c r="B13" s="6" t="n">
        <f aca="false">B11-B12</f>
        <v>193091.4</v>
      </c>
    </row>
    <row r="14" customFormat="false" ht="15" hidden="false" customHeight="false" outlineLevel="0" collapsed="false">
      <c r="A14" s="4" t="s">
        <v>11</v>
      </c>
      <c r="B14" s="6" t="n">
        <f aca="false">B5-B11</f>
        <v>-193091.4</v>
      </c>
    </row>
    <row r="15" customFormat="false" ht="15" hidden="false" customHeight="false" outlineLevel="0" collapsed="false">
      <c r="A15" s="4" t="s">
        <v>12</v>
      </c>
      <c r="B15" s="7" t="n">
        <f aca="false">IFERROR(B11/B5,0)</f>
        <v>0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</row>
    <row r="19" customFormat="false" ht="15" hidden="false" customHeight="false" outlineLevel="0" collapsed="false">
      <c r="A19" s="4" t="s">
        <v>16</v>
      </c>
      <c r="B19" s="9" t="n">
        <v>0</v>
      </c>
    </row>
    <row r="20" customFormat="false" ht="15" hidden="false" customHeight="false" outlineLevel="0" collapsed="false">
      <c r="A20" s="4" t="s">
        <v>17</v>
      </c>
      <c r="B20" s="9" t="n">
        <v>140707.25</v>
      </c>
    </row>
    <row r="21" customFormat="false" ht="15" hidden="false" customHeight="false" outlineLevel="0" collapsed="false">
      <c r="A21" s="4" t="s">
        <v>18</v>
      </c>
      <c r="B21" s="9" t="n">
        <v>5349.74</v>
      </c>
    </row>
    <row r="22" customFormat="false" ht="15" hidden="false" customHeight="false" outlineLevel="0" collapsed="false">
      <c r="A22" s="4" t="s">
        <v>19</v>
      </c>
      <c r="B22" s="9" t="n">
        <v>-193091.4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</cols>
  <sheetData>
    <row r="1" customFormat="false" ht="19.7" hidden="false" customHeight="false" outlineLevel="0" collapsed="false">
      <c r="A1" s="1" t="s">
        <v>20</v>
      </c>
    </row>
    <row r="3" customFormat="false" ht="15" hidden="false" customHeight="false" outlineLevel="0" collapsed="false">
      <c r="A3" s="10" t="s">
        <v>21</v>
      </c>
      <c r="B3" s="4" t="s">
        <v>22</v>
      </c>
    </row>
    <row r="4" customFormat="false" ht="15" hidden="false" customHeight="false" outlineLevel="0" collapsed="false">
      <c r="A4" s="10" t="s">
        <v>23</v>
      </c>
      <c r="B4" s="4" t="s">
        <v>24</v>
      </c>
    </row>
    <row r="5" customFormat="false" ht="15" hidden="false" customHeight="false" outlineLevel="0" collapsed="false">
      <c r="A5" s="10" t="s">
        <v>25</v>
      </c>
      <c r="B5" s="4" t="s">
        <v>26</v>
      </c>
    </row>
    <row r="6" customFormat="false" ht="15" hidden="false" customHeight="false" outlineLevel="0" collapsed="false">
      <c r="A6" s="10" t="s">
        <v>27</v>
      </c>
      <c r="B6" s="4" t="s">
        <v>28</v>
      </c>
    </row>
    <row r="7" customFormat="false" ht="15" hidden="false" customHeight="false" outlineLevel="0" collapsed="false">
      <c r="A7" s="10" t="s">
        <v>29</v>
      </c>
      <c r="B7" s="4" t="n">
        <v>219</v>
      </c>
    </row>
    <row r="8" customFormat="false" ht="15" hidden="false" customHeight="false" outlineLevel="0" collapsed="false">
      <c r="A8" s="10" t="s">
        <v>30</v>
      </c>
      <c r="B8" s="4" t="s">
        <v>31</v>
      </c>
    </row>
    <row r="9" customFormat="false" ht="15" hidden="false" customHeight="false" outlineLevel="0" collapsed="false">
      <c r="A9" s="10" t="s">
        <v>32</v>
      </c>
      <c r="B9" s="4" t="s">
        <v>33</v>
      </c>
    </row>
    <row r="10" customFormat="false" ht="15" hidden="false" customHeight="false" outlineLevel="0" collapsed="false">
      <c r="A10" s="10" t="s">
        <v>34</v>
      </c>
      <c r="B10" s="4" t="s">
        <v>35</v>
      </c>
    </row>
    <row r="11" customFormat="false" ht="15" hidden="false" customHeight="false" outlineLevel="0" collapsed="false">
      <c r="A11" s="10" t="s">
        <v>36</v>
      </c>
      <c r="B11" s="4" t="s">
        <v>37</v>
      </c>
    </row>
    <row r="12" customFormat="false" ht="15" hidden="false" customHeight="false" outlineLevel="0" collapsed="false">
      <c r="A12" s="10" t="s">
        <v>38</v>
      </c>
      <c r="B12" s="4" t="s">
        <v>39</v>
      </c>
    </row>
    <row r="13" customFormat="false" ht="15" hidden="false" customHeight="false" outlineLevel="0" collapsed="false">
      <c r="A13" s="10" t="s">
        <v>40</v>
      </c>
      <c r="B13" s="4" t="s">
        <v>35</v>
      </c>
    </row>
    <row r="14" customFormat="false" ht="15" hidden="false" customHeight="false" outlineLevel="0" collapsed="false">
      <c r="A14" s="10" t="s">
        <v>41</v>
      </c>
      <c r="B14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43</v>
      </c>
    </row>
    <row r="3" customFormat="false" ht="15" hidden="false" customHeight="false" outlineLevel="0" collapsed="false">
      <c r="A3" s="11" t="s">
        <v>44</v>
      </c>
      <c r="B3" s="11" t="s">
        <v>45</v>
      </c>
      <c r="C3" s="11" t="s">
        <v>46</v>
      </c>
      <c r="D3" s="11" t="s">
        <v>47</v>
      </c>
    </row>
    <row r="4" customFormat="false" ht="15" hidden="false" customHeight="false" outlineLevel="0" collapsed="false">
      <c r="A4" s="4" t="s">
        <v>48</v>
      </c>
      <c r="B4" s="5" t="n">
        <v>0</v>
      </c>
      <c r="C4" s="5" t="n">
        <v>0</v>
      </c>
      <c r="D4" s="9" t="n">
        <f aca="false">C4-B4</f>
        <v>0</v>
      </c>
    </row>
    <row r="5" customFormat="false" ht="15" hidden="false" customHeight="false" outlineLevel="0" collapsed="false">
      <c r="A5" s="4" t="s">
        <v>49</v>
      </c>
      <c r="B5" s="5" t="n">
        <v>0</v>
      </c>
      <c r="C5" s="5" t="n">
        <v>0</v>
      </c>
      <c r="D5" s="9" t="n">
        <f aca="false">C5-B5</f>
        <v>0</v>
      </c>
    </row>
    <row r="6" customFormat="false" ht="15" hidden="false" customHeight="false" outlineLevel="0" collapsed="false">
      <c r="A6" s="10" t="s">
        <v>50</v>
      </c>
      <c r="B6" s="6" t="n">
        <f aca="false">SUM(B4:B5)</f>
        <v>0</v>
      </c>
      <c r="C6" s="6" t="n">
        <f aca="false">SUM(C4:C5)</f>
        <v>0</v>
      </c>
      <c r="D6" s="6" t="n">
        <f aca="false">SUM(D4:D5)</f>
        <v>0</v>
      </c>
    </row>
    <row r="9" customFormat="false" ht="15" hidden="false" customHeight="false" outlineLevel="0" collapsed="false">
      <c r="A9" s="3" t="s">
        <v>51</v>
      </c>
    </row>
    <row r="10" customFormat="false" ht="15" hidden="false" customHeight="false" outlineLevel="0" collapsed="false">
      <c r="A10" s="11" t="s">
        <v>52</v>
      </c>
      <c r="B10" s="11" t="s">
        <v>53</v>
      </c>
      <c r="C10" s="1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55</v>
      </c>
    </row>
    <row r="3" customFormat="false" ht="15" hidden="false" customHeight="false" outlineLevel="0" collapsed="false">
      <c r="A3" s="11" t="s">
        <v>56</v>
      </c>
      <c r="B3" s="11" t="s">
        <v>57</v>
      </c>
      <c r="C3" s="11" t="s">
        <v>58</v>
      </c>
      <c r="D3" s="11" t="s">
        <v>59</v>
      </c>
      <c r="E3" s="11" t="s">
        <v>60</v>
      </c>
      <c r="F3" s="11" t="s">
        <v>61</v>
      </c>
      <c r="G3" s="1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63</v>
      </c>
    </row>
    <row r="3" customFormat="false" ht="15" hidden="false" customHeight="false" outlineLevel="0" collapsed="false">
      <c r="A3" s="11" t="s">
        <v>64</v>
      </c>
      <c r="B3" s="11" t="s">
        <v>65</v>
      </c>
      <c r="C3" s="11" t="s">
        <v>53</v>
      </c>
      <c r="D3" s="11" t="s">
        <v>54</v>
      </c>
      <c r="E3" s="11" t="s">
        <v>40</v>
      </c>
    </row>
    <row r="4" customFormat="false" ht="15" hidden="false" customHeight="false" outlineLevel="0" collapsed="false">
      <c r="A4" s="4" t="s">
        <v>66</v>
      </c>
      <c r="B4" s="4" t="s">
        <v>67</v>
      </c>
      <c r="C4" s="4" t="s">
        <v>68</v>
      </c>
      <c r="D4" s="5" t="s">
        <v>69</v>
      </c>
      <c r="E4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9.7" hidden="false" customHeight="false" outlineLevel="0" collapsed="false">
      <c r="A1" s="1" t="s">
        <v>71</v>
      </c>
    </row>
    <row r="3" customFormat="false" ht="15" hidden="false" customHeight="false" outlineLevel="0" collapsed="false">
      <c r="A3" s="11" t="s">
        <v>72</v>
      </c>
      <c r="B3" s="11" t="s">
        <v>53</v>
      </c>
      <c r="C3" s="11" t="s">
        <v>45</v>
      </c>
      <c r="D3" s="11" t="s">
        <v>46</v>
      </c>
      <c r="E3" s="11" t="s">
        <v>73</v>
      </c>
      <c r="F3" s="11" t="s">
        <v>74</v>
      </c>
      <c r="G3" s="11" t="s">
        <v>75</v>
      </c>
      <c r="H3" s="11" t="s">
        <v>76</v>
      </c>
    </row>
    <row r="4" customFormat="false" ht="15" hidden="false" customHeight="false" outlineLevel="0" collapsed="false">
      <c r="A4" s="4" t="s">
        <v>77</v>
      </c>
      <c r="B4" s="4" t="s">
        <v>78</v>
      </c>
      <c r="C4" s="5" t="n">
        <v>0</v>
      </c>
      <c r="D4" s="5" t="n">
        <v>0</v>
      </c>
      <c r="E4" s="5" t="n">
        <v>3014</v>
      </c>
      <c r="F4" s="9" t="n">
        <f aca="false">D4-E4</f>
        <v>-3014</v>
      </c>
      <c r="G4" s="5" t="n">
        <v>0</v>
      </c>
      <c r="H4" s="12" t="n">
        <f aca="false">IFERROR(E4/D4,0)</f>
        <v>0</v>
      </c>
    </row>
    <row r="5" customFormat="false" ht="15" hidden="false" customHeight="false" outlineLevel="0" collapsed="false">
      <c r="A5" s="4" t="s">
        <v>79</v>
      </c>
      <c r="B5" s="4" t="s">
        <v>80</v>
      </c>
      <c r="C5" s="5" t="n">
        <v>0</v>
      </c>
      <c r="D5" s="5" t="n">
        <v>0</v>
      </c>
      <c r="E5" s="5" t="n">
        <v>204</v>
      </c>
      <c r="F5" s="9" t="n">
        <f aca="false">D5-E5</f>
        <v>-204</v>
      </c>
      <c r="G5" s="5" t="n">
        <v>0</v>
      </c>
      <c r="H5" s="12" t="n">
        <f aca="false">IFERROR(E5/D5,0)</f>
        <v>0</v>
      </c>
    </row>
    <row r="6" customFormat="false" ht="15" hidden="false" customHeight="false" outlineLevel="0" collapsed="false">
      <c r="A6" s="4" t="s">
        <v>81</v>
      </c>
      <c r="B6" s="4" t="s">
        <v>82</v>
      </c>
      <c r="C6" s="5" t="n">
        <v>0</v>
      </c>
      <c r="D6" s="5" t="n">
        <v>0</v>
      </c>
      <c r="E6" s="5" t="n">
        <v>204</v>
      </c>
      <c r="F6" s="9" t="n">
        <f aca="false">D6-E6</f>
        <v>-204</v>
      </c>
      <c r="G6" s="5" t="n">
        <v>0</v>
      </c>
      <c r="H6" s="12" t="n">
        <f aca="false">IFERROR(E6/D6,0)</f>
        <v>0</v>
      </c>
    </row>
    <row r="7" customFormat="false" ht="15" hidden="false" customHeight="false" outlineLevel="0" collapsed="false">
      <c r="A7" s="4" t="s">
        <v>83</v>
      </c>
      <c r="B7" s="4" t="s">
        <v>84</v>
      </c>
      <c r="C7" s="5" t="n">
        <v>0</v>
      </c>
      <c r="D7" s="5" t="n">
        <v>0</v>
      </c>
      <c r="E7" s="5" t="n">
        <v>131071.25</v>
      </c>
      <c r="F7" s="9" t="n">
        <f aca="false">D7-E7</f>
        <v>-131071.25</v>
      </c>
      <c r="G7" s="5" t="n">
        <v>0</v>
      </c>
      <c r="H7" s="12" t="n">
        <f aca="false">IFERROR(E7/D7,0)</f>
        <v>0</v>
      </c>
    </row>
    <row r="8" customFormat="false" ht="15" hidden="false" customHeight="false" outlineLevel="0" collapsed="false">
      <c r="A8" s="4" t="s">
        <v>85</v>
      </c>
      <c r="B8" s="4" t="s">
        <v>86</v>
      </c>
      <c r="C8" s="5" t="n">
        <v>0</v>
      </c>
      <c r="D8" s="5" t="n">
        <v>0</v>
      </c>
      <c r="E8" s="5" t="n">
        <v>9636</v>
      </c>
      <c r="F8" s="9" t="n">
        <f aca="false">D8-E8</f>
        <v>-9636</v>
      </c>
      <c r="G8" s="5" t="n">
        <v>0</v>
      </c>
      <c r="H8" s="12" t="n">
        <f aca="false">IFERROR(E8/D8,0)</f>
        <v>0</v>
      </c>
    </row>
    <row r="9" customFormat="false" ht="15" hidden="false" customHeight="false" outlineLevel="0" collapsed="false">
      <c r="A9" s="4" t="s">
        <v>87</v>
      </c>
      <c r="B9" s="4" t="s">
        <v>88</v>
      </c>
      <c r="C9" s="5" t="n">
        <v>0</v>
      </c>
      <c r="D9" s="5" t="n">
        <v>0</v>
      </c>
      <c r="E9" s="5" t="n">
        <v>1665.94</v>
      </c>
      <c r="F9" s="9" t="n">
        <f aca="false">D9-E9</f>
        <v>-1665.94</v>
      </c>
      <c r="G9" s="5" t="n">
        <v>0</v>
      </c>
      <c r="H9" s="12" t="n">
        <f aca="false">IFERROR(E9/D9,0)</f>
        <v>0</v>
      </c>
    </row>
    <row r="10" customFormat="false" ht="15" hidden="false" customHeight="false" outlineLevel="0" collapsed="false">
      <c r="A10" s="4" t="s">
        <v>89</v>
      </c>
      <c r="B10" s="4" t="s">
        <v>90</v>
      </c>
      <c r="C10" s="5" t="n">
        <v>0</v>
      </c>
      <c r="D10" s="5" t="n">
        <v>0</v>
      </c>
      <c r="E10" s="5" t="n">
        <v>261.8</v>
      </c>
      <c r="F10" s="9" t="n">
        <f aca="false">D10-E10</f>
        <v>-261.8</v>
      </c>
      <c r="G10" s="5" t="n">
        <v>0</v>
      </c>
      <c r="H10" s="12" t="n">
        <f aca="false">IFERROR(E10/D10,0)</f>
        <v>0</v>
      </c>
    </row>
    <row r="11" customFormat="false" ht="15" hidden="false" customHeight="false" outlineLevel="0" collapsed="false">
      <c r="A11" s="10" t="s">
        <v>91</v>
      </c>
      <c r="C11" s="6" t="n">
        <f aca="false">SUM(C4:C10)</f>
        <v>0</v>
      </c>
      <c r="D11" s="6" t="n">
        <f aca="false">SUM(D4:D10)</f>
        <v>0</v>
      </c>
      <c r="E11" s="6" t="n">
        <f aca="false">SUM(E4:E10)</f>
        <v>146056.99</v>
      </c>
      <c r="F11" s="6" t="n">
        <f aca="false">SUM(F4:F10)</f>
        <v>-146056.99</v>
      </c>
      <c r="G11" s="6" t="n">
        <f aca="false">SUM(G4:G10)</f>
        <v>0</v>
      </c>
      <c r="H11" s="7" t="n">
        <f aca="false">IFERROR(E11/D11,0)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92</v>
      </c>
    </row>
    <row r="3" customFormat="false" ht="15" hidden="false" customHeight="false" outlineLevel="0" collapsed="false">
      <c r="A3" s="11" t="s">
        <v>93</v>
      </c>
      <c r="B3" s="11" t="s">
        <v>94</v>
      </c>
      <c r="C3" s="11" t="s">
        <v>95</v>
      </c>
      <c r="D3" s="11" t="s">
        <v>73</v>
      </c>
      <c r="E3" s="11" t="s">
        <v>74</v>
      </c>
      <c r="F3" s="11" t="s">
        <v>76</v>
      </c>
    </row>
    <row r="4" customFormat="false" ht="15" hidden="false" customHeight="false" outlineLevel="0" collapsed="false">
      <c r="A4" s="10" t="s">
        <v>96</v>
      </c>
      <c r="B4" s="4" t="n">
        <v>3</v>
      </c>
      <c r="C4" s="5" t="n">
        <v>0</v>
      </c>
      <c r="D4" s="5" t="n">
        <v>3422</v>
      </c>
      <c r="E4" s="9" t="n">
        <f aca="false">C4-D4</f>
        <v>-3422</v>
      </c>
      <c r="F4" s="12" t="n">
        <f aca="false">IFERROR(D4/C4,0)</f>
        <v>0</v>
      </c>
    </row>
    <row r="5" customFormat="false" ht="15" hidden="false" customHeight="false" outlineLevel="0" collapsed="false">
      <c r="A5" s="10" t="s">
        <v>97</v>
      </c>
      <c r="B5" s="4" t="n">
        <v>0</v>
      </c>
      <c r="C5" s="5" t="n">
        <v>0</v>
      </c>
      <c r="D5" s="5" t="n">
        <v>0</v>
      </c>
      <c r="E5" s="9" t="n">
        <f aca="false">C5-D5</f>
        <v>0</v>
      </c>
      <c r="F5" s="12" t="n">
        <f aca="false">IFERROR(D5/C5,0)</f>
        <v>0</v>
      </c>
    </row>
    <row r="6" customFormat="false" ht="15" hidden="false" customHeight="false" outlineLevel="0" collapsed="false">
      <c r="A6" s="10" t="s">
        <v>98</v>
      </c>
      <c r="B6" s="4" t="n">
        <v>2</v>
      </c>
      <c r="C6" s="5" t="n">
        <v>0</v>
      </c>
      <c r="D6" s="5" t="n">
        <v>140707.25</v>
      </c>
      <c r="E6" s="9" t="n">
        <f aca="false">C6-D6</f>
        <v>-140707.25</v>
      </c>
      <c r="F6" s="12" t="n">
        <f aca="false">IFERROR(D6/C6,0)</f>
        <v>0</v>
      </c>
    </row>
    <row r="7" customFormat="false" ht="15" hidden="false" customHeight="false" outlineLevel="0" collapsed="false">
      <c r="A7" s="10" t="s">
        <v>99</v>
      </c>
      <c r="B7" s="4" t="n">
        <v>2</v>
      </c>
      <c r="C7" s="5" t="n">
        <v>0</v>
      </c>
      <c r="D7" s="5" t="n">
        <v>1927.74</v>
      </c>
      <c r="E7" s="9" t="n">
        <f aca="false">C7-D7</f>
        <v>-1927.74</v>
      </c>
      <c r="F7" s="12" t="n">
        <f aca="false">IFERROR(D7/C7,0)</f>
        <v>0</v>
      </c>
    </row>
    <row r="8" customFormat="false" ht="15" hidden="false" customHeight="false" outlineLevel="0" collapsed="false">
      <c r="A8" s="10" t="s">
        <v>91</v>
      </c>
      <c r="B8" s="13" t="n">
        <f aca="false">SUM(B4:B7)</f>
        <v>7</v>
      </c>
      <c r="C8" s="6" t="n">
        <f aca="false">SUM(C4:C7)</f>
        <v>0</v>
      </c>
      <c r="D8" s="6" t="n">
        <f aca="false">SUM(D4:D7)</f>
        <v>146056.99</v>
      </c>
      <c r="E8" s="6" t="n">
        <f aca="false">SUM(E4:E7)</f>
        <v>-146056.99</v>
      </c>
      <c r="F8" s="7" t="n">
        <f aca="false">IFERROR(D8/C8,0)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11" t="s">
        <v>72</v>
      </c>
      <c r="B4" s="11" t="s">
        <v>53</v>
      </c>
      <c r="C4" s="11" t="s">
        <v>46</v>
      </c>
      <c r="D4" s="11" t="s">
        <v>73</v>
      </c>
      <c r="E4" s="11" t="s">
        <v>74</v>
      </c>
      <c r="F4" s="11" t="s">
        <v>102</v>
      </c>
      <c r="G4" s="11" t="s">
        <v>40</v>
      </c>
    </row>
    <row r="5" customFormat="false" ht="15" hidden="false" customHeight="false" outlineLevel="0" collapsed="false">
      <c r="A5" s="4" t="s">
        <v>77</v>
      </c>
      <c r="B5" s="4" t="s">
        <v>78</v>
      </c>
      <c r="C5" s="5" t="n">
        <v>0</v>
      </c>
      <c r="D5" s="5" t="n">
        <v>3014</v>
      </c>
      <c r="E5" s="9" t="n">
        <f aca="false">C5-D5</f>
        <v>-3014</v>
      </c>
      <c r="F5" s="12" t="n">
        <f aca="false">IFERROR((D5-C5)/C5,0)</f>
        <v>0</v>
      </c>
      <c r="G5" s="14" t="str">
        <f aca="false">IF(C5=0,"UNBUDGETED",IF(F5&gt;0.5,"CRITICAL",IF(F5&gt;0.1,"OVER",IF(F5&lt;-0.1,"UNDER","ON"))))</f>
        <v>UNBUDGETED</v>
      </c>
    </row>
    <row r="6" customFormat="false" ht="15" hidden="false" customHeight="false" outlineLevel="0" collapsed="false">
      <c r="A6" s="4" t="s">
        <v>79</v>
      </c>
      <c r="B6" s="4" t="s">
        <v>80</v>
      </c>
      <c r="C6" s="5" t="n">
        <v>0</v>
      </c>
      <c r="D6" s="5" t="n">
        <v>204</v>
      </c>
      <c r="E6" s="9" t="n">
        <f aca="false">C6-D6</f>
        <v>-204</v>
      </c>
      <c r="F6" s="12" t="n">
        <f aca="false">IFERROR((D6-C6)/C6,0)</f>
        <v>0</v>
      </c>
      <c r="G6" s="14" t="str">
        <f aca="false">IF(C6=0,"UNBUDGETED",IF(F6&gt;0.5,"CRITICAL",IF(F6&gt;0.1,"OVER",IF(F6&lt;-0.1,"UNDER","ON"))))</f>
        <v>UNBUDGETED</v>
      </c>
    </row>
    <row r="7" customFormat="false" ht="15" hidden="false" customHeight="false" outlineLevel="0" collapsed="false">
      <c r="A7" s="4" t="s">
        <v>81</v>
      </c>
      <c r="B7" s="4" t="s">
        <v>82</v>
      </c>
      <c r="C7" s="5" t="n">
        <v>0</v>
      </c>
      <c r="D7" s="5" t="n">
        <v>204</v>
      </c>
      <c r="E7" s="9" t="n">
        <f aca="false">C7-D7</f>
        <v>-204</v>
      </c>
      <c r="F7" s="12" t="n">
        <f aca="false">IFERROR((D7-C7)/C7,0)</f>
        <v>0</v>
      </c>
      <c r="G7" s="14" t="str">
        <f aca="false">IF(C7=0,"UNBUDGETED",IF(F7&gt;0.5,"CRITICAL",IF(F7&gt;0.1,"OVER",IF(F7&lt;-0.1,"UNDER","ON"))))</f>
        <v>UNBUDGETED</v>
      </c>
    </row>
    <row r="8" customFormat="false" ht="15" hidden="false" customHeight="false" outlineLevel="0" collapsed="false">
      <c r="A8" s="4" t="s">
        <v>83</v>
      </c>
      <c r="B8" s="4" t="s">
        <v>84</v>
      </c>
      <c r="C8" s="5" t="n">
        <v>0</v>
      </c>
      <c r="D8" s="5" t="n">
        <v>131071.25</v>
      </c>
      <c r="E8" s="9" t="n">
        <f aca="false">C8-D8</f>
        <v>-131071.25</v>
      </c>
      <c r="F8" s="12" t="n">
        <f aca="false">IFERROR((D8-C8)/C8,0)</f>
        <v>0</v>
      </c>
      <c r="G8" s="14" t="str">
        <f aca="false">IF(C8=0,"UNBUDGETED",IF(F8&gt;0.5,"CRITICAL",IF(F8&gt;0.1,"OVER",IF(F8&lt;-0.1,"UNDER","ON"))))</f>
        <v>UNBUDGETED</v>
      </c>
    </row>
    <row r="9" customFormat="false" ht="15" hidden="false" customHeight="false" outlineLevel="0" collapsed="false">
      <c r="A9" s="4" t="s">
        <v>85</v>
      </c>
      <c r="B9" s="4" t="s">
        <v>86</v>
      </c>
      <c r="C9" s="5" t="n">
        <v>0</v>
      </c>
      <c r="D9" s="5" t="n">
        <v>9636</v>
      </c>
      <c r="E9" s="9" t="n">
        <f aca="false">C9-D9</f>
        <v>-9636</v>
      </c>
      <c r="F9" s="12" t="n">
        <f aca="false">IFERROR((D9-C9)/C9,0)</f>
        <v>0</v>
      </c>
      <c r="G9" s="14" t="str">
        <f aca="false">IF(C9=0,"UNBUDGETED",IF(F9&gt;0.5,"CRITICAL",IF(F9&gt;0.1,"OVER",IF(F9&lt;-0.1,"UNDER","ON"))))</f>
        <v>UNBUDGETED</v>
      </c>
    </row>
    <row r="10" customFormat="false" ht="15" hidden="false" customHeight="false" outlineLevel="0" collapsed="false">
      <c r="A10" s="4" t="s">
        <v>87</v>
      </c>
      <c r="B10" s="4" t="s">
        <v>88</v>
      </c>
      <c r="C10" s="5" t="n">
        <v>0</v>
      </c>
      <c r="D10" s="5" t="n">
        <v>1665.94</v>
      </c>
      <c r="E10" s="9" t="n">
        <f aca="false">C10-D10</f>
        <v>-1665.94</v>
      </c>
      <c r="F10" s="12" t="n">
        <f aca="false">IFERROR((D10-C10)/C10,0)</f>
        <v>0</v>
      </c>
      <c r="G10" s="14" t="str">
        <f aca="false">IF(C10=0,"UNBUDGETED",IF(F10&gt;0.5,"CRITICAL",IF(F10&gt;0.1,"OVER",IF(F10&lt;-0.1,"UNDER","ON"))))</f>
        <v>UNBUDGETED</v>
      </c>
    </row>
    <row r="11" customFormat="false" ht="15" hidden="false" customHeight="false" outlineLevel="0" collapsed="false">
      <c r="A11" s="4" t="s">
        <v>89</v>
      </c>
      <c r="B11" s="4" t="s">
        <v>90</v>
      </c>
      <c r="C11" s="5" t="n">
        <v>0</v>
      </c>
      <c r="D11" s="5" t="n">
        <v>261.8</v>
      </c>
      <c r="E11" s="9" t="n">
        <f aca="false">C11-D11</f>
        <v>-261.8</v>
      </c>
      <c r="F11" s="12" t="n">
        <f aca="false">IFERROR((D11-C11)/C11,0)</f>
        <v>0</v>
      </c>
      <c r="G11" s="14" t="str">
        <f aca="false">IF(C11=0,"UNBUDGETED",IF(F11&gt;0.5,"CRITICAL",IF(F11&gt;0.1,"OVER",IF(F11&lt;-0.1,"UNDER","ON"))))</f>
        <v>UNBUDGETED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103</v>
      </c>
    </row>
    <row r="3" customFormat="false" ht="15" hidden="false" customHeight="false" outlineLevel="0" collapsed="false">
      <c r="A3" s="11" t="s">
        <v>104</v>
      </c>
      <c r="B3" s="11" t="s">
        <v>105</v>
      </c>
      <c r="C3" s="11" t="s">
        <v>106</v>
      </c>
      <c r="D3" s="11" t="s">
        <v>107</v>
      </c>
    </row>
    <row r="4" customFormat="false" ht="15" hidden="false" customHeight="false" outlineLevel="0" collapsed="false">
      <c r="A4" s="4" t="s">
        <v>108</v>
      </c>
      <c r="B4" s="5" t="n">
        <v>131071.25</v>
      </c>
      <c r="C4" s="4" t="n">
        <v>10</v>
      </c>
      <c r="D4" s="12" t="n">
        <f aca="false">IFERROR(B4/SUM(B$4:B$5),0)</f>
        <v>0.931517388052144</v>
      </c>
    </row>
    <row r="5" customFormat="false" ht="15" hidden="false" customHeight="false" outlineLevel="0" collapsed="false">
      <c r="A5" s="4" t="s">
        <v>109</v>
      </c>
      <c r="B5" s="5" t="n">
        <v>9636</v>
      </c>
      <c r="C5" s="4" t="n">
        <v>2</v>
      </c>
      <c r="D5" s="12" t="n">
        <f aca="false">IFERROR(B5/SUM(B$4:B$5),0)</f>
        <v>0.0684826119478563</v>
      </c>
    </row>
    <row r="6" customFormat="false" ht="15" hidden="false" customHeight="false" outlineLevel="0" collapsed="false">
      <c r="A6" s="10" t="s">
        <v>110</v>
      </c>
      <c r="B6" s="6" t="n">
        <f aca="false">SUM(B4:B5)</f>
        <v>140707.25</v>
      </c>
      <c r="C6" s="15" t="n">
        <f aca="false">SUM(C4:C5)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111</v>
      </c>
    </row>
    <row r="3" customFormat="false" ht="15" hidden="false" customHeight="false" outlineLevel="0" collapsed="false">
      <c r="A3" s="11" t="s">
        <v>112</v>
      </c>
      <c r="B3" s="11" t="s">
        <v>113</v>
      </c>
      <c r="C3" s="11" t="s">
        <v>114</v>
      </c>
      <c r="D3" s="11" t="s">
        <v>115</v>
      </c>
      <c r="E3" s="11" t="s">
        <v>116</v>
      </c>
    </row>
    <row r="4" customFormat="false" ht="15" hidden="false" customHeight="false" outlineLevel="0" collapsed="false">
      <c r="A4" s="4" t="s">
        <v>117</v>
      </c>
      <c r="B4" s="16" t="n">
        <v>27.5</v>
      </c>
      <c r="C4" s="5" t="n">
        <v>1904</v>
      </c>
      <c r="D4" s="17" t="n">
        <f aca="false">IFERROR(C4/B4,0)</f>
        <v>69.2363636363636</v>
      </c>
      <c r="E4" s="4" t="s">
        <v>118</v>
      </c>
    </row>
    <row r="5" customFormat="false" ht="15" hidden="false" customHeight="false" outlineLevel="0" collapsed="false">
      <c r="A5" s="4" t="s">
        <v>119</v>
      </c>
      <c r="B5" s="16" t="n">
        <v>22</v>
      </c>
      <c r="C5" s="5" t="n">
        <v>1518</v>
      </c>
      <c r="D5" s="17" t="n">
        <f aca="false">IFERROR(C5/B5,0)</f>
        <v>69</v>
      </c>
      <c r="E5" s="4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120</v>
      </c>
    </row>
    <row r="3" customFormat="false" ht="15" hidden="false" customHeight="false" outlineLevel="0" collapsed="false">
      <c r="A3" s="11" t="s">
        <v>116</v>
      </c>
      <c r="B3" s="11" t="s">
        <v>121</v>
      </c>
      <c r="C3" s="11" t="s">
        <v>113</v>
      </c>
      <c r="D3" s="11" t="s">
        <v>114</v>
      </c>
      <c r="E3" s="11" t="s">
        <v>122</v>
      </c>
    </row>
    <row r="4" customFormat="false" ht="15" hidden="false" customHeight="false" outlineLevel="0" collapsed="false">
      <c r="A4" s="10" t="s">
        <v>118</v>
      </c>
      <c r="B4" s="4" t="n">
        <v>2</v>
      </c>
      <c r="C4" s="16" t="n">
        <v>49.5</v>
      </c>
      <c r="D4" s="5" t="n">
        <v>3422</v>
      </c>
      <c r="E4" s="12" t="n">
        <f aca="false">IFERROR(C4/SUM(C$4:C$7),0)</f>
        <v>1</v>
      </c>
    </row>
    <row r="5" customFormat="false" ht="15" hidden="false" customHeight="false" outlineLevel="0" collapsed="false">
      <c r="A5" s="10" t="s">
        <v>123</v>
      </c>
      <c r="B5" s="4" t="n">
        <v>0</v>
      </c>
      <c r="C5" s="16" t="n">
        <v>0</v>
      </c>
      <c r="D5" s="5" t="n">
        <v>0</v>
      </c>
      <c r="E5" s="12" t="n">
        <f aca="false">IFERROR(C5/SUM(C$4:C$7),0)</f>
        <v>0</v>
      </c>
    </row>
    <row r="6" customFormat="false" ht="15" hidden="false" customHeight="false" outlineLevel="0" collapsed="false">
      <c r="A6" s="10" t="s">
        <v>124</v>
      </c>
      <c r="B6" s="4" t="n">
        <v>0</v>
      </c>
      <c r="C6" s="16" t="n">
        <v>0</v>
      </c>
      <c r="D6" s="5" t="n">
        <v>0</v>
      </c>
      <c r="E6" s="12" t="n">
        <f aca="false">IFERROR(C6/SUM(C$4:C$7),0)</f>
        <v>0</v>
      </c>
    </row>
    <row r="7" customFormat="false" ht="15" hidden="false" customHeight="false" outlineLevel="0" collapsed="false">
      <c r="A7" s="10" t="s">
        <v>125</v>
      </c>
      <c r="B7" s="4" t="n">
        <v>0</v>
      </c>
      <c r="C7" s="16" t="n">
        <v>0</v>
      </c>
      <c r="D7" s="5" t="n">
        <v>0</v>
      </c>
      <c r="E7" s="12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126</v>
      </c>
    </row>
    <row r="3" customFormat="false" ht="15" hidden="false" customHeight="false" outlineLevel="0" collapsed="false">
      <c r="A3" s="4" t="s">
        <v>127</v>
      </c>
      <c r="B3" s="16" t="n">
        <v>50</v>
      </c>
    </row>
    <row r="4" customFormat="false" ht="15" hidden="false" customHeight="false" outlineLevel="0" collapsed="false">
      <c r="A4" s="4" t="s">
        <v>128</v>
      </c>
      <c r="B4" s="18" t="n">
        <v>2</v>
      </c>
    </row>
    <row r="5" customFormat="false" ht="15" hidden="false" customHeight="false" outlineLevel="0" collapsed="false">
      <c r="A5" s="4" t="s">
        <v>129</v>
      </c>
      <c r="B5" s="16" t="n">
        <v>0.2</v>
      </c>
    </row>
    <row r="6" customFormat="false" ht="15" hidden="false" customHeight="false" outlineLevel="0" collapsed="false">
      <c r="A6" s="4" t="s">
        <v>130</v>
      </c>
      <c r="B6" s="19" t="n">
        <v>3900.84</v>
      </c>
    </row>
    <row r="7" customFormat="false" ht="15" hidden="false" customHeight="false" outlineLevel="0" collapsed="false">
      <c r="A7" s="4" t="s">
        <v>12</v>
      </c>
      <c r="B7" s="2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131</v>
      </c>
    </row>
    <row r="3" customFormat="false" ht="15" hidden="false" customHeight="false" outlineLevel="0" collapsed="false">
      <c r="A3" s="11" t="s">
        <v>132</v>
      </c>
      <c r="B3" s="11" t="s">
        <v>133</v>
      </c>
      <c r="C3" s="11" t="s">
        <v>134</v>
      </c>
      <c r="D3" s="11" t="s">
        <v>47</v>
      </c>
    </row>
    <row r="4" customFormat="false" ht="15" hidden="false" customHeight="false" outlineLevel="0" collapsed="false">
      <c r="A4" s="4" t="s">
        <v>135</v>
      </c>
      <c r="B4" s="20" t="n">
        <v>0</v>
      </c>
      <c r="C4" s="20" t="n">
        <v>0.34</v>
      </c>
      <c r="D4" s="12" t="n">
        <f aca="false">B4-C4</f>
        <v>-0.34</v>
      </c>
    </row>
    <row r="5" customFormat="false" ht="15" hidden="false" customHeight="false" outlineLevel="0" collapsed="false">
      <c r="A5" s="4" t="s">
        <v>136</v>
      </c>
      <c r="B5" s="20" t="n">
        <v>0</v>
      </c>
      <c r="C5" s="20" t="n">
        <v>0.45</v>
      </c>
      <c r="D5" s="12" t="n">
        <f aca="false">B5-C5</f>
        <v>-0.45</v>
      </c>
    </row>
    <row r="6" customFormat="false" ht="15" hidden="false" customHeight="false" outlineLevel="0" collapsed="false">
      <c r="A6" s="4" t="s">
        <v>137</v>
      </c>
      <c r="B6" s="20" t="n">
        <v>0.931517388052144</v>
      </c>
      <c r="C6" s="20" t="n">
        <v>0.38</v>
      </c>
      <c r="D6" s="12" t="n">
        <f aca="false">B6-C6</f>
        <v>0.551517388052144</v>
      </c>
    </row>
    <row r="7" customFormat="false" ht="15" hidden="false" customHeight="false" outlineLevel="0" collapsed="false">
      <c r="A7" s="4" t="s">
        <v>138</v>
      </c>
      <c r="B7" s="16" t="n">
        <v>0.226027397260274</v>
      </c>
      <c r="C7" s="16" t="n">
        <v>95</v>
      </c>
      <c r="D7" s="21" t="n">
        <f aca="false">B7-C7</f>
        <v>-94.7739726027397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139</v>
      </c>
    </row>
    <row r="3" customFormat="false" ht="15" hidden="false" customHeight="false" outlineLevel="0" collapsed="false">
      <c r="A3" s="11" t="s">
        <v>140</v>
      </c>
      <c r="B3" s="11" t="s">
        <v>40</v>
      </c>
      <c r="C3" s="11" t="s">
        <v>141</v>
      </c>
    </row>
    <row r="4" customFormat="false" ht="15" hidden="false" customHeight="false" outlineLevel="0" collapsed="false">
      <c r="A4" s="4" t="s">
        <v>142</v>
      </c>
      <c r="B4" s="22" t="s">
        <v>143</v>
      </c>
      <c r="C4" s="4" t="s">
        <v>144</v>
      </c>
    </row>
    <row r="5" customFormat="false" ht="15" hidden="false" customHeight="false" outlineLevel="0" collapsed="false">
      <c r="A5" s="4" t="s">
        <v>145</v>
      </c>
      <c r="B5" s="22" t="s">
        <v>143</v>
      </c>
      <c r="C5" s="4" t="s">
        <v>146</v>
      </c>
    </row>
    <row r="6" customFormat="false" ht="15" hidden="false" customHeight="false" outlineLevel="0" collapsed="false">
      <c r="A6" s="4" t="s">
        <v>147</v>
      </c>
      <c r="B6" s="23" t="s">
        <v>148</v>
      </c>
      <c r="C6" s="4" t="s">
        <v>149</v>
      </c>
    </row>
    <row r="7" customFormat="false" ht="15" hidden="false" customHeight="false" outlineLevel="0" collapsed="false">
      <c r="A7" s="4" t="s">
        <v>6</v>
      </c>
      <c r="B7" s="22" t="s">
        <v>143</v>
      </c>
      <c r="C7" s="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151</v>
      </c>
    </row>
    <row r="3" customFormat="false" ht="15" hidden="false" customHeight="false" outlineLevel="0" collapsed="false">
      <c r="A3" s="11" t="s">
        <v>14</v>
      </c>
      <c r="B3" s="11" t="s">
        <v>152</v>
      </c>
      <c r="C3" s="11" t="s">
        <v>153</v>
      </c>
      <c r="D3" s="11" t="s">
        <v>47</v>
      </c>
    </row>
    <row r="4" customFormat="false" ht="15" hidden="false" customHeight="false" outlineLevel="0" collapsed="false">
      <c r="A4" s="4" t="s">
        <v>154</v>
      </c>
      <c r="B4" s="5" t="n">
        <v>146056.99</v>
      </c>
      <c r="C4" s="5" t="n">
        <v>146056.99</v>
      </c>
      <c r="D4" s="9" t="n">
        <f aca="false">IF(ISNUMBER(B4),B4-C4,"—")</f>
        <v>0</v>
      </c>
    </row>
    <row r="5" customFormat="false" ht="15" hidden="false" customHeight="false" outlineLevel="0" collapsed="false">
      <c r="A5" s="4" t="s">
        <v>155</v>
      </c>
      <c r="B5" s="5" t="n">
        <v>-193091.4</v>
      </c>
      <c r="C5" s="5" t="n">
        <v>193091.4</v>
      </c>
      <c r="D5" s="9" t="n">
        <f aca="false">IF(ISNUMBER(B5),B5-C5,"—")</f>
        <v>-386182.8</v>
      </c>
    </row>
    <row r="6" customFormat="false" ht="15" hidden="false" customHeight="false" outlineLevel="0" collapsed="false">
      <c r="A6" s="4" t="s">
        <v>156</v>
      </c>
      <c r="C6" s="5" t="n">
        <v>140707.25</v>
      </c>
      <c r="D6" s="9" t="str">
        <f aca="false">IF(ISNUMBER(B6),B6-C6,"—")</f>
        <v>—</v>
      </c>
    </row>
    <row r="7" customFormat="false" ht="15" hidden="false" customHeight="false" outlineLevel="0" collapsed="false">
      <c r="A7" s="4" t="s">
        <v>157</v>
      </c>
      <c r="C7" s="5" t="n">
        <v>5349.74</v>
      </c>
      <c r="D7" s="9" t="str">
        <f aca="false">IF(ISNUMBER(B7),B7-C7,"—")</f>
        <v>—</v>
      </c>
    </row>
    <row r="8" customFormat="false" ht="15" hidden="false" customHeight="false" outlineLevel="0" collapsed="false">
      <c r="A8" s="4" t="s">
        <v>158</v>
      </c>
      <c r="C8" s="5" t="n">
        <v>0</v>
      </c>
      <c r="D8" s="9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159</v>
      </c>
    </row>
    <row r="3" customFormat="false" ht="15" hidden="false" customHeight="false" outlineLevel="0" collapsed="false">
      <c r="A3" s="11" t="s">
        <v>132</v>
      </c>
      <c r="B3" s="11" t="s">
        <v>160</v>
      </c>
      <c r="C3" s="11" t="s">
        <v>161</v>
      </c>
    </row>
    <row r="4" customFormat="false" ht="15" hidden="false" customHeight="false" outlineLevel="0" collapsed="false">
      <c r="A4" s="24" t="s">
        <v>135</v>
      </c>
      <c r="B4" s="24" t="s">
        <v>162</v>
      </c>
      <c r="C4" s="24" t="s">
        <v>163</v>
      </c>
    </row>
    <row r="5" customFormat="false" ht="15" hidden="false" customHeight="false" outlineLevel="0" collapsed="false">
      <c r="A5" s="24" t="s">
        <v>12</v>
      </c>
      <c r="B5" s="24" t="s">
        <v>162</v>
      </c>
      <c r="C5" s="24" t="s">
        <v>164</v>
      </c>
    </row>
    <row r="6" customFormat="false" ht="15" hidden="false" customHeight="false" outlineLevel="0" collapsed="false">
      <c r="A6" s="24" t="s">
        <v>165</v>
      </c>
      <c r="B6" s="24" t="s">
        <v>166</v>
      </c>
      <c r="C6" s="24" t="s">
        <v>167</v>
      </c>
    </row>
    <row r="7" customFormat="false" ht="15" hidden="false" customHeight="false" outlineLevel="0" collapsed="false">
      <c r="A7" s="24" t="s">
        <v>137</v>
      </c>
      <c r="B7" s="24" t="s">
        <v>168</v>
      </c>
      <c r="C7" s="24" t="s">
        <v>169</v>
      </c>
    </row>
    <row r="8" customFormat="false" ht="15" hidden="false" customHeight="false" outlineLevel="0" collapsed="false">
      <c r="A8" s="24" t="s">
        <v>138</v>
      </c>
      <c r="B8" s="24" t="s">
        <v>170</v>
      </c>
      <c r="C8" s="24" t="s">
        <v>171</v>
      </c>
    </row>
    <row r="9" customFormat="false" ht="23.85" hidden="false" customHeight="false" outlineLevel="0" collapsed="false">
      <c r="A9" s="24" t="s">
        <v>172</v>
      </c>
      <c r="B9" s="24" t="s">
        <v>173</v>
      </c>
      <c r="C9" s="24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175</v>
      </c>
    </row>
    <row r="3" customFormat="false" ht="15" hidden="false" customHeight="false" outlineLevel="0" collapsed="false">
      <c r="A3" s="11" t="s">
        <v>176</v>
      </c>
      <c r="B3" s="11" t="s">
        <v>177</v>
      </c>
      <c r="C3" s="11" t="s">
        <v>178</v>
      </c>
    </row>
    <row r="4" customFormat="false" ht="15" hidden="false" customHeight="false" outlineLevel="0" collapsed="false">
      <c r="A4" s="4" t="s">
        <v>179</v>
      </c>
      <c r="B4" s="4" t="s">
        <v>180</v>
      </c>
      <c r="C4" s="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2026-04-27T19:51:57Z</dcterms:created>
  <dc:creator>openpyxl</dc:creator>
  <dc:description/>
  <dc:language>en-US</dc:language>
  <cp:lastModifiedBy/>
  <dcterms:modified xsi:type="dcterms:W3CDTF">2026-04-27T19:51:57Z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