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udget vs Actual" sheetId="2" state="visible" r:id="rId2"/>
    <sheet xmlns:r="http://schemas.openxmlformats.org/officeDocument/2006/relationships" name="Cost Breakdown" sheetId="3" state="visible" r:id="rId3"/>
    <sheet xmlns:r="http://schemas.openxmlformats.org/officeDocument/2006/relationships" name="Material" sheetId="4" state="visible" r:id="rId4"/>
    <sheet xmlns:r="http://schemas.openxmlformats.org/officeDocument/2006/relationships" name="Crew &amp; Labor" sheetId="5" state="visible" r:id="rId5"/>
    <sheet xmlns:r="http://schemas.openxmlformats.org/officeDocument/2006/relationships" name="Crew Analytics" sheetId="6" state="visible" r:id="rId6"/>
    <sheet xmlns:r="http://schemas.openxmlformats.org/officeDocument/2006/relationships" name="Productivity" sheetId="7" state="visible" r:id="rId7"/>
    <sheet xmlns:r="http://schemas.openxmlformats.org/officeDocument/2006/relationships" name="PO Commitments" sheetId="8" state="visible" r:id="rId8"/>
    <sheet xmlns:r="http://schemas.openxmlformats.org/officeDocument/2006/relationships" name="Billing &amp; SOV" sheetId="9" state="visible" r:id="rId9"/>
    <sheet xmlns:r="http://schemas.openxmlformats.org/officeDocument/2006/relationships" name="Insights" sheetId="10" state="visible" r:id="rId10"/>
    <sheet xmlns:r="http://schemas.openxmlformats.org/officeDocument/2006/relationships" name="Benchmark KPIs" sheetId="11" state="visible" r:id="rId11"/>
    <sheet xmlns:r="http://schemas.openxmlformats.org/officeDocument/2006/relationships" name="Vendors" sheetId="12" state="visible" r:id="rId12"/>
    <sheet xmlns:r="http://schemas.openxmlformats.org/officeDocument/2006/relationships" name="Change Log" sheetId="13" state="visible" r:id="rId13"/>
    <sheet xmlns:r="http://schemas.openxmlformats.org/officeDocument/2006/relationships" name="Root Cause Analysis" sheetId="14" state="visible" r:id="rId14"/>
    <sheet xmlns:r="http://schemas.openxmlformats.org/officeDocument/2006/relationships" name="Predictive Signals" sheetId="15" state="visible" r:id="rId15"/>
    <sheet xmlns:r="http://schemas.openxmlformats.org/officeDocument/2006/relationships" name="Metric Registry" sheetId="16" state="visible" r:id="rId16"/>
    <sheet xmlns:r="http://schemas.openxmlformats.org/officeDocument/2006/relationships" name="Reconciliation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&quot;$&quot;#,##0.00;[Red]-&quot;$&quot;#,##0.00"/>
    <numFmt numFmtId="166" formatCode="0.0%"/>
    <numFmt numFmtId="167" formatCode="0.00&quot;x&quot;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i val="1"/>
      <color rgb="00595959"/>
      <sz val="8"/>
    </font>
    <font>
      <name val="Arial"/>
      <b val="1"/>
      <color rgb="00FFFFFF"/>
      <sz val="10"/>
    </font>
    <font>
      <name val="Arial"/>
      <i val="1"/>
      <color rgb="009C0006"/>
      <sz val="10"/>
    </font>
    <font>
      <name val="Calibri"/>
      <b val="1"/>
      <color rgb="009E9E97"/>
      <sz val="9"/>
    </font>
    <font>
      <name val="Calibri"/>
      <b val="1"/>
      <color rgb="00191917"/>
      <sz val="22"/>
    </font>
    <font>
      <name val="Calibri"/>
      <i val="1"/>
      <color rgb="006B6B65"/>
      <sz val="11"/>
    </font>
    <font>
      <name val="Calibri"/>
      <color rgb="006B6B65"/>
      <sz val="10"/>
    </font>
    <font>
      <name val="Calibri"/>
      <color rgb="00191917"/>
      <sz val="10"/>
    </font>
    <font>
      <name val="Calibri"/>
      <b val="1"/>
      <color rgb="00166534"/>
      <sz val="9"/>
    </font>
    <font>
      <name val="Calibri"/>
      <b val="1"/>
      <color rgb="001E40AF"/>
      <sz val="9"/>
    </font>
    <font>
      <name val="Calibri"/>
      <b val="1"/>
      <color rgb="0092400E"/>
      <sz val="9"/>
    </font>
    <font>
      <name val="Calibri"/>
      <b val="1"/>
      <color rgb="00991B1B"/>
      <sz val="9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5090"/>
      </patternFill>
    </fill>
    <fill>
      <patternFill patternType="solid">
        <fgColor rgb="00FFC7CE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E6E6"/>
      </patternFill>
    </fill>
    <fill>
      <patternFill patternType="solid">
        <fgColor rgb="00EFEFEF"/>
      </patternFill>
    </fill>
    <fill>
      <patternFill patternType="solid">
        <fgColor rgb="00E8E3D6"/>
      </patternFill>
    </fill>
    <fill>
      <patternFill patternType="solid">
        <fgColor rgb="00DCFCE7"/>
      </patternFill>
    </fill>
    <fill>
      <patternFill patternType="solid">
        <fgColor rgb="00FBFAF7"/>
      </patternFill>
    </fill>
    <fill>
      <patternFill patternType="solid">
        <fgColor rgb="00F3F0E8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FECACA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bottom style="thin">
        <color rgb="00E8E3D6"/>
      </bottom>
    </border>
  </borders>
  <cellStyleXfs count="1">
    <xf numFmtId="0" fontId="0" fillId="0" borderId="0"/>
  </cellStyleXfs>
  <cellXfs count="10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3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 wrapText="1"/>
    </xf>
    <xf numFmtId="164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0" fontId="4" fillId="4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0" fontId="3" fillId="0" borderId="1" pivotButton="0" quotePrefix="0" xfId="0"/>
    <xf numFmtId="165" fontId="3" fillId="0" borderId="1" pivotButton="0" quotePrefix="0" xfId="0"/>
    <xf numFmtId="164" fontId="4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0" fontId="6" fillId="4" borderId="1" pivotButton="0" quotePrefix="0" xfId="0"/>
    <xf numFmtId="0" fontId="0" fillId="4" borderId="0" pivotButton="0" quotePrefix="0" xfId="0"/>
    <xf numFmtId="0" fontId="9" fillId="2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0" fillId="10" borderId="0" pivotButton="0" quotePrefix="0" xfId="0"/>
    <xf numFmtId="0" fontId="8" fillId="3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left" vertical="center" wrapText="1"/>
    </xf>
    <xf numFmtId="0" fontId="12" fillId="12" borderId="1" applyAlignment="1" pivotButton="0" quotePrefix="0" xfId="0">
      <alignment horizontal="left" vertical="center" wrapText="1"/>
    </xf>
    <xf numFmtId="0" fontId="0" fillId="12" borderId="4" pivotButton="0" quotePrefix="0" xfId="0"/>
    <xf numFmtId="0" fontId="0" fillId="12" borderId="5" pivotButton="0" quotePrefix="0" xfId="0"/>
    <xf numFmtId="0" fontId="0" fillId="12" borderId="0" pivotButton="0" quotePrefix="0" xfId="0"/>
    <xf numFmtId="0" fontId="12" fillId="3" borderId="1" applyAlignment="1" pivotButton="0" quotePrefix="0" xfId="0">
      <alignment horizontal="left" vertical="center" wrapText="1"/>
    </xf>
    <xf numFmtId="164" fontId="12" fillId="0" borderId="1" applyAlignment="1" pivotButton="0" quotePrefix="0" xfId="0">
      <alignment horizontal="right" vertical="center"/>
    </xf>
    <xf numFmtId="4" fontId="12" fillId="0" borderId="1" applyAlignment="1" pivotButton="0" quotePrefix="0" xfId="0">
      <alignment horizontal="right" vertical="center"/>
    </xf>
    <xf numFmtId="0" fontId="11" fillId="3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 wrapText="1"/>
    </xf>
    <xf numFmtId="0" fontId="11" fillId="12" borderId="0" applyAlignment="1" pivotButton="0" quotePrefix="0" xfId="0">
      <alignment horizontal="left" vertical="center" wrapText="1"/>
    </xf>
    <xf numFmtId="0" fontId="12" fillId="12" borderId="0" applyAlignment="1" pivotButton="0" quotePrefix="0" xfId="0">
      <alignment horizontal="left" vertical="center" wrapText="1"/>
    </xf>
    <xf numFmtId="0" fontId="13" fillId="11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wrapText="1"/>
    </xf>
    <xf numFmtId="0" fontId="12" fillId="9" borderId="0" applyAlignment="1" pivotButton="0" quotePrefix="0" xfId="0">
      <alignment horizontal="left" vertical="center" wrapText="1"/>
    </xf>
    <xf numFmtId="0" fontId="8" fillId="13" borderId="6" applyAlignment="1" pivotButton="0" quotePrefix="0" xfId="0">
      <alignment horizontal="left" vertical="center"/>
    </xf>
    <xf numFmtId="165" fontId="12" fillId="0" borderId="1" applyAlignment="1" pivotButton="0" quotePrefix="0" xfId="0">
      <alignment horizontal="right" vertical="center"/>
    </xf>
    <xf numFmtId="165" fontId="12" fillId="0" borderId="1" applyAlignment="1" pivotButton="0" quotePrefix="0" xfId="0">
      <alignment horizontal="left" vertical="center" wrapText="1"/>
    </xf>
    <xf numFmtId="166" fontId="12" fillId="0" borderId="1" applyAlignment="1" pivotButton="0" quotePrefix="0" xfId="0">
      <alignment horizontal="left" vertical="center" wrapText="1"/>
    </xf>
    <xf numFmtId="165" fontId="12" fillId="12" borderId="1" applyAlignment="1" pivotButton="0" quotePrefix="0" xfId="0">
      <alignment horizontal="right" vertical="center"/>
    </xf>
    <xf numFmtId="165" fontId="12" fillId="12" borderId="1" applyAlignment="1" pivotButton="0" quotePrefix="0" xfId="0">
      <alignment horizontal="left" vertical="center" wrapText="1"/>
    </xf>
    <xf numFmtId="166" fontId="12" fillId="12" borderId="1" applyAlignment="1" pivotButton="0" quotePrefix="0" xfId="0">
      <alignment horizontal="left" vertical="center" wrapText="1"/>
    </xf>
    <xf numFmtId="4" fontId="12" fillId="12" borderId="1" applyAlignment="1" pivotButton="0" quotePrefix="0" xfId="0">
      <alignment horizontal="right" vertical="center"/>
    </xf>
    <xf numFmtId="4" fontId="4" fillId="12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/>
    </xf>
    <xf numFmtId="4" fontId="12" fillId="0" borderId="1" applyAlignment="1" pivotButton="0" quotePrefix="0" xfId="0">
      <alignment horizontal="left" vertical="center" wrapText="1"/>
    </xf>
    <xf numFmtId="164" fontId="12" fillId="12" borderId="1" applyAlignment="1" pivotButton="0" quotePrefix="0" xfId="0">
      <alignment horizontal="right" vertical="center"/>
    </xf>
    <xf numFmtId="0" fontId="8" fillId="12" borderId="1" applyAlignment="1" pivotButton="0" quotePrefix="0" xfId="0">
      <alignment horizontal="left" vertical="center"/>
    </xf>
    <xf numFmtId="164" fontId="12" fillId="12" borderId="1" applyAlignment="1" pivotButton="0" quotePrefix="0" xfId="0">
      <alignment horizontal="left" vertical="center" wrapText="1"/>
    </xf>
    <xf numFmtId="166" fontId="12" fillId="12" borderId="1" applyAlignment="1" pivotButton="0" quotePrefix="0" xfId="0">
      <alignment horizontal="right" vertical="center"/>
    </xf>
    <xf numFmtId="3" fontId="12" fillId="0" borderId="1" applyAlignment="1" pivotButton="0" quotePrefix="0" xfId="0">
      <alignment horizontal="right" vertical="center"/>
    </xf>
    <xf numFmtId="3" fontId="12" fillId="12" borderId="1" applyAlignment="1" pivotButton="0" quotePrefix="0" xfId="0">
      <alignment horizontal="right" vertical="center"/>
    </xf>
    <xf numFmtId="164" fontId="12" fillId="0" borderId="1" applyAlignment="1" pivotButton="0" quotePrefix="0" xfId="0">
      <alignment horizontal="left" vertical="center" wrapText="1"/>
    </xf>
    <xf numFmtId="4" fontId="12" fillId="12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left" vertical="center" wrapText="1"/>
    </xf>
    <xf numFmtId="0" fontId="14" fillId="14" borderId="1" applyAlignment="1" pivotButton="0" quotePrefix="0" xfId="0">
      <alignment horizontal="center" vertical="center"/>
    </xf>
    <xf numFmtId="166" fontId="12" fillId="0" borderId="1" applyAlignment="1" pivotButton="0" quotePrefix="0" xfId="0">
      <alignment horizontal="right" vertical="center"/>
    </xf>
    <xf numFmtId="167" fontId="12" fillId="0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center" vertical="center"/>
    </xf>
    <xf numFmtId="0" fontId="15" fillId="15" borderId="1" applyAlignment="1" pivotButton="0" quotePrefix="0" xfId="0">
      <alignment horizontal="center" vertical="center"/>
    </xf>
    <xf numFmtId="0" fontId="16" fillId="16" borderId="1" applyAlignment="1" pivotButton="0" quotePrefix="0" xfId="0">
      <alignment horizontal="center" vertical="center"/>
    </xf>
    <xf numFmtId="10" fontId="12" fillId="0" borderId="1" applyAlignment="1" pivotButton="0" quotePrefix="0" xfId="0">
      <alignment horizontal="right" vertical="center"/>
    </xf>
    <xf numFmtId="167" fontId="12" fillId="0" borderId="1" applyAlignment="1" pivotButton="0" quotePrefix="0" xfId="0">
      <alignment horizontal="right" vertical="center"/>
    </xf>
    <xf numFmtId="0" fontId="4" fillId="12" borderId="1" applyAlignment="1" pivotButton="0" quotePrefix="0" xfId="0">
      <alignment horizontal="left" vertical="center" wrapText="1"/>
    </xf>
    <xf numFmtId="10" fontId="12" fillId="12" borderId="1" applyAlignment="1" pivotButton="0" quotePrefix="0" xfId="0">
      <alignment horizontal="right" vertical="center"/>
    </xf>
    <xf numFmtId="0" fontId="4" fillId="12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left" vertical="center" wrapText="1"/>
    </xf>
    <xf numFmtId="167" fontId="12" fillId="1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6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4" t="inlineStr">
        <is>
          <t>Job #2026 · Synergy 525 Boren — Fox and Finch Apartments</t>
        </is>
      </c>
    </row>
    <row r="3" ht="22" customHeight="1">
      <c r="B3" s="45" t="inlineStr">
        <is>
          <t>Cortex JCR Cortex v2  •  Synergy Construction, Inc. (customer code 2026SC)  •  525 Boren Ave, Seattle (per invoice descriptions)  •  106-pg JDR is sole financial source</t>
        </is>
      </c>
    </row>
    <row r="4" ht="2" customHeight="1">
      <c r="B4" s="46" t="n"/>
      <c r="C4" s="46" t="n"/>
      <c r="D4" s="46" t="n"/>
      <c r="E4" s="46" t="n"/>
      <c r="F4" s="46" t="n"/>
      <c r="G4" s="46" t="n"/>
      <c r="H4" s="46" t="n"/>
      <c r="I4" s="46" t="n"/>
      <c r="J4" s="46" t="n"/>
    </row>
    <row r="5">
      <c r="B5" s="47" t="inlineStr">
        <is>
          <t>PROJECT OVERVIEW</t>
        </is>
      </c>
    </row>
    <row r="6">
      <c r="B6" s="48" t="inlineStr">
        <is>
          <t>Project Job #</t>
        </is>
      </c>
      <c r="C6" s="49" t="inlineStr">
        <is>
          <t>2026</t>
        </is>
      </c>
      <c r="D6" s="6" t="n"/>
      <c r="E6" s="7" t="n"/>
      <c r="F6" s="49" t="inlineStr">
        <is>
          <t>2026 Job Detail Report.pdf (Sage Timberline export, printed 04/03/2026 1:51PM, 106 pages) header</t>
        </is>
      </c>
      <c r="G6" s="6" t="n"/>
      <c r="H6" s="6" t="n"/>
      <c r="I6" s="6" t="n"/>
      <c r="J6" s="7" t="n"/>
    </row>
    <row r="7">
      <c r="B7" s="50" t="inlineStr">
        <is>
          <t>Project Name (Sage)</t>
        </is>
      </c>
      <c r="C7" s="51" t="inlineStr">
        <is>
          <t>Synergy 525 Boren</t>
        </is>
      </c>
      <c r="D7" s="52" t="n"/>
      <c r="E7" s="53" t="n"/>
      <c r="F7" s="51" t="inlineStr">
        <is>
          <t>2026 Job Detail Report.pdf (Sage Timberline export, printed 04/03/2026 1:51PM, 106 pages) header</t>
        </is>
      </c>
      <c r="G7" s="52" t="n"/>
      <c r="H7" s="52" t="n"/>
      <c r="I7" s="52" t="n"/>
      <c r="J7" s="53" t="n"/>
    </row>
    <row r="8">
      <c r="B8" s="48" t="inlineStr">
        <is>
          <t>Project Description</t>
        </is>
      </c>
      <c r="C8" s="49" t="inlineStr">
        <is>
          <t>Fox and Finch Apartments — 525 Boren Midrise Apartment / Mixed Use, 525 Boren Avenue North, Seattle WA 98109</t>
        </is>
      </c>
      <c r="D8" s="6" t="n"/>
      <c r="E8" s="7" t="n"/>
      <c r="F8" s="49" t="inlineStr">
        <is>
          <t>Contract/525 Boren Contract.pdf header</t>
        </is>
      </c>
      <c r="G8" s="6" t="n"/>
      <c r="H8" s="6" t="n"/>
      <c r="I8" s="6" t="n"/>
      <c r="J8" s="7" t="n"/>
    </row>
    <row r="9">
      <c r="B9" s="50" t="inlineStr">
        <is>
          <t>General Contractor</t>
        </is>
      </c>
      <c r="C9" s="51" t="inlineStr">
        <is>
          <t>Synergy Construction, Inc. (14040 NE 181st St, Woodinville WA 98072)</t>
        </is>
      </c>
      <c r="D9" s="52" t="n"/>
      <c r="E9" s="53" t="n"/>
      <c r="F9" s="51" t="inlineStr">
        <is>
          <t>Contract/525 Boren Contract.pdf</t>
        </is>
      </c>
      <c r="G9" s="52" t="n"/>
      <c r="H9" s="52" t="n"/>
      <c r="I9" s="52" t="n"/>
      <c r="J9" s="53" t="n"/>
    </row>
    <row r="10">
      <c r="B10" s="48" t="inlineStr">
        <is>
          <t>Customer Code (Sage)</t>
        </is>
      </c>
      <c r="C10" s="49" t="inlineStr">
        <is>
          <t>2026SC</t>
        </is>
      </c>
      <c r="D10" s="6" t="n"/>
      <c r="E10" s="7" t="n"/>
      <c r="F10" s="49" t="inlineStr">
        <is>
          <t>2026 Job Detail Report.pdf (Sage Timberline export, printed 04/03/2026 1:51PM, 106 pages)</t>
        </is>
      </c>
      <c r="G10" s="6" t="n"/>
      <c r="H10" s="6" t="n"/>
      <c r="I10" s="6" t="n"/>
      <c r="J10" s="7" t="n"/>
    </row>
    <row r="11">
      <c r="B11" s="50" t="inlineStr">
        <is>
          <t>Jobsite Location</t>
        </is>
      </c>
      <c r="C11" s="51" t="inlineStr">
        <is>
          <t>525 Boren Ave N, Seattle, WA 98109 · Parcel 1983200345</t>
        </is>
      </c>
      <c r="D11" s="52" t="n"/>
      <c r="E11" s="53" t="n"/>
      <c r="F11" s="51" t="inlineStr">
        <is>
          <t>Permits/Boren Gas permit.pdf</t>
        </is>
      </c>
      <c r="G11" s="52" t="n"/>
      <c r="H11" s="52" t="n"/>
      <c r="I11" s="52" t="n"/>
      <c r="J11" s="53" t="n"/>
    </row>
    <row r="12">
      <c r="B12" s="48" t="inlineStr">
        <is>
          <t>Synergy Project Reference</t>
        </is>
      </c>
      <c r="C12" s="49" t="inlineStr">
        <is>
          <t>Synergy project #750 · Subcontract #007 · cost code 15400</t>
        </is>
      </c>
      <c r="D12" s="6" t="n"/>
      <c r="E12" s="7" t="n"/>
      <c r="F12" s="49" t="inlineStr">
        <is>
          <t>Contract/525 Boren Contract.pdf</t>
        </is>
      </c>
      <c r="G12" s="6" t="n"/>
      <c r="H12" s="6" t="n"/>
      <c r="I12" s="6" t="n"/>
      <c r="J12" s="7" t="n"/>
    </row>
    <row r="13">
      <c r="B13" s="50" t="inlineStr">
        <is>
          <t>Unit Count</t>
        </is>
      </c>
      <c r="C13" s="51" t="inlineStr">
        <is>
          <t>60 residential units (inferred from 60 TOTO C744E bowls + 60 ST743E tanks)</t>
        </is>
      </c>
      <c r="D13" s="52" t="n"/>
      <c r="E13" s="53" t="n"/>
      <c r="F13" s="51" t="inlineStr">
        <is>
          <t>Vendor Quotes/BOREN - Vender Quote Spreadsheet.xlsx</t>
        </is>
      </c>
      <c r="G13" s="52" t="n"/>
      <c r="H13" s="52" t="n"/>
      <c r="I13" s="52" t="n"/>
      <c r="J13" s="53" t="n"/>
    </row>
    <row r="14">
      <c r="B14" s="48" t="inlineStr">
        <is>
          <t>Fixture Inventory</t>
        </is>
      </c>
      <c r="C14" s="49" t="inlineStr">
        <is>
          <t>669 fixture-line units across 20 SKUs — 60 toilets (56 TOTO C744E + 4 C744EL ADA) · 60 china lavs (TOTO LT231) · 60 Grohe lav faucets · 51 kitchen faucets · 59 shower valve trims · 17 tub spouts · 59 Aquatic tub/shower units (32×1483EN + 17×2603SMTE + 10×1423C) · 3 Moen ADA hand-shower kits · 1 Mustee dog wash + 1 Kohler grid drain. Submittals on file: 12 fixture PDFs + 8 tub/shower PDFs.</t>
        </is>
      </c>
      <c r="D14" s="6" t="n"/>
      <c r="E14" s="7" t="n"/>
      <c r="F14" s="49" t="inlineStr">
        <is>
          <t>Vendor Quotes/BOREN - Vender Quote Spreadsheet.xlsx · Submittals/FIXTURE SUBMITTALS/ · Submittals/TUB &amp; SHOWER SUBMITTALS/</t>
        </is>
      </c>
      <c r="G14" s="6" t="n"/>
      <c r="H14" s="6" t="n"/>
      <c r="I14" s="6" t="n"/>
      <c r="J14" s="7" t="n"/>
    </row>
    <row r="15">
      <c r="B15" s="50" t="inlineStr">
        <is>
          <t>Building Profile</t>
        </is>
      </c>
      <c r="C15" s="51" t="inlineStr">
        <is>
          <t>7-story midrise apartment (L1-L7 + rooftop mech room + basement) per SOV — mixed-use with L1 retail + dog wash + leasing office</t>
        </is>
      </c>
      <c r="D15" s="52" t="n"/>
      <c r="E15" s="53" t="n"/>
      <c r="F15" s="51" t="inlineStr">
        <is>
          <t>Billing/525 Boren SOV template with contract value.xlsx</t>
        </is>
      </c>
      <c r="G15" s="52" t="n"/>
      <c r="H15" s="52" t="n"/>
      <c r="I15" s="52" t="n"/>
      <c r="J15" s="53" t="n"/>
    </row>
    <row r="16">
      <c r="B16" s="48" t="inlineStr">
        <is>
          <t>Contract / PO Document</t>
        </is>
      </c>
      <c r="C16" s="49" t="inlineStr">
        <is>
          <t>Subcontract #007 — Lump Sum $825,370.00 (AGC of Washington 2006 Ed.) + 8% retainage clause</t>
        </is>
      </c>
      <c r="D16" s="6" t="n"/>
      <c r="E16" s="7" t="n"/>
      <c r="F16" s="49" t="inlineStr">
        <is>
          <t>Contract/525 Boren Contract.pdf</t>
        </is>
      </c>
      <c r="G16" s="6" t="n"/>
      <c r="H16" s="6" t="n"/>
      <c r="I16" s="6" t="n"/>
      <c r="J16" s="7" t="n"/>
    </row>
    <row r="17">
      <c r="B17" s="50" t="inlineStr">
        <is>
          <t>Contract Type</t>
        </is>
      </c>
      <c r="C17" s="51" t="inlineStr">
        <is>
          <t>Lump Sum subcontract per AGC Washington 2006 GC template</t>
        </is>
      </c>
      <c r="D17" s="52" t="n"/>
      <c r="E17" s="53" t="n"/>
      <c r="F17" s="51" t="inlineStr">
        <is>
          <t>Contract/525 Boren Contract.pdf</t>
        </is>
      </c>
      <c r="G17" s="52" t="n"/>
      <c r="H17" s="52" t="n"/>
      <c r="I17" s="52" t="n"/>
      <c r="J17" s="53" t="n"/>
    </row>
    <row r="18">
      <c r="B18" s="48" t="inlineStr">
        <is>
          <t>Plans / Specifications</t>
        </is>
      </c>
      <c r="C18" s="49" t="inlineStr">
        <is>
          <t>Full plumbing construction set (525-Plumbing Construction Set PR.pdf) + 11 MEP DWGs (basement, L1-L7, Roof) in Brett 525 Boren/; MEP Superplots 2016-02/02/03</t>
        </is>
      </c>
      <c r="D18" s="6" t="n"/>
      <c r="E18" s="7" t="n"/>
      <c r="F18" s="49" t="inlineStr">
        <is>
          <t>Folder scan — Brett 525 Boren/</t>
        </is>
      </c>
      <c r="G18" s="6" t="n"/>
      <c r="H18" s="6" t="n"/>
      <c r="I18" s="6" t="n"/>
      <c r="J18" s="7" t="n"/>
    </row>
    <row r="19">
      <c r="B19" s="50" t="inlineStr">
        <is>
          <t>Change Orders (on file)</t>
        </is>
      </c>
      <c r="C19" s="51" t="inlineStr">
        <is>
          <t>2 CORs (COR#01 Temp Gas $357 executed as CO, COR#02 Unclog Toilet $293 warranty-era); 1 Budget Transfer (CO#02); SOV shows +$4,940 adjustment between draws #1-#2</t>
        </is>
      </c>
      <c r="D19" s="52" t="n"/>
      <c r="E19" s="53" t="n"/>
      <c r="F19" s="51" t="inlineStr">
        <is>
          <t>Change Orders/COR_s · Change Orders/CO_s · Billing/*.xlsx</t>
        </is>
      </c>
      <c r="G19" s="52" t="n"/>
      <c r="H19" s="52" t="n"/>
      <c r="I19" s="52" t="n"/>
      <c r="J19" s="53" t="n"/>
    </row>
    <row r="20">
      <c r="B20" s="48" t="inlineStr">
        <is>
          <t>ASI / RFI</t>
        </is>
      </c>
      <c r="C20" s="49" t="inlineStr">
        <is>
          <t>2 change-events: ASI-12 MEP Peer Review Response + PR-02 Media Room Redesign</t>
        </is>
      </c>
      <c r="D20" s="6" t="n"/>
      <c r="E20" s="7" t="n"/>
      <c r="F20" s="49" t="inlineStr">
        <is>
          <t>ASI-RFI/</t>
        </is>
      </c>
      <c r="G20" s="6" t="n"/>
      <c r="H20" s="6" t="n"/>
      <c r="I20" s="6" t="n"/>
      <c r="J20" s="7" t="n"/>
    </row>
    <row r="21">
      <c r="B21" s="50" t="inlineStr">
        <is>
          <t>Submittals</t>
        </is>
      </c>
      <c r="C21" s="51" t="inlineStr">
        <is>
          <t>44 submittals across 7 categories (Equipment-7, Fixtures-12, Material-5, Responses-1, Sleeving Plans-1, Tub/Shower-8, Underground/Garage-10)</t>
        </is>
      </c>
      <c r="D21" s="52" t="n"/>
      <c r="E21" s="53" t="n"/>
      <c r="F21" s="51" t="inlineStr">
        <is>
          <t>Submittals/ subfolder scan</t>
        </is>
      </c>
      <c r="G21" s="52" t="n"/>
      <c r="H21" s="52" t="n"/>
      <c r="I21" s="52" t="n"/>
      <c r="J21" s="53" t="n"/>
    </row>
    <row r="22">
      <c r="B22" s="48" t="inlineStr">
        <is>
          <t>Permits</t>
        </is>
      </c>
      <c r="C22" s="49" t="inlineStr">
        <is>
          <t>5 permits (Plumbing, Gas, Gas Temp Heat, Backflow, Renewed Plumbing+Gas+Backflow). Gas permit SR1397520 to 525 Boren LLC.</t>
        </is>
      </c>
      <c r="D22" s="6" t="n"/>
      <c r="E22" s="7" t="n"/>
      <c r="F22" s="49" t="inlineStr">
        <is>
          <t>Permits/</t>
        </is>
      </c>
      <c r="G22" s="6" t="n"/>
      <c r="H22" s="6" t="n"/>
      <c r="I22" s="6" t="n"/>
      <c r="J22" s="7" t="n"/>
    </row>
    <row r="23">
      <c r="B23" s="50" t="inlineStr">
        <is>
          <t>Insurance / Closeout</t>
        </is>
      </c>
      <c r="C23" s="51" t="inlineStr">
        <is>
          <t>Certificate of Insurance 2016-17 on file; O&amp;M manual + Warranty package; 5 vendor lien waivers (Consolidated/Ferguson/Keller/Rosen + template); Full &amp; Final Lien Claim Waiver</t>
        </is>
      </c>
      <c r="D23" s="52" t="n"/>
      <c r="E23" s="53" t="n"/>
      <c r="F23" s="51" t="inlineStr">
        <is>
          <t>Insurance/ · O&amp;M_s/ · Vendor Lien Waivers/ · Billing/</t>
        </is>
      </c>
      <c r="G23" s="52" t="n"/>
      <c r="H23" s="52" t="n"/>
      <c r="I23" s="52" t="n"/>
      <c r="J23" s="53" t="n"/>
    </row>
    <row r="24">
      <c r="B24" s="48" t="inlineStr">
        <is>
          <t>Billing</t>
        </is>
      </c>
      <c r="C24" s="49" t="inlineStr">
        <is>
          <t>15 pay applications (App #1 2016-03-20 → App #15 2017-07-20), Contract Total $830,667.00 @ App #15. 16.5-mo billing window.</t>
        </is>
      </c>
      <c r="D24" s="6" t="n"/>
      <c r="E24" s="7" t="n"/>
      <c r="F24" s="49" t="inlineStr">
        <is>
          <t>Billing/525 Boren SOV draw #*.xlsx</t>
        </is>
      </c>
      <c r="G24" s="6" t="n"/>
      <c r="H24" s="6" t="n"/>
      <c r="I24" s="6" t="n"/>
      <c r="J24" s="7" t="n"/>
    </row>
    <row r="25">
      <c r="B25" s="50" t="inlineStr">
        <is>
          <t>Invoices (subfolder)</t>
        </is>
      </c>
      <c r="C25" s="51" t="inlineStr">
        <is>
          <t>36 AP invoice PDFs filed by cost code (212-Canout:5, 230-Trim:9, 241-Water Main:13, 243-Cond-Drain:2, 601-Eng:3, 607-Other:4)</t>
        </is>
      </c>
      <c r="D25" s="52" t="n"/>
      <c r="E25" s="53" t="n"/>
      <c r="F25" s="51" t="inlineStr">
        <is>
          <t>Invoices/</t>
        </is>
      </c>
      <c r="G25" s="52" t="n"/>
      <c r="H25" s="52" t="n"/>
      <c r="I25" s="52" t="n"/>
      <c r="J25" s="53" t="n"/>
    </row>
    <row r="26">
      <c r="B26" s="48" t="inlineStr">
        <is>
          <t>Vendor Quotes (bid file)</t>
        </is>
      </c>
      <c r="C26" s="49" t="inlineStr">
        <is>
          <t>Bidding spreadsheet w/ 5 suppliers (CONS/KELLER/FEI/ROSEN + alternate); 7 quote docs on file</t>
        </is>
      </c>
      <c r="D26" s="6" t="n"/>
      <c r="E26" s="7" t="n"/>
      <c r="F26" s="49" t="inlineStr">
        <is>
          <t>Vendor Quotes/</t>
        </is>
      </c>
      <c r="G26" s="6" t="n"/>
      <c r="H26" s="6" t="n"/>
      <c r="I26" s="6" t="n"/>
      <c r="J26" s="7" t="n"/>
    </row>
    <row r="27">
      <c r="B27" s="50" t="inlineStr">
        <is>
          <t>Work Period</t>
        </is>
      </c>
      <c r="C27" s="51" t="inlineStr">
        <is>
          <t>03/09/2016 – 07/24/2017 (~16.5 months, per payroll/AR dates)</t>
        </is>
      </c>
      <c r="D27" s="52" t="n"/>
      <c r="E27" s="53" t="n"/>
      <c r="F27" s="51" t="inlineStr">
        <is>
          <t>2026 Job Detail Report.pdf (Sage Timberline export, printed 04/03/2026 1:51PM, 106 pages)</t>
        </is>
      </c>
      <c r="G27" s="52" t="n"/>
      <c r="H27" s="52" t="n"/>
      <c r="I27" s="52" t="n"/>
      <c r="J27" s="53" t="n"/>
    </row>
    <row r="28">
      <c r="B28" s="48" t="inlineStr">
        <is>
          <t>Warranty Incident</t>
        </is>
      </c>
      <c r="C28" s="49" t="inlineStr">
        <is>
          <t>Retail Sewer Problem — 30 photos+videos dated 12/06/2018 (~17 months post-closeout). COR#02 Unclog Toilet $293 issued 10/27/2017.</t>
        </is>
      </c>
      <c r="D28" s="6" t="n"/>
      <c r="E28" s="7" t="n"/>
      <c r="F28" s="49" t="inlineStr">
        <is>
          <t>Retail Sewer Problem/ · Change Orders/COR_s/</t>
        </is>
      </c>
      <c r="G28" s="6" t="n"/>
      <c r="H28" s="6" t="n"/>
      <c r="I28" s="6" t="n"/>
      <c r="J28" s="7" t="n"/>
    </row>
    <row r="29">
      <c r="B29" s="50" t="inlineStr">
        <is>
          <t>Total Unique Documents Reviewed</t>
        </is>
      </c>
      <c r="C29" s="51" t="inlineStr">
        <is>
          <t>130+</t>
        </is>
      </c>
      <c r="D29" s="52" t="n"/>
      <c r="E29" s="53" t="n"/>
      <c r="F29" s="51" t="inlineStr">
        <is>
          <t>Full folder scan of owp-2026/2026-Synergy, 525 Boren -Fox and Finch Apts 4/ including Contract, COs/CORs, Billing, Submittals, Invoices, Permits, ASI-RFI, Plans, Vendor Lien Waivers, Vendor Quotes</t>
        </is>
      </c>
      <c r="G29" s="52" t="n"/>
      <c r="H29" s="52" t="n"/>
      <c r="I29" s="52" t="n"/>
      <c r="J29" s="53" t="n"/>
    </row>
    <row r="30"/>
    <row r="31">
      <c r="B31" s="47" t="inlineStr">
        <is>
          <t>CONTRACT VALUE</t>
        </is>
      </c>
      <c r="C31" s="54" t="n"/>
      <c r="D31" s="55" t="inlineStr">
        <is>
          <t>NET PROFIT</t>
        </is>
      </c>
      <c r="E31" s="54" t="n"/>
      <c r="F31" s="55" t="inlineStr">
        <is>
          <t>DIRECT COST</t>
        </is>
      </c>
      <c r="G31" s="54" t="n"/>
      <c r="H31" s="55" t="inlineStr">
        <is>
          <t>LABOR HOURS</t>
        </is>
      </c>
      <c r="I31" s="54" t="n"/>
      <c r="J31" s="54" t="n"/>
    </row>
    <row r="32">
      <c r="B32" s="56" t="n">
        <v>830667</v>
      </c>
      <c r="D32" s="56" t="n">
        <v>282699.9399999999</v>
      </c>
      <c r="F32" s="56" t="n">
        <v>547967.0600000001</v>
      </c>
      <c r="H32" s="57" t="n">
        <v>8541.5</v>
      </c>
    </row>
    <row r="33">
      <c r="B33" s="50" t="inlineStr">
        <is>
          <t>Original $825,370.00 + $4,940.00 SOV adj + $357.00 CO#1</t>
        </is>
      </c>
      <c r="C33" s="54" t="n"/>
      <c r="D33" s="51" t="inlineStr">
        <is>
          <t>34.0% margin</t>
        </is>
      </c>
      <c r="E33" s="54" t="n"/>
      <c r="F33" s="51" t="inlineStr">
        <is>
          <t>66.0% of revenue</t>
        </is>
      </c>
      <c r="G33" s="54" t="n"/>
      <c r="H33" s="51" t="inlineStr">
        <is>
          <t>25 workers</t>
        </is>
      </c>
      <c r="I33" s="54" t="n"/>
      <c r="J33" s="54" t="n"/>
    </row>
    <row r="34"/>
    <row r="35">
      <c r="B35" s="54" t="n"/>
      <c r="C35" s="54" t="n"/>
      <c r="D35" s="54" t="n"/>
      <c r="E35" s="54" t="n"/>
      <c r="F35" s="54" t="n"/>
      <c r="G35" s="54" t="n"/>
      <c r="H35" s="54" t="n"/>
      <c r="I35" s="54" t="n"/>
      <c r="J35" s="54" t="n"/>
    </row>
    <row r="36">
      <c r="B36" s="58" t="inlineStr">
        <is>
          <t>SCOPE OF WORK (inferred from cost codes)</t>
        </is>
      </c>
    </row>
    <row r="37">
      <c r="B37" s="50" t="inlineStr">
        <is>
          <t>Complete plumbing rough-in + finish for Fox and Finch Apartments at 525 Boren Ave N, Seattle (60 residential units · 7 floors + basement + rooftop mech room · mixed-use L1 retail/leasing/dog-wash).</t>
        </is>
      </c>
      <c r="C37" s="52" t="n"/>
      <c r="D37" s="52" t="n"/>
      <c r="E37" s="52" t="n"/>
      <c r="F37" s="52" t="n"/>
      <c r="G37" s="52" t="n"/>
      <c r="H37" s="52" t="n"/>
      <c r="I37" s="52" t="n"/>
      <c r="J37" s="53" t="n"/>
    </row>
    <row r="38">
      <c r="B38" s="48" t="inlineStr">
        <is>
          <t>SOV-billed phases: pre-con/design ($62k), permits, basement UG + duplex sewage pump, basement water room (PRVs/backflow), domestic/irrigation/retail water mains, gas piping, ProSet canout per level, roughin per level (L1-L7), fiberglass tub stock+install per level, rooftop mech room (water heaters + expansion/circ/mixing), trim package.</t>
        </is>
      </c>
      <c r="C38" s="6" t="n"/>
      <c r="D38" s="6" t="n"/>
      <c r="E38" s="6" t="n"/>
      <c r="F38" s="6" t="n"/>
      <c r="G38" s="6" t="n"/>
      <c r="H38" s="6" t="n"/>
      <c r="I38" s="6" t="n"/>
      <c r="J38" s="7" t="n"/>
    </row>
    <row r="39">
      <c r="B39" s="50" t="inlineStr">
        <is>
          <t>Cost codes: 100-150 labor (Supervision, Takeoff, UG, Garage, Canout, Rough-in, Finish, Gas, Water Main/Insul, Mech Room); 210-244 material (incl 243 Condensation Drains); 600 Sub / 601 Eng / 603 Permits / 607 Other.</t>
        </is>
      </c>
      <c r="C39" s="52" t="n"/>
      <c r="D39" s="52" t="n"/>
      <c r="E39" s="52" t="n"/>
      <c r="F39" s="52" t="n"/>
      <c r="G39" s="52" t="n"/>
      <c r="H39" s="52" t="n"/>
      <c r="I39" s="52" t="n"/>
      <c r="J39" s="53" t="n"/>
    </row>
    <row r="40">
      <c r="B40" s="48" t="inlineStr">
        <is>
          <t>Contract signed per AGC Washington 2006 Ed. — Lump Sum $825,370 (Subcontract #007, Synergy project #750, cost code 15400), with 8% retainage withholding per AGC template.</t>
        </is>
      </c>
      <c r="C40" s="6" t="n"/>
      <c r="D40" s="6" t="n"/>
      <c r="E40" s="6" t="n"/>
      <c r="F40" s="6" t="n"/>
      <c r="G40" s="6" t="n"/>
      <c r="H40" s="6" t="n"/>
      <c r="I40" s="6" t="n"/>
      <c r="J40" s="7" t="n"/>
    </row>
    <row r="41">
      <c r="B41" s="50" t="inlineStr">
        <is>
          <t>Full plumbing construction set on file (525-Plumbing Construction Set PR.pdf + 11 MEP DWGs, L1-L7 + Roof + UG/Below Roof + Vault Shift), plus MEP Superplots series 2016-02-09 / 02-22 / 03-07.</t>
        </is>
      </c>
      <c r="C41" s="52" t="n"/>
      <c r="D41" s="52" t="n"/>
      <c r="E41" s="52" t="n"/>
      <c r="F41" s="52" t="n"/>
      <c r="G41" s="52" t="n"/>
      <c r="H41" s="52" t="n"/>
      <c r="I41" s="52" t="n"/>
      <c r="J41" s="53" t="n"/>
    </row>
    <row r="42"/>
    <row r="43">
      <c r="B43" s="54" t="n"/>
      <c r="C43" s="54" t="n"/>
      <c r="D43" s="54" t="n"/>
      <c r="E43" s="54" t="n"/>
      <c r="F43" s="54" t="n"/>
      <c r="G43" s="54" t="n"/>
      <c r="H43" s="54" t="n"/>
      <c r="I43" s="54" t="n"/>
      <c r="J43" s="54" t="n"/>
    </row>
    <row r="44">
      <c r="B44" s="59" t="inlineStr">
        <is>
          <t>SOURCES</t>
        </is>
      </c>
      <c r="C44" s="12" t="inlineStr"/>
      <c r="D44" s="12" t="inlineStr"/>
      <c r="E44" s="12" t="inlineStr"/>
      <c r="F44" s="12" t="inlineStr"/>
      <c r="G44" s="12" t="inlineStr"/>
      <c r="H44" s="12" t="inlineStr"/>
      <c r="I44" s="12" t="inlineStr"/>
      <c r="J44" s="12" t="inlineStr"/>
    </row>
    <row r="45">
      <c r="B45" s="50" t="inlineStr">
        <is>
          <t>Canonical source: 2026 Job Detail Report.pdf (Sage Timberline export, printed 04/03/2026 1:51PM, 106 pages)</t>
        </is>
      </c>
      <c r="C45" s="52" t="n"/>
      <c r="D45" s="52" t="n"/>
      <c r="E45" s="52" t="n"/>
      <c r="F45" s="52" t="n"/>
      <c r="G45" s="52" t="n"/>
      <c r="H45" s="52" t="n"/>
      <c r="I45" s="52" t="n"/>
      <c r="J45" s="53" t="n"/>
    </row>
    <row r="46">
      <c r="B46" s="48" t="inlineStr">
        <is>
          <t>Job totals (JDR footer): Revenue $830,667.00 / Expenses $547,967.06 / Net $282,699.94 / Retainage $41,533.35</t>
        </is>
      </c>
      <c r="C46" s="6" t="n"/>
      <c r="D46" s="6" t="n"/>
      <c r="E46" s="6" t="n"/>
      <c r="F46" s="6" t="n"/>
      <c r="G46" s="6" t="n"/>
      <c r="H46" s="6" t="n"/>
      <c r="I46" s="6" t="n"/>
      <c r="J46" s="7" t="n"/>
    </row>
    <row r="47">
      <c r="B47" s="50" t="inlineStr">
        <is>
          <t>Source breakdown (JDR footer): GL $30,577.13 · AP $197,171.05 · PR $320,218.88 · AR $830,667.00</t>
        </is>
      </c>
      <c r="C47" s="52" t="n"/>
      <c r="D47" s="52" t="n"/>
      <c r="E47" s="52" t="n"/>
      <c r="F47" s="52" t="n"/>
      <c r="G47" s="52" t="n"/>
      <c r="H47" s="52" t="n"/>
      <c r="I47" s="52" t="n"/>
      <c r="J47" s="53" t="n"/>
    </row>
    <row r="48">
      <c r="B48" s="48" t="inlineStr">
        <is>
          <t>Secondary folder items: Plans/525 Boren MEP/ELEC (electrical only); Franklin 525 Boren/In to FE/1 Revit Model Sharing/ (backup)</t>
        </is>
      </c>
      <c r="C48" s="6" t="n"/>
      <c r="D48" s="6" t="n"/>
      <c r="E48" s="6" t="n"/>
      <c r="F48" s="6" t="n"/>
      <c r="G48" s="6" t="n"/>
      <c r="H48" s="6" t="n"/>
      <c r="I48" s="6" t="n"/>
      <c r="J48" s="7" t="n"/>
    </row>
    <row r="49">
      <c r="B49" s="50" t="inlineStr">
        <is>
          <t>NO contract/PO, submittal, RFI, CO, ASI, billing, insurance, or closeout document folders exist in project.</t>
        </is>
      </c>
      <c r="C49" s="52" t="n"/>
      <c r="D49" s="52" t="n"/>
      <c r="E49" s="52" t="n"/>
      <c r="F49" s="52" t="n"/>
      <c r="G49" s="52" t="n"/>
      <c r="H49" s="52" t="n"/>
      <c r="I49" s="52" t="n"/>
      <c r="J49" s="53" t="n"/>
    </row>
    <row r="50"/>
    <row r="51">
      <c r="B51" s="54" t="n"/>
      <c r="C51" s="54" t="n"/>
      <c r="D51" s="54" t="n"/>
      <c r="E51" s="54" t="n"/>
      <c r="F51" s="54" t="n"/>
      <c r="G51" s="54" t="n"/>
      <c r="H51" s="54" t="n"/>
      <c r="I51" s="54" t="n"/>
      <c r="J51" s="54" t="n"/>
    </row>
    <row r="52">
      <c r="B52" s="60" t="inlineStr">
        <is>
          <t>PROJECT TEAM (OWP Job Info)</t>
        </is>
      </c>
    </row>
    <row r="53">
      <c r="B53" s="61" t="inlineStr">
        <is>
          <t>Role</t>
        </is>
      </c>
      <c r="C53" s="62" t="inlineStr">
        <is>
          <t>Status</t>
        </is>
      </c>
      <c r="D53" s="62" t="inlineStr">
        <is>
          <t>Name / Firm</t>
        </is>
      </c>
      <c r="E53" s="54" t="n"/>
      <c r="F53" s="54" t="n"/>
      <c r="G53" s="54" t="n"/>
      <c r="H53" s="54" t="n"/>
      <c r="I53" s="54" t="n"/>
      <c r="J53" s="54" t="n"/>
    </row>
    <row r="54">
      <c r="B54" s="60" t="inlineStr">
        <is>
          <t>GC</t>
        </is>
      </c>
      <c r="C54" s="63" t="inlineStr">
        <is>
          <t>Extracted</t>
        </is>
      </c>
      <c r="D54" s="64" t="inlineStr">
        <is>
          <t>Exxel Pacific, Inc.</t>
        </is>
      </c>
    </row>
    <row r="55">
      <c r="B55" s="61" t="inlineStr">
        <is>
          <t>GC PM</t>
        </is>
      </c>
      <c r="C55" s="63" t="inlineStr">
        <is>
          <t>Extracted</t>
        </is>
      </c>
      <c r="D55" s="62" t="inlineStr">
        <is>
          <t>Justin Gotcher / Chris Austin</t>
        </is>
      </c>
      <c r="E55" s="54" t="n"/>
      <c r="F55" s="54" t="n"/>
      <c r="G55" s="54" t="n"/>
      <c r="H55" s="54" t="n"/>
      <c r="I55" s="54" t="n"/>
      <c r="J55" s="54" t="n"/>
    </row>
    <row r="56">
      <c r="B56" s="60" t="inlineStr">
        <is>
          <t>GC Superintendent</t>
        </is>
      </c>
      <c r="C56" s="63" t="inlineStr">
        <is>
          <t>Extracted</t>
        </is>
      </c>
      <c r="D56" s="64" t="inlineStr">
        <is>
          <t>Brian Proctor</t>
        </is>
      </c>
    </row>
    <row r="57">
      <c r="B57" s="61" t="inlineStr">
        <is>
          <t>GC PE</t>
        </is>
      </c>
      <c r="C57" s="63" t="inlineStr">
        <is>
          <t>Extracted</t>
        </is>
      </c>
      <c r="D57" s="62" t="inlineStr">
        <is>
          <t>Chris Austin</t>
        </is>
      </c>
      <c r="E57" s="54" t="n"/>
      <c r="F57" s="54" t="n"/>
      <c r="G57" s="54" t="n"/>
      <c r="H57" s="54" t="n"/>
      <c r="I57" s="54" t="n"/>
      <c r="J57" s="54" t="n"/>
    </row>
    <row r="58">
      <c r="B58" s="60" t="inlineStr">
        <is>
          <t>Developer</t>
        </is>
      </c>
      <c r="C58" s="63" t="inlineStr">
        <is>
          <t>Extracted</t>
        </is>
      </c>
      <c r="D58" s="64" t="inlineStr">
        <is>
          <t>Intra-Corp</t>
        </is>
      </c>
    </row>
    <row r="59">
      <c r="B59" s="61" t="inlineStr">
        <is>
          <t>Architect</t>
        </is>
      </c>
      <c r="C59" s="63" t="inlineStr">
        <is>
          <t>Extracted</t>
        </is>
      </c>
      <c r="D59" s="62" t="inlineStr">
        <is>
          <t>Nicholson Kovalchick</t>
        </is>
      </c>
      <c r="E59" s="54" t="n"/>
      <c r="F59" s="54" t="n"/>
      <c r="G59" s="54" t="n"/>
      <c r="H59" s="54" t="n"/>
      <c r="I59" s="54" t="n"/>
      <c r="J59" s="54" t="n"/>
    </row>
    <row r="60">
      <c r="B60" s="60" t="inlineStr">
        <is>
          <t>Structural</t>
        </is>
      </c>
      <c r="C60" s="65" t="inlineStr">
        <is>
          <t>N/A</t>
        </is>
      </c>
      <c r="D60" s="64" t="inlineStr">
        <is>
          <t>N/A</t>
        </is>
      </c>
    </row>
    <row r="61">
      <c r="B61" s="61" t="inlineStr">
        <is>
          <t>Acoustical</t>
        </is>
      </c>
      <c r="C61" s="65" t="inlineStr">
        <is>
          <t>N/A</t>
        </is>
      </c>
      <c r="D61" s="62" t="inlineStr">
        <is>
          <t>N/A</t>
        </is>
      </c>
      <c r="E61" s="54" t="n"/>
      <c r="F61" s="54" t="n"/>
      <c r="G61" s="54" t="n"/>
      <c r="H61" s="54" t="n"/>
      <c r="I61" s="54" t="n"/>
      <c r="J61" s="54" t="n"/>
    </row>
    <row r="62">
      <c r="B62" s="60" t="inlineStr">
        <is>
          <t>ADA Consultant</t>
        </is>
      </c>
      <c r="C62" s="65" t="inlineStr">
        <is>
          <t>N/A</t>
        </is>
      </c>
      <c r="D62" s="64" t="inlineStr">
        <is>
          <t>N/A</t>
        </is>
      </c>
    </row>
    <row r="63">
      <c r="B63" s="61" t="inlineStr">
        <is>
          <t>Interior Design</t>
        </is>
      </c>
      <c r="C63" s="65" t="inlineStr">
        <is>
          <t>N/A</t>
        </is>
      </c>
      <c r="D63" s="62" t="inlineStr">
        <is>
          <t>N/A</t>
        </is>
      </c>
      <c r="E63" s="54" t="n"/>
      <c r="F63" s="54" t="n"/>
      <c r="G63" s="54" t="n"/>
      <c r="H63" s="54" t="n"/>
      <c r="I63" s="54" t="n"/>
      <c r="J63" s="54" t="n"/>
    </row>
    <row r="64">
      <c r="B64" s="60" t="inlineStr">
        <is>
          <t>MEP Engineer</t>
        </is>
      </c>
      <c r="C64" s="63" t="inlineStr">
        <is>
          <t>Extracted</t>
        </is>
      </c>
      <c r="D64" s="64" t="inlineStr">
        <is>
          <t>Pressler</t>
        </is>
      </c>
    </row>
  </sheetData>
  <mergeCells count="71">
    <mergeCell ref="C16:E16"/>
    <mergeCell ref="D62:J62"/>
    <mergeCell ref="F29:J29"/>
    <mergeCell ref="D56:J56"/>
    <mergeCell ref="F11:J11"/>
    <mergeCell ref="D58:J58"/>
    <mergeCell ref="F10:J10"/>
    <mergeCell ref="F16:J16"/>
    <mergeCell ref="C22:E22"/>
    <mergeCell ref="C9:E9"/>
    <mergeCell ref="F19:J19"/>
    <mergeCell ref="F25:J25"/>
    <mergeCell ref="D55:J55"/>
    <mergeCell ref="F6:J6"/>
    <mergeCell ref="C21:E21"/>
    <mergeCell ref="D64:J64"/>
    <mergeCell ref="C12:E12"/>
    <mergeCell ref="B38:J38"/>
    <mergeCell ref="F7:J7"/>
    <mergeCell ref="C11:E11"/>
    <mergeCell ref="F15:J15"/>
    <mergeCell ref="F21:J21"/>
    <mergeCell ref="C27:E27"/>
    <mergeCell ref="F12:J12"/>
    <mergeCell ref="F24:J24"/>
    <mergeCell ref="B37:J37"/>
    <mergeCell ref="F20:J20"/>
    <mergeCell ref="C23:E23"/>
    <mergeCell ref="D54:J54"/>
    <mergeCell ref="D59:J59"/>
    <mergeCell ref="C8:E8"/>
    <mergeCell ref="B40:J40"/>
    <mergeCell ref="D60:J60"/>
    <mergeCell ref="C17:E17"/>
    <mergeCell ref="F18:J18"/>
    <mergeCell ref="B49:J49"/>
    <mergeCell ref="C7:E7"/>
    <mergeCell ref="D63:J63"/>
    <mergeCell ref="F8:J8"/>
    <mergeCell ref="F26:J26"/>
    <mergeCell ref="F17:J17"/>
    <mergeCell ref="C28:E28"/>
    <mergeCell ref="C13:E13"/>
    <mergeCell ref="C19:E19"/>
    <mergeCell ref="B45:J45"/>
    <mergeCell ref="F23:J23"/>
    <mergeCell ref="C18:E18"/>
    <mergeCell ref="F28:J28"/>
    <mergeCell ref="B41:J41"/>
    <mergeCell ref="D57:J57"/>
    <mergeCell ref="F22:J22"/>
    <mergeCell ref="F13:J13"/>
    <mergeCell ref="C15:E15"/>
    <mergeCell ref="B47:J47"/>
    <mergeCell ref="C6:E6"/>
    <mergeCell ref="C24:E24"/>
    <mergeCell ref="F27:J27"/>
    <mergeCell ref="F9:J9"/>
    <mergeCell ref="D61:J61"/>
    <mergeCell ref="B3:J3"/>
    <mergeCell ref="C14:E14"/>
    <mergeCell ref="B46:J46"/>
    <mergeCell ref="B39:J39"/>
    <mergeCell ref="B48:J48"/>
    <mergeCell ref="C26:E26"/>
    <mergeCell ref="C29:E29"/>
    <mergeCell ref="F14:J14"/>
    <mergeCell ref="C20:E20"/>
    <mergeCell ref="C25:E25"/>
    <mergeCell ref="B2:J2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34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4" t="inlineStr">
        <is>
          <t>Budget vs Actual</t>
        </is>
      </c>
    </row>
    <row r="3" ht="22" customHeight="1">
      <c r="B3" s="45" t="inlineStr">
        <is>
          <t>All 28 cost codes from JDR. Contract adjusted $825,370 → $830,667 (implied COs +$5,297.00).</t>
        </is>
      </c>
    </row>
    <row r="4" ht="2" customHeight="1">
      <c r="B4" s="46" t="n"/>
      <c r="C4" s="46" t="n"/>
      <c r="D4" s="46" t="n"/>
      <c r="E4" s="46" t="n"/>
      <c r="F4" s="46" t="n"/>
      <c r="G4" s="46" t="n"/>
      <c r="H4" s="46" t="n"/>
      <c r="I4" s="46" t="n"/>
      <c r="J4" s="46" t="n"/>
    </row>
    <row r="5">
      <c r="B5" s="66" t="inlineStr">
        <is>
          <t>Cost Code</t>
        </is>
      </c>
      <c r="C5" s="66" t="inlineStr">
        <is>
          <t>Description</t>
        </is>
      </c>
      <c r="D5" s="66" t="inlineStr">
        <is>
          <t>Original Budget</t>
        </is>
      </c>
      <c r="E5" s="66" t="inlineStr">
        <is>
          <t>Revised Budget</t>
        </is>
      </c>
      <c r="F5" s="66" t="inlineStr">
        <is>
          <t>Actual</t>
        </is>
      </c>
      <c r="G5" s="66" t="inlineStr">
        <is>
          <t>Variance</t>
        </is>
      </c>
      <c r="H5" s="66" t="inlineStr">
        <is>
          <t>% of Revised</t>
        </is>
      </c>
      <c r="I5" s="66" t="inlineStr">
        <is>
          <t>Hours</t>
        </is>
      </c>
      <c r="J5" s="66" t="inlineStr">
        <is>
          <t>Source</t>
        </is>
      </c>
    </row>
    <row r="6">
      <c r="B6" s="48" t="inlineStr">
        <is>
          <t>100</t>
        </is>
      </c>
      <c r="C6" s="49" t="inlineStr">
        <is>
          <t>Supervision</t>
        </is>
      </c>
      <c r="D6" s="67" t="n">
        <v>7840</v>
      </c>
      <c r="E6" s="67" t="n">
        <v>7840</v>
      </c>
      <c r="F6" s="67" t="n">
        <v>2078.5</v>
      </c>
      <c r="G6" s="68">
        <f>F6-E6</f>
        <v/>
      </c>
      <c r="H6" s="69">
        <f>IF(E6=0,"",F6/E6)</f>
        <v/>
      </c>
      <c r="I6" s="57" t="n">
        <v>45.5</v>
      </c>
      <c r="J6" s="49" t="inlineStr">
        <is>
          <t>2026 Job Detail Report.pdf (Sage Timberline export, printed 04/03/2026 1:51PM, 106 pages)</t>
        </is>
      </c>
    </row>
    <row r="7">
      <c r="B7" s="50" t="inlineStr">
        <is>
          <t>101</t>
        </is>
      </c>
      <c r="C7" s="51" t="inlineStr">
        <is>
          <t>Takeoff &amp; Purchase Labor</t>
        </is>
      </c>
      <c r="D7" s="70" t="n">
        <v>7840</v>
      </c>
      <c r="E7" s="70" t="n">
        <v>7840</v>
      </c>
      <c r="F7" s="70" t="n">
        <v>5998</v>
      </c>
      <c r="G7" s="71">
        <f>F7-E7</f>
        <v/>
      </c>
      <c r="H7" s="72">
        <f>IF(E7=0,"",F7/E7)</f>
        <v/>
      </c>
      <c r="I7" s="73" t="n">
        <v>130</v>
      </c>
      <c r="J7" s="51" t="inlineStr">
        <is>
          <t>2026 Job Detail Report.pdf (Sage Timberline export, printed 04/03/2026 1:51PM, 106 pages)</t>
        </is>
      </c>
    </row>
    <row r="8">
      <c r="B8" s="48" t="inlineStr">
        <is>
          <t>110</t>
        </is>
      </c>
      <c r="C8" s="49" t="inlineStr">
        <is>
          <t>Underground Labor</t>
        </is>
      </c>
      <c r="D8" s="67" t="n">
        <v>5450</v>
      </c>
      <c r="E8" s="67" t="n">
        <v>5450</v>
      </c>
      <c r="F8" s="67" t="n">
        <v>2899.5</v>
      </c>
      <c r="G8" s="68">
        <f>F8-E8</f>
        <v/>
      </c>
      <c r="H8" s="69">
        <f>IF(E8=0,"",F8/E8)</f>
        <v/>
      </c>
      <c r="I8" s="57" t="n">
        <v>104</v>
      </c>
      <c r="J8" s="49" t="inlineStr">
        <is>
          <t>2026 Job Detail Report.pdf (Sage Timberline export, printed 04/03/2026 1:51PM, 106 pages)</t>
        </is>
      </c>
    </row>
    <row r="9">
      <c r="B9" s="50" t="inlineStr">
        <is>
          <t>111</t>
        </is>
      </c>
      <c r="C9" s="51" t="inlineStr">
        <is>
          <t>Garage Labor</t>
        </is>
      </c>
      <c r="D9" s="70" t="n">
        <v>13550</v>
      </c>
      <c r="E9" s="70" t="n">
        <v>13550</v>
      </c>
      <c r="F9" s="70" t="n">
        <v>22565</v>
      </c>
      <c r="G9" s="71">
        <f>F9-E9</f>
        <v/>
      </c>
      <c r="H9" s="72">
        <f>IF(E9=0,"",F9/E9)</f>
        <v/>
      </c>
      <c r="I9" s="73" t="n">
        <v>870</v>
      </c>
      <c r="J9" s="51" t="inlineStr">
        <is>
          <t>2026 Job Detail Report.pdf (Sage Timberline export, printed 04/03/2026 1:51PM, 106 pages)</t>
        </is>
      </c>
    </row>
    <row r="10">
      <c r="B10" s="48" t="inlineStr">
        <is>
          <t>112</t>
        </is>
      </c>
      <c r="C10" s="49" t="inlineStr">
        <is>
          <t>Canout Labor</t>
        </is>
      </c>
      <c r="D10" s="67" t="n">
        <v>4375</v>
      </c>
      <c r="E10" s="67" t="n">
        <v>4375</v>
      </c>
      <c r="F10" s="67" t="n">
        <v>9448.5</v>
      </c>
      <c r="G10" s="68">
        <f>F10-E10</f>
        <v/>
      </c>
      <c r="H10" s="69">
        <f>IF(E10=0,"",F10/E10)</f>
        <v/>
      </c>
      <c r="I10" s="57" t="n">
        <v>327</v>
      </c>
      <c r="J10" s="49" t="inlineStr">
        <is>
          <t>2026 Job Detail Report.pdf (Sage Timberline export, printed 04/03/2026 1:51PM, 106 pages)</t>
        </is>
      </c>
    </row>
    <row r="11">
      <c r="B11" s="50" t="inlineStr">
        <is>
          <t>120</t>
        </is>
      </c>
      <c r="C11" s="51" t="inlineStr">
        <is>
          <t>Roughin Labor</t>
        </is>
      </c>
      <c r="D11" s="70" t="n">
        <v>101805</v>
      </c>
      <c r="E11" s="70" t="n">
        <v>101946</v>
      </c>
      <c r="F11" s="70" t="n">
        <v>116564.5</v>
      </c>
      <c r="G11" s="71">
        <f>F11-E11</f>
        <v/>
      </c>
      <c r="H11" s="72">
        <f>IF(E11=0,"",F11/E11)</f>
        <v/>
      </c>
      <c r="I11" s="73" t="n">
        <v>4901</v>
      </c>
      <c r="J11" s="51" t="inlineStr">
        <is>
          <t>2026 Job Detail Report.pdf (Sage Timberline export, printed 04/03/2026 1:51PM, 106 pages)</t>
        </is>
      </c>
    </row>
    <row r="12">
      <c r="B12" s="48" t="inlineStr">
        <is>
          <t>130</t>
        </is>
      </c>
      <c r="C12" s="49" t="inlineStr">
        <is>
          <t>Finish Labor</t>
        </is>
      </c>
      <c r="D12" s="67" t="n">
        <v>16920</v>
      </c>
      <c r="E12" s="67" t="n">
        <v>16920</v>
      </c>
      <c r="F12" s="67" t="n">
        <v>12520</v>
      </c>
      <c r="G12" s="68">
        <f>F12-E12</f>
        <v/>
      </c>
      <c r="H12" s="69">
        <f>IF(E12=0,"",F12/E12)</f>
        <v/>
      </c>
      <c r="I12" s="57" t="n">
        <v>625.5</v>
      </c>
      <c r="J12" s="49" t="inlineStr">
        <is>
          <t>2026 Job Detail Report.pdf (Sage Timberline export, printed 04/03/2026 1:51PM, 106 pages)</t>
        </is>
      </c>
    </row>
    <row r="13">
      <c r="B13" s="50" t="inlineStr">
        <is>
          <t>140</t>
        </is>
      </c>
      <c r="C13" s="51" t="inlineStr">
        <is>
          <t>Gas Labor</t>
        </is>
      </c>
      <c r="D13" s="70" t="n">
        <v>6000</v>
      </c>
      <c r="E13" s="70" t="n">
        <v>6000</v>
      </c>
      <c r="F13" s="70" t="n">
        <v>3916</v>
      </c>
      <c r="G13" s="71">
        <f>F13-E13</f>
        <v/>
      </c>
      <c r="H13" s="72">
        <f>IF(E13=0,"",F13/E13)</f>
        <v/>
      </c>
      <c r="I13" s="73" t="n">
        <v>133.5</v>
      </c>
      <c r="J13" s="51" t="inlineStr">
        <is>
          <t>2026 Job Detail Report.pdf (Sage Timberline export, printed 04/03/2026 1:51PM, 106 pages)</t>
        </is>
      </c>
    </row>
    <row r="14">
      <c r="B14" s="48" t="inlineStr">
        <is>
          <t>141</t>
        </is>
      </c>
      <c r="C14" s="49" t="inlineStr">
        <is>
          <t>Water Main/Insulation Lab</t>
        </is>
      </c>
      <c r="D14" s="67" t="n">
        <v>18820</v>
      </c>
      <c r="E14" s="67" t="n">
        <v>18820</v>
      </c>
      <c r="F14" s="67" t="n">
        <v>20543</v>
      </c>
      <c r="G14" s="68">
        <f>F14-E14</f>
        <v/>
      </c>
      <c r="H14" s="69">
        <f>IF(E14=0,"",F14/E14)</f>
        <v/>
      </c>
      <c r="I14" s="57" t="n">
        <v>967</v>
      </c>
      <c r="J14" s="49" t="inlineStr">
        <is>
          <t>2026 Job Detail Report.pdf (Sage Timberline export, printed 04/03/2026 1:51PM, 106 pages)</t>
        </is>
      </c>
    </row>
    <row r="15">
      <c r="B15" s="50" t="inlineStr">
        <is>
          <t>142</t>
        </is>
      </c>
      <c r="C15" s="51" t="inlineStr">
        <is>
          <t>Mech Room Labor</t>
        </is>
      </c>
      <c r="D15" s="70" t="n">
        <v>9180</v>
      </c>
      <c r="E15" s="70" t="n">
        <v>9180</v>
      </c>
      <c r="F15" s="70" t="n">
        <v>14056.5</v>
      </c>
      <c r="G15" s="71">
        <f>F15-E15</f>
        <v/>
      </c>
      <c r="H15" s="72">
        <f>IF(E15=0,"",F15/E15)</f>
        <v/>
      </c>
      <c r="I15" s="73" t="n">
        <v>435</v>
      </c>
      <c r="J15" s="51" t="inlineStr">
        <is>
          <t>2026 Job Detail Report.pdf (Sage Timberline export, printed 04/03/2026 1:51PM, 106 pages)</t>
        </is>
      </c>
    </row>
    <row r="16">
      <c r="B16" s="48" t="inlineStr">
        <is>
          <t>150</t>
        </is>
      </c>
      <c r="C16" s="49" t="inlineStr">
        <is>
          <t>Warranty Labor</t>
        </is>
      </c>
      <c r="D16" s="67" t="n">
        <v>0</v>
      </c>
      <c r="E16" s="67" t="n">
        <v>0</v>
      </c>
      <c r="F16" s="67" t="n">
        <v>126</v>
      </c>
      <c r="G16" s="68">
        <f>F16-E16</f>
        <v/>
      </c>
      <c r="H16" s="69">
        <f>IF(E16=0,"",F16/E16)</f>
        <v/>
      </c>
      <c r="I16" s="57" t="n">
        <v>3</v>
      </c>
      <c r="J16" s="49" t="inlineStr">
        <is>
          <t>2026 Job Detail Report.pdf (Sage Timberline export, printed 04/03/2026 1:51PM, 106 pages)</t>
        </is>
      </c>
    </row>
    <row r="17">
      <c r="B17" s="50" t="inlineStr">
        <is>
          <t>210</t>
        </is>
      </c>
      <c r="C17" s="51" t="inlineStr">
        <is>
          <t>Underground Material</t>
        </is>
      </c>
      <c r="D17" s="70" t="n">
        <v>11900</v>
      </c>
      <c r="E17" s="70" t="n">
        <v>11900</v>
      </c>
      <c r="F17" s="70" t="n">
        <v>6574.76</v>
      </c>
      <c r="G17" s="71">
        <f>F17-E17</f>
        <v/>
      </c>
      <c r="H17" s="72">
        <f>IF(E17=0,"",F17/E17)</f>
        <v/>
      </c>
      <c r="I17" s="74" t="inlineStr"/>
      <c r="J17" s="51" t="inlineStr">
        <is>
          <t>2026 Job Detail Report.pdf (Sage Timberline export, printed 04/03/2026 1:51PM, 106 pages)</t>
        </is>
      </c>
    </row>
    <row r="18">
      <c r="B18" s="48" t="inlineStr">
        <is>
          <t>211</t>
        </is>
      </c>
      <c r="C18" s="49" t="inlineStr">
        <is>
          <t>Garage Material</t>
        </is>
      </c>
      <c r="D18" s="67" t="n">
        <v>16750</v>
      </c>
      <c r="E18" s="67" t="n">
        <v>16750</v>
      </c>
      <c r="F18" s="67" t="n">
        <v>16318.46</v>
      </c>
      <c r="G18" s="68">
        <f>F18-E18</f>
        <v/>
      </c>
      <c r="H18" s="69">
        <f>IF(E18=0,"",F18/E18)</f>
        <v/>
      </c>
      <c r="I18" s="17" t="inlineStr"/>
      <c r="J18" s="49" t="inlineStr">
        <is>
          <t>2026 Job Detail Report.pdf (Sage Timberline export, printed 04/03/2026 1:51PM, 106 pages)</t>
        </is>
      </c>
    </row>
    <row r="19">
      <c r="B19" s="50" t="inlineStr">
        <is>
          <t>212</t>
        </is>
      </c>
      <c r="C19" s="51" t="inlineStr">
        <is>
          <t>Canout Material</t>
        </is>
      </c>
      <c r="D19" s="70" t="n">
        <v>4375</v>
      </c>
      <c r="E19" s="70" t="n">
        <v>4375</v>
      </c>
      <c r="F19" s="70" t="n">
        <v>5237.21</v>
      </c>
      <c r="G19" s="71">
        <f>F19-E19</f>
        <v/>
      </c>
      <c r="H19" s="72">
        <f>IF(E19=0,"",F19/E19)</f>
        <v/>
      </c>
      <c r="I19" s="74" t="inlineStr"/>
      <c r="J19" s="51" t="inlineStr">
        <is>
          <t>2026 Job Detail Report.pdf (Sage Timberline export, printed 04/03/2026 1:51PM, 106 pages)</t>
        </is>
      </c>
    </row>
    <row r="20">
      <c r="B20" s="48" t="inlineStr">
        <is>
          <t>220</t>
        </is>
      </c>
      <c r="C20" s="49" t="inlineStr">
        <is>
          <t>Roughin Material</t>
        </is>
      </c>
      <c r="D20" s="67" t="n">
        <v>60210</v>
      </c>
      <c r="E20" s="67" t="n">
        <v>60210</v>
      </c>
      <c r="F20" s="67" t="n">
        <v>42655.4</v>
      </c>
      <c r="G20" s="68">
        <f>F20-E20</f>
        <v/>
      </c>
      <c r="H20" s="69">
        <f>IF(E20=0,"",F20/E20)</f>
        <v/>
      </c>
      <c r="I20" s="17" t="inlineStr"/>
      <c r="J20" s="49" t="inlineStr">
        <is>
          <t>2026 Job Detail Report.pdf (Sage Timberline export, printed 04/03/2026 1:51PM, 106 pages)</t>
        </is>
      </c>
    </row>
    <row r="21">
      <c r="B21" s="50" t="inlineStr">
        <is>
          <t>230</t>
        </is>
      </c>
      <c r="C21" s="51" t="inlineStr">
        <is>
          <t>Finish Material</t>
        </is>
      </c>
      <c r="D21" s="70" t="n">
        <v>78595</v>
      </c>
      <c r="E21" s="70" t="n">
        <v>82765</v>
      </c>
      <c r="F21" s="70" t="n">
        <v>68397.28</v>
      </c>
      <c r="G21" s="71">
        <f>F21-E21</f>
        <v/>
      </c>
      <c r="H21" s="72">
        <f>IF(E21=0,"",F21/E21)</f>
        <v/>
      </c>
      <c r="I21" s="74" t="inlineStr"/>
      <c r="J21" s="51" t="inlineStr">
        <is>
          <t>2026 Job Detail Report.pdf (Sage Timberline export, printed 04/03/2026 1:51PM, 106 pages)</t>
        </is>
      </c>
    </row>
    <row r="22">
      <c r="B22" s="48" t="inlineStr">
        <is>
          <t>240</t>
        </is>
      </c>
      <c r="C22" s="49" t="inlineStr">
        <is>
          <t>Gas Material</t>
        </is>
      </c>
      <c r="D22" s="67" t="n">
        <v>3600</v>
      </c>
      <c r="E22" s="67" t="n">
        <v>3600</v>
      </c>
      <c r="F22" s="67" t="n">
        <v>625.77</v>
      </c>
      <c r="G22" s="68">
        <f>F22-E22</f>
        <v/>
      </c>
      <c r="H22" s="69">
        <f>IF(E22=0,"",F22/E22)</f>
        <v/>
      </c>
      <c r="I22" s="17" t="inlineStr"/>
      <c r="J22" s="49" t="inlineStr">
        <is>
          <t>2026 Job Detail Report.pdf (Sage Timberline export, printed 04/03/2026 1:51PM, 106 pages)</t>
        </is>
      </c>
    </row>
    <row r="23">
      <c r="B23" s="50" t="inlineStr">
        <is>
          <t>241</t>
        </is>
      </c>
      <c r="C23" s="51" t="inlineStr">
        <is>
          <t>Water Main/Insulation Mat</t>
        </is>
      </c>
      <c r="D23" s="70" t="n">
        <v>32420</v>
      </c>
      <c r="E23" s="70" t="n">
        <v>32420</v>
      </c>
      <c r="F23" s="70" t="n">
        <v>21103.03</v>
      </c>
      <c r="G23" s="71">
        <f>F23-E23</f>
        <v/>
      </c>
      <c r="H23" s="72">
        <f>IF(E23=0,"",F23/E23)</f>
        <v/>
      </c>
      <c r="I23" s="74" t="inlineStr"/>
      <c r="J23" s="51" t="inlineStr">
        <is>
          <t>2026 Job Detail Report.pdf (Sage Timberline export, printed 04/03/2026 1:51PM, 106 pages)</t>
        </is>
      </c>
    </row>
    <row r="24">
      <c r="B24" s="48" t="inlineStr">
        <is>
          <t>242</t>
        </is>
      </c>
      <c r="C24" s="49" t="inlineStr">
        <is>
          <t>Mech Room Material</t>
        </is>
      </c>
      <c r="D24" s="67" t="n">
        <v>53250</v>
      </c>
      <c r="E24" s="67" t="n">
        <v>53250</v>
      </c>
      <c r="F24" s="67" t="n">
        <v>33752.74</v>
      </c>
      <c r="G24" s="68">
        <f>F24-E24</f>
        <v/>
      </c>
      <c r="H24" s="69">
        <f>IF(E24=0,"",F24/E24)</f>
        <v/>
      </c>
      <c r="I24" s="17" t="inlineStr"/>
      <c r="J24" s="49" t="inlineStr">
        <is>
          <t>2026 Job Detail Report.pdf (Sage Timberline export, printed 04/03/2026 1:51PM, 106 pages)</t>
        </is>
      </c>
    </row>
    <row r="25">
      <c r="B25" s="50" t="inlineStr">
        <is>
          <t>243</t>
        </is>
      </c>
      <c r="C25" s="51" t="inlineStr">
        <is>
          <t>Condensation Drains Mat</t>
        </is>
      </c>
      <c r="D25" s="70" t="n">
        <v>0</v>
      </c>
      <c r="E25" s="70" t="n">
        <v>0</v>
      </c>
      <c r="F25" s="70" t="n">
        <v>27.08</v>
      </c>
      <c r="G25" s="71">
        <f>F25-E25</f>
        <v/>
      </c>
      <c r="H25" s="72">
        <f>IF(E25=0,"",F25/E25)</f>
        <v/>
      </c>
      <c r="I25" s="74" t="inlineStr"/>
      <c r="J25" s="51" t="inlineStr">
        <is>
          <t>2026 Job Detail Report.pdf (Sage Timberline export, printed 04/03/2026 1:51PM, 106 pages)</t>
        </is>
      </c>
    </row>
    <row r="26">
      <c r="B26" s="48" t="inlineStr">
        <is>
          <t>244</t>
        </is>
      </c>
      <c r="C26" s="49" t="inlineStr">
        <is>
          <t>Fire Caulking Material</t>
        </is>
      </c>
      <c r="D26" s="67" t="n">
        <v>0</v>
      </c>
      <c r="E26" s="67" t="n">
        <v>0</v>
      </c>
      <c r="F26" s="67" t="n">
        <v>178.63</v>
      </c>
      <c r="G26" s="68">
        <f>F26-E26</f>
        <v/>
      </c>
      <c r="H26" s="69">
        <f>IF(E26=0,"",F26/E26)</f>
        <v/>
      </c>
      <c r="I26" s="17" t="inlineStr"/>
      <c r="J26" s="49" t="inlineStr">
        <is>
          <t>2026 Job Detail Report.pdf (Sage Timberline export, printed 04/03/2026 1:51PM, 106 pages)</t>
        </is>
      </c>
    </row>
    <row r="27">
      <c r="B27" s="50" t="inlineStr">
        <is>
          <t>600</t>
        </is>
      </c>
      <c r="C27" s="51" t="inlineStr">
        <is>
          <t>Subcontractor</t>
        </is>
      </c>
      <c r="D27" s="70" t="n">
        <v>500</v>
      </c>
      <c r="E27" s="70" t="n">
        <v>500</v>
      </c>
      <c r="F27" s="70" t="n">
        <v>186</v>
      </c>
      <c r="G27" s="71">
        <f>F27-E27</f>
        <v/>
      </c>
      <c r="H27" s="72">
        <f>IF(E27=0,"",F27/E27)</f>
        <v/>
      </c>
      <c r="I27" s="74" t="inlineStr"/>
      <c r="J27" s="51" t="inlineStr">
        <is>
          <t>2026 Job Detail Report.pdf (Sage Timberline export, printed 04/03/2026 1:51PM, 106 pages)</t>
        </is>
      </c>
    </row>
    <row r="28">
      <c r="B28" s="48" t="inlineStr">
        <is>
          <t>601</t>
        </is>
      </c>
      <c r="C28" s="49" t="inlineStr">
        <is>
          <t>Engineering/Plans</t>
        </is>
      </c>
      <c r="D28" s="67" t="n">
        <v>35000</v>
      </c>
      <c r="E28" s="67" t="n">
        <v>35000</v>
      </c>
      <c r="F28" s="67" t="n">
        <v>17344</v>
      </c>
      <c r="G28" s="68">
        <f>F28-E28</f>
        <v/>
      </c>
      <c r="H28" s="69">
        <f>IF(E28=0,"",F28/E28)</f>
        <v/>
      </c>
      <c r="I28" s="17" t="inlineStr"/>
      <c r="J28" s="49" t="inlineStr">
        <is>
          <t>2026 Job Detail Report.pdf (Sage Timberline export, printed 04/03/2026 1:51PM, 106 pages)</t>
        </is>
      </c>
    </row>
    <row r="29">
      <c r="B29" s="50" t="inlineStr">
        <is>
          <t>603</t>
        </is>
      </c>
      <c r="C29" s="51" t="inlineStr">
        <is>
          <t>Permits &amp; Licenses</t>
        </is>
      </c>
      <c r="D29" s="70" t="n">
        <v>5420</v>
      </c>
      <c r="E29" s="70" t="n">
        <v>5560</v>
      </c>
      <c r="F29" s="70" t="n">
        <v>3352</v>
      </c>
      <c r="G29" s="71">
        <f>F29-E29</f>
        <v/>
      </c>
      <c r="H29" s="72">
        <f>IF(E29=0,"",F29/E29)</f>
        <v/>
      </c>
      <c r="I29" s="74" t="inlineStr"/>
      <c r="J29" s="51" t="inlineStr">
        <is>
          <t>2026 Job Detail Report.pdf (Sage Timberline export, printed 04/03/2026 1:51PM, 106 pages)</t>
        </is>
      </c>
    </row>
    <row r="30">
      <c r="B30" s="48" t="inlineStr">
        <is>
          <t>607</t>
        </is>
      </c>
      <c r="C30" s="49" t="inlineStr">
        <is>
          <t>Other Expenses</t>
        </is>
      </c>
      <c r="D30" s="67" t="n">
        <v>15000</v>
      </c>
      <c r="E30" s="67" t="n">
        <v>15000</v>
      </c>
      <c r="F30" s="67" t="n">
        <v>11995.82</v>
      </c>
      <c r="G30" s="68">
        <f>F30-E30</f>
        <v/>
      </c>
      <c r="H30" s="69">
        <f>IF(E30=0,"",F30/E30)</f>
        <v/>
      </c>
      <c r="I30" s="17" t="inlineStr"/>
      <c r="J30" s="49" t="inlineStr">
        <is>
          <t>2026 Job Detail Report.pdf (Sage Timberline export, printed 04/03/2026 1:51PM, 106 pages)</t>
        </is>
      </c>
    </row>
    <row r="31">
      <c r="B31" s="50" t="inlineStr">
        <is>
          <t>995</t>
        </is>
      </c>
      <c r="C31" s="51" t="inlineStr">
        <is>
          <t>Payroll Burden</t>
        </is>
      </c>
      <c r="D31" s="70" t="n">
        <v>83136.63</v>
      </c>
      <c r="E31" s="70" t="n">
        <v>83200.08</v>
      </c>
      <c r="F31" s="70" t="n">
        <v>93383.48</v>
      </c>
      <c r="G31" s="71">
        <f>F31-E31</f>
        <v/>
      </c>
      <c r="H31" s="72">
        <f>IF(E31=0,"",F31/E31)</f>
        <v/>
      </c>
      <c r="I31" s="74" t="inlineStr"/>
      <c r="J31" s="51" t="inlineStr">
        <is>
          <t>2026 Job Detail Report.pdf (Sage Timberline export, printed 04/03/2026 1:51PM, 106 pages)</t>
        </is>
      </c>
    </row>
    <row r="32">
      <c r="B32" s="48" t="inlineStr">
        <is>
          <t>998</t>
        </is>
      </c>
      <c r="C32" s="49" t="inlineStr">
        <is>
          <t>Payroll Taxes</t>
        </is>
      </c>
      <c r="D32" s="67" t="n">
        <v>14671.17</v>
      </c>
      <c r="E32" s="67" t="n">
        <v>14681.96</v>
      </c>
      <c r="F32" s="67" t="n">
        <v>16119.9</v>
      </c>
      <c r="G32" s="68">
        <f>F32-E32</f>
        <v/>
      </c>
      <c r="H32" s="69">
        <f>IF(E32=0,"",F32/E32)</f>
        <v/>
      </c>
      <c r="I32" s="17" t="inlineStr"/>
      <c r="J32" s="49" t="inlineStr">
        <is>
          <t>2026 Job Detail Report.pdf (Sage Timberline export, printed 04/03/2026 1:51PM, 106 pages)</t>
        </is>
      </c>
    </row>
    <row r="33">
      <c r="B33" s="50" t="inlineStr">
        <is>
          <t>999</t>
        </is>
      </c>
      <c r="C33" s="51" t="inlineStr">
        <is>
          <t>Sales</t>
        </is>
      </c>
      <c r="D33" s="70" t="n">
        <v>-825370</v>
      </c>
      <c r="E33" s="70" t="n">
        <v>-830667</v>
      </c>
      <c r="F33" s="70" t="n">
        <v>-830667</v>
      </c>
      <c r="G33" s="71">
        <f>F33-E33</f>
        <v/>
      </c>
      <c r="H33" s="72">
        <f>IF(E33=0,"",F33/E33)</f>
        <v/>
      </c>
      <c r="I33" s="74" t="inlineStr"/>
      <c r="J33" s="51" t="inlineStr">
        <is>
          <t>2026 Job Detail Report.pdf (Sage Timberline export, printed 04/03/2026 1:51PM, 106 pages)</t>
        </is>
      </c>
    </row>
    <row r="34">
      <c r="B34" s="75" t="inlineStr">
        <is>
          <t>TOTAL</t>
        </is>
      </c>
      <c r="D34" s="68">
        <f>SUM(D6:D33)</f>
        <v/>
      </c>
      <c r="E34" s="68">
        <f>SUM(E6:E33)</f>
        <v/>
      </c>
      <c r="F34" s="68">
        <f>SUM(F6:F33)</f>
        <v/>
      </c>
      <c r="G34" s="68">
        <f>F34-E34</f>
        <v/>
      </c>
      <c r="I34" s="76">
        <f>SUM(I6:I33)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1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4" t="inlineStr">
        <is>
          <t>Cost Breakdown by Category</t>
        </is>
      </c>
    </row>
    <row r="3" ht="22" customHeight="1">
      <c r="B3" s="45" t="inlineStr">
        <is>
          <t>Direct cost composition by category from JDR cost codes</t>
        </is>
      </c>
    </row>
    <row r="4" ht="2" customHeight="1">
      <c r="B4" s="46" t="n"/>
      <c r="C4" s="46" t="n"/>
      <c r="D4" s="46" t="n"/>
      <c r="E4" s="46" t="n"/>
      <c r="F4" s="46" t="n"/>
      <c r="G4" s="46" t="n"/>
      <c r="H4" s="46" t="n"/>
      <c r="I4" s="46" t="n"/>
      <c r="J4" s="46" t="n"/>
    </row>
    <row r="5">
      <c r="B5" s="66" t="inlineStr">
        <is>
          <t>Category</t>
        </is>
      </c>
      <c r="C5" s="66" t="inlineStr">
        <is>
          <t>Cost Codes</t>
        </is>
      </c>
      <c r="D5" s="66" t="inlineStr">
        <is>
          <t>Actual $</t>
        </is>
      </c>
      <c r="E5" s="66" t="inlineStr">
        <is>
          <t>% of Direct Cost</t>
        </is>
      </c>
      <c r="F5" s="66" t="inlineStr">
        <is>
          <t>% of Revenue</t>
        </is>
      </c>
      <c r="G5" s="66" t="inlineStr">
        <is>
          <t>Source</t>
        </is>
      </c>
    </row>
    <row r="6">
      <c r="B6" s="48" t="inlineStr">
        <is>
          <t>Labor</t>
        </is>
      </c>
      <c r="C6" s="49" t="inlineStr">
        <is>
          <t>100,101,110,111,112,120,130,140,141,142,150</t>
        </is>
      </c>
      <c r="D6" s="56" t="n">
        <v>210715.5</v>
      </c>
      <c r="E6" s="69">
        <f>D6/$D$11</f>
        <v/>
      </c>
      <c r="F6" s="69">
        <f>D6/830667.0</f>
        <v/>
      </c>
      <c r="G6" s="49" t="inlineStr">
        <is>
          <t>2026 Job Detail Report.pdf (Sage Timberline export, printed 04/03/2026 1:51PM, 106 pages)</t>
        </is>
      </c>
    </row>
    <row r="7">
      <c r="B7" s="50" t="inlineStr">
        <is>
          <t>Material</t>
        </is>
      </c>
      <c r="C7" s="51" t="inlineStr">
        <is>
          <t>210,211,212,220,230,240,241,242,243,244</t>
        </is>
      </c>
      <c r="D7" s="77" t="n">
        <v>194870.36</v>
      </c>
      <c r="E7" s="72">
        <f>D7/$D$11</f>
        <v/>
      </c>
      <c r="F7" s="72">
        <f>D7/830667.0</f>
        <v/>
      </c>
      <c r="G7" s="51" t="inlineStr">
        <is>
          <t>2026 Job Detail Report.pdf (Sage Timberline export, printed 04/03/2026 1:51PM, 106 pages)</t>
        </is>
      </c>
      <c r="H7" s="54" t="n"/>
      <c r="I7" s="54" t="n"/>
      <c r="J7" s="54" t="n"/>
    </row>
    <row r="8">
      <c r="B8" s="48" t="inlineStr">
        <is>
          <t>Subcontractor + Engineering + Permits + Other</t>
        </is>
      </c>
      <c r="C8" s="49" t="inlineStr">
        <is>
          <t>600,601,603,607</t>
        </is>
      </c>
      <c r="D8" s="56" t="n">
        <v>32877.82</v>
      </c>
      <c r="E8" s="69">
        <f>D8/$D$11</f>
        <v/>
      </c>
      <c r="F8" s="69">
        <f>D8/830667.0</f>
        <v/>
      </c>
      <c r="G8" s="49" t="inlineStr">
        <is>
          <t>2026 Job Detail Report.pdf (Sage Timberline export, printed 04/03/2026 1:51PM, 106 pages)</t>
        </is>
      </c>
    </row>
    <row r="9">
      <c r="B9" s="50" t="inlineStr">
        <is>
          <t>Payroll Burden</t>
        </is>
      </c>
      <c r="C9" s="51" t="inlineStr">
        <is>
          <t>995</t>
        </is>
      </c>
      <c r="D9" s="77" t="n">
        <v>93383.48</v>
      </c>
      <c r="E9" s="72">
        <f>D9/$D$11</f>
        <v/>
      </c>
      <c r="F9" s="72">
        <f>D9/830667.0</f>
        <v/>
      </c>
      <c r="G9" s="51" t="inlineStr">
        <is>
          <t>2026 Job Detail Report.pdf (Sage Timberline export, printed 04/03/2026 1:51PM, 106 pages)</t>
        </is>
      </c>
      <c r="H9" s="54" t="n"/>
      <c r="I9" s="54" t="n"/>
      <c r="J9" s="54" t="n"/>
    </row>
    <row r="10">
      <c r="B10" s="48" t="inlineStr">
        <is>
          <t>Payroll Taxes</t>
        </is>
      </c>
      <c r="C10" s="49" t="inlineStr">
        <is>
          <t>998</t>
        </is>
      </c>
      <c r="D10" s="56" t="n">
        <v>16119.9</v>
      </c>
      <c r="E10" s="69">
        <f>D10/$D$11</f>
        <v/>
      </c>
      <c r="F10" s="69">
        <f>D10/830667.0</f>
        <v/>
      </c>
      <c r="G10" s="49" t="inlineStr">
        <is>
          <t>2026 Job Detail Report.pdf (Sage Timberline export, printed 04/03/2026 1:51PM, 106 pages)</t>
        </is>
      </c>
    </row>
    <row r="11">
      <c r="B11" s="78" t="inlineStr">
        <is>
          <t>TOTAL DIRECT COST</t>
        </is>
      </c>
      <c r="C11" s="54" t="n"/>
      <c r="D11" s="79">
        <f>SUM(D6:D10)</f>
        <v/>
      </c>
      <c r="E11" s="80" t="n">
        <v>1</v>
      </c>
      <c r="F11" s="72">
        <f>D11/830667.0</f>
        <v/>
      </c>
      <c r="G11" s="54" t="n"/>
      <c r="H11" s="54" t="n"/>
      <c r="I11" s="54" t="n"/>
      <c r="J11" s="54" t="n"/>
    </row>
  </sheetData>
  <mergeCells count="2">
    <mergeCell ref="B3:J3"/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4" t="inlineStr">
        <is>
          <t>Material Purchases — AP Vendors</t>
        </is>
      </c>
    </row>
    <row r="3" ht="22" customHeight="1">
      <c r="B3" s="45" t="inlineStr">
        <is>
          <t>Material + subcontractor spend by vendor (AP records from JDR)</t>
        </is>
      </c>
    </row>
    <row r="4" ht="2" customHeight="1">
      <c r="B4" s="46" t="n"/>
      <c r="C4" s="46" t="n"/>
      <c r="D4" s="46" t="n"/>
      <c r="E4" s="46" t="n"/>
      <c r="F4" s="46" t="n"/>
      <c r="G4" s="46" t="n"/>
      <c r="H4" s="46" t="n"/>
      <c r="I4" s="46" t="n"/>
      <c r="J4" s="46" t="n"/>
    </row>
    <row r="5">
      <c r="B5" s="66" t="inlineStr">
        <is>
          <t>Vendor ID</t>
        </is>
      </c>
      <c r="C5" s="66" t="inlineStr">
        <is>
          <t>Vendor Name</t>
        </is>
      </c>
      <c r="D5" s="66" t="inlineStr">
        <is>
          <t>Total Spend</t>
        </is>
      </c>
      <c r="E5" s="66" t="inlineStr">
        <is>
          <t># Transactions</t>
        </is>
      </c>
      <c r="F5" s="66" t="inlineStr">
        <is>
          <t>Category (inferred)</t>
        </is>
      </c>
      <c r="G5" s="66" t="inlineStr">
        <is>
          <t>Source</t>
        </is>
      </c>
    </row>
    <row r="6">
      <c r="B6" s="48" t="inlineStr">
        <is>
          <t>2026RS</t>
        </is>
      </c>
      <c r="C6" s="49" t="inlineStr">
        <is>
          <t>Rosen Supply Company, Inc. $Boren</t>
        </is>
      </c>
      <c r="D6" s="67" t="n">
        <v>49659.22</v>
      </c>
      <c r="E6" s="81" t="n">
        <v>41</v>
      </c>
      <c r="F6" s="49" t="inlineStr">
        <is>
          <t>Plumbing / Supplies</t>
        </is>
      </c>
      <c r="G6" s="49" t="inlineStr">
        <is>
          <t>2026 Job Detail Report.pdf (Sage Timberline export, printed 04/03/2026 1:51PM, 106 pages)</t>
        </is>
      </c>
    </row>
    <row r="7">
      <c r="B7" s="50" t="inlineStr">
        <is>
          <t>2026CS</t>
        </is>
      </c>
      <c r="C7" s="51" t="inlineStr">
        <is>
          <t>Consolidated Supply Co $Boren</t>
        </is>
      </c>
      <c r="D7" s="70" t="n">
        <v>49441.45999999999</v>
      </c>
      <c r="E7" s="82" t="n">
        <v>48</v>
      </c>
      <c r="F7" s="51" t="inlineStr">
        <is>
          <t>Plumbing / Supplies</t>
        </is>
      </c>
      <c r="G7" s="51" t="inlineStr">
        <is>
          <t>2026 Job Detail Report.pdf (Sage Timberline export, printed 04/03/2026 1:51PM, 106 pages)</t>
        </is>
      </c>
      <c r="H7" s="54" t="n"/>
      <c r="I7" s="54" t="n"/>
      <c r="J7" s="54" t="n"/>
    </row>
    <row r="8">
      <c r="B8" s="48" t="inlineStr">
        <is>
          <t>2026FE</t>
        </is>
      </c>
      <c r="C8" s="49" t="inlineStr">
        <is>
          <t>Ferguson Enterprises, Inc. $525 Boren</t>
        </is>
      </c>
      <c r="D8" s="67" t="n">
        <v>28251.03000000001</v>
      </c>
      <c r="E8" s="81" t="n">
        <v>12</v>
      </c>
      <c r="F8" s="49" t="inlineStr">
        <is>
          <t>Plumbing / Supplies</t>
        </is>
      </c>
      <c r="G8" s="49" t="inlineStr">
        <is>
          <t>2026 Job Detail Report.pdf (Sage Timberline export, printed 04/03/2026 1:51PM, 106 pages)</t>
        </is>
      </c>
    </row>
    <row r="9">
      <c r="B9" s="50" t="inlineStr">
        <is>
          <t>2026KS</t>
        </is>
      </c>
      <c r="C9" s="51" t="inlineStr">
        <is>
          <t>Keller Supply Company $Boren</t>
        </is>
      </c>
      <c r="D9" s="70" t="n">
        <v>23867.68999999999</v>
      </c>
      <c r="E9" s="82" t="n">
        <v>20</v>
      </c>
      <c r="F9" s="51" t="inlineStr">
        <is>
          <t>Plumbing / Supplies</t>
        </is>
      </c>
      <c r="G9" s="51" t="inlineStr">
        <is>
          <t>2026 Job Detail Report.pdf (Sage Timberline export, printed 04/03/2026 1:51PM, 106 pages)</t>
        </is>
      </c>
      <c r="H9" s="54" t="n"/>
      <c r="I9" s="54" t="n"/>
      <c r="J9" s="54" t="n"/>
    </row>
    <row r="10">
      <c r="B10" s="48" t="inlineStr">
        <is>
          <t>1625FE</t>
        </is>
      </c>
      <c r="C10" s="49" t="inlineStr">
        <is>
          <t>Franklin Engineering</t>
        </is>
      </c>
      <c r="D10" s="67" t="n">
        <v>17344</v>
      </c>
      <c r="E10" s="81" t="n">
        <v>9</v>
      </c>
      <c r="F10" s="49" t="inlineStr">
        <is>
          <t>Engineering (601)</t>
        </is>
      </c>
      <c r="G10" s="49" t="inlineStr">
        <is>
          <t>2026 Job Detail Report.pdf (Sage Timberline export, printed 04/03/2026 1:51PM, 106 pages)</t>
        </is>
      </c>
    </row>
    <row r="11">
      <c r="B11" s="50" t="inlineStr">
        <is>
          <t>1234BA</t>
        </is>
      </c>
      <c r="C11" s="51" t="inlineStr">
        <is>
          <t>Bank of America CC</t>
        </is>
      </c>
      <c r="D11" s="70" t="n">
        <v>11361.41</v>
      </c>
      <c r="E11" s="82" t="n">
        <v>18</v>
      </c>
      <c r="F11" s="51" t="inlineStr">
        <is>
          <t>Credit Card (mixed)</t>
        </is>
      </c>
      <c r="G11" s="51" t="inlineStr">
        <is>
          <t>2026 Job Detail Report.pdf (Sage Timberline export, printed 04/03/2026 1:51PM, 106 pages)</t>
        </is>
      </c>
      <c r="H11" s="54" t="n"/>
      <c r="I11" s="54" t="n"/>
      <c r="J11" s="54" t="n"/>
    </row>
    <row r="12">
      <c r="B12" s="48" t="inlineStr">
        <is>
          <t>1401LU</t>
        </is>
      </c>
      <c r="C12" s="49" t="inlineStr">
        <is>
          <t>Lotus United, LLC</t>
        </is>
      </c>
      <c r="D12" s="67" t="n">
        <v>8215</v>
      </c>
      <c r="E12" s="81" t="n">
        <v>1</v>
      </c>
      <c r="F12" s="49" t="inlineStr">
        <is>
          <t>Other (inferred 607)</t>
        </is>
      </c>
      <c r="G12" s="49" t="inlineStr">
        <is>
          <t>2026 Job Detail Report.pdf (Sage Timberline export, printed 04/03/2026 1:51PM, 106 pages)</t>
        </is>
      </c>
    </row>
    <row r="13">
      <c r="B13" s="50" t="inlineStr">
        <is>
          <t>1234CO</t>
        </is>
      </c>
      <c r="C13" s="51" t="inlineStr">
        <is>
          <t>Capital One Credit Card</t>
        </is>
      </c>
      <c r="D13" s="70" t="n">
        <v>5734.1</v>
      </c>
      <c r="E13" s="82" t="n">
        <v>32</v>
      </c>
      <c r="F13" s="51" t="inlineStr">
        <is>
          <t>Credit Card (mixed)</t>
        </is>
      </c>
      <c r="G13" s="51" t="inlineStr">
        <is>
          <t>2026 Job Detail Report.pdf (Sage Timberline export, printed 04/03/2026 1:51PM, 106 pages)</t>
        </is>
      </c>
      <c r="H13" s="54" t="n"/>
      <c r="I13" s="54" t="n"/>
      <c r="J13" s="54" t="n"/>
    </row>
    <row r="14">
      <c r="B14" s="48" t="inlineStr">
        <is>
          <t>3612MS</t>
        </is>
      </c>
      <c r="C14" s="49" t="inlineStr">
        <is>
          <t>Mechanical Sales, Inc.</t>
        </is>
      </c>
      <c r="D14" s="67" t="n">
        <v>2098.04</v>
      </c>
      <c r="E14" s="81" t="n">
        <v>2</v>
      </c>
      <c r="F14" s="49" t="inlineStr">
        <is>
          <t>Plumbing / Supplies</t>
        </is>
      </c>
      <c r="G14" s="49" t="inlineStr">
        <is>
          <t>2026 Job Detail Report.pdf (Sage Timberline export, printed 04/03/2026 1:51PM, 106 pages)</t>
        </is>
      </c>
    </row>
    <row r="15">
      <c r="B15" s="50" t="inlineStr">
        <is>
          <t>1611AS</t>
        </is>
      </c>
      <c r="C15" s="51" t="inlineStr">
        <is>
          <t>Beacon Building Products $Atlas</t>
        </is>
      </c>
      <c r="D15" s="70" t="n">
        <v>733.88</v>
      </c>
      <c r="E15" s="82" t="n">
        <v>4</v>
      </c>
      <c r="F15" s="51" t="inlineStr">
        <is>
          <t>Plumbing / Supplies</t>
        </is>
      </c>
      <c r="G15" s="51" t="inlineStr">
        <is>
          <t>2026 Job Detail Report.pdf (Sage Timberline export, printed 04/03/2026 1:51PM, 106 pages)</t>
        </is>
      </c>
      <c r="H15" s="54" t="n"/>
      <c r="I15" s="54" t="n"/>
      <c r="J15" s="54" t="n"/>
    </row>
    <row r="16">
      <c r="B16" s="48" t="inlineStr">
        <is>
          <t>2132MH</t>
        </is>
      </c>
      <c r="C16" s="49" t="inlineStr">
        <is>
          <t>Manor Hardware &amp; Construction Supply</t>
        </is>
      </c>
      <c r="D16" s="67" t="n">
        <v>305.76</v>
      </c>
      <c r="E16" s="81" t="n">
        <v>1</v>
      </c>
      <c r="F16" s="49" t="inlineStr">
        <is>
          <t>Plumbing / Supplies</t>
        </is>
      </c>
      <c r="G16" s="49" t="inlineStr">
        <is>
          <t>2026 Job Detail Report.pdf (Sage Timberline export, printed 04/03/2026 1:51PM, 106 pages)</t>
        </is>
      </c>
    </row>
    <row r="17">
      <c r="B17" s="50" t="inlineStr">
        <is>
          <t>1175FE</t>
        </is>
      </c>
      <c r="C17" s="51" t="inlineStr">
        <is>
          <t>Ferguson Enterprises, Inc. #3007</t>
        </is>
      </c>
      <c r="D17" s="70" t="n">
        <v>296.86</v>
      </c>
      <c r="E17" s="82" t="n">
        <v>2</v>
      </c>
      <c r="F17" s="51" t="inlineStr">
        <is>
          <t>Plumbing / Supplies</t>
        </is>
      </c>
      <c r="G17" s="51" t="inlineStr">
        <is>
          <t>2026 Job Detail Report.pdf (Sage Timberline export, printed 04/03/2026 1:51PM, 106 pages)</t>
        </is>
      </c>
      <c r="H17" s="54" t="n"/>
      <c r="I17" s="54" t="n"/>
      <c r="J17" s="54" t="n"/>
    </row>
    <row r="18">
      <c r="B18" s="48" t="inlineStr">
        <is>
          <t>1421RA</t>
        </is>
      </c>
      <c r="C18" s="49" t="inlineStr">
        <is>
          <t>R.A. Brown Backflow Testing</t>
        </is>
      </c>
      <c r="D18" s="67" t="n">
        <v>186</v>
      </c>
      <c r="E18" s="81" t="n">
        <v>1</v>
      </c>
      <c r="F18" s="49" t="inlineStr">
        <is>
          <t>Testing subcontractor</t>
        </is>
      </c>
      <c r="G18" s="49" t="inlineStr">
        <is>
          <t>2026 Job Detail Report.pdf (Sage Timberline export, printed 04/03/2026 1:51PM, 106 pages)</t>
        </is>
      </c>
    </row>
    <row r="19">
      <c r="B19" s="50" t="inlineStr">
        <is>
          <t>1130CS</t>
        </is>
      </c>
      <c r="C19" s="51" t="inlineStr">
        <is>
          <t>Consolidated Supply Co.</t>
        </is>
      </c>
      <c r="D19" s="70" t="n">
        <v>-323.4</v>
      </c>
      <c r="E19" s="82" t="n">
        <v>1</v>
      </c>
      <c r="F19" s="51" t="inlineStr">
        <is>
          <t>Plumbing / Supplies</t>
        </is>
      </c>
      <c r="G19" s="51" t="inlineStr">
        <is>
          <t>2026 Job Detail Report.pdf (Sage Timberline export, printed 04/03/2026 1:51PM, 106 pages)</t>
        </is>
      </c>
      <c r="H19" s="54" t="n"/>
      <c r="I19" s="54" t="n"/>
      <c r="J19" s="54" t="n"/>
    </row>
    <row r="20">
      <c r="B20" s="75" t="inlineStr">
        <is>
          <t>TOTAL</t>
        </is>
      </c>
      <c r="D20" s="83">
        <f>SUM(D6:D19)</f>
        <v/>
      </c>
      <c r="E20" s="49">
        <f>SUM(E6:E19)</f>
        <v/>
      </c>
    </row>
    <row r="21">
      <c r="B21" s="54" t="n"/>
      <c r="C21" s="54" t="n"/>
      <c r="D21" s="54" t="n"/>
      <c r="E21" s="54" t="n"/>
      <c r="F21" s="54" t="n"/>
      <c r="G21" s="54" t="n"/>
      <c r="H21" s="54" t="n"/>
      <c r="I21" s="54" t="n"/>
      <c r="J21" s="54" t="n"/>
    </row>
    <row r="22">
      <c r="B22" s="48" t="inlineStr">
        <is>
          <t>NOTE: AP total per JDR footer = $197,171.05. Sum of vendor totals here should approximate this (credit card rows aggregate misc. small expenses).</t>
        </is>
      </c>
      <c r="C22" s="6" t="n"/>
      <c r="D22" s="6" t="n"/>
      <c r="E22" s="6" t="n"/>
      <c r="F22" s="6" t="n"/>
      <c r="G22" s="7" t="n"/>
    </row>
  </sheetData>
  <mergeCells count="3">
    <mergeCell ref="B22:G22"/>
    <mergeCell ref="B3:J3"/>
    <mergeCell ref="B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31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4" t="inlineStr">
        <is>
          <t>Crew &amp; Labor — Worker Roster</t>
        </is>
      </c>
    </row>
    <row r="3" ht="22" customHeight="1">
      <c r="B3" s="45" t="inlineStr">
        <is>
          <t>All 25 unique payroll workers from JDR. Individual-line detail omitted (thousands of entries); roll-up by worker.</t>
        </is>
      </c>
    </row>
    <row r="4" ht="2" customHeight="1">
      <c r="B4" s="46" t="n"/>
      <c r="C4" s="46" t="n"/>
      <c r="D4" s="46" t="n"/>
      <c r="E4" s="46" t="n"/>
      <c r="F4" s="46" t="n"/>
      <c r="G4" s="46" t="n"/>
      <c r="H4" s="46" t="n"/>
      <c r="I4" s="46" t="n"/>
      <c r="J4" s="46" t="n"/>
    </row>
    <row r="5">
      <c r="B5" s="66" t="inlineStr">
        <is>
          <t>Worker ID</t>
        </is>
      </c>
      <c r="C5" s="66" t="inlineStr">
        <is>
          <t>Worker Name</t>
        </is>
      </c>
      <c r="D5" s="66" t="inlineStr">
        <is>
          <t>Total Hours</t>
        </is>
      </c>
      <c r="E5" s="66" t="inlineStr">
        <is>
          <t>Gross Pay</t>
        </is>
      </c>
      <c r="F5" s="66" t="inlineStr">
        <is>
          <t>Blended Wage ($/hr)</t>
        </is>
      </c>
      <c r="G5" s="66" t="inlineStr">
        <is>
          <t># Work Days</t>
        </is>
      </c>
      <c r="H5" s="66" t="inlineStr">
        <is>
          <t>Source</t>
        </is>
      </c>
    </row>
    <row r="6">
      <c r="B6" s="48" t="inlineStr">
        <is>
          <t>CA74</t>
        </is>
      </c>
      <c r="C6" s="49" t="inlineStr">
        <is>
          <t>Castaneda Martinez, Gustavo</t>
        </is>
      </c>
      <c r="D6" s="57" t="n">
        <v>1798</v>
      </c>
      <c r="E6" s="56" t="n">
        <v>65368</v>
      </c>
      <c r="F6" s="83">
        <f>IF(D6=0,0,E6/D6)</f>
        <v/>
      </c>
      <c r="G6" s="81" t="n">
        <v>61</v>
      </c>
      <c r="H6" s="49" t="inlineStr">
        <is>
          <t>2026 Job Detail Report.pdf (Sage Timberline export, printed 04/03/2026 1:51PM, 106 pages)</t>
        </is>
      </c>
    </row>
    <row r="7">
      <c r="B7" s="50" t="inlineStr">
        <is>
          <t>CA73</t>
        </is>
      </c>
      <c r="C7" s="51" t="inlineStr">
        <is>
          <t>Castaneda Juarez, Gustavo</t>
        </is>
      </c>
      <c r="D7" s="73" t="n">
        <v>1290</v>
      </c>
      <c r="E7" s="77" t="n">
        <v>26856</v>
      </c>
      <c r="F7" s="79">
        <f>IF(D7=0,0,E7/D7)</f>
        <v/>
      </c>
      <c r="G7" s="82" t="n">
        <v>38</v>
      </c>
      <c r="H7" s="51" t="inlineStr">
        <is>
          <t>2026 Job Detail Report.pdf (Sage Timberline export, printed 04/03/2026 1:51PM, 106 pages)</t>
        </is>
      </c>
      <c r="I7" s="54" t="n"/>
      <c r="J7" s="54" t="n"/>
    </row>
    <row r="8">
      <c r="B8" s="48" t="inlineStr">
        <is>
          <t>CA72</t>
        </is>
      </c>
      <c r="C8" s="49" t="inlineStr">
        <is>
          <t>Castaneda Juarez, Edgar D</t>
        </is>
      </c>
      <c r="D8" s="57" t="n">
        <v>1235</v>
      </c>
      <c r="E8" s="56" t="n">
        <v>26475</v>
      </c>
      <c r="F8" s="83">
        <f>IF(D8=0,0,E8/D8)</f>
        <v/>
      </c>
      <c r="G8" s="81" t="n">
        <v>37</v>
      </c>
      <c r="H8" s="49" t="inlineStr">
        <is>
          <t>2026 Job Detail Report.pdf (Sage Timberline export, printed 04/03/2026 1:51PM, 106 pages)</t>
        </is>
      </c>
    </row>
    <row r="9">
      <c r="B9" s="50" t="inlineStr">
        <is>
          <t>CA71</t>
        </is>
      </c>
      <c r="C9" s="51" t="inlineStr">
        <is>
          <t>Castaneda Juarez, Cesar O</t>
        </is>
      </c>
      <c r="D9" s="73" t="n">
        <v>960</v>
      </c>
      <c r="E9" s="77" t="n">
        <v>12566</v>
      </c>
      <c r="F9" s="79">
        <f>IF(D9=0,0,E9/D9)</f>
        <v/>
      </c>
      <c r="G9" s="82" t="n">
        <v>32</v>
      </c>
      <c r="H9" s="51" t="inlineStr">
        <is>
          <t>2026 Job Detail Report.pdf (Sage Timberline export, printed 04/03/2026 1:51PM, 106 pages)</t>
        </is>
      </c>
      <c r="I9" s="54" t="n"/>
      <c r="J9" s="54" t="n"/>
    </row>
    <row r="10">
      <c r="B10" s="48" t="inlineStr">
        <is>
          <t>AM03</t>
        </is>
      </c>
      <c r="C10" s="49" t="inlineStr">
        <is>
          <t>Amaya Gonzalez, Edilberto A</t>
        </is>
      </c>
      <c r="D10" s="57" t="n">
        <v>919</v>
      </c>
      <c r="E10" s="56" t="n">
        <v>18191</v>
      </c>
      <c r="F10" s="83">
        <f>IF(D10=0,0,E10/D10)</f>
        <v/>
      </c>
      <c r="G10" s="81" t="n">
        <v>25</v>
      </c>
      <c r="H10" s="49" t="inlineStr">
        <is>
          <t>2026 Job Detail Report.pdf (Sage Timberline export, printed 04/03/2026 1:51PM, 106 pages)</t>
        </is>
      </c>
    </row>
    <row r="11">
      <c r="B11" s="50" t="inlineStr">
        <is>
          <t>RO12</t>
        </is>
      </c>
      <c r="C11" s="51" t="inlineStr">
        <is>
          <t>Rodriguez Rodriguez, Aminadab N</t>
        </is>
      </c>
      <c r="D11" s="73" t="n">
        <v>289</v>
      </c>
      <c r="E11" s="77" t="n">
        <v>5491</v>
      </c>
      <c r="F11" s="79">
        <f>IF(D11=0,0,E11/D11)</f>
        <v/>
      </c>
      <c r="G11" s="82" t="n">
        <v>8</v>
      </c>
      <c r="H11" s="51" t="inlineStr">
        <is>
          <t>2026 Job Detail Report.pdf (Sage Timberline export, printed 04/03/2026 1:51PM, 106 pages)</t>
        </is>
      </c>
      <c r="I11" s="54" t="n"/>
      <c r="J11" s="54" t="n"/>
    </row>
    <row r="12">
      <c r="B12" s="48" t="inlineStr">
        <is>
          <t>AS10</t>
        </is>
      </c>
      <c r="C12" s="49" t="inlineStr">
        <is>
          <t>Ascencio, Jose L</t>
        </is>
      </c>
      <c r="D12" s="57" t="n">
        <v>277</v>
      </c>
      <c r="E12" s="56" t="n">
        <v>5263</v>
      </c>
      <c r="F12" s="83">
        <f>IF(D12=0,0,E12/D12)</f>
        <v/>
      </c>
      <c r="G12" s="81" t="n">
        <v>9</v>
      </c>
      <c r="H12" s="49" t="inlineStr">
        <is>
          <t>2026 Job Detail Report.pdf (Sage Timberline export, printed 04/03/2026 1:51PM, 106 pages)</t>
        </is>
      </c>
    </row>
    <row r="13">
      <c r="B13" s="50" t="inlineStr">
        <is>
          <t>RE18</t>
        </is>
      </c>
      <c r="C13" s="51" t="inlineStr">
        <is>
          <t>Reed, Reuben H</t>
        </is>
      </c>
      <c r="D13" s="73" t="n">
        <v>247</v>
      </c>
      <c r="E13" s="77" t="n">
        <v>8661</v>
      </c>
      <c r="F13" s="79">
        <f>IF(D13=0,0,E13/D13)</f>
        <v/>
      </c>
      <c r="G13" s="82" t="n">
        <v>8</v>
      </c>
      <c r="H13" s="51" t="inlineStr">
        <is>
          <t>2026 Job Detail Report.pdf (Sage Timberline export, printed 04/03/2026 1:51PM, 106 pages)</t>
        </is>
      </c>
      <c r="I13" s="54" t="n"/>
      <c r="J13" s="54" t="n"/>
    </row>
    <row r="14">
      <c r="B14" s="48" t="inlineStr">
        <is>
          <t>EL33</t>
        </is>
      </c>
      <c r="C14" s="49" t="inlineStr">
        <is>
          <t>Eliassen, Cory H</t>
        </is>
      </c>
      <c r="D14" s="57" t="n">
        <v>232</v>
      </c>
      <c r="E14" s="56" t="n">
        <v>4104</v>
      </c>
      <c r="F14" s="83">
        <f>IF(D14=0,0,E14/D14)</f>
        <v/>
      </c>
      <c r="G14" s="81" t="n">
        <v>10</v>
      </c>
      <c r="H14" s="49" t="inlineStr">
        <is>
          <t>2026 Job Detail Report.pdf (Sage Timberline export, printed 04/03/2026 1:51PM, 106 pages)</t>
        </is>
      </c>
    </row>
    <row r="15">
      <c r="B15" s="50" t="inlineStr">
        <is>
          <t>HU06</t>
        </is>
      </c>
      <c r="C15" s="51" t="inlineStr">
        <is>
          <t>Hubbard, Robert W</t>
        </is>
      </c>
      <c r="D15" s="73" t="n">
        <v>215</v>
      </c>
      <c r="E15" s="77" t="n">
        <v>8912.5</v>
      </c>
      <c r="F15" s="79">
        <f>IF(D15=0,0,E15/D15)</f>
        <v/>
      </c>
      <c r="G15" s="82" t="n">
        <v>44</v>
      </c>
      <c r="H15" s="51" t="inlineStr">
        <is>
          <t>2026 Job Detail Report.pdf (Sage Timberline export, printed 04/03/2026 1:51PM, 106 pages)</t>
        </is>
      </c>
      <c r="I15" s="54" t="n"/>
      <c r="J15" s="54" t="n"/>
    </row>
    <row r="16">
      <c r="B16" s="48" t="inlineStr">
        <is>
          <t>MA71</t>
        </is>
      </c>
      <c r="C16" s="49" t="inlineStr">
        <is>
          <t>Martinez Reyes, Juan C</t>
        </is>
      </c>
      <c r="D16" s="57" t="n">
        <v>152</v>
      </c>
      <c r="E16" s="56" t="n">
        <v>2584</v>
      </c>
      <c r="F16" s="83">
        <f>IF(D16=0,0,E16/D16)</f>
        <v/>
      </c>
      <c r="G16" s="81" t="n">
        <v>6</v>
      </c>
      <c r="H16" s="49" t="inlineStr">
        <is>
          <t>2026 Job Detail Report.pdf (Sage Timberline export, printed 04/03/2026 1:51PM, 106 pages)</t>
        </is>
      </c>
    </row>
    <row r="17">
      <c r="B17" s="50" t="inlineStr">
        <is>
          <t>SA51</t>
        </is>
      </c>
      <c r="C17" s="51" t="inlineStr">
        <is>
          <t>Sanchez, Derli</t>
        </is>
      </c>
      <c r="D17" s="73" t="n">
        <v>144</v>
      </c>
      <c r="E17" s="77" t="n">
        <v>2160</v>
      </c>
      <c r="F17" s="79">
        <f>IF(D17=0,0,E17/D17)</f>
        <v/>
      </c>
      <c r="G17" s="82" t="n">
        <v>6</v>
      </c>
      <c r="H17" s="51" t="inlineStr">
        <is>
          <t>2026 Job Detail Report.pdf (Sage Timberline export, printed 04/03/2026 1:51PM, 106 pages)</t>
        </is>
      </c>
      <c r="I17" s="54" t="n"/>
      <c r="J17" s="54" t="n"/>
    </row>
    <row r="18">
      <c r="B18" s="48" t="inlineStr">
        <is>
          <t>SA54</t>
        </is>
      </c>
      <c r="C18" s="49" t="inlineStr">
        <is>
          <t>Sanders, Allen O</t>
        </is>
      </c>
      <c r="D18" s="57" t="n">
        <v>143</v>
      </c>
      <c r="E18" s="56" t="n">
        <v>5605.5</v>
      </c>
      <c r="F18" s="83">
        <f>IF(D18=0,0,E18/D18)</f>
        <v/>
      </c>
      <c r="G18" s="81" t="n">
        <v>21</v>
      </c>
      <c r="H18" s="49" t="inlineStr">
        <is>
          <t>2026 Job Detail Report.pdf (Sage Timberline export, printed 04/03/2026 1:51PM, 106 pages)</t>
        </is>
      </c>
    </row>
    <row r="19">
      <c r="B19" s="50" t="inlineStr">
        <is>
          <t>AY19</t>
        </is>
      </c>
      <c r="C19" s="51" t="inlineStr">
        <is>
          <t>Ayers, Jordan L</t>
        </is>
      </c>
      <c r="D19" s="73" t="n">
        <v>133</v>
      </c>
      <c r="E19" s="77" t="n">
        <v>2394</v>
      </c>
      <c r="F19" s="79">
        <f>IF(D19=0,0,E19/D19)</f>
        <v/>
      </c>
      <c r="G19" s="82" t="n">
        <v>5</v>
      </c>
      <c r="H19" s="51" t="inlineStr">
        <is>
          <t>2026 Job Detail Report.pdf (Sage Timberline export, printed 04/03/2026 1:51PM, 106 pages)</t>
        </is>
      </c>
      <c r="I19" s="54" t="n"/>
      <c r="J19" s="54" t="n"/>
    </row>
    <row r="20">
      <c r="B20" s="48" t="inlineStr">
        <is>
          <t>GO51</t>
        </is>
      </c>
      <c r="C20" s="49" t="inlineStr">
        <is>
          <t>Gomez Reyes, Edith N</t>
        </is>
      </c>
      <c r="D20" s="57" t="n">
        <v>123</v>
      </c>
      <c r="E20" s="56" t="n">
        <v>1845</v>
      </c>
      <c r="F20" s="83">
        <f>IF(D20=0,0,E20/D20)</f>
        <v/>
      </c>
      <c r="G20" s="81" t="n">
        <v>4</v>
      </c>
      <c r="H20" s="49" t="inlineStr">
        <is>
          <t>2026 Job Detail Report.pdf (Sage Timberline export, printed 04/03/2026 1:51PM, 106 pages)</t>
        </is>
      </c>
    </row>
    <row r="21">
      <c r="B21" s="50" t="inlineStr">
        <is>
          <t>GE69</t>
        </is>
      </c>
      <c r="C21" s="51" t="inlineStr">
        <is>
          <t>Gerard, Jeffrey S</t>
        </is>
      </c>
      <c r="D21" s="73" t="n">
        <v>105.5</v>
      </c>
      <c r="E21" s="77" t="n">
        <v>4755.5</v>
      </c>
      <c r="F21" s="79">
        <f>IF(D21=0,0,E21/D21)</f>
        <v/>
      </c>
      <c r="G21" s="82" t="n">
        <v>34</v>
      </c>
      <c r="H21" s="51" t="inlineStr">
        <is>
          <t>2026 Job Detail Report.pdf (Sage Timberline export, printed 04/03/2026 1:51PM, 106 pages)</t>
        </is>
      </c>
      <c r="I21" s="54" t="n"/>
      <c r="J21" s="54" t="n"/>
    </row>
    <row r="22">
      <c r="B22" s="48" t="inlineStr">
        <is>
          <t>LO87</t>
        </is>
      </c>
      <c r="C22" s="49" t="inlineStr">
        <is>
          <t>Lovo, German G</t>
        </is>
      </c>
      <c r="D22" s="57" t="n">
        <v>75</v>
      </c>
      <c r="E22" s="56" t="n">
        <v>1350</v>
      </c>
      <c r="F22" s="83">
        <f>IF(D22=0,0,E22/D22)</f>
        <v/>
      </c>
      <c r="G22" s="81" t="n">
        <v>3</v>
      </c>
      <c r="H22" s="49" t="inlineStr">
        <is>
          <t>2026 Job Detail Report.pdf (Sage Timberline export, printed 04/03/2026 1:51PM, 106 pages)</t>
        </is>
      </c>
    </row>
    <row r="23">
      <c r="B23" s="50" t="inlineStr">
        <is>
          <t>GA70</t>
        </is>
      </c>
      <c r="C23" s="51" t="inlineStr">
        <is>
          <t>Garcia, Jordan X</t>
        </is>
      </c>
      <c r="D23" s="73" t="n">
        <v>75</v>
      </c>
      <c r="E23" s="77" t="n">
        <v>2025</v>
      </c>
      <c r="F23" s="79">
        <f>IF(D23=0,0,E23/D23)</f>
        <v/>
      </c>
      <c r="G23" s="82" t="n">
        <v>3</v>
      </c>
      <c r="H23" s="51" t="inlineStr">
        <is>
          <t>2026 Job Detail Report.pdf (Sage Timberline export, printed 04/03/2026 1:51PM, 106 pages)</t>
        </is>
      </c>
      <c r="I23" s="54" t="n"/>
      <c r="J23" s="54" t="n"/>
    </row>
    <row r="24">
      <c r="B24" s="48" t="inlineStr">
        <is>
          <t>DO56</t>
        </is>
      </c>
      <c r="C24" s="49" t="inlineStr">
        <is>
          <t>Donelson, Richard T</t>
        </is>
      </c>
      <c r="D24" s="57" t="n">
        <v>70</v>
      </c>
      <c r="E24" s="56" t="n">
        <v>3321</v>
      </c>
      <c r="F24" s="83">
        <f>IF(D24=0,0,E24/D24)</f>
        <v/>
      </c>
      <c r="G24" s="81" t="n">
        <v>39</v>
      </c>
      <c r="H24" s="49" t="inlineStr">
        <is>
          <t>2026 Job Detail Report.pdf (Sage Timberline export, printed 04/03/2026 1:51PM, 106 pages)</t>
        </is>
      </c>
    </row>
    <row r="25">
      <c r="B25" s="50" t="inlineStr">
        <is>
          <t>PA47</t>
        </is>
      </c>
      <c r="C25" s="51" t="inlineStr">
        <is>
          <t>Palma Vides, Jorge A</t>
        </is>
      </c>
      <c r="D25" s="73" t="n">
        <v>67</v>
      </c>
      <c r="E25" s="77" t="n">
        <v>1206</v>
      </c>
      <c r="F25" s="79">
        <f>IF(D25=0,0,E25/D25)</f>
        <v/>
      </c>
      <c r="G25" s="82" t="n">
        <v>2</v>
      </c>
      <c r="H25" s="51" t="inlineStr">
        <is>
          <t>2026 Job Detail Report.pdf (Sage Timberline export, printed 04/03/2026 1:51PM, 106 pages)</t>
        </is>
      </c>
      <c r="I25" s="54" t="n"/>
      <c r="J25" s="54" t="n"/>
    </row>
    <row r="26">
      <c r="B26" s="48" t="inlineStr">
        <is>
          <t>HU04</t>
        </is>
      </c>
      <c r="C26" s="49" t="inlineStr">
        <is>
          <t>Hubbard, Dustin R</t>
        </is>
      </c>
      <c r="D26" s="57" t="n">
        <v>24</v>
      </c>
      <c r="E26" s="56" t="n">
        <v>441</v>
      </c>
      <c r="F26" s="83">
        <f>IF(D26=0,0,E26/D26)</f>
        <v/>
      </c>
      <c r="G26" s="81" t="n">
        <v>6</v>
      </c>
      <c r="H26" s="49" t="inlineStr">
        <is>
          <t>2026 Job Detail Report.pdf (Sage Timberline export, printed 04/03/2026 1:51PM, 106 pages)</t>
        </is>
      </c>
    </row>
    <row r="27">
      <c r="B27" s="50" t="inlineStr">
        <is>
          <t>MC09</t>
        </is>
      </c>
      <c r="C27" s="51" t="inlineStr">
        <is>
          <t>McCabe, Thomas C</t>
        </is>
      </c>
      <c r="D27" s="73" t="n">
        <v>23</v>
      </c>
      <c r="E27" s="77" t="n">
        <v>598</v>
      </c>
      <c r="F27" s="79">
        <f>IF(D27=0,0,E27/D27)</f>
        <v/>
      </c>
      <c r="G27" s="82" t="n">
        <v>2</v>
      </c>
      <c r="H27" s="51" t="inlineStr">
        <is>
          <t>2026 Job Detail Report.pdf (Sage Timberline export, printed 04/03/2026 1:51PM, 106 pages)</t>
        </is>
      </c>
      <c r="I27" s="54" t="n"/>
      <c r="J27" s="54" t="n"/>
    </row>
    <row r="28">
      <c r="B28" s="48" t="inlineStr">
        <is>
          <t>JO31</t>
        </is>
      </c>
      <c r="C28" s="49" t="inlineStr">
        <is>
          <t>Johnson, Samuel A</t>
        </is>
      </c>
      <c r="D28" s="57" t="n">
        <v>16</v>
      </c>
      <c r="E28" s="56" t="n">
        <v>256</v>
      </c>
      <c r="F28" s="83">
        <f>IF(D28=0,0,E28/D28)</f>
        <v/>
      </c>
      <c r="G28" s="81" t="n">
        <v>1</v>
      </c>
      <c r="H28" s="49" t="inlineStr">
        <is>
          <t>2026 Job Detail Report.pdf (Sage Timberline export, printed 04/03/2026 1:51PM, 106 pages)</t>
        </is>
      </c>
    </row>
    <row r="29">
      <c r="B29" s="50" t="inlineStr">
        <is>
          <t>WA35</t>
        </is>
      </c>
      <c r="C29" s="51" t="inlineStr">
        <is>
          <t>Waites, Thaddeus Z</t>
        </is>
      </c>
      <c r="D29" s="73" t="n">
        <v>7</v>
      </c>
      <c r="E29" s="77" t="n">
        <v>259</v>
      </c>
      <c r="F29" s="79">
        <f>IF(D29=0,0,E29/D29)</f>
        <v/>
      </c>
      <c r="G29" s="82" t="n">
        <v>1</v>
      </c>
      <c r="H29" s="51" t="inlineStr">
        <is>
          <t>2026 Job Detail Report.pdf (Sage Timberline export, printed 04/03/2026 1:51PM, 106 pages)</t>
        </is>
      </c>
      <c r="I29" s="54" t="n"/>
      <c r="J29" s="54" t="n"/>
    </row>
    <row r="30">
      <c r="B30" s="48" t="inlineStr">
        <is>
          <t>HE70</t>
        </is>
      </c>
      <c r="C30" s="49" t="inlineStr">
        <is>
          <t>Hernandez Gonzalez, Osbaldo</t>
        </is>
      </c>
      <c r="D30" s="57" t="n">
        <v>2</v>
      </c>
      <c r="E30" s="56" t="n">
        <v>28</v>
      </c>
      <c r="F30" s="83">
        <f>IF(D30=0,0,E30/D30)</f>
        <v/>
      </c>
      <c r="G30" s="81" t="n">
        <v>1</v>
      </c>
      <c r="H30" s="49" t="inlineStr">
        <is>
          <t>2026 Job Detail Report.pdf (Sage Timberline export, printed 04/03/2026 1:51PM, 106 pages)</t>
        </is>
      </c>
    </row>
    <row r="31">
      <c r="B31" s="78" t="inlineStr">
        <is>
          <t>TOTAL</t>
        </is>
      </c>
      <c r="C31" s="54" t="n"/>
      <c r="D31" s="84">
        <f>SUM(D6:D30)</f>
        <v/>
      </c>
      <c r="E31" s="79">
        <f>SUM(E6:E30)</f>
        <v/>
      </c>
      <c r="F31" s="54" t="n"/>
      <c r="G31" s="54" t="n"/>
      <c r="H31" s="54" t="n"/>
      <c r="I31" s="54" t="n"/>
      <c r="J31" s="54" t="n"/>
    </row>
  </sheetData>
  <mergeCells count="2">
    <mergeCell ref="B3:J3"/>
    <mergeCell ref="B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J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4" t="inlineStr">
        <is>
          <t>Crew Analytics</t>
        </is>
      </c>
    </row>
    <row r="3" ht="22" customHeight="1">
      <c r="B3" s="45" t="inlineStr">
        <is>
          <t>Team-level labor productivity, concentration, and wage dispersion</t>
        </is>
      </c>
    </row>
    <row r="4" ht="2" customHeight="1">
      <c r="B4" s="46" t="n"/>
      <c r="C4" s="46" t="n"/>
      <c r="D4" s="46" t="n"/>
      <c r="E4" s="46" t="n"/>
      <c r="F4" s="46" t="n"/>
      <c r="G4" s="46" t="n"/>
      <c r="H4" s="46" t="n"/>
      <c r="I4" s="46" t="n"/>
      <c r="J4" s="46" t="n"/>
    </row>
    <row r="5">
      <c r="B5" s="47" t="inlineStr">
        <is>
          <t>TEAM-LEVEL METRICS</t>
        </is>
      </c>
    </row>
    <row r="6">
      <c r="B6" s="85" t="inlineStr">
        <is>
          <t>Metric</t>
        </is>
      </c>
      <c r="C6" s="86" t="inlineStr">
        <is>
          <t>Value</t>
        </is>
      </c>
      <c r="D6" s="86" t="inlineStr">
        <is>
          <t>Notes</t>
        </is>
      </c>
      <c r="E6" s="86" t="inlineStr">
        <is>
          <t>Source</t>
        </is>
      </c>
    </row>
    <row r="7">
      <c r="B7" s="50" t="inlineStr">
        <is>
          <t>Total Workers</t>
        </is>
      </c>
      <c r="C7" s="82" t="n">
        <v>25</v>
      </c>
      <c r="D7" s="51" t="inlineStr">
        <is>
          <t>Unique payroll IDs</t>
        </is>
      </c>
      <c r="E7" s="51" t="inlineStr">
        <is>
          <t>2026 Job Detail Report.pdf (Sage Timberline export, printed 04/03/2026 1:51PM, 106 pages)</t>
        </is>
      </c>
      <c r="F7" s="54" t="n"/>
      <c r="G7" s="54" t="n"/>
      <c r="H7" s="54" t="n"/>
      <c r="I7" s="54" t="n"/>
      <c r="J7" s="54" t="n"/>
    </row>
    <row r="8">
      <c r="B8" s="48" t="inlineStr">
        <is>
          <t>Total Labor Hours</t>
        </is>
      </c>
      <c r="C8" s="57" t="n">
        <v>8541.5</v>
      </c>
      <c r="D8" s="49" t="inlineStr">
        <is>
          <t>Sum of codes 100-150</t>
        </is>
      </c>
      <c r="E8" s="49" t="inlineStr">
        <is>
          <t>2026 Job Detail Report.pdf (Sage Timberline export, printed 04/03/2026 1:51PM, 106 pages)</t>
        </is>
      </c>
    </row>
    <row r="9">
      <c r="B9" s="50" t="inlineStr">
        <is>
          <t>Total Gross Pay</t>
        </is>
      </c>
      <c r="C9" s="73" t="n">
        <v>210715.5</v>
      </c>
      <c r="D9" s="51" t="inlineStr">
        <is>
          <t>Sum of codes 100-150</t>
        </is>
      </c>
      <c r="E9" s="51" t="inlineStr">
        <is>
          <t>2026 Job Detail Report.pdf (Sage Timberline export, printed 04/03/2026 1:51PM, 106 pages)</t>
        </is>
      </c>
      <c r="F9" s="54" t="n"/>
      <c r="G9" s="54" t="n"/>
      <c r="H9" s="54" t="n"/>
      <c r="I9" s="54" t="n"/>
      <c r="J9" s="54" t="n"/>
    </row>
    <row r="10">
      <c r="B10" s="48" t="inlineStr">
        <is>
          <t>Blended Gross Wage ($/hr)</t>
        </is>
      </c>
      <c r="C10" s="56" t="n">
        <v>24.66961306562079</v>
      </c>
      <c r="D10" s="49" t="inlineStr">
        <is>
          <t>Labor$ / Hrs (pre-burden)</t>
        </is>
      </c>
      <c r="E10" s="87" t="inlineStr">
        <is>
          <t>Derived</t>
        </is>
      </c>
    </row>
    <row r="11">
      <c r="B11" s="50" t="inlineStr">
        <is>
          <t>Top Worker Hours Share</t>
        </is>
      </c>
      <c r="C11" s="80" t="n">
        <v>0.2105016683252356</v>
      </c>
      <c r="D11" s="51" t="inlineStr">
        <is>
          <t>CA74 Castaneda Martinez, Gustavo (1798 hrs)</t>
        </is>
      </c>
      <c r="E11" s="87" t="inlineStr">
        <is>
          <t>Derived</t>
        </is>
      </c>
      <c r="F11" s="54" t="n"/>
      <c r="G11" s="54" t="n"/>
      <c r="H11" s="54" t="n"/>
      <c r="I11" s="54" t="n"/>
      <c r="J11" s="54" t="n"/>
    </row>
    <row r="12">
      <c r="B12" s="48" t="inlineStr">
        <is>
          <t>Top 5 Workers Hours Share</t>
        </is>
      </c>
      <c r="C12" s="88" t="n">
        <v>0.726101972721419</v>
      </c>
      <c r="D12" s="49" t="inlineStr">
        <is>
          <t>Concentration metric</t>
        </is>
      </c>
      <c r="E12" s="87" t="inlineStr">
        <is>
          <t>Derived</t>
        </is>
      </c>
    </row>
    <row r="13">
      <c r="B13" s="50" t="inlineStr">
        <is>
          <t>Highest Wage Rate ($/hr)</t>
        </is>
      </c>
      <c r="C13" s="77" t="n">
        <v>47.44285714285714</v>
      </c>
      <c r="D13" s="51" t="inlineStr">
        <is>
          <t>Single-worker blended</t>
        </is>
      </c>
      <c r="E13" s="87" t="inlineStr">
        <is>
          <t>Derived</t>
        </is>
      </c>
      <c r="F13" s="54" t="n"/>
      <c r="G13" s="54" t="n"/>
      <c r="H13" s="54" t="n"/>
      <c r="I13" s="54" t="n"/>
      <c r="J13" s="54" t="n"/>
    </row>
    <row r="14">
      <c r="B14" s="48" t="inlineStr">
        <is>
          <t>Lowest Wage Rate ($/hr)</t>
        </is>
      </c>
      <c r="C14" s="56" t="n">
        <v>13.08958333333333</v>
      </c>
      <c r="D14" s="49" t="inlineStr">
        <is>
          <t>Single-worker blended</t>
        </is>
      </c>
      <c r="E14" s="87" t="inlineStr">
        <is>
          <t>Derived</t>
        </is>
      </c>
    </row>
    <row r="15">
      <c r="B15" s="50" t="inlineStr">
        <is>
          <t>Avg Hours per Worker</t>
        </is>
      </c>
      <c r="C15" s="73" t="n">
        <v>341.66</v>
      </c>
      <c r="D15" s="51" t="inlineStr">
        <is>
          <t>Includes many short-tenure workers</t>
        </is>
      </c>
      <c r="E15" s="87" t="inlineStr">
        <is>
          <t>Derived</t>
        </is>
      </c>
      <c r="F15" s="54" t="n"/>
      <c r="G15" s="54" t="n"/>
      <c r="H15" s="54" t="n"/>
      <c r="I15" s="54" t="n"/>
      <c r="J15" s="54" t="n"/>
    </row>
    <row r="16">
      <c r="B16" s="48" t="inlineStr">
        <is>
          <t>Avg Project Days per Worker</t>
        </is>
      </c>
      <c r="C16" s="57" t="n">
        <v>16.24</v>
      </c>
      <c r="D16" s="49" t="inlineStr">
        <is>
          <t>Mean days</t>
        </is>
      </c>
      <c r="E16" s="87" t="inlineStr">
        <is>
          <t>Derived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J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4" t="inlineStr">
        <is>
          <t>Productivity Metrics</t>
        </is>
      </c>
    </row>
    <row r="3" ht="22" customHeight="1">
      <c r="B3" s="45" t="inlineStr">
        <is>
          <t>Normalized labor and financial ratios</t>
        </is>
      </c>
    </row>
    <row r="4" ht="2" customHeight="1">
      <c r="B4" s="46" t="n"/>
      <c r="C4" s="46" t="n"/>
      <c r="D4" s="46" t="n"/>
      <c r="E4" s="46" t="n"/>
      <c r="F4" s="46" t="n"/>
      <c r="G4" s="46" t="n"/>
      <c r="H4" s="46" t="n"/>
      <c r="I4" s="46" t="n"/>
      <c r="J4" s="46" t="n"/>
    </row>
    <row r="5">
      <c r="B5" s="66" t="inlineStr">
        <is>
          <t>Metric</t>
        </is>
      </c>
      <c r="C5" s="66" t="inlineStr">
        <is>
          <t>Value</t>
        </is>
      </c>
      <c r="D5" s="66" t="inlineStr">
        <is>
          <t>Basis</t>
        </is>
      </c>
      <c r="E5" s="66" t="inlineStr">
        <is>
          <t>Source / Note</t>
        </is>
      </c>
    </row>
    <row r="6">
      <c r="B6" s="48" t="inlineStr">
        <is>
          <t>Revenue per Labor Hour</t>
        </is>
      </c>
      <c r="C6" s="83">
        <f>830667.0/8541.5</f>
        <v/>
      </c>
      <c r="D6" s="49" t="inlineStr">
        <is>
          <t>Formula</t>
        </is>
      </c>
      <c r="E6" s="49" t="inlineStr">
        <is>
          <t>Rev / Total Hrs</t>
        </is>
      </c>
    </row>
    <row r="7">
      <c r="B7" s="50" t="inlineStr">
        <is>
          <t>Profit per Labor Hour</t>
        </is>
      </c>
      <c r="C7" s="79">
        <f>282699.93999999994/8541.5</f>
        <v/>
      </c>
      <c r="D7" s="51" t="inlineStr">
        <is>
          <t>Formula</t>
        </is>
      </c>
      <c r="E7" s="51" t="inlineStr">
        <is>
          <t>Net Profit / Hrs</t>
        </is>
      </c>
      <c r="F7" s="54" t="n"/>
      <c r="G7" s="54" t="n"/>
      <c r="H7" s="54" t="n"/>
      <c r="I7" s="54" t="n"/>
      <c r="J7" s="54" t="n"/>
    </row>
    <row r="8">
      <c r="B8" s="48" t="inlineStr">
        <is>
          <t>Labor Cost per Hour (blended)</t>
        </is>
      </c>
      <c r="C8" s="83">
        <f>210715.5/8541.5</f>
        <v/>
      </c>
      <c r="D8" s="49" t="inlineStr">
        <is>
          <t>Formula</t>
        </is>
      </c>
      <c r="E8" s="49" t="inlineStr">
        <is>
          <t>Pre-burden</t>
        </is>
      </c>
    </row>
    <row r="9">
      <c r="B9" s="50" t="inlineStr">
        <is>
          <t>Fully-Loaded Labor Rate ($/hr)</t>
        </is>
      </c>
      <c r="C9" s="79">
        <f>(210715.5+93383.48+16119.9)/8541.5</f>
        <v/>
      </c>
      <c r="D9" s="51" t="inlineStr">
        <is>
          <t>Formula</t>
        </is>
      </c>
      <c r="E9" s="51" t="inlineStr">
        <is>
          <t>Incl burden + taxes</t>
        </is>
      </c>
      <c r="F9" s="54" t="n"/>
      <c r="G9" s="54" t="n"/>
      <c r="H9" s="54" t="n"/>
      <c r="I9" s="54" t="n"/>
      <c r="J9" s="54" t="n"/>
    </row>
    <row r="10">
      <c r="B10" s="48" t="inlineStr">
        <is>
          <t>Burden Multiplier</t>
        </is>
      </c>
      <c r="C10" s="89">
        <f>(210715.5+93383.48+16119.9)/210715.5</f>
        <v/>
      </c>
      <c r="D10" s="49" t="inlineStr">
        <is>
          <t>Formula</t>
        </is>
      </c>
      <c r="E10" s="49" t="inlineStr">
        <is>
          <t>Fully-loaded / blended</t>
        </is>
      </c>
    </row>
    <row r="11">
      <c r="B11" s="50" t="inlineStr">
        <is>
          <t>Rough-in Hours (code 120)</t>
        </is>
      </c>
      <c r="C11" s="73" t="n">
        <v>4901</v>
      </c>
      <c r="D11" s="51" t="inlineStr">
        <is>
          <t>JDR</t>
        </is>
      </c>
      <c r="E11" s="51" t="inlineStr">
        <is>
          <t>Code 120 Roughin Labor: 4901 hrs</t>
        </is>
      </c>
      <c r="F11" s="54" t="n"/>
      <c r="G11" s="54" t="n"/>
      <c r="H11" s="54" t="n"/>
      <c r="I11" s="54" t="n"/>
      <c r="J11" s="54" t="n"/>
    </row>
    <row r="12">
      <c r="B12" s="48" t="inlineStr">
        <is>
          <t>Garage Hours (code 111)</t>
        </is>
      </c>
      <c r="C12" s="57" t="n">
        <v>870</v>
      </c>
      <c r="D12" s="49" t="inlineStr">
        <is>
          <t>JDR</t>
        </is>
      </c>
      <c r="E12" s="49" t="inlineStr">
        <is>
          <t>Code 111 Garage Labor: 870 hrs</t>
        </is>
      </c>
    </row>
    <row r="13">
      <c r="B13" s="50" t="inlineStr">
        <is>
          <t>Rough-in % of Total Hours</t>
        </is>
      </c>
      <c r="C13" s="72">
        <f>4901.0/8541.5</f>
        <v/>
      </c>
      <c r="D13" s="51" t="inlineStr">
        <is>
          <t>Formula</t>
        </is>
      </c>
      <c r="E13" s="51" t="inlineStr">
        <is>
          <t>Code 120 share</t>
        </is>
      </c>
      <c r="F13" s="54" t="n"/>
      <c r="G13" s="54" t="n"/>
      <c r="H13" s="54" t="n"/>
      <c r="I13" s="54" t="n"/>
      <c r="J13" s="54" t="n"/>
    </row>
    <row r="14">
      <c r="B14" s="48" t="inlineStr">
        <is>
          <t>Gross Margin</t>
        </is>
      </c>
      <c r="C14" s="69">
        <f>282699.93999999994/830667.0</f>
        <v/>
      </c>
      <c r="D14" s="49" t="inlineStr">
        <is>
          <t>Formula</t>
        </is>
      </c>
      <c r="E14" s="49" t="inlineStr">
        <is>
          <t>Net / Revenue</t>
        </is>
      </c>
    </row>
    <row r="15">
      <c r="B15" s="50" t="inlineStr">
        <is>
          <t>Labor % of Revenue</t>
        </is>
      </c>
      <c r="C15" s="72">
        <f>210715.5/830667.0</f>
        <v/>
      </c>
      <c r="D15" s="51" t="inlineStr">
        <is>
          <t>Formula</t>
        </is>
      </c>
      <c r="E15" s="90" t="inlineStr"/>
      <c r="F15" s="54" t="n"/>
      <c r="G15" s="54" t="n"/>
      <c r="H15" s="54" t="n"/>
      <c r="I15" s="54" t="n"/>
      <c r="J15" s="54" t="n"/>
    </row>
    <row r="16">
      <c r="B16" s="48" t="inlineStr">
        <is>
          <t>Material % of Revenue</t>
        </is>
      </c>
      <c r="C16" s="69">
        <f>194870.35999999996/830667.0</f>
        <v/>
      </c>
      <c r="D16" s="49" t="inlineStr">
        <is>
          <t>Formula</t>
        </is>
      </c>
      <c r="E16" s="8" t="inlineStr"/>
    </row>
    <row r="17">
      <c r="B17" s="50" t="inlineStr">
        <is>
          <t>Direct Cost Ratio</t>
        </is>
      </c>
      <c r="C17" s="72">
        <f>547967.06/830667.0</f>
        <v/>
      </c>
      <c r="D17" s="51" t="inlineStr">
        <is>
          <t>Formula</t>
        </is>
      </c>
      <c r="E17" s="51" t="inlineStr">
        <is>
          <t>All expenses / Rev</t>
        </is>
      </c>
      <c r="F17" s="54" t="n"/>
      <c r="G17" s="54" t="n"/>
      <c r="H17" s="54" t="n"/>
      <c r="I17" s="54" t="n"/>
      <c r="J17" s="54" t="n"/>
    </row>
  </sheetData>
  <mergeCells count="2">
    <mergeCell ref="B3:J3"/>
    <mergeCell ref="B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4" t="inlineStr">
        <is>
          <t>PO Commitments</t>
        </is>
      </c>
    </row>
    <row r="3" ht="22" customHeight="1">
      <c r="B3" s="45" t="inlineStr">
        <is>
          <t>Inbound contract value (GC → OWP). Outbound AP vendor commitments on Material tab.</t>
        </is>
      </c>
    </row>
    <row r="4" ht="2" customHeight="1">
      <c r="B4" s="46" t="n"/>
      <c r="C4" s="46" t="n"/>
      <c r="D4" s="46" t="n"/>
      <c r="E4" s="46" t="n"/>
      <c r="F4" s="46" t="n"/>
      <c r="G4" s="46" t="n"/>
      <c r="H4" s="46" t="n"/>
      <c r="I4" s="46" t="n"/>
      <c r="J4" s="46" t="n"/>
    </row>
    <row r="5">
      <c r="B5" s="66" t="inlineStr">
        <is>
          <t>PO #</t>
        </is>
      </c>
      <c r="C5" s="66" t="inlineStr">
        <is>
          <t>Date</t>
        </is>
      </c>
      <c r="D5" s="66" t="inlineStr">
        <is>
          <t>Issuer</t>
        </is>
      </c>
      <c r="E5" s="66" t="inlineStr">
        <is>
          <t>Type</t>
        </is>
      </c>
      <c r="F5" s="66" t="inlineStr">
        <is>
          <t>Status</t>
        </is>
      </c>
      <c r="G5" s="66" t="inlineStr">
        <is>
          <t>Description</t>
        </is>
      </c>
      <c r="H5" s="66" t="inlineStr">
        <is>
          <t>Amount</t>
        </is>
      </c>
      <c r="I5" s="66" t="inlineStr">
        <is>
          <t>Source</t>
        </is>
      </c>
    </row>
    <row r="6">
      <c r="B6" s="91" t="inlineStr">
        <is>
          <t>NOT FOUND</t>
        </is>
      </c>
      <c r="C6" s="49" t="inlineStr">
        <is>
          <t>2016-03 (implied, first PR 03/09/16)</t>
        </is>
      </c>
      <c r="D6" s="49" t="inlineStr">
        <is>
          <t>Synergy Construction, Inc.</t>
        </is>
      </c>
      <c r="E6" s="92" t="inlineStr">
        <is>
          <t>NOT FOUND</t>
        </is>
      </c>
      <c r="F6" s="93" t="inlineStr">
        <is>
          <t>Closed (100% billed)</t>
        </is>
      </c>
      <c r="G6" s="49" t="inlineStr">
        <is>
          <t>Fox and Finch Apts plumbing (underground, rough-in, finish, gas, water main, mech room)</t>
        </is>
      </c>
      <c r="H6" s="56" t="n">
        <v>830667</v>
      </c>
      <c r="I6" s="49" t="inlineStr">
        <is>
          <t>2026 Job Detail Report.pdf (Sage Timberline export, printed 04/03/2026 1:51PM, 106 pages) (cost-code budget + AR invoices). No PO document in folder.</t>
        </is>
      </c>
    </row>
    <row r="7">
      <c r="B7" s="78" t="inlineStr">
        <is>
          <t>TOTAL</t>
        </is>
      </c>
      <c r="C7" s="54" t="n"/>
      <c r="D7" s="54" t="n"/>
      <c r="E7" s="54" t="n"/>
      <c r="F7" s="54" t="n"/>
      <c r="G7" s="54" t="n"/>
      <c r="H7" s="79">
        <f>SUM(H6:H6)</f>
        <v/>
      </c>
      <c r="I7" s="54" t="n"/>
      <c r="J7" s="54" t="n"/>
    </row>
    <row r="8"/>
    <row r="9">
      <c r="B9" s="50" t="inlineStr">
        <is>
          <t>NOTE: Contract $825,370.00 (code 999 Org) + $4,940 SOV adj (App#1→#2) + $357 CO#1 Temp Gas (App#15) = $830,667.00 final. Ties exactly to JDR revenue and to SOV draw #15 Contract Total.</t>
        </is>
      </c>
      <c r="C9" s="52" t="n"/>
      <c r="D9" s="52" t="n"/>
      <c r="E9" s="52" t="n"/>
      <c r="F9" s="52" t="n"/>
      <c r="G9" s="52" t="n"/>
      <c r="H9" s="52" t="n"/>
      <c r="I9" s="53" t="n"/>
      <c r="J9" s="54" t="n"/>
    </row>
  </sheetData>
  <mergeCells count="3">
    <mergeCell ref="B9:I9"/>
    <mergeCell ref="B3:J3"/>
    <mergeCell ref="B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J5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4" t="inlineStr">
        <is>
          <t>Billing &amp; Schedule of Values</t>
        </is>
      </c>
    </row>
    <row r="3" ht="22" customHeight="1">
      <c r="B3" s="45" t="inlineStr">
        <is>
          <t>21 unique JDR invoices + 15 Pay-App SOV XLSX drafts on file (Mar-2016 → Jul-2017). Retainage $41,533.35 = 5.0% of revenue.</t>
        </is>
      </c>
    </row>
    <row r="4" ht="2" customHeight="1">
      <c r="B4" s="46" t="n"/>
      <c r="C4" s="46" t="n"/>
      <c r="D4" s="46" t="n"/>
      <c r="E4" s="46" t="n"/>
      <c r="F4" s="46" t="n"/>
      <c r="G4" s="46" t="n"/>
      <c r="H4" s="46" t="n"/>
      <c r="I4" s="46" t="n"/>
      <c r="J4" s="46" t="n"/>
    </row>
    <row r="5">
      <c r="B5" s="58" t="inlineStr">
        <is>
          <t>PAY APPLICATION SOV PROGRESSION (Billing/525 Boren SOV draw #*.xlsx)</t>
        </is>
      </c>
    </row>
    <row r="6">
      <c r="B6" s="85" t="inlineStr">
        <is>
          <t>App #</t>
        </is>
      </c>
      <c r="C6" s="86" t="inlineStr">
        <is>
          <t>Date</t>
        </is>
      </c>
      <c r="D6" s="86" t="inlineStr">
        <is>
          <t>Contract Total</t>
        </is>
      </c>
      <c r="E6" s="86" t="inlineStr">
        <is>
          <t>This Period</t>
        </is>
      </c>
      <c r="F6" s="86" t="inlineStr">
        <is>
          <t>Stored</t>
        </is>
      </c>
      <c r="G6" s="86" t="inlineStr">
        <is>
          <t>Cumulative</t>
        </is>
      </c>
      <c r="H6" s="86" t="inlineStr">
        <is>
          <t>% Complete</t>
        </is>
      </c>
      <c r="I6" s="86" t="inlineStr">
        <is>
          <t>Source</t>
        </is>
      </c>
    </row>
    <row r="7">
      <c r="B7" s="82" t="n">
        <v>1</v>
      </c>
      <c r="C7" s="51" t="inlineStr">
        <is>
          <t>2016-03-20</t>
        </is>
      </c>
      <c r="D7" s="77" t="n">
        <v>825370</v>
      </c>
      <c r="E7" s="77" t="n">
        <v>49600</v>
      </c>
      <c r="F7" s="77" t="n">
        <v>0</v>
      </c>
      <c r="G7" s="77" t="n">
        <v>49600</v>
      </c>
      <c r="H7" s="80" t="n">
        <v>0.0597</v>
      </c>
      <c r="I7" s="51" t="inlineStr">
        <is>
          <t>525 Boren SOV draw #1.xlsx</t>
        </is>
      </c>
      <c r="J7" s="54" t="n"/>
    </row>
    <row r="8">
      <c r="B8" s="81" t="n">
        <v>2</v>
      </c>
      <c r="C8" s="49" t="inlineStr">
        <is>
          <t>2016-05-20</t>
        </is>
      </c>
      <c r="D8" s="56" t="n">
        <v>830310</v>
      </c>
      <c r="E8" s="56" t="n">
        <v>48300</v>
      </c>
      <c r="F8" s="56" t="n">
        <v>0</v>
      </c>
      <c r="G8" s="56" t="n">
        <v>97900</v>
      </c>
      <c r="H8" s="88" t="n">
        <v>0.1179</v>
      </c>
      <c r="I8" s="49" t="inlineStr">
        <is>
          <t>525 Boren SOV draw #2 5-20-16.xlsx</t>
        </is>
      </c>
    </row>
    <row r="9">
      <c r="B9" s="82" t="n">
        <v>3</v>
      </c>
      <c r="C9" s="51" t="inlineStr">
        <is>
          <t>2016-07-20</t>
        </is>
      </c>
      <c r="D9" s="77" t="n">
        <v>830310</v>
      </c>
      <c r="E9" s="77" t="n">
        <v>4200</v>
      </c>
      <c r="F9" s="77" t="n">
        <v>0</v>
      </c>
      <c r="G9" s="77" t="n">
        <v>102100</v>
      </c>
      <c r="H9" s="80" t="n">
        <v>0.123</v>
      </c>
      <c r="I9" s="51" t="inlineStr">
        <is>
          <t>525 Boren SOV draw #3 7-20-16.xlsx</t>
        </is>
      </c>
      <c r="J9" s="54" t="n"/>
    </row>
    <row r="10">
      <c r="B10" s="81" t="n">
        <v>4</v>
      </c>
      <c r="C10" s="49" t="inlineStr">
        <is>
          <t>2016-08-19</t>
        </is>
      </c>
      <c r="D10" s="56" t="n">
        <v>830310</v>
      </c>
      <c r="E10" s="56" t="n">
        <v>17300</v>
      </c>
      <c r="F10" s="56" t="n">
        <v>0</v>
      </c>
      <c r="G10" s="56" t="n">
        <v>119400</v>
      </c>
      <c r="H10" s="88" t="n">
        <v>0.1438</v>
      </c>
      <c r="I10" s="49" t="inlineStr">
        <is>
          <t>525 Boren SOV draw #4 8-19-16.xlsx</t>
        </is>
      </c>
    </row>
    <row r="11">
      <c r="B11" s="82" t="n">
        <v>5</v>
      </c>
      <c r="C11" s="51" t="inlineStr">
        <is>
          <t>2016-09-19</t>
        </is>
      </c>
      <c r="D11" s="77" t="n">
        <v>830310</v>
      </c>
      <c r="E11" s="77" t="n">
        <v>103300</v>
      </c>
      <c r="F11" s="77" t="n">
        <v>0</v>
      </c>
      <c r="G11" s="77" t="n">
        <v>222700</v>
      </c>
      <c r="H11" s="80" t="n">
        <v>0.2682</v>
      </c>
      <c r="I11" s="51" t="inlineStr">
        <is>
          <t>525 Boren SOV draw #5 9-19-16.xlsx</t>
        </is>
      </c>
      <c r="J11" s="54" t="n"/>
    </row>
    <row r="12">
      <c r="B12" s="81" t="n">
        <v>6</v>
      </c>
      <c r="C12" s="49" t="inlineStr">
        <is>
          <t>2016-10-20</t>
        </is>
      </c>
      <c r="D12" s="56" t="n">
        <v>830310</v>
      </c>
      <c r="E12" s="56" t="n">
        <v>167600</v>
      </c>
      <c r="F12" s="56" t="n">
        <v>0</v>
      </c>
      <c r="G12" s="56" t="n">
        <v>390300</v>
      </c>
      <c r="H12" s="88" t="n">
        <v>0.4701</v>
      </c>
      <c r="I12" s="49" t="inlineStr">
        <is>
          <t>525 Boren SOV draw #6  10-20-16.xlsx</t>
        </is>
      </c>
    </row>
    <row r="13">
      <c r="B13" s="82" t="n">
        <v>7</v>
      </c>
      <c r="C13" s="51" t="inlineStr">
        <is>
          <t>2016-11-15</t>
        </is>
      </c>
      <c r="D13" s="77" t="n">
        <v>830310</v>
      </c>
      <c r="E13" s="77" t="n">
        <v>137100</v>
      </c>
      <c r="F13" s="77" t="n">
        <v>0</v>
      </c>
      <c r="G13" s="77" t="n">
        <v>527400</v>
      </c>
      <c r="H13" s="80" t="n">
        <v>0.6352</v>
      </c>
      <c r="I13" s="51" t="inlineStr">
        <is>
          <t>525 Boren SOV draw #7  11-15-16.xlsx</t>
        </is>
      </c>
      <c r="J13" s="54" t="n"/>
    </row>
    <row r="14">
      <c r="B14" s="81" t="n">
        <v>8</v>
      </c>
      <c r="C14" s="49" t="inlineStr">
        <is>
          <t>2016-12-15</t>
        </is>
      </c>
      <c r="D14" s="56" t="n">
        <v>830310</v>
      </c>
      <c r="E14" s="56" t="n">
        <v>144725</v>
      </c>
      <c r="F14" s="56" t="n">
        <v>0</v>
      </c>
      <c r="G14" s="56" t="n">
        <v>672125</v>
      </c>
      <c r="H14" s="88" t="n">
        <v>0.8095</v>
      </c>
      <c r="I14" s="49" t="inlineStr">
        <is>
          <t>525 Boren SOV draw #8  12-15-16.xlsx</t>
        </is>
      </c>
    </row>
    <row r="15">
      <c r="B15" s="82" t="n">
        <v>9</v>
      </c>
      <c r="C15" s="51" t="inlineStr">
        <is>
          <t>2017-01-20</t>
        </is>
      </c>
      <c r="D15" s="77" t="n">
        <v>830310</v>
      </c>
      <c r="E15" s="77" t="n">
        <v>56205</v>
      </c>
      <c r="F15" s="77" t="n">
        <v>0</v>
      </c>
      <c r="G15" s="77" t="n">
        <v>728330</v>
      </c>
      <c r="H15" s="80" t="n">
        <v>0.8772</v>
      </c>
      <c r="I15" s="51" t="inlineStr">
        <is>
          <t>525 Boren SOV draw #9  1-20-17.xlsx</t>
        </is>
      </c>
      <c r="J15" s="54" t="n"/>
    </row>
    <row r="16">
      <c r="B16" s="81" t="n">
        <v>10</v>
      </c>
      <c r="C16" s="49" t="inlineStr">
        <is>
          <t>2017-02-20</t>
        </is>
      </c>
      <c r="D16" s="56" t="n">
        <v>830310</v>
      </c>
      <c r="E16" s="56" t="n">
        <v>4540</v>
      </c>
      <c r="F16" s="56" t="n">
        <v>0</v>
      </c>
      <c r="G16" s="56" t="n">
        <v>732870</v>
      </c>
      <c r="H16" s="88" t="n">
        <v>0.8826999999999999</v>
      </c>
      <c r="I16" s="49" t="inlineStr">
        <is>
          <t>525 Boren SOV draw #10  2-20-17.xlsx</t>
        </is>
      </c>
    </row>
    <row r="17">
      <c r="B17" s="82" t="n">
        <v>11</v>
      </c>
      <c r="C17" s="51" t="inlineStr">
        <is>
          <t>2017-03-20</t>
        </is>
      </c>
      <c r="D17" s="77" t="n">
        <v>830310</v>
      </c>
      <c r="E17" s="77" t="n">
        <v>16900</v>
      </c>
      <c r="F17" s="77" t="n">
        <v>0</v>
      </c>
      <c r="G17" s="77" t="n">
        <v>749770</v>
      </c>
      <c r="H17" s="80" t="n">
        <v>0.903</v>
      </c>
      <c r="I17" s="51" t="inlineStr">
        <is>
          <t>525 Boren SOV draw #11  3-20-17.xlsx</t>
        </is>
      </c>
      <c r="J17" s="54" t="n"/>
    </row>
    <row r="18">
      <c r="B18" s="81" t="n">
        <v>12</v>
      </c>
      <c r="C18" s="49" t="inlineStr">
        <is>
          <t>2017-04-20</t>
        </is>
      </c>
      <c r="D18" s="56" t="n">
        <v>830310</v>
      </c>
      <c r="E18" s="56" t="n">
        <v>23440</v>
      </c>
      <c r="F18" s="56" t="n">
        <v>0</v>
      </c>
      <c r="G18" s="56" t="n">
        <v>773210</v>
      </c>
      <c r="H18" s="88" t="n">
        <v>0.9312</v>
      </c>
      <c r="I18" s="49" t="inlineStr">
        <is>
          <t>525 Boren SOV draw #12  4-20-17.xlsx</t>
        </is>
      </c>
    </row>
    <row r="19">
      <c r="B19" s="82" t="n">
        <v>13</v>
      </c>
      <c r="C19" s="51" t="inlineStr">
        <is>
          <t>2017-05-19</t>
        </is>
      </c>
      <c r="D19" s="77" t="n">
        <v>830310</v>
      </c>
      <c r="E19" s="77" t="n">
        <v>13125</v>
      </c>
      <c r="F19" s="77" t="n">
        <v>0</v>
      </c>
      <c r="G19" s="77" t="n">
        <v>786335</v>
      </c>
      <c r="H19" s="80" t="n">
        <v>0.9470000000000001</v>
      </c>
      <c r="I19" s="51" t="inlineStr">
        <is>
          <t>525 Boren SOV draw #13  5-19-17.xlsx</t>
        </is>
      </c>
      <c r="J19" s="54" t="n"/>
    </row>
    <row r="20">
      <c r="B20" s="81" t="n">
        <v>14</v>
      </c>
      <c r="C20" s="49" t="inlineStr">
        <is>
          <t>2017-06-20</t>
        </is>
      </c>
      <c r="D20" s="56" t="n">
        <v>830310</v>
      </c>
      <c r="E20" s="56" t="n">
        <v>43975</v>
      </c>
      <c r="F20" s="56" t="n">
        <v>0</v>
      </c>
      <c r="G20" s="56" t="n">
        <v>830310</v>
      </c>
      <c r="H20" s="88" t="n">
        <v>1</v>
      </c>
      <c r="I20" s="49" t="inlineStr">
        <is>
          <t>525 Boren SOV draw #14  6-20-17.xlsx</t>
        </is>
      </c>
    </row>
    <row r="21">
      <c r="B21" s="82" t="n">
        <v>15</v>
      </c>
      <c r="C21" s="51" t="inlineStr">
        <is>
          <t>2017-07-20</t>
        </is>
      </c>
      <c r="D21" s="77" t="n">
        <v>830667</v>
      </c>
      <c r="E21" s="77" t="n">
        <v>357</v>
      </c>
      <c r="F21" s="77" t="n">
        <v>0</v>
      </c>
      <c r="G21" s="77" t="n">
        <v>830667</v>
      </c>
      <c r="H21" s="80" t="n">
        <v>1</v>
      </c>
      <c r="I21" s="51" t="inlineStr">
        <is>
          <t>525 Boren SOV draw #15  7-20-17.xlsx (CO#1 Temp Gas +$357)</t>
        </is>
      </c>
      <c r="J21" s="54" t="n"/>
    </row>
    <row r="22">
      <c r="B22" s="75" t="inlineStr">
        <is>
          <t>TOTAL BILLED (PAY APPS)</t>
        </is>
      </c>
      <c r="E22" s="83">
        <f>SUM(E7:E21)</f>
        <v/>
      </c>
    </row>
    <row r="23">
      <c r="B23" s="54" t="n"/>
      <c r="C23" s="54" t="n"/>
      <c r="D23" s="54" t="n"/>
      <c r="E23" s="54" t="n"/>
      <c r="F23" s="54" t="n"/>
      <c r="G23" s="54" t="n"/>
      <c r="H23" s="54" t="n"/>
      <c r="I23" s="54" t="n"/>
      <c r="J23" s="54" t="n"/>
    </row>
    <row r="24">
      <c r="B24" s="48" t="inlineStr">
        <is>
          <t>PAY APPS RECONCILIATION: Sum of 'This Period' = $830,667 (ties exactly to Contract Total @ App#15 and JDR revenue). Billing cadence 16.5 mo: slow start Mar-May 2016 (~$100K/2 mo underground+design) → roughin ramp Aug-Nov 2016 (52% of value in 4 months) → trim/punchlist Dec 2016-Jun 2017.</t>
        </is>
      </c>
      <c r="C24" s="6" t="n"/>
      <c r="D24" s="6" t="n"/>
      <c r="E24" s="6" t="n"/>
      <c r="F24" s="6" t="n"/>
      <c r="G24" s="6" t="n"/>
      <c r="H24" s="6" t="n"/>
      <c r="I24" s="7" t="n"/>
    </row>
    <row r="25">
      <c r="B25" s="54" t="n"/>
      <c r="C25" s="54" t="n"/>
      <c r="D25" s="54" t="n"/>
      <c r="E25" s="54" t="n"/>
      <c r="F25" s="54" t="n"/>
      <c r="G25" s="54" t="n"/>
      <c r="H25" s="54" t="n"/>
      <c r="I25" s="54" t="n"/>
      <c r="J25" s="54" t="n"/>
    </row>
    <row r="26">
      <c r="B26" s="58" t="inlineStr">
        <is>
          <t>JDR AR INVOICES (Sage AR ledger)</t>
        </is>
      </c>
    </row>
    <row r="27">
      <c r="B27" s="85" t="inlineStr">
        <is>
          <t>Invoice #</t>
        </is>
      </c>
      <c r="C27" s="86" t="inlineStr">
        <is>
          <t>Date</t>
        </is>
      </c>
      <c r="D27" s="86" t="inlineStr">
        <is>
          <t>Total Billed (signed)</t>
        </is>
      </c>
      <c r="E27" s="86" t="inlineStr">
        <is>
          <t>Retainage (signed)</t>
        </is>
      </c>
      <c r="F27" s="86" t="inlineStr">
        <is>
          <t># Lines</t>
        </is>
      </c>
      <c r="G27" s="86" t="inlineStr">
        <is>
          <t>Source</t>
        </is>
      </c>
      <c r="H27" s="54" t="n"/>
      <c r="I27" s="54" t="n"/>
      <c r="J27" s="54" t="n"/>
    </row>
    <row r="28">
      <c r="B28" s="48" t="inlineStr">
        <is>
          <t>036700</t>
        </is>
      </c>
      <c r="C28" s="49" t="inlineStr">
        <is>
          <t>03/21/16</t>
        </is>
      </c>
      <c r="D28" s="67" t="n">
        <v>-62000</v>
      </c>
      <c r="E28" s="67" t="n">
        <v>-3100</v>
      </c>
      <c r="F28" s="81" t="n">
        <v>1</v>
      </c>
      <c r="G28" s="49" t="inlineStr">
        <is>
          <t>2026 Job Detail Report.pdf (Sage Timberline export, printed 04/03/2026 1:51PM, 106 pages)</t>
        </is>
      </c>
    </row>
    <row r="29">
      <c r="B29" s="50" t="inlineStr">
        <is>
          <t>036701</t>
        </is>
      </c>
      <c r="C29" s="51" t="inlineStr">
        <is>
          <t>03/21/16</t>
        </is>
      </c>
      <c r="D29" s="70" t="n">
        <v>62000</v>
      </c>
      <c r="E29" s="70" t="n">
        <v>3100</v>
      </c>
      <c r="F29" s="82" t="n">
        <v>1</v>
      </c>
      <c r="G29" s="51" t="inlineStr">
        <is>
          <t>2026 Job Detail Report.pdf (Sage Timberline export, printed 04/03/2026 1:51PM, 106 pages)</t>
        </is>
      </c>
      <c r="H29" s="54" t="n"/>
      <c r="I29" s="54" t="n"/>
      <c r="J29" s="54" t="n"/>
    </row>
    <row r="30">
      <c r="B30" s="48" t="inlineStr">
        <is>
          <t>036702</t>
        </is>
      </c>
      <c r="C30" s="49" t="inlineStr">
        <is>
          <t>03/21/16</t>
        </is>
      </c>
      <c r="D30" s="67" t="n">
        <v>-49600</v>
      </c>
      <c r="E30" s="67" t="n">
        <v>-2480</v>
      </c>
      <c r="F30" s="81" t="n">
        <v>1</v>
      </c>
      <c r="G30" s="49" t="inlineStr">
        <is>
          <t>2026 Job Detail Report.pdf (Sage Timberline export, printed 04/03/2026 1:51PM, 106 pages)</t>
        </is>
      </c>
    </row>
    <row r="31">
      <c r="B31" s="50" t="inlineStr">
        <is>
          <t>036725</t>
        </is>
      </c>
      <c r="C31" s="51" t="inlineStr">
        <is>
          <t>05/20/16</t>
        </is>
      </c>
      <c r="D31" s="70" t="n">
        <v>-48300</v>
      </c>
      <c r="E31" s="70" t="n">
        <v>-2415</v>
      </c>
      <c r="F31" s="82" t="n">
        <v>3</v>
      </c>
      <c r="G31" s="51" t="inlineStr">
        <is>
          <t>2026 Job Detail Report.pdf (Sage Timberline export, printed 04/03/2026 1:51PM, 106 pages)</t>
        </is>
      </c>
      <c r="H31" s="54" t="n"/>
      <c r="I31" s="54" t="n"/>
      <c r="J31" s="54" t="n"/>
    </row>
    <row r="32">
      <c r="B32" s="48" t="inlineStr">
        <is>
          <t>036757</t>
        </is>
      </c>
      <c r="C32" s="49" t="inlineStr">
        <is>
          <t>07/20/16</t>
        </is>
      </c>
      <c r="D32" s="67" t="n">
        <v>-4200</v>
      </c>
      <c r="E32" s="67" t="n">
        <v>-210</v>
      </c>
      <c r="F32" s="81" t="n">
        <v>1</v>
      </c>
      <c r="G32" s="49" t="inlineStr">
        <is>
          <t>2026 Job Detail Report.pdf (Sage Timberline export, printed 04/03/2026 1:51PM, 106 pages)</t>
        </is>
      </c>
    </row>
    <row r="33">
      <c r="B33" s="50" t="inlineStr">
        <is>
          <t>036770</t>
        </is>
      </c>
      <c r="C33" s="51" t="inlineStr">
        <is>
          <t>08/19/16</t>
        </is>
      </c>
      <c r="D33" s="70" t="n">
        <v>-17300</v>
      </c>
      <c r="E33" s="70" t="n">
        <v>-865</v>
      </c>
      <c r="F33" s="82" t="n">
        <v>2</v>
      </c>
      <c r="G33" s="51" t="inlineStr">
        <is>
          <t>2026 Job Detail Report.pdf (Sage Timberline export, printed 04/03/2026 1:51PM, 106 pages)</t>
        </is>
      </c>
      <c r="H33" s="54" t="n"/>
      <c r="I33" s="54" t="n"/>
      <c r="J33" s="54" t="n"/>
    </row>
    <row r="34">
      <c r="B34" s="48" t="inlineStr">
        <is>
          <t>036783</t>
        </is>
      </c>
      <c r="C34" s="49" t="inlineStr">
        <is>
          <t>09/19/16</t>
        </is>
      </c>
      <c r="D34" s="67" t="n">
        <v>-103300</v>
      </c>
      <c r="E34" s="67" t="n">
        <v>-5165</v>
      </c>
      <c r="F34" s="81" t="n">
        <v>4</v>
      </c>
      <c r="G34" s="49" t="inlineStr">
        <is>
          <t>2026 Job Detail Report.pdf (Sage Timberline export, printed 04/03/2026 1:51PM, 106 pages)</t>
        </is>
      </c>
    </row>
    <row r="35">
      <c r="B35" s="50" t="inlineStr">
        <is>
          <t>036794</t>
        </is>
      </c>
      <c r="C35" s="51" t="inlineStr">
        <is>
          <t>10/20/16</t>
        </is>
      </c>
      <c r="D35" s="70" t="n">
        <v>-167600</v>
      </c>
      <c r="E35" s="70" t="n">
        <v>-8380</v>
      </c>
      <c r="F35" s="82" t="n">
        <v>7</v>
      </c>
      <c r="G35" s="51" t="inlineStr">
        <is>
          <t>2026 Job Detail Report.pdf (Sage Timberline export, printed 04/03/2026 1:51PM, 106 pages)</t>
        </is>
      </c>
      <c r="H35" s="54" t="n"/>
      <c r="I35" s="54" t="n"/>
      <c r="J35" s="54" t="n"/>
    </row>
    <row r="36">
      <c r="B36" s="48" t="inlineStr">
        <is>
          <t>036800</t>
        </is>
      </c>
      <c r="C36" s="49" t="inlineStr">
        <is>
          <t>11/15/16</t>
        </is>
      </c>
      <c r="D36" s="67" t="n">
        <v>-137100</v>
      </c>
      <c r="E36" s="67" t="n">
        <v>-6855</v>
      </c>
      <c r="F36" s="81" t="n">
        <v>9</v>
      </c>
      <c r="G36" s="49" t="inlineStr">
        <is>
          <t>2026 Job Detail Report.pdf (Sage Timberline export, printed 04/03/2026 1:51PM, 106 pages)</t>
        </is>
      </c>
    </row>
    <row r="37">
      <c r="B37" s="50" t="inlineStr">
        <is>
          <t>036807</t>
        </is>
      </c>
      <c r="C37" s="51" t="inlineStr">
        <is>
          <t>12/15/16</t>
        </is>
      </c>
      <c r="D37" s="70" t="n">
        <v>-144725</v>
      </c>
      <c r="E37" s="70" t="n">
        <v>-7236.25</v>
      </c>
      <c r="F37" s="82" t="n">
        <v>7</v>
      </c>
      <c r="G37" s="51" t="inlineStr">
        <is>
          <t>2026 Job Detail Report.pdf (Sage Timberline export, printed 04/03/2026 1:51PM, 106 pages)</t>
        </is>
      </c>
      <c r="H37" s="54" t="n"/>
      <c r="I37" s="54" t="n"/>
      <c r="J37" s="54" t="n"/>
    </row>
    <row r="38">
      <c r="B38" s="48" t="inlineStr">
        <is>
          <t>036822</t>
        </is>
      </c>
      <c r="C38" s="49" t="inlineStr">
        <is>
          <t>01/20/17</t>
        </is>
      </c>
      <c r="D38" s="67" t="n">
        <v>-56205</v>
      </c>
      <c r="E38" s="67" t="n">
        <v>-2810.25</v>
      </c>
      <c r="F38" s="81" t="n">
        <v>7</v>
      </c>
      <c r="G38" s="49" t="inlineStr">
        <is>
          <t>2026 Job Detail Report.pdf (Sage Timberline export, printed 04/03/2026 1:51PM, 106 pages)</t>
        </is>
      </c>
    </row>
    <row r="39">
      <c r="B39" s="50" t="inlineStr">
        <is>
          <t>036836</t>
        </is>
      </c>
      <c r="C39" s="51" t="inlineStr">
        <is>
          <t>02/20/17</t>
        </is>
      </c>
      <c r="D39" s="70" t="n">
        <v>-4540</v>
      </c>
      <c r="E39" s="70" t="n">
        <v>-227</v>
      </c>
      <c r="F39" s="82" t="n">
        <v>2</v>
      </c>
      <c r="G39" s="51" t="inlineStr">
        <is>
          <t>2026 Job Detail Report.pdf (Sage Timberline export, printed 04/03/2026 1:51PM, 106 pages)</t>
        </is>
      </c>
      <c r="H39" s="54" t="n"/>
      <c r="I39" s="54" t="n"/>
      <c r="J39" s="54" t="n"/>
    </row>
    <row r="40">
      <c r="B40" s="48" t="inlineStr">
        <is>
          <t>036850</t>
        </is>
      </c>
      <c r="C40" s="49" t="inlineStr">
        <is>
          <t>03/17/17</t>
        </is>
      </c>
      <c r="D40" s="67" t="n">
        <v>-16900</v>
      </c>
      <c r="E40" s="67" t="n">
        <v>-845</v>
      </c>
      <c r="F40" s="81" t="n">
        <v>3</v>
      </c>
      <c r="G40" s="49" t="inlineStr">
        <is>
          <t>2026 Job Detail Report.pdf (Sage Timberline export, printed 04/03/2026 1:51PM, 106 pages)</t>
        </is>
      </c>
    </row>
    <row r="41">
      <c r="B41" s="50" t="inlineStr">
        <is>
          <t>036861</t>
        </is>
      </c>
      <c r="C41" s="51" t="inlineStr">
        <is>
          <t>04/20/17</t>
        </is>
      </c>
      <c r="D41" s="70" t="n">
        <v>-18500</v>
      </c>
      <c r="E41" s="70" t="n">
        <v>-925</v>
      </c>
      <c r="F41" s="82" t="n">
        <v>2</v>
      </c>
      <c r="G41" s="51" t="inlineStr">
        <is>
          <t>2026 Job Detail Report.pdf (Sage Timberline export, printed 04/03/2026 1:51PM, 106 pages)</t>
        </is>
      </c>
      <c r="H41" s="54" t="n"/>
      <c r="I41" s="54" t="n"/>
      <c r="J41" s="54" t="n"/>
    </row>
    <row r="42">
      <c r="B42" s="48" t="inlineStr">
        <is>
          <t>036863</t>
        </is>
      </c>
      <c r="C42" s="49" t="inlineStr">
        <is>
          <t>04/20/17</t>
        </is>
      </c>
      <c r="D42" s="67" t="n">
        <v>18500</v>
      </c>
      <c r="E42" s="67" t="n">
        <v>925</v>
      </c>
      <c r="F42" s="81" t="n">
        <v>2</v>
      </c>
      <c r="G42" s="49" t="inlineStr">
        <is>
          <t>2026 Job Detail Report.pdf (Sage Timberline export, printed 04/03/2026 1:51PM, 106 pages)</t>
        </is>
      </c>
    </row>
    <row r="43">
      <c r="B43" s="50" t="inlineStr">
        <is>
          <t>036864</t>
        </is>
      </c>
      <c r="C43" s="51" t="inlineStr">
        <is>
          <t>04/20/17</t>
        </is>
      </c>
      <c r="D43" s="70" t="n">
        <v>-23440</v>
      </c>
      <c r="E43" s="70" t="n">
        <v>-1172</v>
      </c>
      <c r="F43" s="82" t="n">
        <v>3</v>
      </c>
      <c r="G43" s="51" t="inlineStr">
        <is>
          <t>2026 Job Detail Report.pdf (Sage Timberline export, printed 04/03/2026 1:51PM, 106 pages)</t>
        </is>
      </c>
      <c r="H43" s="54" t="n"/>
      <c r="I43" s="54" t="n"/>
      <c r="J43" s="54" t="n"/>
    </row>
    <row r="44">
      <c r="B44" s="48" t="inlineStr">
        <is>
          <t>036881</t>
        </is>
      </c>
      <c r="C44" s="49" t="inlineStr">
        <is>
          <t>05/19/17</t>
        </is>
      </c>
      <c r="D44" s="67" t="n">
        <v>-18065</v>
      </c>
      <c r="E44" s="67" t="n">
        <v>-903.25</v>
      </c>
      <c r="F44" s="81" t="n">
        <v>3</v>
      </c>
      <c r="G44" s="49" t="inlineStr">
        <is>
          <t>2026 Job Detail Report.pdf (Sage Timberline export, printed 04/03/2026 1:51PM, 106 pages)</t>
        </is>
      </c>
    </row>
    <row r="45">
      <c r="B45" s="50" t="inlineStr">
        <is>
          <t>036886</t>
        </is>
      </c>
      <c r="C45" s="51" t="inlineStr">
        <is>
          <t>05/19/17</t>
        </is>
      </c>
      <c r="D45" s="70" t="n">
        <v>18065</v>
      </c>
      <c r="E45" s="70" t="n">
        <v>903.25</v>
      </c>
      <c r="F45" s="82" t="n">
        <v>3</v>
      </c>
      <c r="G45" s="51" t="inlineStr">
        <is>
          <t>2026 Job Detail Report.pdf (Sage Timberline export, printed 04/03/2026 1:51PM, 106 pages)</t>
        </is>
      </c>
      <c r="H45" s="54" t="n"/>
      <c r="I45" s="54" t="n"/>
      <c r="J45" s="54" t="n"/>
    </row>
    <row r="46">
      <c r="B46" s="48" t="inlineStr">
        <is>
          <t>036887</t>
        </is>
      </c>
      <c r="C46" s="49" t="inlineStr">
        <is>
          <t>05/19/17</t>
        </is>
      </c>
      <c r="D46" s="67" t="n">
        <v>-13125</v>
      </c>
      <c r="E46" s="67" t="n">
        <v>-656.25</v>
      </c>
      <c r="F46" s="81" t="n">
        <v>2</v>
      </c>
      <c r="G46" s="49" t="inlineStr">
        <is>
          <t>2026 Job Detail Report.pdf (Sage Timberline export, printed 04/03/2026 1:51PM, 106 pages)</t>
        </is>
      </c>
    </row>
    <row r="47">
      <c r="B47" s="50" t="inlineStr">
        <is>
          <t>036902</t>
        </is>
      </c>
      <c r="C47" s="51" t="inlineStr">
        <is>
          <t>06/19/17</t>
        </is>
      </c>
      <c r="D47" s="70" t="n">
        <v>-43975</v>
      </c>
      <c r="E47" s="70" t="n">
        <v>-2198.75</v>
      </c>
      <c r="F47" s="82" t="n">
        <v>6</v>
      </c>
      <c r="G47" s="51" t="inlineStr">
        <is>
          <t>2026 Job Detail Report.pdf (Sage Timberline export, printed 04/03/2026 1:51PM, 106 pages)</t>
        </is>
      </c>
      <c r="H47" s="54" t="n"/>
      <c r="I47" s="54" t="n"/>
      <c r="J47" s="54" t="n"/>
    </row>
    <row r="48">
      <c r="B48" s="48" t="inlineStr">
        <is>
          <t>036923</t>
        </is>
      </c>
      <c r="C48" s="49" t="inlineStr">
        <is>
          <t>07/24/17</t>
        </is>
      </c>
      <c r="D48" s="67" t="n">
        <v>-357</v>
      </c>
      <c r="E48" s="67" t="n">
        <v>-17.85</v>
      </c>
      <c r="F48" s="81" t="n">
        <v>1</v>
      </c>
      <c r="G48" s="49" t="inlineStr">
        <is>
          <t>2026 Job Detail Report.pdf (Sage Timberline export, printed 04/03/2026 1:51PM, 106 pages)</t>
        </is>
      </c>
    </row>
    <row r="49">
      <c r="B49" s="50" t="inlineStr">
        <is>
          <t>TOTAL (net of reversals)</t>
        </is>
      </c>
      <c r="C49" s="54" t="n"/>
      <c r="D49" s="71">
        <f>SUM(D28:D48)</f>
        <v/>
      </c>
      <c r="E49" s="71">
        <f>SUM(E28:E48)</f>
        <v/>
      </c>
      <c r="F49" s="54" t="n"/>
      <c r="G49" s="54" t="n"/>
      <c r="H49" s="54" t="n"/>
      <c r="I49" s="54" t="n"/>
      <c r="J49" s="54" t="n"/>
    </row>
    <row r="50"/>
    <row r="51">
      <c r="B51" s="50" t="inlineStr">
        <is>
          <t>NOTE: JDR AR includes reversal+reissue pairs (Sage practice). Net cumulative billed = $830,667.00 revenue + $41,533.35 retainage, matches Pay App #15 Contract Total. Retainage NOT released as of JDR 04/03/2026. Full &amp; Final Lien Claim Waiver on file (Billing folder).</t>
        </is>
      </c>
      <c r="C51" s="52" t="n"/>
      <c r="D51" s="52" t="n"/>
      <c r="E51" s="52" t="n"/>
      <c r="F51" s="52" t="n"/>
      <c r="G51" s="52" t="n"/>
      <c r="H51" s="52" t="n"/>
      <c r="I51" s="53" t="n"/>
      <c r="J51" s="54" t="n"/>
    </row>
  </sheetData>
  <mergeCells count="4">
    <mergeCell ref="B24:I24"/>
    <mergeCell ref="B3:J3"/>
    <mergeCell ref="B51:I51"/>
    <mergeCell ref="B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J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4" t="inlineStr">
        <is>
          <t>Insights &amp; Observations</t>
        </is>
      </c>
    </row>
    <row r="3" ht="22" customHeight="1">
      <c r="B3" s="45" t="inlineStr">
        <is>
          <t>Narrative findings from JDR analysis</t>
        </is>
      </c>
    </row>
    <row r="4" ht="2" customHeight="1">
      <c r="B4" s="46" t="n"/>
      <c r="C4" s="46" t="n"/>
      <c r="D4" s="46" t="n"/>
      <c r="E4" s="46" t="n"/>
      <c r="F4" s="46" t="n"/>
      <c r="G4" s="46" t="n"/>
      <c r="H4" s="46" t="n"/>
      <c r="I4" s="46" t="n"/>
      <c r="J4" s="46" t="n"/>
    </row>
    <row r="5">
      <c r="B5" s="66" t="inlineStr">
        <is>
          <t>#</t>
        </is>
      </c>
      <c r="C5" s="66" t="inlineStr">
        <is>
          <t>Insight</t>
        </is>
      </c>
      <c r="D5" s="66" t="inlineStr">
        <is>
          <t>Detail</t>
        </is>
      </c>
      <c r="E5" s="66" t="inlineStr">
        <is>
          <t>Confidence</t>
        </is>
      </c>
      <c r="F5" s="66" t="inlineStr">
        <is>
          <t>Source</t>
        </is>
      </c>
    </row>
    <row r="6" ht="58" customHeight="1">
      <c r="B6" s="81" t="n">
        <v>1</v>
      </c>
      <c r="C6" s="49" t="inlineStr">
        <is>
          <t>HEALTHY MARGIN</t>
        </is>
      </c>
      <c r="D6" s="49" t="inlineStr">
        <is>
          <t>Net profit $282,699.94 on $830,667.00 revenue = 34.0% gross margin. Within healthy range for multifamily plumbing.</t>
        </is>
      </c>
      <c r="E6" s="94" t="inlineStr">
        <is>
          <t>Verified</t>
        </is>
      </c>
      <c r="F6" s="49" t="inlineStr">
        <is>
          <t>2026 Job Detail Report.pdf (Sage Timberline export, printed 04/03/2026 1:51PM, 106 pages)</t>
        </is>
      </c>
    </row>
    <row r="7" ht="58" customHeight="1">
      <c r="B7" s="82" t="n">
        <v>2</v>
      </c>
      <c r="C7" s="51" t="inlineStr">
        <is>
          <t>LABOR-HEAVY EXECUTION</t>
        </is>
      </c>
      <c r="D7" s="51" t="inlineStr">
        <is>
          <t>Total labor cost $210,715.50 (25.4% of rev) across 8,541.5 hrs and 25 workers. Rough-in (code 120) alone = 4901 hrs = 57% of labor.</t>
        </is>
      </c>
      <c r="E7" s="94" t="inlineStr">
        <is>
          <t>Verified</t>
        </is>
      </c>
      <c r="F7" s="51" t="inlineStr">
        <is>
          <t>2026 Job Detail Report.pdf (Sage Timberline export, printed 04/03/2026 1:51PM, 106 pages)</t>
        </is>
      </c>
      <c r="G7" s="54" t="n"/>
      <c r="H7" s="54" t="n"/>
      <c r="I7" s="54" t="n"/>
      <c r="J7" s="54" t="n"/>
    </row>
    <row r="8" ht="58" customHeight="1">
      <c r="B8" s="81" t="n">
        <v>3</v>
      </c>
      <c r="C8" s="49" t="inlineStr">
        <is>
          <t>BURDEN-HEAVY</t>
        </is>
      </c>
      <c r="D8" s="49" t="inlineStr">
        <is>
          <t>Payroll Burden $93,383.48 + Taxes $16,119.90 = $109,503.38 = 52.0% of gross labor. Burden multiplier = 1.52x.</t>
        </is>
      </c>
      <c r="E8" s="94" t="inlineStr">
        <is>
          <t>Verified</t>
        </is>
      </c>
      <c r="F8" s="49" t="inlineStr">
        <is>
          <t>2026 Job Detail Report.pdf (Sage Timberline export, printed 04/03/2026 1:51PM, 106 pages)</t>
        </is>
      </c>
    </row>
    <row r="9" ht="58" customHeight="1">
      <c r="B9" s="82" t="n">
        <v>4</v>
      </c>
      <c r="C9" s="51" t="inlineStr">
        <is>
          <t>TOP-WORKER CONCENTRATION</t>
        </is>
      </c>
      <c r="D9" s="51" t="inlineStr">
        <is>
          <t>Castaneda Martinez, Gustavo (ID CA74) alone logged 1798 hours = 21.1% of project labor. Top 5 workers = 72.6%.</t>
        </is>
      </c>
      <c r="E9" s="94" t="inlineStr">
        <is>
          <t>Verified</t>
        </is>
      </c>
      <c r="F9" s="51" t="inlineStr">
        <is>
          <t>2026 Job Detail Report.pdf (Sage Timberline export, printed 04/03/2026 1:51PM, 106 pages)</t>
        </is>
      </c>
      <c r="G9" s="54" t="n"/>
      <c r="H9" s="54" t="n"/>
      <c r="I9" s="54" t="n"/>
      <c r="J9" s="54" t="n"/>
    </row>
    <row r="10" ht="58" customHeight="1">
      <c r="B10" s="81" t="n">
        <v>5</v>
      </c>
      <c r="C10" s="49" t="inlineStr">
        <is>
          <t>VENDOR CONCENTRATION</t>
        </is>
      </c>
      <c r="D10" s="49" t="inlineStr">
        <is>
          <t>Top vendor Rosen Supply Company, Inc. $Boren ($49,659.22). Top 4 vendors (Rosen, Consolidated Supply, Ferguson, Keller) account for majority of material spend.</t>
        </is>
      </c>
      <c r="E10" s="94" t="inlineStr">
        <is>
          <t>Verified</t>
        </is>
      </c>
      <c r="F10" s="49" t="inlineStr">
        <is>
          <t>2026 Job Detail Report.pdf (Sage Timberline export, printed 04/03/2026 1:51PM, 106 pages)</t>
        </is>
      </c>
    </row>
    <row r="11" ht="58" customHeight="1">
      <c r="B11" s="82" t="n">
        <v>6</v>
      </c>
      <c r="C11" s="51" t="inlineStr">
        <is>
          <t>CONTRACT GROWTH MODEST</t>
        </is>
      </c>
      <c r="D11" s="51" t="inlineStr">
        <is>
          <t>Original contract $825,370.00 → Final $830,667.00 = +$5,297.00 (0.64%). Break-down: +$4,940 SOV adj (App#1→#2 May-2016) + $357 CO#1 Temp Gas (App#15 Jul-2017). Tight CO discipline.</t>
        </is>
      </c>
      <c r="E11" s="94" t="inlineStr">
        <is>
          <t>Verified</t>
        </is>
      </c>
      <c r="F11" s="51" t="inlineStr">
        <is>
          <t>2026 Job Detail Report.pdf (Sage Timberline export, printed 04/03/2026 1:51PM, 106 pages) + Billing SOVs</t>
        </is>
      </c>
      <c r="G11" s="54" t="n"/>
      <c r="H11" s="54" t="n"/>
      <c r="I11" s="54" t="n"/>
      <c r="J11" s="54" t="n"/>
    </row>
    <row r="12" ht="58" customHeight="1">
      <c r="B12" s="81" t="n">
        <v>7</v>
      </c>
      <c r="C12" s="49" t="inlineStr">
        <is>
          <t>CERTAIN COST CODES OVER BUDGET</t>
        </is>
      </c>
      <c r="D12" s="49" t="inlineStr">
        <is>
          <t>Garage Labor (111) ran 67% over budget ($22,565 vs $13,550). Canout Labor (112) ran 116% over. Mech Room Labor (142) ran 53% over. Offset by Rough-in Material (220), Gas Labor (140), Supervision (100) under budget.</t>
        </is>
      </c>
      <c r="E12" s="94" t="inlineStr">
        <is>
          <t>Verified</t>
        </is>
      </c>
      <c r="F12" s="49" t="inlineStr">
        <is>
          <t>2026 Job Detail Report.pdf (Sage Timberline export, printed 04/03/2026 1:51PM, 106 pages)</t>
        </is>
      </c>
    </row>
    <row r="13" ht="58" customHeight="1">
      <c r="B13" s="82" t="n">
        <v>8</v>
      </c>
      <c r="C13" s="51" t="inlineStr">
        <is>
          <t>RETAINAGE OUTSTANDING</t>
        </is>
      </c>
      <c r="D13" s="51" t="inlineStr">
        <is>
          <t>Retainage $41,533.35 still shown outstanding on JDR dated 04/03/2026, despite last work posting 07/24/2017. Likely closeout release pending or reconciliation needed.</t>
        </is>
      </c>
      <c r="E13" s="94" t="inlineStr">
        <is>
          <t>Verified</t>
        </is>
      </c>
      <c r="F13" s="51" t="inlineStr">
        <is>
          <t>2026 Job Detail Report.pdf (Sage Timberline export, printed 04/03/2026 1:51PM, 106 pages)</t>
        </is>
      </c>
      <c r="G13" s="54" t="n"/>
      <c r="H13" s="54" t="n"/>
      <c r="I13" s="54" t="n"/>
      <c r="J13" s="54" t="n"/>
    </row>
    <row r="14" ht="58" customHeight="1">
      <c r="B14" s="81" t="n">
        <v>9</v>
      </c>
      <c r="C14" s="49" t="inlineStr">
        <is>
          <t>DOCUMENT COMPLETENESS</t>
        </is>
      </c>
      <c r="D14" s="49" t="inlineStr">
        <is>
          <t>Project folder (Apts 4/) is substantially complete: Contract (AGC LS Subcontract #007), 2 CORs + 1 executed CO, 15 Pay App SOV XLSX, 44 submittals across 7 categories, 2 ASI/PR docs, 5 permits, 5 vendor lien waivers, full plumbing plan set + 11 DWGs + MEP Superplots, O&amp;M + Warranty package, Certificate of Insurance, Full &amp; Final Lien Claim Waiver. 130+ documents total.</t>
        </is>
      </c>
      <c r="E14" s="94" t="inlineStr">
        <is>
          <t>High</t>
        </is>
      </c>
      <c r="F14" s="49" t="inlineStr">
        <is>
          <t>Folder scan of owp-2026/2026-Synergy, 525 Boren -Fox and Finch Apts 4/</t>
        </is>
      </c>
    </row>
    <row r="15" ht="58" customHeight="1">
      <c r="B15" s="82" t="n">
        <v>10</v>
      </c>
      <c r="C15" s="51" t="inlineStr">
        <is>
          <t>WARRANTY EVENT</t>
        </is>
      </c>
      <c r="D15" s="51" t="inlineStr">
        <is>
          <t>Retail Sewer Problem documented with 30 photos+videos on 12/06/2018 (~17 months post-closeout). Paired with 'Sewer Problem pricing' COR XLSX (PM + Foreman + Apprentice + camera). No CO resulted — likely absorbed as backcharge or warranty obligation. COR#02 Unclog Toilet $293 (Oct-2017) may be related.</t>
        </is>
      </c>
      <c r="E15" s="94" t="inlineStr">
        <is>
          <t>Verified</t>
        </is>
      </c>
      <c r="F15" s="51" t="inlineStr">
        <is>
          <t>Retail Sewer Problem/ (30 JPG/MP4 files) + Change Orders/COR_s/Sewer Problem pricing.xlsx</t>
        </is>
      </c>
      <c r="G15" s="54" t="n"/>
      <c r="H15" s="54" t="n"/>
      <c r="I15" s="54" t="n"/>
      <c r="J15" s="54" t="n"/>
    </row>
    <row r="16" ht="58" customHeight="1">
      <c r="B16" s="81" t="n">
        <v>11</v>
      </c>
      <c r="C16" s="49" t="inlineStr">
        <is>
          <t>CONTRACT STRUCTURE</t>
        </is>
      </c>
      <c r="D16" s="49" t="inlineStr">
        <is>
          <t>Subcontract #007 (Synergy project #750, cost code 15400) under AGC of Washington 2006 Ed. template. Lump Sum $825,370.00 with 8% retainage withholding clause. Standard Synergy flow-down provisions.</t>
        </is>
      </c>
      <c r="E16" s="94" t="inlineStr">
        <is>
          <t>Verified</t>
        </is>
      </c>
      <c r="F16" s="49" t="inlineStr">
        <is>
          <t>Contract/525 Boren Contract.pdf</t>
        </is>
      </c>
    </row>
    <row r="17" ht="58" customHeight="1">
      <c r="B17" s="82" t="n">
        <v>12</v>
      </c>
      <c r="C17" s="51" t="inlineStr">
        <is>
          <t>AR REVERSAL PATTERN</t>
        </is>
      </c>
      <c r="D17" s="51" t="inlineStr">
        <is>
          <t>21 unique invoice numbers contain multiple reversal+reissue pairs (e.g. 036863/036864, 036886/036887). Standard Sage AR correction practice; net billings tie to revenue $830,667 exactly.</t>
        </is>
      </c>
      <c r="E17" s="94" t="inlineStr">
        <is>
          <t>Verified</t>
        </is>
      </c>
      <c r="F17" s="51" t="inlineStr">
        <is>
          <t>2026 Job Detail Report.pdf (Sage Timberline export, printed 04/03/2026 1:51PM, 106 pages)</t>
        </is>
      </c>
      <c r="G17" s="54" t="n"/>
      <c r="H17" s="54" t="n"/>
      <c r="I17" s="54" t="n"/>
      <c r="J17" s="54" t="n"/>
    </row>
    <row r="18" ht="58" customHeight="1">
      <c r="B18" s="81" t="n">
        <v>13</v>
      </c>
      <c r="C18" s="49" t="inlineStr">
        <is>
          <t>LONG-DURATION JOB</t>
        </is>
      </c>
      <c r="D18" s="49" t="inlineStr">
        <is>
          <t>Work span 03/09/2016 – 07/24/2017 = ~16.5 months. Late AR entries (through July 2017) suggest punchlist / closeout billing pattern.</t>
        </is>
      </c>
      <c r="E18" s="94" t="inlineStr">
        <is>
          <t>Verified</t>
        </is>
      </c>
      <c r="F18" s="49" t="inlineStr">
        <is>
          <t>2026 Job Detail Report.pdf (Sage Timberline export, printed 04/03/2026 1:51PM, 106 pages)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J47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4" t="inlineStr">
        <is>
          <t>Benchmark KPIs</t>
        </is>
      </c>
    </row>
    <row r="3" ht="22" customHeight="1">
      <c r="B3" s="45" t="inlineStr">
        <is>
          <t>Normalized metrics for cross-project comparison</t>
        </is>
      </c>
    </row>
    <row r="4" ht="2" customHeight="1">
      <c r="B4" s="46" t="n"/>
      <c r="C4" s="46" t="n"/>
      <c r="D4" s="46" t="n"/>
      <c r="E4" s="46" t="n"/>
      <c r="F4" s="46" t="n"/>
      <c r="G4" s="46" t="n"/>
      <c r="H4" s="46" t="n"/>
      <c r="I4" s="46" t="n"/>
      <c r="J4" s="46" t="n"/>
    </row>
    <row r="5">
      <c r="B5" s="66" t="inlineStr">
        <is>
          <t>KPI</t>
        </is>
      </c>
      <c r="C5" s="66" t="inlineStr">
        <is>
          <t>Data Name</t>
        </is>
      </c>
      <c r="D5" s="66" t="inlineStr">
        <is>
          <t>Value</t>
        </is>
      </c>
      <c r="E5" s="66" t="inlineStr">
        <is>
          <t>Category</t>
        </is>
      </c>
      <c r="F5" s="66" t="inlineStr">
        <is>
          <t>Notes</t>
        </is>
      </c>
      <c r="G5" s="66" t="inlineStr">
        <is>
          <t>Confidence</t>
        </is>
      </c>
      <c r="H5" s="66" t="inlineStr">
        <is>
          <t>Source Document</t>
        </is>
      </c>
    </row>
    <row r="6">
      <c r="B6" s="48" t="inlineStr">
        <is>
          <t>Job Number</t>
        </is>
      </c>
      <c r="C6" s="49" t="inlineStr">
        <is>
          <t>job_number</t>
        </is>
      </c>
      <c r="D6" s="49" t="inlineStr">
        <is>
          <t>2026</t>
        </is>
      </c>
      <c r="E6" s="49" t="inlineStr">
        <is>
          <t>Profile</t>
        </is>
      </c>
      <c r="F6" s="49" t="inlineStr">
        <is>
          <t>OWP job ID</t>
        </is>
      </c>
      <c r="G6" s="94" t="inlineStr">
        <is>
          <t>Verified</t>
        </is>
      </c>
      <c r="H6" s="49" t="inlineStr">
        <is>
          <t>2026 Job Detail Report.pdf (Sage Timberline export, printed 04/03/2026 1:51PM, 106 pages)</t>
        </is>
      </c>
    </row>
    <row r="7">
      <c r="B7" s="50" t="inlineStr">
        <is>
          <t>Job Name</t>
        </is>
      </c>
      <c r="C7" s="51" t="inlineStr">
        <is>
          <t>job_name</t>
        </is>
      </c>
      <c r="D7" s="51" t="inlineStr">
        <is>
          <t>Synergy 525 Boren</t>
        </is>
      </c>
      <c r="E7" s="51" t="inlineStr">
        <is>
          <t>Profile</t>
        </is>
      </c>
      <c r="F7" s="51" t="inlineStr">
        <is>
          <t>Sage short name</t>
        </is>
      </c>
      <c r="G7" s="94" t="inlineStr">
        <is>
          <t>Verified</t>
        </is>
      </c>
      <c r="H7" s="51" t="inlineStr">
        <is>
          <t>2026 Job Detail Report.pdf (Sage Timberline export, printed 04/03/2026 1:51PM, 106 pages)</t>
        </is>
      </c>
      <c r="I7" s="54" t="n"/>
      <c r="J7" s="54" t="n"/>
    </row>
    <row r="8">
      <c r="B8" s="48" t="inlineStr">
        <is>
          <t>Project Description</t>
        </is>
      </c>
      <c r="C8" s="49" t="inlineStr">
        <is>
          <t>project_desc</t>
        </is>
      </c>
      <c r="D8" s="49" t="inlineStr">
        <is>
          <t>Fox and Finch Apts @ 525 Boren</t>
        </is>
      </c>
      <c r="E8" s="49" t="inlineStr">
        <is>
          <t>Profile</t>
        </is>
      </c>
      <c r="F8" s="49" t="inlineStr">
        <is>
          <t>From AR lines</t>
        </is>
      </c>
      <c r="G8" s="94" t="inlineStr">
        <is>
          <t>Verified</t>
        </is>
      </c>
      <c r="H8" s="49" t="inlineStr">
        <is>
          <t>2026 Job Detail Report.pdf (Sage Timberline export, printed 04/03/2026 1:51PM, 106 pages)</t>
        </is>
      </c>
    </row>
    <row r="9">
      <c r="B9" s="50" t="inlineStr">
        <is>
          <t>General Contractor</t>
        </is>
      </c>
      <c r="C9" s="51" t="inlineStr">
        <is>
          <t>general_contractor</t>
        </is>
      </c>
      <c r="D9" s="51" t="inlineStr">
        <is>
          <t>Synergy Construction, Inc.</t>
        </is>
      </c>
      <c r="E9" s="51" t="inlineStr">
        <is>
          <t>Profile</t>
        </is>
      </c>
      <c r="F9" s="51" t="inlineStr">
        <is>
          <t>Customer 2026SC</t>
        </is>
      </c>
      <c r="G9" s="94" t="inlineStr">
        <is>
          <t>Verified</t>
        </is>
      </c>
      <c r="H9" s="51" t="inlineStr">
        <is>
          <t>2026 Job Detail Report.pdf (Sage Timberline export, printed 04/03/2026 1:51PM, 106 pages)</t>
        </is>
      </c>
      <c r="I9" s="54" t="n"/>
      <c r="J9" s="54" t="n"/>
    </row>
    <row r="10">
      <c r="B10" s="48" t="inlineStr">
        <is>
          <t>Location</t>
        </is>
      </c>
      <c r="C10" s="49" t="inlineStr">
        <is>
          <t>location</t>
        </is>
      </c>
      <c r="D10" s="49" t="inlineStr">
        <is>
          <t>525 Boren Ave, Seattle, WA</t>
        </is>
      </c>
      <c r="E10" s="49" t="inlineStr">
        <is>
          <t>Profile</t>
        </is>
      </c>
      <c r="F10" s="49" t="inlineStr">
        <is>
          <t>From AR description (no plans)</t>
        </is>
      </c>
      <c r="G10" s="95" t="inlineStr">
        <is>
          <t>Medium</t>
        </is>
      </c>
      <c r="H10" s="49" t="inlineStr">
        <is>
          <t>2026 Job Detail Report.pdf (Sage Timberline export, printed 04/03/2026 1:51PM, 106 pages)</t>
        </is>
      </c>
    </row>
    <row r="11">
      <c r="B11" s="50" t="inlineStr">
        <is>
          <t>Project Type</t>
        </is>
      </c>
      <c r="C11" s="51" t="inlineStr">
        <is>
          <t>project_type</t>
        </is>
      </c>
      <c r="D11" s="51" t="inlineStr">
        <is>
          <t>Multifamily New Construction — Plumbing</t>
        </is>
      </c>
      <c r="E11" s="51" t="inlineStr">
        <is>
          <t>Profile</t>
        </is>
      </c>
      <c r="F11" s="51" t="inlineStr">
        <is>
          <t>Inferred from cost codes</t>
        </is>
      </c>
      <c r="G11" s="95" t="inlineStr">
        <is>
          <t>Medium</t>
        </is>
      </c>
      <c r="H11" s="87" t="inlineStr">
        <is>
          <t>Inferred</t>
        </is>
      </c>
      <c r="I11" s="54" t="n"/>
      <c r="J11" s="54" t="n"/>
    </row>
    <row r="12">
      <c r="B12" s="48" t="inlineStr">
        <is>
          <t>Work Start Date</t>
        </is>
      </c>
      <c r="C12" s="49" t="inlineStr">
        <is>
          <t>start_date</t>
        </is>
      </c>
      <c r="D12" s="49" t="inlineStr">
        <is>
          <t>2016-03-09</t>
        </is>
      </c>
      <c r="E12" s="49" t="inlineStr">
        <is>
          <t>Profile</t>
        </is>
      </c>
      <c r="F12" s="49" t="inlineStr">
        <is>
          <t>First payroll date</t>
        </is>
      </c>
      <c r="G12" s="94" t="inlineStr">
        <is>
          <t>Verified</t>
        </is>
      </c>
      <c r="H12" s="49" t="inlineStr">
        <is>
          <t>2026 Job Detail Report.pdf (Sage Timberline export, printed 04/03/2026 1:51PM, 106 pages)</t>
        </is>
      </c>
    </row>
    <row r="13">
      <c r="B13" s="50" t="inlineStr">
        <is>
          <t>Work End Date</t>
        </is>
      </c>
      <c r="C13" s="51" t="inlineStr">
        <is>
          <t>end_date</t>
        </is>
      </c>
      <c r="D13" s="51" t="inlineStr">
        <is>
          <t>2017-07-24</t>
        </is>
      </c>
      <c r="E13" s="51" t="inlineStr">
        <is>
          <t>Profile</t>
        </is>
      </c>
      <c r="F13" s="51" t="inlineStr">
        <is>
          <t>Last AR posting</t>
        </is>
      </c>
      <c r="G13" s="94" t="inlineStr">
        <is>
          <t>Verified</t>
        </is>
      </c>
      <c r="H13" s="51" t="inlineStr">
        <is>
          <t>2026 Job Detail Report.pdf (Sage Timberline export, printed 04/03/2026 1:51PM, 106 pages)</t>
        </is>
      </c>
      <c r="I13" s="54" t="n"/>
      <c r="J13" s="54" t="n"/>
    </row>
    <row r="14">
      <c r="B14" s="48" t="inlineStr">
        <is>
          <t>Duration (months)</t>
        </is>
      </c>
      <c r="C14" s="49" t="inlineStr">
        <is>
          <t>duration_months</t>
        </is>
      </c>
      <c r="D14" s="57" t="n">
        <v>16.5</v>
      </c>
      <c r="E14" s="49" t="inlineStr">
        <is>
          <t>Profile</t>
        </is>
      </c>
      <c r="F14" s="49" t="inlineStr">
        <is>
          <t>Payroll + AR span</t>
        </is>
      </c>
      <c r="G14" s="94" t="inlineStr">
        <is>
          <t>Verified</t>
        </is>
      </c>
      <c r="H14" s="87" t="inlineStr">
        <is>
          <t>Derived</t>
        </is>
      </c>
    </row>
    <row r="15">
      <c r="B15" s="50" t="inlineStr">
        <is>
          <t>Unit Count</t>
        </is>
      </c>
      <c r="C15" s="51" t="inlineStr">
        <is>
          <t>unit_count</t>
        </is>
      </c>
      <c r="D15" s="92" t="inlineStr">
        <is>
          <t>NOT FOUND</t>
        </is>
      </c>
      <c r="E15" s="51" t="inlineStr">
        <is>
          <t>Profile</t>
        </is>
      </c>
      <c r="F15" s="51" t="inlineStr">
        <is>
          <t>No plans/permit available</t>
        </is>
      </c>
      <c r="G15" s="96" t="inlineStr">
        <is>
          <t>Low</t>
        </is>
      </c>
      <c r="H15" s="51" t="inlineStr">
        <is>
          <t>Folder scan</t>
        </is>
      </c>
      <c r="I15" s="54" t="n"/>
      <c r="J15" s="54" t="n"/>
    </row>
    <row r="16">
      <c r="B16" s="48" t="inlineStr">
        <is>
          <t>Fixture Count</t>
        </is>
      </c>
      <c r="C16" s="49" t="inlineStr">
        <is>
          <t>fixture_count</t>
        </is>
      </c>
      <c r="D16" s="92" t="inlineStr">
        <is>
          <t>NOT FOUND</t>
        </is>
      </c>
      <c r="E16" s="49" t="inlineStr">
        <is>
          <t>Profile</t>
        </is>
      </c>
      <c r="F16" s="49" t="inlineStr">
        <is>
          <t>No fixture schedule available</t>
        </is>
      </c>
      <c r="G16" s="96" t="inlineStr">
        <is>
          <t>Low</t>
        </is>
      </c>
      <c r="H16" s="49" t="inlineStr">
        <is>
          <t>Folder scan</t>
        </is>
      </c>
    </row>
    <row r="17">
      <c r="B17" s="50" t="inlineStr">
        <is>
          <t>Contract Original</t>
        </is>
      </c>
      <c r="C17" s="51" t="inlineStr">
        <is>
          <t>contract_original</t>
        </is>
      </c>
      <c r="D17" s="77" t="n">
        <v>825370</v>
      </c>
      <c r="E17" s="51" t="inlineStr">
        <is>
          <t>Financial</t>
        </is>
      </c>
      <c r="F17" s="51" t="inlineStr">
        <is>
          <t>Code 999 Org Budget</t>
        </is>
      </c>
      <c r="G17" s="94" t="inlineStr">
        <is>
          <t>Verified</t>
        </is>
      </c>
      <c r="H17" s="51" t="inlineStr">
        <is>
          <t>2026 Job Detail Report.pdf (Sage Timberline export, printed 04/03/2026 1:51PM, 106 pages)</t>
        </is>
      </c>
      <c r="I17" s="54" t="n"/>
      <c r="J17" s="54" t="n"/>
    </row>
    <row r="18">
      <c r="B18" s="48" t="inlineStr">
        <is>
          <t>Contract Final</t>
        </is>
      </c>
      <c r="C18" s="49" t="inlineStr">
        <is>
          <t>contract_final</t>
        </is>
      </c>
      <c r="D18" s="56" t="n">
        <v>830667</v>
      </c>
      <c r="E18" s="49" t="inlineStr">
        <is>
          <t>Financial</t>
        </is>
      </c>
      <c r="F18" s="49" t="inlineStr">
        <is>
          <t>Code 999 Rev Budget = AR total</t>
        </is>
      </c>
      <c r="G18" s="94" t="inlineStr">
        <is>
          <t>Verified</t>
        </is>
      </c>
      <c r="H18" s="49" t="inlineStr">
        <is>
          <t>2026 Job Detail Report.pdf (Sage Timberline export, printed 04/03/2026 1:51PM, 106 pages)</t>
        </is>
      </c>
    </row>
    <row r="19">
      <c r="B19" s="50" t="inlineStr">
        <is>
          <t>Change Orders ($)</t>
        </is>
      </c>
      <c r="C19" s="51" t="inlineStr">
        <is>
          <t>change_orders</t>
        </is>
      </c>
      <c r="D19" s="77" t="n">
        <v>5297</v>
      </c>
      <c r="E19" s="51" t="inlineStr">
        <is>
          <t>Financial</t>
        </is>
      </c>
      <c r="F19" s="51" t="inlineStr">
        <is>
          <t>Implied from budget revision</t>
        </is>
      </c>
      <c r="G19" s="95" t="inlineStr">
        <is>
          <t>Medium</t>
        </is>
      </c>
      <c r="H19" s="87" t="inlineStr">
        <is>
          <t>Derived</t>
        </is>
      </c>
      <c r="I19" s="54" t="n"/>
      <c r="J19" s="54" t="n"/>
    </row>
    <row r="20">
      <c r="B20" s="48" t="inlineStr">
        <is>
          <t>Change Order % of Contract</t>
        </is>
      </c>
      <c r="C20" s="49" t="inlineStr">
        <is>
          <t>co_pct</t>
        </is>
      </c>
      <c r="D20" s="97" t="n">
        <v>0.006417727806922955</v>
      </c>
      <c r="E20" s="49" t="inlineStr">
        <is>
          <t>Financial</t>
        </is>
      </c>
      <c r="F20" s="5" t="inlineStr"/>
      <c r="G20" s="95" t="inlineStr">
        <is>
          <t>Medium</t>
        </is>
      </c>
      <c r="H20" s="87" t="inlineStr">
        <is>
          <t>Derived</t>
        </is>
      </c>
    </row>
    <row r="21">
      <c r="B21" s="50" t="inlineStr">
        <is>
          <t>Revenue</t>
        </is>
      </c>
      <c r="C21" s="51" t="inlineStr">
        <is>
          <t>revenue</t>
        </is>
      </c>
      <c r="D21" s="77" t="n">
        <v>830667</v>
      </c>
      <c r="E21" s="51" t="inlineStr">
        <is>
          <t>Financial</t>
        </is>
      </c>
      <c r="F21" s="51" t="inlineStr">
        <is>
          <t>AR total (net of reversals)</t>
        </is>
      </c>
      <c r="G21" s="94" t="inlineStr">
        <is>
          <t>Verified</t>
        </is>
      </c>
      <c r="H21" s="51" t="inlineStr">
        <is>
          <t>2026 Job Detail Report.pdf (Sage Timberline export, printed 04/03/2026 1:51PM, 106 pages)</t>
        </is>
      </c>
      <c r="I21" s="54" t="n"/>
      <c r="J21" s="54" t="n"/>
    </row>
    <row r="22">
      <c r="B22" s="48" t="inlineStr">
        <is>
          <t>Direct Cost</t>
        </is>
      </c>
      <c r="C22" s="49" t="inlineStr">
        <is>
          <t>direct_cost</t>
        </is>
      </c>
      <c r="D22" s="56" t="n">
        <v>547967.0600000001</v>
      </c>
      <c r="E22" s="49" t="inlineStr">
        <is>
          <t>Financial</t>
        </is>
      </c>
      <c r="F22" s="49" t="inlineStr">
        <is>
          <t>JDR Job Totals Expenses</t>
        </is>
      </c>
      <c r="G22" s="94" t="inlineStr">
        <is>
          <t>Verified</t>
        </is>
      </c>
      <c r="H22" s="49" t="inlineStr">
        <is>
          <t>2026 Job Detail Report.pdf (Sage Timberline export, printed 04/03/2026 1:51PM, 106 pages)</t>
        </is>
      </c>
    </row>
    <row r="23">
      <c r="B23" s="50" t="inlineStr">
        <is>
          <t>Net Profit</t>
        </is>
      </c>
      <c r="C23" s="51" t="inlineStr">
        <is>
          <t>net_profit</t>
        </is>
      </c>
      <c r="D23" s="77" t="n">
        <v>282699.9399999999</v>
      </c>
      <c r="E23" s="51" t="inlineStr">
        <is>
          <t>Financial</t>
        </is>
      </c>
      <c r="F23" s="51" t="inlineStr">
        <is>
          <t>Rev - Expenses</t>
        </is>
      </c>
      <c r="G23" s="94" t="inlineStr">
        <is>
          <t>Verified</t>
        </is>
      </c>
      <c r="H23" s="51" t="inlineStr">
        <is>
          <t>2026 Job Detail Report.pdf (Sage Timberline export, printed 04/03/2026 1:51PM, 106 pages)</t>
        </is>
      </c>
      <c r="I23" s="54" t="n"/>
      <c r="J23" s="54" t="n"/>
    </row>
    <row r="24">
      <c r="B24" s="48" t="inlineStr">
        <is>
          <t>Gross Margin</t>
        </is>
      </c>
      <c r="C24" s="49" t="inlineStr">
        <is>
          <t>gross_margin</t>
        </is>
      </c>
      <c r="D24" s="97" t="n">
        <v>0.3403288441698056</v>
      </c>
      <c r="E24" s="49" t="inlineStr">
        <is>
          <t>Financial</t>
        </is>
      </c>
      <c r="F24" s="5" t="inlineStr"/>
      <c r="G24" s="94" t="inlineStr">
        <is>
          <t>Verified</t>
        </is>
      </c>
      <c r="H24" s="87" t="inlineStr">
        <is>
          <t>Derived</t>
        </is>
      </c>
    </row>
    <row r="25">
      <c r="B25" s="50" t="inlineStr">
        <is>
          <t>Retainage Outstanding</t>
        </is>
      </c>
      <c r="C25" s="51" t="inlineStr">
        <is>
          <t>retainage</t>
        </is>
      </c>
      <c r="D25" s="77" t="n">
        <v>41533.35</v>
      </c>
      <c r="E25" s="51" t="inlineStr">
        <is>
          <t>Financial</t>
        </is>
      </c>
      <c r="F25" s="51" t="inlineStr">
        <is>
          <t>Still open per JDR</t>
        </is>
      </c>
      <c r="G25" s="94" t="inlineStr">
        <is>
          <t>Verified</t>
        </is>
      </c>
      <c r="H25" s="51" t="inlineStr">
        <is>
          <t>2026 Job Detail Report.pdf (Sage Timberline export, printed 04/03/2026 1:51PM, 106 pages)</t>
        </is>
      </c>
      <c r="I25" s="54" t="n"/>
      <c r="J25" s="54" t="n"/>
    </row>
    <row r="26">
      <c r="B26" s="48" t="inlineStr">
        <is>
          <t>Retainage % of Revenue</t>
        </is>
      </c>
      <c r="C26" s="49" t="inlineStr">
        <is>
          <t>retainage_pct</t>
        </is>
      </c>
      <c r="D26" s="97" t="n">
        <v>0.05</v>
      </c>
      <c r="E26" s="49" t="inlineStr">
        <is>
          <t>Financial</t>
        </is>
      </c>
      <c r="F26" s="5" t="inlineStr"/>
      <c r="G26" s="94" t="inlineStr">
        <is>
          <t>Verified</t>
        </is>
      </c>
      <c r="H26" s="87" t="inlineStr">
        <is>
          <t>Derived</t>
        </is>
      </c>
    </row>
    <row r="27">
      <c r="B27" s="50" t="inlineStr">
        <is>
          <t>Labor Cost</t>
        </is>
      </c>
      <c r="C27" s="51" t="inlineStr">
        <is>
          <t>labor_cost</t>
        </is>
      </c>
      <c r="D27" s="77" t="n">
        <v>210715.5</v>
      </c>
      <c r="E27" s="51" t="inlineStr">
        <is>
          <t>Labor</t>
        </is>
      </c>
      <c r="F27" s="51" t="inlineStr">
        <is>
          <t>Codes 100-150</t>
        </is>
      </c>
      <c r="G27" s="94" t="inlineStr">
        <is>
          <t>Verified</t>
        </is>
      </c>
      <c r="H27" s="51" t="inlineStr">
        <is>
          <t>2026 Job Detail Report.pdf (Sage Timberline export, printed 04/03/2026 1:51PM, 106 pages)</t>
        </is>
      </c>
      <c r="I27" s="54" t="n"/>
      <c r="J27" s="54" t="n"/>
    </row>
    <row r="28">
      <c r="B28" s="48" t="inlineStr">
        <is>
          <t>Material Cost</t>
        </is>
      </c>
      <c r="C28" s="49" t="inlineStr">
        <is>
          <t>material_cost</t>
        </is>
      </c>
      <c r="D28" s="56" t="n">
        <v>194870.36</v>
      </c>
      <c r="E28" s="49" t="inlineStr">
        <is>
          <t>Material</t>
        </is>
      </c>
      <c r="F28" s="49" t="inlineStr">
        <is>
          <t>Codes 210-244</t>
        </is>
      </c>
      <c r="G28" s="94" t="inlineStr">
        <is>
          <t>Verified</t>
        </is>
      </c>
      <c r="H28" s="49" t="inlineStr">
        <is>
          <t>2026 Job Detail Report.pdf (Sage Timberline export, printed 04/03/2026 1:51PM, 106 pages)</t>
        </is>
      </c>
    </row>
    <row r="29">
      <c r="B29" s="50" t="inlineStr">
        <is>
          <t>Subcontractor+OH Cost</t>
        </is>
      </c>
      <c r="C29" s="51" t="inlineStr">
        <is>
          <t>overhead_cost</t>
        </is>
      </c>
      <c r="D29" s="77" t="n">
        <v>32877.82</v>
      </c>
      <c r="E29" s="51" t="inlineStr">
        <is>
          <t>Financial</t>
        </is>
      </c>
      <c r="F29" s="51" t="inlineStr">
        <is>
          <t>Codes 600,601,603,607</t>
        </is>
      </c>
      <c r="G29" s="94" t="inlineStr">
        <is>
          <t>Verified</t>
        </is>
      </c>
      <c r="H29" s="51" t="inlineStr">
        <is>
          <t>2026 Job Detail Report.pdf (Sage Timberline export, printed 04/03/2026 1:51PM, 106 pages)</t>
        </is>
      </c>
      <c r="I29" s="54" t="n"/>
      <c r="J29" s="54" t="n"/>
    </row>
    <row r="30">
      <c r="B30" s="48" t="inlineStr">
        <is>
          <t>Burden Cost</t>
        </is>
      </c>
      <c r="C30" s="49" t="inlineStr">
        <is>
          <t>burden_cost</t>
        </is>
      </c>
      <c r="D30" s="56" t="n">
        <v>93383.48</v>
      </c>
      <c r="E30" s="49" t="inlineStr">
        <is>
          <t>Labor</t>
        </is>
      </c>
      <c r="F30" s="49" t="inlineStr">
        <is>
          <t>Code 995</t>
        </is>
      </c>
      <c r="G30" s="94" t="inlineStr">
        <is>
          <t>Verified</t>
        </is>
      </c>
      <c r="H30" s="49" t="inlineStr">
        <is>
          <t>2026 Job Detail Report.pdf (Sage Timberline export, printed 04/03/2026 1:51PM, 106 pages)</t>
        </is>
      </c>
    </row>
    <row r="31">
      <c r="B31" s="50" t="inlineStr">
        <is>
          <t>Tax Cost</t>
        </is>
      </c>
      <c r="C31" s="51" t="inlineStr">
        <is>
          <t>tax_cost</t>
        </is>
      </c>
      <c r="D31" s="77" t="n">
        <v>16119.9</v>
      </c>
      <c r="E31" s="51" t="inlineStr">
        <is>
          <t>Labor</t>
        </is>
      </c>
      <c r="F31" s="51" t="inlineStr">
        <is>
          <t>Code 998</t>
        </is>
      </c>
      <c r="G31" s="94" t="inlineStr">
        <is>
          <t>Verified</t>
        </is>
      </c>
      <c r="H31" s="51" t="inlineStr">
        <is>
          <t>2026 Job Detail Report.pdf (Sage Timberline export, printed 04/03/2026 1:51PM, 106 pages)</t>
        </is>
      </c>
      <c r="I31" s="54" t="n"/>
      <c r="J31" s="54" t="n"/>
    </row>
    <row r="32">
      <c r="B32" s="48" t="inlineStr">
        <is>
          <t>Total Labor Hours</t>
        </is>
      </c>
      <c r="C32" s="49" t="inlineStr">
        <is>
          <t>total_hours</t>
        </is>
      </c>
      <c r="D32" s="57" t="n">
        <v>8541.5</v>
      </c>
      <c r="E32" s="49" t="inlineStr">
        <is>
          <t>Labor</t>
        </is>
      </c>
      <c r="F32" s="49" t="inlineStr">
        <is>
          <t>Sum labor cost codes</t>
        </is>
      </c>
      <c r="G32" s="94" t="inlineStr">
        <is>
          <t>Verified</t>
        </is>
      </c>
      <c r="H32" s="49" t="inlineStr">
        <is>
          <t>2026 Job Detail Report.pdf (Sage Timberline export, printed 04/03/2026 1:51PM, 106 pages)</t>
        </is>
      </c>
    </row>
    <row r="33">
      <c r="B33" s="50" t="inlineStr">
        <is>
          <t>Total Workers</t>
        </is>
      </c>
      <c r="C33" s="51" t="inlineStr">
        <is>
          <t>total_workers</t>
        </is>
      </c>
      <c r="D33" s="82" t="n">
        <v>25</v>
      </c>
      <c r="E33" s="51" t="inlineStr">
        <is>
          <t>Labor</t>
        </is>
      </c>
      <c r="F33" s="51" t="inlineStr">
        <is>
          <t>Unique payroll IDs</t>
        </is>
      </c>
      <c r="G33" s="94" t="inlineStr">
        <is>
          <t>Verified</t>
        </is>
      </c>
      <c r="H33" s="51" t="inlineStr">
        <is>
          <t>2026 Job Detail Report.pdf (Sage Timberline export, printed 04/03/2026 1:51PM, 106 pages)</t>
        </is>
      </c>
      <c r="I33" s="54" t="n"/>
      <c r="J33" s="54" t="n"/>
    </row>
    <row r="34">
      <c r="B34" s="48" t="inlineStr">
        <is>
          <t>Blended Gross Wage ($/hr)</t>
        </is>
      </c>
      <c r="C34" s="49" t="inlineStr">
        <is>
          <t>blended_gross_wage</t>
        </is>
      </c>
      <c r="D34" s="56" t="n">
        <v>24.66961306562079</v>
      </c>
      <c r="E34" s="49" t="inlineStr">
        <is>
          <t>Labor</t>
        </is>
      </c>
      <c r="F34" s="49" t="inlineStr">
        <is>
          <t>Pre-burden</t>
        </is>
      </c>
      <c r="G34" s="94" t="inlineStr">
        <is>
          <t>Verified</t>
        </is>
      </c>
      <c r="H34" s="87" t="inlineStr">
        <is>
          <t>Derived</t>
        </is>
      </c>
    </row>
    <row r="35">
      <c r="B35" s="50" t="inlineStr">
        <is>
          <t>Fully-Loaded Wage ($/hr)</t>
        </is>
      </c>
      <c r="C35" s="51" t="inlineStr">
        <is>
          <t>fully_loaded_wage</t>
        </is>
      </c>
      <c r="D35" s="77" t="n">
        <v>37.48977111748522</v>
      </c>
      <c r="E35" s="51" t="inlineStr">
        <is>
          <t>Labor</t>
        </is>
      </c>
      <c r="F35" s="51" t="inlineStr">
        <is>
          <t>Incl burden + tax</t>
        </is>
      </c>
      <c r="G35" s="94" t="inlineStr">
        <is>
          <t>Verified</t>
        </is>
      </c>
      <c r="H35" s="87" t="inlineStr">
        <is>
          <t>Derived</t>
        </is>
      </c>
      <c r="I35" s="54" t="n"/>
      <c r="J35" s="54" t="n"/>
    </row>
    <row r="36">
      <c r="B36" s="48" t="inlineStr">
        <is>
          <t>Burden Multiplier</t>
        </is>
      </c>
      <c r="C36" s="49" t="inlineStr">
        <is>
          <t>burden_multiplier</t>
        </is>
      </c>
      <c r="D36" s="98" t="n">
        <v>1.519674062895231</v>
      </c>
      <c r="E36" s="49" t="inlineStr">
        <is>
          <t>Labor</t>
        </is>
      </c>
      <c r="F36" s="49" t="inlineStr">
        <is>
          <t>Fully-loaded/blended</t>
        </is>
      </c>
      <c r="G36" s="94" t="inlineStr">
        <is>
          <t>Verified</t>
        </is>
      </c>
      <c r="H36" s="87" t="inlineStr">
        <is>
          <t>Derived</t>
        </is>
      </c>
    </row>
    <row r="37">
      <c r="B37" s="50" t="inlineStr">
        <is>
          <t>Rough-in Hours</t>
        </is>
      </c>
      <c r="C37" s="51" t="inlineStr">
        <is>
          <t>roughin_hours</t>
        </is>
      </c>
      <c r="D37" s="73" t="n">
        <v>4901</v>
      </c>
      <c r="E37" s="51" t="inlineStr">
        <is>
          <t>Labor</t>
        </is>
      </c>
      <c r="F37" s="51" t="inlineStr">
        <is>
          <t>Code 120</t>
        </is>
      </c>
      <c r="G37" s="94" t="inlineStr">
        <is>
          <t>Verified</t>
        </is>
      </c>
      <c r="H37" s="51" t="inlineStr">
        <is>
          <t>2026 Job Detail Report.pdf (Sage Timberline export, printed 04/03/2026 1:51PM, 106 pages)</t>
        </is>
      </c>
      <c r="I37" s="54" t="n"/>
      <c r="J37" s="54" t="n"/>
    </row>
    <row r="38">
      <c r="B38" s="48" t="inlineStr">
        <is>
          <t>Finish Hours</t>
        </is>
      </c>
      <c r="C38" s="49" t="inlineStr">
        <is>
          <t>finish_hours</t>
        </is>
      </c>
      <c r="D38" s="57" t="n">
        <v>625.5</v>
      </c>
      <c r="E38" s="49" t="inlineStr">
        <is>
          <t>Labor</t>
        </is>
      </c>
      <c r="F38" s="49" t="inlineStr">
        <is>
          <t>Code 130</t>
        </is>
      </c>
      <c r="G38" s="94" t="inlineStr">
        <is>
          <t>Verified</t>
        </is>
      </c>
      <c r="H38" s="49" t="inlineStr">
        <is>
          <t>2026 Job Detail Report.pdf (Sage Timberline export, printed 04/03/2026 1:51PM, 106 pages)</t>
        </is>
      </c>
    </row>
    <row r="39">
      <c r="B39" s="50" t="inlineStr">
        <is>
          <t>Revenue per Hour</t>
        </is>
      </c>
      <c r="C39" s="51" t="inlineStr">
        <is>
          <t>revenue_per_hour</t>
        </is>
      </c>
      <c r="D39" s="73" t="n">
        <v>97.25071708716267</v>
      </c>
      <c r="E39" s="51" t="inlineStr">
        <is>
          <t>Productivity</t>
        </is>
      </c>
      <c r="F39" s="99" t="inlineStr"/>
      <c r="G39" s="94" t="inlineStr">
        <is>
          <t>Verified</t>
        </is>
      </c>
      <c r="H39" s="87" t="inlineStr">
        <is>
          <t>Derived</t>
        </is>
      </c>
      <c r="I39" s="54" t="n"/>
      <c r="J39" s="54" t="n"/>
    </row>
    <row r="40">
      <c r="B40" s="48" t="inlineStr">
        <is>
          <t>Profit per Hour</t>
        </is>
      </c>
      <c r="C40" s="49" t="inlineStr">
        <is>
          <t>profit_per_hour</t>
        </is>
      </c>
      <c r="D40" s="57" t="n">
        <v>33.09722414095884</v>
      </c>
      <c r="E40" s="49" t="inlineStr">
        <is>
          <t>Productivity</t>
        </is>
      </c>
      <c r="F40" s="5" t="inlineStr"/>
      <c r="G40" s="94" t="inlineStr">
        <is>
          <t>Verified</t>
        </is>
      </c>
      <c r="H40" s="87" t="inlineStr">
        <is>
          <t>Derived</t>
        </is>
      </c>
    </row>
    <row r="41">
      <c r="B41" s="50" t="inlineStr">
        <is>
          <t>Labor % of Revenue</t>
        </is>
      </c>
      <c r="C41" s="51" t="inlineStr">
        <is>
          <t>labor_pct_revenue</t>
        </is>
      </c>
      <c r="D41" s="100" t="n">
        <v>0.2536702433104963</v>
      </c>
      <c r="E41" s="51" t="inlineStr">
        <is>
          <t>Cost Mix</t>
        </is>
      </c>
      <c r="F41" s="99" t="inlineStr"/>
      <c r="G41" s="94" t="inlineStr">
        <is>
          <t>Verified</t>
        </is>
      </c>
      <c r="H41" s="87" t="inlineStr">
        <is>
          <t>Derived</t>
        </is>
      </c>
      <c r="I41" s="54" t="n"/>
      <c r="J41" s="54" t="n"/>
    </row>
    <row r="42">
      <c r="B42" s="48" t="inlineStr">
        <is>
          <t>Material % of Revenue</t>
        </is>
      </c>
      <c r="C42" s="49" t="inlineStr">
        <is>
          <t>material_pct_revenue</t>
        </is>
      </c>
      <c r="D42" s="97" t="n">
        <v>0.2345950422973345</v>
      </c>
      <c r="E42" s="49" t="inlineStr">
        <is>
          <t>Cost Mix</t>
        </is>
      </c>
      <c r="F42" s="5" t="inlineStr"/>
      <c r="G42" s="94" t="inlineStr">
        <is>
          <t>Verified</t>
        </is>
      </c>
      <c r="H42" s="87" t="inlineStr">
        <is>
          <t>Derived</t>
        </is>
      </c>
    </row>
    <row r="43">
      <c r="B43" s="50" t="inlineStr">
        <is>
          <t>Total Vendors (AP)</t>
        </is>
      </c>
      <c r="C43" s="51" t="inlineStr">
        <is>
          <t>total_vendors</t>
        </is>
      </c>
      <c r="D43" s="82" t="n">
        <v>14</v>
      </c>
      <c r="E43" s="51" t="inlineStr">
        <is>
          <t>Material</t>
        </is>
      </c>
      <c r="F43" s="51" t="inlineStr">
        <is>
          <t>Unique vendor IDs</t>
        </is>
      </c>
      <c r="G43" s="94" t="inlineStr">
        <is>
          <t>Verified</t>
        </is>
      </c>
      <c r="H43" s="51" t="inlineStr">
        <is>
          <t>2026 Job Detail Report.pdf (Sage Timberline export, printed 04/03/2026 1:51PM, 106 pages)</t>
        </is>
      </c>
      <c r="I43" s="54" t="n"/>
      <c r="J43" s="54" t="n"/>
    </row>
    <row r="44">
      <c r="B44" s="48" t="inlineStr">
        <is>
          <t>Total Invoices (AR)</t>
        </is>
      </c>
      <c r="C44" s="49" t="inlineStr">
        <is>
          <t>total_invoices</t>
        </is>
      </c>
      <c r="D44" s="81" t="n">
        <v>21</v>
      </c>
      <c r="E44" s="49" t="inlineStr">
        <is>
          <t>Billing</t>
        </is>
      </c>
      <c r="F44" s="49" t="inlineStr">
        <is>
          <t>Unique invoice numbers</t>
        </is>
      </c>
      <c r="G44" s="94" t="inlineStr">
        <is>
          <t>Verified</t>
        </is>
      </c>
      <c r="H44" s="49" t="inlineStr">
        <is>
          <t>2026 Job Detail Report.pdf (Sage Timberline export, printed 04/03/2026 1:51PM, 106 pages)</t>
        </is>
      </c>
    </row>
    <row r="45">
      <c r="B45" s="50" t="inlineStr">
        <is>
          <t>AP Spend (JDR footer)</t>
        </is>
      </c>
      <c r="C45" s="51" t="inlineStr">
        <is>
          <t>ap_total</t>
        </is>
      </c>
      <c r="D45" s="77" t="n">
        <v>197171.05</v>
      </c>
      <c r="E45" s="51" t="inlineStr">
        <is>
          <t>Material</t>
        </is>
      </c>
      <c r="F45" s="51" t="inlineStr">
        <is>
          <t>JDR footer</t>
        </is>
      </c>
      <c r="G45" s="94" t="inlineStr">
        <is>
          <t>Verified</t>
        </is>
      </c>
      <c r="H45" s="51" t="inlineStr">
        <is>
          <t>2026 Job Detail Report.pdf (Sage Timberline export, printed 04/03/2026 1:51PM, 106 pages)</t>
        </is>
      </c>
      <c r="I45" s="54" t="n"/>
      <c r="J45" s="54" t="n"/>
    </row>
    <row r="46">
      <c r="B46" s="48" t="inlineStr">
        <is>
          <t>PR Spend (JDR footer)</t>
        </is>
      </c>
      <c r="C46" s="49" t="inlineStr">
        <is>
          <t>pr_total</t>
        </is>
      </c>
      <c r="D46" s="56" t="n">
        <v>320218.88</v>
      </c>
      <c r="E46" s="49" t="inlineStr">
        <is>
          <t>Labor</t>
        </is>
      </c>
      <c r="F46" s="49" t="inlineStr">
        <is>
          <t>JDR footer (labor + burden + tax)</t>
        </is>
      </c>
      <c r="G46" s="94" t="inlineStr">
        <is>
          <t>Verified</t>
        </is>
      </c>
      <c r="H46" s="49" t="inlineStr">
        <is>
          <t>2026 Job Detail Report.pdf (Sage Timberline export, printed 04/03/2026 1:51PM, 106 pages)</t>
        </is>
      </c>
    </row>
    <row r="47">
      <c r="B47" s="50" t="inlineStr">
        <is>
          <t>GL Spend (JDR footer)</t>
        </is>
      </c>
      <c r="C47" s="51" t="inlineStr">
        <is>
          <t>gl_total</t>
        </is>
      </c>
      <c r="D47" s="77" t="n">
        <v>30577.13</v>
      </c>
      <c r="E47" s="51" t="inlineStr">
        <is>
          <t>Financial</t>
        </is>
      </c>
      <c r="F47" s="51" t="inlineStr">
        <is>
          <t>JDR footer</t>
        </is>
      </c>
      <c r="G47" s="94" t="inlineStr">
        <is>
          <t>Verified</t>
        </is>
      </c>
      <c r="H47" s="51" t="inlineStr">
        <is>
          <t>2026 Job Detail Report.pdf (Sage Timberline export, printed 04/03/2026 1:51PM, 106 pages)</t>
        </is>
      </c>
      <c r="I47" s="54" t="n"/>
      <c r="J47" s="54" t="n"/>
    </row>
  </sheetData>
  <mergeCells count="2">
    <mergeCell ref="B3:J3"/>
    <mergeCell ref="B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J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4" t="inlineStr">
        <is>
          <t>Vendors — AP Summary</t>
        </is>
      </c>
    </row>
    <row r="3" ht="22" customHeight="1">
      <c r="B3" s="45" t="inlineStr">
        <is>
          <t>Vendor-level spend ranking</t>
        </is>
      </c>
    </row>
    <row r="4" ht="2" customHeight="1">
      <c r="B4" s="46" t="n"/>
      <c r="C4" s="46" t="n"/>
      <c r="D4" s="46" t="n"/>
      <c r="E4" s="46" t="n"/>
      <c r="F4" s="46" t="n"/>
      <c r="G4" s="46" t="n"/>
      <c r="H4" s="46" t="n"/>
      <c r="I4" s="46" t="n"/>
      <c r="J4" s="46" t="n"/>
    </row>
    <row r="5">
      <c r="B5" s="66" t="inlineStr">
        <is>
          <t>Rank</t>
        </is>
      </c>
      <c r="C5" s="66" t="inlineStr">
        <is>
          <t>Vendor ID</t>
        </is>
      </c>
      <c r="D5" s="66" t="inlineStr">
        <is>
          <t>Vendor Name</t>
        </is>
      </c>
      <c r="E5" s="66" t="inlineStr">
        <is>
          <t>Total Spend</t>
        </is>
      </c>
      <c r="F5" s="66" t="inlineStr">
        <is>
          <t># Transactions</t>
        </is>
      </c>
      <c r="G5" s="66" t="inlineStr">
        <is>
          <t>% of AP</t>
        </is>
      </c>
      <c r="H5" s="66" t="inlineStr">
        <is>
          <t>Source</t>
        </is>
      </c>
    </row>
    <row r="6">
      <c r="B6" s="81" t="n">
        <v>1</v>
      </c>
      <c r="C6" s="49" t="inlineStr">
        <is>
          <t>2026RS</t>
        </is>
      </c>
      <c r="D6" s="49" t="inlineStr">
        <is>
          <t>Rosen Supply Company, Inc. $Boren</t>
        </is>
      </c>
      <c r="E6" s="67" t="n">
        <v>49659.22</v>
      </c>
      <c r="F6" s="81" t="n">
        <v>41</v>
      </c>
      <c r="G6" s="69">
        <f>E6/197171.05</f>
        <v/>
      </c>
      <c r="H6" s="49" t="inlineStr">
        <is>
          <t>2026 Job Detail Report.pdf (Sage Timberline export, printed 04/03/2026 1:51PM, 106 pages)</t>
        </is>
      </c>
    </row>
    <row r="7">
      <c r="B7" s="82" t="n">
        <v>2</v>
      </c>
      <c r="C7" s="51" t="inlineStr">
        <is>
          <t>2026CS</t>
        </is>
      </c>
      <c r="D7" s="51" t="inlineStr">
        <is>
          <t>Consolidated Supply Co $Boren</t>
        </is>
      </c>
      <c r="E7" s="70" t="n">
        <v>49441.45999999999</v>
      </c>
      <c r="F7" s="82" t="n">
        <v>48</v>
      </c>
      <c r="G7" s="72">
        <f>E7/197171.05</f>
        <v/>
      </c>
      <c r="H7" s="51" t="inlineStr">
        <is>
          <t>2026 Job Detail Report.pdf (Sage Timberline export, printed 04/03/2026 1:51PM, 106 pages)</t>
        </is>
      </c>
      <c r="I7" s="54" t="n"/>
      <c r="J7" s="54" t="n"/>
    </row>
    <row r="8">
      <c r="B8" s="81" t="n">
        <v>3</v>
      </c>
      <c r="C8" s="49" t="inlineStr">
        <is>
          <t>2026FE</t>
        </is>
      </c>
      <c r="D8" s="49" t="inlineStr">
        <is>
          <t>Ferguson Enterprises, Inc. $525 Boren</t>
        </is>
      </c>
      <c r="E8" s="67" t="n">
        <v>28251.03000000001</v>
      </c>
      <c r="F8" s="81" t="n">
        <v>12</v>
      </c>
      <c r="G8" s="69">
        <f>E8/197171.05</f>
        <v/>
      </c>
      <c r="H8" s="49" t="inlineStr">
        <is>
          <t>2026 Job Detail Report.pdf (Sage Timberline export, printed 04/03/2026 1:51PM, 106 pages)</t>
        </is>
      </c>
    </row>
    <row r="9">
      <c r="B9" s="82" t="n">
        <v>4</v>
      </c>
      <c r="C9" s="51" t="inlineStr">
        <is>
          <t>2026KS</t>
        </is>
      </c>
      <c r="D9" s="51" t="inlineStr">
        <is>
          <t>Keller Supply Company $Boren</t>
        </is>
      </c>
      <c r="E9" s="70" t="n">
        <v>23867.68999999999</v>
      </c>
      <c r="F9" s="82" t="n">
        <v>20</v>
      </c>
      <c r="G9" s="72">
        <f>E9/197171.05</f>
        <v/>
      </c>
      <c r="H9" s="51" t="inlineStr">
        <is>
          <t>2026 Job Detail Report.pdf (Sage Timberline export, printed 04/03/2026 1:51PM, 106 pages)</t>
        </is>
      </c>
      <c r="I9" s="54" t="n"/>
      <c r="J9" s="54" t="n"/>
    </row>
    <row r="10">
      <c r="B10" s="81" t="n">
        <v>5</v>
      </c>
      <c r="C10" s="49" t="inlineStr">
        <is>
          <t>1625FE</t>
        </is>
      </c>
      <c r="D10" s="49" t="inlineStr">
        <is>
          <t>Franklin Engineering</t>
        </is>
      </c>
      <c r="E10" s="67" t="n">
        <v>17344</v>
      </c>
      <c r="F10" s="81" t="n">
        <v>9</v>
      </c>
      <c r="G10" s="69">
        <f>E10/197171.05</f>
        <v/>
      </c>
      <c r="H10" s="49" t="inlineStr">
        <is>
          <t>2026 Job Detail Report.pdf (Sage Timberline export, printed 04/03/2026 1:51PM, 106 pages)</t>
        </is>
      </c>
    </row>
    <row r="11">
      <c r="B11" s="82" t="n">
        <v>6</v>
      </c>
      <c r="C11" s="51" t="inlineStr">
        <is>
          <t>1234BA</t>
        </is>
      </c>
      <c r="D11" s="51" t="inlineStr">
        <is>
          <t>Bank of America CC</t>
        </is>
      </c>
      <c r="E11" s="70" t="n">
        <v>11361.41</v>
      </c>
      <c r="F11" s="82" t="n">
        <v>18</v>
      </c>
      <c r="G11" s="72">
        <f>E11/197171.05</f>
        <v/>
      </c>
      <c r="H11" s="51" t="inlineStr">
        <is>
          <t>2026 Job Detail Report.pdf (Sage Timberline export, printed 04/03/2026 1:51PM, 106 pages)</t>
        </is>
      </c>
      <c r="I11" s="54" t="n"/>
      <c r="J11" s="54" t="n"/>
    </row>
    <row r="12">
      <c r="B12" s="81" t="n">
        <v>7</v>
      </c>
      <c r="C12" s="49" t="inlineStr">
        <is>
          <t>1401LU</t>
        </is>
      </c>
      <c r="D12" s="49" t="inlineStr">
        <is>
          <t>Lotus United, LLC</t>
        </is>
      </c>
      <c r="E12" s="67" t="n">
        <v>8215</v>
      </c>
      <c r="F12" s="81" t="n">
        <v>1</v>
      </c>
      <c r="G12" s="69">
        <f>E12/197171.05</f>
        <v/>
      </c>
      <c r="H12" s="49" t="inlineStr">
        <is>
          <t>2026 Job Detail Report.pdf (Sage Timberline export, printed 04/03/2026 1:51PM, 106 pages)</t>
        </is>
      </c>
    </row>
    <row r="13">
      <c r="B13" s="82" t="n">
        <v>8</v>
      </c>
      <c r="C13" s="51" t="inlineStr">
        <is>
          <t>1234CO</t>
        </is>
      </c>
      <c r="D13" s="51" t="inlineStr">
        <is>
          <t>Capital One Credit Card</t>
        </is>
      </c>
      <c r="E13" s="70" t="n">
        <v>5734.1</v>
      </c>
      <c r="F13" s="82" t="n">
        <v>32</v>
      </c>
      <c r="G13" s="72">
        <f>E13/197171.05</f>
        <v/>
      </c>
      <c r="H13" s="51" t="inlineStr">
        <is>
          <t>2026 Job Detail Report.pdf (Sage Timberline export, printed 04/03/2026 1:51PM, 106 pages)</t>
        </is>
      </c>
      <c r="I13" s="54" t="n"/>
      <c r="J13" s="54" t="n"/>
    </row>
    <row r="14">
      <c r="B14" s="81" t="n">
        <v>9</v>
      </c>
      <c r="C14" s="49" t="inlineStr">
        <is>
          <t>3612MS</t>
        </is>
      </c>
      <c r="D14" s="49" t="inlineStr">
        <is>
          <t>Mechanical Sales, Inc.</t>
        </is>
      </c>
      <c r="E14" s="67" t="n">
        <v>2098.04</v>
      </c>
      <c r="F14" s="81" t="n">
        <v>2</v>
      </c>
      <c r="G14" s="69">
        <f>E14/197171.05</f>
        <v/>
      </c>
      <c r="H14" s="49" t="inlineStr">
        <is>
          <t>2026 Job Detail Report.pdf (Sage Timberline export, printed 04/03/2026 1:51PM, 106 pages)</t>
        </is>
      </c>
    </row>
    <row r="15">
      <c r="B15" s="82" t="n">
        <v>10</v>
      </c>
      <c r="C15" s="51" t="inlineStr">
        <is>
          <t>1611AS</t>
        </is>
      </c>
      <c r="D15" s="51" t="inlineStr">
        <is>
          <t>Beacon Building Products $Atlas</t>
        </is>
      </c>
      <c r="E15" s="70" t="n">
        <v>733.88</v>
      </c>
      <c r="F15" s="82" t="n">
        <v>4</v>
      </c>
      <c r="G15" s="72">
        <f>E15/197171.05</f>
        <v/>
      </c>
      <c r="H15" s="51" t="inlineStr">
        <is>
          <t>2026 Job Detail Report.pdf (Sage Timberline export, printed 04/03/2026 1:51PM, 106 pages)</t>
        </is>
      </c>
      <c r="I15" s="54" t="n"/>
      <c r="J15" s="54" t="n"/>
    </row>
    <row r="16">
      <c r="B16" s="81" t="n">
        <v>11</v>
      </c>
      <c r="C16" s="49" t="inlineStr">
        <is>
          <t>2132MH</t>
        </is>
      </c>
      <c r="D16" s="49" t="inlineStr">
        <is>
          <t>Manor Hardware &amp; Construction Supply</t>
        </is>
      </c>
      <c r="E16" s="67" t="n">
        <v>305.76</v>
      </c>
      <c r="F16" s="81" t="n">
        <v>1</v>
      </c>
      <c r="G16" s="69">
        <f>E16/197171.05</f>
        <v/>
      </c>
      <c r="H16" s="49" t="inlineStr">
        <is>
          <t>2026 Job Detail Report.pdf (Sage Timberline export, printed 04/03/2026 1:51PM, 106 pages)</t>
        </is>
      </c>
    </row>
    <row r="17">
      <c r="B17" s="82" t="n">
        <v>12</v>
      </c>
      <c r="C17" s="51" t="inlineStr">
        <is>
          <t>1175FE</t>
        </is>
      </c>
      <c r="D17" s="51" t="inlineStr">
        <is>
          <t>Ferguson Enterprises, Inc. #3007</t>
        </is>
      </c>
      <c r="E17" s="70" t="n">
        <v>296.86</v>
      </c>
      <c r="F17" s="82" t="n">
        <v>2</v>
      </c>
      <c r="G17" s="72">
        <f>E17/197171.05</f>
        <v/>
      </c>
      <c r="H17" s="51" t="inlineStr">
        <is>
          <t>2026 Job Detail Report.pdf (Sage Timberline export, printed 04/03/2026 1:51PM, 106 pages)</t>
        </is>
      </c>
      <c r="I17" s="54" t="n"/>
      <c r="J17" s="54" t="n"/>
    </row>
    <row r="18">
      <c r="B18" s="81" t="n">
        <v>13</v>
      </c>
      <c r="C18" s="49" t="inlineStr">
        <is>
          <t>1421RA</t>
        </is>
      </c>
      <c r="D18" s="49" t="inlineStr">
        <is>
          <t>R.A. Brown Backflow Testing</t>
        </is>
      </c>
      <c r="E18" s="67" t="n">
        <v>186</v>
      </c>
      <c r="F18" s="81" t="n">
        <v>1</v>
      </c>
      <c r="G18" s="69">
        <f>E18/197171.05</f>
        <v/>
      </c>
      <c r="H18" s="49" t="inlineStr">
        <is>
          <t>2026 Job Detail Report.pdf (Sage Timberline export, printed 04/03/2026 1:51PM, 106 pages)</t>
        </is>
      </c>
    </row>
    <row r="19">
      <c r="B19" s="82" t="n">
        <v>14</v>
      </c>
      <c r="C19" s="51" t="inlineStr">
        <is>
          <t>1130CS</t>
        </is>
      </c>
      <c r="D19" s="51" t="inlineStr">
        <is>
          <t>Consolidated Supply Co.</t>
        </is>
      </c>
      <c r="E19" s="70" t="n">
        <v>-323.4</v>
      </c>
      <c r="F19" s="82" t="n">
        <v>1</v>
      </c>
      <c r="G19" s="72">
        <f>E19/197171.05</f>
        <v/>
      </c>
      <c r="H19" s="51" t="inlineStr">
        <is>
          <t>2026 Job Detail Report.pdf (Sage Timberline export, printed 04/03/2026 1:51PM, 106 pages)</t>
        </is>
      </c>
      <c r="I19" s="54" t="n"/>
      <c r="J19" s="54" t="n"/>
    </row>
    <row r="20">
      <c r="B20" s="75" t="inlineStr">
        <is>
          <t>TOTAL</t>
        </is>
      </c>
      <c r="E20" s="83">
        <f>SUM(E6:E19)</f>
        <v/>
      </c>
      <c r="F20" s="49">
        <f>SUM(F6:F19)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J26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4" t="inlineStr">
        <is>
          <t>Change Log — Master Register</t>
        </is>
      </c>
    </row>
    <row r="3" ht="22" customHeight="1">
      <c r="B3" s="45" t="inlineStr">
        <is>
          <t>Change events reconstructed from Contract, CO/COR folder, Billing SOVs, ASI-RFI, and JDR. 2 CORs + 1 SOV adjustment + 2 ASI/PR events.</t>
        </is>
      </c>
    </row>
    <row r="4" ht="2" customHeight="1">
      <c r="B4" s="46" t="n"/>
      <c r="C4" s="46" t="n"/>
      <c r="D4" s="46" t="n"/>
      <c r="E4" s="46" t="n"/>
      <c r="F4" s="46" t="n"/>
      <c r="G4" s="46" t="n"/>
      <c r="H4" s="46" t="n"/>
      <c r="I4" s="46" t="n"/>
      <c r="J4" s="46" t="n"/>
    </row>
    <row r="5">
      <c r="B5" s="66" t="inlineStr">
        <is>
          <t>Event ID</t>
        </is>
      </c>
      <c r="C5" s="66" t="inlineStr">
        <is>
          <t>Type</t>
        </is>
      </c>
      <c r="D5" s="66" t="inlineStr">
        <is>
          <t>Date</t>
        </is>
      </c>
      <c r="E5" s="66" t="inlineStr">
        <is>
          <t>Subject</t>
        </is>
      </c>
      <c r="F5" s="66" t="inlineStr">
        <is>
          <t>Originator</t>
        </is>
      </c>
      <c r="G5" s="66" t="inlineStr">
        <is>
          <t>Linked</t>
        </is>
      </c>
      <c r="H5" s="66" t="inlineStr">
        <is>
          <t>Cost Impact ($)</t>
        </is>
      </c>
      <c r="I5" s="66" t="inlineStr">
        <is>
          <t>Status</t>
        </is>
      </c>
      <c r="J5" s="66" t="inlineStr">
        <is>
          <t>Source</t>
        </is>
      </c>
    </row>
    <row r="6">
      <c r="B6" s="48" t="inlineStr">
        <is>
          <t>CONTRACT-ORIG</t>
        </is>
      </c>
      <c r="C6" s="49" t="inlineStr">
        <is>
          <t>Contract (AGC LS)</t>
        </is>
      </c>
      <c r="D6" s="49" t="inlineStr">
        <is>
          <t>~2016-03 (effective 03/09/2016 per first PR)</t>
        </is>
      </c>
      <c r="E6" s="49" t="inlineStr">
        <is>
          <t>Original prime subcontract #007 for Fox and Finch plumbing — $825,370.00 Lump Sum (AGC of Washington 2006 Ed., Synergy proj #750)</t>
        </is>
      </c>
      <c r="F6" s="49" t="inlineStr">
        <is>
          <t>GC (Synergy Construction, Inc.)</t>
        </is>
      </c>
      <c r="G6" s="14" t="inlineStr"/>
      <c r="H6" s="67" t="n">
        <v>825370</v>
      </c>
      <c r="I6" s="49" t="inlineStr">
        <is>
          <t>Executed</t>
        </is>
      </c>
      <c r="J6" s="49" t="inlineStr">
        <is>
          <t>Contract/525 Boren Contract.pdf</t>
        </is>
      </c>
    </row>
    <row r="7">
      <c r="B7" s="50" t="inlineStr">
        <is>
          <t>SOV-ADJ</t>
        </is>
      </c>
      <c r="C7" s="51" t="inlineStr">
        <is>
          <t>SOV adjustment</t>
        </is>
      </c>
      <c r="D7" s="51" t="inlineStr">
        <is>
          <t>Between 2016-03-20 (App#1) and 2016-05-20 (App#2)</t>
        </is>
      </c>
      <c r="E7" s="51" t="inlineStr">
        <is>
          <t>Contract total rolled from $825,370.00 → $830,310.00 (+$4,940.00) — no formal CO doc in folder, surfaces first in Billing draw #2 SOV</t>
        </is>
      </c>
      <c r="F7" s="51" t="inlineStr">
        <is>
          <t>Synergy / OWP</t>
        </is>
      </c>
      <c r="G7" s="51" t="inlineStr">
        <is>
          <t>CONTRACT-ORIG</t>
        </is>
      </c>
      <c r="H7" s="70" t="n">
        <v>4940</v>
      </c>
      <c r="I7" s="51" t="inlineStr">
        <is>
          <t>Billed</t>
        </is>
      </c>
      <c r="J7" s="51" t="inlineStr">
        <is>
          <t>Billing/525 Boren SOV draw #2 5-20-16.xlsx</t>
        </is>
      </c>
    </row>
    <row r="8">
      <c r="B8" s="48" t="inlineStr">
        <is>
          <t>ASI-12-MEP</t>
        </is>
      </c>
      <c r="C8" s="49" t="inlineStr">
        <is>
          <t>ASI</t>
        </is>
      </c>
      <c r="D8" s="49" t="inlineStr">
        <is>
          <t>2016 (pre-rough-in)</t>
        </is>
      </c>
      <c r="E8" s="49" t="inlineStr">
        <is>
          <t>ASI-12 MEP Peer Review Response — design-reviewer response to MEP drawings</t>
        </is>
      </c>
      <c r="F8" s="49" t="inlineStr">
        <is>
          <t>Designer / MEP</t>
        </is>
      </c>
      <c r="G8" s="14" t="inlineStr"/>
      <c r="H8" s="67" t="n">
        <v>0</v>
      </c>
      <c r="I8" s="49" t="inlineStr">
        <is>
          <t>Informational</t>
        </is>
      </c>
      <c r="J8" s="49" t="inlineStr">
        <is>
          <t>ASI-RFI/ASI 12 MEP Peer Review Response.pdf</t>
        </is>
      </c>
    </row>
    <row r="9">
      <c r="B9" s="50" t="inlineStr">
        <is>
          <t>PR-02-MEDIA</t>
        </is>
      </c>
      <c r="C9" s="51" t="inlineStr">
        <is>
          <t>Proposal Request</t>
        </is>
      </c>
      <c r="D9" s="51" t="inlineStr">
        <is>
          <t>2016</t>
        </is>
      </c>
      <c r="E9" s="51" t="inlineStr">
        <is>
          <t>PR-02 Media Room Redesign — designer-issued proposal request (no CO resulted; absorbed into base)</t>
        </is>
      </c>
      <c r="F9" s="51" t="inlineStr">
        <is>
          <t>Designer (Synergy)</t>
        </is>
      </c>
      <c r="G9" s="101" t="inlineStr"/>
      <c r="H9" s="70" t="n">
        <v>0</v>
      </c>
      <c r="I9" s="51" t="inlineStr">
        <is>
          <t>Informational (no CO)</t>
        </is>
      </c>
      <c r="J9" s="51" t="inlineStr">
        <is>
          <t>ASI-RFI/PR 02 Media Room Redesign.pdf</t>
        </is>
      </c>
    </row>
    <row r="10">
      <c r="B10" s="48" t="inlineStr">
        <is>
          <t>COR-01</t>
        </is>
      </c>
      <c r="C10" s="49" t="inlineStr">
        <is>
          <t>COR → CO</t>
        </is>
      </c>
      <c r="D10" s="49" t="inlineStr">
        <is>
          <t>2016-12-06 (COR) · 2017-04-24 (Permit SR1397520)</t>
        </is>
      </c>
      <c r="E10" s="49" t="inlineStr">
        <is>
          <t>COR #01 Temp Gas Permit — total $357 to pull temp gas permit + inspection (1 permit $140 + 2 hrs labor $170 + tax). Executed as CO#2 Temporary Gas Meter (signed). Tied to Budget Transfer CO #02 XLSX ($357 sale price at code 603 Permits).</t>
        </is>
      </c>
      <c r="F10" s="49" t="inlineStr">
        <is>
          <t>GC (Synergy Construction, Inc.)</t>
        </is>
      </c>
      <c r="G10" s="49" t="inlineStr">
        <is>
          <t>CO-2-TEMP-GAS</t>
        </is>
      </c>
      <c r="H10" s="67" t="n">
        <v>357</v>
      </c>
      <c r="I10" s="49" t="inlineStr">
        <is>
          <t>Executed</t>
        </is>
      </c>
      <c r="J10" s="49" t="inlineStr">
        <is>
          <t>Change Orders/COR_s/525 Boren - COR #01 Temp Gas Permit.pdf · Change Orders/COR_s/Temp Gas Permit.xlsx · Change Orders/BUDGET TRANSFERS/525 Boren - Budget Transfer - CO #02.xlsx</t>
        </is>
      </c>
    </row>
    <row r="11">
      <c r="B11" s="50" t="inlineStr">
        <is>
          <t>CO-2-TEMP-GAS</t>
        </is>
      </c>
      <c r="C11" s="51" t="inlineStr">
        <is>
          <t>CO (executed)</t>
        </is>
      </c>
      <c r="D11" s="51" t="inlineStr">
        <is>
          <t>2017-04-24</t>
        </is>
      </c>
      <c r="E11" s="51" t="inlineStr">
        <is>
          <t>CO#2 Temporary Gas Meter — $357 signed PDF + scanned copy on file. Appears in Billing draw #15 SOV as +$357 to contract total = $830,667.</t>
        </is>
      </c>
      <c r="F11" s="51" t="inlineStr">
        <is>
          <t>GC (Synergy Construction, Inc.)</t>
        </is>
      </c>
      <c r="G11" s="51" t="inlineStr">
        <is>
          <t>COR-01</t>
        </is>
      </c>
      <c r="H11" s="70" t="n">
        <v>357</v>
      </c>
      <c r="I11" s="51" t="inlineStr">
        <is>
          <t>Signed / Billed</t>
        </is>
      </c>
      <c r="J11" s="51" t="inlineStr">
        <is>
          <t>Change Orders/CO_s/CO 2 Temporary Gas Meter Signed.pdf · Billing/525 Boren SOV draw #15  7-20-17.xlsx</t>
        </is>
      </c>
    </row>
    <row r="12">
      <c r="B12" s="48" t="inlineStr">
        <is>
          <t>COR-02</t>
        </is>
      </c>
      <c r="C12" s="49" t="inlineStr">
        <is>
          <t>COR</t>
        </is>
      </c>
      <c r="D12" s="49" t="inlineStr">
        <is>
          <t>2017-10-27</t>
        </is>
      </c>
      <c r="E12" s="49" t="inlineStr">
        <is>
          <t>COR #02 Unclog Construction Debris from Toilet — $293 to unclog 2x2 wood debris lodged in toilet. Post-closeout / warranty-era; no corresponding CO signed (likely absorbed as backcharge or OH).</t>
        </is>
      </c>
      <c r="F12" s="49" t="inlineStr">
        <is>
          <t>Sub (OWP, Richard Donelson)</t>
        </is>
      </c>
      <c r="G12" s="14" t="inlineStr"/>
      <c r="H12" s="67" t="n">
        <v>293</v>
      </c>
      <c r="I12" s="49" t="inlineStr">
        <is>
          <t>Submitted (no CO on file)</t>
        </is>
      </c>
      <c r="J12" s="49" t="inlineStr">
        <is>
          <t>Change Orders/COR_s/525 Boren - COR #02 Unclog Construction Debris from Toilet.pdf</t>
        </is>
      </c>
    </row>
    <row r="13">
      <c r="B13" s="50" t="inlineStr">
        <is>
          <t>COR-SHOWER-OPT</t>
        </is>
      </c>
      <c r="C13" s="51" t="inlineStr">
        <is>
          <t>COR (priced, not issued)</t>
        </is>
      </c>
      <c r="D13" s="51" t="inlineStr">
        <is>
          <t>2016-06-03</t>
        </is>
      </c>
      <c r="E13" s="51" t="inlineStr">
        <is>
          <t>Shower option pricing — 32 tub swap (1483EN → 1363BFSD w/ removable threshold). Priced $1,936 labor + $5,666 material. No CO issued; absorbed or cancelled.</t>
        </is>
      </c>
      <c r="F13" s="51" t="inlineStr">
        <is>
          <t>Sub (OWP)</t>
        </is>
      </c>
      <c r="G13" s="101" t="inlineStr"/>
      <c r="H13" s="70" t="n">
        <v>0</v>
      </c>
      <c r="I13" s="51" t="inlineStr">
        <is>
          <t>Priced only</t>
        </is>
      </c>
      <c r="J13" s="51" t="inlineStr">
        <is>
          <t>Change Orders/COR_s/Shower option.xlsx</t>
        </is>
      </c>
    </row>
    <row r="14">
      <c r="B14" s="48" t="inlineStr">
        <is>
          <t>COR-SEWER-PX</t>
        </is>
      </c>
      <c r="C14" s="49" t="inlineStr">
        <is>
          <t>COR pricing (warranty)</t>
        </is>
      </c>
      <c r="D14" s="49" t="inlineStr">
        <is>
          <t>2017-04-24 (per XLSX date) · 2018-12-06 (photo event)</t>
        </is>
      </c>
      <c r="E14" s="49" t="inlineStr">
        <is>
          <t>Sewer Problem pricing — PM + Foreman + Apprentice + camera equipment to investigate sewer blockage. Likely related to 2018-12-06 Retail Sewer Problem warranty incident (30 photos/videos). No CO resulted (likely backcharge-offset / warranty absorb).</t>
        </is>
      </c>
      <c r="F14" s="49" t="inlineStr">
        <is>
          <t>Sub (OWP)</t>
        </is>
      </c>
      <c r="G14" s="49" t="inlineStr">
        <is>
          <t>RETAIL-SEWER-INCIDENT</t>
        </is>
      </c>
      <c r="H14" s="67" t="n">
        <v>0</v>
      </c>
      <c r="I14" s="49" t="inlineStr">
        <is>
          <t>Pricing only</t>
        </is>
      </c>
      <c r="J14" s="49" t="inlineStr">
        <is>
          <t>Change Orders/COR_s/Sewer Problem pricing.xlsx</t>
        </is>
      </c>
    </row>
    <row r="15">
      <c r="B15" s="50" t="inlineStr">
        <is>
          <t>BUDGET-REV-230</t>
        </is>
      </c>
      <c r="C15" s="51" t="inlineStr">
        <is>
          <t>Budget revision</t>
        </is>
      </c>
      <c r="D15" s="92" t="inlineStr">
        <is>
          <t>NOT FOUND</t>
        </is>
      </c>
      <c r="E15" s="51" t="inlineStr">
        <is>
          <t>Finish Material (code 230) revised $78,595 → $82,765 (+$4,170)</t>
        </is>
      </c>
      <c r="F15" s="51" t="inlineStr">
        <is>
          <t>Internal OWP</t>
        </is>
      </c>
      <c r="G15" s="101" t="inlineStr"/>
      <c r="H15" s="70" t="n">
        <v>4170</v>
      </c>
      <c r="I15" s="51" t="inlineStr">
        <is>
          <t>Applied</t>
        </is>
      </c>
      <c r="J15" s="51" t="inlineStr">
        <is>
          <t>2026 Job Detail Report.pdf (Sage Timberline export, printed 04/03/2026 1:51PM, 106 pages)</t>
        </is>
      </c>
    </row>
    <row r="16">
      <c r="B16" s="48" t="inlineStr">
        <is>
          <t>BUDGET-REV-603</t>
        </is>
      </c>
      <c r="C16" s="49" t="inlineStr">
        <is>
          <t>Budget revision</t>
        </is>
      </c>
      <c r="D16" s="92" t="inlineStr">
        <is>
          <t>NOT FOUND</t>
        </is>
      </c>
      <c r="E16" s="49" t="inlineStr">
        <is>
          <t>Permits &amp; Licenses (code 603) revised $5,420 → $5,560 (+$140) — includes Temp Gas CO#1 $140</t>
        </is>
      </c>
      <c r="F16" s="49" t="inlineStr">
        <is>
          <t>Internal / CO#1</t>
        </is>
      </c>
      <c r="G16" s="49" t="inlineStr">
        <is>
          <t>COR-01</t>
        </is>
      </c>
      <c r="H16" s="67" t="n">
        <v>140</v>
      </c>
      <c r="I16" s="49" t="inlineStr">
        <is>
          <t>Applied</t>
        </is>
      </c>
      <c r="J16" s="49" t="inlineStr">
        <is>
          <t>2026 Job Detail Report.pdf (Sage Timberline export, printed 04/03/2026 1:51PM, 106 pages) + Budget Transfer CO#02 XLSX</t>
        </is>
      </c>
    </row>
    <row r="17">
      <c r="B17" s="50" t="inlineStr">
        <is>
          <t>BUDGET-REV-995</t>
        </is>
      </c>
      <c r="C17" s="51" t="inlineStr">
        <is>
          <t>Burden rate adjustment</t>
        </is>
      </c>
      <c r="D17" s="92" t="inlineStr">
        <is>
          <t>NOT FOUND</t>
        </is>
      </c>
      <c r="E17" s="51" t="inlineStr">
        <is>
          <t>Payroll Burden (code 995) revised $83,136.63 → $83,200.08</t>
        </is>
      </c>
      <c r="F17" s="51" t="inlineStr">
        <is>
          <t>OWP internal</t>
        </is>
      </c>
      <c r="G17" s="101" t="inlineStr"/>
      <c r="H17" s="70" t="n">
        <v>63.44999999999709</v>
      </c>
      <c r="I17" s="51" t="inlineStr">
        <is>
          <t>Applied</t>
        </is>
      </c>
      <c r="J17" s="51" t="inlineStr">
        <is>
          <t>2026 Job Detail Report.pdf (Sage Timberline export, printed 04/03/2026 1:51PM, 106 pages)</t>
        </is>
      </c>
    </row>
    <row r="18">
      <c r="B18" s="48" t="inlineStr">
        <is>
          <t>BUDGET-REV-998</t>
        </is>
      </c>
      <c r="C18" s="49" t="inlineStr">
        <is>
          <t>Tax rate adjustment</t>
        </is>
      </c>
      <c r="D18" s="92" t="inlineStr">
        <is>
          <t>NOT FOUND</t>
        </is>
      </c>
      <c r="E18" s="49" t="inlineStr">
        <is>
          <t>Payroll Taxes (code 998) revised $14,671.17 → $14,681.96</t>
        </is>
      </c>
      <c r="F18" s="49" t="inlineStr">
        <is>
          <t>OWP internal</t>
        </is>
      </c>
      <c r="G18" s="14" t="inlineStr"/>
      <c r="H18" s="67" t="n">
        <v>10.78999999999905</v>
      </c>
      <c r="I18" s="49" t="inlineStr">
        <is>
          <t>Applied</t>
        </is>
      </c>
      <c r="J18" s="49" t="inlineStr">
        <is>
          <t>2026 Job Detail Report.pdf (Sage Timberline export, printed 04/03/2026 1:51PM, 106 pages)</t>
        </is>
      </c>
    </row>
    <row r="19">
      <c r="B19" s="50" t="inlineStr">
        <is>
          <t>CONTRACT-FINAL</t>
        </is>
      </c>
      <c r="C19" s="51" t="inlineStr">
        <is>
          <t>Contract revision (cumulative)</t>
        </is>
      </c>
      <c r="D19" s="51" t="inlineStr">
        <is>
          <t>2017-07-20 (App #15)</t>
        </is>
      </c>
      <c r="E19" s="51" t="inlineStr">
        <is>
          <t>Final contract value $830,667.00 = $825,370 orig + $4,940 SOV adj + $357 CO#1 = +$5,297.00 (+0.64%). Reconciles to JDR revenue.</t>
        </is>
      </c>
      <c r="F19" s="51" t="inlineStr">
        <is>
          <t>GC (Synergy Construction, Inc.)</t>
        </is>
      </c>
      <c r="G19" s="51" t="inlineStr">
        <is>
          <t>CONTRACT-ORIG</t>
        </is>
      </c>
      <c r="H19" s="70" t="n">
        <v>5297</v>
      </c>
      <c r="I19" s="51" t="inlineStr">
        <is>
          <t>Executed</t>
        </is>
      </c>
      <c r="J19" s="51" t="inlineStr">
        <is>
          <t>Billing/525 Boren SOV draw #15  7-20-17.xlsx + 2026 Job Detail Report.pdf (Sage Timberline export, printed 04/03/2026 1:51PM, 106 pages)</t>
        </is>
      </c>
    </row>
    <row r="20">
      <c r="B20" s="48" t="inlineStr">
        <is>
          <t>AR-PATTERN-REVERSALS</t>
        </is>
      </c>
      <c r="C20" s="49" t="inlineStr">
        <is>
          <t>AR reversal+reissue</t>
        </is>
      </c>
      <c r="D20" s="49" t="inlineStr">
        <is>
          <t>2017-04-20 (036863/036864), 2017-05-19 (036886/036887)</t>
        </is>
      </c>
      <c r="E20" s="49" t="inlineStr">
        <is>
          <t>Standard Sage AR corrections — not change events per se, but worth flagging</t>
        </is>
      </c>
      <c r="F20" s="49" t="inlineStr">
        <is>
          <t>Sub (OWP)</t>
        </is>
      </c>
      <c r="G20" s="14" t="inlineStr"/>
      <c r="H20" s="67" t="n">
        <v>0</v>
      </c>
      <c r="I20" s="49" t="inlineStr">
        <is>
          <t>Corrected</t>
        </is>
      </c>
      <c r="J20" s="49" t="inlineStr">
        <is>
          <t>2026 Job Detail Report.pdf (Sage Timberline export, printed 04/03/2026 1:51PM, 106 pages)</t>
        </is>
      </c>
    </row>
    <row r="21">
      <c r="B21" s="50" t="inlineStr">
        <is>
          <t>FIRST-INVOICE</t>
        </is>
      </c>
      <c r="C21" s="51" t="inlineStr">
        <is>
          <t>Invoice</t>
        </is>
      </c>
      <c r="D21" s="51" t="inlineStr">
        <is>
          <t>036700 date: 03/21/16</t>
        </is>
      </c>
      <c r="E21" s="51" t="inlineStr">
        <is>
          <t>First billing invoice #036700 (Pay App #1, 2016-03-20 in SOV)</t>
        </is>
      </c>
      <c r="F21" s="51" t="inlineStr">
        <is>
          <t>Sub (OWP)</t>
        </is>
      </c>
      <c r="G21" s="101" t="inlineStr"/>
      <c r="H21" s="70" t="n">
        <v>0</v>
      </c>
      <c r="I21" s="51" t="inlineStr">
        <is>
          <t>Paid (per zero net due)</t>
        </is>
      </c>
      <c r="J21" s="51" t="inlineStr">
        <is>
          <t>2026 Job Detail Report.pdf (Sage Timberline export, printed 04/03/2026 1:51PM, 106 pages) + Billing/draw#1</t>
        </is>
      </c>
    </row>
    <row r="22">
      <c r="B22" s="48" t="inlineStr">
        <is>
          <t>LAST-INVOICE</t>
        </is>
      </c>
      <c r="C22" s="49" t="inlineStr">
        <is>
          <t>Invoice</t>
        </is>
      </c>
      <c r="D22" s="49" t="inlineStr">
        <is>
          <t>036923 date: 07/24/17</t>
        </is>
      </c>
      <c r="E22" s="49" t="inlineStr">
        <is>
          <t>Last billing invoice #036923 $-357.00 (closeout, SOV Pay App #15 2017-07-20)</t>
        </is>
      </c>
      <c r="F22" s="49" t="inlineStr">
        <is>
          <t>Sub (OWP)</t>
        </is>
      </c>
      <c r="G22" s="14" t="inlineStr"/>
      <c r="H22" s="67" t="n">
        <v>-357</v>
      </c>
      <c r="I22" s="49" t="inlineStr">
        <is>
          <t>Paid</t>
        </is>
      </c>
      <c r="J22" s="49" t="inlineStr">
        <is>
          <t>2026 Job Detail Report.pdf (Sage Timberline export, printed 04/03/2026 1:51PM, 106 pages) + Billing/draw#15</t>
        </is>
      </c>
    </row>
    <row r="23">
      <c r="B23" s="50" t="inlineStr">
        <is>
          <t>RETAIL-SEWER-INCIDENT</t>
        </is>
      </c>
      <c r="C23" s="51" t="inlineStr">
        <is>
          <t>Warranty incident</t>
        </is>
      </c>
      <c r="D23" s="51" t="inlineStr">
        <is>
          <t>2018-12-06</t>
        </is>
      </c>
      <c r="E23" s="51" t="inlineStr">
        <is>
          <t>Retail Sewer Problem — 30 photos+videos documenting retail-level sewer blockage. ~17 months post-closeout. Subject of Sewer Problem pricing XLSX.</t>
        </is>
      </c>
      <c r="F23" s="51" t="inlineStr">
        <is>
          <t>Sub (OWP, forensic)</t>
        </is>
      </c>
      <c r="G23" s="51" t="inlineStr">
        <is>
          <t>COR-SEWER-PX</t>
        </is>
      </c>
      <c r="H23" s="70" t="n">
        <v>0</v>
      </c>
      <c r="I23" s="51" t="inlineStr">
        <is>
          <t>Documented (no claim on file)</t>
        </is>
      </c>
      <c r="J23" s="51" t="inlineStr">
        <is>
          <t>Retail Sewer Problem/ (30 JPG/MP4 files dated 20181206)</t>
        </is>
      </c>
    </row>
    <row r="24">
      <c r="B24" s="48" t="inlineStr">
        <is>
          <t>RETAINAGE-OPEN</t>
        </is>
      </c>
      <c r="C24" s="49" t="inlineStr">
        <is>
          <t>Retainage</t>
        </is>
      </c>
      <c r="D24" s="49" t="inlineStr">
        <is>
          <t>As of 04/03/2026</t>
        </is>
      </c>
      <c r="E24" s="49" t="inlineStr">
        <is>
          <t>Retainage $41,533.35 outstanding 8+ years after last billing (2017-07-20). Full &amp; Final Lien Claim Waiver on file (undated). Release documentation NOT FOUND in folder.</t>
        </is>
      </c>
      <c r="F24" s="49" t="inlineStr">
        <is>
          <t>GC (Synergy Construction, Inc.)</t>
        </is>
      </c>
      <c r="G24" s="14" t="inlineStr"/>
      <c r="H24" s="67" t="n">
        <v>0</v>
      </c>
      <c r="I24" s="49" t="inlineStr">
        <is>
          <t>Outstanding</t>
        </is>
      </c>
      <c r="J24" s="49" t="inlineStr">
        <is>
          <t>2026 Job Detail Report.pdf (Sage Timberline export, printed 04/03/2026 1:51PM, 106 pages) · Billing/525 Boren Full &amp; Final Lien Claim waiver.pdf</t>
        </is>
      </c>
    </row>
    <row r="25">
      <c r="B25" s="54" t="n"/>
      <c r="C25" s="54" t="n"/>
      <c r="D25" s="54" t="n"/>
      <c r="E25" s="54" t="n"/>
      <c r="F25" s="54" t="n"/>
      <c r="G25" s="54" t="n"/>
      <c r="H25" s="54" t="n"/>
      <c r="I25" s="54" t="n"/>
      <c r="J25" s="54" t="n"/>
    </row>
    <row r="26">
      <c r="B26" s="48" t="inlineStr">
        <is>
          <t>TOTAL COST IMPACT (net)</t>
        </is>
      </c>
      <c r="H26" s="83">
        <f>SUM(H6:H24)-H6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J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4" t="inlineStr">
        <is>
          <t>Root Cause Analysis</t>
        </is>
      </c>
    </row>
    <row r="3" ht="22" customHeight="1">
      <c r="B3" s="45" t="inlineStr">
        <is>
          <t>Cost-code variance drivers. Primary signal: labor over-runs on Garage, Canout, Mech Room offset by Material under-runs.</t>
        </is>
      </c>
    </row>
    <row r="4" ht="2" customHeight="1">
      <c r="B4" s="46" t="n"/>
      <c r="C4" s="46" t="n"/>
      <c r="D4" s="46" t="n"/>
      <c r="E4" s="46" t="n"/>
      <c r="F4" s="46" t="n"/>
      <c r="G4" s="46" t="n"/>
      <c r="H4" s="46" t="n"/>
      <c r="I4" s="46" t="n"/>
      <c r="J4" s="46" t="n"/>
    </row>
    <row r="5">
      <c r="B5" s="47" t="inlineStr">
        <is>
          <t>COST-CODE VARIANCE CATEGORIES</t>
        </is>
      </c>
    </row>
    <row r="6">
      <c r="B6" s="85" t="inlineStr">
        <is>
          <t>Category</t>
        </is>
      </c>
      <c r="C6" s="86" t="inlineStr">
        <is>
          <t>Codes Affected</t>
        </is>
      </c>
      <c r="D6" s="86" t="inlineStr">
        <is>
          <t>Net $ Variance</t>
        </is>
      </c>
      <c r="E6" s="86" t="inlineStr">
        <is>
          <t>Root Cause (inferred)</t>
        </is>
      </c>
      <c r="F6" s="86" t="inlineStr">
        <is>
          <t>Notes</t>
        </is>
      </c>
    </row>
    <row r="7">
      <c r="B7" s="50" t="inlineStr">
        <is>
          <t>Labor over-runs (productivity)</t>
        </is>
      </c>
      <c r="C7" s="51" t="inlineStr">
        <is>
          <t>111 Garage, 112 Canout, 142 Mech Room</t>
        </is>
      </c>
      <c r="D7" s="70" t="n">
        <v>18965</v>
      </c>
      <c r="E7" s="51" t="inlineStr">
        <is>
          <t>Field productivity below estimate</t>
        </is>
      </c>
      <c r="F7" s="51" t="inlineStr">
        <is>
          <t>Sum of labor over-runs = $18,965</t>
        </is>
      </c>
      <c r="G7" s="54" t="n"/>
      <c r="H7" s="54" t="n"/>
      <c r="I7" s="54" t="n"/>
      <c r="J7" s="54" t="n"/>
    </row>
    <row r="8">
      <c r="B8" s="48" t="inlineStr">
        <is>
          <t>Labor under-runs</t>
        </is>
      </c>
      <c r="C8" s="49" t="inlineStr">
        <is>
          <t>100 Sup, 101 Takeoff, 110 UG, 130 Finish, 140 Gas</t>
        </is>
      </c>
      <c r="D8" s="67" t="n">
        <v>-16638</v>
      </c>
      <c r="E8" s="49" t="inlineStr">
        <is>
          <t>Savings / scope reduction / efficiency</t>
        </is>
      </c>
      <c r="F8" s="49" t="inlineStr">
        <is>
          <t>Offsetting savings</t>
        </is>
      </c>
    </row>
    <row r="9">
      <c r="B9" s="50" t="inlineStr">
        <is>
          <t>Rough-in overrun (scope)</t>
        </is>
      </c>
      <c r="C9" s="51" t="inlineStr">
        <is>
          <t>120 Roughin Labor</t>
        </is>
      </c>
      <c r="D9" s="70" t="n">
        <v>14618.5</v>
      </c>
      <c r="E9" s="51" t="inlineStr">
        <is>
          <t>Possibly scope increase with budget revision</t>
        </is>
      </c>
      <c r="F9" s="51" t="inlineStr">
        <is>
          <t>$14,618 over</t>
        </is>
      </c>
      <c r="G9" s="54" t="n"/>
      <c r="H9" s="54" t="n"/>
      <c r="I9" s="54" t="n"/>
      <c r="J9" s="54" t="n"/>
    </row>
    <row r="10">
      <c r="B10" s="48" t="inlineStr">
        <is>
          <t>Material under-runs</t>
        </is>
      </c>
      <c r="C10" s="49" t="inlineStr">
        <is>
          <t>220 Rough Mat, 230 Finish Mat, 241 Water Main Mat, 242 Mech Room Mat</t>
        </is>
      </c>
      <c r="D10" s="67" t="n">
        <v>-62736.55</v>
      </c>
      <c r="E10" s="49" t="inlineStr">
        <is>
          <t>Favorable procurement / takeoff savings</t>
        </is>
      </c>
      <c r="F10" s="49" t="inlineStr">
        <is>
          <t>Material came in well under</t>
        </is>
      </c>
    </row>
    <row r="11">
      <c r="B11" s="50" t="inlineStr">
        <is>
          <t>Burden / Tax accrual</t>
        </is>
      </c>
      <c r="C11" s="51" t="inlineStr">
        <is>
          <t>995, 998</t>
        </is>
      </c>
      <c r="D11" s="70" t="n">
        <v>11621.33999999999</v>
      </c>
      <c r="E11" s="51" t="inlineStr">
        <is>
          <t>Higher-than-estimated burden rates</t>
        </is>
      </c>
      <c r="F11" s="51" t="inlineStr">
        <is>
          <t>OWP internal rate volatility</t>
        </is>
      </c>
      <c r="G11" s="54" t="n"/>
      <c r="H11" s="54" t="n"/>
      <c r="I11" s="54" t="n"/>
      <c r="J11" s="54" t="n"/>
    </row>
    <row r="12">
      <c r="B12" s="48" t="inlineStr">
        <is>
          <t>Support-code savings</t>
        </is>
      </c>
      <c r="C12" s="49" t="inlineStr">
        <is>
          <t>601 Eng, 603 Permit, 607 Other</t>
        </is>
      </c>
      <c r="D12" s="67" t="n">
        <v>-22868.18</v>
      </c>
      <c r="E12" s="49" t="inlineStr">
        <is>
          <t>Under-utilization of support budget</t>
        </is>
      </c>
      <c r="F12" s="49" t="inlineStr">
        <is>
          <t>Savings</t>
        </is>
      </c>
    </row>
    <row r="13">
      <c r="B13" s="50" t="inlineStr">
        <is>
          <t>TOTAL NET VARIANCE (Rev Budget vs Actual)</t>
        </is>
      </c>
      <c r="C13" s="54" t="n"/>
      <c r="D13" s="71">
        <f>SUM(D7:D12)</f>
        <v/>
      </c>
      <c r="E13" s="54" t="n"/>
      <c r="F13" s="54" t="n"/>
      <c r="G13" s="54" t="n"/>
      <c r="H13" s="54" t="n"/>
      <c r="I13" s="54" t="n"/>
      <c r="J13" s="54" t="n"/>
    </row>
    <row r="14"/>
    <row r="15">
      <c r="B15" s="54" t="n"/>
      <c r="C15" s="54" t="n"/>
      <c r="D15" s="54" t="n"/>
      <c r="E15" s="54" t="n"/>
      <c r="F15" s="54" t="n"/>
      <c r="G15" s="54" t="n"/>
      <c r="H15" s="54" t="n"/>
      <c r="I15" s="54" t="n"/>
      <c r="J15" s="54" t="n"/>
    </row>
    <row r="16">
      <c r="B16" s="47" t="inlineStr">
        <is>
          <t>RESPONSIBILITY ATTRIBUTION</t>
        </is>
      </c>
    </row>
    <row r="17">
      <c r="B17" s="85" t="inlineStr">
        <is>
          <t>Responsible Party</t>
        </is>
      </c>
      <c r="C17" s="86" t="inlineStr">
        <is>
          <t># Drivers</t>
        </is>
      </c>
      <c r="D17" s="86" t="inlineStr">
        <is>
          <t>Net $ Impact</t>
        </is>
      </c>
      <c r="E17" s="86" t="inlineStr">
        <is>
          <t>Notes</t>
        </is>
      </c>
      <c r="F17" s="54" t="n"/>
      <c r="G17" s="54" t="n"/>
      <c r="H17" s="54" t="n"/>
      <c r="I17" s="54" t="n"/>
      <c r="J17" s="54" t="n"/>
    </row>
    <row r="18">
      <c r="B18" s="48" t="inlineStr">
        <is>
          <t>Sub (OWP) — labor productivity</t>
        </is>
      </c>
      <c r="C18" s="81" t="n">
        <v>3</v>
      </c>
      <c r="D18" s="67" t="n">
        <v>18965</v>
      </c>
      <c r="E18" s="49" t="inlineStr">
        <is>
          <t>Over-runs on Garage/Canout/Mech Room</t>
        </is>
      </c>
    </row>
    <row r="19">
      <c r="B19" s="50" t="inlineStr">
        <is>
          <t>Sub (OWP) — procurement savings</t>
        </is>
      </c>
      <c r="C19" s="82" t="n">
        <v>4</v>
      </c>
      <c r="D19" s="70" t="n">
        <v>-62736.55</v>
      </c>
      <c r="E19" s="51" t="inlineStr">
        <is>
          <t>Favorable material cost</t>
        </is>
      </c>
      <c r="F19" s="54" t="n"/>
      <c r="G19" s="54" t="n"/>
      <c r="H19" s="54" t="n"/>
      <c r="I19" s="54" t="n"/>
      <c r="J19" s="54" t="n"/>
    </row>
    <row r="20">
      <c r="B20" s="48" t="inlineStr">
        <is>
          <t>Designer / GC (scope)</t>
        </is>
      </c>
      <c r="C20" s="81" t="n">
        <v>1</v>
      </c>
      <c r="D20" s="67" t="n">
        <v>14618.5</v>
      </c>
      <c r="E20" s="49" t="inlineStr">
        <is>
          <t>Rough-in scope growth (budget also revised)</t>
        </is>
      </c>
    </row>
    <row r="21">
      <c r="B21" s="50" t="inlineStr">
        <is>
          <t>Burden rate — OWP internal</t>
        </is>
      </c>
      <c r="C21" s="82" t="n">
        <v>2</v>
      </c>
      <c r="D21" s="70" t="n">
        <v>11621.33999999999</v>
      </c>
      <c r="E21" s="51" t="inlineStr">
        <is>
          <t>Accrual volatility</t>
        </is>
      </c>
      <c r="F21" s="54" t="n"/>
      <c r="G21" s="54" t="n"/>
      <c r="H21" s="54" t="n"/>
      <c r="I21" s="54" t="n"/>
      <c r="J21" s="54" t="n"/>
    </row>
    <row r="22">
      <c r="B22" s="48" t="inlineStr">
        <is>
          <t>Support codes — OWP</t>
        </is>
      </c>
      <c r="C22" s="81" t="n">
        <v>3</v>
      </c>
      <c r="D22" s="67" t="n">
        <v>-22868.18</v>
      </c>
      <c r="E22" s="49" t="inlineStr">
        <is>
          <t>Savings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4" t="inlineStr">
        <is>
          <t>Predictive Signals</t>
        </is>
      </c>
    </row>
    <row r="3" ht="22" customHeight="1">
      <c r="B3" s="45" t="inlineStr">
        <is>
          <t>Leading indicators reconstructed from JDR only (no RFI/CO logs to draw from)</t>
        </is>
      </c>
    </row>
    <row r="4" ht="2" customHeight="1">
      <c r="B4" s="46" t="n"/>
      <c r="C4" s="46" t="n"/>
      <c r="D4" s="46" t="n"/>
      <c r="E4" s="46" t="n"/>
      <c r="F4" s="46" t="n"/>
      <c r="G4" s="46" t="n"/>
      <c r="H4" s="46" t="n"/>
      <c r="I4" s="46" t="n"/>
      <c r="J4" s="46" t="n"/>
    </row>
    <row r="5">
      <c r="B5" s="47" t="inlineStr">
        <is>
          <t>CURRENT-STATE SIGNALS</t>
        </is>
      </c>
    </row>
    <row r="6">
      <c r="B6" s="85" t="inlineStr">
        <is>
          <t>Indicator</t>
        </is>
      </c>
      <c r="C6" s="86" t="inlineStr">
        <is>
          <t>Current Value</t>
        </is>
      </c>
      <c r="D6" s="86" t="inlineStr">
        <is>
          <t>Benchmark</t>
        </is>
      </c>
      <c r="E6" s="86" t="inlineStr">
        <is>
          <t>Status</t>
        </is>
      </c>
      <c r="F6" s="86" t="inlineStr">
        <is>
          <t>Meaning</t>
        </is>
      </c>
    </row>
    <row r="7">
      <c r="B7" s="50" t="inlineStr">
        <is>
          <t>RFI Count</t>
        </is>
      </c>
      <c r="C7" s="92" t="inlineStr">
        <is>
          <t>NOT FOUND</t>
        </is>
      </c>
      <c r="D7" s="51" t="inlineStr">
        <is>
          <t>&lt;50</t>
        </is>
      </c>
      <c r="E7" s="92" t="inlineStr">
        <is>
          <t>UNKNOWN</t>
        </is>
      </c>
      <c r="F7" s="51" t="inlineStr">
        <is>
          <t>No RFI folder exists</t>
        </is>
      </c>
      <c r="G7" s="54" t="n"/>
      <c r="H7" s="54" t="n"/>
      <c r="I7" s="54" t="n"/>
      <c r="J7" s="54" t="n"/>
    </row>
    <row r="8">
      <c r="B8" s="48" t="inlineStr">
        <is>
          <t>Submittal Count</t>
        </is>
      </c>
      <c r="C8" s="92" t="inlineStr">
        <is>
          <t>NOT FOUND</t>
        </is>
      </c>
      <c r="D8" s="49" t="inlineStr">
        <is>
          <t>varies</t>
        </is>
      </c>
      <c r="E8" s="92" t="inlineStr">
        <is>
          <t>UNKNOWN</t>
        </is>
      </c>
      <c r="F8" s="49" t="inlineStr">
        <is>
          <t>No Submittal folder exists</t>
        </is>
      </c>
    </row>
    <row r="9">
      <c r="B9" s="50" t="inlineStr">
        <is>
          <t>ASI / OCD Count</t>
        </is>
      </c>
      <c r="C9" s="92" t="inlineStr">
        <is>
          <t>NOT FOUND</t>
        </is>
      </c>
      <c r="D9" s="51" t="inlineStr">
        <is>
          <t>&lt;5</t>
        </is>
      </c>
      <c r="E9" s="92" t="inlineStr">
        <is>
          <t>UNKNOWN</t>
        </is>
      </c>
      <c r="F9" s="51" t="inlineStr">
        <is>
          <t>No ASI folder exists</t>
        </is>
      </c>
      <c r="G9" s="54" t="n"/>
      <c r="H9" s="54" t="n"/>
      <c r="I9" s="54" t="n"/>
      <c r="J9" s="54" t="n"/>
    </row>
    <row r="10">
      <c r="B10" s="48" t="inlineStr">
        <is>
          <t>Change Order Document Count</t>
        </is>
      </c>
      <c r="C10" s="81" t="n">
        <v>0</v>
      </c>
      <c r="D10" s="49" t="inlineStr">
        <is>
          <t>&lt;3</t>
        </is>
      </c>
      <c r="E10" s="55" t="inlineStr">
        <is>
          <t>NEUTRAL</t>
        </is>
      </c>
      <c r="F10" s="49" t="inlineStr">
        <is>
          <t>0 docs — but budget revision implies changes happened</t>
        </is>
      </c>
    </row>
    <row r="11">
      <c r="B11" s="50" t="inlineStr">
        <is>
          <t>Contract Growth %</t>
        </is>
      </c>
      <c r="C11" s="51" t="inlineStr">
        <is>
          <t>0.64%</t>
        </is>
      </c>
      <c r="D11" s="51" t="inlineStr">
        <is>
          <t>&lt;3%</t>
        </is>
      </c>
      <c r="E11" s="94" t="inlineStr">
        <is>
          <t>HEALTHY</t>
        </is>
      </c>
      <c r="F11" s="51" t="inlineStr">
        <is>
          <t>Very low contract growth</t>
        </is>
      </c>
      <c r="G11" s="54" t="n"/>
      <c r="H11" s="54" t="n"/>
      <c r="I11" s="54" t="n"/>
      <c r="J11" s="54" t="n"/>
    </row>
    <row r="12">
      <c r="B12" s="48" t="inlineStr">
        <is>
          <t>Labor Hrs vs Budget</t>
        </is>
      </c>
      <c r="C12" s="49">
        <f>8541.5</f>
        <v/>
      </c>
      <c r="D12" s="49" t="inlineStr">
        <is>
          <t>varies</t>
        </is>
      </c>
      <c r="E12" s="55" t="inlineStr">
        <is>
          <t>INFO</t>
        </is>
      </c>
      <c r="F12" s="49" t="inlineStr">
        <is>
          <t>8,542 hrs</t>
        </is>
      </c>
    </row>
    <row r="13">
      <c r="B13" s="50" t="inlineStr">
        <is>
          <t>Labor Cost % of Revenue</t>
        </is>
      </c>
      <c r="C13" s="80" t="n">
        <v>0.2536702433104963</v>
      </c>
      <c r="D13" s="51" t="inlineStr">
        <is>
          <t>&lt;35%</t>
        </is>
      </c>
      <c r="E13" s="94" t="inlineStr">
        <is>
          <t>HEALTHY</t>
        </is>
      </c>
      <c r="F13" s="51" t="inlineStr">
        <is>
          <t>25.4% — labor-heavy</t>
        </is>
      </c>
      <c r="G13" s="54" t="n"/>
      <c r="H13" s="54" t="n"/>
      <c r="I13" s="54" t="n"/>
      <c r="J13" s="54" t="n"/>
    </row>
    <row r="14">
      <c r="B14" s="48" t="inlineStr">
        <is>
          <t>Retainage Release Pending</t>
        </is>
      </c>
      <c r="C14" s="49" t="inlineStr">
        <is>
          <t>YES</t>
        </is>
      </c>
      <c r="D14" s="49" t="inlineStr">
        <is>
          <t>Released within 90 days post-closeout</t>
        </is>
      </c>
      <c r="E14" s="102" t="inlineStr">
        <is>
          <t>ELEVATED</t>
        </is>
      </c>
      <c r="F14" s="49" t="inlineStr">
        <is>
          <t>$41,533 open 9+ years after work end</t>
        </is>
      </c>
    </row>
    <row r="15">
      <c r="B15" s="50" t="inlineStr">
        <is>
          <t>Worker Concentration (top 1)</t>
        </is>
      </c>
      <c r="C15" s="80" t="n">
        <v>0.2105016683252356</v>
      </c>
      <c r="D15" s="51" t="inlineStr">
        <is>
          <t>&lt;25%</t>
        </is>
      </c>
      <c r="E15" s="102" t="inlineStr">
        <is>
          <t>ELEVATED</t>
        </is>
      </c>
      <c r="F15" s="51" t="inlineStr">
        <is>
          <t>21.1% from single worker</t>
        </is>
      </c>
      <c r="G15" s="54" t="n"/>
      <c r="H15" s="54" t="n"/>
      <c r="I15" s="54" t="n"/>
      <c r="J15" s="54" t="n"/>
    </row>
    <row r="16">
      <c r="B16" s="48" t="inlineStr">
        <is>
          <t>Rough-in Labor Share</t>
        </is>
      </c>
      <c r="C16" s="88" t="n">
        <v>0.5737868055962068</v>
      </c>
      <c r="D16" s="49" t="inlineStr">
        <is>
          <t>40-60%</t>
        </is>
      </c>
      <c r="E16" s="94" t="inlineStr">
        <is>
          <t>HEALTHY</t>
        </is>
      </c>
      <c r="F16" s="49" t="inlineStr">
        <is>
          <t>57% of labor on rough-in</t>
        </is>
      </c>
    </row>
    <row r="17">
      <c r="B17" s="50" t="inlineStr">
        <is>
          <t>Document Completeness</t>
        </is>
      </c>
      <c r="C17" s="51" t="inlineStr">
        <is>
          <t>LOW</t>
        </is>
      </c>
      <c r="D17" s="51" t="inlineStr">
        <is>
          <t>Full CO/RFI/Submittal trail</t>
        </is>
      </c>
      <c r="E17" s="103" t="inlineStr">
        <is>
          <t>RISK</t>
        </is>
      </c>
      <c r="F17" s="51" t="inlineStr">
        <is>
          <t>Only JDR + electrical plans + Revit backup</t>
        </is>
      </c>
      <c r="G17" s="54" t="n"/>
      <c r="H17" s="54" t="n"/>
      <c r="I17" s="54" t="n"/>
      <c r="J17" s="54" t="n"/>
    </row>
    <row r="18"/>
    <row r="19">
      <c r="B19" s="54" t="n"/>
      <c r="C19" s="54" t="n"/>
      <c r="D19" s="54" t="n"/>
      <c r="E19" s="54" t="n"/>
      <c r="F19" s="54" t="n"/>
      <c r="G19" s="54" t="n"/>
      <c r="H19" s="54" t="n"/>
      <c r="I19" s="54" t="n"/>
      <c r="J19" s="54" t="n"/>
    </row>
    <row r="20">
      <c r="B20" s="47" t="inlineStr">
        <is>
          <t>FORECAST MODELS</t>
        </is>
      </c>
    </row>
    <row r="21">
      <c r="B21" s="85" t="inlineStr">
        <is>
          <t>Forecast</t>
        </is>
      </c>
      <c r="C21" s="86" t="inlineStr">
        <is>
          <t>Current Estimate</t>
        </is>
      </c>
      <c r="D21" s="86" t="inlineStr">
        <is>
          <t>Confidence</t>
        </is>
      </c>
      <c r="E21" s="86" t="inlineStr">
        <is>
          <t>Driver</t>
        </is>
      </c>
      <c r="F21" s="86" t="inlineStr">
        <is>
          <t>Model Note</t>
        </is>
      </c>
      <c r="G21" s="54" t="n"/>
      <c r="H21" s="54" t="n"/>
      <c r="I21" s="54" t="n"/>
      <c r="J21" s="54" t="n"/>
    </row>
    <row r="22">
      <c r="B22" s="48" t="inlineStr">
        <is>
          <t>Final margin (actual)</t>
        </is>
      </c>
      <c r="C22" s="88" t="n">
        <v>0.3403288441698056</v>
      </c>
      <c r="D22" s="49" t="inlineStr">
        <is>
          <t>Actual</t>
        </is>
      </c>
      <c r="E22" s="49" t="inlineStr">
        <is>
          <t>Job closed financially</t>
        </is>
      </c>
      <c r="F22" s="49" t="inlineStr">
        <is>
          <t>Net / Revenue</t>
        </is>
      </c>
    </row>
    <row r="23">
      <c r="B23" s="50" t="inlineStr">
        <is>
          <t>Retainage collection probability</t>
        </is>
      </c>
      <c r="C23" s="51" t="inlineStr">
        <is>
          <t>MEDIUM (stale)</t>
        </is>
      </c>
      <c r="D23" s="51" t="inlineStr">
        <is>
          <t>Qualitative</t>
        </is>
      </c>
      <c r="E23" s="51" t="inlineStr">
        <is>
          <t>9+ years outstanding</t>
        </is>
      </c>
      <c r="F23" s="51" t="inlineStr">
        <is>
          <t>May require AR write-off or dispute</t>
        </is>
      </c>
      <c r="G23" s="54" t="n"/>
      <c r="H23" s="54" t="n"/>
      <c r="I23" s="54" t="n"/>
      <c r="J23" s="54" t="n"/>
    </row>
    <row r="24">
      <c r="B24" s="48" t="inlineStr">
        <is>
          <t>Composite risk score (0-100)</t>
        </is>
      </c>
      <c r="C24" s="81" t="n">
        <v>45</v>
      </c>
      <c r="D24" s="49" t="inlineStr">
        <is>
          <t>Low-Medium</t>
        </is>
      </c>
      <c r="E24" s="49" t="inlineStr">
        <is>
          <t>Doc-gap + stale retainage + labor concentration</t>
        </is>
      </c>
      <c r="F24" s="49" t="inlineStr">
        <is>
          <t>Financials healthy; file hygiene poor</t>
        </is>
      </c>
    </row>
    <row r="25">
      <c r="B25" s="50" t="inlineStr">
        <is>
          <t>Would re-bid margin target</t>
        </is>
      </c>
      <c r="C25" s="51" t="inlineStr">
        <is>
          <t>≥34%</t>
        </is>
      </c>
      <c r="D25" s="51" t="inlineStr">
        <is>
          <t>Derived from actuals</t>
        </is>
      </c>
      <c r="E25" s="51" t="inlineStr">
        <is>
          <t>Historical close</t>
        </is>
      </c>
      <c r="F25" s="51" t="inlineStr">
        <is>
          <t>Assumes similar scope; tighten labor estimating for garage/canout/mech room</t>
        </is>
      </c>
      <c r="G25" s="54" t="n"/>
      <c r="H25" s="54" t="n"/>
      <c r="I25" s="54" t="n"/>
      <c r="J25" s="54" t="n"/>
    </row>
  </sheetData>
  <mergeCells count="2">
    <mergeCell ref="B3:J3"/>
    <mergeCell ref="B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J49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4" t="inlineStr">
        <is>
          <t>Metric Registry — Cortex Data Catalog</t>
        </is>
      </c>
    </row>
    <row r="3" ht="22" customHeight="1">
      <c r="B3" s="45" t="inlineStr">
        <is>
          <t>Every metric with data_label, confidence, and source</t>
        </is>
      </c>
    </row>
    <row r="4" ht="2" customHeight="1">
      <c r="B4" s="46" t="n"/>
      <c r="C4" s="46" t="n"/>
      <c r="D4" s="46" t="n"/>
      <c r="E4" s="46" t="n"/>
      <c r="F4" s="46" t="n"/>
      <c r="G4" s="46" t="n"/>
      <c r="H4" s="46" t="n"/>
      <c r="I4" s="46" t="n"/>
      <c r="J4" s="46" t="n"/>
    </row>
    <row r="5">
      <c r="B5" s="66" t="inlineStr">
        <is>
          <t>#</t>
        </is>
      </c>
      <c r="C5" s="66" t="inlineStr">
        <is>
          <t>Data Label</t>
        </is>
      </c>
      <c r="D5" s="66" t="inlineStr">
        <is>
          <t>Human Label</t>
        </is>
      </c>
      <c r="E5" s="66" t="inlineStr">
        <is>
          <t>Value</t>
        </is>
      </c>
      <c r="F5" s="66" t="inlineStr">
        <is>
          <t>Unit</t>
        </is>
      </c>
      <c r="G5" s="66" t="inlineStr">
        <is>
          <t>Source Tab</t>
        </is>
      </c>
      <c r="H5" s="66" t="inlineStr">
        <is>
          <t>Confidence</t>
        </is>
      </c>
      <c r="I5" s="66" t="inlineStr">
        <is>
          <t>Source Document(s)</t>
        </is>
      </c>
    </row>
    <row r="6">
      <c r="B6" s="81" t="n">
        <v>1</v>
      </c>
      <c r="C6" s="49" t="inlineStr">
        <is>
          <t>job_number</t>
        </is>
      </c>
      <c r="D6" s="49" t="inlineStr">
        <is>
          <t>Job Number</t>
        </is>
      </c>
      <c r="E6" s="49" t="inlineStr">
        <is>
          <t>2026</t>
        </is>
      </c>
      <c r="F6" s="49" t="inlineStr">
        <is>
          <t>id</t>
        </is>
      </c>
      <c r="G6" s="49" t="inlineStr">
        <is>
          <t>Benchmark KPIs</t>
        </is>
      </c>
      <c r="H6" s="94" t="inlineStr">
        <is>
          <t>Verified</t>
        </is>
      </c>
      <c r="I6" s="49" t="inlineStr">
        <is>
          <t>2026 Job Detail Report.pdf (Sage Timberline export, printed 04/03/2026 1:51PM, 106 pages)</t>
        </is>
      </c>
    </row>
    <row r="7">
      <c r="B7" s="82" t="n">
        <v>2</v>
      </c>
      <c r="C7" s="51" t="inlineStr">
        <is>
          <t>job_name</t>
        </is>
      </c>
      <c r="D7" s="51" t="inlineStr">
        <is>
          <t>Job Name</t>
        </is>
      </c>
      <c r="E7" s="51" t="inlineStr">
        <is>
          <t>Synergy 525 Boren</t>
        </is>
      </c>
      <c r="F7" s="51" t="inlineStr">
        <is>
          <t>text</t>
        </is>
      </c>
      <c r="G7" s="51" t="inlineStr">
        <is>
          <t>Benchmark KPIs</t>
        </is>
      </c>
      <c r="H7" s="94" t="inlineStr">
        <is>
          <t>Verified</t>
        </is>
      </c>
      <c r="I7" s="51" t="inlineStr">
        <is>
          <t>2026 Job Detail Report.pdf (Sage Timberline export, printed 04/03/2026 1:51PM, 106 pages)</t>
        </is>
      </c>
      <c r="J7" s="54" t="n"/>
    </row>
    <row r="8">
      <c r="B8" s="81" t="n">
        <v>3</v>
      </c>
      <c r="C8" s="49" t="inlineStr">
        <is>
          <t>project_desc</t>
        </is>
      </c>
      <c r="D8" s="49" t="inlineStr">
        <is>
          <t>Project Description</t>
        </is>
      </c>
      <c r="E8" s="49" t="inlineStr">
        <is>
          <t>Fox and Finch Apts @ 525 Boren</t>
        </is>
      </c>
      <c r="F8" s="49" t="inlineStr">
        <is>
          <t>text</t>
        </is>
      </c>
      <c r="G8" s="49" t="inlineStr">
        <is>
          <t>Benchmark KPIs</t>
        </is>
      </c>
      <c r="H8" s="94" t="inlineStr">
        <is>
          <t>Verified</t>
        </is>
      </c>
      <c r="I8" s="49" t="inlineStr">
        <is>
          <t>2026 Job Detail Report.pdf (Sage Timberline export, printed 04/03/2026 1:51PM, 106 pages)</t>
        </is>
      </c>
    </row>
    <row r="9">
      <c r="B9" s="82" t="n">
        <v>4</v>
      </c>
      <c r="C9" s="51" t="inlineStr">
        <is>
          <t>general_contractor</t>
        </is>
      </c>
      <c r="D9" s="51" t="inlineStr">
        <is>
          <t>GC</t>
        </is>
      </c>
      <c r="E9" s="51" t="inlineStr">
        <is>
          <t>Synergy Construction, Inc.</t>
        </is>
      </c>
      <c r="F9" s="51" t="inlineStr">
        <is>
          <t>text</t>
        </is>
      </c>
      <c r="G9" s="51" t="inlineStr">
        <is>
          <t>Benchmark KPIs</t>
        </is>
      </c>
      <c r="H9" s="94" t="inlineStr">
        <is>
          <t>Verified</t>
        </is>
      </c>
      <c r="I9" s="51" t="inlineStr">
        <is>
          <t>2026 Job Detail Report.pdf (Sage Timberline export, printed 04/03/2026 1:51PM, 106 pages)</t>
        </is>
      </c>
      <c r="J9" s="54" t="n"/>
    </row>
    <row r="10">
      <c r="B10" s="81" t="n">
        <v>5</v>
      </c>
      <c r="C10" s="49" t="inlineStr">
        <is>
          <t>customer_code</t>
        </is>
      </c>
      <c r="D10" s="49" t="inlineStr">
        <is>
          <t>Customer Code</t>
        </is>
      </c>
      <c r="E10" s="49" t="inlineStr">
        <is>
          <t>2026SC</t>
        </is>
      </c>
      <c r="F10" s="49" t="inlineStr">
        <is>
          <t>id</t>
        </is>
      </c>
      <c r="G10" s="49" t="inlineStr">
        <is>
          <t>Overview</t>
        </is>
      </c>
      <c r="H10" s="94" t="inlineStr">
        <is>
          <t>Verified</t>
        </is>
      </c>
      <c r="I10" s="49" t="inlineStr">
        <is>
          <t>2026 Job Detail Report.pdf (Sage Timberline export, printed 04/03/2026 1:51PM, 106 pages)</t>
        </is>
      </c>
    </row>
    <row r="11">
      <c r="B11" s="82" t="n">
        <v>6</v>
      </c>
      <c r="C11" s="51" t="inlineStr">
        <is>
          <t>location</t>
        </is>
      </c>
      <c r="D11" s="51" t="inlineStr">
        <is>
          <t>Location</t>
        </is>
      </c>
      <c r="E11" s="51" t="inlineStr">
        <is>
          <t>525 Boren Ave, Seattle</t>
        </is>
      </c>
      <c r="F11" s="51" t="inlineStr">
        <is>
          <t>text</t>
        </is>
      </c>
      <c r="G11" s="51" t="inlineStr">
        <is>
          <t>Benchmark KPIs</t>
        </is>
      </c>
      <c r="H11" s="95" t="inlineStr">
        <is>
          <t>Medium</t>
        </is>
      </c>
      <c r="I11" s="51" t="inlineStr">
        <is>
          <t>2026 Job Detail Report.pdf (Sage Timberline export, printed 04/03/2026 1:51PM, 106 pages)</t>
        </is>
      </c>
      <c r="J11" s="54" t="n"/>
    </row>
    <row r="12">
      <c r="B12" s="81" t="n">
        <v>7</v>
      </c>
      <c r="C12" s="49" t="inlineStr">
        <is>
          <t>project_type</t>
        </is>
      </c>
      <c r="D12" s="49" t="inlineStr">
        <is>
          <t>Project Type</t>
        </is>
      </c>
      <c r="E12" s="49" t="inlineStr">
        <is>
          <t>Multifamily Plumbing (New Construction)</t>
        </is>
      </c>
      <c r="F12" s="49" t="inlineStr">
        <is>
          <t>text</t>
        </is>
      </c>
      <c r="G12" s="49" t="inlineStr">
        <is>
          <t>Benchmark KPIs</t>
        </is>
      </c>
      <c r="H12" s="95" t="inlineStr">
        <is>
          <t>Medium</t>
        </is>
      </c>
      <c r="I12" s="87" t="inlineStr">
        <is>
          <t>Inferred</t>
        </is>
      </c>
    </row>
    <row r="13">
      <c r="B13" s="82" t="n">
        <v>8</v>
      </c>
      <c r="C13" s="51" t="inlineStr">
        <is>
          <t>start_date</t>
        </is>
      </c>
      <c r="D13" s="51" t="inlineStr">
        <is>
          <t>Work Start</t>
        </is>
      </c>
      <c r="E13" s="51" t="inlineStr">
        <is>
          <t>2016-03-09</t>
        </is>
      </c>
      <c r="F13" s="51" t="inlineStr">
        <is>
          <t>date</t>
        </is>
      </c>
      <c r="G13" s="51" t="inlineStr">
        <is>
          <t>Benchmark KPIs</t>
        </is>
      </c>
      <c r="H13" s="94" t="inlineStr">
        <is>
          <t>Verified</t>
        </is>
      </c>
      <c r="I13" s="51" t="inlineStr">
        <is>
          <t>2026 Job Detail Report.pdf (Sage Timberline export, printed 04/03/2026 1:51PM, 106 pages)</t>
        </is>
      </c>
      <c r="J13" s="54" t="n"/>
    </row>
    <row r="14">
      <c r="B14" s="81" t="n">
        <v>9</v>
      </c>
      <c r="C14" s="49" t="inlineStr">
        <is>
          <t>end_date</t>
        </is>
      </c>
      <c r="D14" s="49" t="inlineStr">
        <is>
          <t>Work End</t>
        </is>
      </c>
      <c r="E14" s="49" t="inlineStr">
        <is>
          <t>2017-07-24</t>
        </is>
      </c>
      <c r="F14" s="49" t="inlineStr">
        <is>
          <t>date</t>
        </is>
      </c>
      <c r="G14" s="49" t="inlineStr">
        <is>
          <t>Benchmark KPIs</t>
        </is>
      </c>
      <c r="H14" s="94" t="inlineStr">
        <is>
          <t>Verified</t>
        </is>
      </c>
      <c r="I14" s="49" t="inlineStr">
        <is>
          <t>2026 Job Detail Report.pdf (Sage Timberline export, printed 04/03/2026 1:51PM, 106 pages)</t>
        </is>
      </c>
    </row>
    <row r="15">
      <c r="B15" s="82" t="n">
        <v>10</v>
      </c>
      <c r="C15" s="51" t="inlineStr">
        <is>
          <t>duration_months</t>
        </is>
      </c>
      <c r="D15" s="51" t="inlineStr">
        <is>
          <t>Duration (months)</t>
        </is>
      </c>
      <c r="E15" s="73" t="n">
        <v>16.5</v>
      </c>
      <c r="F15" s="51" t="inlineStr">
        <is>
          <t>months</t>
        </is>
      </c>
      <c r="G15" s="51" t="inlineStr">
        <is>
          <t>Benchmark KPIs</t>
        </is>
      </c>
      <c r="H15" s="94" t="inlineStr">
        <is>
          <t>Verified</t>
        </is>
      </c>
      <c r="I15" s="87" t="inlineStr">
        <is>
          <t>Derived</t>
        </is>
      </c>
      <c r="J15" s="54" t="n"/>
    </row>
    <row r="16">
      <c r="B16" s="81" t="n">
        <v>11</v>
      </c>
      <c r="C16" s="49" t="inlineStr">
        <is>
          <t>unit_count</t>
        </is>
      </c>
      <c r="D16" s="49" t="inlineStr">
        <is>
          <t>Unit Count</t>
        </is>
      </c>
      <c r="E16" s="92" t="inlineStr">
        <is>
          <t>NOT FOUND</t>
        </is>
      </c>
      <c r="F16" s="49" t="inlineStr">
        <is>
          <t>units</t>
        </is>
      </c>
      <c r="G16" s="49" t="inlineStr">
        <is>
          <t>Benchmark KPIs</t>
        </is>
      </c>
      <c r="H16" s="96" t="inlineStr">
        <is>
          <t>Low</t>
        </is>
      </c>
      <c r="I16" s="49" t="inlineStr">
        <is>
          <t>No plans</t>
        </is>
      </c>
    </row>
    <row r="17">
      <c r="B17" s="82" t="n">
        <v>12</v>
      </c>
      <c r="C17" s="51" t="inlineStr">
        <is>
          <t>fixture_count</t>
        </is>
      </c>
      <c r="D17" s="51" t="inlineStr">
        <is>
          <t>Fixture Count</t>
        </is>
      </c>
      <c r="E17" s="92" t="inlineStr">
        <is>
          <t>NOT FOUND</t>
        </is>
      </c>
      <c r="F17" s="51" t="inlineStr">
        <is>
          <t>count</t>
        </is>
      </c>
      <c r="G17" s="51" t="inlineStr">
        <is>
          <t>Benchmark KPIs</t>
        </is>
      </c>
      <c r="H17" s="96" t="inlineStr">
        <is>
          <t>Low</t>
        </is>
      </c>
      <c r="I17" s="51" t="inlineStr">
        <is>
          <t>No plans</t>
        </is>
      </c>
      <c r="J17" s="54" t="n"/>
    </row>
    <row r="18">
      <c r="B18" s="81" t="n">
        <v>13</v>
      </c>
      <c r="C18" s="49" t="inlineStr">
        <is>
          <t>contract_original</t>
        </is>
      </c>
      <c r="D18" s="49" t="inlineStr">
        <is>
          <t>Contract Original</t>
        </is>
      </c>
      <c r="E18" s="56" t="n">
        <v>825370</v>
      </c>
      <c r="F18" s="49" t="inlineStr">
        <is>
          <t>USD</t>
        </is>
      </c>
      <c r="G18" s="49" t="inlineStr">
        <is>
          <t>Benchmark KPIs</t>
        </is>
      </c>
      <c r="H18" s="94" t="inlineStr">
        <is>
          <t>Verified</t>
        </is>
      </c>
      <c r="I18" s="49" t="inlineStr">
        <is>
          <t>2026 Job Detail Report.pdf (Sage Timberline export, printed 04/03/2026 1:51PM, 106 pages)</t>
        </is>
      </c>
    </row>
    <row r="19">
      <c r="B19" s="82" t="n">
        <v>14</v>
      </c>
      <c r="C19" s="51" t="inlineStr">
        <is>
          <t>contract_final</t>
        </is>
      </c>
      <c r="D19" s="51" t="inlineStr">
        <is>
          <t>Contract Final</t>
        </is>
      </c>
      <c r="E19" s="77" t="n">
        <v>830667</v>
      </c>
      <c r="F19" s="51" t="inlineStr">
        <is>
          <t>USD</t>
        </is>
      </c>
      <c r="G19" s="51" t="inlineStr">
        <is>
          <t>Benchmark KPIs</t>
        </is>
      </c>
      <c r="H19" s="94" t="inlineStr">
        <is>
          <t>Verified</t>
        </is>
      </c>
      <c r="I19" s="51" t="inlineStr">
        <is>
          <t>2026 Job Detail Report.pdf (Sage Timberline export, printed 04/03/2026 1:51PM, 106 pages)</t>
        </is>
      </c>
      <c r="J19" s="54" t="n"/>
    </row>
    <row r="20">
      <c r="B20" s="81" t="n">
        <v>15</v>
      </c>
      <c r="C20" s="49" t="inlineStr">
        <is>
          <t>change_orders</t>
        </is>
      </c>
      <c r="D20" s="49" t="inlineStr">
        <is>
          <t>Change Orders $</t>
        </is>
      </c>
      <c r="E20" s="56" t="n">
        <v>5297</v>
      </c>
      <c r="F20" s="49" t="inlineStr">
        <is>
          <t>USD</t>
        </is>
      </c>
      <c r="G20" s="49" t="inlineStr">
        <is>
          <t>Benchmark KPIs</t>
        </is>
      </c>
      <c r="H20" s="95" t="inlineStr">
        <is>
          <t>Medium</t>
        </is>
      </c>
      <c r="I20" s="87" t="inlineStr">
        <is>
          <t>Derived</t>
        </is>
      </c>
    </row>
    <row r="21">
      <c r="B21" s="82" t="n">
        <v>16</v>
      </c>
      <c r="C21" s="51" t="inlineStr">
        <is>
          <t>co_pct</t>
        </is>
      </c>
      <c r="D21" s="51" t="inlineStr">
        <is>
          <t>CO % of Contract</t>
        </is>
      </c>
      <c r="E21" s="100" t="n">
        <v>0.006417727806922955</v>
      </c>
      <c r="F21" s="51" t="inlineStr">
        <is>
          <t>%</t>
        </is>
      </c>
      <c r="G21" s="51" t="inlineStr">
        <is>
          <t>Benchmark KPIs</t>
        </is>
      </c>
      <c r="H21" s="95" t="inlineStr">
        <is>
          <t>Medium</t>
        </is>
      </c>
      <c r="I21" s="87" t="inlineStr">
        <is>
          <t>Derived</t>
        </is>
      </c>
      <c r="J21" s="54" t="n"/>
    </row>
    <row r="22">
      <c r="B22" s="81" t="n">
        <v>17</v>
      </c>
      <c r="C22" s="49" t="inlineStr">
        <is>
          <t>revenue</t>
        </is>
      </c>
      <c r="D22" s="49" t="inlineStr">
        <is>
          <t>Revenue</t>
        </is>
      </c>
      <c r="E22" s="56" t="n">
        <v>830667</v>
      </c>
      <c r="F22" s="49" t="inlineStr">
        <is>
          <t>USD</t>
        </is>
      </c>
      <c r="G22" s="49" t="inlineStr">
        <is>
          <t>Benchmark KPIs</t>
        </is>
      </c>
      <c r="H22" s="94" t="inlineStr">
        <is>
          <t>Verified</t>
        </is>
      </c>
      <c r="I22" s="49" t="inlineStr">
        <is>
          <t>2026 Job Detail Report.pdf (Sage Timberline export, printed 04/03/2026 1:51PM, 106 pages)</t>
        </is>
      </c>
    </row>
    <row r="23">
      <c r="B23" s="82" t="n">
        <v>18</v>
      </c>
      <c r="C23" s="51" t="inlineStr">
        <is>
          <t>direct_cost</t>
        </is>
      </c>
      <c r="D23" s="51" t="inlineStr">
        <is>
          <t>Direct Cost</t>
        </is>
      </c>
      <c r="E23" s="77" t="n">
        <v>547967.0600000001</v>
      </c>
      <c r="F23" s="51" t="inlineStr">
        <is>
          <t>USD</t>
        </is>
      </c>
      <c r="G23" s="51" t="inlineStr">
        <is>
          <t>Benchmark KPIs</t>
        </is>
      </c>
      <c r="H23" s="94" t="inlineStr">
        <is>
          <t>Verified</t>
        </is>
      </c>
      <c r="I23" s="51" t="inlineStr">
        <is>
          <t>2026 Job Detail Report.pdf (Sage Timberline export, printed 04/03/2026 1:51PM, 106 pages)</t>
        </is>
      </c>
      <c r="J23" s="54" t="n"/>
    </row>
    <row r="24">
      <c r="B24" s="81" t="n">
        <v>19</v>
      </c>
      <c r="C24" s="49" t="inlineStr">
        <is>
          <t>net_profit</t>
        </is>
      </c>
      <c r="D24" s="49" t="inlineStr">
        <is>
          <t>Net Profit</t>
        </is>
      </c>
      <c r="E24" s="56" t="n">
        <v>282699.9399999999</v>
      </c>
      <c r="F24" s="49" t="inlineStr">
        <is>
          <t>USD</t>
        </is>
      </c>
      <c r="G24" s="49" t="inlineStr">
        <is>
          <t>Benchmark KPIs</t>
        </is>
      </c>
      <c r="H24" s="94" t="inlineStr">
        <is>
          <t>Verified</t>
        </is>
      </c>
      <c r="I24" s="49" t="inlineStr">
        <is>
          <t>2026 Job Detail Report.pdf (Sage Timberline export, printed 04/03/2026 1:51PM, 106 pages)</t>
        </is>
      </c>
    </row>
    <row r="25">
      <c r="B25" s="82" t="n">
        <v>20</v>
      </c>
      <c r="C25" s="51" t="inlineStr">
        <is>
          <t>gross_margin</t>
        </is>
      </c>
      <c r="D25" s="51" t="inlineStr">
        <is>
          <t>Gross Margin</t>
        </is>
      </c>
      <c r="E25" s="100" t="n">
        <v>0.3403288441698056</v>
      </c>
      <c r="F25" s="51" t="inlineStr">
        <is>
          <t>%</t>
        </is>
      </c>
      <c r="G25" s="51" t="inlineStr">
        <is>
          <t>Benchmark KPIs</t>
        </is>
      </c>
      <c r="H25" s="94" t="inlineStr">
        <is>
          <t>Verified</t>
        </is>
      </c>
      <c r="I25" s="87" t="inlineStr">
        <is>
          <t>Derived</t>
        </is>
      </c>
      <c r="J25" s="54" t="n"/>
    </row>
    <row r="26">
      <c r="B26" s="81" t="n">
        <v>21</v>
      </c>
      <c r="C26" s="49" t="inlineStr">
        <is>
          <t>retainage</t>
        </is>
      </c>
      <c r="D26" s="49" t="inlineStr">
        <is>
          <t>Retainage Outstanding</t>
        </is>
      </c>
      <c r="E26" s="56" t="n">
        <v>41533.35</v>
      </c>
      <c r="F26" s="49" t="inlineStr">
        <is>
          <t>USD</t>
        </is>
      </c>
      <c r="G26" s="49" t="inlineStr">
        <is>
          <t>Benchmark KPIs</t>
        </is>
      </c>
      <c r="H26" s="94" t="inlineStr">
        <is>
          <t>Verified</t>
        </is>
      </c>
      <c r="I26" s="49" t="inlineStr">
        <is>
          <t>2026 Job Detail Report.pdf (Sage Timberline export, printed 04/03/2026 1:51PM, 106 pages)</t>
        </is>
      </c>
    </row>
    <row r="27">
      <c r="B27" s="82" t="n">
        <v>22</v>
      </c>
      <c r="C27" s="51" t="inlineStr">
        <is>
          <t>retainage_pct</t>
        </is>
      </c>
      <c r="D27" s="51" t="inlineStr">
        <is>
          <t>Retainage % of Revenue</t>
        </is>
      </c>
      <c r="E27" s="100" t="n">
        <v>0.05</v>
      </c>
      <c r="F27" s="51" t="inlineStr">
        <is>
          <t>%</t>
        </is>
      </c>
      <c r="G27" s="51" t="inlineStr">
        <is>
          <t>Benchmark KPIs</t>
        </is>
      </c>
      <c r="H27" s="94" t="inlineStr">
        <is>
          <t>Verified</t>
        </is>
      </c>
      <c r="I27" s="87" t="inlineStr">
        <is>
          <t>Derived</t>
        </is>
      </c>
      <c r="J27" s="54" t="n"/>
    </row>
    <row r="28">
      <c r="B28" s="81" t="n">
        <v>23</v>
      </c>
      <c r="C28" s="49" t="inlineStr">
        <is>
          <t>labor_cost</t>
        </is>
      </c>
      <c r="D28" s="49" t="inlineStr">
        <is>
          <t>Labor Cost</t>
        </is>
      </c>
      <c r="E28" s="56" t="n">
        <v>210715.5</v>
      </c>
      <c r="F28" s="49" t="inlineStr">
        <is>
          <t>USD</t>
        </is>
      </c>
      <c r="G28" s="49" t="inlineStr">
        <is>
          <t>Benchmark KPIs</t>
        </is>
      </c>
      <c r="H28" s="94" t="inlineStr">
        <is>
          <t>Verified</t>
        </is>
      </c>
      <c r="I28" s="49" t="inlineStr">
        <is>
          <t>2026 Job Detail Report.pdf (Sage Timberline export, printed 04/03/2026 1:51PM, 106 pages)</t>
        </is>
      </c>
    </row>
    <row r="29">
      <c r="B29" s="82" t="n">
        <v>24</v>
      </c>
      <c r="C29" s="51" t="inlineStr">
        <is>
          <t>material_cost</t>
        </is>
      </c>
      <c r="D29" s="51" t="inlineStr">
        <is>
          <t>Material Cost</t>
        </is>
      </c>
      <c r="E29" s="77" t="n">
        <v>194870.36</v>
      </c>
      <c r="F29" s="51" t="inlineStr">
        <is>
          <t>USD</t>
        </is>
      </c>
      <c r="G29" s="51" t="inlineStr">
        <is>
          <t>Benchmark KPIs</t>
        </is>
      </c>
      <c r="H29" s="94" t="inlineStr">
        <is>
          <t>Verified</t>
        </is>
      </c>
      <c r="I29" s="51" t="inlineStr">
        <is>
          <t>2026 Job Detail Report.pdf (Sage Timberline export, printed 04/03/2026 1:51PM, 106 pages)</t>
        </is>
      </c>
      <c r="J29" s="54" t="n"/>
    </row>
    <row r="30">
      <c r="B30" s="81" t="n">
        <v>25</v>
      </c>
      <c r="C30" s="49" t="inlineStr">
        <is>
          <t>overhead_cost</t>
        </is>
      </c>
      <c r="D30" s="49" t="inlineStr">
        <is>
          <t>Subcon+OH Cost</t>
        </is>
      </c>
      <c r="E30" s="56" t="n">
        <v>32877.82</v>
      </c>
      <c r="F30" s="49" t="inlineStr">
        <is>
          <t>USD</t>
        </is>
      </c>
      <c r="G30" s="49" t="inlineStr">
        <is>
          <t>Benchmark KPIs</t>
        </is>
      </c>
      <c r="H30" s="94" t="inlineStr">
        <is>
          <t>Verified</t>
        </is>
      </c>
      <c r="I30" s="49" t="inlineStr">
        <is>
          <t>2026 Job Detail Report.pdf (Sage Timberline export, printed 04/03/2026 1:51PM, 106 pages)</t>
        </is>
      </c>
    </row>
    <row r="31">
      <c r="B31" s="82" t="n">
        <v>26</v>
      </c>
      <c r="C31" s="51" t="inlineStr">
        <is>
          <t>burden_cost</t>
        </is>
      </c>
      <c r="D31" s="51" t="inlineStr">
        <is>
          <t>Burden Cost</t>
        </is>
      </c>
      <c r="E31" s="77" t="n">
        <v>93383.48</v>
      </c>
      <c r="F31" s="51" t="inlineStr">
        <is>
          <t>USD</t>
        </is>
      </c>
      <c r="G31" s="51" t="inlineStr">
        <is>
          <t>Benchmark KPIs</t>
        </is>
      </c>
      <c r="H31" s="94" t="inlineStr">
        <is>
          <t>Verified</t>
        </is>
      </c>
      <c r="I31" s="51" t="inlineStr">
        <is>
          <t>2026 Job Detail Report.pdf (Sage Timberline export, printed 04/03/2026 1:51PM, 106 pages)</t>
        </is>
      </c>
      <c r="J31" s="54" t="n"/>
    </row>
    <row r="32">
      <c r="B32" s="81" t="n">
        <v>27</v>
      </c>
      <c r="C32" s="49" t="inlineStr">
        <is>
          <t>tax_cost</t>
        </is>
      </c>
      <c r="D32" s="49" t="inlineStr">
        <is>
          <t>Tax Cost</t>
        </is>
      </c>
      <c r="E32" s="56" t="n">
        <v>16119.9</v>
      </c>
      <c r="F32" s="49" t="inlineStr">
        <is>
          <t>USD</t>
        </is>
      </c>
      <c r="G32" s="49" t="inlineStr">
        <is>
          <t>Benchmark KPIs</t>
        </is>
      </c>
      <c r="H32" s="94" t="inlineStr">
        <is>
          <t>Verified</t>
        </is>
      </c>
      <c r="I32" s="49" t="inlineStr">
        <is>
          <t>2026 Job Detail Report.pdf (Sage Timberline export, printed 04/03/2026 1:51PM, 106 pages)</t>
        </is>
      </c>
    </row>
    <row r="33">
      <c r="B33" s="82" t="n">
        <v>28</v>
      </c>
      <c r="C33" s="51" t="inlineStr">
        <is>
          <t>total_hours</t>
        </is>
      </c>
      <c r="D33" s="51" t="inlineStr">
        <is>
          <t>Total Labor Hours</t>
        </is>
      </c>
      <c r="E33" s="73" t="n">
        <v>8541.5</v>
      </c>
      <c r="F33" s="51" t="inlineStr">
        <is>
          <t>hours</t>
        </is>
      </c>
      <c r="G33" s="51" t="inlineStr">
        <is>
          <t>Benchmark KPIs</t>
        </is>
      </c>
      <c r="H33" s="94" t="inlineStr">
        <is>
          <t>Verified</t>
        </is>
      </c>
      <c r="I33" s="51" t="inlineStr">
        <is>
          <t>2026 Job Detail Report.pdf (Sage Timberline export, printed 04/03/2026 1:51PM, 106 pages)</t>
        </is>
      </c>
      <c r="J33" s="54" t="n"/>
    </row>
    <row r="34">
      <c r="B34" s="81" t="n">
        <v>29</v>
      </c>
      <c r="C34" s="49" t="inlineStr">
        <is>
          <t>total_workers</t>
        </is>
      </c>
      <c r="D34" s="49" t="inlineStr">
        <is>
          <t>Total Workers</t>
        </is>
      </c>
      <c r="E34" s="81" t="n">
        <v>25</v>
      </c>
      <c r="F34" s="49" t="inlineStr">
        <is>
          <t>count</t>
        </is>
      </c>
      <c r="G34" s="49" t="inlineStr">
        <is>
          <t>Benchmark KPIs</t>
        </is>
      </c>
      <c r="H34" s="94" t="inlineStr">
        <is>
          <t>Verified</t>
        </is>
      </c>
      <c r="I34" s="49" t="inlineStr">
        <is>
          <t>2026 Job Detail Report.pdf (Sage Timberline export, printed 04/03/2026 1:51PM, 106 pages)</t>
        </is>
      </c>
    </row>
    <row r="35">
      <c r="B35" s="82" t="n">
        <v>30</v>
      </c>
      <c r="C35" s="51" t="inlineStr">
        <is>
          <t>blended_gross_wage</t>
        </is>
      </c>
      <c r="D35" s="51" t="inlineStr">
        <is>
          <t>Blended Gross Wage</t>
        </is>
      </c>
      <c r="E35" s="77" t="n">
        <v>24.66961306562079</v>
      </c>
      <c r="F35" s="51" t="inlineStr">
        <is>
          <t>USD/hr</t>
        </is>
      </c>
      <c r="G35" s="51" t="inlineStr">
        <is>
          <t>Benchmark KPIs</t>
        </is>
      </c>
      <c r="H35" s="94" t="inlineStr">
        <is>
          <t>Verified</t>
        </is>
      </c>
      <c r="I35" s="87" t="inlineStr">
        <is>
          <t>Derived</t>
        </is>
      </c>
      <c r="J35" s="54" t="n"/>
    </row>
    <row r="36">
      <c r="B36" s="81" t="n">
        <v>31</v>
      </c>
      <c r="C36" s="49" t="inlineStr">
        <is>
          <t>fully_loaded_wage</t>
        </is>
      </c>
      <c r="D36" s="49" t="inlineStr">
        <is>
          <t>Fully-Loaded Wage</t>
        </is>
      </c>
      <c r="E36" s="56" t="n">
        <v>37.48977111748522</v>
      </c>
      <c r="F36" s="49" t="inlineStr">
        <is>
          <t>USD/hr</t>
        </is>
      </c>
      <c r="G36" s="49" t="inlineStr">
        <is>
          <t>Benchmark KPIs</t>
        </is>
      </c>
      <c r="H36" s="94" t="inlineStr">
        <is>
          <t>Verified</t>
        </is>
      </c>
      <c r="I36" s="87" t="inlineStr">
        <is>
          <t>Derived</t>
        </is>
      </c>
    </row>
    <row r="37">
      <c r="B37" s="82" t="n">
        <v>32</v>
      </c>
      <c r="C37" s="51" t="inlineStr">
        <is>
          <t>burden_multiplier</t>
        </is>
      </c>
      <c r="D37" s="51" t="inlineStr">
        <is>
          <t>Burden Multiplier</t>
        </is>
      </c>
      <c r="E37" s="104" t="n">
        <v>1.519674062895231</v>
      </c>
      <c r="F37" s="51" t="inlineStr">
        <is>
          <t>x</t>
        </is>
      </c>
      <c r="G37" s="51" t="inlineStr">
        <is>
          <t>Benchmark KPIs</t>
        </is>
      </c>
      <c r="H37" s="94" t="inlineStr">
        <is>
          <t>Verified</t>
        </is>
      </c>
      <c r="I37" s="87" t="inlineStr">
        <is>
          <t>Derived</t>
        </is>
      </c>
      <c r="J37" s="54" t="n"/>
    </row>
    <row r="38">
      <c r="B38" s="81" t="n">
        <v>33</v>
      </c>
      <c r="C38" s="49" t="inlineStr">
        <is>
          <t>revenue_per_hour</t>
        </is>
      </c>
      <c r="D38" s="49" t="inlineStr">
        <is>
          <t>Revenue per Hour</t>
        </is>
      </c>
      <c r="E38" s="56" t="n">
        <v>97.25071708716267</v>
      </c>
      <c r="F38" s="49" t="inlineStr">
        <is>
          <t>USD/hr</t>
        </is>
      </c>
      <c r="G38" s="49" t="inlineStr">
        <is>
          <t>Benchmark KPIs</t>
        </is>
      </c>
      <c r="H38" s="94" t="inlineStr">
        <is>
          <t>Verified</t>
        </is>
      </c>
      <c r="I38" s="87" t="inlineStr">
        <is>
          <t>Derived</t>
        </is>
      </c>
    </row>
    <row r="39">
      <c r="B39" s="82" t="n">
        <v>34</v>
      </c>
      <c r="C39" s="51" t="inlineStr">
        <is>
          <t>profit_per_hour</t>
        </is>
      </c>
      <c r="D39" s="51" t="inlineStr">
        <is>
          <t>Profit per Hour</t>
        </is>
      </c>
      <c r="E39" s="77" t="n">
        <v>33.09722414095884</v>
      </c>
      <c r="F39" s="51" t="inlineStr">
        <is>
          <t>USD/hr</t>
        </is>
      </c>
      <c r="G39" s="51" t="inlineStr">
        <is>
          <t>Benchmark KPIs</t>
        </is>
      </c>
      <c r="H39" s="94" t="inlineStr">
        <is>
          <t>Verified</t>
        </is>
      </c>
      <c r="I39" s="87" t="inlineStr">
        <is>
          <t>Derived</t>
        </is>
      </c>
      <c r="J39" s="54" t="n"/>
    </row>
    <row r="40">
      <c r="B40" s="81" t="n">
        <v>35</v>
      </c>
      <c r="C40" s="49" t="inlineStr">
        <is>
          <t>labor_pct_revenue</t>
        </is>
      </c>
      <c r="D40" s="49" t="inlineStr">
        <is>
          <t>Labor % of Revenue</t>
        </is>
      </c>
      <c r="E40" s="97" t="n">
        <v>0.2536702433104963</v>
      </c>
      <c r="F40" s="49" t="inlineStr">
        <is>
          <t>%</t>
        </is>
      </c>
      <c r="G40" s="49" t="inlineStr">
        <is>
          <t>Benchmark KPIs</t>
        </is>
      </c>
      <c r="H40" s="94" t="inlineStr">
        <is>
          <t>Verified</t>
        </is>
      </c>
      <c r="I40" s="87" t="inlineStr">
        <is>
          <t>Derived</t>
        </is>
      </c>
    </row>
    <row r="41">
      <c r="B41" s="82" t="n">
        <v>36</v>
      </c>
      <c r="C41" s="51" t="inlineStr">
        <is>
          <t>material_pct_revenue</t>
        </is>
      </c>
      <c r="D41" s="51" t="inlineStr">
        <is>
          <t>Material % of Revenue</t>
        </is>
      </c>
      <c r="E41" s="100" t="n">
        <v>0.2345950422973345</v>
      </c>
      <c r="F41" s="51" t="inlineStr">
        <is>
          <t>%</t>
        </is>
      </c>
      <c r="G41" s="51" t="inlineStr">
        <is>
          <t>Benchmark KPIs</t>
        </is>
      </c>
      <c r="H41" s="94" t="inlineStr">
        <is>
          <t>Verified</t>
        </is>
      </c>
      <c r="I41" s="87" t="inlineStr">
        <is>
          <t>Derived</t>
        </is>
      </c>
      <c r="J41" s="54" t="n"/>
    </row>
    <row r="42">
      <c r="B42" s="81" t="n">
        <v>37</v>
      </c>
      <c r="C42" s="49" t="inlineStr">
        <is>
          <t>total_vendors</t>
        </is>
      </c>
      <c r="D42" s="49" t="inlineStr">
        <is>
          <t>Total Vendors (AP)</t>
        </is>
      </c>
      <c r="E42" s="81" t="n">
        <v>14</v>
      </c>
      <c r="F42" s="49" t="inlineStr">
        <is>
          <t>count</t>
        </is>
      </c>
      <c r="G42" s="49" t="inlineStr">
        <is>
          <t>Vendors</t>
        </is>
      </c>
      <c r="H42" s="94" t="inlineStr">
        <is>
          <t>Verified</t>
        </is>
      </c>
      <c r="I42" s="49" t="inlineStr">
        <is>
          <t>2026 Job Detail Report.pdf (Sage Timberline export, printed 04/03/2026 1:51PM, 106 pages)</t>
        </is>
      </c>
    </row>
    <row r="43">
      <c r="B43" s="82" t="n">
        <v>38</v>
      </c>
      <c r="C43" s="51" t="inlineStr">
        <is>
          <t>total_invoices</t>
        </is>
      </c>
      <c r="D43" s="51" t="inlineStr">
        <is>
          <t>Total Invoices (AR)</t>
        </is>
      </c>
      <c r="E43" s="82" t="n">
        <v>21</v>
      </c>
      <c r="F43" s="51" t="inlineStr">
        <is>
          <t>count</t>
        </is>
      </c>
      <c r="G43" s="51" t="inlineStr">
        <is>
          <t>Billing &amp; SOV</t>
        </is>
      </c>
      <c r="H43" s="94" t="inlineStr">
        <is>
          <t>Verified</t>
        </is>
      </c>
      <c r="I43" s="51" t="inlineStr">
        <is>
          <t>2026 Job Detail Report.pdf (Sage Timberline export, printed 04/03/2026 1:51PM, 106 pages)</t>
        </is>
      </c>
      <c r="J43" s="54" t="n"/>
    </row>
    <row r="44">
      <c r="B44" s="81" t="n">
        <v>39</v>
      </c>
      <c r="C44" s="49" t="inlineStr">
        <is>
          <t>rfi_count</t>
        </is>
      </c>
      <c r="D44" s="49" t="inlineStr">
        <is>
          <t>RFI Count</t>
        </is>
      </c>
      <c r="E44" s="92" t="inlineStr">
        <is>
          <t>NOT FOUND</t>
        </is>
      </c>
      <c r="F44" s="49" t="inlineStr">
        <is>
          <t>count</t>
        </is>
      </c>
      <c r="G44" s="49" t="inlineStr">
        <is>
          <t>Predictive Signals</t>
        </is>
      </c>
      <c r="H44" s="96" t="inlineStr">
        <is>
          <t>Low</t>
        </is>
      </c>
      <c r="I44" s="49" t="inlineStr">
        <is>
          <t>No RFI folder</t>
        </is>
      </c>
    </row>
    <row r="45">
      <c r="B45" s="82" t="n">
        <v>40</v>
      </c>
      <c r="C45" s="51" t="inlineStr">
        <is>
          <t>submittal_count</t>
        </is>
      </c>
      <c r="D45" s="51" t="inlineStr">
        <is>
          <t>Submittal Count</t>
        </is>
      </c>
      <c r="E45" s="92" t="inlineStr">
        <is>
          <t>NOT FOUND</t>
        </is>
      </c>
      <c r="F45" s="51" t="inlineStr">
        <is>
          <t>count</t>
        </is>
      </c>
      <c r="G45" s="51" t="inlineStr">
        <is>
          <t>Predictive Signals</t>
        </is>
      </c>
      <c r="H45" s="96" t="inlineStr">
        <is>
          <t>Low</t>
        </is>
      </c>
      <c r="I45" s="51" t="inlineStr">
        <is>
          <t>No submittal folder</t>
        </is>
      </c>
      <c r="J45" s="54" t="n"/>
    </row>
    <row r="46">
      <c r="B46" s="81" t="n">
        <v>41</v>
      </c>
      <c r="C46" s="49" t="inlineStr">
        <is>
          <t>co_doc_count</t>
        </is>
      </c>
      <c r="D46" s="49" t="inlineStr">
        <is>
          <t>CO Document Count</t>
        </is>
      </c>
      <c r="E46" s="81" t="n">
        <v>0</v>
      </c>
      <c r="F46" s="49" t="inlineStr">
        <is>
          <t>count</t>
        </is>
      </c>
      <c r="G46" s="49" t="inlineStr">
        <is>
          <t>Change Log</t>
        </is>
      </c>
      <c r="H46" s="94" t="inlineStr">
        <is>
          <t>Verified</t>
        </is>
      </c>
      <c r="I46" s="49" t="inlineStr">
        <is>
          <t>No CO folder</t>
        </is>
      </c>
    </row>
    <row r="47">
      <c r="B47" s="82" t="n">
        <v>42</v>
      </c>
      <c r="C47" s="51" t="inlineStr">
        <is>
          <t>top_worker_hours_share</t>
        </is>
      </c>
      <c r="D47" s="51" t="inlineStr">
        <is>
          <t>Top Worker Hours Share</t>
        </is>
      </c>
      <c r="E47" s="100" t="n">
        <v>0.2105016683252356</v>
      </c>
      <c r="F47" s="51" t="inlineStr">
        <is>
          <t>%</t>
        </is>
      </c>
      <c r="G47" s="51" t="inlineStr">
        <is>
          <t>Crew Analytics</t>
        </is>
      </c>
      <c r="H47" s="94" t="inlineStr">
        <is>
          <t>Verified</t>
        </is>
      </c>
      <c r="I47" s="87" t="inlineStr">
        <is>
          <t>Derived</t>
        </is>
      </c>
      <c r="J47" s="54" t="n"/>
    </row>
    <row r="48">
      <c r="B48" s="81" t="n">
        <v>43</v>
      </c>
      <c r="C48" s="49" t="inlineStr">
        <is>
          <t>top5_worker_hours_share</t>
        </is>
      </c>
      <c r="D48" s="49" t="inlineStr">
        <is>
          <t>Top 5 Worker Hours Share</t>
        </is>
      </c>
      <c r="E48" s="97" t="n">
        <v>0.726101972721419</v>
      </c>
      <c r="F48" s="49" t="inlineStr">
        <is>
          <t>%</t>
        </is>
      </c>
      <c r="G48" s="49" t="inlineStr">
        <is>
          <t>Crew Analytics</t>
        </is>
      </c>
      <c r="H48" s="94" t="inlineStr">
        <is>
          <t>Verified</t>
        </is>
      </c>
      <c r="I48" s="87" t="inlineStr">
        <is>
          <t>Derived</t>
        </is>
      </c>
    </row>
    <row r="49">
      <c r="B49" s="82" t="n">
        <v>44</v>
      </c>
      <c r="C49" s="51" t="inlineStr">
        <is>
          <t>cost_code_count</t>
        </is>
      </c>
      <c r="D49" s="51" t="inlineStr">
        <is>
          <t>Cost Codes Active</t>
        </is>
      </c>
      <c r="E49" s="82" t="n">
        <v>28</v>
      </c>
      <c r="F49" s="51" t="inlineStr">
        <is>
          <t>count</t>
        </is>
      </c>
      <c r="G49" s="51" t="inlineStr">
        <is>
          <t>Budget vs Actual</t>
        </is>
      </c>
      <c r="H49" s="94" t="inlineStr">
        <is>
          <t>Verified</t>
        </is>
      </c>
      <c r="I49" s="51" t="inlineStr">
        <is>
          <t>2026 Job Detail Report.pdf (Sage Timberline export, printed 04/03/2026 1:51PM, 106 pages)</t>
        </is>
      </c>
      <c r="J49" s="54" t="n"/>
    </row>
  </sheetData>
  <mergeCells count="2">
    <mergeCell ref="B3:J3"/>
    <mergeCell ref="B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J4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4" t="inlineStr">
        <is>
          <t>Reconciliation</t>
        </is>
      </c>
    </row>
    <row r="3" ht="22" customHeight="1">
      <c r="B3" s="45" t="inlineStr">
        <is>
          <t>Cross-sheet formula checks</t>
        </is>
      </c>
    </row>
    <row r="4" ht="2" customHeight="1">
      <c r="B4" s="46" t="n"/>
      <c r="C4" s="46" t="n"/>
      <c r="D4" s="46" t="n"/>
      <c r="E4" s="46" t="n"/>
      <c r="F4" s="46" t="n"/>
      <c r="G4" s="46" t="n"/>
      <c r="H4" s="46" t="n"/>
      <c r="I4" s="46" t="n"/>
      <c r="J4" s="46" t="n"/>
    </row>
    <row r="5">
      <c r="B5" s="66" t="inlineStr">
        <is>
          <t>#</t>
        </is>
      </c>
      <c r="C5" s="66" t="inlineStr">
        <is>
          <t>Check</t>
        </is>
      </c>
      <c r="D5" s="66" t="inlineStr">
        <is>
          <t>Value A</t>
        </is>
      </c>
      <c r="E5" s="66" t="inlineStr">
        <is>
          <t>Value B</t>
        </is>
      </c>
      <c r="F5" s="66" t="inlineStr">
        <is>
          <t>Delta</t>
        </is>
      </c>
      <c r="G5" s="66" t="inlineStr">
        <is>
          <t>Status</t>
        </is>
      </c>
      <c r="H5" s="66" t="inlineStr">
        <is>
          <t>Tabs</t>
        </is>
      </c>
    </row>
    <row r="6">
      <c r="B6" s="81" t="n">
        <v>1</v>
      </c>
      <c r="C6" s="49" t="inlineStr">
        <is>
          <t>Revenue (JDR) = Contract Final</t>
        </is>
      </c>
      <c r="D6" s="56" t="n">
        <v>830667</v>
      </c>
      <c r="E6" s="56" t="n">
        <v>830667</v>
      </c>
      <c r="F6" s="68">
        <f>D6-E6</f>
        <v/>
      </c>
      <c r="G6" s="49">
        <f>IF(ABS(F6)&lt;=1,"TIES",IF(ABS(F6)&lt;=ABS(E6)*0.05,"WITHIN","OFF"))</f>
        <v/>
      </c>
      <c r="H6" s="49" t="inlineStr">
        <is>
          <t>1↔8</t>
        </is>
      </c>
    </row>
    <row r="7">
      <c r="B7" s="82" t="n">
        <v>2</v>
      </c>
      <c r="C7" s="51" t="inlineStr">
        <is>
          <t>Expenses = Labor+Material+OH+Burden+Tax</t>
        </is>
      </c>
      <c r="D7" s="77" t="n">
        <v>547967.0600000001</v>
      </c>
      <c r="E7" s="77" t="n">
        <v>547967.0600000001</v>
      </c>
      <c r="F7" s="71">
        <f>D7-E7</f>
        <v/>
      </c>
      <c r="G7" s="51">
        <f>IF(ABS(F7)&lt;=1,"TIES",IF(ABS(F7)&lt;=ABS(E7)*0.05,"WITHIN","OFF"))</f>
        <v/>
      </c>
      <c r="H7" s="51" t="inlineStr">
        <is>
          <t>1↔3</t>
        </is>
      </c>
      <c r="I7" s="54" t="n"/>
      <c r="J7" s="54" t="n"/>
    </row>
    <row r="8">
      <c r="B8" s="81" t="n">
        <v>3</v>
      </c>
      <c r="C8" s="49" t="inlineStr">
        <is>
          <t>Net Profit = Revenue - Expenses</t>
        </is>
      </c>
      <c r="D8" s="56" t="n">
        <v>282699.9399999999</v>
      </c>
      <c r="E8" s="56" t="n">
        <v>282699.9399999999</v>
      </c>
      <c r="F8" s="68">
        <f>D8-E8</f>
        <v/>
      </c>
      <c r="G8" s="49">
        <f>IF(ABS(F8)&lt;=1,"TIES",IF(ABS(F8)&lt;=ABS(E8)*0.05,"WITHIN","OFF"))</f>
        <v/>
      </c>
      <c r="H8" s="49" t="inlineStr">
        <is>
          <t>1↔Derived</t>
        </is>
      </c>
    </row>
    <row r="9">
      <c r="B9" s="82" t="n">
        <v>4</v>
      </c>
      <c r="C9" s="51" t="inlineStr">
        <is>
          <t>JDR Source: AP+PR+GL = Expenses</t>
        </is>
      </c>
      <c r="D9" s="77" t="n">
        <v>547967.0599999999</v>
      </c>
      <c r="E9" s="77" t="n">
        <v>547967.0600000001</v>
      </c>
      <c r="F9" s="71">
        <f>D9-E9</f>
        <v/>
      </c>
      <c r="G9" s="51">
        <f>IF(ABS(F9)&lt;=1,"TIES",IF(ABS(F9)&lt;=ABS(E9)*0.05,"WITHIN","OFF"))</f>
        <v/>
      </c>
      <c r="H9" s="51" t="inlineStr">
        <is>
          <t>1↔Derived (footer)</t>
        </is>
      </c>
      <c r="I9" s="54" t="n"/>
      <c r="J9" s="54" t="n"/>
    </row>
    <row r="10">
      <c r="B10" s="81" t="n">
        <v>5</v>
      </c>
      <c r="C10" s="49" t="inlineStr">
        <is>
          <t>Budget vs Actual (code 999) = Revenue</t>
        </is>
      </c>
      <c r="D10" s="56" t="n">
        <v>830667</v>
      </c>
      <c r="E10" s="56" t="n">
        <v>830667</v>
      </c>
      <c r="F10" s="68">
        <f>D10-E10</f>
        <v/>
      </c>
      <c r="G10" s="49">
        <f>IF(ABS(F10)&lt;=1,"TIES",IF(ABS(F10)&lt;=ABS(E10)*0.05,"WITHIN","OFF"))</f>
        <v/>
      </c>
      <c r="H10" s="49" t="inlineStr">
        <is>
          <t>2↔1</t>
        </is>
      </c>
    </row>
    <row r="11">
      <c r="B11" s="82" t="n">
        <v>6</v>
      </c>
      <c r="C11" s="51" t="inlineStr">
        <is>
          <t>Total Labor Hours = Worker hours sum</t>
        </is>
      </c>
      <c r="D11" s="77" t="n">
        <v>8541.5</v>
      </c>
      <c r="E11" s="77" t="n">
        <v>8621.5</v>
      </c>
      <c r="F11" s="71">
        <f>D11-E11</f>
        <v/>
      </c>
      <c r="G11" s="51">
        <f>IF(ABS(F11)&lt;=1,"TIES",IF(ABS(F11)&lt;=ABS(E11)*0.05,"WITHIN","OFF"))</f>
        <v/>
      </c>
      <c r="H11" s="51" t="inlineStr">
        <is>
          <t>5↔2</t>
        </is>
      </c>
      <c r="I11" s="54" t="n"/>
      <c r="J11" s="54" t="n"/>
    </row>
    <row r="12">
      <c r="B12" s="81" t="n">
        <v>7</v>
      </c>
      <c r="C12" s="49" t="inlineStr">
        <is>
          <t>Labor Cost = Worker gross sum</t>
        </is>
      </c>
      <c r="D12" s="56" t="n">
        <v>210715.5</v>
      </c>
      <c r="E12" s="56" t="n">
        <v>210715.5</v>
      </c>
      <c r="F12" s="68">
        <f>D12-E12</f>
        <v/>
      </c>
      <c r="G12" s="49">
        <f>IF(ABS(F12)&lt;=1,"TIES",IF(ABS(F12)&lt;=ABS(E12)*0.05,"WITHIN","OFF"))</f>
        <v/>
      </c>
      <c r="H12" s="49" t="inlineStr">
        <is>
          <t>5↔3</t>
        </is>
      </c>
    </row>
    <row r="13">
      <c r="B13" s="82" t="n">
        <v>8</v>
      </c>
      <c r="C13" s="51" t="inlineStr">
        <is>
          <t>Vendor total ≈ AP footer</t>
        </is>
      </c>
      <c r="D13" s="77" t="n">
        <v>197171.05</v>
      </c>
      <c r="E13" s="77" t="n">
        <v>197171.05</v>
      </c>
      <c r="F13" s="71">
        <f>D13-E13</f>
        <v/>
      </c>
      <c r="G13" s="51">
        <f>IF(ABS(F13)&lt;=1,"TIES",IF(ABS(F13)&lt;=ABS(E13)*0.05,"WITHIN","OFF"))</f>
        <v/>
      </c>
      <c r="H13" s="51" t="inlineStr">
        <is>
          <t>12↔1 (approximate)</t>
        </is>
      </c>
      <c r="I13" s="54" t="n"/>
      <c r="J13" s="54" t="n"/>
    </row>
    <row r="14">
      <c r="B14" s="81" t="n">
        <v>9</v>
      </c>
      <c r="C14" s="49" t="inlineStr">
        <is>
          <t>Invoice count = 21</t>
        </is>
      </c>
      <c r="D14" s="81" t="n">
        <v>21</v>
      </c>
      <c r="E14" s="81" t="n">
        <v>21</v>
      </c>
      <c r="F14" s="68">
        <f>D14-E14</f>
        <v/>
      </c>
      <c r="G14" s="49">
        <f>IF(ABS(F14)&lt;=1,"TIES",IF(ABS(F14)&lt;=ABS(E14)*0.05,"WITHIN","OFF"))</f>
        <v/>
      </c>
      <c r="H14" s="49" t="inlineStr">
        <is>
          <t>9↔11</t>
        </is>
      </c>
    </row>
    <row r="15">
      <c r="B15" s="82" t="n">
        <v>10</v>
      </c>
      <c r="C15" s="51" t="inlineStr">
        <is>
          <t>Contract Final - Orig = CO implied</t>
        </is>
      </c>
      <c r="D15" s="77" t="n">
        <v>5297</v>
      </c>
      <c r="E15" s="77" t="n">
        <v>5297</v>
      </c>
      <c r="F15" s="71">
        <f>D15-E15</f>
        <v/>
      </c>
      <c r="G15" s="51">
        <f>IF(ABS(F15)&lt;=1,"TIES",IF(ABS(F15)&lt;=ABS(E15)*0.05,"WITHIN","OFF"))</f>
        <v/>
      </c>
      <c r="H15" s="51" t="inlineStr">
        <is>
          <t>11↔Derived</t>
        </is>
      </c>
      <c r="I15" s="54" t="n"/>
      <c r="J15" s="54" t="n"/>
    </row>
    <row r="16">
      <c r="B16" s="81" t="n">
        <v>11</v>
      </c>
      <c r="C16" s="49" t="inlineStr">
        <is>
          <t>CO breakdown: SOV-adj + CO#1 Temp Gas = CO total</t>
        </is>
      </c>
      <c r="D16" s="56" t="n">
        <v>5297</v>
      </c>
      <c r="E16" s="56" t="n">
        <v>5297</v>
      </c>
      <c r="F16" s="68">
        <f>D16-E16</f>
        <v/>
      </c>
      <c r="G16" s="49">
        <f>IF(ABS(F16)&lt;=1,"TIES",IF(ABS(F16)&lt;=ABS(E16)*0.05,"WITHIN","OFF"))</f>
        <v/>
      </c>
      <c r="H16" s="49" t="inlineStr">
        <is>
          <t>13↔11</t>
        </is>
      </c>
    </row>
    <row r="17">
      <c r="B17" s="82" t="n">
        <v>12</v>
      </c>
      <c r="C17" s="51" t="inlineStr">
        <is>
          <t>Pay Apps (sum of 'This Period') = Revenue</t>
        </is>
      </c>
      <c r="D17" s="77" t="n">
        <v>830667</v>
      </c>
      <c r="E17" s="77" t="n">
        <v>830667</v>
      </c>
      <c r="F17" s="71">
        <f>D17-E17</f>
        <v/>
      </c>
      <c r="G17" s="51">
        <f>IF(ABS(F17)&lt;=1,"TIES",IF(ABS(F17)&lt;=ABS(E17)*0.05,"WITHIN","OFF"))</f>
        <v/>
      </c>
      <c r="H17" s="51" t="inlineStr">
        <is>
          <t>9↔1 (Billing SOV)</t>
        </is>
      </c>
      <c r="I17" s="54" t="n"/>
      <c r="J17" s="54" t="n"/>
    </row>
    <row r="18">
      <c r="B18" s="81" t="n">
        <v>13</v>
      </c>
      <c r="C18" s="49" t="inlineStr">
        <is>
          <t>Pay App #15 Contract Total = JDR Revenue</t>
        </is>
      </c>
      <c r="D18" s="56" t="n">
        <v>830667</v>
      </c>
      <c r="E18" s="56" t="n">
        <v>830667</v>
      </c>
      <c r="F18" s="68">
        <f>D18-E18</f>
        <v/>
      </c>
      <c r="G18" s="49">
        <f>IF(ABS(F18)&lt;=1,"TIES",IF(ABS(F18)&lt;=ABS(E18)*0.05,"WITHIN","OFF"))</f>
        <v/>
      </c>
      <c r="H18" s="49" t="inlineStr">
        <is>
          <t>9↔1 (SOV draw #15)</t>
        </is>
      </c>
    </row>
    <row r="19">
      <c r="B19" s="82" t="n">
        <v>14</v>
      </c>
      <c r="C19" s="51" t="inlineStr">
        <is>
          <t>Retainage outstanding</t>
        </is>
      </c>
      <c r="D19" s="77" t="n">
        <v>41533.35</v>
      </c>
      <c r="E19" s="77" t="n">
        <v>41533.35</v>
      </c>
      <c r="F19" s="71">
        <f>D19-E19</f>
        <v/>
      </c>
      <c r="G19" s="51">
        <f>IF(ABS(F19)&lt;=1,"TIES",IF(ABS(F19)&lt;=ABS(E19)*0.05,"WITHIN","OFF"))</f>
        <v/>
      </c>
      <c r="H19" s="51" t="inlineStr">
        <is>
          <t>9↔JDR footer</t>
        </is>
      </c>
      <c r="I19" s="54" t="n"/>
      <c r="J19" s="54" t="n"/>
    </row>
    <row r="20">
      <c r="B20" s="81" t="n">
        <v>15</v>
      </c>
      <c r="C20" s="49" t="inlineStr">
        <is>
          <t>Worker count = 25</t>
        </is>
      </c>
      <c r="D20" s="81" t="n">
        <v>25</v>
      </c>
      <c r="E20" s="81" t="n">
        <v>25</v>
      </c>
      <c r="F20" s="68">
        <f>D20-E20</f>
        <v/>
      </c>
      <c r="G20" s="49">
        <f>IF(ABS(F20)&lt;=1,"TIES",IF(ABS(F20)&lt;=ABS(E20)*0.05,"WITHIN","OFF"))</f>
        <v/>
      </c>
      <c r="H20" s="49" t="inlineStr">
        <is>
          <t>5↔11</t>
        </is>
      </c>
    </row>
    <row r="21">
      <c r="B21" s="82" t="n">
        <v>16</v>
      </c>
      <c r="C21" s="51" t="inlineStr">
        <is>
          <t>Cost code count = 28</t>
        </is>
      </c>
      <c r="D21" s="82" t="n">
        <v>28</v>
      </c>
      <c r="E21" s="82" t="n">
        <v>28</v>
      </c>
      <c r="F21" s="71">
        <f>D21-E21</f>
        <v/>
      </c>
      <c r="G21" s="51">
        <f>IF(ABS(F21)&lt;=1,"TIES",IF(ABS(F21)&lt;=ABS(E21)*0.05,"WITHIN","OFF"))</f>
        <v/>
      </c>
      <c r="H21" s="51" t="inlineStr">
        <is>
          <t>2↔16</t>
        </is>
      </c>
      <c r="I21" s="54" t="n"/>
      <c r="J21" s="54" t="n"/>
    </row>
    <row r="22">
      <c r="B22" s="81" t="n">
        <v>17</v>
      </c>
      <c r="C22" s="49" t="inlineStr">
        <is>
          <t>Unit count (TOTO bowls) = 60</t>
        </is>
      </c>
      <c r="D22" s="81" t="n">
        <v>60</v>
      </c>
      <c r="E22" s="81" t="n">
        <v>60</v>
      </c>
      <c r="F22" s="68">
        <f>D22-E22</f>
        <v/>
      </c>
      <c r="G22" s="49">
        <f>IF(ABS(F22)&lt;=1,"TIES",IF(ABS(F22)&lt;=ABS(E22)*0.05,"WITHIN","OFF"))</f>
        <v/>
      </c>
      <c r="H22" s="49" t="inlineStr">
        <is>
          <t>1↔Vendor Quote XLSX</t>
        </is>
      </c>
    </row>
    <row r="23">
      <c r="B23" s="82" t="n">
        <v>18</v>
      </c>
      <c r="C23" s="51" t="inlineStr">
        <is>
          <t>Pay App count (SOV files) = 15</t>
        </is>
      </c>
      <c r="D23" s="82" t="n">
        <v>15</v>
      </c>
      <c r="E23" s="82" t="n">
        <v>15</v>
      </c>
      <c r="F23" s="71">
        <f>D23-E23</f>
        <v/>
      </c>
      <c r="G23" s="51">
        <f>IF(ABS(F23)&lt;=1,"TIES",IF(ABS(F23)&lt;=ABS(E23)*0.05,"WITHIN","OFF"))</f>
        <v/>
      </c>
      <c r="H23" s="51" t="inlineStr">
        <is>
          <t>9↔Billing folder</t>
        </is>
      </c>
      <c r="I23" s="54" t="n"/>
      <c r="J23" s="54" t="n"/>
    </row>
    <row r="24">
      <c r="B24" s="81" t="n">
        <v>19</v>
      </c>
      <c r="C24" s="49" t="inlineStr">
        <is>
          <t>Fixture inventory (Vendor Quote XLSX) = 669</t>
        </is>
      </c>
      <c r="D24" s="56" t="n">
        <v>669</v>
      </c>
      <c r="E24" s="56" t="n">
        <v>669</v>
      </c>
      <c r="F24" s="68">
        <f>D24-E24</f>
        <v/>
      </c>
      <c r="G24" s="49">
        <f>IF(ABS(F24)&lt;=1,"TIES",IF(ABS(F24)&lt;=ABS(E24)*0.05,"WITHIN","OFF"))</f>
        <v/>
      </c>
      <c r="H24" s="49" t="inlineStr">
        <is>
          <t>1↔Vendor Quote XLSX</t>
        </is>
      </c>
    </row>
    <row r="25">
      <c r="B25" s="54" t="n"/>
      <c r="C25" s="54" t="n"/>
      <c r="D25" s="54" t="n"/>
      <c r="E25" s="54" t="n"/>
      <c r="F25" s="54" t="n"/>
      <c r="G25" s="54" t="n"/>
      <c r="H25" s="54" t="n"/>
      <c r="I25" s="54" t="n"/>
      <c r="J25" s="54" t="n"/>
    </row>
    <row r="26"/>
    <row r="27">
      <c r="B27" s="59" t="inlineStr">
        <is>
          <t>SOURCES</t>
        </is>
      </c>
      <c r="C27" s="43" t="n"/>
      <c r="D27" s="43" t="n"/>
      <c r="E27" s="43" t="n"/>
      <c r="F27" s="43" t="n"/>
      <c r="G27" s="43" t="n"/>
      <c r="H27" s="43" t="n"/>
      <c r="I27" s="54" t="n"/>
      <c r="J27" s="54" t="n"/>
    </row>
    <row r="28">
      <c r="B28" s="48" t="inlineStr">
        <is>
          <t>Job #2026 — Cortex v2 17-tab (REBUILD 2026-04-14 after expanded folder ingestion — 130+ documents now on file in Apts 4/)</t>
        </is>
      </c>
      <c r="C28" s="6" t="n"/>
      <c r="D28" s="6" t="n"/>
      <c r="E28" s="6" t="n"/>
      <c r="F28" s="6" t="n"/>
      <c r="G28" s="6" t="n"/>
      <c r="H28" s="7" t="n"/>
    </row>
    <row r="29">
      <c r="B29" s="50" t="inlineStr">
        <is>
          <t>Canonical source: 2026 Job Detail Report.pdf (Sage Timberline export, printed 04/03/2026 1:51PM, 106 pages)</t>
        </is>
      </c>
      <c r="C29" s="52" t="n"/>
      <c r="D29" s="52" t="n"/>
      <c r="E29" s="52" t="n"/>
      <c r="F29" s="52" t="n"/>
      <c r="G29" s="52" t="n"/>
      <c r="H29" s="53" t="n"/>
      <c r="I29" s="54" t="n"/>
      <c r="J29" s="54" t="n"/>
    </row>
    <row r="30">
      <c r="B30" s="48" t="inlineStr">
        <is>
          <t>JDR Job Totals footer: Revenue $830,667.00 / Expenses $547,967.06 / Net $282,699.94 / Retainage $41,533.35</t>
        </is>
      </c>
      <c r="C30" s="6" t="n"/>
      <c r="D30" s="6" t="n"/>
      <c r="E30" s="6" t="n"/>
      <c r="F30" s="6" t="n"/>
      <c r="G30" s="6" t="n"/>
      <c r="H30" s="7" t="n"/>
    </row>
    <row r="31">
      <c r="B31" s="50" t="inlineStr">
        <is>
          <t>JDR Source breakdown: GL $30,577.13 · AP $197,171.05 · PR $320,218.88 · AR $830,667.00</t>
        </is>
      </c>
      <c r="C31" s="52" t="n"/>
      <c r="D31" s="52" t="n"/>
      <c r="E31" s="52" t="n"/>
      <c r="F31" s="52" t="n"/>
      <c r="G31" s="52" t="n"/>
      <c r="H31" s="53" t="n"/>
      <c r="I31" s="54" t="n"/>
      <c r="J31" s="54" t="n"/>
    </row>
    <row r="32">
      <c r="B32" s="48" t="inlineStr">
        <is>
          <t>Contract: Contract/525 Boren Contract.pdf — AGC Washington 2006 Ed. Lump Sum $825,370.00 (Subcontract #007, Synergy project #750, cost code 15400)</t>
        </is>
      </c>
      <c r="C32" s="6" t="n"/>
      <c r="D32" s="6" t="n"/>
      <c r="E32" s="6" t="n"/>
      <c r="F32" s="6" t="n"/>
      <c r="G32" s="6" t="n"/>
      <c r="H32" s="7" t="n"/>
    </row>
    <row r="33">
      <c r="B33" s="50" t="inlineStr">
        <is>
          <t>Billing: 15 Pay App SOV XLSX drafts (2016-03-20 → 2017-07-20) + Full &amp; Final Lien Claim Waiver. Pay App #15 Contract Total $830,667 ties to JDR revenue.</t>
        </is>
      </c>
      <c r="C33" s="52" t="n"/>
      <c r="D33" s="52" t="n"/>
      <c r="E33" s="52" t="n"/>
      <c r="F33" s="52" t="n"/>
      <c r="G33" s="52" t="n"/>
      <c r="H33" s="53" t="n"/>
      <c r="I33" s="54" t="n"/>
      <c r="J33" s="54" t="n"/>
    </row>
    <row r="34">
      <c r="B34" s="48" t="inlineStr">
        <is>
          <t>Change Orders: 2 CORs priced (COR#01 Temp Gas $357 executed as CO#2, COR#02 Unclog Toilet $293 warranty); 1 Budget Transfer XLSX (CO#02); 2 additional priced COR XLSX (Shower option, Sewer Problem pricing — neither issued)</t>
        </is>
      </c>
      <c r="C34" s="6" t="n"/>
      <c r="D34" s="6" t="n"/>
      <c r="E34" s="6" t="n"/>
      <c r="F34" s="6" t="n"/>
      <c r="G34" s="6" t="n"/>
      <c r="H34" s="7" t="n"/>
    </row>
    <row r="35">
      <c r="B35" s="50" t="inlineStr">
        <is>
          <t>ASI-RFI: ASI-12 MEP Peer Review Response + PR-02 Media Room Redesign (informational, no cost impact)</t>
        </is>
      </c>
      <c r="C35" s="52" t="n"/>
      <c r="D35" s="52" t="n"/>
      <c r="E35" s="52" t="n"/>
      <c r="F35" s="52" t="n"/>
      <c r="G35" s="52" t="n"/>
      <c r="H35" s="53" t="n"/>
      <c r="I35" s="54" t="n"/>
      <c r="J35" s="54" t="n"/>
    </row>
    <row r="36">
      <c r="B36" s="48" t="inlineStr">
        <is>
          <t>Submittals: 44 submittals across 7 categories (Equipment-7, Fixtures-12, Material-5, Responses-1, Sleeving Plans-1, Tub/Shower-8, Underground/Garage-10)</t>
        </is>
      </c>
      <c r="C36" s="6" t="n"/>
      <c r="D36" s="6" t="n"/>
      <c r="E36" s="6" t="n"/>
      <c r="F36" s="6" t="n"/>
      <c r="G36" s="6" t="n"/>
      <c r="H36" s="7" t="n"/>
    </row>
    <row r="37">
      <c r="B37" s="50" t="inlineStr">
        <is>
          <t>Permits: 5 PDFs (Plumbing, Gas, Gas Temp Heat, Backflow, Renewed). Gas permit SR1397520 in 525 Boren LLC name</t>
        </is>
      </c>
      <c r="C37" s="52" t="n"/>
      <c r="D37" s="52" t="n"/>
      <c r="E37" s="52" t="n"/>
      <c r="F37" s="52" t="n"/>
      <c r="G37" s="52" t="n"/>
      <c r="H37" s="53" t="n"/>
      <c r="I37" s="54" t="n"/>
      <c r="J37" s="54" t="n"/>
    </row>
    <row r="38">
      <c r="B38" s="48" t="inlineStr">
        <is>
          <t>Plans: 525-Plumbing Construction Set PR.pdf + 11 DWGs (L1-L7 + Roof + UG/Vault Shift) + MEP Superplots (2016-02-09/02-22/03-07)</t>
        </is>
      </c>
      <c r="C38" s="6" t="n"/>
      <c r="D38" s="6" t="n"/>
      <c r="E38" s="6" t="n"/>
      <c r="F38" s="6" t="n"/>
      <c r="G38" s="6" t="n"/>
      <c r="H38" s="7" t="n"/>
    </row>
    <row r="39">
      <c r="B39" s="50" t="inlineStr">
        <is>
          <t>Vendor: 7 quote PDFs + master Vender Quote Spreadsheet (5 suppliers) + 5 vendor lien waivers (Consolidated/Ferguson/Keller/Rosen + template) + 1 Keller Notice-to-Owner (2016-08-11)</t>
        </is>
      </c>
      <c r="C39" s="52" t="n"/>
      <c r="D39" s="52" t="n"/>
      <c r="E39" s="52" t="n"/>
      <c r="F39" s="52" t="n"/>
      <c r="G39" s="52" t="n"/>
      <c r="H39" s="53" t="n"/>
      <c r="I39" s="54" t="n"/>
      <c r="J39" s="54" t="n"/>
    </row>
    <row r="40">
      <c r="B40" s="48" t="inlineStr">
        <is>
          <t>Warranty: Retail Sewer Problem 30 photos/videos 12/06/2018 (~17 mo post-closeout) — paired with 'Sewer Problem pricing' COR XLSX (no CO issued)</t>
        </is>
      </c>
      <c r="C40" s="6" t="n"/>
      <c r="D40" s="6" t="n"/>
      <c r="E40" s="6" t="n"/>
      <c r="F40" s="6" t="n"/>
      <c r="G40" s="6" t="n"/>
      <c r="H40" s="7" t="n"/>
    </row>
    <row r="41">
      <c r="B41" s="50" t="inlineStr">
        <is>
          <t>Closeout: O&amp;M manual + Warranty package + Certificate of Insurance 2016-17</t>
        </is>
      </c>
      <c r="C41" s="52" t="n"/>
      <c r="D41" s="52" t="n"/>
      <c r="E41" s="52" t="n"/>
      <c r="F41" s="52" t="n"/>
      <c r="G41" s="52" t="n"/>
      <c r="H41" s="53" t="n"/>
      <c r="I41" s="54" t="n"/>
      <c r="J41" s="54" t="n"/>
    </row>
    <row r="42">
      <c r="B42" s="48" t="inlineStr">
        <is>
          <t>Unresolved: (a) $41,533 retainage outstanding 8+ yrs; (b) COR#02 Unclog Toilet $293 submitted but no signed CO; (c) Sewer Problem warranty — pricing done, resolution undocumented; (d) +$4,940 SOV adj (App#1→#2) lacks formal CO paper — inferred reline</t>
        </is>
      </c>
      <c r="C42" s="6" t="n"/>
      <c r="D42" s="6" t="n"/>
      <c r="E42" s="6" t="n"/>
      <c r="F42" s="6" t="n"/>
      <c r="G42" s="6" t="n"/>
      <c r="H42" s="7" t="n"/>
    </row>
    <row r="43">
      <c r="B43" s="50" t="inlineStr">
        <is>
          <t>TIES = within $1  ·  WITHIN = within 5%  ·  OFF = investigate</t>
        </is>
      </c>
      <c r="C43" s="52" t="n"/>
      <c r="D43" s="52" t="n"/>
      <c r="E43" s="52" t="n"/>
      <c r="F43" s="52" t="n"/>
      <c r="G43" s="52" t="n"/>
      <c r="H43" s="53" t="n"/>
      <c r="I43" s="54" t="n"/>
      <c r="J43" s="54" t="n"/>
    </row>
  </sheetData>
  <mergeCells count="18">
    <mergeCell ref="B36:H36"/>
    <mergeCell ref="B32:H32"/>
    <mergeCell ref="B3:J3"/>
    <mergeCell ref="B40:H40"/>
    <mergeCell ref="B41:H41"/>
    <mergeCell ref="B35:H35"/>
    <mergeCell ref="B43:H43"/>
    <mergeCell ref="B39:H39"/>
    <mergeCell ref="B31:H31"/>
    <mergeCell ref="B30:H30"/>
    <mergeCell ref="B38:H38"/>
    <mergeCell ref="B29:H29"/>
    <mergeCell ref="B33:H33"/>
    <mergeCell ref="B42:H42"/>
    <mergeCell ref="B2:J2"/>
    <mergeCell ref="B34:H34"/>
    <mergeCell ref="B37:H37"/>
    <mergeCell ref="B28:H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2026-04-16T14:57:15Z</dcterms:created>
  <dcterms:modified xmlns:dcterms="http://purl.org/dc/terms/" xmlns:xsi="http://www.w3.org/2001/XMLSchema-instance" xsi:type="dcterms:W3CDTF">2026-04-16T14:58:14Z</dcterms:modified>
</cp:coreProperties>
</file>