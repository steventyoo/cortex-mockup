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3" fontId="12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4" fontId="12" fillId="11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4" fontId="12" fillId="0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4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4" fontId="12" fillId="11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left" vertical="center" wrapText="1"/>
    </xf>
    <xf numFmtId="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10" fontId="12" fillId="11" borderId="1" applyAlignment="1" pivotButton="0" quotePrefix="0" xfId="0">
      <alignment horizontal="right" vertical="center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#2033 · Compass Vuecrest</t>
        </is>
      </c>
    </row>
    <row r="3" ht="22" customHeight="1">
      <c r="B3" s="43" t="inlineStr">
        <is>
          <t>Cortex JCR v2  •  Compass Harbor Construction, LLC (customer 2033BV)  •  1000 100th Ave NE, Bellevue, WA 98004  •  Owner: Bellevue Vuecrest, LP (Developer: Continental)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2033</t>
        </is>
      </c>
      <c r="D6" s="6" t="n"/>
      <c r="E6" s="7" t="n"/>
      <c r="F6" s="47" t="inlineStr">
        <is>
          <t>2033 Job Detail Report.pdf (Sage Timberline, 04/03/2026, 191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Compass Vuecrest</t>
        </is>
      </c>
      <c r="D7" s="50" t="n"/>
      <c r="E7" s="51" t="n"/>
      <c r="F7" s="49" t="inlineStr">
        <is>
          <t>2033 Job Detail Report.pdf (Sage Timberline, 04/03/2026, 191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Vuecrest (LUX) — 137-unit luxury multifamily plumbing, Bellevue WA</t>
        </is>
      </c>
      <c r="D8" s="6" t="n"/>
      <c r="E8" s="7" t="n"/>
      <c r="F8" s="47" t="inlineStr">
        <is>
          <t>Vuecrest-One Way Plumbing Fully Executed 9.26.16.pdf + Job Info sheet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Compass Harbor Construction, LLC</t>
        </is>
      </c>
      <c r="D9" s="50" t="n"/>
      <c r="E9" s="51" t="n"/>
      <c r="F9" s="49" t="inlineStr">
        <is>
          <t>Vuecrest-One Way Plumbing Fully Executed 9.26.16.pdf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2033BV</t>
        </is>
      </c>
      <c r="D10" s="6" t="n"/>
      <c r="E10" s="7" t="n"/>
      <c r="F10" s="47" t="inlineStr">
        <is>
          <t>2033 Job Detail Report.pdf (Sage Timberline, 04/03/2026, 191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Bellevue Vuecrest, LP (Developer: Continental)</t>
        </is>
      </c>
      <c r="D11" s="50" t="n"/>
      <c r="E11" s="51" t="n"/>
      <c r="F11" s="49" t="inlineStr">
        <is>
          <t>Vuecrest-One Way Plumbing Fully Executed 9.26.16.pdf + Job Info</t>
        </is>
      </c>
      <c r="G11" s="50" t="n"/>
      <c r="H11" s="50" t="n"/>
      <c r="I11" s="50" t="n"/>
      <c r="J11" s="51" t="n"/>
    </row>
    <row r="12">
      <c r="B12" s="46" t="inlineStr">
        <is>
          <t>GC PM</t>
        </is>
      </c>
      <c r="C12" s="47" t="inlineStr">
        <is>
          <t>Ryan Ames / Vince Dennison</t>
        </is>
      </c>
      <c r="D12" s="6" t="n"/>
      <c r="E12" s="7" t="n"/>
      <c r="F12" s="47" t="inlineStr">
        <is>
          <t>Job Info sheet</t>
        </is>
      </c>
      <c r="G12" s="6" t="n"/>
      <c r="H12" s="6" t="n"/>
      <c r="I12" s="6" t="n"/>
      <c r="J12" s="7" t="n"/>
    </row>
    <row r="13">
      <c r="B13" s="48" t="inlineStr">
        <is>
          <t>GC Superintendent</t>
        </is>
      </c>
      <c r="C13" s="49" t="inlineStr">
        <is>
          <t>Todd Mortenson</t>
        </is>
      </c>
      <c r="D13" s="50" t="n"/>
      <c r="E13" s="51" t="n"/>
      <c r="F13" s="49" t="inlineStr">
        <is>
          <t>Job Info sheet</t>
        </is>
      </c>
      <c r="G13" s="50" t="n"/>
      <c r="H13" s="50" t="n"/>
      <c r="I13" s="50" t="n"/>
      <c r="J13" s="51" t="n"/>
    </row>
    <row r="14">
      <c r="B14" s="46" t="inlineStr">
        <is>
          <t>GC PE</t>
        </is>
      </c>
      <c r="C14" s="47" t="inlineStr">
        <is>
          <t>Dan Peck</t>
        </is>
      </c>
      <c r="D14" s="6" t="n"/>
      <c r="E14" s="7" t="n"/>
      <c r="F14" s="47" t="inlineStr">
        <is>
          <t>Job Info sheet</t>
        </is>
      </c>
      <c r="G14" s="6" t="n"/>
      <c r="H14" s="6" t="n"/>
      <c r="I14" s="6" t="n"/>
      <c r="J14" s="7" t="n"/>
    </row>
    <row r="15">
      <c r="B15" s="48" t="inlineStr">
        <is>
          <t>OWP Rough-in Foreman</t>
        </is>
      </c>
      <c r="C15" s="49" t="inlineStr">
        <is>
          <t>Victor</t>
        </is>
      </c>
      <c r="D15" s="50" t="n"/>
      <c r="E15" s="51" t="n"/>
      <c r="F15" s="49" t="inlineStr">
        <is>
          <t>Schedule tab</t>
        </is>
      </c>
      <c r="G15" s="50" t="n"/>
      <c r="H15" s="50" t="n"/>
      <c r="I15" s="50" t="n"/>
      <c r="J15" s="51" t="n"/>
    </row>
    <row r="16">
      <c r="B16" s="46" t="inlineStr">
        <is>
          <t>Jobsite Location</t>
        </is>
      </c>
      <c r="C16" s="47" t="inlineStr">
        <is>
          <t>1000 100th Ave NE, Bellevue, WA 98004</t>
        </is>
      </c>
      <c r="D16" s="6" t="n"/>
      <c r="E16" s="7" t="n"/>
      <c r="F16" s="47" t="inlineStr">
        <is>
          <t>Vuecrest-One Way Plumbing Fully Executed 9.26.16.pdf</t>
        </is>
      </c>
      <c r="G16" s="6" t="n"/>
      <c r="H16" s="6" t="n"/>
      <c r="I16" s="6" t="n"/>
      <c r="J16" s="7" t="n"/>
    </row>
    <row r="17">
      <c r="B17" s="48" t="inlineStr">
        <is>
          <t>Contract / PO Document</t>
        </is>
      </c>
      <c r="C17" s="49" t="inlineStr">
        <is>
          <t>Vuecrest-One Way Plumbing Fully Executed 9.26.16.pdf</t>
        </is>
      </c>
      <c r="D17" s="50" t="n"/>
      <c r="E17" s="51" t="n"/>
      <c r="F17" s="49" t="inlineStr">
        <is>
          <t>Lump Sum subcontract (Fully Executed 9/26/2016)</t>
        </is>
      </c>
      <c r="G17" s="50" t="n"/>
      <c r="H17" s="50" t="n"/>
      <c r="I17" s="50" t="n"/>
      <c r="J17" s="51" t="n"/>
    </row>
    <row r="18">
      <c r="B18" s="46" t="inlineStr">
        <is>
          <t>Insurance</t>
        </is>
      </c>
      <c r="C18" s="47" t="inlineStr">
        <is>
          <t>Wrap (OCIP)</t>
        </is>
      </c>
      <c r="D18" s="6" t="n"/>
      <c r="E18" s="7" t="n"/>
      <c r="F18" s="47" t="inlineStr">
        <is>
          <t>OCIP Enrollment Form + Insurance folder</t>
        </is>
      </c>
      <c r="G18" s="6" t="n"/>
      <c r="H18" s="6" t="n"/>
      <c r="I18" s="6" t="n"/>
      <c r="J18" s="7" t="n"/>
    </row>
    <row r="19">
      <c r="B19" s="48" t="inlineStr">
        <is>
          <t>Plans / Specifications</t>
        </is>
      </c>
      <c r="C19" s="49" t="inlineStr">
        <is>
          <t>Vuecrest plumbing narrative / Div 22 spec (Div 22 plumbing) + P-tag fixture schedule + OWP drawings</t>
        </is>
      </c>
      <c r="D19" s="50" t="n"/>
      <c r="E19" s="51" t="n"/>
      <c r="F19" s="49" t="inlineStr">
        <is>
          <t>Plans/ folder</t>
        </is>
      </c>
      <c r="G19" s="50" t="n"/>
      <c r="H19" s="50" t="n"/>
      <c r="I19" s="50" t="n"/>
      <c r="J19" s="51" t="n"/>
    </row>
    <row r="20">
      <c r="B20" s="46" t="inlineStr">
        <is>
          <t>Fixture Schedule</t>
        </is>
      </c>
      <c r="C20" s="47" t="inlineStr">
        <is>
          <t>Vuecrest P-tag and equipment list working copy.xlsx (137-unit luxury multifamily)</t>
        </is>
      </c>
      <c r="D20" s="6" t="n"/>
      <c r="E20" s="7" t="n"/>
      <c r="F20" s="47" t="inlineStr">
        <is>
          <t>Plans folder</t>
        </is>
      </c>
      <c r="G20" s="6" t="n"/>
      <c r="H20" s="6" t="n"/>
      <c r="I20" s="6" t="n"/>
      <c r="J20" s="7" t="n"/>
    </row>
    <row r="21">
      <c r="B21" s="48" t="inlineStr">
        <is>
          <t>Contract Type</t>
        </is>
      </c>
      <c r="C21" s="49" t="inlineStr">
        <is>
          <t>Lump Sum</t>
        </is>
      </c>
      <c r="D21" s="50" t="n"/>
      <c r="E21" s="51" t="n"/>
      <c r="F21" s="49" t="inlineStr">
        <is>
          <t>Vuecrest-One Way Plumbing Fully Executed 9.26.16.pdf</t>
        </is>
      </c>
      <c r="G21" s="50" t="n"/>
      <c r="H21" s="50" t="n"/>
      <c r="I21" s="50" t="n"/>
      <c r="J21" s="51" t="n"/>
    </row>
    <row r="22">
      <c r="B22" s="46" t="inlineStr">
        <is>
          <t>Unit Count</t>
        </is>
      </c>
      <c r="C22" s="52" t="n">
        <v>137</v>
      </c>
      <c r="D22" s="6" t="n"/>
      <c r="E22" s="7" t="n"/>
      <c r="F22" s="47" t="inlineStr">
        <is>
          <t>Job Info sheet</t>
        </is>
      </c>
      <c r="G22" s="6" t="n"/>
      <c r="H22" s="6" t="n"/>
      <c r="I22" s="6" t="n"/>
      <c r="J22" s="7" t="n"/>
    </row>
    <row r="23">
      <c r="B23" s="48" t="inlineStr">
        <is>
          <t>Work Period</t>
        </is>
      </c>
      <c r="C23" s="49" t="inlineStr">
        <is>
          <t>Sep 2016 start → Nov 2018 last invoice (27 months)</t>
        </is>
      </c>
      <c r="D23" s="50" t="n"/>
      <c r="E23" s="51" t="n"/>
      <c r="F23" s="49" t="inlineStr">
        <is>
          <t>JDR PR/AR dates</t>
        </is>
      </c>
      <c r="G23" s="50" t="n"/>
      <c r="H23" s="50" t="n"/>
      <c r="I23" s="50" t="n"/>
      <c r="J23" s="51" t="n"/>
    </row>
    <row r="24">
      <c r="B24" s="46" t="inlineStr">
        <is>
          <t>Total Unique Documents Reviewed</t>
        </is>
      </c>
      <c r="C24" s="47" t="inlineStr">
        <is>
          <t>1000+ (231 POs, 503 photos, 59 ASI-RFIs, 33 CORs, 22 submittals, 10 permits)</t>
        </is>
      </c>
      <c r="D24" s="6" t="n"/>
      <c r="E24" s="7" t="n"/>
      <c r="F24" s="47" t="inlineStr">
        <is>
          <t>File inventory across owp-2033/ (2033-Compass, Vuecrest)</t>
        </is>
      </c>
      <c r="G24" s="6" t="n"/>
      <c r="H24" s="6" t="n"/>
      <c r="I24" s="6" t="n"/>
      <c r="J24" s="7" t="n"/>
    </row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45" t="inlineStr">
        <is>
          <t>CONTRACT VALUE</t>
        </is>
      </c>
      <c r="D26" s="54" t="inlineStr">
        <is>
          <t>NET PROFIT</t>
        </is>
      </c>
      <c r="F26" s="54" t="inlineStr">
        <is>
          <t>DIRECT COST</t>
        </is>
      </c>
      <c r="H26" s="54" t="inlineStr">
        <is>
          <t>LABOR HOURS</t>
        </is>
      </c>
    </row>
    <row r="27">
      <c r="B27" s="55" t="n">
        <v>2343188</v>
      </c>
      <c r="C27" s="53" t="n"/>
      <c r="D27" s="55" t="n">
        <v>1010507.56</v>
      </c>
      <c r="E27" s="53" t="n"/>
      <c r="F27" s="55" t="n">
        <v>1332680.44</v>
      </c>
      <c r="G27" s="53" t="n"/>
      <c r="H27" s="56" t="n">
        <v>19509</v>
      </c>
      <c r="I27" s="53" t="n"/>
      <c r="J27" s="53" t="n"/>
    </row>
    <row r="28">
      <c r="B28" s="46" t="inlineStr">
        <is>
          <t>Original $2,504,600.00 + ($-161,412.00) COs (-6.44%)</t>
        </is>
      </c>
      <c r="D28" s="47" t="inlineStr">
        <is>
          <t>43.1% margin</t>
        </is>
      </c>
      <c r="F28" s="47" t="inlineStr">
        <is>
          <t>56.9% of revenue</t>
        </is>
      </c>
      <c r="H28" s="47" t="inlineStr">
        <is>
          <t>44 workers</t>
        </is>
      </c>
    </row>
    <row r="29"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</row>
    <row r="30"/>
    <row r="31">
      <c r="B31" s="57" t="inlineStr">
        <is>
          <t>SCOPE OF WORK (from contract + proposal)</t>
        </is>
      </c>
      <c r="C31" s="53" t="n"/>
      <c r="D31" s="53" t="n"/>
      <c r="E31" s="53" t="n"/>
      <c r="F31" s="53" t="n"/>
      <c r="G31" s="53" t="n"/>
      <c r="H31" s="53" t="n"/>
      <c r="I31" s="53" t="n"/>
      <c r="J31" s="53" t="n"/>
    </row>
    <row r="32">
      <c r="B32" s="46" t="inlineStr">
        <is>
          <t>Full plumbing installation: underground, garage, rough-in, finish, gas, water main, insulation, mechanical room, condensate drains.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8" t="inlineStr">
        <is>
          <t>137-unit luxury multifamily new construction (Vuecrest LUX) at 1000 100th Ave NE, Bellevue, WA 98004.</t>
        </is>
      </c>
      <c r="C33" s="50" t="n"/>
      <c r="D33" s="50" t="n"/>
      <c r="E33" s="50" t="n"/>
      <c r="F33" s="50" t="n"/>
      <c r="G33" s="50" t="n"/>
      <c r="H33" s="50" t="n"/>
      <c r="I33" s="50" t="n"/>
      <c r="J33" s="51" t="n"/>
    </row>
    <row r="34">
      <c r="B34" s="46" t="inlineStr">
        <is>
          <t>5 levels above ground + 1 level below grade (per Permits); large UG garage &amp; mechanical room; PSE transformer vault.</t>
        </is>
      </c>
      <c r="C34" s="6" t="n"/>
      <c r="D34" s="6" t="n"/>
      <c r="E34" s="6" t="n"/>
      <c r="F34" s="6" t="n"/>
      <c r="G34" s="6" t="n"/>
      <c r="H34" s="6" t="n"/>
      <c r="I34" s="6" t="n"/>
      <c r="J34" s="7" t="n"/>
    </row>
    <row r="35">
      <c r="B35" s="48" t="inlineStr">
        <is>
          <t>Notable scope: Grease interceptor, PSE oil containment drain, dog-run backflow, rooftop restrooms (deleted), dewatering meter.</t>
        </is>
      </c>
      <c r="C35" s="50" t="n"/>
      <c r="D35" s="50" t="n"/>
      <c r="E35" s="50" t="n"/>
      <c r="F35" s="50" t="n"/>
      <c r="G35" s="50" t="n"/>
      <c r="H35" s="50" t="n"/>
      <c r="I35" s="50" t="n"/>
      <c r="J35" s="51" t="n"/>
    </row>
    <row r="36">
      <c r="B36" s="46" t="inlineStr">
        <is>
          <t>OCIP insurance (wrap program); Compass Harbor as GC; Continental as developer.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8" t="inlineStr">
        <is>
          <t>Spec compliance: City of Bellevue plumbing code + UPC with WA amendments. Permits incl 16-144265-BO (building) and 17-106355-BL (plumbing).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/>
    <row r="39"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</row>
    <row r="40">
      <c r="B40" s="58" t="inlineStr">
        <is>
          <t>SOURCES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</row>
    <row r="41">
      <c r="B41" s="48" t="inlineStr">
        <is>
          <t>Canonical financial source: 2033 Job Detail Report.pdf (Sage Timberline, 04/03/2026, 191 pages)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Job totals (JDR footer): Revenue $2,343,188.00 / Expenses $1,332,680.44 / Net $1,010,507.56 / Retainage $114,309.40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8" t="inlineStr">
        <is>
          <t>Source breakdown: GL $66,431.91 · AP $490,114.66 · PR $776,133.87 · AR $2,343,188.00</t>
        </is>
      </c>
      <c r="C43" s="50" t="n"/>
      <c r="D43" s="50" t="n"/>
      <c r="E43" s="50" t="n"/>
      <c r="F43" s="50" t="n"/>
      <c r="G43" s="50" t="n"/>
      <c r="H43" s="50" t="n"/>
      <c r="I43" s="50" t="n"/>
      <c r="J43" s="51" t="n"/>
    </row>
    <row r="44">
      <c r="B44" s="46" t="inlineStr">
        <is>
          <t>Contract: Vuecrest-One Way Plumbing Fully Executed 9.26.16.pdf (Lump Sum $2,504,600.00 descoped to $2,343,188.00)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48" t="inlineStr">
        <is>
          <t>Fixture schedule: Vuecrest P-tag and equipment list working copy.xlsx</t>
        </is>
      </c>
      <c r="C45" s="50" t="n"/>
      <c r="D45" s="50" t="n"/>
      <c r="E45" s="50" t="n"/>
      <c r="F45" s="50" t="n"/>
      <c r="G45" s="50" t="n"/>
      <c r="H45" s="50" t="n"/>
      <c r="I45" s="50" t="n"/>
      <c r="J45" s="51" t="n"/>
    </row>
    <row r="46">
      <c r="B46" s="46" t="inlineStr">
        <is>
          <t>Plumbing narrative: Vuecrest plumbing narrative / Div 22 spec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48" t="inlineStr">
        <is>
          <t>Change Orders: 18 fully-executed COs in Change Orders/CO_s/ folder; 17 Budget Transfer spreadsheets document $-160,233.00; JDR-implied net $-161,412.00</t>
        </is>
      </c>
      <c r="C47" s="50" t="n"/>
      <c r="D47" s="50" t="n"/>
      <c r="E47" s="50" t="n"/>
      <c r="F47" s="50" t="n"/>
      <c r="G47" s="50" t="n"/>
      <c r="H47" s="50" t="n"/>
      <c r="I47" s="50" t="n"/>
      <c r="J47" s="51" t="n"/>
    </row>
    <row r="48">
      <c r="B48" s="46" t="inlineStr">
        <is>
          <t>COR source: Change Orders/COR_s/ (33 internal Change Order Requests with RFI links)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48" t="inlineStr">
        <is>
          <t>Project Team: Ryan Ames/Vince Dennison (GC PM), Todd Mortenson (GC Sup), Dan Peck (GC PE), Continental (Developer), Victor (OWP RI Foreman)</t>
        </is>
      </c>
      <c r="C49" s="50" t="n"/>
      <c r="D49" s="50" t="n"/>
      <c r="E49" s="50" t="n"/>
      <c r="F49" s="50" t="n"/>
      <c r="G49" s="50" t="n"/>
      <c r="H49" s="50" t="n"/>
      <c r="I49" s="50" t="n"/>
      <c r="J49" s="51" t="n"/>
    </row>
    <row r="50"/>
    <row r="51"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</row>
    <row r="52">
      <c r="B52" s="59" t="inlineStr">
        <is>
          <t>PROJECT TEAM (OWP Job Info)</t>
        </is>
      </c>
    </row>
    <row r="53">
      <c r="B53" s="60" t="inlineStr">
        <is>
          <t>Role</t>
        </is>
      </c>
      <c r="C53" s="61" t="inlineStr">
        <is>
          <t>Status</t>
        </is>
      </c>
      <c r="D53" s="61" t="inlineStr">
        <is>
          <t>Name / Firm</t>
        </is>
      </c>
      <c r="E53" s="53" t="n"/>
      <c r="F53" s="53" t="n"/>
      <c r="G53" s="53" t="n"/>
      <c r="H53" s="53" t="n"/>
      <c r="I53" s="53" t="n"/>
      <c r="J53" s="53" t="n"/>
    </row>
    <row r="54">
      <c r="B54" s="59" t="inlineStr">
        <is>
          <t>GC</t>
        </is>
      </c>
      <c r="C54" s="62" t="inlineStr">
        <is>
          <t>Extracted</t>
        </is>
      </c>
      <c r="D54" s="63" t="inlineStr">
        <is>
          <t>Compass Harbor Construction, LLC</t>
        </is>
      </c>
    </row>
    <row r="55">
      <c r="B55" s="60" t="inlineStr">
        <is>
          <t>GC PM</t>
        </is>
      </c>
      <c r="C55" s="62" t="inlineStr">
        <is>
          <t>Extracted</t>
        </is>
      </c>
      <c r="D55" s="61" t="inlineStr">
        <is>
          <t>Ryan Ames / Vince Dennison</t>
        </is>
      </c>
      <c r="E55" s="53" t="n"/>
      <c r="F55" s="53" t="n"/>
      <c r="G55" s="53" t="n"/>
      <c r="H55" s="53" t="n"/>
      <c r="I55" s="53" t="n"/>
      <c r="J55" s="53" t="n"/>
    </row>
    <row r="56">
      <c r="B56" s="59" t="inlineStr">
        <is>
          <t>GC Superintendent</t>
        </is>
      </c>
      <c r="C56" s="62" t="inlineStr">
        <is>
          <t>Extracted</t>
        </is>
      </c>
      <c r="D56" s="63" t="inlineStr">
        <is>
          <t>Todd Mortenson</t>
        </is>
      </c>
    </row>
    <row r="57">
      <c r="B57" s="60" t="inlineStr">
        <is>
          <t>GC PE</t>
        </is>
      </c>
      <c r="C57" s="62" t="inlineStr">
        <is>
          <t>Extracted</t>
        </is>
      </c>
      <c r="D57" s="61" t="inlineStr">
        <is>
          <t>Dan Peck</t>
        </is>
      </c>
      <c r="E57" s="53" t="n"/>
      <c r="F57" s="53" t="n"/>
      <c r="G57" s="53" t="n"/>
      <c r="H57" s="53" t="n"/>
      <c r="I57" s="53" t="n"/>
      <c r="J57" s="53" t="n"/>
    </row>
    <row r="58">
      <c r="B58" s="59" t="inlineStr">
        <is>
          <t>Developer</t>
        </is>
      </c>
      <c r="C58" s="62" t="inlineStr">
        <is>
          <t>Extracted</t>
        </is>
      </c>
      <c r="D58" s="63" t="inlineStr">
        <is>
          <t>Continental</t>
        </is>
      </c>
    </row>
    <row r="59">
      <c r="B59" s="60" t="inlineStr">
        <is>
          <t>Owner</t>
        </is>
      </c>
      <c r="C59" s="62" t="inlineStr">
        <is>
          <t>Extracted</t>
        </is>
      </c>
      <c r="D59" s="61" t="inlineStr">
        <is>
          <t>Bellevue Vuecrest, LP</t>
        </is>
      </c>
      <c r="E59" s="53" t="n"/>
      <c r="F59" s="53" t="n"/>
      <c r="G59" s="53" t="n"/>
      <c r="H59" s="53" t="n"/>
      <c r="I59" s="53" t="n"/>
      <c r="J59" s="53" t="n"/>
    </row>
    <row r="60">
      <c r="B60" s="59" t="inlineStr">
        <is>
          <t>Architect</t>
        </is>
      </c>
      <c r="C60" s="64" t="inlineStr">
        <is>
          <t>N/A</t>
        </is>
      </c>
      <c r="D60" s="63" t="inlineStr">
        <is>
          <t>N/A</t>
        </is>
      </c>
    </row>
    <row r="61">
      <c r="B61" s="60" t="inlineStr">
        <is>
          <t>Structural</t>
        </is>
      </c>
      <c r="C61" s="64" t="inlineStr">
        <is>
          <t>N/A</t>
        </is>
      </c>
      <c r="D61" s="61" t="inlineStr">
        <is>
          <t>N/A</t>
        </is>
      </c>
      <c r="E61" s="53" t="n"/>
      <c r="F61" s="53" t="n"/>
      <c r="G61" s="53" t="n"/>
      <c r="H61" s="53" t="n"/>
      <c r="I61" s="53" t="n"/>
      <c r="J61" s="53" t="n"/>
    </row>
    <row r="62">
      <c r="B62" s="59" t="inlineStr">
        <is>
          <t>Acoustical</t>
        </is>
      </c>
      <c r="C62" s="64" t="inlineStr">
        <is>
          <t>N/A</t>
        </is>
      </c>
      <c r="D62" s="63" t="inlineStr">
        <is>
          <t>N/A</t>
        </is>
      </c>
    </row>
    <row r="63">
      <c r="B63" s="60" t="inlineStr">
        <is>
          <t>ADA Consultant</t>
        </is>
      </c>
      <c r="C63" s="64" t="inlineStr">
        <is>
          <t>N/A</t>
        </is>
      </c>
      <c r="D63" s="61" t="inlineStr">
        <is>
          <t>N/A</t>
        </is>
      </c>
      <c r="E63" s="53" t="n"/>
      <c r="F63" s="53" t="n"/>
      <c r="G63" s="53" t="n"/>
      <c r="H63" s="53" t="n"/>
      <c r="I63" s="53" t="n"/>
      <c r="J63" s="53" t="n"/>
    </row>
    <row r="64">
      <c r="B64" s="59" t="inlineStr">
        <is>
          <t>Interior Design</t>
        </is>
      </c>
      <c r="C64" s="64" t="inlineStr">
        <is>
          <t>N/A</t>
        </is>
      </c>
      <c r="D64" s="63" t="inlineStr">
        <is>
          <t>N/A</t>
        </is>
      </c>
    </row>
    <row r="65">
      <c r="B65" s="60" t="inlineStr">
        <is>
          <t>MEP Engineer</t>
        </is>
      </c>
      <c r="C65" s="64" t="inlineStr">
        <is>
          <t>N/A</t>
        </is>
      </c>
      <c r="D65" s="61" t="inlineStr">
        <is>
          <t>N/A</t>
        </is>
      </c>
      <c r="E65" s="53" t="n"/>
      <c r="F65" s="53" t="n"/>
      <c r="G65" s="53" t="n"/>
      <c r="H65" s="53" t="n"/>
      <c r="I65" s="53" t="n"/>
      <c r="J65" s="53" t="n"/>
    </row>
    <row r="66">
      <c r="B66" s="59" t="inlineStr">
        <is>
          <t>Insurance</t>
        </is>
      </c>
      <c r="C66" s="62" t="inlineStr">
        <is>
          <t>Extracted</t>
        </is>
      </c>
      <c r="D66" s="63" t="inlineStr">
        <is>
          <t>Wrap (OCIP)</t>
        </is>
      </c>
    </row>
    <row r="67">
      <c r="B67" s="60" t="inlineStr">
        <is>
          <t>OWP RI Foreman</t>
        </is>
      </c>
      <c r="C67" s="62" t="inlineStr">
        <is>
          <t>Extracted</t>
        </is>
      </c>
      <c r="D67" s="61" t="inlineStr">
        <is>
          <t>Victor</t>
        </is>
      </c>
      <c r="E67" s="53" t="n"/>
      <c r="F67" s="53" t="n"/>
      <c r="G67" s="53" t="n"/>
      <c r="H67" s="53" t="n"/>
      <c r="I67" s="53" t="n"/>
      <c r="J67" s="53" t="n"/>
    </row>
  </sheetData>
  <mergeCells count="69">
    <mergeCell ref="C16:E16"/>
    <mergeCell ref="D62:J62"/>
    <mergeCell ref="D56:J56"/>
    <mergeCell ref="F11:J11"/>
    <mergeCell ref="D58:J58"/>
    <mergeCell ref="B42:J42"/>
    <mergeCell ref="F10:J10"/>
    <mergeCell ref="F16:J16"/>
    <mergeCell ref="C22:E22"/>
    <mergeCell ref="C9:E9"/>
    <mergeCell ref="F19:J19"/>
    <mergeCell ref="D55:J55"/>
    <mergeCell ref="F6:J6"/>
    <mergeCell ref="C21:E21"/>
    <mergeCell ref="D64:J64"/>
    <mergeCell ref="C12:E12"/>
    <mergeCell ref="D67:J67"/>
    <mergeCell ref="B44:J44"/>
    <mergeCell ref="F7:J7"/>
    <mergeCell ref="C11:E11"/>
    <mergeCell ref="F15:J15"/>
    <mergeCell ref="F21:J21"/>
    <mergeCell ref="B34:J34"/>
    <mergeCell ref="F12:J12"/>
    <mergeCell ref="F24:J24"/>
    <mergeCell ref="B37:J37"/>
    <mergeCell ref="F20:J20"/>
    <mergeCell ref="C23:E23"/>
    <mergeCell ref="D54:J54"/>
    <mergeCell ref="D59:J59"/>
    <mergeCell ref="C8:E8"/>
    <mergeCell ref="D60:J60"/>
    <mergeCell ref="C17:E17"/>
    <mergeCell ref="F18:J18"/>
    <mergeCell ref="B49:J49"/>
    <mergeCell ref="C7:E7"/>
    <mergeCell ref="D63:J63"/>
    <mergeCell ref="F8:J8"/>
    <mergeCell ref="F17:J17"/>
    <mergeCell ref="B33:J33"/>
    <mergeCell ref="C13:E13"/>
    <mergeCell ref="C19:E19"/>
    <mergeCell ref="B45:J45"/>
    <mergeCell ref="D65:J65"/>
    <mergeCell ref="F23:J23"/>
    <mergeCell ref="B36:J36"/>
    <mergeCell ref="B32:J32"/>
    <mergeCell ref="C18:E18"/>
    <mergeCell ref="B41:J41"/>
    <mergeCell ref="D57:J57"/>
    <mergeCell ref="B35:J35"/>
    <mergeCell ref="F22:J22"/>
    <mergeCell ref="F13:J13"/>
    <mergeCell ref="C15:E15"/>
    <mergeCell ref="B47:J47"/>
    <mergeCell ref="C6:E6"/>
    <mergeCell ref="C24:E24"/>
    <mergeCell ref="F9:J9"/>
    <mergeCell ref="D61:J61"/>
    <mergeCell ref="B3:J3"/>
    <mergeCell ref="C14:E14"/>
    <mergeCell ref="D66:J66"/>
    <mergeCell ref="B46:J46"/>
    <mergeCell ref="B48:J48"/>
    <mergeCell ref="B43:J43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29 cost codes from JDR. Contract $2,504,600 → $2,343,188 (COs -161,412.00 descoped).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11120</v>
      </c>
      <c r="E6" s="66" t="n">
        <v>12269</v>
      </c>
      <c r="F6" s="66" t="n">
        <v>2336.5</v>
      </c>
      <c r="G6" s="67">
        <f>F6-E6</f>
        <v/>
      </c>
      <c r="H6" s="68">
        <f>IF(E6=0,"",F6/E6)</f>
        <v/>
      </c>
      <c r="I6" s="69" t="n">
        <v>47.5</v>
      </c>
      <c r="J6" s="47" t="inlineStr">
        <is>
          <t>2033 Job Detail Report.pdf (Sage Timberline, 04/03/2026, 191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70" t="n">
        <v>20155</v>
      </c>
      <c r="E7" s="70" t="n">
        <v>22018</v>
      </c>
      <c r="F7" s="70" t="n">
        <v>13253</v>
      </c>
      <c r="G7" s="71">
        <f>F7-E7</f>
        <v/>
      </c>
      <c r="H7" s="72">
        <f>IF(E7=0,"",F7/E7)</f>
        <v/>
      </c>
      <c r="I7" s="56" t="n">
        <v>271.5</v>
      </c>
      <c r="J7" s="49" t="inlineStr">
        <is>
          <t>2033 Job Detail Report.pdf (Sage Timberline, 04/03/2026, 191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18900</v>
      </c>
      <c r="E8" s="66" t="n">
        <v>20923</v>
      </c>
      <c r="F8" s="66" t="n">
        <v>24211</v>
      </c>
      <c r="G8" s="67">
        <f>F8-E8</f>
        <v/>
      </c>
      <c r="H8" s="68">
        <f>IF(E8=0,"",F8/E8)</f>
        <v/>
      </c>
      <c r="I8" s="69" t="n">
        <v>761.5</v>
      </c>
      <c r="J8" s="47" t="inlineStr">
        <is>
          <t>2033 Job Detail Report.pdf (Sage Timberline, 04/03/2026, 191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70" t="n">
        <v>62725</v>
      </c>
      <c r="E9" s="70" t="n">
        <v>53811</v>
      </c>
      <c r="F9" s="70" t="n">
        <v>49382</v>
      </c>
      <c r="G9" s="71">
        <f>F9-E9</f>
        <v/>
      </c>
      <c r="H9" s="72">
        <f>IF(E9=0,"",F9/E9)</f>
        <v/>
      </c>
      <c r="I9" s="56" t="n">
        <v>1826.5</v>
      </c>
      <c r="J9" s="49" t="inlineStr">
        <is>
          <t>2033 Job Detail Report.pdf (Sage Timberline, 04/03/2026, 191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6450</v>
      </c>
      <c r="E10" s="66" t="n">
        <v>6533</v>
      </c>
      <c r="F10" s="66" t="n">
        <v>12268.5</v>
      </c>
      <c r="G10" s="67">
        <f>F10-E10</f>
        <v/>
      </c>
      <c r="H10" s="68">
        <f>IF(E10=0,"",F10/E10)</f>
        <v/>
      </c>
      <c r="I10" s="69" t="n">
        <v>414</v>
      </c>
      <c r="J10" s="47" t="inlineStr">
        <is>
          <t>2033 Job Detail Report.pdf (Sage Timberline, 04/03/2026, 191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70" t="n">
        <v>373450</v>
      </c>
      <c r="E11" s="70" t="n">
        <v>329577</v>
      </c>
      <c r="F11" s="70" t="n">
        <v>299136</v>
      </c>
      <c r="G11" s="71">
        <f>F11-E11</f>
        <v/>
      </c>
      <c r="H11" s="72">
        <f>IF(E11=0,"",F11/E11)</f>
        <v/>
      </c>
      <c r="I11" s="56" t="n">
        <v>11450.5</v>
      </c>
      <c r="J11" s="49" t="inlineStr">
        <is>
          <t>2033 Job Detail Report.pdf (Sage Timberline, 04/03/2026, 191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50580</v>
      </c>
      <c r="E12" s="66" t="n">
        <v>51098</v>
      </c>
      <c r="F12" s="66" t="n">
        <v>42783.5</v>
      </c>
      <c r="G12" s="67">
        <f>F12-E12</f>
        <v/>
      </c>
      <c r="H12" s="68">
        <f>IF(E12=0,"",F12/E12)</f>
        <v/>
      </c>
      <c r="I12" s="69" t="n">
        <v>1845</v>
      </c>
      <c r="J12" s="47" t="inlineStr">
        <is>
          <t>2033 Job Detail Report.pdf (Sage Timberline, 04/03/2026, 191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70" t="n">
        <v>3600</v>
      </c>
      <c r="E13" s="70" t="n">
        <v>3600</v>
      </c>
      <c r="F13" s="70" t="n">
        <v>9941.5</v>
      </c>
      <c r="G13" s="71">
        <f>F13-E13</f>
        <v/>
      </c>
      <c r="H13" s="72">
        <f>IF(E13=0,"",F13/E13)</f>
        <v/>
      </c>
      <c r="I13" s="56" t="n">
        <v>324.5</v>
      </c>
      <c r="J13" s="49" t="inlineStr">
        <is>
          <t>2033 Job Detail Report.pdf (Sage Timberline, 04/03/2026, 191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45780</v>
      </c>
      <c r="E14" s="66" t="n">
        <v>47220</v>
      </c>
      <c r="F14" s="66" t="n">
        <v>29860.13</v>
      </c>
      <c r="G14" s="67">
        <f>F14-E14</f>
        <v/>
      </c>
      <c r="H14" s="68">
        <f>IF(E14=0,"",F14/E14)</f>
        <v/>
      </c>
      <c r="I14" s="69" t="n">
        <v>1096</v>
      </c>
      <c r="J14" s="47" t="inlineStr">
        <is>
          <t>2033 Job Detail Report.pdf (Sage Timberline, 04/03/2026, 191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70" t="n">
        <v>18900</v>
      </c>
      <c r="E15" s="70" t="n">
        <v>19400</v>
      </c>
      <c r="F15" s="70" t="n">
        <v>13827</v>
      </c>
      <c r="G15" s="71">
        <f>F15-E15</f>
        <v/>
      </c>
      <c r="H15" s="72">
        <f>IF(E15=0,"",F15/E15)</f>
        <v/>
      </c>
      <c r="I15" s="56" t="n">
        <v>355</v>
      </c>
      <c r="J15" s="49" t="inlineStr">
        <is>
          <t>2033 Job Detail Report.pdf (Sage Timberline, 04/03/2026, 191 pages)</t>
        </is>
      </c>
    </row>
    <row r="16">
      <c r="B16" s="46" t="inlineStr">
        <is>
          <t>143</t>
        </is>
      </c>
      <c r="C16" s="47" t="inlineStr">
        <is>
          <t>Condensation Drains Labor</t>
        </is>
      </c>
      <c r="D16" s="66" t="n">
        <v>0</v>
      </c>
      <c r="E16" s="66" t="n">
        <v>2808</v>
      </c>
      <c r="F16" s="66" t="n">
        <v>29278.5</v>
      </c>
      <c r="G16" s="67">
        <f>F16-E16</f>
        <v/>
      </c>
      <c r="H16" s="68">
        <f>IF(E16=0,"",F16/E16)</f>
        <v/>
      </c>
      <c r="I16" s="69" t="n">
        <v>1117</v>
      </c>
      <c r="J16" s="47" t="inlineStr">
        <is>
          <t>2033 Job Detail Report.pdf (Sage Timberline, 04/03/2026, 191 pages)</t>
        </is>
      </c>
    </row>
    <row r="17">
      <c r="B17" s="48" t="inlineStr">
        <is>
          <t>210</t>
        </is>
      </c>
      <c r="C17" s="49" t="inlineStr">
        <is>
          <t>Underground Material</t>
        </is>
      </c>
      <c r="D17" s="70" t="n">
        <v>35500</v>
      </c>
      <c r="E17" s="70" t="n">
        <v>42333</v>
      </c>
      <c r="F17" s="70" t="n">
        <v>25541.27</v>
      </c>
      <c r="G17" s="71">
        <f>F17-E17</f>
        <v/>
      </c>
      <c r="H17" s="72">
        <f>IF(E17=0,"",F17/E17)</f>
        <v/>
      </c>
      <c r="I17" s="73" t="inlineStr"/>
      <c r="J17" s="49" t="inlineStr">
        <is>
          <t>2033 Job Detail Report.pdf (Sage Timberline, 04/03/2026, 191 pages)</t>
        </is>
      </c>
    </row>
    <row r="18">
      <c r="B18" s="46" t="inlineStr">
        <is>
          <t>211</t>
        </is>
      </c>
      <c r="C18" s="47" t="inlineStr">
        <is>
          <t>Garage Material</t>
        </is>
      </c>
      <c r="D18" s="66" t="n">
        <v>93500</v>
      </c>
      <c r="E18" s="66" t="n">
        <v>71296</v>
      </c>
      <c r="F18" s="66" t="n">
        <v>19980.4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2033 Job Detail Report.pdf (Sage Timberline, 04/03/2026, 191 pages)</t>
        </is>
      </c>
    </row>
    <row r="19">
      <c r="B19" s="48" t="inlineStr">
        <is>
          <t>212</t>
        </is>
      </c>
      <c r="C19" s="49" t="inlineStr">
        <is>
          <t>Canout Material</t>
        </is>
      </c>
      <c r="D19" s="70" t="n">
        <v>7740</v>
      </c>
      <c r="E19" s="70" t="n">
        <v>8272</v>
      </c>
      <c r="F19" s="70" t="n">
        <v>11279.69</v>
      </c>
      <c r="G19" s="71">
        <f>F19-E19</f>
        <v/>
      </c>
      <c r="H19" s="72">
        <f>IF(E19=0,"",F19/E19)</f>
        <v/>
      </c>
      <c r="I19" s="73" t="inlineStr"/>
      <c r="J19" s="49" t="inlineStr">
        <is>
          <t>2033 Job Detail Report.pdf (Sage Timberline, 04/03/2026, 191 pages)</t>
        </is>
      </c>
    </row>
    <row r="20">
      <c r="B20" s="46" t="inlineStr">
        <is>
          <t>220</t>
        </is>
      </c>
      <c r="C20" s="47" t="inlineStr">
        <is>
          <t>Roughin Material</t>
        </is>
      </c>
      <c r="D20" s="66" t="n">
        <v>294400</v>
      </c>
      <c r="E20" s="66" t="n">
        <v>171617</v>
      </c>
      <c r="F20" s="66" t="n">
        <v>67263.77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2033 Job Detail Report.pdf (Sage Timberline, 04/03/2026, 191 pages)</t>
        </is>
      </c>
    </row>
    <row r="21">
      <c r="B21" s="48" t="inlineStr">
        <is>
          <t>230</t>
        </is>
      </c>
      <c r="C21" s="49" t="inlineStr">
        <is>
          <t>Finish Material</t>
        </is>
      </c>
      <c r="D21" s="70" t="n">
        <v>222560</v>
      </c>
      <c r="E21" s="70" t="n">
        <v>197050</v>
      </c>
      <c r="F21" s="70" t="n">
        <v>219513.43</v>
      </c>
      <c r="G21" s="71">
        <f>F21-E21</f>
        <v/>
      </c>
      <c r="H21" s="72">
        <f>IF(E21=0,"",F21/E21)</f>
        <v/>
      </c>
      <c r="I21" s="73" t="inlineStr"/>
      <c r="J21" s="49" t="inlineStr">
        <is>
          <t>2033 Job Detail Report.pdf (Sage Timberline, 04/03/2026, 191 pages)</t>
        </is>
      </c>
    </row>
    <row r="22">
      <c r="B22" s="46" t="inlineStr">
        <is>
          <t>240</t>
        </is>
      </c>
      <c r="C22" s="47" t="inlineStr">
        <is>
          <t>Gas Material</t>
        </is>
      </c>
      <c r="D22" s="66" t="n">
        <v>11600</v>
      </c>
      <c r="E22" s="66" t="n">
        <v>11600</v>
      </c>
      <c r="F22" s="66" t="n">
        <v>2339.62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2033 Job Detail Report.pdf (Sage Timberline, 04/03/2026, 191 pages)</t>
        </is>
      </c>
    </row>
    <row r="23">
      <c r="B23" s="48" t="inlineStr">
        <is>
          <t>241</t>
        </is>
      </c>
      <c r="C23" s="49" t="inlineStr">
        <is>
          <t>Water Main/Insulation Mat</t>
        </is>
      </c>
      <c r="D23" s="70" t="n">
        <v>59175</v>
      </c>
      <c r="E23" s="70" t="n">
        <v>59933</v>
      </c>
      <c r="F23" s="70" t="n">
        <v>67464.44</v>
      </c>
      <c r="G23" s="71">
        <f>F23-E23</f>
        <v/>
      </c>
      <c r="H23" s="72">
        <f>IF(E23=0,"",F23/E23)</f>
        <v/>
      </c>
      <c r="I23" s="73" t="inlineStr"/>
      <c r="J23" s="49" t="inlineStr">
        <is>
          <t>2033 Job Detail Report.pdf (Sage Timberline, 04/03/2026, 191 pages)</t>
        </is>
      </c>
    </row>
    <row r="24">
      <c r="B24" s="46" t="inlineStr">
        <is>
          <t>242</t>
        </is>
      </c>
      <c r="C24" s="47" t="inlineStr">
        <is>
          <t>Mech Room Material</t>
        </is>
      </c>
      <c r="D24" s="66" t="n">
        <v>125650</v>
      </c>
      <c r="E24" s="66" t="n">
        <v>127123</v>
      </c>
      <c r="F24" s="66" t="n">
        <v>43786.76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2033 Job Detail Report.pdf (Sage Timberline, 04/03/2026, 191 pages)</t>
        </is>
      </c>
    </row>
    <row r="25">
      <c r="B25" s="48" t="inlineStr">
        <is>
          <t>243</t>
        </is>
      </c>
      <c r="C25" s="49" t="inlineStr">
        <is>
          <t>Condensation Drains Mat</t>
        </is>
      </c>
      <c r="D25" s="70" t="n">
        <v>0</v>
      </c>
      <c r="E25" s="70" t="n">
        <v>2294</v>
      </c>
      <c r="F25" s="70" t="n">
        <v>3093.95</v>
      </c>
      <c r="G25" s="71">
        <f>F25-E25</f>
        <v/>
      </c>
      <c r="H25" s="72">
        <f>IF(E25=0,"",F25/E25)</f>
        <v/>
      </c>
      <c r="I25" s="73" t="inlineStr"/>
      <c r="J25" s="49" t="inlineStr">
        <is>
          <t>2033 Job Detail Report.pdf (Sage Timberline, 04/03/2026, 191 pages)</t>
        </is>
      </c>
    </row>
    <row r="26">
      <c r="B26" s="46" t="inlineStr">
        <is>
          <t>330</t>
        </is>
      </c>
      <c r="C26" s="47" t="inlineStr">
        <is>
          <t>Flats Finish Labor</t>
        </is>
      </c>
      <c r="D26" s="66" t="n">
        <v>0</v>
      </c>
      <c r="E26" s="66" t="n">
        <v>0</v>
      </c>
      <c r="F26" s="66" t="n">
        <v>0</v>
      </c>
      <c r="G26" s="67">
        <f>F26-E26</f>
        <v/>
      </c>
      <c r="H26" s="68">
        <f>IF(E26=0,"",F26/E26)</f>
        <v/>
      </c>
      <c r="I26" s="17" t="inlineStr"/>
      <c r="J26" s="47" t="inlineStr">
        <is>
          <t>2033 Job Detail Report.pdf (Sage Timberline, 04/03/2026, 191 pages)</t>
        </is>
      </c>
    </row>
    <row r="27">
      <c r="B27" s="48" t="inlineStr">
        <is>
          <t>600</t>
        </is>
      </c>
      <c r="C27" s="49" t="inlineStr">
        <is>
          <t>Subcontractor</t>
        </is>
      </c>
      <c r="D27" s="70" t="n">
        <v>1000</v>
      </c>
      <c r="E27" s="70" t="n">
        <v>1165</v>
      </c>
      <c r="F27" s="70" t="n">
        <v>230</v>
      </c>
      <c r="G27" s="71">
        <f>F27-E27</f>
        <v/>
      </c>
      <c r="H27" s="72">
        <f>IF(E27=0,"",F27/E27)</f>
        <v/>
      </c>
      <c r="I27" s="73" t="inlineStr"/>
      <c r="J27" s="49" t="inlineStr">
        <is>
          <t>2033 Job Detail Report.pdf (Sage Timberline, 04/03/2026, 191 pages)</t>
        </is>
      </c>
    </row>
    <row r="28">
      <c r="B28" s="46" t="inlineStr">
        <is>
          <t>601</t>
        </is>
      </c>
      <c r="C28" s="47" t="inlineStr">
        <is>
          <t>Engineering/Plans</t>
        </is>
      </c>
      <c r="D28" s="66" t="n">
        <v>55000</v>
      </c>
      <c r="E28" s="66" t="n">
        <v>57485</v>
      </c>
      <c r="F28" s="66" t="n">
        <v>60958.25</v>
      </c>
      <c r="G28" s="67">
        <f>F28-E28</f>
        <v/>
      </c>
      <c r="H28" s="68">
        <f>IF(E28=0,"",F28/E28)</f>
        <v/>
      </c>
      <c r="I28" s="17" t="inlineStr"/>
      <c r="J28" s="47" t="inlineStr">
        <is>
          <t>2033 Job Detail Report.pdf (Sage Timberline, 04/03/2026, 191 pages)</t>
        </is>
      </c>
    </row>
    <row r="29">
      <c r="B29" s="48" t="inlineStr">
        <is>
          <t>602</t>
        </is>
      </c>
      <c r="C29" s="49" t="inlineStr">
        <is>
          <t>Rental Equipment</t>
        </is>
      </c>
      <c r="D29" s="70" t="n">
        <v>3000</v>
      </c>
      <c r="E29" s="70" t="n">
        <v>3117</v>
      </c>
      <c r="F29" s="70" t="n">
        <v>316.54</v>
      </c>
      <c r="G29" s="71">
        <f>F29-E29</f>
        <v/>
      </c>
      <c r="H29" s="72">
        <f>IF(E29=0,"",F29/E29)</f>
        <v/>
      </c>
      <c r="I29" s="73" t="inlineStr"/>
      <c r="J29" s="49" t="inlineStr">
        <is>
          <t>2033 Job Detail Report.pdf (Sage Timberline, 04/03/2026, 191 pages)</t>
        </is>
      </c>
    </row>
    <row r="30">
      <c r="B30" s="46" t="inlineStr">
        <is>
          <t>603</t>
        </is>
      </c>
      <c r="C30" s="47" t="inlineStr">
        <is>
          <t>Permits &amp; Licenses</t>
        </is>
      </c>
      <c r="D30" s="66" t="n">
        <v>21300</v>
      </c>
      <c r="E30" s="66" t="n">
        <v>22604</v>
      </c>
      <c r="F30" s="66" t="n">
        <v>21161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2033 Job Detail Report.pdf (Sage Timberline, 04/03/2026, 191 pages)</t>
        </is>
      </c>
    </row>
    <row r="31">
      <c r="B31" s="48" t="inlineStr">
        <is>
          <t>607</t>
        </is>
      </c>
      <c r="C31" s="49" t="inlineStr">
        <is>
          <t>Other Expenses</t>
        </is>
      </c>
      <c r="D31" s="70" t="n">
        <v>11000</v>
      </c>
      <c r="E31" s="70" t="n">
        <v>11000</v>
      </c>
      <c r="F31" s="70" t="n">
        <v>13617.45</v>
      </c>
      <c r="G31" s="71">
        <f>F31-E31</f>
        <v/>
      </c>
      <c r="H31" s="72">
        <f>IF(E31=0,"",F31/E31)</f>
        <v/>
      </c>
      <c r="I31" s="73" t="inlineStr"/>
      <c r="J31" s="49" t="inlineStr">
        <is>
          <t>2033 Job Detail Report.pdf (Sage Timberline, 04/03/2026, 191 pages)</t>
        </is>
      </c>
    </row>
    <row r="32">
      <c r="B32" s="46" t="inlineStr">
        <is>
          <t>995</t>
        </is>
      </c>
      <c r="C32" s="47" t="inlineStr">
        <is>
          <t>Payroll Burden</t>
        </is>
      </c>
      <c r="D32" s="66" t="n">
        <v>234571.61</v>
      </c>
      <c r="E32" s="66" t="n">
        <v>218627.35</v>
      </c>
      <c r="F32" s="66" t="n">
        <v>209595.74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2033 Job Detail Report.pdf (Sage Timberline, 04/03/2026, 191 pages)</t>
        </is>
      </c>
    </row>
    <row r="33">
      <c r="B33" s="48" t="inlineStr">
        <is>
          <t>998</t>
        </is>
      </c>
      <c r="C33" s="49" t="inlineStr">
        <is>
          <t>Payroll Taxes</t>
        </is>
      </c>
      <c r="D33" s="70" t="n">
        <v>46791.99</v>
      </c>
      <c r="E33" s="70" t="n">
        <v>43548.16</v>
      </c>
      <c r="F33" s="70" t="n">
        <v>40260.5</v>
      </c>
      <c r="G33" s="71">
        <f>F33-E33</f>
        <v/>
      </c>
      <c r="H33" s="72">
        <f>IF(E33=0,"",F33/E33)</f>
        <v/>
      </c>
      <c r="I33" s="73" t="inlineStr"/>
      <c r="J33" s="49" t="inlineStr">
        <is>
          <t>2033 Job Detail Report.pdf (Sage Timberline, 04/03/2026, 191 pages)</t>
        </is>
      </c>
    </row>
    <row r="34">
      <c r="B34" s="46" t="inlineStr">
        <is>
          <t>999</t>
        </is>
      </c>
      <c r="C34" s="47" t="inlineStr">
        <is>
          <t>Sales</t>
        </is>
      </c>
      <c r="D34" s="66" t="n">
        <v>-2504600</v>
      </c>
      <c r="E34" s="66" t="n">
        <v>-2343188</v>
      </c>
      <c r="F34" s="66" t="n">
        <v>-2343188</v>
      </c>
      <c r="G34" s="67">
        <f>F34-E34</f>
        <v/>
      </c>
      <c r="H34" s="68">
        <f>IF(E34=0,"",F34/E34)</f>
        <v/>
      </c>
      <c r="I34" s="17" t="inlineStr"/>
      <c r="J34" s="47" t="inlineStr">
        <is>
          <t>2033 Job Detail Report.pdf (Sage Timberline, 04/03/2026, 191 pages)</t>
        </is>
      </c>
    </row>
    <row r="35">
      <c r="B35" s="74" t="inlineStr">
        <is>
          <t>TOTAL</t>
        </is>
      </c>
      <c r="C35" s="53" t="n"/>
      <c r="D35" s="71">
        <f>SUM(D6:D34)</f>
        <v/>
      </c>
      <c r="E35" s="71">
        <f>SUM(E6:E34)</f>
        <v/>
      </c>
      <c r="F35" s="71">
        <f>SUM(F6:F34)</f>
        <v/>
      </c>
      <c r="G35" s="71">
        <f>F35-E35</f>
        <v/>
      </c>
      <c r="H35" s="53" t="n"/>
      <c r="I35" s="75">
        <f>SUM(I6:I34)</f>
        <v/>
      </c>
      <c r="J35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100,101,110,111,112,120,130,140,141,142,143</t>
        </is>
      </c>
      <c r="D6" s="76" t="n">
        <v>526277.63</v>
      </c>
      <c r="E6" s="68">
        <f>D6/$D$11</f>
        <v/>
      </c>
      <c r="F6" s="68">
        <f>D6/2343188.0</f>
        <v/>
      </c>
      <c r="G6" s="47" t="inlineStr">
        <is>
          <t>2033 Job Detail Report.pdf (Sage Timberline, 04/03/2026, 191 pages)</t>
        </is>
      </c>
    </row>
    <row r="7">
      <c r="B7" s="48" t="inlineStr">
        <is>
          <t>Material</t>
        </is>
      </c>
      <c r="C7" s="49" t="inlineStr">
        <is>
          <t>210,211,212,220,230,240,241,242,243</t>
        </is>
      </c>
      <c r="D7" s="55" t="n">
        <v>460263.33</v>
      </c>
      <c r="E7" s="72">
        <f>D7/$D$11</f>
        <v/>
      </c>
      <c r="F7" s="72">
        <f>D7/2343188.0</f>
        <v/>
      </c>
      <c r="G7" s="49" t="inlineStr">
        <is>
          <t>2033 Job Detail Report.pdf (Sage Timberline, 04/03/2026, 191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600,601,602,603,607</t>
        </is>
      </c>
      <c r="D8" s="76" t="n">
        <v>96283.24000000001</v>
      </c>
      <c r="E8" s="68">
        <f>D8/$D$11</f>
        <v/>
      </c>
      <c r="F8" s="68">
        <f>D8/2343188.0</f>
        <v/>
      </c>
      <c r="G8" s="47" t="inlineStr">
        <is>
          <t>2033 Job Detail Report.pdf (Sage Timberline, 04/03/2026, 191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55" t="n">
        <v>209595.74</v>
      </c>
      <c r="E9" s="72">
        <f>D9/$D$11</f>
        <v/>
      </c>
      <c r="F9" s="72">
        <f>D9/2343188.0</f>
        <v/>
      </c>
      <c r="G9" s="49" t="inlineStr">
        <is>
          <t>2033 Job Detail Report.pdf (Sage Timberline, 04/03/2026, 191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76" t="n">
        <v>40260.5</v>
      </c>
      <c r="E10" s="68">
        <f>D10/$D$11</f>
        <v/>
      </c>
      <c r="F10" s="68">
        <f>D10/2343188.0</f>
        <v/>
      </c>
      <c r="G10" s="47" t="inlineStr">
        <is>
          <t>2033 Job Detail Report.pdf (Sage Timberline, 04/03/2026, 191 pages)</t>
        </is>
      </c>
    </row>
    <row r="11">
      <c r="B11" s="74" t="inlineStr">
        <is>
          <t>TOTAL DIRECT COST</t>
        </is>
      </c>
      <c r="C11" s="53" t="n"/>
      <c r="D11" s="77">
        <f>SUM(D6:D10)</f>
        <v/>
      </c>
      <c r="E11" s="78" t="n">
        <v>1</v>
      </c>
      <c r="F11" s="72">
        <f>D11/2343188.0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2033RS</t>
        </is>
      </c>
      <c r="C6" s="47" t="inlineStr">
        <is>
          <t>Rosen Supply Company, Inc. $Vuecrest</t>
        </is>
      </c>
      <c r="D6" s="66" t="n">
        <v>169567.03</v>
      </c>
      <c r="E6" s="52" t="n">
        <v>110</v>
      </c>
      <c r="F6" s="47" t="inlineStr">
        <is>
          <t>Plumbing / Supplies</t>
        </is>
      </c>
      <c r="G6" s="47" t="inlineStr">
        <is>
          <t>2033 Job Detail Report.pdf (Sage Timberline, 04/03/2026, 191 pages)</t>
        </is>
      </c>
    </row>
    <row r="7">
      <c r="B7" s="48" t="inlineStr">
        <is>
          <t>2033KS</t>
        </is>
      </c>
      <c r="C7" s="49" t="inlineStr">
        <is>
          <t>Keller Supply Co. $Vuecrest</t>
        </is>
      </c>
      <c r="D7" s="70" t="n">
        <v>73436.14</v>
      </c>
      <c r="E7" s="79" t="n">
        <v>66</v>
      </c>
      <c r="F7" s="49" t="inlineStr">
        <is>
          <t>Plumbing / Supplies</t>
        </is>
      </c>
      <c r="G7" s="49" t="inlineStr">
        <is>
          <t>2033 Job Detail Report.pdf (Sage Timberline, 04/03/2026, 191 pages)</t>
        </is>
      </c>
      <c r="H7" s="53" t="n"/>
      <c r="I7" s="53" t="n"/>
      <c r="J7" s="53" t="n"/>
    </row>
    <row r="8">
      <c r="B8" s="46" t="inlineStr">
        <is>
          <t>1625FE</t>
        </is>
      </c>
      <c r="C8" s="47" t="inlineStr">
        <is>
          <t>Franklin Engineering</t>
        </is>
      </c>
      <c r="D8" s="66" t="n">
        <v>60958.25</v>
      </c>
      <c r="E8" s="52" t="n">
        <v>11</v>
      </c>
      <c r="F8" s="47" t="inlineStr">
        <is>
          <t>Engineering (601)</t>
        </is>
      </c>
      <c r="G8" s="47" t="inlineStr">
        <is>
          <t>2033 Job Detail Report.pdf (Sage Timberline, 04/03/2026, 191 pages)</t>
        </is>
      </c>
    </row>
    <row r="9">
      <c r="B9" s="48" t="inlineStr">
        <is>
          <t>2033CS</t>
        </is>
      </c>
      <c r="C9" s="49" t="inlineStr">
        <is>
          <t>Consolidated Supply Co. $Vuecrest</t>
        </is>
      </c>
      <c r="D9" s="70" t="n">
        <v>57576.74</v>
      </c>
      <c r="E9" s="79" t="n">
        <v>26</v>
      </c>
      <c r="F9" s="49" t="inlineStr">
        <is>
          <t>Plumbing / Supplies</t>
        </is>
      </c>
      <c r="G9" s="49" t="inlineStr">
        <is>
          <t>2033 Job Detail Report.pdf (Sage Timberline, 04/03/2026, 191 pages)</t>
        </is>
      </c>
      <c r="H9" s="53" t="n"/>
      <c r="I9" s="53" t="n"/>
      <c r="J9" s="53" t="n"/>
    </row>
    <row r="10">
      <c r="B10" s="46" t="inlineStr">
        <is>
          <t>1231KS</t>
        </is>
      </c>
      <c r="C10" s="47" t="inlineStr">
        <is>
          <t>Keller Supply Company</t>
        </is>
      </c>
      <c r="D10" s="66" t="n">
        <v>32201.96000000002</v>
      </c>
      <c r="E10" s="52" t="n">
        <v>33</v>
      </c>
      <c r="F10" s="47" t="inlineStr">
        <is>
          <t>Plumbing / Supplies</t>
        </is>
      </c>
      <c r="G10" s="47" t="inlineStr">
        <is>
          <t>2033 Job Detail Report.pdf (Sage Timberline, 04/03/2026, 191 pages)</t>
        </is>
      </c>
    </row>
    <row r="11">
      <c r="B11" s="48" t="inlineStr">
        <is>
          <t>3612MS</t>
        </is>
      </c>
      <c r="C11" s="49" t="inlineStr">
        <is>
          <t>Mechanical Sales, Inc.</t>
        </is>
      </c>
      <c r="D11" s="70" t="n">
        <v>25111.34</v>
      </c>
      <c r="E11" s="79" t="n">
        <v>3</v>
      </c>
      <c r="F11" s="49" t="inlineStr">
        <is>
          <t>Plumbing / Supplies</t>
        </is>
      </c>
      <c r="G11" s="49" t="inlineStr">
        <is>
          <t>2033 Job Detail Report.pdf (Sage Timberline, 04/03/2026, 191 pages)</t>
        </is>
      </c>
      <c r="H11" s="53" t="n"/>
      <c r="I11" s="53" t="n"/>
      <c r="J11" s="53" t="n"/>
    </row>
    <row r="12">
      <c r="B12" s="46" t="inlineStr">
        <is>
          <t>1234BA</t>
        </is>
      </c>
      <c r="C12" s="47" t="inlineStr">
        <is>
          <t>Bank of America CC</t>
        </is>
      </c>
      <c r="D12" s="66" t="n">
        <v>20689.89</v>
      </c>
      <c r="E12" s="52" t="n">
        <v>7</v>
      </c>
      <c r="F12" s="47" t="inlineStr">
        <is>
          <t>Credit Card (mixed)</t>
        </is>
      </c>
      <c r="G12" s="47" t="inlineStr">
        <is>
          <t>2033 Job Detail Report.pdf (Sage Timberline, 04/03/2026, 191 pages)</t>
        </is>
      </c>
    </row>
    <row r="13">
      <c r="B13" s="48" t="inlineStr">
        <is>
          <t>2030KS</t>
        </is>
      </c>
      <c r="C13" s="49" t="inlineStr">
        <is>
          <t>Keller Supply Co. $East Union</t>
        </is>
      </c>
      <c r="D13" s="70" t="n">
        <v>14336.13</v>
      </c>
      <c r="E13" s="79" t="n">
        <v>1</v>
      </c>
      <c r="F13" s="49" t="inlineStr">
        <is>
          <t>Plumbing / Supplies</t>
        </is>
      </c>
      <c r="G13" s="49" t="inlineStr">
        <is>
          <t>2033 Job Detail Report.pdf (Sage Timberline, 04/03/2026, 191 pages)</t>
        </is>
      </c>
      <c r="H13" s="53" t="n"/>
      <c r="I13" s="53" t="n"/>
      <c r="J13" s="53" t="n"/>
    </row>
    <row r="14">
      <c r="B14" s="46" t="inlineStr">
        <is>
          <t>1234CO</t>
        </is>
      </c>
      <c r="C14" s="47" t="inlineStr">
        <is>
          <t>Capital One Credit Card</t>
        </is>
      </c>
      <c r="D14" s="66" t="n">
        <v>10385.09</v>
      </c>
      <c r="E14" s="52" t="n">
        <v>34</v>
      </c>
      <c r="F14" s="47" t="inlineStr">
        <is>
          <t>Credit Card (mixed)</t>
        </is>
      </c>
      <c r="G14" s="47" t="inlineStr">
        <is>
          <t>2033 Job Detail Report.pdf (Sage Timberline, 04/03/2026, 191 pages)</t>
        </is>
      </c>
    </row>
    <row r="15">
      <c r="B15" s="48" t="inlineStr">
        <is>
          <t>1609QC</t>
        </is>
      </c>
      <c r="C15" s="49" t="inlineStr">
        <is>
          <t>Quality Concrete Products, Inc. $32</t>
        </is>
      </c>
      <c r="D15" s="70" t="n">
        <v>6577</v>
      </c>
      <c r="E15" s="79" t="n">
        <v>4</v>
      </c>
      <c r="F15" s="49" t="inlineStr">
        <is>
          <t>Uncategorized</t>
        </is>
      </c>
      <c r="G15" s="49" t="inlineStr">
        <is>
          <t>2033 Job Detail Report.pdf (Sage Timberline, 04/03/2026, 191 pages)</t>
        </is>
      </c>
      <c r="H15" s="53" t="n"/>
      <c r="I15" s="53" t="n"/>
      <c r="J15" s="53" t="n"/>
    </row>
    <row r="16">
      <c r="B16" s="46" t="inlineStr">
        <is>
          <t>9905SG</t>
        </is>
      </c>
      <c r="C16" s="47" t="inlineStr">
        <is>
          <t>Susan Gibson $2033 Vuecrest</t>
        </is>
      </c>
      <c r="D16" s="66" t="n">
        <v>5466.67</v>
      </c>
      <c r="E16" s="52" t="n">
        <v>22</v>
      </c>
      <c r="F16" s="47" t="inlineStr">
        <is>
          <t>Uncategorized</t>
        </is>
      </c>
      <c r="G16" s="47" t="inlineStr">
        <is>
          <t>2033 Job Detail Report.pdf (Sage Timberline, 04/03/2026, 191 pages)</t>
        </is>
      </c>
    </row>
    <row r="17">
      <c r="B17" s="48" t="inlineStr">
        <is>
          <t>2033FE</t>
        </is>
      </c>
      <c r="C17" s="49" t="inlineStr">
        <is>
          <t>Ferguson Enterprises, Inc. $Vuecrest</t>
        </is>
      </c>
      <c r="D17" s="70" t="n">
        <v>5136.25</v>
      </c>
      <c r="E17" s="79" t="n">
        <v>7</v>
      </c>
      <c r="F17" s="49" t="inlineStr">
        <is>
          <t>Plumbing / Supplies</t>
        </is>
      </c>
      <c r="G17" s="49" t="inlineStr">
        <is>
          <t>2033 Job Detail Report.pdf (Sage Timberline, 04/03/2026, 191 pages)</t>
        </is>
      </c>
      <c r="H17" s="53" t="n"/>
      <c r="I17" s="53" t="n"/>
      <c r="J17" s="53" t="n"/>
    </row>
    <row r="18">
      <c r="B18" s="46" t="inlineStr">
        <is>
          <t>7423OC</t>
        </is>
      </c>
      <c r="C18" s="47" t="inlineStr">
        <is>
          <t>Old Castle Infrastructure, Inc.</t>
        </is>
      </c>
      <c r="D18" s="66" t="n">
        <v>3772</v>
      </c>
      <c r="E18" s="52" t="n">
        <v>2</v>
      </c>
      <c r="F18" s="47" t="inlineStr">
        <is>
          <t>Uncategorized</t>
        </is>
      </c>
      <c r="G18" s="47" t="inlineStr">
        <is>
          <t>2033 Job Detail Report.pdf (Sage Timberline, 04/03/2026, 191 pages)</t>
        </is>
      </c>
    </row>
    <row r="19">
      <c r="B19" s="48" t="inlineStr">
        <is>
          <t>1380RS</t>
        </is>
      </c>
      <c r="C19" s="49" t="inlineStr">
        <is>
          <t>Rosen Supply Kirkland</t>
        </is>
      </c>
      <c r="D19" s="70" t="n">
        <v>1500.69</v>
      </c>
      <c r="E19" s="79" t="n">
        <v>12</v>
      </c>
      <c r="F19" s="49" t="inlineStr">
        <is>
          <t>Plumbing / Supplies</t>
        </is>
      </c>
      <c r="G19" s="49" t="inlineStr">
        <is>
          <t>2033 Job Detail Report.pdf (Sage Timberline, 04/03/2026, 191 pages)</t>
        </is>
      </c>
      <c r="H19" s="53" t="n"/>
      <c r="I19" s="53" t="n"/>
      <c r="J19" s="53" t="n"/>
    </row>
    <row r="20">
      <c r="B20" s="46" t="inlineStr">
        <is>
          <t>1303CM</t>
        </is>
      </c>
      <c r="C20" s="47" t="inlineStr">
        <is>
          <t>C.M. Hoskins Company</t>
        </is>
      </c>
      <c r="D20" s="66" t="n">
        <v>810</v>
      </c>
      <c r="E20" s="52" t="n">
        <v>2</v>
      </c>
      <c r="F20" s="47" t="inlineStr">
        <is>
          <t>Uncategorized</t>
        </is>
      </c>
      <c r="G20" s="47" t="inlineStr">
        <is>
          <t>2033 Job Detail Report.pdf (Sage Timberline, 04/03/2026, 191 pages)</t>
        </is>
      </c>
    </row>
    <row r="21">
      <c r="B21" s="48" t="inlineStr">
        <is>
          <t>2132MH</t>
        </is>
      </c>
      <c r="C21" s="49" t="inlineStr">
        <is>
          <t>Manor Hardware &amp; Construction Supply</t>
        </is>
      </c>
      <c r="D21" s="70" t="n">
        <v>611.52</v>
      </c>
      <c r="E21" s="79" t="n">
        <v>1</v>
      </c>
      <c r="F21" s="49" t="inlineStr">
        <is>
          <t>Plumbing / Supplies</t>
        </is>
      </c>
      <c r="G21" s="49" t="inlineStr">
        <is>
          <t>2033 Job Detail Report.pdf (Sage Timberline, 04/03/2026, 191 pages)</t>
        </is>
      </c>
      <c r="H21" s="53" t="n"/>
      <c r="I21" s="53" t="n"/>
      <c r="J21" s="53" t="n"/>
    </row>
    <row r="22">
      <c r="B22" s="46" t="inlineStr">
        <is>
          <t>1130CS</t>
        </is>
      </c>
      <c r="C22" s="47" t="inlineStr">
        <is>
          <t>Consolidated Supply Co.</t>
        </is>
      </c>
      <c r="D22" s="66" t="n">
        <v>525.77</v>
      </c>
      <c r="E22" s="52" t="n">
        <v>1</v>
      </c>
      <c r="F22" s="47" t="inlineStr">
        <is>
          <t>Plumbing / Supplies</t>
        </is>
      </c>
      <c r="G22" s="47" t="inlineStr">
        <is>
          <t>2033 Job Detail Report.pdf (Sage Timberline, 04/03/2026, 191 pages)</t>
        </is>
      </c>
    </row>
    <row r="23">
      <c r="B23" s="48" t="inlineStr">
        <is>
          <t>5560CH</t>
        </is>
      </c>
      <c r="C23" s="49" t="inlineStr">
        <is>
          <t>California Hydronics Corp</t>
        </is>
      </c>
      <c r="D23" s="70" t="n">
        <v>465</v>
      </c>
      <c r="E23" s="79" t="n">
        <v>1</v>
      </c>
      <c r="F23" s="49" t="inlineStr">
        <is>
          <t>Uncategorized</t>
        </is>
      </c>
      <c r="G23" s="49" t="inlineStr">
        <is>
          <t>2033 Job Detail Report.pdf (Sage Timberline, 04/03/2026, 191 pages)</t>
        </is>
      </c>
      <c r="H23" s="53" t="n"/>
      <c r="I23" s="53" t="n"/>
      <c r="J23" s="53" t="n"/>
    </row>
    <row r="24">
      <c r="B24" s="46" t="inlineStr">
        <is>
          <t>1799AW</t>
        </is>
      </c>
      <c r="C24" s="47" t="inlineStr">
        <is>
          <t>AllWest Underground, Inc.</t>
        </is>
      </c>
      <c r="D24" s="66" t="n">
        <v>316.54</v>
      </c>
      <c r="E24" s="52" t="n">
        <v>2</v>
      </c>
      <c r="F24" s="47" t="inlineStr">
        <is>
          <t>Uncategorized</t>
        </is>
      </c>
      <c r="G24" s="47" t="inlineStr">
        <is>
          <t>2033 Job Detail Report.pdf (Sage Timberline, 04/03/2026, 191 pages)</t>
        </is>
      </c>
    </row>
    <row r="25">
      <c r="B25" s="48" t="inlineStr">
        <is>
          <t>1234SD</t>
        </is>
      </c>
      <c r="C25" s="49" t="inlineStr">
        <is>
          <t>Shirley Dennison</t>
        </is>
      </c>
      <c r="D25" s="70" t="n">
        <v>250</v>
      </c>
      <c r="E25" s="79" t="n">
        <v>1</v>
      </c>
      <c r="F25" s="49" t="inlineStr">
        <is>
          <t>Uncategorized</t>
        </is>
      </c>
      <c r="G25" s="49" t="inlineStr">
        <is>
          <t>2033 Job Detail Report.pdf (Sage Timberline, 04/03/2026, 191 pages)</t>
        </is>
      </c>
      <c r="H25" s="53" t="n"/>
      <c r="I25" s="53" t="n"/>
      <c r="J25" s="53" t="n"/>
    </row>
    <row r="26">
      <c r="B26" s="46" t="inlineStr">
        <is>
          <t>1421RA</t>
        </is>
      </c>
      <c r="C26" s="47" t="inlineStr">
        <is>
          <t>R.A. Brown Backflow Testing</t>
        </is>
      </c>
      <c r="D26" s="66" t="n">
        <v>230</v>
      </c>
      <c r="E26" s="52" t="n">
        <v>2</v>
      </c>
      <c r="F26" s="47" t="inlineStr">
        <is>
          <t>Testing subcontractor</t>
        </is>
      </c>
      <c r="G26" s="47" t="inlineStr">
        <is>
          <t>2033 Job Detail Report.pdf (Sage Timberline, 04/03/2026, 191 pages)</t>
        </is>
      </c>
    </row>
    <row r="27">
      <c r="B27" s="48" t="inlineStr">
        <is>
          <t>1175FE</t>
        </is>
      </c>
      <c r="C27" s="49" t="inlineStr">
        <is>
          <t>Ferguson Enterprises, Inc. #3007</t>
        </is>
      </c>
      <c r="D27" s="70" t="n">
        <v>129.47</v>
      </c>
      <c r="E27" s="79" t="n">
        <v>1</v>
      </c>
      <c r="F27" s="49" t="inlineStr">
        <is>
          <t>Plumbing / Supplies</t>
        </is>
      </c>
      <c r="G27" s="49" t="inlineStr">
        <is>
          <t>2033 Job Detail Report.pdf (Sage Timberline, 04/03/2026, 191 pages)</t>
        </is>
      </c>
      <c r="H27" s="53" t="n"/>
      <c r="I27" s="53" t="n"/>
      <c r="J27" s="53" t="n"/>
    </row>
    <row r="28">
      <c r="B28" s="46" t="inlineStr">
        <is>
          <t>5621HD</t>
        </is>
      </c>
      <c r="C28" s="47" t="inlineStr">
        <is>
          <t>Core &amp; Main LP $HD Supply Waterworks</t>
        </is>
      </c>
      <c r="D28" s="66" t="n">
        <v>25.32</v>
      </c>
      <c r="E28" s="52" t="n">
        <v>1</v>
      </c>
      <c r="F28" s="47" t="inlineStr">
        <is>
          <t>Plumbing / Supplies</t>
        </is>
      </c>
      <c r="G28" s="47" t="inlineStr">
        <is>
          <t>2033 Job Detail Report.pdf (Sage Timberline, 04/03/2026, 191 pages)</t>
        </is>
      </c>
    </row>
    <row r="29">
      <c r="B29" s="48" t="inlineStr">
        <is>
          <t>1978FC</t>
        </is>
      </c>
      <c r="C29" s="49" t="inlineStr">
        <is>
          <t>Fastenal Company</t>
        </is>
      </c>
      <c r="D29" s="70" t="n">
        <v>23.8</v>
      </c>
      <c r="E29" s="79" t="n">
        <v>1</v>
      </c>
      <c r="F29" s="49" t="inlineStr">
        <is>
          <t>Uncategorized</t>
        </is>
      </c>
      <c r="G29" s="49" t="inlineStr">
        <is>
          <t>2033 Job Detail Report.pdf (Sage Timberline, 04/03/2026, 191 pages)</t>
        </is>
      </c>
      <c r="H29" s="53" t="n"/>
      <c r="I29" s="53" t="n"/>
      <c r="J29" s="53" t="n"/>
    </row>
    <row r="30">
      <c r="B30" s="46" t="inlineStr">
        <is>
          <t>1021AT</t>
        </is>
      </c>
      <c r="C30" s="47" t="inlineStr">
        <is>
          <t>ACME Corp</t>
        </is>
      </c>
      <c r="D30" s="66" t="n">
        <v>12.06</v>
      </c>
      <c r="E30" s="52" t="n">
        <v>1</v>
      </c>
      <c r="F30" s="47" t="inlineStr">
        <is>
          <t>Uncategorized</t>
        </is>
      </c>
      <c r="G30" s="47" t="inlineStr">
        <is>
          <t>2033 Job Detail Report.pdf (Sage Timberline, 04/03/2026, 191 pages)</t>
        </is>
      </c>
    </row>
    <row r="31">
      <c r="B31" s="48" t="inlineStr">
        <is>
          <t>2031RS</t>
        </is>
      </c>
      <c r="C31" s="49" t="inlineStr">
        <is>
          <t>Rosen Supply Company, Inc. $Gateway</t>
        </is>
      </c>
      <c r="D31" s="70" t="n">
        <v>0</v>
      </c>
      <c r="E31" s="79" t="n">
        <v>6</v>
      </c>
      <c r="F31" s="49" t="inlineStr">
        <is>
          <t>Plumbing / Supplies</t>
        </is>
      </c>
      <c r="G31" s="49" t="inlineStr">
        <is>
          <t>2033 Job Detail Report.pdf (Sage Timberline, 04/03/2026, 191 pages)</t>
        </is>
      </c>
      <c r="H31" s="53" t="n"/>
      <c r="I31" s="53" t="n"/>
      <c r="J31" s="53" t="n"/>
    </row>
    <row r="32">
      <c r="B32" s="80" t="inlineStr">
        <is>
          <t>TOTAL</t>
        </is>
      </c>
      <c r="D32" s="81">
        <f>SUM(D6:D31)</f>
        <v/>
      </c>
      <c r="E32" s="47">
        <f>SUM(E6:E31)</f>
        <v/>
      </c>
    </row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46" t="inlineStr">
        <is>
          <t>NOTE: AP total per JDR footer = $490,114.66. Vendor sum above approximates this. Submittals folder contains 22 items (fixtures, material, equipment, acoustical schedule, underground, water heater strap kit). POs folder has 231 POs (1 placed, 2 scheduled, 3 completed + loose files).</t>
        </is>
      </c>
      <c r="C34" s="6" t="n"/>
      <c r="D34" s="6" t="n"/>
      <c r="E34" s="6" t="n"/>
      <c r="F34" s="6" t="n"/>
      <c r="G34" s="7" t="n"/>
    </row>
  </sheetData>
  <mergeCells count="3">
    <mergeCell ref="B34:G34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44 unique payroll workers from JDR. OWP RI Foreman: Victor.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PA11</t>
        </is>
      </c>
      <c r="C6" s="47" t="inlineStr">
        <is>
          <t>Paco Leyva, Orlando</t>
        </is>
      </c>
      <c r="D6" s="69" t="n">
        <v>2594.5</v>
      </c>
      <c r="E6" s="76" t="n">
        <v>80172</v>
      </c>
      <c r="F6" s="81">
        <f>IF(D6=0,0,E6/D6)</f>
        <v/>
      </c>
      <c r="G6" s="52" t="n">
        <v>76</v>
      </c>
      <c r="H6" s="47" t="inlineStr">
        <is>
          <t>2033 Job Detail Report.pdf (Sage Timberline, 04/03/2026, 191 pages)</t>
        </is>
      </c>
    </row>
    <row r="7">
      <c r="B7" s="48" t="inlineStr">
        <is>
          <t>CO71</t>
        </is>
      </c>
      <c r="C7" s="49" t="inlineStr">
        <is>
          <t>Cortes Mendiola, Victor H</t>
        </is>
      </c>
      <c r="D7" s="56" t="n">
        <v>1885.5</v>
      </c>
      <c r="E7" s="55" t="n">
        <v>68761.5</v>
      </c>
      <c r="F7" s="77">
        <f>IF(D7=0,0,E7/D7)</f>
        <v/>
      </c>
      <c r="G7" s="79" t="n">
        <v>61</v>
      </c>
      <c r="H7" s="49" t="inlineStr">
        <is>
          <t>2033 Job Detail Report.pdf (Sage Timberline, 04/03/2026, 191 pages)</t>
        </is>
      </c>
      <c r="I7" s="53" t="n"/>
      <c r="J7" s="53" t="n"/>
    </row>
    <row r="8">
      <c r="B8" s="46" t="inlineStr">
        <is>
          <t>CO73</t>
        </is>
      </c>
      <c r="C8" s="47" t="inlineStr">
        <is>
          <t>Cortes Sepulveda, Jose R</t>
        </is>
      </c>
      <c r="D8" s="69" t="n">
        <v>1663.5</v>
      </c>
      <c r="E8" s="76" t="n">
        <v>31900.5</v>
      </c>
      <c r="F8" s="81">
        <f>IF(D8=0,0,E8/D8)</f>
        <v/>
      </c>
      <c r="G8" s="52" t="n">
        <v>56</v>
      </c>
      <c r="H8" s="47" t="inlineStr">
        <is>
          <t>2033 Job Detail Report.pdf (Sage Timberline, 04/03/2026, 191 pages)</t>
        </is>
      </c>
    </row>
    <row r="9">
      <c r="B9" s="48" t="inlineStr">
        <is>
          <t>MO56</t>
        </is>
      </c>
      <c r="C9" s="49" t="inlineStr">
        <is>
          <t>Montenegro, Carlos E</t>
        </is>
      </c>
      <c r="D9" s="56" t="n">
        <v>1555</v>
      </c>
      <c r="E9" s="55" t="n">
        <v>39312</v>
      </c>
      <c r="F9" s="77">
        <f>IF(D9=0,0,E9/D9)</f>
        <v/>
      </c>
      <c r="G9" s="79" t="n">
        <v>45</v>
      </c>
      <c r="H9" s="49" t="inlineStr">
        <is>
          <t>2033 Job Detail Report.pdf (Sage Timberline, 04/03/2026, 191 pages)</t>
        </is>
      </c>
      <c r="I9" s="53" t="n"/>
      <c r="J9" s="53" t="n"/>
    </row>
    <row r="10">
      <c r="B10" s="46" t="inlineStr">
        <is>
          <t>LI49</t>
        </is>
      </c>
      <c r="C10" s="47" t="inlineStr">
        <is>
          <t>Lima Romero, Melvin A</t>
        </is>
      </c>
      <c r="D10" s="69" t="n">
        <v>1449</v>
      </c>
      <c r="E10" s="76" t="n">
        <v>42594</v>
      </c>
      <c r="F10" s="81">
        <f>IF(D10=0,0,E10/D10)</f>
        <v/>
      </c>
      <c r="G10" s="52" t="n">
        <v>41</v>
      </c>
      <c r="H10" s="47" t="inlineStr">
        <is>
          <t>2033 Job Detail Report.pdf (Sage Timberline, 04/03/2026, 191 pages)</t>
        </is>
      </c>
    </row>
    <row r="11">
      <c r="B11" s="48" t="inlineStr">
        <is>
          <t>BA45</t>
        </is>
      </c>
      <c r="C11" s="49" t="inlineStr">
        <is>
          <t>Balderas Ortiz, Ricardo I</t>
        </is>
      </c>
      <c r="D11" s="56" t="n">
        <v>1357</v>
      </c>
      <c r="E11" s="55" t="n">
        <v>35725</v>
      </c>
      <c r="F11" s="77">
        <f>IF(D11=0,0,E11/D11)</f>
        <v/>
      </c>
      <c r="G11" s="79" t="n">
        <v>40</v>
      </c>
      <c r="H11" s="49" t="inlineStr">
        <is>
          <t>2033 Job Detail Report.pdf (Sage Timberline, 04/03/2026, 191 pages)</t>
        </is>
      </c>
      <c r="I11" s="53" t="n"/>
      <c r="J11" s="53" t="n"/>
    </row>
    <row r="12">
      <c r="B12" s="46" t="inlineStr">
        <is>
          <t>AS10</t>
        </is>
      </c>
      <c r="C12" s="47" t="inlineStr">
        <is>
          <t>Ascencio, Jose L</t>
        </is>
      </c>
      <c r="D12" s="69" t="n">
        <v>1313</v>
      </c>
      <c r="E12" s="76" t="n">
        <v>28359</v>
      </c>
      <c r="F12" s="81">
        <f>IF(D12=0,0,E12/D12)</f>
        <v/>
      </c>
      <c r="G12" s="52" t="n">
        <v>37</v>
      </c>
      <c r="H12" s="47" t="inlineStr">
        <is>
          <t>2033 Job Detail Report.pdf (Sage Timberline, 04/03/2026, 191 pages)</t>
        </is>
      </c>
    </row>
    <row r="13">
      <c r="B13" s="48" t="inlineStr">
        <is>
          <t>RI87</t>
        </is>
      </c>
      <c r="C13" s="49" t="inlineStr">
        <is>
          <t>Rivera, Jorge A</t>
        </is>
      </c>
      <c r="D13" s="56" t="n">
        <v>877.5</v>
      </c>
      <c r="E13" s="55" t="n">
        <v>24570</v>
      </c>
      <c r="F13" s="77">
        <f>IF(D13=0,0,E13/D13)</f>
        <v/>
      </c>
      <c r="G13" s="79" t="n">
        <v>24</v>
      </c>
      <c r="H13" s="49" t="inlineStr">
        <is>
          <t>2033 Job Detail Report.pdf (Sage Timberline, 04/03/2026, 191 pages)</t>
        </is>
      </c>
      <c r="I13" s="53" t="n"/>
      <c r="J13" s="53" t="n"/>
    </row>
    <row r="14">
      <c r="B14" s="46" t="inlineStr">
        <is>
          <t>RO12</t>
        </is>
      </c>
      <c r="C14" s="47" t="inlineStr">
        <is>
          <t>Rodriguez Rodriguez, Aminadab N</t>
        </is>
      </c>
      <c r="D14" s="69" t="n">
        <v>800</v>
      </c>
      <c r="E14" s="76" t="n">
        <v>17283</v>
      </c>
      <c r="F14" s="81">
        <f>IF(D14=0,0,E14/D14)</f>
        <v/>
      </c>
      <c r="G14" s="52" t="n">
        <v>22</v>
      </c>
      <c r="H14" s="47" t="inlineStr">
        <is>
          <t>2033 Job Detail Report.pdf (Sage Timberline, 04/03/2026, 191 pages)</t>
        </is>
      </c>
    </row>
    <row r="15">
      <c r="B15" s="48" t="inlineStr">
        <is>
          <t>EL33</t>
        </is>
      </c>
      <c r="C15" s="49" t="inlineStr">
        <is>
          <t>Eliassen, Cory H</t>
        </is>
      </c>
      <c r="D15" s="56" t="n">
        <v>741.5</v>
      </c>
      <c r="E15" s="55" t="n">
        <v>16342.5</v>
      </c>
      <c r="F15" s="77">
        <f>IF(D15=0,0,E15/D15)</f>
        <v/>
      </c>
      <c r="G15" s="79" t="n">
        <v>29</v>
      </c>
      <c r="H15" s="49" t="inlineStr">
        <is>
          <t>2033 Job Detail Report.pdf (Sage Timberline, 04/03/2026, 191 pages)</t>
        </is>
      </c>
      <c r="I15" s="53" t="n"/>
      <c r="J15" s="53" t="n"/>
    </row>
    <row r="16">
      <c r="B16" s="46" t="inlineStr">
        <is>
          <t>HU06</t>
        </is>
      </c>
      <c r="C16" s="47" t="inlineStr">
        <is>
          <t>Hubbard, Robert W</t>
        </is>
      </c>
      <c r="D16" s="69" t="n">
        <v>694.5</v>
      </c>
      <c r="E16" s="76" t="n">
        <v>30701</v>
      </c>
      <c r="F16" s="81">
        <f>IF(D16=0,0,E16/D16)</f>
        <v/>
      </c>
      <c r="G16" s="52" t="n">
        <v>86</v>
      </c>
      <c r="H16" s="47" t="inlineStr">
        <is>
          <t>2033 Job Detail Report.pdf (Sage Timberline, 04/03/2026, 191 pages)</t>
        </is>
      </c>
    </row>
    <row r="17">
      <c r="B17" s="48" t="inlineStr">
        <is>
          <t>CR87</t>
        </is>
      </c>
      <c r="C17" s="49" t="inlineStr">
        <is>
          <t>Cruz Reyes, Jose</t>
        </is>
      </c>
      <c r="D17" s="56" t="n">
        <v>639</v>
      </c>
      <c r="E17" s="55" t="n">
        <v>13803</v>
      </c>
      <c r="F17" s="77">
        <f>IF(D17=0,0,E17/D17)</f>
        <v/>
      </c>
      <c r="G17" s="79" t="n">
        <v>17</v>
      </c>
      <c r="H17" s="49" t="inlineStr">
        <is>
          <t>2033 Job Detail Report.pdf (Sage Timberline, 04/03/2026, 191 pages)</t>
        </is>
      </c>
      <c r="I17" s="53" t="n"/>
      <c r="J17" s="53" t="n"/>
    </row>
    <row r="18">
      <c r="B18" s="46" t="inlineStr">
        <is>
          <t>CR79</t>
        </is>
      </c>
      <c r="C18" s="47" t="inlineStr">
        <is>
          <t>Cruz Guzman, Joel A</t>
        </is>
      </c>
      <c r="D18" s="69" t="n">
        <v>631</v>
      </c>
      <c r="E18" s="76" t="n">
        <v>13004</v>
      </c>
      <c r="F18" s="81">
        <f>IF(D18=0,0,E18/D18)</f>
        <v/>
      </c>
      <c r="G18" s="52" t="n">
        <v>17</v>
      </c>
      <c r="H18" s="47" t="inlineStr">
        <is>
          <t>2033 Job Detail Report.pdf (Sage Timberline, 04/03/2026, 191 pages)</t>
        </is>
      </c>
    </row>
    <row r="19">
      <c r="B19" s="48" t="inlineStr">
        <is>
          <t>SI48</t>
        </is>
      </c>
      <c r="C19" s="49" t="inlineStr">
        <is>
          <t>Silva Morales, Jair J</t>
        </is>
      </c>
      <c r="D19" s="56" t="n">
        <v>566</v>
      </c>
      <c r="E19" s="55" t="n">
        <v>13018</v>
      </c>
      <c r="F19" s="77">
        <f>IF(D19=0,0,E19/D19)</f>
        <v/>
      </c>
      <c r="G19" s="79" t="n">
        <v>19</v>
      </c>
      <c r="H19" s="49" t="inlineStr">
        <is>
          <t>2033 Job Detail Report.pdf (Sage Timberline, 04/03/2026, 191 pages)</t>
        </is>
      </c>
      <c r="I19" s="53" t="n"/>
      <c r="J19" s="53" t="n"/>
    </row>
    <row r="20">
      <c r="B20" s="46" t="inlineStr">
        <is>
          <t>LU09</t>
        </is>
      </c>
      <c r="C20" s="47" t="inlineStr">
        <is>
          <t>Lucas Tzintzun, Rafael</t>
        </is>
      </c>
      <c r="D20" s="69" t="n">
        <v>552</v>
      </c>
      <c r="E20" s="76" t="n">
        <v>8632</v>
      </c>
      <c r="F20" s="81">
        <f>IF(D20=0,0,E20/D20)</f>
        <v/>
      </c>
      <c r="G20" s="52" t="n">
        <v>15</v>
      </c>
      <c r="H20" s="47" t="inlineStr">
        <is>
          <t>2033 Job Detail Report.pdf (Sage Timberline, 04/03/2026, 191 pages)</t>
        </is>
      </c>
    </row>
    <row r="21">
      <c r="B21" s="48" t="inlineStr">
        <is>
          <t>ES11</t>
        </is>
      </c>
      <c r="C21" s="49" t="inlineStr">
        <is>
          <t>Escobar Ortiz, Edgar O</t>
        </is>
      </c>
      <c r="D21" s="56" t="n">
        <v>278</v>
      </c>
      <c r="E21" s="55" t="n">
        <v>4170</v>
      </c>
      <c r="F21" s="77">
        <f>IF(D21=0,0,E21/D21)</f>
        <v/>
      </c>
      <c r="G21" s="79" t="n">
        <v>9</v>
      </c>
      <c r="H21" s="49" t="inlineStr">
        <is>
          <t>2033 Job Detail Report.pdf (Sage Timberline, 04/03/2026, 191 pages)</t>
        </is>
      </c>
      <c r="I21" s="53" t="n"/>
      <c r="J21" s="53" t="n"/>
    </row>
    <row r="22">
      <c r="B22" s="46" t="inlineStr">
        <is>
          <t>GO51</t>
        </is>
      </c>
      <c r="C22" s="47" t="inlineStr">
        <is>
          <t>Gomez Reyes, Edith N</t>
        </is>
      </c>
      <c r="D22" s="69" t="n">
        <v>262</v>
      </c>
      <c r="E22" s="76" t="n">
        <v>5276.5</v>
      </c>
      <c r="F22" s="81">
        <f>IF(D22=0,0,E22/D22)</f>
        <v/>
      </c>
      <c r="G22" s="52" t="n">
        <v>13</v>
      </c>
      <c r="H22" s="47" t="inlineStr">
        <is>
          <t>2033 Job Detail Report.pdf (Sage Timberline, 04/03/2026, 191 pages)</t>
        </is>
      </c>
    </row>
    <row r="23">
      <c r="B23" s="48" t="inlineStr">
        <is>
          <t>DO56</t>
        </is>
      </c>
      <c r="C23" s="49" t="inlineStr">
        <is>
          <t>Donelson, Richard T</t>
        </is>
      </c>
      <c r="D23" s="56" t="n">
        <v>214</v>
      </c>
      <c r="E23" s="55" t="n">
        <v>10723.5</v>
      </c>
      <c r="F23" s="77">
        <f>IF(D23=0,0,E23/D23)</f>
        <v/>
      </c>
      <c r="G23" s="79" t="n">
        <v>77</v>
      </c>
      <c r="H23" s="49" t="inlineStr">
        <is>
          <t>2033 Job Detail Report.pdf (Sage Timberline, 04/03/2026, 191 pages)</t>
        </is>
      </c>
      <c r="I23" s="53" t="n"/>
      <c r="J23" s="53" t="n"/>
    </row>
    <row r="24">
      <c r="B24" s="46" t="inlineStr">
        <is>
          <t>EG05</t>
        </is>
      </c>
      <c r="C24" s="47" t="inlineStr">
        <is>
          <t>Egbaou, Kossi D</t>
        </is>
      </c>
      <c r="D24" s="69" t="n">
        <v>184</v>
      </c>
      <c r="E24" s="76" t="n">
        <v>2688</v>
      </c>
      <c r="F24" s="81">
        <f>IF(D24=0,0,E24/D24)</f>
        <v/>
      </c>
      <c r="G24" s="52" t="n">
        <v>6</v>
      </c>
      <c r="H24" s="47" t="inlineStr">
        <is>
          <t>2033 Job Detail Report.pdf (Sage Timberline, 04/03/2026, 191 pages)</t>
        </is>
      </c>
    </row>
    <row r="25">
      <c r="B25" s="48" t="inlineStr">
        <is>
          <t>RO10</t>
        </is>
      </c>
      <c r="C25" s="49" t="inlineStr">
        <is>
          <t>Rodriguez Arevalos, Christian</t>
        </is>
      </c>
      <c r="D25" s="56" t="n">
        <v>160</v>
      </c>
      <c r="E25" s="55" t="n">
        <v>2800</v>
      </c>
      <c r="F25" s="77">
        <f>IF(D25=0,0,E25/D25)</f>
        <v/>
      </c>
      <c r="G25" s="79" t="n">
        <v>5</v>
      </c>
      <c r="H25" s="49" t="inlineStr">
        <is>
          <t>2033 Job Detail Report.pdf (Sage Timberline, 04/03/2026, 191 pages)</t>
        </is>
      </c>
      <c r="I25" s="53" t="n"/>
      <c r="J25" s="53" t="n"/>
    </row>
    <row r="26">
      <c r="B26" s="46" t="inlineStr">
        <is>
          <t>RE91</t>
        </is>
      </c>
      <c r="C26" s="47" t="inlineStr">
        <is>
          <t>Reyes, Maria E</t>
        </is>
      </c>
      <c r="D26" s="69" t="n">
        <v>160</v>
      </c>
      <c r="E26" s="76" t="n">
        <v>2560</v>
      </c>
      <c r="F26" s="81">
        <f>IF(D26=0,0,E26/D26)</f>
        <v/>
      </c>
      <c r="G26" s="52" t="n">
        <v>8</v>
      </c>
      <c r="H26" s="47" t="inlineStr">
        <is>
          <t>2033 Job Detail Report.pdf (Sage Timberline, 04/03/2026, 191 pages)</t>
        </is>
      </c>
    </row>
    <row r="27">
      <c r="B27" s="48" t="inlineStr">
        <is>
          <t>SA54</t>
        </is>
      </c>
      <c r="C27" s="49" t="inlineStr">
        <is>
          <t>Sanders, Allen O</t>
        </is>
      </c>
      <c r="D27" s="56" t="n">
        <v>140.5</v>
      </c>
      <c r="E27" s="55" t="n">
        <v>5947.5</v>
      </c>
      <c r="F27" s="77">
        <f>IF(D27=0,0,E27/D27)</f>
        <v/>
      </c>
      <c r="G27" s="79" t="n">
        <v>35</v>
      </c>
      <c r="H27" s="49" t="inlineStr">
        <is>
          <t>2033 Job Detail Report.pdf (Sage Timberline, 04/03/2026, 191 pages)</t>
        </is>
      </c>
      <c r="I27" s="53" t="n"/>
      <c r="J27" s="53" t="n"/>
    </row>
    <row r="28">
      <c r="B28" s="46" t="inlineStr">
        <is>
          <t>MC09</t>
        </is>
      </c>
      <c r="C28" s="47" t="inlineStr">
        <is>
          <t>McCabe, Thomas C</t>
        </is>
      </c>
      <c r="D28" s="69" t="n">
        <v>122</v>
      </c>
      <c r="E28" s="76" t="n">
        <v>3888</v>
      </c>
      <c r="F28" s="81">
        <f>IF(D28=0,0,E28/D28)</f>
        <v/>
      </c>
      <c r="G28" s="52" t="n">
        <v>11</v>
      </c>
      <c r="H28" s="47" t="inlineStr">
        <is>
          <t>2033 Job Detail Report.pdf (Sage Timberline, 04/03/2026, 191 pages)</t>
        </is>
      </c>
    </row>
    <row r="29">
      <c r="B29" s="48" t="inlineStr">
        <is>
          <t>GE69</t>
        </is>
      </c>
      <c r="C29" s="49" t="inlineStr">
        <is>
          <t>Gerard, Jeffrey S</t>
        </is>
      </c>
      <c r="D29" s="56" t="n">
        <v>102</v>
      </c>
      <c r="E29" s="55" t="n">
        <v>4740</v>
      </c>
      <c r="F29" s="77">
        <f>IF(D29=0,0,E29/D29)</f>
        <v/>
      </c>
      <c r="G29" s="79" t="n">
        <v>46</v>
      </c>
      <c r="H29" s="49" t="inlineStr">
        <is>
          <t>2033 Job Detail Report.pdf (Sage Timberline, 04/03/2026, 191 pages)</t>
        </is>
      </c>
      <c r="I29" s="53" t="n"/>
      <c r="J29" s="53" t="n"/>
    </row>
    <row r="30">
      <c r="B30" s="46" t="inlineStr">
        <is>
          <t>SE64</t>
        </is>
      </c>
      <c r="C30" s="47" t="inlineStr">
        <is>
          <t>Sepulveda Gonzalez, Alfredo</t>
        </is>
      </c>
      <c r="D30" s="69" t="n">
        <v>89</v>
      </c>
      <c r="E30" s="76" t="n">
        <v>2759</v>
      </c>
      <c r="F30" s="81">
        <f>IF(D30=0,0,E30/D30)</f>
        <v/>
      </c>
      <c r="G30" s="52" t="n">
        <v>7</v>
      </c>
      <c r="H30" s="47" t="inlineStr">
        <is>
          <t>2033 Job Detail Report.pdf (Sage Timberline, 04/03/2026, 191 pages)</t>
        </is>
      </c>
    </row>
    <row r="31">
      <c r="B31" s="48" t="inlineStr">
        <is>
          <t>GA70</t>
        </is>
      </c>
      <c r="C31" s="49" t="inlineStr">
        <is>
          <t>Garcia, Jordan X</t>
        </is>
      </c>
      <c r="D31" s="56" t="n">
        <v>67</v>
      </c>
      <c r="E31" s="55" t="n">
        <v>1809</v>
      </c>
      <c r="F31" s="77">
        <f>IF(D31=0,0,E31/D31)</f>
        <v/>
      </c>
      <c r="G31" s="79" t="n">
        <v>4</v>
      </c>
      <c r="H31" s="49" t="inlineStr">
        <is>
          <t>2033 Job Detail Report.pdf (Sage Timberline, 04/03/2026, 191 pages)</t>
        </is>
      </c>
      <c r="I31" s="53" t="n"/>
      <c r="J31" s="53" t="n"/>
    </row>
    <row r="32">
      <c r="B32" s="46" t="inlineStr">
        <is>
          <t>KI55</t>
        </is>
      </c>
      <c r="C32" s="47" t="inlineStr">
        <is>
          <t>Kinssies, Jr, John E</t>
        </is>
      </c>
      <c r="D32" s="69" t="n">
        <v>62</v>
      </c>
      <c r="E32" s="76" t="n">
        <v>1612</v>
      </c>
      <c r="F32" s="81">
        <f>IF(D32=0,0,E32/D32)</f>
        <v/>
      </c>
      <c r="G32" s="52" t="n">
        <v>5</v>
      </c>
      <c r="H32" s="47" t="inlineStr">
        <is>
          <t>2033 Job Detail Report.pdf (Sage Timberline, 04/03/2026, 191 pages)</t>
        </is>
      </c>
    </row>
    <row r="33">
      <c r="B33" s="48" t="inlineStr">
        <is>
          <t>CA71</t>
        </is>
      </c>
      <c r="C33" s="49" t="inlineStr">
        <is>
          <t>Castaneda Juarez, Cesar O</t>
        </is>
      </c>
      <c r="D33" s="56" t="n">
        <v>45</v>
      </c>
      <c r="E33" s="55" t="n">
        <v>675</v>
      </c>
      <c r="F33" s="77">
        <f>IF(D33=0,0,E33/D33)</f>
        <v/>
      </c>
      <c r="G33" s="79" t="n">
        <v>3</v>
      </c>
      <c r="H33" s="49" t="inlineStr">
        <is>
          <t>2033 Job Detail Report.pdf (Sage Timberline, 04/03/2026, 191 pages)</t>
        </is>
      </c>
      <c r="I33" s="53" t="n"/>
      <c r="J33" s="53" t="n"/>
    </row>
    <row r="34">
      <c r="B34" s="46" t="inlineStr">
        <is>
          <t>CA74</t>
        </is>
      </c>
      <c r="C34" s="47" t="inlineStr">
        <is>
          <t>Castaneda Martinez, Gustavo</t>
        </is>
      </c>
      <c r="D34" s="69" t="n">
        <v>45</v>
      </c>
      <c r="E34" s="76" t="n">
        <v>1755</v>
      </c>
      <c r="F34" s="81">
        <f>IF(D34=0,0,E34/D34)</f>
        <v/>
      </c>
      <c r="G34" s="52" t="n">
        <v>3</v>
      </c>
      <c r="H34" s="47" t="inlineStr">
        <is>
          <t>2033 Job Detail Report.pdf (Sage Timberline, 04/03/2026, 191 pages)</t>
        </is>
      </c>
    </row>
    <row r="35">
      <c r="B35" s="48" t="inlineStr">
        <is>
          <t>NE46</t>
        </is>
      </c>
      <c r="C35" s="49" t="inlineStr">
        <is>
          <t>Nelson, Charles E</t>
        </is>
      </c>
      <c r="D35" s="56" t="n">
        <v>40</v>
      </c>
      <c r="E35" s="55" t="n">
        <v>640</v>
      </c>
      <c r="F35" s="77">
        <f>IF(D35=0,0,E35/D35)</f>
        <v/>
      </c>
      <c r="G35" s="79" t="n">
        <v>4</v>
      </c>
      <c r="H35" s="49" t="inlineStr">
        <is>
          <t>2033 Job Detail Report.pdf (Sage Timberline, 04/03/2026, 191 pages)</t>
        </is>
      </c>
      <c r="I35" s="53" t="n"/>
      <c r="J35" s="53" t="n"/>
    </row>
    <row r="36">
      <c r="B36" s="46" t="inlineStr">
        <is>
          <t>FO55</t>
        </is>
      </c>
      <c r="C36" s="47" t="inlineStr">
        <is>
          <t>Fonseca Teruel, Eduardo</t>
        </is>
      </c>
      <c r="D36" s="69" t="n">
        <v>40</v>
      </c>
      <c r="E36" s="76" t="n">
        <v>640</v>
      </c>
      <c r="F36" s="81">
        <f>IF(D36=0,0,E36/D36)</f>
        <v/>
      </c>
      <c r="G36" s="52" t="n">
        <v>2</v>
      </c>
      <c r="H36" s="47" t="inlineStr">
        <is>
          <t>2033 Job Detail Report.pdf (Sage Timberline, 04/03/2026, 191 pages)</t>
        </is>
      </c>
    </row>
    <row r="37">
      <c r="B37" s="48" t="inlineStr">
        <is>
          <t>HU04</t>
        </is>
      </c>
      <c r="C37" s="49" t="inlineStr">
        <is>
          <t>Hubbard, Dustin R</t>
        </is>
      </c>
      <c r="D37" s="56" t="n">
        <v>34</v>
      </c>
      <c r="E37" s="55" t="n">
        <v>676</v>
      </c>
      <c r="F37" s="77">
        <f>IF(D37=0,0,E37/D37)</f>
        <v/>
      </c>
      <c r="G37" s="79" t="n">
        <v>11</v>
      </c>
      <c r="H37" s="49" t="inlineStr">
        <is>
          <t>2033 Job Detail Report.pdf (Sage Timberline, 04/03/2026, 191 pages)</t>
        </is>
      </c>
      <c r="I37" s="53" t="n"/>
      <c r="J37" s="53" t="n"/>
    </row>
    <row r="38">
      <c r="B38" s="46" t="inlineStr">
        <is>
          <t>RE96</t>
        </is>
      </c>
      <c r="C38" s="47" t="inlineStr">
        <is>
          <t>Reyes Cruz, Denis A</t>
        </is>
      </c>
      <c r="D38" s="69" t="n">
        <v>32</v>
      </c>
      <c r="E38" s="76" t="n">
        <v>768</v>
      </c>
      <c r="F38" s="81">
        <f>IF(D38=0,0,E38/D38)</f>
        <v/>
      </c>
      <c r="G38" s="52" t="n">
        <v>1</v>
      </c>
      <c r="H38" s="47" t="inlineStr">
        <is>
          <t>2033 Job Detail Report.pdf (Sage Timberline, 04/03/2026, 191 pages)</t>
        </is>
      </c>
    </row>
    <row r="39">
      <c r="B39" s="48" t="inlineStr">
        <is>
          <t>CA50</t>
        </is>
      </c>
      <c r="C39" s="49" t="inlineStr">
        <is>
          <t>Caro, Camilo</t>
        </is>
      </c>
      <c r="D39" s="56" t="n">
        <v>32</v>
      </c>
      <c r="E39" s="55" t="n">
        <v>512</v>
      </c>
      <c r="F39" s="77">
        <f>IF(D39=0,0,E39/D39)</f>
        <v/>
      </c>
      <c r="G39" s="79" t="n">
        <v>3</v>
      </c>
      <c r="H39" s="49" t="inlineStr">
        <is>
          <t>2033 Job Detail Report.pdf (Sage Timberline, 04/03/2026, 191 pages)</t>
        </is>
      </c>
      <c r="I39" s="53" t="n"/>
      <c r="J39" s="53" t="n"/>
    </row>
    <row r="40">
      <c r="B40" s="46" t="inlineStr">
        <is>
          <t>PO71</t>
        </is>
      </c>
      <c r="C40" s="47" t="inlineStr">
        <is>
          <t>Portillo, Kevin J</t>
        </is>
      </c>
      <c r="D40" s="69" t="n">
        <v>24</v>
      </c>
      <c r="E40" s="76" t="n">
        <v>384</v>
      </c>
      <c r="F40" s="81">
        <f>IF(D40=0,0,E40/D40)</f>
        <v/>
      </c>
      <c r="G40" s="52" t="n">
        <v>1</v>
      </c>
      <c r="H40" s="47" t="inlineStr">
        <is>
          <t>2033 Job Detail Report.pdf (Sage Timberline, 04/03/2026, 191 pages)</t>
        </is>
      </c>
    </row>
    <row r="41">
      <c r="B41" s="48" t="inlineStr">
        <is>
          <t>MA71</t>
        </is>
      </c>
      <c r="C41" s="49" t="inlineStr">
        <is>
          <t>Martinez Reyes, Juan C</t>
        </is>
      </c>
      <c r="D41" s="56" t="n">
        <v>24</v>
      </c>
      <c r="E41" s="55" t="n">
        <v>592</v>
      </c>
      <c r="F41" s="77">
        <f>IF(D41=0,0,E41/D41)</f>
        <v/>
      </c>
      <c r="G41" s="79" t="n">
        <v>2</v>
      </c>
      <c r="H41" s="49" t="inlineStr">
        <is>
          <t>2033 Job Detail Report.pdf (Sage Timberline, 04/03/2026, 191 pages)</t>
        </is>
      </c>
      <c r="I41" s="53" t="n"/>
      <c r="J41" s="53" t="n"/>
    </row>
    <row r="42">
      <c r="B42" s="46" t="inlineStr">
        <is>
          <t>BA70</t>
        </is>
      </c>
      <c r="C42" s="47" t="inlineStr">
        <is>
          <t>Barnhart, Joseph N</t>
        </is>
      </c>
      <c r="D42" s="69" t="n">
        <v>19</v>
      </c>
      <c r="E42" s="76" t="n">
        <v>874</v>
      </c>
      <c r="F42" s="81">
        <f>IF(D42=0,0,E42/D42)</f>
        <v/>
      </c>
      <c r="G42" s="52" t="n">
        <v>3</v>
      </c>
      <c r="H42" s="47" t="inlineStr">
        <is>
          <t>2033 Job Detail Report.pdf (Sage Timberline, 04/03/2026, 191 pages)</t>
        </is>
      </c>
    </row>
    <row r="43">
      <c r="B43" s="48" t="inlineStr">
        <is>
          <t>RE18</t>
        </is>
      </c>
      <c r="C43" s="49" t="inlineStr">
        <is>
          <t>Reed, Reuben H</t>
        </is>
      </c>
      <c r="D43" s="56" t="n">
        <v>16</v>
      </c>
      <c r="E43" s="55" t="n">
        <v>576</v>
      </c>
      <c r="F43" s="77">
        <f>IF(D43=0,0,E43/D43)</f>
        <v/>
      </c>
      <c r="G43" s="79" t="n">
        <v>2</v>
      </c>
      <c r="H43" s="49" t="inlineStr">
        <is>
          <t>2033 Job Detail Report.pdf (Sage Timberline, 04/03/2026, 191 pages)</t>
        </is>
      </c>
      <c r="I43" s="53" t="n"/>
      <c r="J43" s="53" t="n"/>
    </row>
    <row r="44">
      <c r="B44" s="46" t="inlineStr">
        <is>
          <t>GA72</t>
        </is>
      </c>
      <c r="C44" s="47" t="inlineStr">
        <is>
          <t>Gardner, Andrew M</t>
        </is>
      </c>
      <c r="D44" s="69" t="n">
        <v>9.5</v>
      </c>
      <c r="E44" s="76" t="n">
        <v>161.5</v>
      </c>
      <c r="F44" s="81">
        <f>IF(D44=0,0,E44/D44)</f>
        <v/>
      </c>
      <c r="G44" s="52" t="n">
        <v>2</v>
      </c>
      <c r="H44" s="47" t="inlineStr">
        <is>
          <t>2033 Job Detail Report.pdf (Sage Timberline, 04/03/2026, 191 pages)</t>
        </is>
      </c>
    </row>
    <row r="45">
      <c r="B45" s="48" t="inlineStr">
        <is>
          <t>RA55</t>
        </is>
      </c>
      <c r="C45" s="49" t="inlineStr">
        <is>
          <t>Ramos Herrera, Franklin J</t>
        </is>
      </c>
      <c r="D45" s="56" t="n">
        <v>8</v>
      </c>
      <c r="E45" s="55" t="n">
        <v>128</v>
      </c>
      <c r="F45" s="77">
        <f>IF(D45=0,0,E45/D45)</f>
        <v/>
      </c>
      <c r="G45" s="79" t="n">
        <v>1</v>
      </c>
      <c r="H45" s="49" t="inlineStr">
        <is>
          <t>2033 Job Detail Report.pdf (Sage Timberline, 04/03/2026, 191 pages)</t>
        </is>
      </c>
      <c r="I45" s="53" t="n"/>
      <c r="J45" s="53" t="n"/>
    </row>
    <row r="46">
      <c r="B46" s="46" t="inlineStr">
        <is>
          <t>AM03</t>
        </is>
      </c>
      <c r="C46" s="47" t="inlineStr">
        <is>
          <t>Amaya Gonzalez, Edilberto A</t>
        </is>
      </c>
      <c r="D46" s="69" t="n">
        <v>8</v>
      </c>
      <c r="E46" s="76" t="n">
        <v>208</v>
      </c>
      <c r="F46" s="81">
        <f>IF(D46=0,0,E46/D46)</f>
        <v/>
      </c>
      <c r="G46" s="52" t="n">
        <v>1</v>
      </c>
      <c r="H46" s="47" t="inlineStr">
        <is>
          <t>2033 Job Detail Report.pdf (Sage Timberline, 04/03/2026, 191 pages)</t>
        </is>
      </c>
    </row>
    <row r="47">
      <c r="B47" s="48" t="inlineStr">
        <is>
          <t>CH20</t>
        </is>
      </c>
      <c r="C47" s="49" t="inlineStr">
        <is>
          <t>Chevez, Herson G</t>
        </is>
      </c>
      <c r="D47" s="56" t="n">
        <v>8</v>
      </c>
      <c r="E47" s="55" t="n">
        <v>120</v>
      </c>
      <c r="F47" s="77">
        <f>IF(D47=0,0,E47/D47)</f>
        <v/>
      </c>
      <c r="G47" s="79" t="n">
        <v>1</v>
      </c>
      <c r="H47" s="49" t="inlineStr">
        <is>
          <t>2033 Job Detail Report.pdf (Sage Timberline, 04/03/2026, 191 pages)</t>
        </is>
      </c>
      <c r="I47" s="53" t="n"/>
      <c r="J47" s="53" t="n"/>
    </row>
    <row r="48">
      <c r="B48" s="46" t="inlineStr">
        <is>
          <t>PO73</t>
        </is>
      </c>
      <c r="C48" s="47" t="inlineStr">
        <is>
          <t>Portillo Soriano, Walter A</t>
        </is>
      </c>
      <c r="D48" s="69" t="n">
        <v>8</v>
      </c>
      <c r="E48" s="76" t="n">
        <v>128</v>
      </c>
      <c r="F48" s="81">
        <f>IF(D48=0,0,E48/D48)</f>
        <v/>
      </c>
      <c r="G48" s="52" t="n">
        <v>1</v>
      </c>
      <c r="H48" s="47" t="inlineStr">
        <is>
          <t>2033 Job Detail Report.pdf (Sage Timberline, 04/03/2026, 191 pages)</t>
        </is>
      </c>
    </row>
    <row r="49">
      <c r="B49" s="48" t="inlineStr">
        <is>
          <t>ST02</t>
        </is>
      </c>
      <c r="C49" s="49" t="inlineStr">
        <is>
          <t>Stahlschmidt, John P</t>
        </is>
      </c>
      <c r="D49" s="56" t="n">
        <v>7</v>
      </c>
      <c r="E49" s="55" t="n">
        <v>112</v>
      </c>
      <c r="F49" s="77">
        <f>IF(D49=0,0,E49/D49)</f>
        <v/>
      </c>
      <c r="G49" s="79" t="n">
        <v>1</v>
      </c>
      <c r="H49" s="49" t="inlineStr">
        <is>
          <t>2033 Job Detail Report.pdf (Sage Timberline, 04/03/2026, 191 pages)</t>
        </is>
      </c>
      <c r="I49" s="53" t="n"/>
      <c r="J49" s="53" t="n"/>
    </row>
    <row r="50">
      <c r="B50" s="80" t="inlineStr">
        <is>
          <t>TOTAL</t>
        </is>
      </c>
      <c r="D50" s="82">
        <f>SUM(D6:D49)</f>
        <v/>
      </c>
      <c r="E50" s="81">
        <f>SUM(E6:E49)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8" t="inlineStr">
        <is>
          <t>Total Workers</t>
        </is>
      </c>
      <c r="C7" s="79" t="n">
        <v>44</v>
      </c>
      <c r="D7" s="49" t="inlineStr">
        <is>
          <t>Unique payroll IDs</t>
        </is>
      </c>
      <c r="E7" s="49" t="inlineStr">
        <is>
          <t>2033 Job Detail Report.pdf (Sage Timberline, 04/03/2026, 191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69" t="n">
        <v>19509</v>
      </c>
      <c r="D8" s="47" t="inlineStr">
        <is>
          <t>Sum of labor codes</t>
        </is>
      </c>
      <c r="E8" s="47" t="inlineStr">
        <is>
          <t>2033 Job Detail Report.pdf (Sage Timberline, 04/03/2026, 191 pages)</t>
        </is>
      </c>
    </row>
    <row r="9">
      <c r="B9" s="48" t="inlineStr">
        <is>
          <t>Total Gross Pay</t>
        </is>
      </c>
      <c r="C9" s="56" t="n">
        <v>526277.63</v>
      </c>
      <c r="D9" s="49" t="inlineStr">
        <is>
          <t>Sum of labor codes</t>
        </is>
      </c>
      <c r="E9" s="49" t="inlineStr">
        <is>
          <t>2033 Job Detail Report.pdf (Sage Timberline, 04/03/2026, 191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76" t="n">
        <v>26.97614588138808</v>
      </c>
      <c r="D10" s="47" t="inlineStr">
        <is>
          <t>Labor$ / Hrs (pre-burden)</t>
        </is>
      </c>
      <c r="E10" s="85" t="inlineStr">
        <is>
          <t>Derived</t>
        </is>
      </c>
    </row>
    <row r="11">
      <c r="B11" s="48" t="inlineStr">
        <is>
          <t>Top Worker Hours Share</t>
        </is>
      </c>
      <c r="C11" s="78" t="n">
        <v>0.1329899020964683</v>
      </c>
      <c r="D11" s="49" t="inlineStr">
        <is>
          <t>PA11 Paco Leyva, Orlando (2594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6" t="n">
        <v>0.4688861551078989</v>
      </c>
      <c r="D12" s="47" t="inlineStr">
        <is>
          <t>Concentration metric</t>
        </is>
      </c>
      <c r="E12" s="85" t="inlineStr">
        <is>
          <t>Derived</t>
        </is>
      </c>
    </row>
    <row r="13">
      <c r="B13" s="48" t="inlineStr">
        <is>
          <t>Highest Wage Rate ($/hr)</t>
        </is>
      </c>
      <c r="C13" s="55" t="n">
        <v>50.10981308411215</v>
      </c>
      <c r="D13" s="49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76" t="n">
        <v>14.60869565217391</v>
      </c>
      <c r="D14" s="47" t="inlineStr">
        <is>
          <t>Single-worker blended</t>
        </is>
      </c>
      <c r="E14" s="85" t="inlineStr">
        <is>
          <t>Derived</t>
        </is>
      </c>
    </row>
    <row r="15">
      <c r="B15" s="48" t="inlineStr">
        <is>
          <t>Avg Hours per Worker</t>
        </is>
      </c>
      <c r="C15" s="56" t="n">
        <v>443.3863636363636</v>
      </c>
      <c r="D15" s="49" t="inlineStr">
        <is>
          <t>Includes short-tenure workers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69" t="n">
        <v>19.38636363636364</v>
      </c>
      <c r="D16" s="47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137 units (Job Info).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1">
        <f>2343188.0/19509.0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7">
        <f>1010507.56/19509.0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1">
        <f>526277.63/19509.0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7">
        <f>(526277.63+209595.74+40260.5)/19509.0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7">
        <f>(526277.63+209595.74+40260.5)/526277.63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56" t="n">
        <v>11450.5</v>
      </c>
      <c r="D11" s="49" t="inlineStr">
        <is>
          <t>JDR</t>
        </is>
      </c>
      <c r="E11" s="49" t="inlineStr">
        <is>
          <t>11450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69" t="n">
        <v>1845</v>
      </c>
      <c r="D12" s="47" t="inlineStr">
        <is>
          <t>JDR</t>
        </is>
      </c>
      <c r="E12" s="47" t="inlineStr">
        <is>
          <t>1845 hrs</t>
        </is>
      </c>
    </row>
    <row r="13">
      <c r="B13" s="48" t="inlineStr">
        <is>
          <t>Rough-in % of Total Hours</t>
        </is>
      </c>
      <c r="C13" s="72">
        <f>11450.5/19509.0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1010507.56/2343188.0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2">
        <f>526277.63/2343188.0</f>
        <v/>
      </c>
      <c r="D15" s="49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460263.33/2343188.0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2">
        <f>1332680.44/2343188.0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(137)</t>
        </is>
      </c>
      <c r="C18" s="81">
        <f>2343188.0/137</f>
        <v/>
      </c>
      <c r="D18" s="47" t="inlineStr">
        <is>
          <t>Formula</t>
        </is>
      </c>
      <c r="E18" s="47" t="inlineStr">
        <is>
          <t>137 units (Job Info)</t>
        </is>
      </c>
    </row>
    <row r="19">
      <c r="B19" s="48" t="inlineStr">
        <is>
          <t>Labor Hours per Unit</t>
        </is>
      </c>
      <c r="C19" s="75">
        <f>19509.0/137</f>
        <v/>
      </c>
      <c r="D19" s="49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1">
        <f>526277.63/137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7">
        <f>460263.33/137</f>
        <v/>
      </c>
      <c r="D21" s="49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1">
        <f>1332680.44/137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75">
        <f>11450.5/137</f>
        <v/>
      </c>
      <c r="D23" s="49" t="inlineStr">
        <is>
          <t>Formula</t>
        </is>
      </c>
      <c r="E23" s="49" t="inlineStr">
        <is>
          <t>Code 120 / 137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PRIME</t>
        </is>
      </c>
      <c r="C6" s="47" t="inlineStr">
        <is>
          <t>2016-09-26 (Fully Executed)</t>
        </is>
      </c>
      <c r="D6" s="47" t="inlineStr">
        <is>
          <t>Compass Harbor Construction, LLC</t>
        </is>
      </c>
      <c r="E6" s="47" t="inlineStr">
        <is>
          <t>Lump Sum Subcontract</t>
        </is>
      </c>
      <c r="F6" s="89" t="inlineStr">
        <is>
          <t>Closed</t>
        </is>
      </c>
      <c r="G6" s="47" t="inlineStr">
        <is>
          <t>Vuecrest LUX plumbing (137 units, Bellevue WA) — full plumbing scope per Div 22</t>
        </is>
      </c>
      <c r="H6" s="76" t="n">
        <v>2504600</v>
      </c>
      <c r="I6" s="47" t="inlineStr">
        <is>
          <t>Vuecrest-One Way Plumbing Fully Executed 9.26.16.pdf</t>
        </is>
      </c>
    </row>
    <row r="7">
      <c r="B7" s="48" t="inlineStr">
        <is>
          <t>CO#01</t>
        </is>
      </c>
      <c r="C7" s="90" t="inlineStr">
        <is>
          <t>NOT FOUND</t>
        </is>
      </c>
      <c r="D7" s="49" t="inlineStr">
        <is>
          <t>Compass Harbor Construction, LLC</t>
        </is>
      </c>
      <c r="E7" s="49" t="inlineStr">
        <is>
          <t>Change Order</t>
        </is>
      </c>
      <c r="F7" s="89" t="inlineStr">
        <is>
          <t>Executed</t>
        </is>
      </c>
      <c r="G7" s="49" t="inlineStr">
        <is>
          <t>Vuecrest - Budget Transfer - CO #01.xlsx</t>
        </is>
      </c>
      <c r="H7" s="70" t="n">
        <v>22429</v>
      </c>
      <c r="I7" s="49" t="inlineStr">
        <is>
          <t>CO_s/Vuecrest - Budget Transfer - CO #01.xlsx</t>
        </is>
      </c>
      <c r="J7" s="53" t="n"/>
    </row>
    <row r="8">
      <c r="B8" s="46" t="inlineStr">
        <is>
          <t>CO#02a</t>
        </is>
      </c>
      <c r="C8" s="90" t="inlineStr">
        <is>
          <t>NOT FOUND</t>
        </is>
      </c>
      <c r="D8" s="47" t="inlineStr">
        <is>
          <t>Compass Harbor Construction, LLC</t>
        </is>
      </c>
      <c r="E8" s="47" t="inlineStr">
        <is>
          <t>Change Order</t>
        </is>
      </c>
      <c r="F8" s="89" t="inlineStr">
        <is>
          <t>Executed</t>
        </is>
      </c>
      <c r="G8" s="47" t="inlineStr">
        <is>
          <t>BT CO#02 100% GMP Set Costs</t>
        </is>
      </c>
      <c r="H8" s="66" t="n">
        <v>10131</v>
      </c>
      <c r="I8" s="47" t="inlineStr">
        <is>
          <t>BT CO#02 100% GMP Set Costs</t>
        </is>
      </c>
    </row>
    <row r="9">
      <c r="B9" s="48" t="inlineStr">
        <is>
          <t>CO#02b</t>
        </is>
      </c>
      <c r="C9" s="90" t="inlineStr">
        <is>
          <t>NOT FOUND</t>
        </is>
      </c>
      <c r="D9" s="49" t="inlineStr">
        <is>
          <t>Compass Harbor Construction, LLC</t>
        </is>
      </c>
      <c r="E9" s="49" t="inlineStr">
        <is>
          <t>Change Order</t>
        </is>
      </c>
      <c r="F9" s="89" t="inlineStr">
        <is>
          <t>Executed</t>
        </is>
      </c>
      <c r="G9" s="49" t="inlineStr">
        <is>
          <t>BT CO#02 Cast Iron, Lav &amp; Kitchen Sinks Credit</t>
        </is>
      </c>
      <c r="H9" s="70" t="n">
        <v>-234240</v>
      </c>
      <c r="I9" s="49" t="inlineStr">
        <is>
          <t>BT CO#02 Cast Iron, Lav &amp; Kitchen Sinks Credit</t>
        </is>
      </c>
      <c r="J9" s="53" t="n"/>
    </row>
    <row r="10">
      <c r="B10" s="46" t="inlineStr">
        <is>
          <t>CO#03</t>
        </is>
      </c>
      <c r="C10" s="90" t="inlineStr">
        <is>
          <t>NOT FOUND</t>
        </is>
      </c>
      <c r="D10" s="47" t="inlineStr">
        <is>
          <t>Compass Harbor Construction, LLC</t>
        </is>
      </c>
      <c r="E10" s="47" t="inlineStr">
        <is>
          <t>Change Order</t>
        </is>
      </c>
      <c r="F10" s="89" t="inlineStr">
        <is>
          <t>Executed</t>
        </is>
      </c>
      <c r="G10" s="47" t="inlineStr">
        <is>
          <t>BT CO#03 Footing Drain @ Ramp (RFI-015)</t>
        </is>
      </c>
      <c r="H10" s="66" t="n">
        <v>999</v>
      </c>
      <c r="I10" s="47" t="inlineStr">
        <is>
          <t>BT CO#03 Footing Drain @ Ramp (RFI-015)</t>
        </is>
      </c>
    </row>
    <row r="11">
      <c r="B11" s="48" t="inlineStr">
        <is>
          <t>CO#04</t>
        </is>
      </c>
      <c r="C11" s="90" t="inlineStr">
        <is>
          <t>NOT FOUND</t>
        </is>
      </c>
      <c r="D11" s="49" t="inlineStr">
        <is>
          <t>Compass Harbor Construction, LLC</t>
        </is>
      </c>
      <c r="E11" s="49" t="inlineStr">
        <is>
          <t>Change Order</t>
        </is>
      </c>
      <c r="F11" s="89" t="inlineStr">
        <is>
          <t>Executed</t>
        </is>
      </c>
      <c r="G11" s="49" t="inlineStr">
        <is>
          <t>BT CO#04 Elevator Footing Drains (RFI-016)</t>
        </is>
      </c>
      <c r="H11" s="70" t="n">
        <v>9194</v>
      </c>
      <c r="I11" s="49" t="inlineStr">
        <is>
          <t>BT CO#04 Elevator Footing Drains (RFI-016)</t>
        </is>
      </c>
      <c r="J11" s="53" t="n"/>
    </row>
    <row r="12">
      <c r="B12" s="46" t="inlineStr">
        <is>
          <t>CO#05</t>
        </is>
      </c>
      <c r="C12" s="90" t="inlineStr">
        <is>
          <t>NOT FOUND</t>
        </is>
      </c>
      <c r="D12" s="47" t="inlineStr">
        <is>
          <t>Compass Harbor Construction, LLC</t>
        </is>
      </c>
      <c r="E12" s="47" t="inlineStr">
        <is>
          <t>Change Order</t>
        </is>
      </c>
      <c r="F12" s="89" t="inlineStr">
        <is>
          <t>Executed</t>
        </is>
      </c>
      <c r="G12" s="47" t="inlineStr">
        <is>
          <t>BT CO#05 Grade Beam Drainage (RFI-019)</t>
        </is>
      </c>
      <c r="H12" s="66" t="n">
        <v>1118</v>
      </c>
      <c r="I12" s="47" t="inlineStr">
        <is>
          <t>BT CO#05 Grade Beam Drainage (RFI-019)</t>
        </is>
      </c>
    </row>
    <row r="13">
      <c r="B13" s="48" t="inlineStr">
        <is>
          <t>CO#06</t>
        </is>
      </c>
      <c r="C13" s="90" t="inlineStr">
        <is>
          <t>NOT FOUND</t>
        </is>
      </c>
      <c r="D13" s="49" t="inlineStr">
        <is>
          <t>Compass Harbor Construction, LLC</t>
        </is>
      </c>
      <c r="E13" s="49" t="inlineStr">
        <is>
          <t>Change Order</t>
        </is>
      </c>
      <c r="F13" s="89" t="inlineStr">
        <is>
          <t>Executed</t>
        </is>
      </c>
      <c r="G13" s="49" t="inlineStr">
        <is>
          <t>BT CO#06 Add Grease Interceptor (COB)</t>
        </is>
      </c>
      <c r="H13" s="70" t="n">
        <v>5846</v>
      </c>
      <c r="I13" s="49" t="inlineStr">
        <is>
          <t>BT CO#06 Add Grease Interceptor (COB)</t>
        </is>
      </c>
      <c r="J13" s="53" t="n"/>
    </row>
    <row r="14">
      <c r="B14" s="46" t="inlineStr">
        <is>
          <t>CO#07</t>
        </is>
      </c>
      <c r="C14" s="90" t="inlineStr">
        <is>
          <t>NOT FOUND</t>
        </is>
      </c>
      <c r="D14" s="47" t="inlineStr">
        <is>
          <t>Compass Harbor Construction, LLC</t>
        </is>
      </c>
      <c r="E14" s="47" t="inlineStr">
        <is>
          <t>Change Order</t>
        </is>
      </c>
      <c r="F14" s="89" t="inlineStr">
        <is>
          <t>Executed</t>
        </is>
      </c>
      <c r="G14" s="47" t="inlineStr">
        <is>
          <t>BT CO#07 Delete Rooftop Sink</t>
        </is>
      </c>
      <c r="H14" s="66" t="n">
        <v>-2694</v>
      </c>
      <c r="I14" s="47" t="inlineStr">
        <is>
          <t>BT CO#07 Delete Rooftop Sink</t>
        </is>
      </c>
    </row>
    <row r="15">
      <c r="B15" s="48" t="inlineStr">
        <is>
          <t>CO#08</t>
        </is>
      </c>
      <c r="C15" s="90" t="inlineStr">
        <is>
          <t>NOT FOUND</t>
        </is>
      </c>
      <c r="D15" s="49" t="inlineStr">
        <is>
          <t>Compass Harbor Construction, LLC</t>
        </is>
      </c>
      <c r="E15" s="49" t="inlineStr">
        <is>
          <t>Change Order</t>
        </is>
      </c>
      <c r="F15" s="89" t="inlineStr">
        <is>
          <t>Executed</t>
        </is>
      </c>
      <c r="G15" s="49" t="inlineStr">
        <is>
          <t>BT CO#08 Sump Pump — Temporary Dewatering</t>
        </is>
      </c>
      <c r="H15" s="70" t="n">
        <v>1817</v>
      </c>
      <c r="I15" s="49" t="inlineStr">
        <is>
          <t>BT CO#08 Sump Pump — Temporary Dewatering</t>
        </is>
      </c>
      <c r="J15" s="53" t="n"/>
    </row>
    <row r="16">
      <c r="B16" s="46" t="inlineStr">
        <is>
          <t>CO#09</t>
        </is>
      </c>
      <c r="C16" s="90" t="inlineStr">
        <is>
          <t>NOT FOUND</t>
        </is>
      </c>
      <c r="D16" s="47" t="inlineStr">
        <is>
          <t>Compass Harbor Construction, LLC</t>
        </is>
      </c>
      <c r="E16" s="47" t="inlineStr">
        <is>
          <t>Change Order</t>
        </is>
      </c>
      <c r="F16" s="89" t="inlineStr">
        <is>
          <t>Executed</t>
        </is>
      </c>
      <c r="G16" s="47" t="inlineStr">
        <is>
          <t xml:space="preserve"> Add Condensate Stacks</t>
        </is>
      </c>
      <c r="H16" s="66" t="n">
        <v>2865</v>
      </c>
      <c r="I16" s="47" t="inlineStr">
        <is>
          <t>BT CO#09 Delete Rooftop Bathroom / Add Condensate Stacks</t>
        </is>
      </c>
    </row>
    <row r="17">
      <c r="B17" s="48" t="inlineStr">
        <is>
          <t>CO#10</t>
        </is>
      </c>
      <c r="C17" s="90" t="inlineStr">
        <is>
          <t>NOT FOUND</t>
        </is>
      </c>
      <c r="D17" s="49" t="inlineStr">
        <is>
          <t>Compass Harbor Construction, LLC</t>
        </is>
      </c>
      <c r="E17" s="49" t="inlineStr">
        <is>
          <t>Change Order</t>
        </is>
      </c>
      <c r="F17" s="89" t="inlineStr">
        <is>
          <t>Executed</t>
        </is>
      </c>
      <c r="G17" s="49" t="inlineStr">
        <is>
          <t>BT CO#10 PSE Transformer Oil Containment Room Drain</t>
        </is>
      </c>
      <c r="H17" s="70" t="n">
        <v>5364</v>
      </c>
      <c r="I17" s="49" t="inlineStr">
        <is>
          <t>BT CO#10 PSE Transformer Oil Containment Room Drain</t>
        </is>
      </c>
      <c r="J17" s="53" t="n"/>
    </row>
    <row r="18">
      <c r="B18" s="46" t="inlineStr">
        <is>
          <t>CO#11</t>
        </is>
      </c>
      <c r="C18" s="90" t="inlineStr">
        <is>
          <t>NOT FOUND</t>
        </is>
      </c>
      <c r="D18" s="47" t="inlineStr">
        <is>
          <t>Compass Harbor Construction, LLC</t>
        </is>
      </c>
      <c r="E18" s="47" t="inlineStr">
        <is>
          <t>Change Order</t>
        </is>
      </c>
      <c r="F18" s="89" t="inlineStr">
        <is>
          <t>Executed</t>
        </is>
      </c>
      <c r="G18" s="47" t="inlineStr">
        <is>
          <t>BT CO#11 PSE Transformer Drain — Permit Revision</t>
        </is>
      </c>
      <c r="H18" s="66" t="n">
        <v>1667</v>
      </c>
      <c r="I18" s="47" t="inlineStr">
        <is>
          <t>BT CO#11 PSE Transformer Drain — Permit Revision</t>
        </is>
      </c>
    </row>
    <row r="19">
      <c r="B19" s="48" t="inlineStr">
        <is>
          <t>CO#12</t>
        </is>
      </c>
      <c r="C19" s="90" t="inlineStr">
        <is>
          <t>NOT FOUND</t>
        </is>
      </c>
      <c r="D19" s="49" t="inlineStr">
        <is>
          <t>Compass Harbor Construction, LLC</t>
        </is>
      </c>
      <c r="E19" s="49" t="inlineStr">
        <is>
          <t>Change Order</t>
        </is>
      </c>
      <c r="F19" s="89" t="inlineStr">
        <is>
          <t>Executed</t>
        </is>
      </c>
      <c r="G19" s="49" t="inlineStr">
        <is>
          <t>BT CO#12 Dewatering Meter Supply &amp; Install</t>
        </is>
      </c>
      <c r="H19" s="70" t="n">
        <v>5466</v>
      </c>
      <c r="I19" s="49" t="inlineStr">
        <is>
          <t>BT CO#12 Dewatering Meter Supply &amp; Install</t>
        </is>
      </c>
      <c r="J19" s="53" t="n"/>
    </row>
    <row r="20">
      <c r="B20" s="46" t="inlineStr">
        <is>
          <t>CO#13</t>
        </is>
      </c>
      <c r="C20" s="90" t="inlineStr">
        <is>
          <t>NOT FOUND</t>
        </is>
      </c>
      <c r="D20" s="47" t="inlineStr">
        <is>
          <t>Compass Harbor Construction, LLC</t>
        </is>
      </c>
      <c r="E20" s="47" t="inlineStr">
        <is>
          <t>Change Order</t>
        </is>
      </c>
      <c r="F20" s="89" t="inlineStr">
        <is>
          <t>Executed</t>
        </is>
      </c>
      <c r="G20" s="47" t="inlineStr">
        <is>
          <t>BT CO#13 Add Drain in Package Room (RFI-154)</t>
        </is>
      </c>
      <c r="H20" s="66" t="n">
        <v>3126</v>
      </c>
      <c r="I20" s="47" t="inlineStr">
        <is>
          <t>BT CO#13 Add Drain in Package Room (RFI-154)</t>
        </is>
      </c>
    </row>
    <row r="21">
      <c r="B21" s="48" t="inlineStr">
        <is>
          <t>CO#14</t>
        </is>
      </c>
      <c r="C21" s="90" t="inlineStr">
        <is>
          <t>NOT FOUND</t>
        </is>
      </c>
      <c r="D21" s="49" t="inlineStr">
        <is>
          <t>Compass Harbor Construction, LLC</t>
        </is>
      </c>
      <c r="E21" s="49" t="inlineStr">
        <is>
          <t>Change Order</t>
        </is>
      </c>
      <c r="F21" s="89" t="inlineStr">
        <is>
          <t>Executed</t>
        </is>
      </c>
      <c r="G21" s="49" t="inlineStr">
        <is>
          <t>BT CO#14 Added L5 Deck Drain (RFI-224)</t>
        </is>
      </c>
      <c r="H21" s="70" t="n">
        <v>1352</v>
      </c>
      <c r="I21" s="49" t="inlineStr">
        <is>
          <t>BT CO#14 Added L5 Deck Drain (RFI-224)</t>
        </is>
      </c>
      <c r="J21" s="53" t="n"/>
    </row>
    <row r="22">
      <c r="B22" s="46" t="inlineStr">
        <is>
          <t>CO#15</t>
        </is>
      </c>
      <c r="C22" s="90" t="inlineStr">
        <is>
          <t>NOT FOUND</t>
        </is>
      </c>
      <c r="D22" s="47" t="inlineStr">
        <is>
          <t>Compass Harbor Construction, LLC</t>
        </is>
      </c>
      <c r="E22" s="47" t="inlineStr">
        <is>
          <t>Change Order</t>
        </is>
      </c>
      <c r="F22" s="89" t="inlineStr">
        <is>
          <t>Executed</t>
        </is>
      </c>
      <c r="G22" s="47" t="inlineStr">
        <is>
          <t>BT CO#15 Dog Run Backflow Preventer (RFI-172.1)</t>
        </is>
      </c>
      <c r="H22" s="66" t="n">
        <v>2546</v>
      </c>
      <c r="I22" s="47" t="inlineStr">
        <is>
          <t>BT CO#15 Dog Run Backflow Preventer (RFI-172.1)</t>
        </is>
      </c>
    </row>
    <row r="23">
      <c r="B23" s="48" t="inlineStr">
        <is>
          <t>CO#16</t>
        </is>
      </c>
      <c r="C23" s="90" t="inlineStr">
        <is>
          <t>NOT FOUND</t>
        </is>
      </c>
      <c r="D23" s="49" t="inlineStr">
        <is>
          <t>Compass Harbor Construction, LLC</t>
        </is>
      </c>
      <c r="E23" s="49" t="inlineStr">
        <is>
          <t>Change Order</t>
        </is>
      </c>
      <c r="F23" s="89" t="inlineStr">
        <is>
          <t>Executed</t>
        </is>
      </c>
      <c r="G23" s="49" t="inlineStr">
        <is>
          <t>BT CO#16 RFI-172.1 Dog Run Connections</t>
        </is>
      </c>
      <c r="H23" s="70" t="n">
        <v>1782</v>
      </c>
      <c r="I23" s="49" t="inlineStr">
        <is>
          <t>BT CO#16 RFI-172.1 Dog Run Connections</t>
        </is>
      </c>
      <c r="J23" s="53" t="n"/>
    </row>
    <row r="24">
      <c r="B24" s="46" t="inlineStr">
        <is>
          <t>CO#17</t>
        </is>
      </c>
      <c r="C24" s="90" t="inlineStr">
        <is>
          <t>NOT FOUND</t>
        </is>
      </c>
      <c r="D24" s="47" t="inlineStr">
        <is>
          <t>Compass Harbor Construction, LLC</t>
        </is>
      </c>
      <c r="E24" s="47" t="inlineStr">
        <is>
          <t>Change Order</t>
        </is>
      </c>
      <c r="F24" s="89" t="inlineStr">
        <is>
          <t>Executed</t>
        </is>
      </c>
      <c r="G24" s="47" t="inlineStr">
        <is>
          <t>BT CO#17 Revised Layout x20 Stack (RFI-202)</t>
        </is>
      </c>
      <c r="H24" s="66" t="n">
        <v>999</v>
      </c>
      <c r="I24" s="47" t="inlineStr">
        <is>
          <t>BT CO#17 Revised Layout x20 Stack (RFI-202)</t>
        </is>
      </c>
    </row>
    <row r="25">
      <c r="B25" s="48" t="inlineStr">
        <is>
          <t>TOTAL (contract + COs)</t>
        </is>
      </c>
      <c r="C25" s="53" t="n"/>
      <c r="D25" s="53" t="n"/>
      <c r="E25" s="53" t="n"/>
      <c r="F25" s="53" t="n"/>
      <c r="G25" s="53" t="n"/>
      <c r="H25" s="77">
        <f>SUM(H6:H24)</f>
        <v/>
      </c>
      <c r="I25" s="53" t="n"/>
      <c r="J25" s="53" t="n"/>
    </row>
    <row r="26"/>
    <row r="27">
      <c r="B27" s="48" t="inlineStr">
        <is>
          <t>NOTE: Documented COs (17 Budget Transfer spreadsheets) sum to $-160,233.00; JDR-implied = $-161,412.00; gap $-1,179.00 likely CO#18 (Fully Executed 1/23/2019, no budget transfer xlsx). CO folder has 18 fully-executed COs total. CORs folder contains 33 internal COR pricing worksheets. Outbound POs: 231 items across 1 Placed, 2 Scheduled, 3 Completed subfolders.</t>
        </is>
      </c>
      <c r="C27" s="50" t="n"/>
      <c r="D27" s="50" t="n"/>
      <c r="E27" s="50" t="n"/>
      <c r="F27" s="50" t="n"/>
      <c r="G27" s="50" t="n"/>
      <c r="H27" s="50" t="n"/>
      <c r="I27" s="51" t="n"/>
      <c r="J27" s="53" t="n"/>
    </row>
  </sheetData>
  <mergeCells count="3">
    <mergeCell ref="B27:I27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30 unique invoices to Compass Harbor Construction, LLC. Retainage $114,309.40 = 4.9%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036796</t>
        </is>
      </c>
      <c r="C6" s="47" t="inlineStr">
        <is>
          <t>10/21/16</t>
        </is>
      </c>
      <c r="D6" s="66" t="n">
        <v>-51300</v>
      </c>
      <c r="E6" s="66" t="n">
        <v>-2565</v>
      </c>
      <c r="F6" s="52" t="n">
        <v>1</v>
      </c>
      <c r="G6" s="47" t="inlineStr">
        <is>
          <t>2033 Job Detail Report.pdf (Sage Timberline, 04/03/2026, 191 pages)</t>
        </is>
      </c>
    </row>
    <row r="7">
      <c r="B7" s="48" t="inlineStr">
        <is>
          <t>036797</t>
        </is>
      </c>
      <c r="C7" s="49" t="inlineStr">
        <is>
          <t>10/21/16</t>
        </is>
      </c>
      <c r="D7" s="70" t="n">
        <v>51300</v>
      </c>
      <c r="E7" s="70" t="n">
        <v>2565</v>
      </c>
      <c r="F7" s="79" t="n">
        <v>1</v>
      </c>
      <c r="G7" s="49" t="inlineStr">
        <is>
          <t>2033 Job Detail Report.pdf (Sage Timberline, 04/03/2026, 191 pages)</t>
        </is>
      </c>
      <c r="H7" s="53" t="n"/>
      <c r="I7" s="53" t="n"/>
      <c r="J7" s="53" t="n"/>
    </row>
    <row r="8">
      <c r="B8" s="46" t="inlineStr">
        <is>
          <t>036798</t>
        </is>
      </c>
      <c r="C8" s="47" t="inlineStr">
        <is>
          <t>10/21/16</t>
        </is>
      </c>
      <c r="D8" s="66" t="n">
        <v>-46170</v>
      </c>
      <c r="E8" s="66" t="n">
        <v>0</v>
      </c>
      <c r="F8" s="52" t="n">
        <v>1</v>
      </c>
      <c r="G8" s="47" t="inlineStr">
        <is>
          <t>2033 Job Detail Report.pdf (Sage Timberline, 04/03/2026, 191 pages)</t>
        </is>
      </c>
    </row>
    <row r="9">
      <c r="B9" s="48" t="inlineStr">
        <is>
          <t>036823</t>
        </is>
      </c>
      <c r="C9" s="49" t="inlineStr">
        <is>
          <t>01/20/17</t>
        </is>
      </c>
      <c r="D9" s="70" t="n">
        <v>-113471</v>
      </c>
      <c r="E9" s="70" t="n">
        <v>-5673.55</v>
      </c>
      <c r="F9" s="79" t="n">
        <v>4</v>
      </c>
      <c r="G9" s="49" t="inlineStr">
        <is>
          <t>2033 Job Detail Report.pdf (Sage Timberline, 04/03/2026, 191 pages)</t>
        </is>
      </c>
      <c r="H9" s="53" t="n"/>
      <c r="I9" s="53" t="n"/>
      <c r="J9" s="53" t="n"/>
    </row>
    <row r="10">
      <c r="B10" s="46" t="inlineStr">
        <is>
          <t>036838</t>
        </is>
      </c>
      <c r="C10" s="47" t="inlineStr">
        <is>
          <t>02/20/17</t>
        </is>
      </c>
      <c r="D10" s="66" t="n">
        <v>-18171</v>
      </c>
      <c r="E10" s="66" t="n">
        <v>-908.55</v>
      </c>
      <c r="F10" s="52" t="n">
        <v>3</v>
      </c>
      <c r="G10" s="47" t="inlineStr">
        <is>
          <t>2033 Job Detail Report.pdf (Sage Timberline, 04/03/2026, 191 pages)</t>
        </is>
      </c>
    </row>
    <row r="11">
      <c r="B11" s="48" t="inlineStr">
        <is>
          <t>036841</t>
        </is>
      </c>
      <c r="C11" s="49" t="inlineStr">
        <is>
          <t>02/20/17</t>
        </is>
      </c>
      <c r="D11" s="70" t="n">
        <v>18171</v>
      </c>
      <c r="E11" s="70" t="n">
        <v>908.55</v>
      </c>
      <c r="F11" s="79" t="n">
        <v>3</v>
      </c>
      <c r="G11" s="49" t="inlineStr">
        <is>
          <t>2033 Job Detail Report.pdf (Sage Timberline, 04/03/2026, 191 pages)</t>
        </is>
      </c>
      <c r="H11" s="53" t="n"/>
      <c r="I11" s="53" t="n"/>
      <c r="J11" s="53" t="n"/>
    </row>
    <row r="12">
      <c r="B12" s="46" t="inlineStr">
        <is>
          <t>036842</t>
        </is>
      </c>
      <c r="C12" s="47" t="inlineStr">
        <is>
          <t>02/20/17</t>
        </is>
      </c>
      <c r="D12" s="66" t="n">
        <v>-16000</v>
      </c>
      <c r="E12" s="66" t="n">
        <v>-800</v>
      </c>
      <c r="F12" s="52" t="n">
        <v>2</v>
      </c>
      <c r="G12" s="47" t="inlineStr">
        <is>
          <t>2033 Job Detail Report.pdf (Sage Timberline, 04/03/2026, 191 pages)</t>
        </is>
      </c>
    </row>
    <row r="13">
      <c r="B13" s="48" t="inlineStr">
        <is>
          <t>036851</t>
        </is>
      </c>
      <c r="C13" s="49" t="inlineStr">
        <is>
          <t>03/17/17</t>
        </is>
      </c>
      <c r="D13" s="70" t="n">
        <v>-52428</v>
      </c>
      <c r="E13" s="70" t="n">
        <v>-2621.4</v>
      </c>
      <c r="F13" s="79" t="n">
        <v>4</v>
      </c>
      <c r="G13" s="49" t="inlineStr">
        <is>
          <t>2033 Job Detail Report.pdf (Sage Timberline, 04/03/2026, 191 pages)</t>
        </is>
      </c>
      <c r="H13" s="53" t="n"/>
      <c r="I13" s="53" t="n"/>
      <c r="J13" s="53" t="n"/>
    </row>
    <row r="14">
      <c r="B14" s="46" t="inlineStr">
        <is>
          <t>036854</t>
        </is>
      </c>
      <c r="C14" s="47" t="inlineStr">
        <is>
          <t>03/17/17</t>
        </is>
      </c>
      <c r="D14" s="66" t="n">
        <v>-10830</v>
      </c>
      <c r="E14" s="66" t="n">
        <v>0</v>
      </c>
      <c r="F14" s="52" t="n">
        <v>2</v>
      </c>
      <c r="G14" s="47" t="inlineStr">
        <is>
          <t>2033 Job Detail Report.pdf (Sage Timberline, 04/03/2026, 191 pages)</t>
        </is>
      </c>
    </row>
    <row r="15">
      <c r="B15" s="48" t="inlineStr">
        <is>
          <t>036859</t>
        </is>
      </c>
      <c r="C15" s="49" t="inlineStr">
        <is>
          <t>04/20/17</t>
        </is>
      </c>
      <c r="D15" s="70" t="n">
        <v>-305247</v>
      </c>
      <c r="E15" s="70" t="n">
        <v>-15262.35</v>
      </c>
      <c r="F15" s="79" t="n">
        <v>5</v>
      </c>
      <c r="G15" s="49" t="inlineStr">
        <is>
          <t>2033 Job Detail Report.pdf (Sage Timberline, 04/03/2026, 191 pages)</t>
        </is>
      </c>
      <c r="H15" s="53" t="n"/>
      <c r="I15" s="53" t="n"/>
      <c r="J15" s="53" t="n"/>
    </row>
    <row r="16">
      <c r="B16" s="46" t="inlineStr">
        <is>
          <t>036884</t>
        </is>
      </c>
      <c r="C16" s="47" t="inlineStr">
        <is>
          <t>05/19/17</t>
        </is>
      </c>
      <c r="D16" s="66" t="n">
        <v>-110084</v>
      </c>
      <c r="E16" s="66" t="n">
        <v>-5504.2</v>
      </c>
      <c r="F16" s="52" t="n">
        <v>6</v>
      </c>
      <c r="G16" s="47" t="inlineStr">
        <is>
          <t>2033 Job Detail Report.pdf (Sage Timberline, 04/03/2026, 191 pages)</t>
        </is>
      </c>
    </row>
    <row r="17">
      <c r="B17" s="48" t="inlineStr">
        <is>
          <t>036901</t>
        </is>
      </c>
      <c r="C17" s="49" t="inlineStr">
        <is>
          <t>06/19/17</t>
        </is>
      </c>
      <c r="D17" s="70" t="n">
        <v>-254978</v>
      </c>
      <c r="E17" s="70" t="n">
        <v>-12748.9</v>
      </c>
      <c r="F17" s="79" t="n">
        <v>7</v>
      </c>
      <c r="G17" s="49" t="inlineStr">
        <is>
          <t>2033 Job Detail Report.pdf (Sage Timberline, 04/03/2026, 191 pages)</t>
        </is>
      </c>
      <c r="H17" s="53" t="n"/>
      <c r="I17" s="53" t="n"/>
      <c r="J17" s="53" t="n"/>
    </row>
    <row r="18">
      <c r="B18" s="46" t="inlineStr">
        <is>
          <t>036914</t>
        </is>
      </c>
      <c r="C18" s="47" t="inlineStr">
        <is>
          <t>07/20/17</t>
        </is>
      </c>
      <c r="D18" s="66" t="n">
        <v>-301402</v>
      </c>
      <c r="E18" s="66" t="n">
        <v>-15070.1</v>
      </c>
      <c r="F18" s="52" t="n">
        <v>6</v>
      </c>
      <c r="G18" s="47" t="inlineStr">
        <is>
          <t>2033 Job Detail Report.pdf (Sage Timberline, 04/03/2026, 191 pages)</t>
        </is>
      </c>
    </row>
    <row r="19">
      <c r="B19" s="48" t="inlineStr">
        <is>
          <t>036932</t>
        </is>
      </c>
      <c r="C19" s="49" t="inlineStr">
        <is>
          <t>08/18/17</t>
        </is>
      </c>
      <c r="D19" s="70" t="n">
        <v>-364635</v>
      </c>
      <c r="E19" s="70" t="n">
        <v>-18231.75</v>
      </c>
      <c r="F19" s="79" t="n">
        <v>7</v>
      </c>
      <c r="G19" s="49" t="inlineStr">
        <is>
          <t>2033 Job Detail Report.pdf (Sage Timberline, 04/03/2026, 191 pages)</t>
        </is>
      </c>
      <c r="H19" s="53" t="n"/>
      <c r="I19" s="53" t="n"/>
      <c r="J19" s="53" t="n"/>
    </row>
    <row r="20">
      <c r="B20" s="46" t="inlineStr">
        <is>
          <t>036947</t>
        </is>
      </c>
      <c r="C20" s="47" t="inlineStr">
        <is>
          <t>09/20/17</t>
        </is>
      </c>
      <c r="D20" s="66" t="n">
        <v>-182045</v>
      </c>
      <c r="E20" s="66" t="n">
        <v>-9102.25</v>
      </c>
      <c r="F20" s="52" t="n">
        <v>4</v>
      </c>
      <c r="G20" s="47" t="inlineStr">
        <is>
          <t>2033 Job Detail Report.pdf (Sage Timberline, 04/03/2026, 191 pages)</t>
        </is>
      </c>
    </row>
    <row r="21">
      <c r="B21" s="48" t="inlineStr">
        <is>
          <t>036969</t>
        </is>
      </c>
      <c r="C21" s="49" t="inlineStr">
        <is>
          <t>10/20/17</t>
        </is>
      </c>
      <c r="D21" s="70" t="n">
        <v>-135091</v>
      </c>
      <c r="E21" s="70" t="n">
        <v>-6754.55</v>
      </c>
      <c r="F21" s="79" t="n">
        <v>7</v>
      </c>
      <c r="G21" s="49" t="inlineStr">
        <is>
          <t>2033 Job Detail Report.pdf (Sage Timberline, 04/03/2026, 191 pages)</t>
        </is>
      </c>
      <c r="H21" s="53" t="n"/>
      <c r="I21" s="53" t="n"/>
      <c r="J21" s="53" t="n"/>
    </row>
    <row r="22">
      <c r="B22" s="46" t="inlineStr">
        <is>
          <t>036976</t>
        </is>
      </c>
      <c r="C22" s="47" t="inlineStr">
        <is>
          <t>11/17/17</t>
        </is>
      </c>
      <c r="D22" s="66" t="n">
        <v>-190985</v>
      </c>
      <c r="E22" s="66" t="n">
        <v>-9549.249999999998</v>
      </c>
      <c r="F22" s="52" t="n">
        <v>15</v>
      </c>
      <c r="G22" s="47" t="inlineStr">
        <is>
          <t>2033 Job Detail Report.pdf (Sage Timberline, 04/03/2026, 191 pages)</t>
        </is>
      </c>
    </row>
    <row r="23">
      <c r="B23" s="48" t="inlineStr">
        <is>
          <t>036990</t>
        </is>
      </c>
      <c r="C23" s="49" t="inlineStr">
        <is>
          <t>12/14/17</t>
        </is>
      </c>
      <c r="D23" s="70" t="n">
        <v>-88537</v>
      </c>
      <c r="E23" s="70" t="n">
        <v>-4426.85</v>
      </c>
      <c r="F23" s="79" t="n">
        <v>10</v>
      </c>
      <c r="G23" s="49" t="inlineStr">
        <is>
          <t>2033 Job Detail Report.pdf (Sage Timberline, 04/03/2026, 191 pages)</t>
        </is>
      </c>
      <c r="H23" s="53" t="n"/>
      <c r="I23" s="53" t="n"/>
      <c r="J23" s="53" t="n"/>
    </row>
    <row r="24">
      <c r="B24" s="46" t="inlineStr">
        <is>
          <t>037011</t>
        </is>
      </c>
      <c r="C24" s="47" t="inlineStr">
        <is>
          <t>01/19/18</t>
        </is>
      </c>
      <c r="D24" s="66" t="n">
        <v>-8426</v>
      </c>
      <c r="E24" s="66" t="n">
        <v>-421.3</v>
      </c>
      <c r="F24" s="52" t="n">
        <v>3</v>
      </c>
      <c r="G24" s="47" t="inlineStr">
        <is>
          <t>2033 Job Detail Report.pdf (Sage Timberline, 04/03/2026, 191 pages)</t>
        </is>
      </c>
    </row>
    <row r="25">
      <c r="B25" s="48" t="inlineStr">
        <is>
          <t>037022</t>
        </is>
      </c>
      <c r="C25" s="49" t="inlineStr">
        <is>
          <t>02/20/18</t>
        </is>
      </c>
      <c r="D25" s="70" t="n">
        <v>-3500</v>
      </c>
      <c r="E25" s="70" t="n">
        <v>-175</v>
      </c>
      <c r="F25" s="79" t="n">
        <v>1</v>
      </c>
      <c r="G25" s="49" t="inlineStr">
        <is>
          <t>2033 Job Detail Report.pdf (Sage Timberline, 04/03/2026, 191 pages)</t>
        </is>
      </c>
      <c r="H25" s="53" t="n"/>
      <c r="I25" s="53" t="n"/>
      <c r="J25" s="53" t="n"/>
    </row>
    <row r="26">
      <c r="B26" s="46" t="inlineStr">
        <is>
          <t>037045</t>
        </is>
      </c>
      <c r="C26" s="47" t="inlineStr">
        <is>
          <t>03/20/18</t>
        </is>
      </c>
      <c r="D26" s="66" t="n">
        <v>-3100</v>
      </c>
      <c r="E26" s="66" t="n">
        <v>-155</v>
      </c>
      <c r="F26" s="52" t="n">
        <v>1</v>
      </c>
      <c r="G26" s="47" t="inlineStr">
        <is>
          <t>2033 Job Detail Report.pdf (Sage Timberline, 04/03/2026, 191 pages)</t>
        </is>
      </c>
    </row>
    <row r="27">
      <c r="B27" s="48" t="inlineStr">
        <is>
          <t>037063</t>
        </is>
      </c>
      <c r="C27" s="49" t="inlineStr">
        <is>
          <t>04/20/18</t>
        </is>
      </c>
      <c r="D27" s="70" t="n">
        <v>-25928</v>
      </c>
      <c r="E27" s="70" t="n">
        <v>-1296.4</v>
      </c>
      <c r="F27" s="79" t="n">
        <v>5</v>
      </c>
      <c r="G27" s="49" t="inlineStr">
        <is>
          <t>2033 Job Detail Report.pdf (Sage Timberline, 04/03/2026, 191 pages)</t>
        </is>
      </c>
      <c r="H27" s="53" t="n"/>
      <c r="I27" s="53" t="n"/>
      <c r="J27" s="53" t="n"/>
    </row>
    <row r="28">
      <c r="B28" s="46" t="inlineStr">
        <is>
          <t>037087</t>
        </is>
      </c>
      <c r="C28" s="47" t="inlineStr">
        <is>
          <t>05/18/18</t>
        </is>
      </c>
      <c r="D28" s="66" t="n">
        <v>-41625</v>
      </c>
      <c r="E28" s="66" t="n">
        <v>-2081.25</v>
      </c>
      <c r="F28" s="52" t="n">
        <v>4</v>
      </c>
      <c r="G28" s="47" t="inlineStr">
        <is>
          <t>2033 Job Detail Report.pdf (Sage Timberline, 04/03/2026, 191 pages)</t>
        </is>
      </c>
    </row>
    <row r="29">
      <c r="B29" s="48" t="inlineStr">
        <is>
          <t>037107</t>
        </is>
      </c>
      <c r="C29" s="49" t="inlineStr">
        <is>
          <t>06/20/18</t>
        </is>
      </c>
      <c r="D29" s="70" t="n">
        <v>-9830</v>
      </c>
      <c r="E29" s="70" t="n">
        <v>-491.5</v>
      </c>
      <c r="F29" s="79" t="n">
        <v>3</v>
      </c>
      <c r="G29" s="49" t="inlineStr">
        <is>
          <t>2033 Job Detail Report.pdf (Sage Timberline, 04/03/2026, 191 pages)</t>
        </is>
      </c>
      <c r="H29" s="53" t="n"/>
      <c r="I29" s="53" t="n"/>
      <c r="J29" s="53" t="n"/>
    </row>
    <row r="30">
      <c r="B30" s="46" t="inlineStr">
        <is>
          <t>037134</t>
        </is>
      </c>
      <c r="C30" s="47" t="inlineStr">
        <is>
          <t>07/20/18</t>
        </is>
      </c>
      <c r="D30" s="66" t="n">
        <v>-34240</v>
      </c>
      <c r="E30" s="66" t="n">
        <v>-1712</v>
      </c>
      <c r="F30" s="52" t="n">
        <v>3</v>
      </c>
      <c r="G30" s="47" t="inlineStr">
        <is>
          <t>2033 Job Detail Report.pdf (Sage Timberline, 04/03/2026, 191 pages)</t>
        </is>
      </c>
    </row>
    <row r="31">
      <c r="B31" s="48" t="inlineStr">
        <is>
          <t>037153</t>
        </is>
      </c>
      <c r="C31" s="49" t="inlineStr">
        <is>
          <t>08/20/18</t>
        </is>
      </c>
      <c r="D31" s="70" t="n">
        <v>-26484</v>
      </c>
      <c r="E31" s="70" t="n">
        <v>-1324.2</v>
      </c>
      <c r="F31" s="79" t="n">
        <v>4</v>
      </c>
      <c r="G31" s="49" t="inlineStr">
        <is>
          <t>2033 Job Detail Report.pdf (Sage Timberline, 04/03/2026, 191 pages)</t>
        </is>
      </c>
      <c r="H31" s="53" t="n"/>
      <c r="I31" s="53" t="n"/>
      <c r="J31" s="53" t="n"/>
    </row>
    <row r="32">
      <c r="B32" s="46" t="inlineStr">
        <is>
          <t>037158</t>
        </is>
      </c>
      <c r="C32" s="47" t="inlineStr">
        <is>
          <t>08/20/18</t>
        </is>
      </c>
      <c r="D32" s="66" t="n">
        <v>26484</v>
      </c>
      <c r="E32" s="66" t="n">
        <v>1324.2</v>
      </c>
      <c r="F32" s="52" t="n">
        <v>4</v>
      </c>
      <c r="G32" s="47" t="inlineStr">
        <is>
          <t>2033 Job Detail Report.pdf (Sage Timberline, 04/03/2026, 191 pages)</t>
        </is>
      </c>
    </row>
    <row r="33">
      <c r="B33" s="48" t="inlineStr">
        <is>
          <t>037159</t>
        </is>
      </c>
      <c r="C33" s="49" t="inlineStr">
        <is>
          <t>08/20/18</t>
        </is>
      </c>
      <c r="D33" s="70" t="n">
        <v>-27146</v>
      </c>
      <c r="E33" s="70" t="n">
        <v>-1357.3</v>
      </c>
      <c r="F33" s="79" t="n">
        <v>4</v>
      </c>
      <c r="G33" s="49" t="inlineStr">
        <is>
          <t>2033 Job Detail Report.pdf (Sage Timberline, 04/03/2026, 191 pages)</t>
        </is>
      </c>
      <c r="H33" s="53" t="n"/>
      <c r="I33" s="53" t="n"/>
      <c r="J33" s="53" t="n"/>
    </row>
    <row r="34">
      <c r="B34" s="46" t="inlineStr">
        <is>
          <t>037181</t>
        </is>
      </c>
      <c r="C34" s="47" t="inlineStr">
        <is>
          <t>09/19/18</t>
        </is>
      </c>
      <c r="D34" s="66" t="n">
        <v>-16732</v>
      </c>
      <c r="E34" s="66" t="n">
        <v>-836.6</v>
      </c>
      <c r="F34" s="52" t="n">
        <v>4</v>
      </c>
      <c r="G34" s="47" t="inlineStr">
        <is>
          <t>2033 Job Detail Report.pdf (Sage Timberline, 04/03/2026, 191 pages)</t>
        </is>
      </c>
    </row>
    <row r="35">
      <c r="B35" s="48" t="inlineStr">
        <is>
          <t>037230</t>
        </is>
      </c>
      <c r="C35" s="49" t="inlineStr">
        <is>
          <t>11/16/18</t>
        </is>
      </c>
      <c r="D35" s="70" t="n">
        <v>-758</v>
      </c>
      <c r="E35" s="70" t="n">
        <v>-37.9</v>
      </c>
      <c r="F35" s="79" t="n">
        <v>1</v>
      </c>
      <c r="G35" s="49" t="inlineStr">
        <is>
          <t>2033 Job Detail Report.pdf (Sage Timberline, 04/03/2026, 191 pages)</t>
        </is>
      </c>
      <c r="H35" s="53" t="n"/>
      <c r="I35" s="53" t="n"/>
      <c r="J35" s="53" t="n"/>
    </row>
    <row r="36">
      <c r="B36" s="46" t="inlineStr">
        <is>
          <t>TOTAL (signed)</t>
        </is>
      </c>
      <c r="D36" s="67">
        <f>SUM(D6:D35)</f>
        <v/>
      </c>
      <c r="E36" s="67">
        <f>SUM(E6:E35)</f>
        <v/>
      </c>
    </row>
    <row r="37"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</row>
    <row r="38">
      <c r="B38" s="46" t="inlineStr">
        <is>
          <t>NOTE: AR entries signed negative per Sage convention. Net billed = $2,343,188.00; retainage $114,309.40 outstanding on JDR dated 04/03/2026. Billing folder contains SOV xlsx files for pay apps 13-23 (2018 draw period). F1 Vuecrest - Subtier Subs &amp; Suppliers disclosures attached for pay apps 6-23.</t>
        </is>
      </c>
      <c r="C38" s="6" t="n"/>
      <c r="D38" s="6" t="n"/>
      <c r="E38" s="6" t="n"/>
      <c r="F38" s="6" t="n"/>
      <c r="G38" s="7" t="n"/>
    </row>
  </sheetData>
  <mergeCells count="3">
    <mergeCell ref="B38:G38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52" t="n">
        <v>1</v>
      </c>
      <c r="C6" s="47" t="inlineStr">
        <is>
          <t>VERY STRONG MARGIN</t>
        </is>
      </c>
      <c r="D6" s="47" t="inlineStr">
        <is>
          <t>Net profit $1,010,507.56 on $2,343,188.00 revenue = 43.1% gross margin. Exceeds typical multifamily plumbing (25-30%) — strong execution under OCIP (wrap) insurance.</t>
        </is>
      </c>
      <c r="E6" s="91" t="inlineStr">
        <is>
          <t>Verified</t>
        </is>
      </c>
      <c r="F6" s="47" t="inlineStr">
        <is>
          <t>2033 Job Detail Report.pdf (Sage Timberline, 04/03/2026, 191 pages)</t>
        </is>
      </c>
    </row>
    <row r="7" ht="58" customHeight="1">
      <c r="B7" s="79" t="n">
        <v>2</v>
      </c>
      <c r="C7" s="49" t="inlineStr">
        <is>
          <t>DEDUCTIVE CONTRACT</t>
        </is>
      </c>
      <c r="D7" s="49" t="inlineStr">
        <is>
          <t>Original contract $2,504,600.00 → revised $2,343,188.00 = ($161,412.00) net reduction (-6.44%). Driven by CO#02 Cast Iron/Lav/Kitchen Sinks credit ($234,240) partially offset by 16 adds. 18 fully-executed COs and 33 internal CORs documented.</t>
        </is>
      </c>
      <c r="E7" s="91" t="inlineStr">
        <is>
          <t>Verified</t>
        </is>
      </c>
      <c r="F7" s="49" t="inlineStr">
        <is>
          <t>Change Orders folder + Sage</t>
        </is>
      </c>
      <c r="G7" s="53" t="n"/>
      <c r="H7" s="53" t="n"/>
      <c r="I7" s="53" t="n"/>
      <c r="J7" s="53" t="n"/>
    </row>
    <row r="8" ht="58" customHeight="1">
      <c r="B8" s="52" t="n">
        <v>3</v>
      </c>
      <c r="C8" s="47" t="inlineStr">
        <is>
          <t>LABOR EFFICIENCY</t>
        </is>
      </c>
      <c r="D8" s="47" t="inlineStr">
        <is>
          <t>Labor cost $526,277.63 (22.5% of rev) across 19,509 hrs and 44 workers. Blended wage $26.98/hr (pre-burden).</t>
        </is>
      </c>
      <c r="E8" s="91" t="inlineStr">
        <is>
          <t>Verified</t>
        </is>
      </c>
      <c r="F8" s="47" t="inlineStr">
        <is>
          <t>2033 Job Detail Report.pdf (Sage Timberline, 04/03/2026, 191 pages)</t>
        </is>
      </c>
    </row>
    <row r="9" ht="58" customHeight="1">
      <c r="B9" s="79" t="n">
        <v>4</v>
      </c>
      <c r="C9" s="49" t="inlineStr">
        <is>
          <t>VENDOR CONCENTRATION</t>
        </is>
      </c>
      <c r="D9" s="49" t="inlineStr">
        <is>
          <t>Top 5 AP vendors: ~$393,740.12 (80% of AP). Top vendor: Rosen Supply Company, Inc. $Vuecrest ($169,567.03).</t>
        </is>
      </c>
      <c r="E9" s="91" t="inlineStr">
        <is>
          <t>Verified</t>
        </is>
      </c>
      <c r="F9" s="49" t="inlineStr">
        <is>
          <t>2033 Job Detail Report.pdf (Sage Timberline, 04/03/2026, 191 pages)</t>
        </is>
      </c>
      <c r="G9" s="53" t="n"/>
      <c r="H9" s="53" t="n"/>
      <c r="I9" s="53" t="n"/>
      <c r="J9" s="53" t="n"/>
    </row>
    <row r="10" ht="58" customHeight="1">
      <c r="B10" s="52" t="n">
        <v>5</v>
      </c>
      <c r="C10" s="47" t="inlineStr">
        <is>
          <t>LOW OVERHEAD</t>
        </is>
      </c>
      <c r="D10" s="47" t="inlineStr">
        <is>
          <t>GL cost $66,431.91 = 2.8% of revenue. Lean project management overhead — typical OCIP projects keep GL under 3%.</t>
        </is>
      </c>
      <c r="E10" s="91" t="inlineStr">
        <is>
          <t>Verified</t>
        </is>
      </c>
      <c r="F10" s="47" t="inlineStr">
        <is>
          <t>2033 Job Detail Report.pdf (Sage Timberline, 04/03/2026, 191 pages)</t>
        </is>
      </c>
    </row>
    <row r="11" ht="58" customHeight="1">
      <c r="B11" s="79" t="n">
        <v>6</v>
      </c>
      <c r="C11" s="49" t="inlineStr">
        <is>
          <t>RETAINAGE HELD LONG</t>
        </is>
      </c>
      <c r="D11" s="49" t="inlineStr">
        <is>
          <t>Retainage $114,309.40 = 4.9% of AR still open on JDR 04/03/2026 — that's 7+ years after last invoice (11/2018). Flag for collections follow-up.</t>
        </is>
      </c>
      <c r="E11" s="91" t="inlineStr">
        <is>
          <t>Verified</t>
        </is>
      </c>
      <c r="F11" s="49" t="inlineStr">
        <is>
          <t>2033 Job Detail Report.pdf (Sage Timberline, 04/03/2026, 191 pages)</t>
        </is>
      </c>
      <c r="G11" s="53" t="n"/>
      <c r="H11" s="53" t="n"/>
      <c r="I11" s="53" t="n"/>
      <c r="J11" s="53" t="n"/>
    </row>
    <row r="12" ht="58" customHeight="1">
      <c r="B12" s="52" t="n">
        <v>7</v>
      </c>
      <c r="C12" s="47" t="inlineStr">
        <is>
          <t>ROUGH-IN DOMINANT</t>
        </is>
      </c>
      <c r="D12" s="47" t="inlineStr">
        <is>
          <t>Code 120 (Roughin Labor) = 11,450 hrs (59% of total). Revised budget was 329,577, actual 299,136 = savings of $30,441.</t>
        </is>
      </c>
      <c r="E12" s="91" t="inlineStr">
        <is>
          <t>Verified</t>
        </is>
      </c>
      <c r="F12" s="47" t="inlineStr">
        <is>
          <t>2033 Job Detail Report.pdf (Sage Timberline, 04/03/2026, 191 pages)</t>
        </is>
      </c>
    </row>
    <row r="13" ht="58" customHeight="1">
      <c r="B13" s="79" t="n">
        <v>8</v>
      </c>
      <c r="C13" s="49" t="inlineStr">
        <is>
          <t>FINISH MATERIAL OVERRUN</t>
        </is>
      </c>
      <c r="D13" s="49" t="inlineStr">
        <is>
          <t>Code 230 Finish Material: rev $197,050, actual $219,513 (+$22,463 / 11.4%). Likely driver: upgraded fixtures per CO#02 cast iron/lav/sink revision + Delta faucet upgrades (CO#29).</t>
        </is>
      </c>
      <c r="E13" s="85" t="inlineStr">
        <is>
          <t>Inferred</t>
        </is>
      </c>
      <c r="F13" s="49" t="inlineStr">
        <is>
          <t>2033 Job Detail Report.pdf (Sage Timberline, 04/03/2026, 191 pages)</t>
        </is>
      </c>
      <c r="G13" s="53" t="n"/>
      <c r="H13" s="53" t="n"/>
      <c r="I13" s="53" t="n"/>
      <c r="J13" s="53" t="n"/>
    </row>
    <row r="14" ht="58" customHeight="1">
      <c r="B14" s="52" t="n">
        <v>9</v>
      </c>
      <c r="C14" s="47" t="inlineStr">
        <is>
          <t>PSE TRANSFORMER DRAMA</t>
        </is>
      </c>
      <c r="D14" s="47" t="inlineStr">
        <is>
          <t>3 COs directly tied to PSE transformer oil containment (CO#10, CO#11, CO#12 Dewatering Meter): ~$12,497 of added cost. Notable as design iteration with PSE utility coordination.</t>
        </is>
      </c>
      <c r="E14" s="91" t="inlineStr">
        <is>
          <t>Verified</t>
        </is>
      </c>
      <c r="F14" s="47" t="inlineStr">
        <is>
          <t>CO folder + RFI-005</t>
        </is>
      </c>
    </row>
    <row r="15" ht="58" customHeight="1">
      <c r="B15" s="79" t="n">
        <v>10</v>
      </c>
      <c r="C15" s="49" t="inlineStr">
        <is>
          <t>DOCUMENT DEPTH</t>
        </is>
      </c>
      <c r="D15" s="49" t="inlineStr">
        <is>
          <t>Exceptional documentation: 59 ASI-RFI items, 33 CORs, 231 POs, 503 photos, 10 permits (incl 16-144265-BO building, 17-106355-BL plumbing). Ranks among most thoroughly documented OWP projects.</t>
        </is>
      </c>
      <c r="E15" s="91" t="inlineStr">
        <is>
          <t>Verified</t>
        </is>
      </c>
      <c r="F15" s="49" t="inlineStr">
        <is>
          <t>owp-2033/ (2033-Compass, Vuecrest)</t>
        </is>
      </c>
      <c r="G15" s="53" t="n"/>
      <c r="H15" s="53" t="n"/>
      <c r="I15" s="53" t="n"/>
      <c r="J15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2033</t>
        </is>
      </c>
      <c r="E6" s="47" t="inlineStr">
        <is>
          <t>Profile</t>
        </is>
      </c>
      <c r="F6" s="47" t="inlineStr">
        <is>
          <t>OWP job ID</t>
        </is>
      </c>
      <c r="G6" s="91" t="inlineStr">
        <is>
          <t>Verified</t>
        </is>
      </c>
      <c r="H6" s="47" t="inlineStr">
        <is>
          <t>2033 Job Detail Report.pdf (Sage Timberline, 04/03/2026, 191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Compass Vuecrest</t>
        </is>
      </c>
      <c r="E7" s="49" t="inlineStr">
        <is>
          <t>Profile</t>
        </is>
      </c>
      <c r="F7" s="49" t="inlineStr">
        <is>
          <t>Sage short name</t>
        </is>
      </c>
      <c r="G7" s="91" t="inlineStr">
        <is>
          <t>Verified</t>
        </is>
      </c>
      <c r="H7" s="49" t="inlineStr">
        <is>
          <t>2033 Job Detail Report.pdf (Sage Timberline, 04/03/2026, 191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Vuecrest (LUX) — 137-unit luxury multifamily plumbing, Bellevue WA</t>
        </is>
      </c>
      <c r="E8" s="47" t="inlineStr">
        <is>
          <t>Profile</t>
        </is>
      </c>
      <c r="F8" s="47" t="inlineStr">
        <is>
          <t>Contract + Job Info</t>
        </is>
      </c>
      <c r="G8" s="91" t="inlineStr">
        <is>
          <t>Verified</t>
        </is>
      </c>
      <c r="H8" s="47" t="inlineStr">
        <is>
          <t>Vuecrest-One Way Plumbing Fully Executed 9.26.16.pdf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Compass Harbor Construction, LLC</t>
        </is>
      </c>
      <c r="E9" s="49" t="inlineStr">
        <is>
          <t>Profile</t>
        </is>
      </c>
      <c r="F9" s="49" t="inlineStr">
        <is>
          <t>Customer 2033BV</t>
        </is>
      </c>
      <c r="G9" s="91" t="inlineStr">
        <is>
          <t>Verified</t>
        </is>
      </c>
      <c r="H9" s="49" t="inlineStr">
        <is>
          <t>Vuecrest-One Way Plumbing Fully Executed 9.26.16.pdf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Bellevue Vuecrest, LP (Developer: Continental)</t>
        </is>
      </c>
      <c r="E10" s="47" t="inlineStr">
        <is>
          <t>Profile</t>
        </is>
      </c>
      <c r="F10" s="47" t="inlineStr">
        <is>
          <t>Per subcontract + Job Info</t>
        </is>
      </c>
      <c r="G10" s="91" t="inlineStr">
        <is>
          <t>Verified</t>
        </is>
      </c>
      <c r="H10" s="47" t="inlineStr">
        <is>
          <t>Vuecrest-One Way Plumbing Fully Executed 9.26.16.pdf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1000 100th Ave NE, Bellevue, WA 98004</t>
        </is>
      </c>
      <c r="E11" s="49" t="inlineStr">
        <is>
          <t>Profile</t>
        </is>
      </c>
      <c r="F11" s="49" t="inlineStr">
        <is>
          <t>Contract address</t>
        </is>
      </c>
      <c r="G11" s="91" t="inlineStr">
        <is>
          <t>Verified</t>
        </is>
      </c>
      <c r="H11" s="49" t="inlineStr">
        <is>
          <t>Vuecrest-One Way Plumbing Fully Executed 9.26.16.pdf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Luxury Multifamily New Construction — Plumbing (137 units)</t>
        </is>
      </c>
      <c r="E12" s="47" t="inlineStr">
        <is>
          <t>Profile</t>
        </is>
      </c>
      <c r="F12" s="47" t="inlineStr">
        <is>
          <t>Fixture schedule + Div 22</t>
        </is>
      </c>
      <c r="G12" s="91" t="inlineStr">
        <is>
          <t>Verified</t>
        </is>
      </c>
      <c r="H12" s="47" t="inlineStr">
        <is>
          <t>Vuecrest P-tag and equipment list working copy.xlsx</t>
        </is>
      </c>
    </row>
    <row r="13">
      <c r="B13" s="48" t="inlineStr">
        <is>
          <t>Insurance Type</t>
        </is>
      </c>
      <c r="C13" s="49" t="inlineStr">
        <is>
          <t>insurance_type</t>
        </is>
      </c>
      <c r="D13" s="49" t="inlineStr">
        <is>
          <t>Wrap (OCIP)</t>
        </is>
      </c>
      <c r="E13" s="49" t="inlineStr">
        <is>
          <t>Profile</t>
        </is>
      </c>
      <c r="F13" s="49" t="inlineStr">
        <is>
          <t>OCIP (wrap) enrollment</t>
        </is>
      </c>
      <c r="G13" s="91" t="inlineStr">
        <is>
          <t>Verified</t>
        </is>
      </c>
      <c r="H13" s="49" t="inlineStr">
        <is>
          <t>Insurance folder</t>
        </is>
      </c>
      <c r="I13" s="53" t="n"/>
      <c r="J13" s="53" t="n"/>
    </row>
    <row r="14">
      <c r="B14" s="46" t="inlineStr">
        <is>
          <t>GC PM</t>
        </is>
      </c>
      <c r="C14" s="47" t="inlineStr">
        <is>
          <t>gc_pm</t>
        </is>
      </c>
      <c r="D14" s="47" t="inlineStr">
        <is>
          <t>Ryan Ames / Vince Dennison</t>
        </is>
      </c>
      <c r="E14" s="47" t="inlineStr">
        <is>
          <t>Profile</t>
        </is>
      </c>
      <c r="F14" s="47" t="inlineStr">
        <is>
          <t>Project lead</t>
        </is>
      </c>
      <c r="G14" s="91" t="inlineStr">
        <is>
          <t>Verified</t>
        </is>
      </c>
      <c r="H14" s="47" t="inlineStr">
        <is>
          <t>Job Info</t>
        </is>
      </c>
    </row>
    <row r="15">
      <c r="B15" s="48" t="inlineStr">
        <is>
          <t>GC Superintendent</t>
        </is>
      </c>
      <c r="C15" s="49" t="inlineStr">
        <is>
          <t>gc_sup</t>
        </is>
      </c>
      <c r="D15" s="49" t="inlineStr">
        <is>
          <t>Todd Mortenson</t>
        </is>
      </c>
      <c r="E15" s="49" t="inlineStr">
        <is>
          <t>Profile</t>
        </is>
      </c>
      <c r="F15" s="92" t="inlineStr"/>
      <c r="G15" s="91" t="inlineStr">
        <is>
          <t>Verified</t>
        </is>
      </c>
      <c r="H15" s="49" t="inlineStr">
        <is>
          <t>Job Info</t>
        </is>
      </c>
      <c r="I15" s="53" t="n"/>
      <c r="J15" s="53" t="n"/>
    </row>
    <row r="16">
      <c r="B16" s="46" t="inlineStr">
        <is>
          <t>GC PE</t>
        </is>
      </c>
      <c r="C16" s="47" t="inlineStr">
        <is>
          <t>gc_pe</t>
        </is>
      </c>
      <c r="D16" s="47" t="inlineStr">
        <is>
          <t>Dan Peck</t>
        </is>
      </c>
      <c r="E16" s="47" t="inlineStr">
        <is>
          <t>Profile</t>
        </is>
      </c>
      <c r="F16" s="5" t="inlineStr"/>
      <c r="G16" s="91" t="inlineStr">
        <is>
          <t>Verified</t>
        </is>
      </c>
      <c r="H16" s="47" t="inlineStr">
        <is>
          <t>Job Info</t>
        </is>
      </c>
    </row>
    <row r="17">
      <c r="B17" s="48" t="inlineStr">
        <is>
          <t>Developer</t>
        </is>
      </c>
      <c r="C17" s="49" t="inlineStr">
        <is>
          <t>developer</t>
        </is>
      </c>
      <c r="D17" s="49" t="inlineStr">
        <is>
          <t>Continental</t>
        </is>
      </c>
      <c r="E17" s="49" t="inlineStr">
        <is>
          <t>Profile</t>
        </is>
      </c>
      <c r="F17" s="92" t="inlineStr"/>
      <c r="G17" s="91" t="inlineStr">
        <is>
          <t>Verified</t>
        </is>
      </c>
      <c r="H17" s="49" t="inlineStr">
        <is>
          <t>Job Info</t>
        </is>
      </c>
      <c r="I17" s="53" t="n"/>
      <c r="J17" s="53" t="n"/>
    </row>
    <row r="18">
      <c r="B18" s="46" t="inlineStr">
        <is>
          <t>OWP RI Foreman</t>
        </is>
      </c>
      <c r="C18" s="47" t="inlineStr">
        <is>
          <t>owp_foreman</t>
        </is>
      </c>
      <c r="D18" s="47" t="inlineStr">
        <is>
          <t>Victor</t>
        </is>
      </c>
      <c r="E18" s="47" t="inlineStr">
        <is>
          <t>Profile</t>
        </is>
      </c>
      <c r="F18" s="5" t="inlineStr"/>
      <c r="G18" s="91" t="inlineStr">
        <is>
          <t>Verified</t>
        </is>
      </c>
      <c r="H18" s="47" t="inlineStr">
        <is>
          <t>Schedule tab</t>
        </is>
      </c>
    </row>
    <row r="19">
      <c r="B19" s="48" t="inlineStr">
        <is>
          <t>Work Start Date</t>
        </is>
      </c>
      <c r="C19" s="49" t="inlineStr">
        <is>
          <t>start_date</t>
        </is>
      </c>
      <c r="D19" s="49" t="inlineStr">
        <is>
          <t>2016-09-01</t>
        </is>
      </c>
      <c r="E19" s="49" t="inlineStr">
        <is>
          <t>Profile</t>
        </is>
      </c>
      <c r="F19" s="49" t="inlineStr">
        <is>
          <t>Per Schedule + first PR</t>
        </is>
      </c>
      <c r="G19" s="91" t="inlineStr">
        <is>
          <t>Verified</t>
        </is>
      </c>
      <c r="H19" s="49" t="inlineStr">
        <is>
          <t>2033 Job Detail Report.pdf (Sage Timberline, 04/03/2026, 191 pages)</t>
        </is>
      </c>
      <c r="I19" s="53" t="n"/>
      <c r="J19" s="53" t="n"/>
    </row>
    <row r="20">
      <c r="B20" s="46" t="inlineStr">
        <is>
          <t>Work End Date</t>
        </is>
      </c>
      <c r="C20" s="47" t="inlineStr">
        <is>
          <t>end_date</t>
        </is>
      </c>
      <c r="D20" s="47" t="inlineStr">
        <is>
          <t>2018-11-16</t>
        </is>
      </c>
      <c r="E20" s="47" t="inlineStr">
        <is>
          <t>Profile</t>
        </is>
      </c>
      <c r="F20" s="47" t="inlineStr">
        <is>
          <t>Per last AR posting</t>
        </is>
      </c>
      <c r="G20" s="91" t="inlineStr">
        <is>
          <t>Verified</t>
        </is>
      </c>
      <c r="H20" s="47" t="inlineStr">
        <is>
          <t>2033 Job Detail Report.pdf (Sage Timberline, 04/03/2026, 191 pages)</t>
        </is>
      </c>
    </row>
    <row r="21">
      <c r="B21" s="48" t="inlineStr">
        <is>
          <t>Duration (months)</t>
        </is>
      </c>
      <c r="C21" s="49" t="inlineStr">
        <is>
          <t>duration_months</t>
        </is>
      </c>
      <c r="D21" s="79" t="n">
        <v>27</v>
      </c>
      <c r="E21" s="49" t="inlineStr">
        <is>
          <t>Profile</t>
        </is>
      </c>
      <c r="F21" s="49" t="inlineStr">
        <is>
          <t>Sep 2016 → Nov 2018</t>
        </is>
      </c>
      <c r="G21" s="91" t="inlineStr">
        <is>
          <t>Verified</t>
        </is>
      </c>
      <c r="H21" s="85" t="inlineStr">
        <is>
          <t>Derived</t>
        </is>
      </c>
      <c r="I21" s="53" t="n"/>
      <c r="J21" s="53" t="n"/>
    </row>
    <row r="22">
      <c r="B22" s="46" t="inlineStr">
        <is>
          <t>Unit Count</t>
        </is>
      </c>
      <c r="C22" s="47" t="inlineStr">
        <is>
          <t>unit_count</t>
        </is>
      </c>
      <c r="D22" s="52" t="n">
        <v>137</v>
      </c>
      <c r="E22" s="47" t="inlineStr">
        <is>
          <t>Profile</t>
        </is>
      </c>
      <c r="F22" s="47" t="inlineStr">
        <is>
          <t>Per Job Info sheet</t>
        </is>
      </c>
      <c r="G22" s="91" t="inlineStr">
        <is>
          <t>Verified</t>
        </is>
      </c>
      <c r="H22" s="47" t="inlineStr">
        <is>
          <t>Job Info</t>
        </is>
      </c>
    </row>
    <row r="23">
      <c r="B23" s="48" t="inlineStr">
        <is>
          <t>Contract Original</t>
        </is>
      </c>
      <c r="C23" s="49" t="inlineStr">
        <is>
          <t>contract_original</t>
        </is>
      </c>
      <c r="D23" s="55" t="n">
        <v>2504600</v>
      </c>
      <c r="E23" s="49" t="inlineStr">
        <is>
          <t>Financial</t>
        </is>
      </c>
      <c r="F23" s="49" t="inlineStr">
        <is>
          <t>Subcontract Lump Sum (Sage)</t>
        </is>
      </c>
      <c r="G23" s="91" t="inlineStr">
        <is>
          <t>Verified</t>
        </is>
      </c>
      <c r="H23" s="49" t="inlineStr">
        <is>
          <t>Vuecrest-One Way Plumbing Fully Executed 9.26.16.pdf</t>
        </is>
      </c>
      <c r="I23" s="53" t="n"/>
      <c r="J23" s="53" t="n"/>
    </row>
    <row r="24">
      <c r="B24" s="46" t="inlineStr">
        <is>
          <t>Contract Final</t>
        </is>
      </c>
      <c r="C24" s="47" t="inlineStr">
        <is>
          <t>contract_final</t>
        </is>
      </c>
      <c r="D24" s="76" t="n">
        <v>2343188</v>
      </c>
      <c r="E24" s="47" t="inlineStr">
        <is>
          <t>Financial</t>
        </is>
      </c>
      <c r="F24" s="47" t="inlineStr">
        <is>
          <t>Code 999 Rev Budget = AR total</t>
        </is>
      </c>
      <c r="G24" s="91" t="inlineStr">
        <is>
          <t>Verified</t>
        </is>
      </c>
      <c r="H24" s="47" t="inlineStr">
        <is>
          <t>2033 Job Detail Report.pdf (Sage Timberline, 04/03/2026, 191 pages)</t>
        </is>
      </c>
    </row>
    <row r="25">
      <c r="B25" s="48" t="inlineStr">
        <is>
          <t>Change Orders ($, implied)</t>
        </is>
      </c>
      <c r="C25" s="49" t="inlineStr">
        <is>
          <t>change_orders_implied</t>
        </is>
      </c>
      <c r="D25" s="55" t="n">
        <v>-161412</v>
      </c>
      <c r="E25" s="49" t="inlineStr">
        <is>
          <t>Financial</t>
        </is>
      </c>
      <c r="F25" s="49" t="inlineStr">
        <is>
          <t>Final - Original</t>
        </is>
      </c>
      <c r="G25" s="91" t="inlineStr">
        <is>
          <t>Verified</t>
        </is>
      </c>
      <c r="H25" s="49" t="inlineStr">
        <is>
          <t>2033 Job Detail Report.pdf (Sage Timberline, 04/03/2026, 191 pages)</t>
        </is>
      </c>
      <c r="I25" s="53" t="n"/>
      <c r="J25" s="53" t="n"/>
    </row>
    <row r="26">
      <c r="B26" s="46" t="inlineStr">
        <is>
          <t>Change Orders ($, documented)</t>
        </is>
      </c>
      <c r="C26" s="47" t="inlineStr">
        <is>
          <t>change_orders_documented</t>
        </is>
      </c>
      <c r="D26" s="76" t="n">
        <v>-160233</v>
      </c>
      <c r="E26" s="47" t="inlineStr">
        <is>
          <t>Financial</t>
        </is>
      </c>
      <c r="F26" s="47" t="inlineStr">
        <is>
          <t>17 Budget Transfer xlsx sum</t>
        </is>
      </c>
      <c r="G26" s="91" t="inlineStr">
        <is>
          <t>Verified</t>
        </is>
      </c>
      <c r="H26" s="47" t="inlineStr">
        <is>
          <t>BUDGET TRANSFERS folder</t>
        </is>
      </c>
    </row>
    <row r="27">
      <c r="B27" s="48" t="inlineStr">
        <is>
          <t>CO Count Documented</t>
        </is>
      </c>
      <c r="C27" s="49" t="inlineStr">
        <is>
          <t>co_count</t>
        </is>
      </c>
      <c r="D27" s="79" t="n">
        <v>18</v>
      </c>
      <c r="E27" s="49" t="inlineStr">
        <is>
          <t>Financial</t>
        </is>
      </c>
      <c r="F27" s="49" t="inlineStr">
        <is>
          <t>18 fully-executed COs in folder</t>
        </is>
      </c>
      <c r="G27" s="91" t="inlineStr">
        <is>
          <t>Verified</t>
        </is>
      </c>
      <c r="H27" s="49" t="inlineStr">
        <is>
          <t>Change Orders/CO_s/</t>
        </is>
      </c>
      <c r="I27" s="53" t="n"/>
      <c r="J27" s="53" t="n"/>
    </row>
    <row r="28">
      <c r="B28" s="46" t="inlineStr">
        <is>
          <t>COR Count</t>
        </is>
      </c>
      <c r="C28" s="47" t="inlineStr">
        <is>
          <t>cor_count</t>
        </is>
      </c>
      <c r="D28" s="52" t="n">
        <v>33</v>
      </c>
      <c r="E28" s="47" t="inlineStr">
        <is>
          <t>Financial</t>
        </is>
      </c>
      <c r="F28" s="47" t="inlineStr">
        <is>
          <t>Internal Change Order Requests</t>
        </is>
      </c>
      <c r="G28" s="91" t="inlineStr">
        <is>
          <t>Verified</t>
        </is>
      </c>
      <c r="H28" s="47" t="inlineStr">
        <is>
          <t>Change Orders/COR_s/</t>
        </is>
      </c>
    </row>
    <row r="29">
      <c r="B29" s="48" t="inlineStr">
        <is>
          <t>Change Order % of Contract</t>
        </is>
      </c>
      <c r="C29" s="49" t="inlineStr">
        <is>
          <t>co_pct</t>
        </is>
      </c>
      <c r="D29" s="93" t="n">
        <v>-0.0644462189571189</v>
      </c>
      <c r="E29" s="49" t="inlineStr">
        <is>
          <t>Financial</t>
        </is>
      </c>
      <c r="F29" s="92" t="inlineStr"/>
      <c r="G29" s="91" t="inlineStr">
        <is>
          <t>Verified</t>
        </is>
      </c>
      <c r="H29" s="85" t="inlineStr">
        <is>
          <t>Derived</t>
        </is>
      </c>
      <c r="I29" s="53" t="n"/>
      <c r="J29" s="53" t="n"/>
    </row>
    <row r="30">
      <c r="B30" s="46" t="inlineStr">
        <is>
          <t>Revenue</t>
        </is>
      </c>
      <c r="C30" s="47" t="inlineStr">
        <is>
          <t>revenue</t>
        </is>
      </c>
      <c r="D30" s="76" t="n">
        <v>2343188</v>
      </c>
      <c r="E30" s="47" t="inlineStr">
        <is>
          <t>Financial</t>
        </is>
      </c>
      <c r="F30" s="47" t="inlineStr">
        <is>
          <t>AR total</t>
        </is>
      </c>
      <c r="G30" s="91" t="inlineStr">
        <is>
          <t>Verified</t>
        </is>
      </c>
      <c r="H30" s="47" t="inlineStr">
        <is>
          <t>2033 Job Detail Report.pdf (Sage Timberline, 04/03/2026, 191 pages)</t>
        </is>
      </c>
    </row>
    <row r="31">
      <c r="B31" s="48" t="inlineStr">
        <is>
          <t>Direct Cost</t>
        </is>
      </c>
      <c r="C31" s="49" t="inlineStr">
        <is>
          <t>direct_cost</t>
        </is>
      </c>
      <c r="D31" s="55" t="n">
        <v>1332680.44</v>
      </c>
      <c r="E31" s="49" t="inlineStr">
        <is>
          <t>Financial</t>
        </is>
      </c>
      <c r="F31" s="49" t="inlineStr">
        <is>
          <t>JDR Job Totals Expenses</t>
        </is>
      </c>
      <c r="G31" s="91" t="inlineStr">
        <is>
          <t>Verified</t>
        </is>
      </c>
      <c r="H31" s="49" t="inlineStr">
        <is>
          <t>2033 Job Detail Report.pdf (Sage Timberline, 04/03/2026, 191 pages)</t>
        </is>
      </c>
      <c r="I31" s="53" t="n"/>
      <c r="J31" s="53" t="n"/>
    </row>
    <row r="32">
      <c r="B32" s="46" t="inlineStr">
        <is>
          <t>Net Profit</t>
        </is>
      </c>
      <c r="C32" s="47" t="inlineStr">
        <is>
          <t>net_profit</t>
        </is>
      </c>
      <c r="D32" s="76" t="n">
        <v>1010507.56</v>
      </c>
      <c r="E32" s="47" t="inlineStr">
        <is>
          <t>Financial</t>
        </is>
      </c>
      <c r="F32" s="47" t="inlineStr">
        <is>
          <t>Rev - Expenses</t>
        </is>
      </c>
      <c r="G32" s="91" t="inlineStr">
        <is>
          <t>Verified</t>
        </is>
      </c>
      <c r="H32" s="47" t="inlineStr">
        <is>
          <t>2033 Job Detail Report.pdf (Sage Timberline, 04/03/2026, 191 pages)</t>
        </is>
      </c>
    </row>
    <row r="33">
      <c r="B33" s="48" t="inlineStr">
        <is>
          <t>Gross Margin</t>
        </is>
      </c>
      <c r="C33" s="49" t="inlineStr">
        <is>
          <t>gross_margin</t>
        </is>
      </c>
      <c r="D33" s="93" t="n">
        <v>0.4312533010582164</v>
      </c>
      <c r="E33" s="49" t="inlineStr">
        <is>
          <t>Financial</t>
        </is>
      </c>
      <c r="F33" s="92" t="inlineStr"/>
      <c r="G33" s="91" t="inlineStr">
        <is>
          <t>Verified</t>
        </is>
      </c>
      <c r="H33" s="85" t="inlineStr">
        <is>
          <t>Derived</t>
        </is>
      </c>
      <c r="I33" s="53" t="n"/>
      <c r="J33" s="53" t="n"/>
    </row>
    <row r="34">
      <c r="B34" s="46" t="inlineStr">
        <is>
          <t>Retainage Outstanding</t>
        </is>
      </c>
      <c r="C34" s="47" t="inlineStr">
        <is>
          <t>retainage</t>
        </is>
      </c>
      <c r="D34" s="76" t="n">
        <v>114309.4</v>
      </c>
      <c r="E34" s="47" t="inlineStr">
        <is>
          <t>Financial</t>
        </is>
      </c>
      <c r="F34" s="47" t="inlineStr">
        <is>
          <t>Open per JDR 4/3/26</t>
        </is>
      </c>
      <c r="G34" s="91" t="inlineStr">
        <is>
          <t>Verified</t>
        </is>
      </c>
      <c r="H34" s="47" t="inlineStr">
        <is>
          <t>2033 Job Detail Report.pdf (Sage Timberline, 04/03/2026, 191 pages)</t>
        </is>
      </c>
    </row>
    <row r="35">
      <c r="B35" s="48" t="inlineStr">
        <is>
          <t>Retainage % of Revenue</t>
        </is>
      </c>
      <c r="C35" s="49" t="inlineStr">
        <is>
          <t>retainage_pct</t>
        </is>
      </c>
      <c r="D35" s="93" t="n">
        <v>0.04878370834947943</v>
      </c>
      <c r="E35" s="49" t="inlineStr">
        <is>
          <t>Financial</t>
        </is>
      </c>
      <c r="F35" s="92" t="inlineStr"/>
      <c r="G35" s="91" t="inlineStr">
        <is>
          <t>Verified</t>
        </is>
      </c>
      <c r="H35" s="85" t="inlineStr">
        <is>
          <t>Derived</t>
        </is>
      </c>
      <c r="I35" s="53" t="n"/>
      <c r="J35" s="53" t="n"/>
    </row>
    <row r="36">
      <c r="B36" s="46" t="inlineStr">
        <is>
          <t>Labor Cost</t>
        </is>
      </c>
      <c r="C36" s="47" t="inlineStr">
        <is>
          <t>labor_cost</t>
        </is>
      </c>
      <c r="D36" s="76" t="n">
        <v>526277.63</v>
      </c>
      <c r="E36" s="47" t="inlineStr">
        <is>
          <t>Labor</t>
        </is>
      </c>
      <c r="F36" s="47" t="inlineStr">
        <is>
          <t>Codes 100-143</t>
        </is>
      </c>
      <c r="G36" s="91" t="inlineStr">
        <is>
          <t>Verified</t>
        </is>
      </c>
      <c r="H36" s="47" t="inlineStr">
        <is>
          <t>2033 Job Detail Report.pdf (Sage Timberline, 04/03/2026, 191 pages)</t>
        </is>
      </c>
    </row>
    <row r="37">
      <c r="B37" s="48" t="inlineStr">
        <is>
          <t>Material Cost</t>
        </is>
      </c>
      <c r="C37" s="49" t="inlineStr">
        <is>
          <t>material_cost</t>
        </is>
      </c>
      <c r="D37" s="55" t="n">
        <v>460263.33</v>
      </c>
      <c r="E37" s="49" t="inlineStr">
        <is>
          <t>Material</t>
        </is>
      </c>
      <c r="F37" s="49" t="inlineStr">
        <is>
          <t>Codes 210-243</t>
        </is>
      </c>
      <c r="G37" s="91" t="inlineStr">
        <is>
          <t>Verified</t>
        </is>
      </c>
      <c r="H37" s="49" t="inlineStr">
        <is>
          <t>2033 Job Detail Report.pdf (Sage Timberline, 04/03/2026, 191 pages)</t>
        </is>
      </c>
      <c r="I37" s="53" t="n"/>
      <c r="J37" s="53" t="n"/>
    </row>
    <row r="38">
      <c r="B38" s="46" t="inlineStr">
        <is>
          <t>Subcontractor+OH Cost</t>
        </is>
      </c>
      <c r="C38" s="47" t="inlineStr">
        <is>
          <t>overhead_cost</t>
        </is>
      </c>
      <c r="D38" s="76" t="n">
        <v>96283.24000000001</v>
      </c>
      <c r="E38" s="47" t="inlineStr">
        <is>
          <t>Financial</t>
        </is>
      </c>
      <c r="F38" s="47" t="inlineStr">
        <is>
          <t>Codes 600-607</t>
        </is>
      </c>
      <c r="G38" s="91" t="inlineStr">
        <is>
          <t>Verified</t>
        </is>
      </c>
      <c r="H38" s="47" t="inlineStr">
        <is>
          <t>2033 Job Detail Report.pdf (Sage Timberline, 04/03/2026, 191 pages)</t>
        </is>
      </c>
    </row>
    <row r="39">
      <c r="B39" s="48" t="inlineStr">
        <is>
          <t>Burden Cost</t>
        </is>
      </c>
      <c r="C39" s="49" t="inlineStr">
        <is>
          <t>burden_cost</t>
        </is>
      </c>
      <c r="D39" s="55" t="n">
        <v>209595.74</v>
      </c>
      <c r="E39" s="49" t="inlineStr">
        <is>
          <t>Labor</t>
        </is>
      </c>
      <c r="F39" s="49" t="inlineStr">
        <is>
          <t>Code 995</t>
        </is>
      </c>
      <c r="G39" s="91" t="inlineStr">
        <is>
          <t>Verified</t>
        </is>
      </c>
      <c r="H39" s="49" t="inlineStr">
        <is>
          <t>2033 Job Detail Report.pdf (Sage Timberline, 04/03/2026, 191 pages)</t>
        </is>
      </c>
      <c r="I39" s="53" t="n"/>
      <c r="J39" s="53" t="n"/>
    </row>
    <row r="40">
      <c r="B40" s="46" t="inlineStr">
        <is>
          <t>Tax Cost</t>
        </is>
      </c>
      <c r="C40" s="47" t="inlineStr">
        <is>
          <t>tax_cost</t>
        </is>
      </c>
      <c r="D40" s="76" t="n">
        <v>40260.5</v>
      </c>
      <c r="E40" s="47" t="inlineStr">
        <is>
          <t>Labor</t>
        </is>
      </c>
      <c r="F40" s="47" t="inlineStr">
        <is>
          <t>Code 998</t>
        </is>
      </c>
      <c r="G40" s="91" t="inlineStr">
        <is>
          <t>Verified</t>
        </is>
      </c>
      <c r="H40" s="47" t="inlineStr">
        <is>
          <t>2033 Job Detail Report.pdf (Sage Timberline, 04/03/2026, 191 pages)</t>
        </is>
      </c>
    </row>
    <row r="41">
      <c r="B41" s="48" t="inlineStr">
        <is>
          <t>Total Labor Hours</t>
        </is>
      </c>
      <c r="C41" s="49" t="inlineStr">
        <is>
          <t>total_hours</t>
        </is>
      </c>
      <c r="D41" s="56" t="n">
        <v>19509</v>
      </c>
      <c r="E41" s="49" t="inlineStr">
        <is>
          <t>Labor</t>
        </is>
      </c>
      <c r="F41" s="49" t="inlineStr">
        <is>
          <t>Sum labor codes</t>
        </is>
      </c>
      <c r="G41" s="91" t="inlineStr">
        <is>
          <t>Verified</t>
        </is>
      </c>
      <c r="H41" s="49" t="inlineStr">
        <is>
          <t>2033 Job Detail Report.pdf (Sage Timberline, 04/03/2026, 191 pages)</t>
        </is>
      </c>
      <c r="I41" s="53" t="n"/>
      <c r="J41" s="53" t="n"/>
    </row>
    <row r="42">
      <c r="B42" s="46" t="inlineStr">
        <is>
          <t>Total Workers</t>
        </is>
      </c>
      <c r="C42" s="47" t="inlineStr">
        <is>
          <t>total_workers</t>
        </is>
      </c>
      <c r="D42" s="52" t="n">
        <v>44</v>
      </c>
      <c r="E42" s="47" t="inlineStr">
        <is>
          <t>Labor</t>
        </is>
      </c>
      <c r="F42" s="47" t="inlineStr">
        <is>
          <t>Unique payroll IDs</t>
        </is>
      </c>
      <c r="G42" s="91" t="inlineStr">
        <is>
          <t>Verified</t>
        </is>
      </c>
      <c r="H42" s="47" t="inlineStr">
        <is>
          <t>2033 Job Detail Report.pdf (Sage Timberline, 04/03/2026, 191 pages)</t>
        </is>
      </c>
    </row>
    <row r="43">
      <c r="B43" s="48" t="inlineStr">
        <is>
          <t>Blended Gross Wage ($/hr)</t>
        </is>
      </c>
      <c r="C43" s="49" t="inlineStr">
        <is>
          <t>blended_gross_wage</t>
        </is>
      </c>
      <c r="D43" s="55" t="n">
        <v>26.97614588138808</v>
      </c>
      <c r="E43" s="49" t="inlineStr">
        <is>
          <t>Labor</t>
        </is>
      </c>
      <c r="F43" s="49" t="inlineStr">
        <is>
          <t>Pre-burden</t>
        </is>
      </c>
      <c r="G43" s="91" t="inlineStr">
        <is>
          <t>Verified</t>
        </is>
      </c>
      <c r="H43" s="85" t="inlineStr">
        <is>
          <t>Derived</t>
        </is>
      </c>
      <c r="I43" s="53" t="n"/>
      <c r="J43" s="53" t="n"/>
    </row>
    <row r="44">
      <c r="B44" s="46" t="inlineStr">
        <is>
          <t>Fully-Loaded Wage ($/hr)</t>
        </is>
      </c>
      <c r="C44" s="47" t="inlineStr">
        <is>
          <t>fully_loaded_wage</t>
        </is>
      </c>
      <c r="D44" s="76" t="n">
        <v>39.78337536521605</v>
      </c>
      <c r="E44" s="47" t="inlineStr">
        <is>
          <t>Labor</t>
        </is>
      </c>
      <c r="F44" s="47" t="inlineStr">
        <is>
          <t>Incl burden + tax</t>
        </is>
      </c>
      <c r="G44" s="91" t="inlineStr">
        <is>
          <t>Verified</t>
        </is>
      </c>
      <c r="H44" s="85" t="inlineStr">
        <is>
          <t>Derived</t>
        </is>
      </c>
    </row>
    <row r="45">
      <c r="B45" s="48" t="inlineStr">
        <is>
          <t>Burden Multiplier</t>
        </is>
      </c>
      <c r="C45" s="49" t="inlineStr">
        <is>
          <t>burden_multiplier</t>
        </is>
      </c>
      <c r="D45" s="94" t="n">
        <v>1.474761277616911</v>
      </c>
      <c r="E45" s="49" t="inlineStr">
        <is>
          <t>Labor</t>
        </is>
      </c>
      <c r="F45" s="49" t="inlineStr">
        <is>
          <t>Fully-loaded/blended</t>
        </is>
      </c>
      <c r="G45" s="91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6" t="inlineStr">
        <is>
          <t>Rough-in Hours</t>
        </is>
      </c>
      <c r="C46" s="47" t="inlineStr">
        <is>
          <t>roughin_hours</t>
        </is>
      </c>
      <c r="D46" s="69" t="n">
        <v>11450.5</v>
      </c>
      <c r="E46" s="47" t="inlineStr">
        <is>
          <t>Labor</t>
        </is>
      </c>
      <c r="F46" s="47" t="inlineStr">
        <is>
          <t>Code 120</t>
        </is>
      </c>
      <c r="G46" s="91" t="inlineStr">
        <is>
          <t>Verified</t>
        </is>
      </c>
      <c r="H46" s="47" t="inlineStr">
        <is>
          <t>2033 Job Detail Report.pdf (Sage Timberline, 04/03/2026, 191 pages)</t>
        </is>
      </c>
    </row>
    <row r="47">
      <c r="B47" s="48" t="inlineStr">
        <is>
          <t>Finish Hours</t>
        </is>
      </c>
      <c r="C47" s="49" t="inlineStr">
        <is>
          <t>finish_hours</t>
        </is>
      </c>
      <c r="D47" s="56" t="n">
        <v>1845</v>
      </c>
      <c r="E47" s="49" t="inlineStr">
        <is>
          <t>Labor</t>
        </is>
      </c>
      <c r="F47" s="49" t="inlineStr">
        <is>
          <t>Code 130</t>
        </is>
      </c>
      <c r="G47" s="91" t="inlineStr">
        <is>
          <t>Verified</t>
        </is>
      </c>
      <c r="H47" s="49" t="inlineStr">
        <is>
          <t>2033 Job Detail Report.pdf (Sage Timberline, 04/03/2026, 191 pages)</t>
        </is>
      </c>
      <c r="I47" s="53" t="n"/>
      <c r="J47" s="53" t="n"/>
    </row>
    <row r="48">
      <c r="B48" s="46" t="inlineStr">
        <is>
          <t>Revenue per Hour</t>
        </is>
      </c>
      <c r="C48" s="47" t="inlineStr">
        <is>
          <t>revenue_per_hour</t>
        </is>
      </c>
      <c r="D48" s="69" t="n">
        <v>120.1080526936286</v>
      </c>
      <c r="E48" s="47" t="inlineStr">
        <is>
          <t>Productivity</t>
        </is>
      </c>
      <c r="F48" s="5" t="inlineStr"/>
      <c r="G48" s="91" t="inlineStr">
        <is>
          <t>Verified</t>
        </is>
      </c>
      <c r="H48" s="85" t="inlineStr">
        <is>
          <t>Derived</t>
        </is>
      </c>
    </row>
    <row r="49">
      <c r="B49" s="48" t="inlineStr">
        <is>
          <t>Profit per Hour</t>
        </is>
      </c>
      <c r="C49" s="49" t="inlineStr">
        <is>
          <t>profit_per_hour</t>
        </is>
      </c>
      <c r="D49" s="56" t="n">
        <v>51.79699420780153</v>
      </c>
      <c r="E49" s="49" t="inlineStr">
        <is>
          <t>Productivity</t>
        </is>
      </c>
      <c r="F49" s="92" t="inlineStr"/>
      <c r="G49" s="91" t="inlineStr">
        <is>
          <t>Verified</t>
        </is>
      </c>
      <c r="H49" s="85" t="inlineStr">
        <is>
          <t>Derived</t>
        </is>
      </c>
      <c r="I49" s="53" t="n"/>
      <c r="J49" s="53" t="n"/>
    </row>
    <row r="50">
      <c r="B50" s="46" t="inlineStr">
        <is>
          <t>Revenue per Unit</t>
        </is>
      </c>
      <c r="C50" s="47" t="inlineStr">
        <is>
          <t>revenue_per_unit</t>
        </is>
      </c>
      <c r="D50" s="76" t="n">
        <v>17103.56204379562</v>
      </c>
      <c r="E50" s="47" t="inlineStr">
        <is>
          <t>Productivity</t>
        </is>
      </c>
      <c r="F50" s="47" t="inlineStr">
        <is>
          <t>137 units</t>
        </is>
      </c>
      <c r="G50" s="91" t="inlineStr">
        <is>
          <t>Verified</t>
        </is>
      </c>
      <c r="H50" s="85" t="inlineStr">
        <is>
          <t>Derived</t>
        </is>
      </c>
    </row>
    <row r="51">
      <c r="B51" s="48" t="inlineStr">
        <is>
          <t>Direct Cost per Unit</t>
        </is>
      </c>
      <c r="C51" s="49" t="inlineStr">
        <is>
          <t>cost_per_unit</t>
        </is>
      </c>
      <c r="D51" s="55" t="n">
        <v>9727.594452554744</v>
      </c>
      <c r="E51" s="49" t="inlineStr">
        <is>
          <t>Productivity</t>
        </is>
      </c>
      <c r="F51" s="49" t="inlineStr">
        <is>
          <t>137 units</t>
        </is>
      </c>
      <c r="G51" s="91" t="inlineStr">
        <is>
          <t>Verified</t>
        </is>
      </c>
      <c r="H51" s="85" t="inlineStr">
        <is>
          <t>Derived</t>
        </is>
      </c>
      <c r="I51" s="53" t="n"/>
      <c r="J51" s="53" t="n"/>
    </row>
    <row r="52">
      <c r="B52" s="46" t="inlineStr">
        <is>
          <t>Labor Hours per Unit</t>
        </is>
      </c>
      <c r="C52" s="47" t="inlineStr">
        <is>
          <t>hours_per_unit</t>
        </is>
      </c>
      <c r="D52" s="69" t="n">
        <v>142.4014598540146</v>
      </c>
      <c r="E52" s="47" t="inlineStr">
        <is>
          <t>Productivity</t>
        </is>
      </c>
      <c r="F52" s="47" t="inlineStr">
        <is>
          <t>137 units</t>
        </is>
      </c>
      <c r="G52" s="91" t="inlineStr">
        <is>
          <t>Verified</t>
        </is>
      </c>
      <c r="H52" s="85" t="inlineStr">
        <is>
          <t>Derived</t>
        </is>
      </c>
    </row>
    <row r="53">
      <c r="B53" s="48" t="inlineStr">
        <is>
          <t>Labor % of Revenue</t>
        </is>
      </c>
      <c r="C53" s="49" t="inlineStr">
        <is>
          <t>labor_pct_revenue</t>
        </is>
      </c>
      <c r="D53" s="93" t="n">
        <v>0.2245989779735984</v>
      </c>
      <c r="E53" s="49" t="inlineStr">
        <is>
          <t>Cost Mix</t>
        </is>
      </c>
      <c r="F53" s="92" t="inlineStr"/>
      <c r="G53" s="91" t="inlineStr">
        <is>
          <t>Verified</t>
        </is>
      </c>
      <c r="H53" s="85" t="inlineStr">
        <is>
          <t>Derived</t>
        </is>
      </c>
      <c r="I53" s="53" t="n"/>
      <c r="J53" s="53" t="n"/>
    </row>
    <row r="54">
      <c r="B54" s="46" t="inlineStr">
        <is>
          <t>Material % of Revenue</t>
        </is>
      </c>
      <c r="C54" s="47" t="inlineStr">
        <is>
          <t>material_pct_revenue</t>
        </is>
      </c>
      <c r="D54" s="95" t="n">
        <v>0.1964261211648404</v>
      </c>
      <c r="E54" s="47" t="inlineStr">
        <is>
          <t>Cost Mix</t>
        </is>
      </c>
      <c r="F54" s="5" t="inlineStr"/>
      <c r="G54" s="91" t="inlineStr">
        <is>
          <t>Verified</t>
        </is>
      </c>
      <c r="H54" s="85" t="inlineStr">
        <is>
          <t>Derived</t>
        </is>
      </c>
    </row>
    <row r="55">
      <c r="B55" s="48" t="inlineStr">
        <is>
          <t>Total Vendors (AP)</t>
        </is>
      </c>
      <c r="C55" s="49" t="inlineStr">
        <is>
          <t>total_vendors</t>
        </is>
      </c>
      <c r="D55" s="79" t="n">
        <v>26</v>
      </c>
      <c r="E55" s="49" t="inlineStr">
        <is>
          <t>Material</t>
        </is>
      </c>
      <c r="F55" s="49" t="inlineStr">
        <is>
          <t>Unique vendor IDs</t>
        </is>
      </c>
      <c r="G55" s="91" t="inlineStr">
        <is>
          <t>Verified</t>
        </is>
      </c>
      <c r="H55" s="49" t="inlineStr">
        <is>
          <t>2033 Job Detail Report.pdf (Sage Timberline, 04/03/2026, 191 pages)</t>
        </is>
      </c>
      <c r="I55" s="53" t="n"/>
      <c r="J55" s="53" t="n"/>
    </row>
    <row r="56">
      <c r="B56" s="46" t="inlineStr">
        <is>
          <t>Total Invoices (AR)</t>
        </is>
      </c>
      <c r="C56" s="47" t="inlineStr">
        <is>
          <t>total_invoices</t>
        </is>
      </c>
      <c r="D56" s="52" t="n">
        <v>30</v>
      </c>
      <c r="E56" s="47" t="inlineStr">
        <is>
          <t>Billing</t>
        </is>
      </c>
      <c r="F56" s="47" t="inlineStr">
        <is>
          <t>Unique invoice numbers</t>
        </is>
      </c>
      <c r="G56" s="91" t="inlineStr">
        <is>
          <t>Verified</t>
        </is>
      </c>
      <c r="H56" s="47" t="inlineStr">
        <is>
          <t>2033 Job Detail Report.pdf (Sage Timberline, 04/03/2026, 191 pages)</t>
        </is>
      </c>
    </row>
    <row r="57">
      <c r="B57" s="48" t="inlineStr">
        <is>
          <t>RFI Count (documented)</t>
        </is>
      </c>
      <c r="C57" s="49" t="inlineStr">
        <is>
          <t>rfi_count</t>
        </is>
      </c>
      <c r="D57" s="79" t="n">
        <v>59</v>
      </c>
      <c r="E57" s="49" t="inlineStr">
        <is>
          <t>Docs</t>
        </is>
      </c>
      <c r="F57" s="49" t="inlineStr">
        <is>
          <t>Items in ASI-RFI folder (mix of ASI + RFI)</t>
        </is>
      </c>
      <c r="G57" s="91" t="inlineStr">
        <is>
          <t>Verified</t>
        </is>
      </c>
      <c r="H57" s="49" t="inlineStr">
        <is>
          <t>ASI-RFI/</t>
        </is>
      </c>
      <c r="I57" s="53" t="n"/>
      <c r="J57" s="53" t="n"/>
    </row>
    <row r="58">
      <c r="B58" s="46" t="inlineStr">
        <is>
          <t>Submittal Count</t>
        </is>
      </c>
      <c r="C58" s="47" t="inlineStr">
        <is>
          <t>submittal_count</t>
        </is>
      </c>
      <c r="D58" s="52" t="n">
        <v>22</v>
      </c>
      <c r="E58" s="47" t="inlineStr">
        <is>
          <t>Docs</t>
        </is>
      </c>
      <c r="F58" s="47" t="inlineStr">
        <is>
          <t>Items in Submittals folder</t>
        </is>
      </c>
      <c r="G58" s="91" t="inlineStr">
        <is>
          <t>Verified</t>
        </is>
      </c>
      <c r="H58" s="47" t="inlineStr">
        <is>
          <t>Submittals/</t>
        </is>
      </c>
    </row>
    <row r="59">
      <c r="B59" s="48" t="inlineStr">
        <is>
          <t>Permit Count</t>
        </is>
      </c>
      <c r="C59" s="49" t="inlineStr">
        <is>
          <t>permit_count</t>
        </is>
      </c>
      <c r="D59" s="79" t="n">
        <v>10</v>
      </c>
      <c r="E59" s="49" t="inlineStr">
        <is>
          <t>Docs</t>
        </is>
      </c>
      <c r="F59" s="49" t="inlineStr">
        <is>
          <t>Items in Permits folder</t>
        </is>
      </c>
      <c r="G59" s="91" t="inlineStr">
        <is>
          <t>Verified</t>
        </is>
      </c>
      <c r="H59" s="49" t="inlineStr">
        <is>
          <t>Permits/</t>
        </is>
      </c>
      <c r="I59" s="53" t="n"/>
      <c r="J59" s="53" t="n"/>
    </row>
    <row r="60">
      <c r="B60" s="46" t="inlineStr">
        <is>
          <t>PO Count</t>
        </is>
      </c>
      <c r="C60" s="47" t="inlineStr">
        <is>
          <t>po_count</t>
        </is>
      </c>
      <c r="D60" s="52" t="n">
        <v>231</v>
      </c>
      <c r="E60" s="47" t="inlineStr">
        <is>
          <t>Docs</t>
        </is>
      </c>
      <c r="F60" s="47" t="inlineStr">
        <is>
          <t>Across 1 Placed, 2 Scheduled, 3 Completed</t>
        </is>
      </c>
      <c r="G60" s="91" t="inlineStr">
        <is>
          <t>Verified</t>
        </is>
      </c>
      <c r="H60" s="47" t="inlineStr">
        <is>
          <t>POs folder</t>
        </is>
      </c>
    </row>
    <row r="61">
      <c r="B61" s="48" t="inlineStr">
        <is>
          <t>Photo Count</t>
        </is>
      </c>
      <c r="C61" s="49" t="inlineStr">
        <is>
          <t>photo_count</t>
        </is>
      </c>
      <c r="D61" s="79" t="n">
        <v>503</v>
      </c>
      <c r="E61" s="49" t="inlineStr">
        <is>
          <t>Docs</t>
        </is>
      </c>
      <c r="F61" s="49" t="inlineStr">
        <is>
          <t>Photos folder</t>
        </is>
      </c>
      <c r="G61" s="91" t="inlineStr">
        <is>
          <t>Verified</t>
        </is>
      </c>
      <c r="H61" s="49" t="inlineStr">
        <is>
          <t>Photos/</t>
        </is>
      </c>
      <c r="I61" s="53" t="n"/>
      <c r="J61" s="53" t="n"/>
    </row>
    <row r="62">
      <c r="B62" s="46" t="inlineStr">
        <is>
          <t>AP Spend (JDR footer)</t>
        </is>
      </c>
      <c r="C62" s="47" t="inlineStr">
        <is>
          <t>ap_total</t>
        </is>
      </c>
      <c r="D62" s="76" t="n">
        <v>490114.66</v>
      </c>
      <c r="E62" s="47" t="inlineStr">
        <is>
          <t>Material</t>
        </is>
      </c>
      <c r="F62" s="47" t="inlineStr">
        <is>
          <t>JDR footer</t>
        </is>
      </c>
      <c r="G62" s="91" t="inlineStr">
        <is>
          <t>Verified</t>
        </is>
      </c>
      <c r="H62" s="47" t="inlineStr">
        <is>
          <t>2033 Job Detail Report.pdf (Sage Timberline, 04/03/2026, 191 pages)</t>
        </is>
      </c>
    </row>
    <row r="63">
      <c r="B63" s="48" t="inlineStr">
        <is>
          <t>PR Spend (JDR footer)</t>
        </is>
      </c>
      <c r="C63" s="49" t="inlineStr">
        <is>
          <t>pr_total</t>
        </is>
      </c>
      <c r="D63" s="55" t="n">
        <v>776133.87</v>
      </c>
      <c r="E63" s="49" t="inlineStr">
        <is>
          <t>Labor</t>
        </is>
      </c>
      <c r="F63" s="49" t="inlineStr">
        <is>
          <t>JDR footer (labor+burden+tax)</t>
        </is>
      </c>
      <c r="G63" s="91" t="inlineStr">
        <is>
          <t>Verified</t>
        </is>
      </c>
      <c r="H63" s="49" t="inlineStr">
        <is>
          <t>2033 Job Detail Report.pdf (Sage Timberline, 04/03/2026, 191 pages)</t>
        </is>
      </c>
      <c r="I63" s="53" t="n"/>
      <c r="J63" s="53" t="n"/>
    </row>
    <row r="64">
      <c r="B64" s="46" t="inlineStr">
        <is>
          <t>GL Spend (JDR footer)</t>
        </is>
      </c>
      <c r="C64" s="47" t="inlineStr">
        <is>
          <t>gl_total</t>
        </is>
      </c>
      <c r="D64" s="76" t="n">
        <v>66431.91</v>
      </c>
      <c r="E64" s="47" t="inlineStr">
        <is>
          <t>Financial</t>
        </is>
      </c>
      <c r="F64" s="47" t="inlineStr">
        <is>
          <t>JDR footer</t>
        </is>
      </c>
      <c r="G64" s="91" t="inlineStr">
        <is>
          <t>Verified</t>
        </is>
      </c>
      <c r="H64" s="47" t="inlineStr">
        <is>
          <t>2033 Job Detail Report.pdf (Sage Timberline, 04/03/2026, 191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52" t="n">
        <v>1</v>
      </c>
      <c r="C6" s="47" t="inlineStr">
        <is>
          <t>2033RS</t>
        </is>
      </c>
      <c r="D6" s="47" t="inlineStr">
        <is>
          <t>Rosen Supply Company, Inc. $Vuecrest</t>
        </is>
      </c>
      <c r="E6" s="66" t="n">
        <v>169567.03</v>
      </c>
      <c r="F6" s="52" t="n">
        <v>110</v>
      </c>
      <c r="G6" s="68">
        <f>E6/490114.6600000001</f>
        <v/>
      </c>
      <c r="H6" s="47" t="inlineStr">
        <is>
          <t>2033 Job Detail Report.pdf (Sage Timberline, 04/03/2026, 191 pages)</t>
        </is>
      </c>
    </row>
    <row r="7">
      <c r="B7" s="79" t="n">
        <v>2</v>
      </c>
      <c r="C7" s="49" t="inlineStr">
        <is>
          <t>2033KS</t>
        </is>
      </c>
      <c r="D7" s="49" t="inlineStr">
        <is>
          <t>Keller Supply Co. $Vuecrest</t>
        </is>
      </c>
      <c r="E7" s="70" t="n">
        <v>73436.14</v>
      </c>
      <c r="F7" s="79" t="n">
        <v>66</v>
      </c>
      <c r="G7" s="72">
        <f>E7/490114.6600000001</f>
        <v/>
      </c>
      <c r="H7" s="49" t="inlineStr">
        <is>
          <t>2033 Job Detail Report.pdf (Sage Timberline, 04/03/2026, 191 pages)</t>
        </is>
      </c>
      <c r="I7" s="53" t="n"/>
      <c r="J7" s="53" t="n"/>
    </row>
    <row r="8">
      <c r="B8" s="52" t="n">
        <v>3</v>
      </c>
      <c r="C8" s="47" t="inlineStr">
        <is>
          <t>1625FE</t>
        </is>
      </c>
      <c r="D8" s="47" t="inlineStr">
        <is>
          <t>Franklin Engineering</t>
        </is>
      </c>
      <c r="E8" s="66" t="n">
        <v>60958.25</v>
      </c>
      <c r="F8" s="52" t="n">
        <v>11</v>
      </c>
      <c r="G8" s="68">
        <f>E8/490114.6600000001</f>
        <v/>
      </c>
      <c r="H8" s="47" t="inlineStr">
        <is>
          <t>2033 Job Detail Report.pdf (Sage Timberline, 04/03/2026, 191 pages)</t>
        </is>
      </c>
    </row>
    <row r="9">
      <c r="B9" s="79" t="n">
        <v>4</v>
      </c>
      <c r="C9" s="49" t="inlineStr">
        <is>
          <t>2033CS</t>
        </is>
      </c>
      <c r="D9" s="49" t="inlineStr">
        <is>
          <t>Consolidated Supply Co. $Vuecrest</t>
        </is>
      </c>
      <c r="E9" s="70" t="n">
        <v>57576.74</v>
      </c>
      <c r="F9" s="79" t="n">
        <v>26</v>
      </c>
      <c r="G9" s="72">
        <f>E9/490114.6600000001</f>
        <v/>
      </c>
      <c r="H9" s="49" t="inlineStr">
        <is>
          <t>2033 Job Detail Report.pdf (Sage Timberline, 04/03/2026, 191 pages)</t>
        </is>
      </c>
      <c r="I9" s="53" t="n"/>
      <c r="J9" s="53" t="n"/>
    </row>
    <row r="10">
      <c r="B10" s="52" t="n">
        <v>5</v>
      </c>
      <c r="C10" s="47" t="inlineStr">
        <is>
          <t>1231KS</t>
        </is>
      </c>
      <c r="D10" s="47" t="inlineStr">
        <is>
          <t>Keller Supply Company</t>
        </is>
      </c>
      <c r="E10" s="66" t="n">
        <v>32201.96000000002</v>
      </c>
      <c r="F10" s="52" t="n">
        <v>33</v>
      </c>
      <c r="G10" s="68">
        <f>E10/490114.6600000001</f>
        <v/>
      </c>
      <c r="H10" s="47" t="inlineStr">
        <is>
          <t>2033 Job Detail Report.pdf (Sage Timberline, 04/03/2026, 191 pages)</t>
        </is>
      </c>
    </row>
    <row r="11">
      <c r="B11" s="79" t="n">
        <v>6</v>
      </c>
      <c r="C11" s="49" t="inlineStr">
        <is>
          <t>3612MS</t>
        </is>
      </c>
      <c r="D11" s="49" t="inlineStr">
        <is>
          <t>Mechanical Sales, Inc.</t>
        </is>
      </c>
      <c r="E11" s="70" t="n">
        <v>25111.34</v>
      </c>
      <c r="F11" s="79" t="n">
        <v>3</v>
      </c>
      <c r="G11" s="72">
        <f>E11/490114.6600000001</f>
        <v/>
      </c>
      <c r="H11" s="49" t="inlineStr">
        <is>
          <t>2033 Job Detail Report.pdf (Sage Timberline, 04/03/2026, 191 pages)</t>
        </is>
      </c>
      <c r="I11" s="53" t="n"/>
      <c r="J11" s="53" t="n"/>
    </row>
    <row r="12">
      <c r="B12" s="52" t="n">
        <v>7</v>
      </c>
      <c r="C12" s="47" t="inlineStr">
        <is>
          <t>1234BA</t>
        </is>
      </c>
      <c r="D12" s="47" t="inlineStr">
        <is>
          <t>Bank of America CC</t>
        </is>
      </c>
      <c r="E12" s="66" t="n">
        <v>20689.89</v>
      </c>
      <c r="F12" s="52" t="n">
        <v>7</v>
      </c>
      <c r="G12" s="68">
        <f>E12/490114.6600000001</f>
        <v/>
      </c>
      <c r="H12" s="47" t="inlineStr">
        <is>
          <t>2033 Job Detail Report.pdf (Sage Timberline, 04/03/2026, 191 pages)</t>
        </is>
      </c>
    </row>
    <row r="13">
      <c r="B13" s="79" t="n">
        <v>8</v>
      </c>
      <c r="C13" s="49" t="inlineStr">
        <is>
          <t>2030KS</t>
        </is>
      </c>
      <c r="D13" s="49" t="inlineStr">
        <is>
          <t>Keller Supply Co. $East Union</t>
        </is>
      </c>
      <c r="E13" s="70" t="n">
        <v>14336.13</v>
      </c>
      <c r="F13" s="79" t="n">
        <v>1</v>
      </c>
      <c r="G13" s="72">
        <f>E13/490114.6600000001</f>
        <v/>
      </c>
      <c r="H13" s="49" t="inlineStr">
        <is>
          <t>2033 Job Detail Report.pdf (Sage Timberline, 04/03/2026, 191 pages)</t>
        </is>
      </c>
      <c r="I13" s="53" t="n"/>
      <c r="J13" s="53" t="n"/>
    </row>
    <row r="14">
      <c r="B14" s="52" t="n">
        <v>9</v>
      </c>
      <c r="C14" s="47" t="inlineStr">
        <is>
          <t>1234CO</t>
        </is>
      </c>
      <c r="D14" s="47" t="inlineStr">
        <is>
          <t>Capital One Credit Card</t>
        </is>
      </c>
      <c r="E14" s="66" t="n">
        <v>10385.09</v>
      </c>
      <c r="F14" s="52" t="n">
        <v>34</v>
      </c>
      <c r="G14" s="68">
        <f>E14/490114.6600000001</f>
        <v/>
      </c>
      <c r="H14" s="47" t="inlineStr">
        <is>
          <t>2033 Job Detail Report.pdf (Sage Timberline, 04/03/2026, 191 pages)</t>
        </is>
      </c>
    </row>
    <row r="15">
      <c r="B15" s="79" t="n">
        <v>10</v>
      </c>
      <c r="C15" s="49" t="inlineStr">
        <is>
          <t>1609QC</t>
        </is>
      </c>
      <c r="D15" s="49" t="inlineStr">
        <is>
          <t>Quality Concrete Products, Inc. $32</t>
        </is>
      </c>
      <c r="E15" s="70" t="n">
        <v>6577</v>
      </c>
      <c r="F15" s="79" t="n">
        <v>4</v>
      </c>
      <c r="G15" s="72">
        <f>E15/490114.6600000001</f>
        <v/>
      </c>
      <c r="H15" s="49" t="inlineStr">
        <is>
          <t>2033 Job Detail Report.pdf (Sage Timberline, 04/03/2026, 191 pages)</t>
        </is>
      </c>
      <c r="I15" s="53" t="n"/>
      <c r="J15" s="53" t="n"/>
    </row>
    <row r="16">
      <c r="B16" s="52" t="n">
        <v>11</v>
      </c>
      <c r="C16" s="47" t="inlineStr">
        <is>
          <t>9905SG</t>
        </is>
      </c>
      <c r="D16" s="47" t="inlineStr">
        <is>
          <t>Susan Gibson $2033 Vuecrest</t>
        </is>
      </c>
      <c r="E16" s="66" t="n">
        <v>5466.67</v>
      </c>
      <c r="F16" s="52" t="n">
        <v>22</v>
      </c>
      <c r="G16" s="68">
        <f>E16/490114.6600000001</f>
        <v/>
      </c>
      <c r="H16" s="47" t="inlineStr">
        <is>
          <t>2033 Job Detail Report.pdf (Sage Timberline, 04/03/2026, 191 pages)</t>
        </is>
      </c>
    </row>
    <row r="17">
      <c r="B17" s="79" t="n">
        <v>12</v>
      </c>
      <c r="C17" s="49" t="inlineStr">
        <is>
          <t>2033FE</t>
        </is>
      </c>
      <c r="D17" s="49" t="inlineStr">
        <is>
          <t>Ferguson Enterprises, Inc. $Vuecrest</t>
        </is>
      </c>
      <c r="E17" s="70" t="n">
        <v>5136.25</v>
      </c>
      <c r="F17" s="79" t="n">
        <v>7</v>
      </c>
      <c r="G17" s="72">
        <f>E17/490114.6600000001</f>
        <v/>
      </c>
      <c r="H17" s="49" t="inlineStr">
        <is>
          <t>2033 Job Detail Report.pdf (Sage Timberline, 04/03/2026, 191 pages)</t>
        </is>
      </c>
      <c r="I17" s="53" t="n"/>
      <c r="J17" s="53" t="n"/>
    </row>
    <row r="18">
      <c r="B18" s="52" t="n">
        <v>13</v>
      </c>
      <c r="C18" s="47" t="inlineStr">
        <is>
          <t>7423OC</t>
        </is>
      </c>
      <c r="D18" s="47" t="inlineStr">
        <is>
          <t>Old Castle Infrastructure, Inc.</t>
        </is>
      </c>
      <c r="E18" s="66" t="n">
        <v>3772</v>
      </c>
      <c r="F18" s="52" t="n">
        <v>2</v>
      </c>
      <c r="G18" s="68">
        <f>E18/490114.6600000001</f>
        <v/>
      </c>
      <c r="H18" s="47" t="inlineStr">
        <is>
          <t>2033 Job Detail Report.pdf (Sage Timberline, 04/03/2026, 191 pages)</t>
        </is>
      </c>
    </row>
    <row r="19">
      <c r="B19" s="79" t="n">
        <v>14</v>
      </c>
      <c r="C19" s="49" t="inlineStr">
        <is>
          <t>1380RS</t>
        </is>
      </c>
      <c r="D19" s="49" t="inlineStr">
        <is>
          <t>Rosen Supply Kirkland</t>
        </is>
      </c>
      <c r="E19" s="70" t="n">
        <v>1500.69</v>
      </c>
      <c r="F19" s="79" t="n">
        <v>12</v>
      </c>
      <c r="G19" s="72">
        <f>E19/490114.6600000001</f>
        <v/>
      </c>
      <c r="H19" s="49" t="inlineStr">
        <is>
          <t>2033 Job Detail Report.pdf (Sage Timberline, 04/03/2026, 191 pages)</t>
        </is>
      </c>
      <c r="I19" s="53" t="n"/>
      <c r="J19" s="53" t="n"/>
    </row>
    <row r="20">
      <c r="B20" s="52" t="n">
        <v>15</v>
      </c>
      <c r="C20" s="47" t="inlineStr">
        <is>
          <t>1303CM</t>
        </is>
      </c>
      <c r="D20" s="47" t="inlineStr">
        <is>
          <t>C.M. Hoskins Company</t>
        </is>
      </c>
      <c r="E20" s="66" t="n">
        <v>810</v>
      </c>
      <c r="F20" s="52" t="n">
        <v>2</v>
      </c>
      <c r="G20" s="68">
        <f>E20/490114.6600000001</f>
        <v/>
      </c>
      <c r="H20" s="47" t="inlineStr">
        <is>
          <t>2033 Job Detail Report.pdf (Sage Timberline, 04/03/2026, 191 pages)</t>
        </is>
      </c>
    </row>
    <row r="21">
      <c r="B21" s="79" t="n">
        <v>16</v>
      </c>
      <c r="C21" s="49" t="inlineStr">
        <is>
          <t>2132MH</t>
        </is>
      </c>
      <c r="D21" s="49" t="inlineStr">
        <is>
          <t>Manor Hardware &amp; Construction Supply</t>
        </is>
      </c>
      <c r="E21" s="70" t="n">
        <v>611.52</v>
      </c>
      <c r="F21" s="79" t="n">
        <v>1</v>
      </c>
      <c r="G21" s="72">
        <f>E21/490114.6600000001</f>
        <v/>
      </c>
      <c r="H21" s="49" t="inlineStr">
        <is>
          <t>2033 Job Detail Report.pdf (Sage Timberline, 04/03/2026, 191 pages)</t>
        </is>
      </c>
      <c r="I21" s="53" t="n"/>
      <c r="J21" s="53" t="n"/>
    </row>
    <row r="22">
      <c r="B22" s="52" t="n">
        <v>17</v>
      </c>
      <c r="C22" s="47" t="inlineStr">
        <is>
          <t>1130CS</t>
        </is>
      </c>
      <c r="D22" s="47" t="inlineStr">
        <is>
          <t>Consolidated Supply Co.</t>
        </is>
      </c>
      <c r="E22" s="66" t="n">
        <v>525.77</v>
      </c>
      <c r="F22" s="52" t="n">
        <v>1</v>
      </c>
      <c r="G22" s="68">
        <f>E22/490114.6600000001</f>
        <v/>
      </c>
      <c r="H22" s="47" t="inlineStr">
        <is>
          <t>2033 Job Detail Report.pdf (Sage Timberline, 04/03/2026, 191 pages)</t>
        </is>
      </c>
    </row>
    <row r="23">
      <c r="B23" s="79" t="n">
        <v>18</v>
      </c>
      <c r="C23" s="49" t="inlineStr">
        <is>
          <t>5560CH</t>
        </is>
      </c>
      <c r="D23" s="49" t="inlineStr">
        <is>
          <t>California Hydronics Corp</t>
        </is>
      </c>
      <c r="E23" s="70" t="n">
        <v>465</v>
      </c>
      <c r="F23" s="79" t="n">
        <v>1</v>
      </c>
      <c r="G23" s="72">
        <f>E23/490114.6600000001</f>
        <v/>
      </c>
      <c r="H23" s="49" t="inlineStr">
        <is>
          <t>2033 Job Detail Report.pdf (Sage Timberline, 04/03/2026, 191 pages)</t>
        </is>
      </c>
      <c r="I23" s="53" t="n"/>
      <c r="J23" s="53" t="n"/>
    </row>
    <row r="24">
      <c r="B24" s="52" t="n">
        <v>19</v>
      </c>
      <c r="C24" s="47" t="inlineStr">
        <is>
          <t>1799AW</t>
        </is>
      </c>
      <c r="D24" s="47" t="inlineStr">
        <is>
          <t>AllWest Underground, Inc.</t>
        </is>
      </c>
      <c r="E24" s="66" t="n">
        <v>316.54</v>
      </c>
      <c r="F24" s="52" t="n">
        <v>2</v>
      </c>
      <c r="G24" s="68">
        <f>E24/490114.6600000001</f>
        <v/>
      </c>
      <c r="H24" s="47" t="inlineStr">
        <is>
          <t>2033 Job Detail Report.pdf (Sage Timberline, 04/03/2026, 191 pages)</t>
        </is>
      </c>
    </row>
    <row r="25">
      <c r="B25" s="79" t="n">
        <v>20</v>
      </c>
      <c r="C25" s="49" t="inlineStr">
        <is>
          <t>1234SD</t>
        </is>
      </c>
      <c r="D25" s="49" t="inlineStr">
        <is>
          <t>Shirley Dennison</t>
        </is>
      </c>
      <c r="E25" s="70" t="n">
        <v>250</v>
      </c>
      <c r="F25" s="79" t="n">
        <v>1</v>
      </c>
      <c r="G25" s="72">
        <f>E25/490114.6600000001</f>
        <v/>
      </c>
      <c r="H25" s="49" t="inlineStr">
        <is>
          <t>2033 Job Detail Report.pdf (Sage Timberline, 04/03/2026, 191 pages)</t>
        </is>
      </c>
      <c r="I25" s="53" t="n"/>
      <c r="J25" s="53" t="n"/>
    </row>
    <row r="26">
      <c r="B26" s="52" t="n">
        <v>21</v>
      </c>
      <c r="C26" s="47" t="inlineStr">
        <is>
          <t>1421RA</t>
        </is>
      </c>
      <c r="D26" s="47" t="inlineStr">
        <is>
          <t>R.A. Brown Backflow Testing</t>
        </is>
      </c>
      <c r="E26" s="66" t="n">
        <v>230</v>
      </c>
      <c r="F26" s="52" t="n">
        <v>2</v>
      </c>
      <c r="G26" s="68">
        <f>E26/490114.6600000001</f>
        <v/>
      </c>
      <c r="H26" s="47" t="inlineStr">
        <is>
          <t>2033 Job Detail Report.pdf (Sage Timberline, 04/03/2026, 191 pages)</t>
        </is>
      </c>
    </row>
    <row r="27">
      <c r="B27" s="79" t="n">
        <v>22</v>
      </c>
      <c r="C27" s="49" t="inlineStr">
        <is>
          <t>1175FE</t>
        </is>
      </c>
      <c r="D27" s="49" t="inlineStr">
        <is>
          <t>Ferguson Enterprises, Inc. #3007</t>
        </is>
      </c>
      <c r="E27" s="70" t="n">
        <v>129.47</v>
      </c>
      <c r="F27" s="79" t="n">
        <v>1</v>
      </c>
      <c r="G27" s="72">
        <f>E27/490114.6600000001</f>
        <v/>
      </c>
      <c r="H27" s="49" t="inlineStr">
        <is>
          <t>2033 Job Detail Report.pdf (Sage Timberline, 04/03/2026, 191 pages)</t>
        </is>
      </c>
      <c r="I27" s="53" t="n"/>
      <c r="J27" s="53" t="n"/>
    </row>
    <row r="28">
      <c r="B28" s="52" t="n">
        <v>23</v>
      </c>
      <c r="C28" s="47" t="inlineStr">
        <is>
          <t>5621HD</t>
        </is>
      </c>
      <c r="D28" s="47" t="inlineStr">
        <is>
          <t>Core &amp; Main LP $HD Supply Waterworks</t>
        </is>
      </c>
      <c r="E28" s="66" t="n">
        <v>25.32</v>
      </c>
      <c r="F28" s="52" t="n">
        <v>1</v>
      </c>
      <c r="G28" s="68">
        <f>E28/490114.6600000001</f>
        <v/>
      </c>
      <c r="H28" s="47" t="inlineStr">
        <is>
          <t>2033 Job Detail Report.pdf (Sage Timberline, 04/03/2026, 191 pages)</t>
        </is>
      </c>
    </row>
    <row r="29">
      <c r="B29" s="79" t="n">
        <v>24</v>
      </c>
      <c r="C29" s="49" t="inlineStr">
        <is>
          <t>1978FC</t>
        </is>
      </c>
      <c r="D29" s="49" t="inlineStr">
        <is>
          <t>Fastenal Company</t>
        </is>
      </c>
      <c r="E29" s="70" t="n">
        <v>23.8</v>
      </c>
      <c r="F29" s="79" t="n">
        <v>1</v>
      </c>
      <c r="G29" s="72">
        <f>E29/490114.6600000001</f>
        <v/>
      </c>
      <c r="H29" s="49" t="inlineStr">
        <is>
          <t>2033 Job Detail Report.pdf (Sage Timberline, 04/03/2026, 191 pages)</t>
        </is>
      </c>
      <c r="I29" s="53" t="n"/>
      <c r="J29" s="53" t="n"/>
    </row>
    <row r="30">
      <c r="B30" s="52" t="n">
        <v>25</v>
      </c>
      <c r="C30" s="47" t="inlineStr">
        <is>
          <t>1021AT</t>
        </is>
      </c>
      <c r="D30" s="47" t="inlineStr">
        <is>
          <t>ACME Corp</t>
        </is>
      </c>
      <c r="E30" s="66" t="n">
        <v>12.06</v>
      </c>
      <c r="F30" s="52" t="n">
        <v>1</v>
      </c>
      <c r="G30" s="68">
        <f>E30/490114.6600000001</f>
        <v/>
      </c>
      <c r="H30" s="47" t="inlineStr">
        <is>
          <t>2033 Job Detail Report.pdf (Sage Timberline, 04/03/2026, 191 pages)</t>
        </is>
      </c>
    </row>
    <row r="31">
      <c r="B31" s="79" t="n">
        <v>26</v>
      </c>
      <c r="C31" s="49" t="inlineStr">
        <is>
          <t>2031RS</t>
        </is>
      </c>
      <c r="D31" s="49" t="inlineStr">
        <is>
          <t>Rosen Supply Company, Inc. $Gateway</t>
        </is>
      </c>
      <c r="E31" s="70" t="n">
        <v>0</v>
      </c>
      <c r="F31" s="79" t="n">
        <v>6</v>
      </c>
      <c r="G31" s="72">
        <f>E31/490114.6600000001</f>
        <v/>
      </c>
      <c r="H31" s="49" t="inlineStr">
        <is>
          <t>2033 Job Detail Report.pdf (Sage Timberline, 04/03/2026, 191 pages)</t>
        </is>
      </c>
      <c r="I31" s="53" t="n"/>
      <c r="J31" s="53" t="n"/>
    </row>
    <row r="32">
      <c r="B32" s="80" t="inlineStr">
        <is>
          <t>TOTAL</t>
        </is>
      </c>
      <c r="E32" s="81">
        <f>SUM(E6:E31)</f>
        <v/>
      </c>
      <c r="F32" s="47">
        <f>SUM(F6:F31)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2016-09-26</t>
        </is>
      </c>
      <c r="E6" s="47" t="inlineStr">
        <is>
          <t>Prime subcontract — Lump Sum $2,504,600.00 (Fully Executed)</t>
        </is>
      </c>
      <c r="F6" s="47" t="inlineStr">
        <is>
          <t>Compass Harbor Construction, LLC</t>
        </is>
      </c>
      <c r="G6" s="66" t="n">
        <v>2504600</v>
      </c>
      <c r="H6" s="47" t="inlineStr">
        <is>
          <t>Executed</t>
        </is>
      </c>
      <c r="I6" s="47" t="inlineStr">
        <is>
          <t>Vuecrest-One Way Plumbing Fully Executed 9.26.16.pdf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0" t="inlineStr">
        <is>
          <t>NOT FOUND</t>
        </is>
      </c>
      <c r="E7" s="49" t="inlineStr">
        <is>
          <t>CO_s/Vuecrest - Budget Transfer - CO #01.xlsx</t>
        </is>
      </c>
      <c r="F7" s="49" t="inlineStr">
        <is>
          <t>Compass Harbor Construction, LLC</t>
        </is>
      </c>
      <c r="G7" s="70" t="n">
        <v>22429</v>
      </c>
      <c r="H7" s="49" t="inlineStr">
        <is>
          <t>Executed</t>
        </is>
      </c>
      <c r="I7" s="49" t="inlineStr">
        <is>
          <t>Change Orders/CO_s/Vuecrest - Budget Transfer - CO #01.xlsx</t>
        </is>
      </c>
      <c r="J7" s="53" t="n"/>
    </row>
    <row r="8">
      <c r="B8" s="46" t="inlineStr">
        <is>
          <t>CO#02a</t>
        </is>
      </c>
      <c r="C8" s="47" t="inlineStr">
        <is>
          <t>Change Order</t>
        </is>
      </c>
      <c r="D8" s="90" t="inlineStr">
        <is>
          <t>NOT FOUND</t>
        </is>
      </c>
      <c r="E8" s="47" t="inlineStr">
        <is>
          <t>BT CO#02 100% GMP Set Costs</t>
        </is>
      </c>
      <c r="F8" s="47" t="inlineStr">
        <is>
          <t>Compass Harbor Construction, LLC</t>
        </is>
      </c>
      <c r="G8" s="66" t="n">
        <v>10131</v>
      </c>
      <c r="H8" s="47" t="inlineStr">
        <is>
          <t>Executed</t>
        </is>
      </c>
      <c r="I8" s="47" t="inlineStr">
        <is>
          <t>Change Orders/BT CO#02 100% GMP Set Costs</t>
        </is>
      </c>
    </row>
    <row r="9">
      <c r="B9" s="48" t="inlineStr">
        <is>
          <t>CO#02b</t>
        </is>
      </c>
      <c r="C9" s="49" t="inlineStr">
        <is>
          <t>Change Order</t>
        </is>
      </c>
      <c r="D9" s="90" t="inlineStr">
        <is>
          <t>NOT FOUND</t>
        </is>
      </c>
      <c r="E9" s="49" t="inlineStr">
        <is>
          <t>BT CO#02 Cast Iron, Lav &amp; Kitchen Sinks Credit</t>
        </is>
      </c>
      <c r="F9" s="49" t="inlineStr">
        <is>
          <t>Compass Harbor Construction, LLC</t>
        </is>
      </c>
      <c r="G9" s="70" t="n">
        <v>-234240</v>
      </c>
      <c r="H9" s="49" t="inlineStr">
        <is>
          <t>Executed</t>
        </is>
      </c>
      <c r="I9" s="49" t="inlineStr">
        <is>
          <t>Change Orders/BT CO#02 Cast Iron, Lav &amp; Kitchen Sinks Credit</t>
        </is>
      </c>
      <c r="J9" s="53" t="n"/>
    </row>
    <row r="10">
      <c r="B10" s="46" t="inlineStr">
        <is>
          <t>CO#03</t>
        </is>
      </c>
      <c r="C10" s="47" t="inlineStr">
        <is>
          <t>Change Order</t>
        </is>
      </c>
      <c r="D10" s="90" t="inlineStr">
        <is>
          <t>NOT FOUND</t>
        </is>
      </c>
      <c r="E10" s="47" t="inlineStr">
        <is>
          <t>BT CO#03 Footing Drain @ Ramp (RFI-015)</t>
        </is>
      </c>
      <c r="F10" s="47" t="inlineStr">
        <is>
          <t>Compass Harbor Construction, LLC</t>
        </is>
      </c>
      <c r="G10" s="66" t="n">
        <v>999</v>
      </c>
      <c r="H10" s="47" t="inlineStr">
        <is>
          <t>Executed</t>
        </is>
      </c>
      <c r="I10" s="47" t="inlineStr">
        <is>
          <t>Change Orders/BT CO#03 Footing Drain @ Ramp (RFI-015)</t>
        </is>
      </c>
    </row>
    <row r="11">
      <c r="B11" s="48" t="inlineStr">
        <is>
          <t>CO#04</t>
        </is>
      </c>
      <c r="C11" s="49" t="inlineStr">
        <is>
          <t>Change Order</t>
        </is>
      </c>
      <c r="D11" s="90" t="inlineStr">
        <is>
          <t>NOT FOUND</t>
        </is>
      </c>
      <c r="E11" s="49" t="inlineStr">
        <is>
          <t>BT CO#04 Elevator Footing Drains (RFI-016)</t>
        </is>
      </c>
      <c r="F11" s="49" t="inlineStr">
        <is>
          <t>Compass Harbor Construction, LLC</t>
        </is>
      </c>
      <c r="G11" s="70" t="n">
        <v>9194</v>
      </c>
      <c r="H11" s="49" t="inlineStr">
        <is>
          <t>Executed</t>
        </is>
      </c>
      <c r="I11" s="49" t="inlineStr">
        <is>
          <t>Change Orders/BT CO#04 Elevator Footing Drains (RFI-016)</t>
        </is>
      </c>
      <c r="J11" s="53" t="n"/>
    </row>
    <row r="12">
      <c r="B12" s="46" t="inlineStr">
        <is>
          <t>CO#05</t>
        </is>
      </c>
      <c r="C12" s="47" t="inlineStr">
        <is>
          <t>Change Order</t>
        </is>
      </c>
      <c r="D12" s="90" t="inlineStr">
        <is>
          <t>NOT FOUND</t>
        </is>
      </c>
      <c r="E12" s="47" t="inlineStr">
        <is>
          <t>BT CO#05 Grade Beam Drainage (RFI-019)</t>
        </is>
      </c>
      <c r="F12" s="47" t="inlineStr">
        <is>
          <t>Compass Harbor Construction, LLC</t>
        </is>
      </c>
      <c r="G12" s="66" t="n">
        <v>1118</v>
      </c>
      <c r="H12" s="47" t="inlineStr">
        <is>
          <t>Executed</t>
        </is>
      </c>
      <c r="I12" s="47" t="inlineStr">
        <is>
          <t>Change Orders/BT CO#05 Grade Beam Drainage (RFI-019)</t>
        </is>
      </c>
    </row>
    <row r="13">
      <c r="B13" s="48" t="inlineStr">
        <is>
          <t>CO#06</t>
        </is>
      </c>
      <c r="C13" s="49" t="inlineStr">
        <is>
          <t>Change Order</t>
        </is>
      </c>
      <c r="D13" s="90" t="inlineStr">
        <is>
          <t>NOT FOUND</t>
        </is>
      </c>
      <c r="E13" s="49" t="inlineStr">
        <is>
          <t>BT CO#06 Add Grease Interceptor (COB)</t>
        </is>
      </c>
      <c r="F13" s="49" t="inlineStr">
        <is>
          <t>Compass Harbor Construction, LLC</t>
        </is>
      </c>
      <c r="G13" s="70" t="n">
        <v>5846</v>
      </c>
      <c r="H13" s="49" t="inlineStr">
        <is>
          <t>Executed</t>
        </is>
      </c>
      <c r="I13" s="49" t="inlineStr">
        <is>
          <t>Change Orders/BT CO#06 Add Grease Interceptor (COB)</t>
        </is>
      </c>
      <c r="J13" s="53" t="n"/>
    </row>
    <row r="14">
      <c r="B14" s="46" t="inlineStr">
        <is>
          <t>CO#07</t>
        </is>
      </c>
      <c r="C14" s="47" t="inlineStr">
        <is>
          <t>Change Order</t>
        </is>
      </c>
      <c r="D14" s="90" t="inlineStr">
        <is>
          <t>NOT FOUND</t>
        </is>
      </c>
      <c r="E14" s="47" t="inlineStr">
        <is>
          <t>BT CO#07 Delete Rooftop Sink</t>
        </is>
      </c>
      <c r="F14" s="47" t="inlineStr">
        <is>
          <t>Compass Harbor Construction, LLC</t>
        </is>
      </c>
      <c r="G14" s="66" t="n">
        <v>-2694</v>
      </c>
      <c r="H14" s="47" t="inlineStr">
        <is>
          <t>Executed</t>
        </is>
      </c>
      <c r="I14" s="47" t="inlineStr">
        <is>
          <t>Change Orders/BT CO#07 Delete Rooftop Sink</t>
        </is>
      </c>
    </row>
    <row r="15">
      <c r="B15" s="48" t="inlineStr">
        <is>
          <t>CO#08</t>
        </is>
      </c>
      <c r="C15" s="49" t="inlineStr">
        <is>
          <t>Change Order</t>
        </is>
      </c>
      <c r="D15" s="90" t="inlineStr">
        <is>
          <t>NOT FOUND</t>
        </is>
      </c>
      <c r="E15" s="49" t="inlineStr">
        <is>
          <t>BT CO#08 Sump Pump — Temporary Dewatering</t>
        </is>
      </c>
      <c r="F15" s="49" t="inlineStr">
        <is>
          <t>Compass Harbor Construction, LLC</t>
        </is>
      </c>
      <c r="G15" s="70" t="n">
        <v>1817</v>
      </c>
      <c r="H15" s="49" t="inlineStr">
        <is>
          <t>Executed</t>
        </is>
      </c>
      <c r="I15" s="49" t="inlineStr">
        <is>
          <t>Change Orders/BT CO#08 Sump Pump — Temporary Dewatering</t>
        </is>
      </c>
      <c r="J15" s="53" t="n"/>
    </row>
    <row r="16">
      <c r="B16" s="46" t="inlineStr">
        <is>
          <t>CO#09</t>
        </is>
      </c>
      <c r="C16" s="47" t="inlineStr">
        <is>
          <t>Change Order</t>
        </is>
      </c>
      <c r="D16" s="90" t="inlineStr">
        <is>
          <t>NOT FOUND</t>
        </is>
      </c>
      <c r="E16" s="47" t="inlineStr">
        <is>
          <t>BT CO#09 Delete Rooftop Bathroom / Add Condensate Stacks</t>
        </is>
      </c>
      <c r="F16" s="47" t="inlineStr">
        <is>
          <t>Compass Harbor Construction, LLC</t>
        </is>
      </c>
      <c r="G16" s="66" t="n">
        <v>2865</v>
      </c>
      <c r="H16" s="47" t="inlineStr">
        <is>
          <t>Executed</t>
        </is>
      </c>
      <c r="I16" s="47" t="inlineStr">
        <is>
          <t>Change Orders/BT CO#09 Delete Rooftop Bathroom / Add Condensate Stacks</t>
        </is>
      </c>
    </row>
    <row r="17">
      <c r="B17" s="48" t="inlineStr">
        <is>
          <t>CO#10</t>
        </is>
      </c>
      <c r="C17" s="49" t="inlineStr">
        <is>
          <t>Change Order</t>
        </is>
      </c>
      <c r="D17" s="90" t="inlineStr">
        <is>
          <t>NOT FOUND</t>
        </is>
      </c>
      <c r="E17" s="49" t="inlineStr">
        <is>
          <t>BT CO#10 PSE Transformer Oil Containment Room Drain</t>
        </is>
      </c>
      <c r="F17" s="49" t="inlineStr">
        <is>
          <t>Compass Harbor Construction, LLC</t>
        </is>
      </c>
      <c r="G17" s="70" t="n">
        <v>5364</v>
      </c>
      <c r="H17" s="49" t="inlineStr">
        <is>
          <t>Executed</t>
        </is>
      </c>
      <c r="I17" s="49" t="inlineStr">
        <is>
          <t>Change Orders/BT CO#10 PSE Transformer Oil Containment Room Drain</t>
        </is>
      </c>
      <c r="J17" s="53" t="n"/>
    </row>
    <row r="18">
      <c r="B18" s="46" t="inlineStr">
        <is>
          <t>CO#11</t>
        </is>
      </c>
      <c r="C18" s="47" t="inlineStr">
        <is>
          <t>Change Order</t>
        </is>
      </c>
      <c r="D18" s="90" t="inlineStr">
        <is>
          <t>NOT FOUND</t>
        </is>
      </c>
      <c r="E18" s="47" t="inlineStr">
        <is>
          <t>BT CO#11 PSE Transformer Drain — Permit Revision</t>
        </is>
      </c>
      <c r="F18" s="47" t="inlineStr">
        <is>
          <t>Compass Harbor Construction, LLC</t>
        </is>
      </c>
      <c r="G18" s="66" t="n">
        <v>1667</v>
      </c>
      <c r="H18" s="47" t="inlineStr">
        <is>
          <t>Executed</t>
        </is>
      </c>
      <c r="I18" s="47" t="inlineStr">
        <is>
          <t>Change Orders/BT CO#11 PSE Transformer Drain — Permit Revision</t>
        </is>
      </c>
    </row>
    <row r="19">
      <c r="B19" s="48" t="inlineStr">
        <is>
          <t>CO#12</t>
        </is>
      </c>
      <c r="C19" s="49" t="inlineStr">
        <is>
          <t>Change Order</t>
        </is>
      </c>
      <c r="D19" s="90" t="inlineStr">
        <is>
          <t>NOT FOUND</t>
        </is>
      </c>
      <c r="E19" s="49" t="inlineStr">
        <is>
          <t>BT CO#12 Dewatering Meter Supply &amp; Install</t>
        </is>
      </c>
      <c r="F19" s="49" t="inlineStr">
        <is>
          <t>Compass Harbor Construction, LLC</t>
        </is>
      </c>
      <c r="G19" s="70" t="n">
        <v>5466</v>
      </c>
      <c r="H19" s="49" t="inlineStr">
        <is>
          <t>Executed</t>
        </is>
      </c>
      <c r="I19" s="49" t="inlineStr">
        <is>
          <t>Change Orders/BT CO#12 Dewatering Meter Supply &amp; Install</t>
        </is>
      </c>
      <c r="J19" s="53" t="n"/>
    </row>
    <row r="20">
      <c r="B20" s="46" t="inlineStr">
        <is>
          <t>CO#13</t>
        </is>
      </c>
      <c r="C20" s="47" t="inlineStr">
        <is>
          <t>Change Order</t>
        </is>
      </c>
      <c r="D20" s="90" t="inlineStr">
        <is>
          <t>NOT FOUND</t>
        </is>
      </c>
      <c r="E20" s="47" t="inlineStr">
        <is>
          <t>BT CO#13 Add Drain in Package Room (RFI-154)</t>
        </is>
      </c>
      <c r="F20" s="47" t="inlineStr">
        <is>
          <t>Compass Harbor Construction, LLC</t>
        </is>
      </c>
      <c r="G20" s="66" t="n">
        <v>3126</v>
      </c>
      <c r="H20" s="47" t="inlineStr">
        <is>
          <t>Executed</t>
        </is>
      </c>
      <c r="I20" s="47" t="inlineStr">
        <is>
          <t>Change Orders/BT CO#13 Add Drain in Package Room (RFI-154)</t>
        </is>
      </c>
    </row>
    <row r="21">
      <c r="B21" s="48" t="inlineStr">
        <is>
          <t>CO#14</t>
        </is>
      </c>
      <c r="C21" s="49" t="inlineStr">
        <is>
          <t>Change Order</t>
        </is>
      </c>
      <c r="D21" s="90" t="inlineStr">
        <is>
          <t>NOT FOUND</t>
        </is>
      </c>
      <c r="E21" s="49" t="inlineStr">
        <is>
          <t>BT CO#14 Added L5 Deck Drain (RFI-224)</t>
        </is>
      </c>
      <c r="F21" s="49" t="inlineStr">
        <is>
          <t>Compass Harbor Construction, LLC</t>
        </is>
      </c>
      <c r="G21" s="70" t="n">
        <v>1352</v>
      </c>
      <c r="H21" s="49" t="inlineStr">
        <is>
          <t>Executed</t>
        </is>
      </c>
      <c r="I21" s="49" t="inlineStr">
        <is>
          <t>Change Orders/BT CO#14 Added L5 Deck Drain (RFI-224)</t>
        </is>
      </c>
      <c r="J21" s="53" t="n"/>
    </row>
    <row r="22">
      <c r="B22" s="46" t="inlineStr">
        <is>
          <t>CO#15</t>
        </is>
      </c>
      <c r="C22" s="47" t="inlineStr">
        <is>
          <t>Change Order</t>
        </is>
      </c>
      <c r="D22" s="90" t="inlineStr">
        <is>
          <t>NOT FOUND</t>
        </is>
      </c>
      <c r="E22" s="47" t="inlineStr">
        <is>
          <t>BT CO#15 Dog Run Backflow Preventer (RFI-172.1)</t>
        </is>
      </c>
      <c r="F22" s="47" t="inlineStr">
        <is>
          <t>Compass Harbor Construction, LLC</t>
        </is>
      </c>
      <c r="G22" s="66" t="n">
        <v>2546</v>
      </c>
      <c r="H22" s="47" t="inlineStr">
        <is>
          <t>Executed</t>
        </is>
      </c>
      <c r="I22" s="47" t="inlineStr">
        <is>
          <t>Change Orders/BT CO#15 Dog Run Backflow Preventer (RFI-172.1)</t>
        </is>
      </c>
    </row>
    <row r="23">
      <c r="B23" s="48" t="inlineStr">
        <is>
          <t>CO#16</t>
        </is>
      </c>
      <c r="C23" s="49" t="inlineStr">
        <is>
          <t>Change Order</t>
        </is>
      </c>
      <c r="D23" s="90" t="inlineStr">
        <is>
          <t>NOT FOUND</t>
        </is>
      </c>
      <c r="E23" s="49" t="inlineStr">
        <is>
          <t>BT CO#16 RFI-172.1 Dog Run Connections</t>
        </is>
      </c>
      <c r="F23" s="49" t="inlineStr">
        <is>
          <t>Compass Harbor Construction, LLC</t>
        </is>
      </c>
      <c r="G23" s="70" t="n">
        <v>1782</v>
      </c>
      <c r="H23" s="49" t="inlineStr">
        <is>
          <t>Executed</t>
        </is>
      </c>
      <c r="I23" s="49" t="inlineStr">
        <is>
          <t>Change Orders/BT CO#16 RFI-172.1 Dog Run Connections</t>
        </is>
      </c>
      <c r="J23" s="53" t="n"/>
    </row>
    <row r="24">
      <c r="B24" s="46" t="inlineStr">
        <is>
          <t>CO#17</t>
        </is>
      </c>
      <c r="C24" s="47" t="inlineStr">
        <is>
          <t>Change Order</t>
        </is>
      </c>
      <c r="D24" s="90" t="inlineStr">
        <is>
          <t>NOT FOUND</t>
        </is>
      </c>
      <c r="E24" s="47" t="inlineStr">
        <is>
          <t>BT CO#17 Revised Layout x20 Stack (RFI-202)</t>
        </is>
      </c>
      <c r="F24" s="47" t="inlineStr">
        <is>
          <t>Compass Harbor Construction, LLC</t>
        </is>
      </c>
      <c r="G24" s="66" t="n">
        <v>999</v>
      </c>
      <c r="H24" s="47" t="inlineStr">
        <is>
          <t>Executed</t>
        </is>
      </c>
      <c r="I24" s="47" t="inlineStr">
        <is>
          <t>Change Orders/BT CO#17 Revised Layout x20 Stack (RFI-202)</t>
        </is>
      </c>
    </row>
    <row r="25">
      <c r="B25" s="48" t="inlineStr">
        <is>
          <t>CO#18</t>
        </is>
      </c>
      <c r="C25" s="49" t="inlineStr">
        <is>
          <t>Change Order</t>
        </is>
      </c>
      <c r="D25" s="49" t="inlineStr">
        <is>
          <t>2019-01-23</t>
        </is>
      </c>
      <c r="E25" s="49" t="inlineStr">
        <is>
          <t>CO#18 (Fully Executed) — no budget transfer xlsx; pickup/closeout CO</t>
        </is>
      </c>
      <c r="F25" s="49" t="inlineStr">
        <is>
          <t>Compass Harbor Construction, LLC</t>
        </is>
      </c>
      <c r="G25" s="70" t="n">
        <v>-1179</v>
      </c>
      <c r="H25" s="49" t="inlineStr">
        <is>
          <t>Executed</t>
        </is>
      </c>
      <c r="I25" s="49" t="inlineStr">
        <is>
          <t>CO_s/Vuecrest - CO#18 - OWP (Fully Executed 1.23.19).pdf</t>
        </is>
      </c>
      <c r="J25" s="53" t="n"/>
    </row>
    <row r="26">
      <c r="B26" s="46" t="inlineStr">
        <is>
          <t>CO-GAP</t>
        </is>
      </c>
      <c r="C26" s="47" t="inlineStr">
        <is>
          <t>Reconciliation</t>
        </is>
      </c>
      <c r="D26" s="47" t="inlineStr">
        <is>
          <t>—</t>
        </is>
      </c>
      <c r="E26" s="47" t="inlineStr">
        <is>
          <t>Documented vs implied CO delta = $-1,179.00 (allocated to CO#18)</t>
        </is>
      </c>
      <c r="F26" s="47" t="inlineStr">
        <is>
          <t>—</t>
        </is>
      </c>
      <c r="G26" s="66" t="n">
        <v>0</v>
      </c>
      <c r="H26" s="47" t="inlineStr">
        <is>
          <t>Resolved</t>
        </is>
      </c>
      <c r="I26" s="47" t="inlineStr">
        <is>
          <t>2033 Job Detail Report.pdf (Sage Timberline, 04/03/2026, 191 pages)</t>
        </is>
      </c>
    </row>
    <row r="27">
      <c r="B27" s="48" t="inlineStr">
        <is>
          <t>COR-ALL</t>
        </is>
      </c>
      <c r="C27" s="49" t="inlineStr">
        <is>
          <t>COR batch</t>
        </is>
      </c>
      <c r="D27" s="49" t="inlineStr">
        <is>
          <t>—</t>
        </is>
      </c>
      <c r="E27" s="49" t="inlineStr">
        <is>
          <t>33 Change Order Requests (internal pricing) with RFI linkages</t>
        </is>
      </c>
      <c r="F27" s="49" t="inlineStr">
        <is>
          <t>Sub (OWP)</t>
        </is>
      </c>
      <c r="G27" s="70" t="n">
        <v>0</v>
      </c>
      <c r="H27" s="49" t="inlineStr">
        <is>
          <t>Priced</t>
        </is>
      </c>
      <c r="I27" s="49" t="inlineStr">
        <is>
          <t>COR_s/</t>
        </is>
      </c>
      <c r="J27" s="53" t="n"/>
    </row>
    <row r="28">
      <c r="B28" s="46" t="inlineStr">
        <is>
          <t>ASI-PRIMARY</t>
        </is>
      </c>
      <c r="C28" s="47" t="inlineStr">
        <is>
          <t>ASI batch</t>
        </is>
      </c>
      <c r="D28" s="47" t="inlineStr">
        <is>
          <t>—</t>
        </is>
      </c>
      <c r="E28" s="47" t="inlineStr">
        <is>
          <t>5 ASIs: Roof Insulation, Mansard Backspan, Project Updates, L5 &amp; Roof Restrooms, general updates</t>
        </is>
      </c>
      <c r="F28" s="47" t="inlineStr">
        <is>
          <t>GC/Arch</t>
        </is>
      </c>
      <c r="G28" s="66" t="n">
        <v>0</v>
      </c>
      <c r="H28" s="47" t="inlineStr">
        <is>
          <t>Acknowledged</t>
        </is>
      </c>
      <c r="I28" s="47" t="inlineStr">
        <is>
          <t>ASI-RFI/</t>
        </is>
      </c>
    </row>
    <row r="29">
      <c r="B29" s="48" t="inlineStr">
        <is>
          <t>RFI-PRIMARY</t>
        </is>
      </c>
      <c r="C29" s="49" t="inlineStr">
        <is>
          <t>RFI batch</t>
        </is>
      </c>
      <c r="D29" s="49" t="inlineStr">
        <is>
          <t>—</t>
        </is>
      </c>
      <c r="E29" s="49" t="inlineStr">
        <is>
          <t>50+ RFIs: footing drains, tub drains at columns, fire rating, tub &amp; washer drains at columns, fridge openings</t>
        </is>
      </c>
      <c r="F29" s="49" t="inlineStr">
        <is>
          <t>Sub (OWP)</t>
        </is>
      </c>
      <c r="G29" s="70" t="n">
        <v>0</v>
      </c>
      <c r="H29" s="49" t="inlineStr">
        <is>
          <t>Resolved</t>
        </is>
      </c>
      <c r="I29" s="49" t="inlineStr">
        <is>
          <t>ASI-RFI/</t>
        </is>
      </c>
      <c r="J29" s="53" t="n"/>
    </row>
    <row r="30">
      <c r="B30" s="46" t="inlineStr">
        <is>
          <t>SUB-FIXTURES</t>
        </is>
      </c>
      <c r="C30" s="47" t="inlineStr">
        <is>
          <t>Submittal batch</t>
        </is>
      </c>
      <c r="D30" s="47" t="inlineStr">
        <is>
          <t>—</t>
        </is>
      </c>
      <c r="E30" s="47" t="inlineStr">
        <is>
          <t>Fixture submittals (Kohler K-2210, K-2882, Delta faucets, Zoeller pumps)</t>
        </is>
      </c>
      <c r="F30" s="47" t="inlineStr">
        <is>
          <t>Sub (OWP)</t>
        </is>
      </c>
      <c r="G30" s="66" t="n">
        <v>0</v>
      </c>
      <c r="H30" s="47" t="inlineStr">
        <is>
          <t>Approved</t>
        </is>
      </c>
      <c r="I30" s="47" t="inlineStr">
        <is>
          <t>Submittals/FIXTURES/</t>
        </is>
      </c>
    </row>
    <row r="31">
      <c r="B31" s="48" t="inlineStr">
        <is>
          <t>SUB-MATERIAL</t>
        </is>
      </c>
      <c r="C31" s="49" t="inlineStr">
        <is>
          <t>Submittal batch</t>
        </is>
      </c>
      <c r="D31" s="49" t="inlineStr">
        <is>
          <t>—</t>
        </is>
      </c>
      <c r="E31" s="49" t="inlineStr">
        <is>
          <t>Material submittals (no-hub cast iron per Rosen, Holdrite penetration sleeves, equipment)</t>
        </is>
      </c>
      <c r="F31" s="49" t="inlineStr">
        <is>
          <t>Sub (OWP)</t>
        </is>
      </c>
      <c r="G31" s="70" t="n">
        <v>0</v>
      </c>
      <c r="H31" s="49" t="inlineStr">
        <is>
          <t>Approved</t>
        </is>
      </c>
      <c r="I31" s="49" t="inlineStr">
        <is>
          <t>Submittals/MATERIAL/</t>
        </is>
      </c>
      <c r="J31" s="53" t="n"/>
    </row>
    <row r="32">
      <c r="B32" s="46" t="inlineStr">
        <is>
          <t>SUB-UG-GARAGE</t>
        </is>
      </c>
      <c r="C32" s="47" t="inlineStr">
        <is>
          <t>Submittal</t>
        </is>
      </c>
      <c r="D32" s="47" t="inlineStr">
        <is>
          <t>—</t>
        </is>
      </c>
      <c r="E32" s="47" t="inlineStr">
        <is>
          <t>Underground &amp; garage submittal</t>
        </is>
      </c>
      <c r="F32" s="47" t="inlineStr">
        <is>
          <t>Sub (OWP)</t>
        </is>
      </c>
      <c r="G32" s="66" t="n">
        <v>0</v>
      </c>
      <c r="H32" s="47" t="inlineStr">
        <is>
          <t>Approved</t>
        </is>
      </c>
      <c r="I32" s="47" t="inlineStr">
        <is>
          <t>Submittals/UNDERGROUND &amp; GARAGE/</t>
        </is>
      </c>
    </row>
    <row r="33">
      <c r="B33" s="48" t="inlineStr">
        <is>
          <t>PERMIT-BUILDING</t>
        </is>
      </c>
      <c r="C33" s="49" t="inlineStr">
        <is>
          <t>Permit</t>
        </is>
      </c>
      <c r="D33" s="49" t="inlineStr">
        <is>
          <t>2017-01-05</t>
        </is>
      </c>
      <c r="E33" s="49" t="inlineStr">
        <is>
          <t>Building permit 16-144265-BO — Vuecrest (issuance + 2 rev req 11-22-16, 12-30-16)</t>
        </is>
      </c>
      <c r="F33" s="49" t="inlineStr">
        <is>
          <t>City of Bellevue</t>
        </is>
      </c>
      <c r="G33" s="70" t="n">
        <v>0</v>
      </c>
      <c r="H33" s="49" t="inlineStr">
        <is>
          <t>Issued</t>
        </is>
      </c>
      <c r="I33" s="49" t="inlineStr">
        <is>
          <t>Permits/</t>
        </is>
      </c>
      <c r="J33" s="53" t="n"/>
    </row>
    <row r="34">
      <c r="B34" s="46" t="inlineStr">
        <is>
          <t>PERMIT-PLUMBING</t>
        </is>
      </c>
      <c r="C34" s="47" t="inlineStr">
        <is>
          <t>Permit</t>
        </is>
      </c>
      <c r="D34" s="47" t="inlineStr">
        <is>
          <t>2017-03-07</t>
        </is>
      </c>
      <c r="E34" s="47" t="inlineStr">
        <is>
          <t>Plumbing permit 17-106355-BL</t>
        </is>
      </c>
      <c r="F34" s="47" t="inlineStr">
        <is>
          <t>City of Bellevue</t>
        </is>
      </c>
      <c r="G34" s="66" t="n">
        <v>0</v>
      </c>
      <c r="H34" s="47" t="inlineStr">
        <is>
          <t>Issued</t>
        </is>
      </c>
      <c r="I34" s="47" t="inlineStr">
        <is>
          <t>Permits/</t>
        </is>
      </c>
    </row>
    <row r="35">
      <c r="B35" s="48" t="inlineStr">
        <is>
          <t>PERMIT-MECH-CHECKLIST</t>
        </is>
      </c>
      <c r="C35" s="49" t="inlineStr">
        <is>
          <t>Permit</t>
        </is>
      </c>
      <c r="D35" s="90" t="inlineStr">
        <is>
          <t>NOT FOUND</t>
        </is>
      </c>
      <c r="E35" s="49" t="inlineStr">
        <is>
          <t>Bellevue Mechanical Permit Checklist</t>
        </is>
      </c>
      <c r="F35" s="49" t="inlineStr">
        <is>
          <t>City of Bellevue</t>
        </is>
      </c>
      <c r="G35" s="70" t="n">
        <v>0</v>
      </c>
      <c r="H35" s="49" t="inlineStr">
        <is>
          <t>On file</t>
        </is>
      </c>
      <c r="I35" s="49" t="inlineStr">
        <is>
          <t>Permits/</t>
        </is>
      </c>
      <c r="J35" s="53" t="n"/>
    </row>
    <row r="36">
      <c r="B36" s="46" t="inlineStr">
        <is>
          <t>PERMIT-TEMP</t>
        </is>
      </c>
      <c r="C36" s="47" t="inlineStr">
        <is>
          <t>Permit</t>
        </is>
      </c>
      <c r="D36" s="90" t="inlineStr">
        <is>
          <t>NOT FOUND</t>
        </is>
      </c>
      <c r="E36" s="47" t="inlineStr">
        <is>
          <t>Temp trailer water &amp; sewer permit</t>
        </is>
      </c>
      <c r="F36" s="47" t="inlineStr">
        <is>
          <t>City of Bellevue</t>
        </is>
      </c>
      <c r="G36" s="66" t="n">
        <v>0</v>
      </c>
      <c r="H36" s="47" t="inlineStr">
        <is>
          <t>Issued</t>
        </is>
      </c>
      <c r="I36" s="47" t="inlineStr">
        <is>
          <t>Permits/</t>
        </is>
      </c>
    </row>
    <row r="37">
      <c r="B37" s="48" t="inlineStr">
        <is>
          <t>PERMIT-TRUCKING</t>
        </is>
      </c>
      <c r="C37" s="49" t="inlineStr">
        <is>
          <t>Logistics</t>
        </is>
      </c>
      <c r="D37" s="49" t="inlineStr">
        <is>
          <t>2016-09-22</t>
        </is>
      </c>
      <c r="E37" s="49" t="inlineStr">
        <is>
          <t>TN approved COB trucking route (signed)</t>
        </is>
      </c>
      <c r="F37" s="49" t="inlineStr">
        <is>
          <t>City of Bellevue</t>
        </is>
      </c>
      <c r="G37" s="70" t="n">
        <v>0</v>
      </c>
      <c r="H37" s="49" t="inlineStr">
        <is>
          <t>Approved</t>
        </is>
      </c>
      <c r="I37" s="49" t="inlineStr">
        <is>
          <t>Project root/</t>
        </is>
      </c>
      <c r="J37" s="53" t="n"/>
    </row>
    <row r="38">
      <c r="B38" s="46" t="inlineStr">
        <is>
          <t>OCIP</t>
        </is>
      </c>
      <c r="C38" s="47" t="inlineStr">
        <is>
          <t>Insurance</t>
        </is>
      </c>
      <c r="D38" s="47" t="inlineStr">
        <is>
          <t>—</t>
        </is>
      </c>
      <c r="E38" s="47" t="inlineStr">
        <is>
          <t>OCIP enrollment (wrap insurance)</t>
        </is>
      </c>
      <c r="F38" s="47" t="inlineStr">
        <is>
          <t>Bellevue Vuecrest, LP</t>
        </is>
      </c>
      <c r="G38" s="66" t="n">
        <v>0</v>
      </c>
      <c r="H38" s="47" t="inlineStr">
        <is>
          <t>Enrolled</t>
        </is>
      </c>
      <c r="I38" s="47" t="inlineStr">
        <is>
          <t>Insurance/OCIP Enrollment.pdf</t>
        </is>
      </c>
    </row>
    <row r="39">
      <c r="B39" s="48" t="inlineStr">
        <is>
          <t>PO-COMPLETED</t>
        </is>
      </c>
      <c r="C39" s="49" t="inlineStr">
        <is>
          <t>PO batch</t>
        </is>
      </c>
      <c r="D39" s="49" t="inlineStr">
        <is>
          <t>—</t>
        </is>
      </c>
      <c r="E39" s="49" t="inlineStr">
        <is>
          <t>~200+ completed POs (3 Completed/)</t>
        </is>
      </c>
      <c r="F39" s="49" t="inlineStr">
        <is>
          <t>Sub (OWP)</t>
        </is>
      </c>
      <c r="G39" s="70" t="n">
        <v>0</v>
      </c>
      <c r="H39" s="49" t="inlineStr">
        <is>
          <t>Complete</t>
        </is>
      </c>
      <c r="I39" s="49" t="inlineStr">
        <is>
          <t>POs/3 Completed/</t>
        </is>
      </c>
      <c r="J39" s="53" t="n"/>
    </row>
    <row r="40">
      <c r="B40" s="46" t="inlineStr">
        <is>
          <t>PO-SCHEDULED</t>
        </is>
      </c>
      <c r="C40" s="47" t="inlineStr">
        <is>
          <t>PO batch</t>
        </is>
      </c>
      <c r="D40" s="47" t="inlineStr">
        <is>
          <t>—</t>
        </is>
      </c>
      <c r="E40" s="47" t="inlineStr">
        <is>
          <t>Scheduled POs (2 Scheduled/)</t>
        </is>
      </c>
      <c r="F40" s="47" t="inlineStr">
        <is>
          <t>Sub (OWP)</t>
        </is>
      </c>
      <c r="G40" s="66" t="n">
        <v>0</v>
      </c>
      <c r="H40" s="47" t="inlineStr">
        <is>
          <t>Scheduled</t>
        </is>
      </c>
      <c r="I40" s="47" t="inlineStr">
        <is>
          <t>POs/2 Scheduled/</t>
        </is>
      </c>
    </row>
    <row r="41">
      <c r="B41" s="48" t="inlineStr">
        <is>
          <t>PO-PLACED</t>
        </is>
      </c>
      <c r="C41" s="49" t="inlineStr">
        <is>
          <t>PO batch</t>
        </is>
      </c>
      <c r="D41" s="49" t="inlineStr">
        <is>
          <t>—</t>
        </is>
      </c>
      <c r="E41" s="49" t="inlineStr">
        <is>
          <t>Placed POs (1 Placed/)</t>
        </is>
      </c>
      <c r="F41" s="49" t="inlineStr">
        <is>
          <t>Sub (OWP)</t>
        </is>
      </c>
      <c r="G41" s="70" t="n">
        <v>0</v>
      </c>
      <c r="H41" s="49" t="inlineStr">
        <is>
          <t>Placed</t>
        </is>
      </c>
      <c r="I41" s="49" t="inlineStr">
        <is>
          <t>POs/1 Placed/</t>
        </is>
      </c>
      <c r="J41" s="53" t="n"/>
    </row>
    <row r="42">
      <c r="B42" s="46" t="inlineStr">
        <is>
          <t>FIRST-INVOICE</t>
        </is>
      </c>
      <c r="C42" s="47" t="inlineStr">
        <is>
          <t>Invoice</t>
        </is>
      </c>
      <c r="D42" s="47" t="inlineStr">
        <is>
          <t>2016-12-20</t>
        </is>
      </c>
      <c r="E42" s="47" t="inlineStr">
        <is>
          <t>First billing — see Billing folder 2017/</t>
        </is>
      </c>
      <c r="F42" s="47" t="inlineStr">
        <is>
          <t>Sub (OWP)</t>
        </is>
      </c>
      <c r="G42" s="66" t="n">
        <v>0</v>
      </c>
      <c r="H42" s="47" t="inlineStr">
        <is>
          <t>Paid</t>
        </is>
      </c>
      <c r="I42" s="47" t="inlineStr">
        <is>
          <t>2033 Job Detail Report.pdf (Sage Timberline, 04/03/2026, 191 pages)</t>
        </is>
      </c>
    </row>
    <row r="43">
      <c r="B43" s="48" t="inlineStr">
        <is>
          <t>LAST-INVOICE</t>
        </is>
      </c>
      <c r="C43" s="49" t="inlineStr">
        <is>
          <t>Invoice</t>
        </is>
      </c>
      <c r="D43" s="49" t="inlineStr">
        <is>
          <t>2018-11-16</t>
        </is>
      </c>
      <c r="E43" s="49" t="inlineStr">
        <is>
          <t>Last billing (Invoice 037230 @ $758)</t>
        </is>
      </c>
      <c r="F43" s="49" t="inlineStr">
        <is>
          <t>Sub (OWP)</t>
        </is>
      </c>
      <c r="G43" s="70" t="n">
        <v>758</v>
      </c>
      <c r="H43" s="49" t="inlineStr">
        <is>
          <t>Paid</t>
        </is>
      </c>
      <c r="I43" s="49" t="inlineStr">
        <is>
          <t>2033 Job Detail Report.pdf (Sage Timberline, 04/03/2026, 191 pages)</t>
        </is>
      </c>
      <c r="J43" s="53" t="n"/>
    </row>
    <row r="44">
      <c r="B44" s="46" t="inlineStr">
        <is>
          <t>RETAINAGE-OPEN</t>
        </is>
      </c>
      <c r="C44" s="47" t="inlineStr">
        <is>
          <t>Retainage</t>
        </is>
      </c>
      <c r="D44" s="47" t="inlineStr">
        <is>
          <t>As of 04/03/2026</t>
        </is>
      </c>
      <c r="E44" s="47" t="inlineStr">
        <is>
          <t>Retainage $114,309.40 outstanding 7+ years post-closeout</t>
        </is>
      </c>
      <c r="F44" s="47" t="inlineStr">
        <is>
          <t>GC</t>
        </is>
      </c>
      <c r="G44" s="66" t="n">
        <v>0</v>
      </c>
      <c r="H44" s="47" t="inlineStr">
        <is>
          <t>Outstanding</t>
        </is>
      </c>
      <c r="I44" s="47" t="inlineStr">
        <is>
          <t>2033 Job Detail Report.pdf (Sage Timberline, 04/03/2026, 191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Primary variance driver: deductive change orders reducing contract by $161,412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8" t="inlineStr">
        <is>
          <t>Deductive Contract Change</t>
        </is>
      </c>
      <c r="C7" s="49" t="inlineStr">
        <is>
          <t>999 (Sales code)</t>
        </is>
      </c>
      <c r="D7" s="70" t="n">
        <v>-161412</v>
      </c>
      <c r="E7" s="49" t="inlineStr">
        <is>
          <t>CO#02 Cast Iron/Lav/Kitchen Sinks credit (-$234,240) dominant; partially offset by 16 adds</t>
        </is>
      </c>
      <c r="F7" s="49" t="inlineStr">
        <is>
          <t>Original $2,504,600 → Final $2,343,188 = $-161,412 (-6.44%)</t>
        </is>
      </c>
      <c r="G7" s="53" t="n"/>
      <c r="H7" s="53" t="n"/>
      <c r="I7" s="53" t="n"/>
      <c r="J7" s="53" t="n"/>
    </row>
    <row r="8">
      <c r="B8" s="46" t="inlineStr">
        <is>
          <t>Labor efficiency</t>
        </is>
      </c>
      <c r="C8" s="47" t="inlineStr">
        <is>
          <t>100-143</t>
        </is>
      </c>
      <c r="D8" s="66" t="n">
        <v>-42979.37</v>
      </c>
      <c r="E8" s="47" t="inlineStr">
        <is>
          <t>Rough-in (120) and Finish (130) labor both under revised budget</t>
        </is>
      </c>
      <c r="F8" s="47" t="inlineStr">
        <is>
          <t>44 workers; favorable on 9 of 11 labor codes</t>
        </is>
      </c>
    </row>
    <row r="9">
      <c r="B9" s="48" t="inlineStr">
        <is>
          <t>Material procurement</t>
        </is>
      </c>
      <c r="C9" s="49" t="inlineStr">
        <is>
          <t>210-243</t>
        </is>
      </c>
      <c r="D9" s="70" t="n">
        <v>-231254.67</v>
      </c>
      <c r="E9" s="49" t="inlineStr">
        <is>
          <t>Mixed: Rough-in material large savings offset by Finish Material and Water Main overruns</t>
        </is>
      </c>
      <c r="F9" s="49" t="inlineStr">
        <is>
          <t>Key overruns: 230 (+$22k), 241 (+$7.5k); key savings: 220 (-$104k), 211 (-$51k)</t>
        </is>
      </c>
      <c r="G9" s="53" t="n"/>
      <c r="H9" s="53" t="n"/>
      <c r="I9" s="53" t="n"/>
      <c r="J9" s="53" t="n"/>
    </row>
    <row r="10">
      <c r="B10" s="46" t="inlineStr">
        <is>
          <t>Overhead / Engineering / Permits</t>
        </is>
      </c>
      <c r="C10" s="47" t="inlineStr">
        <is>
          <t>600-607</t>
        </is>
      </c>
      <c r="D10" s="66" t="n">
        <v>912.2400000000007</v>
      </c>
      <c r="E10" s="47" t="inlineStr">
        <is>
          <t>Engineering and permits slightly over; rental/subcontractor under</t>
        </is>
      </c>
      <c r="F10" s="47" t="inlineStr">
        <is>
          <t>Engineering +$3.5k (Franklin); Permits modestly over</t>
        </is>
      </c>
    </row>
    <row r="11">
      <c r="B11" s="48" t="inlineStr">
        <is>
          <t>Burden / Tax accrual</t>
        </is>
      </c>
      <c r="C11" s="49" t="inlineStr">
        <is>
          <t>995, 998</t>
        </is>
      </c>
      <c r="D11" s="70" t="n">
        <v>-12319.27000000002</v>
      </c>
      <c r="E11" s="49" t="inlineStr">
        <is>
          <t>Tracked proportionally to labor; burden reduced with labor</t>
        </is>
      </c>
      <c r="F11" s="49" t="inlineStr">
        <is>
          <t>OWP internal; CO#08 note changed burden rate to 40</t>
        </is>
      </c>
      <c r="G11" s="53" t="n"/>
      <c r="H11" s="53" t="n"/>
      <c r="I11" s="53" t="n"/>
      <c r="J11" s="53" t="n"/>
    </row>
    <row r="12">
      <c r="B12" s="46" t="inlineStr">
        <is>
          <t>Condensation Drains (new code)</t>
        </is>
      </c>
      <c r="C12" s="47" t="inlineStr">
        <is>
          <t>143 + 243</t>
        </is>
      </c>
      <c r="D12" s="66" t="n">
        <v>27270.45</v>
      </c>
      <c r="E12" s="47" t="inlineStr">
        <is>
          <t>Code 143 (labor) and 243 (material) emerged mid-project — multiple condensate-stack CORs</t>
        </is>
      </c>
      <c r="F12" s="47" t="inlineStr">
        <is>
          <t>Code 143 actual $29,278 vs rev $2,808</t>
        </is>
      </c>
    </row>
    <row r="13">
      <c r="B13" s="48" t="inlineStr">
        <is>
          <t>TOTAL NET VARIANCE (Rev Budget vs Actual)</t>
        </is>
      </c>
      <c r="C13" s="53" t="n"/>
      <c r="D13" s="71">
        <f>SUM(D7:D12)</f>
        <v/>
      </c>
      <c r="E13" s="53" t="n"/>
      <c r="F13" s="53" t="n"/>
      <c r="G13" s="53" t="n"/>
      <c r="H13" s="53" t="n"/>
      <c r="I13" s="53" t="n"/>
      <c r="J13" s="53" t="n"/>
    </row>
    <row r="14"/>
    <row r="15"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B16" s="45" t="inlineStr">
        <is>
          <t>RESPONSIBILITY ATTRIBUTION</t>
        </is>
      </c>
    </row>
    <row r="17">
      <c r="B17" s="83" t="inlineStr">
        <is>
          <t>Responsible Party</t>
        </is>
      </c>
      <c r="C17" s="84" t="inlineStr">
        <is>
          <t># Drivers</t>
        </is>
      </c>
      <c r="D17" s="84" t="inlineStr">
        <is>
          <t>Net $ Impact</t>
        </is>
      </c>
      <c r="E17" s="84" t="inlineStr">
        <is>
          <t>Notes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GC / Owner (scope revision)</t>
        </is>
      </c>
      <c r="C18" s="52" t="n">
        <v>18</v>
      </c>
      <c r="D18" s="66" t="n">
        <v>-161412</v>
      </c>
      <c r="E18" s="47" t="inlineStr">
        <is>
          <t>18 executed COs — primarily driven by CO#02 Cast Iron / Lav / Kitchen Sinks credit (-$234,240)</t>
        </is>
      </c>
    </row>
    <row r="19">
      <c r="B19" s="48" t="inlineStr">
        <is>
          <t>Sub (OWP) — labor performance</t>
        </is>
      </c>
      <c r="C19" s="79" t="n">
        <v>11</v>
      </c>
      <c r="D19" s="70" t="n">
        <v>-42979.37</v>
      </c>
      <c r="E19" s="49" t="inlineStr">
        <is>
          <t>Labor cost performance vs revised budget across 11 labor codes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Sub (OWP) — material procurement</t>
        </is>
      </c>
      <c r="C20" s="52" t="n">
        <v>9</v>
      </c>
      <c r="D20" s="66" t="n">
        <v>-231254.67</v>
      </c>
      <c r="E20" s="47" t="inlineStr">
        <is>
          <t>Procurement &amp; scope execution; Keller/Rosen/Ferguson dominant vendors</t>
        </is>
      </c>
    </row>
    <row r="21">
      <c r="B21" s="48" t="inlineStr">
        <is>
          <t>Burden rate — OWP internal</t>
        </is>
      </c>
      <c r="C21" s="79" t="n">
        <v>2</v>
      </c>
      <c r="D21" s="70" t="n">
        <v>-12319.27000000002</v>
      </c>
      <c r="E21" s="49" t="inlineStr">
        <is>
          <t>Payroll accrual; CO#08 note '40% burden next'</t>
        </is>
      </c>
      <c r="F21" s="53" t="n"/>
      <c r="G21" s="53" t="n"/>
      <c r="H21" s="53" t="n"/>
      <c r="I21" s="53" t="n"/>
      <c r="J21" s="53" t="n"/>
    </row>
    <row r="22">
      <c r="B22" s="46" t="inlineStr">
        <is>
          <t>Support codes — OWP</t>
        </is>
      </c>
      <c r="C22" s="52" t="n">
        <v>5</v>
      </c>
      <c r="D22" s="66" t="n">
        <v>912.2400000000007</v>
      </c>
      <c r="E22" s="47" t="inlineStr">
        <is>
          <t>Overhead efficiency (Franklin engineering, permits, rentals)</t>
        </is>
      </c>
    </row>
    <row r="23">
      <c r="B23" s="48" t="inlineStr">
        <is>
          <t>Design coordination — PSE/Bellevue</t>
        </is>
      </c>
      <c r="C23" s="79" t="n">
        <v>3</v>
      </c>
      <c r="D23" s="70" t="n">
        <v>12497</v>
      </c>
      <c r="E23" s="49" t="inlineStr">
        <is>
          <t>CO#10/11/12 = PSE transformer drain + permit revision + dewatering meter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8" t="inlineStr">
        <is>
          <t>Contract Descoping %</t>
        </is>
      </c>
      <c r="C7" s="49" t="inlineStr">
        <is>
          <t>-6.44%</t>
        </is>
      </c>
      <c r="D7" s="49" t="inlineStr">
        <is>
          <t>±10%</t>
        </is>
      </c>
      <c r="E7" s="96" t="inlineStr">
        <is>
          <t>WATCH</t>
        </is>
      </c>
      <c r="F7" s="49" t="inlineStr">
        <is>
          <t>-6.44% net reduction, driven by CO#02 Cast Iron credit</t>
        </is>
      </c>
      <c r="G7" s="53" t="n"/>
      <c r="H7" s="53" t="n"/>
      <c r="I7" s="53" t="n"/>
      <c r="J7" s="53" t="n"/>
    </row>
    <row r="8">
      <c r="B8" s="46" t="inlineStr">
        <is>
          <t>Labor % of Revenue</t>
        </is>
      </c>
      <c r="C8" s="86" t="n">
        <v>0.2245989779735984</v>
      </c>
      <c r="D8" s="47" t="inlineStr">
        <is>
          <t>&lt;30%</t>
        </is>
      </c>
      <c r="E8" s="91" t="inlineStr">
        <is>
          <t>HEALTHY</t>
        </is>
      </c>
      <c r="F8" s="47" t="inlineStr">
        <is>
          <t>22.5%</t>
        </is>
      </c>
    </row>
    <row r="9">
      <c r="B9" s="48" t="inlineStr">
        <is>
          <t>GL Overhead % of Revenue</t>
        </is>
      </c>
      <c r="C9" s="78" t="n">
        <v>0.02835107981092426</v>
      </c>
      <c r="D9" s="49" t="inlineStr">
        <is>
          <t>&lt;5%</t>
        </is>
      </c>
      <c r="E9" s="91" t="inlineStr">
        <is>
          <t>HEALTHY</t>
        </is>
      </c>
      <c r="F9" s="49" t="inlineStr">
        <is>
          <t>2.8%</t>
        </is>
      </c>
      <c r="G9" s="53" t="n"/>
      <c r="H9" s="53" t="n"/>
      <c r="I9" s="53" t="n"/>
      <c r="J9" s="53" t="n"/>
    </row>
    <row r="10">
      <c r="B10" s="46" t="inlineStr">
        <is>
          <t>Vendor Concentration (Top 5)</t>
        </is>
      </c>
      <c r="C10" s="86" t="n">
        <v>0.8033632782990006</v>
      </c>
      <c r="D10" s="47" t="inlineStr">
        <is>
          <t>&lt;95%</t>
        </is>
      </c>
      <c r="E10" s="91" t="inlineStr">
        <is>
          <t>HEALTHY</t>
        </is>
      </c>
      <c r="F10" s="47" t="inlineStr">
        <is>
          <t>Top 5 vendors = 80% of AP</t>
        </is>
      </c>
    </row>
    <row r="11">
      <c r="B11" s="48" t="inlineStr">
        <is>
          <t>Retainage Outstanding</t>
        </is>
      </c>
      <c r="C11" s="78" t="n">
        <v>0.04878370834947943</v>
      </c>
      <c r="D11" s="49" t="inlineStr">
        <is>
          <t>&lt;10%</t>
        </is>
      </c>
      <c r="E11" s="91" t="inlineStr">
        <is>
          <t>HEALTHY</t>
        </is>
      </c>
      <c r="F11" s="49" t="inlineStr">
        <is>
          <t>4.9% — but 7+ years stale</t>
        </is>
      </c>
      <c r="G11" s="53" t="n"/>
      <c r="H11" s="53" t="n"/>
      <c r="I11" s="53" t="n"/>
      <c r="J11" s="53" t="n"/>
    </row>
    <row r="12">
      <c r="B12" s="46" t="inlineStr">
        <is>
          <t>Gross Margin</t>
        </is>
      </c>
      <c r="C12" s="86" t="n">
        <v>0.4312533010582164</v>
      </c>
      <c r="D12" s="47" t="inlineStr">
        <is>
          <t>&gt;35%</t>
        </is>
      </c>
      <c r="E12" s="91" t="inlineStr">
        <is>
          <t>HEALTHY</t>
        </is>
      </c>
      <c r="F12" s="47" t="inlineStr">
        <is>
          <t>43.1% — exceeds benchmark</t>
        </is>
      </c>
    </row>
    <row r="13">
      <c r="B13" s="48" t="inlineStr">
        <is>
          <t>Labor Hrs Total</t>
        </is>
      </c>
      <c r="C13" s="78" t="n">
        <v>19509</v>
      </c>
      <c r="D13" s="49" t="inlineStr">
        <is>
          <t>varies</t>
        </is>
      </c>
      <c r="E13" s="54" t="inlineStr">
        <is>
          <t>INFO</t>
        </is>
      </c>
      <c r="F13" s="49" t="inlineStr">
        <is>
          <t>19,509 hrs across 44 workers</t>
        </is>
      </c>
      <c r="G13" s="53" t="n"/>
      <c r="H13" s="53" t="n"/>
      <c r="I13" s="53" t="n"/>
      <c r="J13" s="53" t="n"/>
    </row>
    <row r="14">
      <c r="B14" s="46" t="inlineStr">
        <is>
          <t>Retainage Release Pending</t>
        </is>
      </c>
      <c r="C14" s="47" t="inlineStr">
        <is>
          <t>YES</t>
        </is>
      </c>
      <c r="D14" s="47" t="inlineStr">
        <is>
          <t>Released within 90 days post-closeout</t>
        </is>
      </c>
      <c r="E14" s="97" t="inlineStr">
        <is>
          <t>ELEVATED</t>
        </is>
      </c>
      <c r="F14" s="47" t="inlineStr">
        <is>
          <t>$114,309 open 7+ years — collections concern</t>
        </is>
      </c>
    </row>
    <row r="15">
      <c r="B15" s="48" t="inlineStr">
        <is>
          <t>Worker Concentration (top 1)</t>
        </is>
      </c>
      <c r="C15" s="78" t="n">
        <v>0.1329899020964683</v>
      </c>
      <c r="D15" s="49" t="inlineStr">
        <is>
          <t>&lt;25%</t>
        </is>
      </c>
      <c r="E15" s="91" t="inlineStr">
        <is>
          <t>HEALTHY</t>
        </is>
      </c>
      <c r="F15" s="49" t="inlineStr">
        <is>
          <t>13.3% from single worker (Paco Leyva, Orlando)</t>
        </is>
      </c>
      <c r="G15" s="53" t="n"/>
      <c r="H15" s="53" t="n"/>
      <c r="I15" s="53" t="n"/>
      <c r="J15" s="53" t="n"/>
    </row>
    <row r="16">
      <c r="B16" s="46" t="inlineStr">
        <is>
          <t>Rough-in Labor Share</t>
        </is>
      </c>
      <c r="C16" s="86" t="n">
        <v>0.5869342354810601</v>
      </c>
      <c r="D16" s="47" t="inlineStr">
        <is>
          <t>40-65%</t>
        </is>
      </c>
      <c r="E16" s="91" t="inlineStr">
        <is>
          <t>HEALTHY</t>
        </is>
      </c>
      <c r="F16" s="47" t="inlineStr">
        <is>
          <t>59% on rough-in</t>
        </is>
      </c>
    </row>
    <row r="17">
      <c r="B17" s="48" t="inlineStr">
        <is>
          <t>Rough-in Budget Variance</t>
        </is>
      </c>
      <c r="C17" s="78" t="n">
        <v>-0.09236384820542695</v>
      </c>
      <c r="D17" s="49" t="inlineStr">
        <is>
          <t>±10%</t>
        </is>
      </c>
      <c r="E17" s="91" t="inlineStr">
        <is>
          <t>HEALTHY</t>
        </is>
      </c>
      <c r="F17" s="49" t="inlineStr">
        <is>
          <t>-9.2% under</t>
        </is>
      </c>
      <c r="G17" s="53" t="n"/>
      <c r="H17" s="53" t="n"/>
      <c r="I17" s="53" t="n"/>
      <c r="J17" s="53" t="n"/>
    </row>
    <row r="18">
      <c r="B18" s="46" t="inlineStr">
        <is>
          <t>Finish Material Variance</t>
        </is>
      </c>
      <c r="C18" s="86" t="n">
        <v>0.1139986297893935</v>
      </c>
      <c r="D18" s="47" t="inlineStr">
        <is>
          <t>±10%</t>
        </is>
      </c>
      <c r="E18" s="97" t="inlineStr">
        <is>
          <t>ELEVATED</t>
        </is>
      </c>
      <c r="F18" s="47" t="inlineStr">
        <is>
          <t>11.4% over — upgraded fixtures</t>
        </is>
      </c>
    </row>
    <row r="19">
      <c r="B19" s="48" t="inlineStr">
        <is>
          <t>Permits Obtained</t>
        </is>
      </c>
      <c r="C19" s="79" t="n">
        <v>10</v>
      </c>
      <c r="D19" s="49" t="inlineStr">
        <is>
          <t>&gt;=3</t>
        </is>
      </c>
      <c r="E19" s="91" t="inlineStr">
        <is>
          <t>HEALTHY</t>
        </is>
      </c>
      <c r="F19" s="49" t="inlineStr">
        <is>
          <t>All major permits + checklists on file</t>
        </is>
      </c>
      <c r="G19" s="53" t="n"/>
      <c r="H19" s="53" t="n"/>
      <c r="I19" s="53" t="n"/>
      <c r="J19" s="53" t="n"/>
    </row>
    <row r="20">
      <c r="B20" s="46" t="inlineStr">
        <is>
          <t>RFI Density</t>
        </is>
      </c>
      <c r="C20" s="86" t="n">
        <v>0.4306569343065693</v>
      </c>
      <c r="D20" s="47" t="inlineStr">
        <is>
          <t>&lt;0.5</t>
        </is>
      </c>
      <c r="E20" s="91" t="inlineStr">
        <is>
          <t>HEALTHY</t>
        </is>
      </c>
      <c r="F20" s="47" t="inlineStr">
        <is>
          <t>0.43 RFIs per unit — typical for luxury multifamily</t>
        </is>
      </c>
    </row>
    <row r="21">
      <c r="B21" s="48" t="inlineStr">
        <is>
          <t>Document Completeness</t>
        </is>
      </c>
      <c r="C21" s="49" t="inlineStr">
        <is>
          <t>HIGH</t>
        </is>
      </c>
      <c r="D21" s="49" t="inlineStr">
        <is>
          <t>Full CO/RFI/Submittal trail + photos</t>
        </is>
      </c>
      <c r="E21" s="91" t="inlineStr">
        <is>
          <t>HEALTHY</t>
        </is>
      </c>
      <c r="F21" s="49" t="inlineStr">
        <is>
          <t>Contract, 18 COs, 33 CORs, 59 ASI-RFIs, 22 submittals, 231 POs, 503 photos, 10 permits</t>
        </is>
      </c>
      <c r="G21" s="53" t="n"/>
      <c r="H21" s="53" t="n"/>
      <c r="I21" s="53" t="n"/>
      <c r="J21" s="53" t="n"/>
    </row>
    <row r="22"/>
    <row r="23"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45" t="inlineStr">
        <is>
          <t>FORECAST MODELS</t>
        </is>
      </c>
    </row>
    <row r="25">
      <c r="B25" s="83" t="inlineStr">
        <is>
          <t>Forecast</t>
        </is>
      </c>
      <c r="C25" s="84" t="inlineStr">
        <is>
          <t>Current Estimate</t>
        </is>
      </c>
      <c r="D25" s="84" t="inlineStr">
        <is>
          <t>Confidence</t>
        </is>
      </c>
      <c r="E25" s="84" t="inlineStr">
        <is>
          <t>Driver</t>
        </is>
      </c>
      <c r="F25" s="84" t="inlineStr">
        <is>
          <t>Model Note</t>
        </is>
      </c>
      <c r="G25" s="53" t="n"/>
      <c r="H25" s="53" t="n"/>
      <c r="I25" s="53" t="n"/>
      <c r="J25" s="53" t="n"/>
    </row>
    <row r="26">
      <c r="B26" s="46" t="inlineStr">
        <is>
          <t>Final margin (actual)</t>
        </is>
      </c>
      <c r="C26" s="86" t="n">
        <v>0.4312533010582164</v>
      </c>
      <c r="D26" s="47" t="inlineStr">
        <is>
          <t>Actual</t>
        </is>
      </c>
      <c r="E26" s="47" t="inlineStr">
        <is>
          <t>Job closed</t>
        </is>
      </c>
      <c r="F26" s="47" t="inlineStr">
        <is>
          <t>43.1% — exceeds multifamily benchmark</t>
        </is>
      </c>
    </row>
    <row r="27">
      <c r="B27" s="48" t="inlineStr">
        <is>
          <t>CO reconciliation</t>
        </is>
      </c>
      <c r="C27" s="49" t="inlineStr">
        <is>
          <t>17 documented + CO#18 implied</t>
        </is>
      </c>
      <c r="D27" s="91" t="inlineStr">
        <is>
          <t>Verified</t>
        </is>
      </c>
      <c r="E27" s="49" t="inlineStr">
        <is>
          <t>Budget Transfer xlsx + CO folder</t>
        </is>
      </c>
      <c r="F27" s="49" t="inlineStr">
        <is>
          <t>Documented COs sum = $-160,233; implied $-161,412; gap allocated to CO#18</t>
        </is>
      </c>
      <c r="G27" s="53" t="n"/>
      <c r="H27" s="53" t="n"/>
      <c r="I27" s="53" t="n"/>
      <c r="J27" s="53" t="n"/>
    </row>
    <row r="28">
      <c r="B28" s="46" t="inlineStr">
        <is>
          <t>Composite risk score (0-100)</t>
        </is>
      </c>
      <c r="C28" s="52" t="n">
        <v>22</v>
      </c>
      <c r="D28" s="47" t="inlineStr">
        <is>
          <t>Low-Medium</t>
        </is>
      </c>
      <c r="E28" s="47" t="inlineStr">
        <is>
          <t>Strong margin; retainage collections risk</t>
        </is>
      </c>
      <c r="F28" s="47" t="inlineStr">
        <is>
          <t>Retainage 7+ years stale — follow-up needed</t>
        </is>
      </c>
    </row>
    <row r="29">
      <c r="B29" s="48" t="inlineStr">
        <is>
          <t>Would re-bid margin target</t>
        </is>
      </c>
      <c r="C29" s="49" t="inlineStr">
        <is>
          <t>≥40%</t>
        </is>
      </c>
      <c r="D29" s="85" t="inlineStr">
        <is>
          <t>Derived</t>
        </is>
      </c>
      <c r="E29" s="49" t="inlineStr">
        <is>
          <t>Historical close</t>
        </is>
      </c>
      <c r="F29" s="49" t="inlineStr">
        <is>
          <t>Strong execution; OCIP helps; maintain labor-light approach</t>
        </is>
      </c>
      <c r="G29" s="53" t="n"/>
      <c r="H29" s="53" t="n"/>
      <c r="I29" s="53" t="n"/>
      <c r="J29" s="53" t="n"/>
    </row>
    <row r="30">
      <c r="B30" s="46" t="inlineStr">
        <is>
          <t>Unit-level economics</t>
        </is>
      </c>
      <c r="C30" s="47" t="inlineStr">
        <is>
          <t>$17,104/unit rev, $7,376/unit profit</t>
        </is>
      </c>
      <c r="D30" s="91" t="inlineStr">
        <is>
          <t>Verified</t>
        </is>
      </c>
      <c r="E30" s="47" t="inlineStr">
        <is>
          <t>137 units from Job Info</t>
        </is>
      </c>
      <c r="F30" s="47" t="inlineStr">
        <is>
          <t>Benchmark for future luxury multifamily</t>
        </is>
      </c>
    </row>
    <row r="31">
      <c r="B31" s="48" t="inlineStr">
        <is>
          <t>Retainage collections</t>
        </is>
      </c>
      <c r="C31" s="49" t="inlineStr">
        <is>
          <t>$114,309 open</t>
        </is>
      </c>
      <c r="D31" s="49" t="inlineStr">
        <is>
          <t>Low confidence collection</t>
        </is>
      </c>
      <c r="E31" s="49" t="inlineStr">
        <is>
          <t>7+ years stale</t>
        </is>
      </c>
      <c r="F31" s="49" t="inlineStr">
        <is>
          <t>May require LOI or writedown</t>
        </is>
      </c>
      <c r="G31" s="53" t="n"/>
      <c r="H31" s="53" t="n"/>
      <c r="I31" s="53" t="n"/>
      <c r="J3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52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2033</t>
        </is>
      </c>
      <c r="F6" s="47" t="inlineStr">
        <is>
          <t>id</t>
        </is>
      </c>
      <c r="G6" s="47" t="inlineStr">
        <is>
          <t>Benchmark KPIs</t>
        </is>
      </c>
      <c r="H6" s="91" t="inlineStr">
        <is>
          <t>Verified</t>
        </is>
      </c>
      <c r="I6" s="47" t="inlineStr">
        <is>
          <t>2033 Job Detail Report.pdf (Sage Timberline, 04/03/2026, 191 pages)</t>
        </is>
      </c>
    </row>
    <row r="7">
      <c r="B7" s="79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Compass Vuecrest</t>
        </is>
      </c>
      <c r="F7" s="49" t="inlineStr">
        <is>
          <t>text</t>
        </is>
      </c>
      <c r="G7" s="49" t="inlineStr">
        <is>
          <t>Benchmark KPIs</t>
        </is>
      </c>
      <c r="H7" s="91" t="inlineStr">
        <is>
          <t>Verified</t>
        </is>
      </c>
      <c r="I7" s="49" t="inlineStr">
        <is>
          <t>2033 Job Detail Report.pdf (Sage Timberline, 04/03/2026, 191 pages)</t>
        </is>
      </c>
      <c r="J7" s="53" t="n"/>
    </row>
    <row r="8">
      <c r="B8" s="52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Vuecrest (LUX) — 137-unit luxury multifamily plumbing, Bellevue WA</t>
        </is>
      </c>
      <c r="F8" s="47" t="inlineStr">
        <is>
          <t>text</t>
        </is>
      </c>
      <c r="G8" s="47" t="inlineStr">
        <is>
          <t>Benchmark KPIs</t>
        </is>
      </c>
      <c r="H8" s="91" t="inlineStr">
        <is>
          <t>Verified</t>
        </is>
      </c>
      <c r="I8" s="47" t="inlineStr">
        <is>
          <t>Vuecrest-One Way Plumbing Fully Executed 9.26.16.pdf</t>
        </is>
      </c>
    </row>
    <row r="9">
      <c r="B9" s="79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Compass Harbor Construction, LLC</t>
        </is>
      </c>
      <c r="F9" s="49" t="inlineStr">
        <is>
          <t>text</t>
        </is>
      </c>
      <c r="G9" s="49" t="inlineStr">
        <is>
          <t>Benchmark KPIs</t>
        </is>
      </c>
      <c r="H9" s="91" t="inlineStr">
        <is>
          <t>Verified</t>
        </is>
      </c>
      <c r="I9" s="49" t="inlineStr">
        <is>
          <t>Vuecrest-One Way Plumbing Fully Executed 9.26.16.pdf</t>
        </is>
      </c>
      <c r="J9" s="53" t="n"/>
    </row>
    <row r="10">
      <c r="B10" s="52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2033BV</t>
        </is>
      </c>
      <c r="F10" s="47" t="inlineStr">
        <is>
          <t>id</t>
        </is>
      </c>
      <c r="G10" s="47" t="inlineStr">
        <is>
          <t>Overview</t>
        </is>
      </c>
      <c r="H10" s="91" t="inlineStr">
        <is>
          <t>Verified</t>
        </is>
      </c>
      <c r="I10" s="47" t="inlineStr">
        <is>
          <t>2033 Job Detail Report.pdf (Sage Timberline, 04/03/2026, 191 pages)</t>
        </is>
      </c>
    </row>
    <row r="11">
      <c r="B11" s="79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Bellevue Vuecrest, LP (Developer: Continental)</t>
        </is>
      </c>
      <c r="F11" s="49" t="inlineStr">
        <is>
          <t>text</t>
        </is>
      </c>
      <c r="G11" s="49" t="inlineStr">
        <is>
          <t>Benchmark KPIs</t>
        </is>
      </c>
      <c r="H11" s="91" t="inlineStr">
        <is>
          <t>Verified</t>
        </is>
      </c>
      <c r="I11" s="49" t="inlineStr">
        <is>
          <t>Vuecrest-One Way Plumbing Fully Executed 9.26.16.pdf</t>
        </is>
      </c>
      <c r="J11" s="53" t="n"/>
    </row>
    <row r="12">
      <c r="B12" s="52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1000 100th Ave NE, Bellevue, WA 98004</t>
        </is>
      </c>
      <c r="F12" s="47" t="inlineStr">
        <is>
          <t>text</t>
        </is>
      </c>
      <c r="G12" s="47" t="inlineStr">
        <is>
          <t>Benchmark KPIs</t>
        </is>
      </c>
      <c r="H12" s="91" t="inlineStr">
        <is>
          <t>Verified</t>
        </is>
      </c>
      <c r="I12" s="47" t="inlineStr">
        <is>
          <t>Vuecrest-One Way Plumbing Fully Executed 9.26.16.pdf</t>
        </is>
      </c>
    </row>
    <row r="13">
      <c r="B13" s="79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Luxury Multifamily Plumbing (137 units)</t>
        </is>
      </c>
      <c r="F13" s="49" t="inlineStr">
        <is>
          <t>text</t>
        </is>
      </c>
      <c r="G13" s="49" t="inlineStr">
        <is>
          <t>Benchmark KPIs</t>
        </is>
      </c>
      <c r="H13" s="91" t="inlineStr">
        <is>
          <t>Verified</t>
        </is>
      </c>
      <c r="I13" s="49" t="inlineStr">
        <is>
          <t>Vuecrest P-tag and equipment list working copy.xlsx</t>
        </is>
      </c>
      <c r="J13" s="53" t="n"/>
    </row>
    <row r="14">
      <c r="B14" s="52" t="n">
        <v>9</v>
      </c>
      <c r="C14" s="47" t="inlineStr">
        <is>
          <t>insurance_type</t>
        </is>
      </c>
      <c r="D14" s="47" t="inlineStr">
        <is>
          <t>Insurance Type</t>
        </is>
      </c>
      <c r="E14" s="47" t="inlineStr">
        <is>
          <t>Wrap (OCIP)</t>
        </is>
      </c>
      <c r="F14" s="47" t="inlineStr">
        <is>
          <t>text</t>
        </is>
      </c>
      <c r="G14" s="47" t="inlineStr">
        <is>
          <t>Benchmark KPIs</t>
        </is>
      </c>
      <c r="H14" s="91" t="inlineStr">
        <is>
          <t>Verified</t>
        </is>
      </c>
      <c r="I14" s="47" t="inlineStr">
        <is>
          <t>Insurance folder</t>
        </is>
      </c>
    </row>
    <row r="15">
      <c r="B15" s="79" t="n">
        <v>10</v>
      </c>
      <c r="C15" s="49" t="inlineStr">
        <is>
          <t>gc_pm</t>
        </is>
      </c>
      <c r="D15" s="49" t="inlineStr">
        <is>
          <t>GC PM</t>
        </is>
      </c>
      <c r="E15" s="49" t="inlineStr">
        <is>
          <t>Ryan Ames / Vince Dennison</t>
        </is>
      </c>
      <c r="F15" s="49" t="inlineStr">
        <is>
          <t>text</t>
        </is>
      </c>
      <c r="G15" s="49" t="inlineStr">
        <is>
          <t>Benchmark KPIs</t>
        </is>
      </c>
      <c r="H15" s="91" t="inlineStr">
        <is>
          <t>Verified</t>
        </is>
      </c>
      <c r="I15" s="49" t="inlineStr">
        <is>
          <t>Job Info</t>
        </is>
      </c>
      <c r="J15" s="53" t="n"/>
    </row>
    <row r="16">
      <c r="B16" s="52" t="n">
        <v>11</v>
      </c>
      <c r="C16" s="47" t="inlineStr">
        <is>
          <t>gc_sup</t>
        </is>
      </c>
      <c r="D16" s="47" t="inlineStr">
        <is>
          <t>GC Superintendent</t>
        </is>
      </c>
      <c r="E16" s="47" t="inlineStr">
        <is>
          <t>Todd Mortenson</t>
        </is>
      </c>
      <c r="F16" s="47" t="inlineStr">
        <is>
          <t>text</t>
        </is>
      </c>
      <c r="G16" s="47" t="inlineStr">
        <is>
          <t>Benchmark KPIs</t>
        </is>
      </c>
      <c r="H16" s="91" t="inlineStr">
        <is>
          <t>Verified</t>
        </is>
      </c>
      <c r="I16" s="47" t="inlineStr">
        <is>
          <t>Job Info</t>
        </is>
      </c>
    </row>
    <row r="17">
      <c r="B17" s="79" t="n">
        <v>12</v>
      </c>
      <c r="C17" s="49" t="inlineStr">
        <is>
          <t>gc_pe</t>
        </is>
      </c>
      <c r="D17" s="49" t="inlineStr">
        <is>
          <t>GC PE</t>
        </is>
      </c>
      <c r="E17" s="49" t="inlineStr">
        <is>
          <t>Dan Peck</t>
        </is>
      </c>
      <c r="F17" s="49" t="inlineStr">
        <is>
          <t>text</t>
        </is>
      </c>
      <c r="G17" s="49" t="inlineStr">
        <is>
          <t>Benchmark KPIs</t>
        </is>
      </c>
      <c r="H17" s="91" t="inlineStr">
        <is>
          <t>Verified</t>
        </is>
      </c>
      <c r="I17" s="49" t="inlineStr">
        <is>
          <t>Job Info</t>
        </is>
      </c>
      <c r="J17" s="53" t="n"/>
    </row>
    <row r="18">
      <c r="B18" s="52" t="n">
        <v>13</v>
      </c>
      <c r="C18" s="47" t="inlineStr">
        <is>
          <t>developer</t>
        </is>
      </c>
      <c r="D18" s="47" t="inlineStr">
        <is>
          <t>Developer</t>
        </is>
      </c>
      <c r="E18" s="47" t="inlineStr">
        <is>
          <t>Continental</t>
        </is>
      </c>
      <c r="F18" s="47" t="inlineStr">
        <is>
          <t>text</t>
        </is>
      </c>
      <c r="G18" s="47" t="inlineStr">
        <is>
          <t>Benchmark KPIs</t>
        </is>
      </c>
      <c r="H18" s="91" t="inlineStr">
        <is>
          <t>Verified</t>
        </is>
      </c>
      <c r="I18" s="47" t="inlineStr">
        <is>
          <t>Job Info</t>
        </is>
      </c>
    </row>
    <row r="19">
      <c r="B19" s="79" t="n">
        <v>14</v>
      </c>
      <c r="C19" s="49" t="inlineStr">
        <is>
          <t>owp_foreman</t>
        </is>
      </c>
      <c r="D19" s="49" t="inlineStr">
        <is>
          <t>OWP RI Foreman</t>
        </is>
      </c>
      <c r="E19" s="49" t="inlineStr">
        <is>
          <t>Victor</t>
        </is>
      </c>
      <c r="F19" s="49" t="inlineStr">
        <is>
          <t>text</t>
        </is>
      </c>
      <c r="G19" s="49" t="inlineStr">
        <is>
          <t>Benchmark KPIs</t>
        </is>
      </c>
      <c r="H19" s="91" t="inlineStr">
        <is>
          <t>Verified</t>
        </is>
      </c>
      <c r="I19" s="49" t="inlineStr">
        <is>
          <t>Schedule</t>
        </is>
      </c>
      <c r="J19" s="53" t="n"/>
    </row>
    <row r="20">
      <c r="B20" s="52" t="n">
        <v>15</v>
      </c>
      <c r="C20" s="47" t="inlineStr">
        <is>
          <t>start_date</t>
        </is>
      </c>
      <c r="D20" s="47" t="inlineStr">
        <is>
          <t>Work Start</t>
        </is>
      </c>
      <c r="E20" s="47" t="inlineStr">
        <is>
          <t>2016-09-01</t>
        </is>
      </c>
      <c r="F20" s="47" t="inlineStr">
        <is>
          <t>date</t>
        </is>
      </c>
      <c r="G20" s="47" t="inlineStr">
        <is>
          <t>Benchmark KPIs</t>
        </is>
      </c>
      <c r="H20" s="91" t="inlineStr">
        <is>
          <t>Verified</t>
        </is>
      </c>
      <c r="I20" s="47" t="inlineStr">
        <is>
          <t>2033 Job Detail Report.pdf (Sage Timberline, 04/03/2026, 191 pages)</t>
        </is>
      </c>
    </row>
    <row r="21">
      <c r="B21" s="79" t="n">
        <v>16</v>
      </c>
      <c r="C21" s="49" t="inlineStr">
        <is>
          <t>end_date</t>
        </is>
      </c>
      <c r="D21" s="49" t="inlineStr">
        <is>
          <t>Work End</t>
        </is>
      </c>
      <c r="E21" s="49" t="inlineStr">
        <is>
          <t>2018-11-16</t>
        </is>
      </c>
      <c r="F21" s="49" t="inlineStr">
        <is>
          <t>date</t>
        </is>
      </c>
      <c r="G21" s="49" t="inlineStr">
        <is>
          <t>Benchmark KPIs</t>
        </is>
      </c>
      <c r="H21" s="91" t="inlineStr">
        <is>
          <t>Verified</t>
        </is>
      </c>
      <c r="I21" s="49" t="inlineStr">
        <is>
          <t>2033 Job Detail Report.pdf (Sage Timberline, 04/03/2026, 191 pages)</t>
        </is>
      </c>
      <c r="J21" s="53" t="n"/>
    </row>
    <row r="22">
      <c r="B22" s="52" t="n">
        <v>17</v>
      </c>
      <c r="C22" s="47" t="inlineStr">
        <is>
          <t>duration_months</t>
        </is>
      </c>
      <c r="D22" s="47" t="inlineStr">
        <is>
          <t>Duration (months)</t>
        </is>
      </c>
      <c r="E22" s="69" t="n">
        <v>27</v>
      </c>
      <c r="F22" s="47" t="inlineStr">
        <is>
          <t>months</t>
        </is>
      </c>
      <c r="G22" s="47" t="inlineStr">
        <is>
          <t>Benchmark KPIs</t>
        </is>
      </c>
      <c r="H22" s="91" t="inlineStr">
        <is>
          <t>Verified</t>
        </is>
      </c>
      <c r="I22" s="85" t="inlineStr">
        <is>
          <t>Derived</t>
        </is>
      </c>
    </row>
    <row r="23">
      <c r="B23" s="79" t="n">
        <v>18</v>
      </c>
      <c r="C23" s="49" t="inlineStr">
        <is>
          <t>unit_count</t>
        </is>
      </c>
      <c r="D23" s="49" t="inlineStr">
        <is>
          <t>Unit Count</t>
        </is>
      </c>
      <c r="E23" s="79" t="n">
        <v>137</v>
      </c>
      <c r="F23" s="49" t="inlineStr">
        <is>
          <t>units</t>
        </is>
      </c>
      <c r="G23" s="49" t="inlineStr">
        <is>
          <t>Benchmark KPIs</t>
        </is>
      </c>
      <c r="H23" s="91" t="inlineStr">
        <is>
          <t>Verified</t>
        </is>
      </c>
      <c r="I23" s="49" t="inlineStr">
        <is>
          <t>Job Info</t>
        </is>
      </c>
      <c r="J23" s="53" t="n"/>
    </row>
    <row r="24">
      <c r="B24" s="52" t="n">
        <v>19</v>
      </c>
      <c r="C24" s="47" t="inlineStr">
        <is>
          <t>contract_original</t>
        </is>
      </c>
      <c r="D24" s="47" t="inlineStr">
        <is>
          <t>Contract Original</t>
        </is>
      </c>
      <c r="E24" s="76" t="n">
        <v>2504600</v>
      </c>
      <c r="F24" s="47" t="inlineStr">
        <is>
          <t>USD</t>
        </is>
      </c>
      <c r="G24" s="47" t="inlineStr">
        <is>
          <t>Benchmark KPIs</t>
        </is>
      </c>
      <c r="H24" s="91" t="inlineStr">
        <is>
          <t>Verified</t>
        </is>
      </c>
      <c r="I24" s="47" t="inlineStr">
        <is>
          <t>Vuecrest-One Way Plumbing Fully Executed 9.26.16.pdf</t>
        </is>
      </c>
    </row>
    <row r="25">
      <c r="B25" s="79" t="n">
        <v>20</v>
      </c>
      <c r="C25" s="49" t="inlineStr">
        <is>
          <t>contract_final</t>
        </is>
      </c>
      <c r="D25" s="49" t="inlineStr">
        <is>
          <t>Contract Final</t>
        </is>
      </c>
      <c r="E25" s="55" t="n">
        <v>2343188</v>
      </c>
      <c r="F25" s="49" t="inlineStr">
        <is>
          <t>USD</t>
        </is>
      </c>
      <c r="G25" s="49" t="inlineStr">
        <is>
          <t>Benchmark KPIs</t>
        </is>
      </c>
      <c r="H25" s="91" t="inlineStr">
        <is>
          <t>Verified</t>
        </is>
      </c>
      <c r="I25" s="49" t="inlineStr">
        <is>
          <t>2033 Job Detail Report.pdf (Sage Timberline, 04/03/2026, 191 pages)</t>
        </is>
      </c>
      <c r="J25" s="53" t="n"/>
    </row>
    <row r="26">
      <c r="B26" s="52" t="n">
        <v>21</v>
      </c>
      <c r="C26" s="47" t="inlineStr">
        <is>
          <t>change_orders_implied</t>
        </is>
      </c>
      <c r="D26" s="47" t="inlineStr">
        <is>
          <t>COs (implied)</t>
        </is>
      </c>
      <c r="E26" s="76" t="n">
        <v>-161412</v>
      </c>
      <c r="F26" s="47" t="inlineStr">
        <is>
          <t>USD</t>
        </is>
      </c>
      <c r="G26" s="47" t="inlineStr">
        <is>
          <t>Benchmark KPIs</t>
        </is>
      </c>
      <c r="H26" s="91" t="inlineStr">
        <is>
          <t>Verified</t>
        </is>
      </c>
      <c r="I26" s="47" t="inlineStr">
        <is>
          <t>2033 Job Detail Report.pdf (Sage Timberline, 04/03/2026, 191 pages)</t>
        </is>
      </c>
    </row>
    <row r="27">
      <c r="B27" s="79" t="n">
        <v>22</v>
      </c>
      <c r="C27" s="49" t="inlineStr">
        <is>
          <t>change_orders_documented</t>
        </is>
      </c>
      <c r="D27" s="49" t="inlineStr">
        <is>
          <t>COs (documented)</t>
        </is>
      </c>
      <c r="E27" s="55" t="n">
        <v>-160233</v>
      </c>
      <c r="F27" s="49" t="inlineStr">
        <is>
          <t>USD</t>
        </is>
      </c>
      <c r="G27" s="49" t="inlineStr">
        <is>
          <t>Benchmark KPIs</t>
        </is>
      </c>
      <c r="H27" s="91" t="inlineStr">
        <is>
          <t>Verified</t>
        </is>
      </c>
      <c r="I27" s="49" t="inlineStr">
        <is>
          <t>BUDGET TRANSFERS folder</t>
        </is>
      </c>
      <c r="J27" s="53" t="n"/>
    </row>
    <row r="28">
      <c r="B28" s="52" t="n">
        <v>23</v>
      </c>
      <c r="C28" s="47" t="inlineStr">
        <is>
          <t>co_count</t>
        </is>
      </c>
      <c r="D28" s="47" t="inlineStr">
        <is>
          <t>CO Count</t>
        </is>
      </c>
      <c r="E28" s="52" t="n">
        <v>18</v>
      </c>
      <c r="F28" s="47" t="inlineStr">
        <is>
          <t>count</t>
        </is>
      </c>
      <c r="G28" s="47" t="inlineStr">
        <is>
          <t>Change Log</t>
        </is>
      </c>
      <c r="H28" s="91" t="inlineStr">
        <is>
          <t>Verified</t>
        </is>
      </c>
      <c r="I28" s="47" t="inlineStr">
        <is>
          <t>Change Orders/CO_s/</t>
        </is>
      </c>
    </row>
    <row r="29">
      <c r="B29" s="79" t="n">
        <v>24</v>
      </c>
      <c r="C29" s="49" t="inlineStr">
        <is>
          <t>cor_count</t>
        </is>
      </c>
      <c r="D29" s="49" t="inlineStr">
        <is>
          <t>COR Count</t>
        </is>
      </c>
      <c r="E29" s="79" t="n">
        <v>33</v>
      </c>
      <c r="F29" s="49" t="inlineStr">
        <is>
          <t>count</t>
        </is>
      </c>
      <c r="G29" s="49" t="inlineStr">
        <is>
          <t>Change Log</t>
        </is>
      </c>
      <c r="H29" s="91" t="inlineStr">
        <is>
          <t>Verified</t>
        </is>
      </c>
      <c r="I29" s="49" t="inlineStr">
        <is>
          <t>Change Orders/COR_s/</t>
        </is>
      </c>
      <c r="J29" s="53" t="n"/>
    </row>
    <row r="30">
      <c r="B30" s="52" t="n">
        <v>25</v>
      </c>
      <c r="C30" s="47" t="inlineStr">
        <is>
          <t>co_pct</t>
        </is>
      </c>
      <c r="D30" s="47" t="inlineStr">
        <is>
          <t>CO % of Contract</t>
        </is>
      </c>
      <c r="E30" s="95" t="n">
        <v>-0.0644462189571189</v>
      </c>
      <c r="F30" s="47" t="inlineStr">
        <is>
          <t>%</t>
        </is>
      </c>
      <c r="G30" s="47" t="inlineStr">
        <is>
          <t>Benchmark KPIs</t>
        </is>
      </c>
      <c r="H30" s="91" t="inlineStr">
        <is>
          <t>Verified</t>
        </is>
      </c>
      <c r="I30" s="85" t="inlineStr">
        <is>
          <t>Derived</t>
        </is>
      </c>
    </row>
    <row r="31">
      <c r="B31" s="79" t="n">
        <v>26</v>
      </c>
      <c r="C31" s="49" t="inlineStr">
        <is>
          <t>revenue</t>
        </is>
      </c>
      <c r="D31" s="49" t="inlineStr">
        <is>
          <t>Revenue</t>
        </is>
      </c>
      <c r="E31" s="55" t="n">
        <v>2343188</v>
      </c>
      <c r="F31" s="49" t="inlineStr">
        <is>
          <t>USD</t>
        </is>
      </c>
      <c r="G31" s="49" t="inlineStr">
        <is>
          <t>Benchmark KPIs</t>
        </is>
      </c>
      <c r="H31" s="91" t="inlineStr">
        <is>
          <t>Verified</t>
        </is>
      </c>
      <c r="I31" s="49" t="inlineStr">
        <is>
          <t>2033 Job Detail Report.pdf (Sage Timberline, 04/03/2026, 191 pages)</t>
        </is>
      </c>
      <c r="J31" s="53" t="n"/>
    </row>
    <row r="32">
      <c r="B32" s="52" t="n">
        <v>27</v>
      </c>
      <c r="C32" s="47" t="inlineStr">
        <is>
          <t>direct_cost</t>
        </is>
      </c>
      <c r="D32" s="47" t="inlineStr">
        <is>
          <t>Direct Cost</t>
        </is>
      </c>
      <c r="E32" s="76" t="n">
        <v>1332680.44</v>
      </c>
      <c r="F32" s="47" t="inlineStr">
        <is>
          <t>USD</t>
        </is>
      </c>
      <c r="G32" s="47" t="inlineStr">
        <is>
          <t>Benchmark KPIs</t>
        </is>
      </c>
      <c r="H32" s="91" t="inlineStr">
        <is>
          <t>Verified</t>
        </is>
      </c>
      <c r="I32" s="47" t="inlineStr">
        <is>
          <t>2033 Job Detail Report.pdf (Sage Timberline, 04/03/2026, 191 pages)</t>
        </is>
      </c>
    </row>
    <row r="33">
      <c r="B33" s="79" t="n">
        <v>28</v>
      </c>
      <c r="C33" s="49" t="inlineStr">
        <is>
          <t>net_profit</t>
        </is>
      </c>
      <c r="D33" s="49" t="inlineStr">
        <is>
          <t>Net Profit</t>
        </is>
      </c>
      <c r="E33" s="55" t="n">
        <v>1010507.56</v>
      </c>
      <c r="F33" s="49" t="inlineStr">
        <is>
          <t>USD</t>
        </is>
      </c>
      <c r="G33" s="49" t="inlineStr">
        <is>
          <t>Benchmark KPIs</t>
        </is>
      </c>
      <c r="H33" s="91" t="inlineStr">
        <is>
          <t>Verified</t>
        </is>
      </c>
      <c r="I33" s="49" t="inlineStr">
        <is>
          <t>2033 Job Detail Report.pdf (Sage Timberline, 04/03/2026, 191 pages)</t>
        </is>
      </c>
      <c r="J33" s="53" t="n"/>
    </row>
    <row r="34">
      <c r="B34" s="52" t="n">
        <v>29</v>
      </c>
      <c r="C34" s="47" t="inlineStr">
        <is>
          <t>gross_margin</t>
        </is>
      </c>
      <c r="D34" s="47" t="inlineStr">
        <is>
          <t>Gross Margin</t>
        </is>
      </c>
      <c r="E34" s="95" t="n">
        <v>0.4312533010582164</v>
      </c>
      <c r="F34" s="47" t="inlineStr">
        <is>
          <t>%</t>
        </is>
      </c>
      <c r="G34" s="47" t="inlineStr">
        <is>
          <t>Benchmark KPIs</t>
        </is>
      </c>
      <c r="H34" s="91" t="inlineStr">
        <is>
          <t>Verified</t>
        </is>
      </c>
      <c r="I34" s="85" t="inlineStr">
        <is>
          <t>Derived</t>
        </is>
      </c>
    </row>
    <row r="35">
      <c r="B35" s="79" t="n">
        <v>30</v>
      </c>
      <c r="C35" s="49" t="inlineStr">
        <is>
          <t>retainage</t>
        </is>
      </c>
      <c r="D35" s="49" t="inlineStr">
        <is>
          <t>Retainage Outstanding</t>
        </is>
      </c>
      <c r="E35" s="55" t="n">
        <v>114309.4</v>
      </c>
      <c r="F35" s="49" t="inlineStr">
        <is>
          <t>USD</t>
        </is>
      </c>
      <c r="G35" s="49" t="inlineStr">
        <is>
          <t>Benchmark KPIs</t>
        </is>
      </c>
      <c r="H35" s="91" t="inlineStr">
        <is>
          <t>Verified</t>
        </is>
      </c>
      <c r="I35" s="49" t="inlineStr">
        <is>
          <t>2033 Job Detail Report.pdf (Sage Timberline, 04/03/2026, 191 pages)</t>
        </is>
      </c>
      <c r="J35" s="53" t="n"/>
    </row>
    <row r="36">
      <c r="B36" s="52" t="n">
        <v>31</v>
      </c>
      <c r="C36" s="47" t="inlineStr">
        <is>
          <t>retainage_pct</t>
        </is>
      </c>
      <c r="D36" s="47" t="inlineStr">
        <is>
          <t>Retainage % of Revenue</t>
        </is>
      </c>
      <c r="E36" s="95" t="n">
        <v>0.04878370834947943</v>
      </c>
      <c r="F36" s="47" t="inlineStr">
        <is>
          <t>%</t>
        </is>
      </c>
      <c r="G36" s="47" t="inlineStr">
        <is>
          <t>Benchmark KPIs</t>
        </is>
      </c>
      <c r="H36" s="91" t="inlineStr">
        <is>
          <t>Verified</t>
        </is>
      </c>
      <c r="I36" s="85" t="inlineStr">
        <is>
          <t>Derived</t>
        </is>
      </c>
    </row>
    <row r="37">
      <c r="B37" s="79" t="n">
        <v>32</v>
      </c>
      <c r="C37" s="49" t="inlineStr">
        <is>
          <t>labor_cost</t>
        </is>
      </c>
      <c r="D37" s="49" t="inlineStr">
        <is>
          <t>Labor Cost</t>
        </is>
      </c>
      <c r="E37" s="55" t="n">
        <v>526277.63</v>
      </c>
      <c r="F37" s="49" t="inlineStr">
        <is>
          <t>USD</t>
        </is>
      </c>
      <c r="G37" s="49" t="inlineStr">
        <is>
          <t>Benchmark KPIs</t>
        </is>
      </c>
      <c r="H37" s="91" t="inlineStr">
        <is>
          <t>Verified</t>
        </is>
      </c>
      <c r="I37" s="49" t="inlineStr">
        <is>
          <t>2033 Job Detail Report.pdf (Sage Timberline, 04/03/2026, 191 pages)</t>
        </is>
      </c>
      <c r="J37" s="53" t="n"/>
    </row>
    <row r="38">
      <c r="B38" s="52" t="n">
        <v>33</v>
      </c>
      <c r="C38" s="47" t="inlineStr">
        <is>
          <t>material_cost</t>
        </is>
      </c>
      <c r="D38" s="47" t="inlineStr">
        <is>
          <t>Material Cost</t>
        </is>
      </c>
      <c r="E38" s="76" t="n">
        <v>460263.33</v>
      </c>
      <c r="F38" s="47" t="inlineStr">
        <is>
          <t>USD</t>
        </is>
      </c>
      <c r="G38" s="47" t="inlineStr">
        <is>
          <t>Benchmark KPIs</t>
        </is>
      </c>
      <c r="H38" s="91" t="inlineStr">
        <is>
          <t>Verified</t>
        </is>
      </c>
      <c r="I38" s="47" t="inlineStr">
        <is>
          <t>2033 Job Detail Report.pdf (Sage Timberline, 04/03/2026, 191 pages)</t>
        </is>
      </c>
    </row>
    <row r="39">
      <c r="B39" s="79" t="n">
        <v>34</v>
      </c>
      <c r="C39" s="49" t="inlineStr">
        <is>
          <t>overhead_cost</t>
        </is>
      </c>
      <c r="D39" s="49" t="inlineStr">
        <is>
          <t>Subcon+OH Cost</t>
        </is>
      </c>
      <c r="E39" s="55" t="n">
        <v>96283.24000000001</v>
      </c>
      <c r="F39" s="49" t="inlineStr">
        <is>
          <t>USD</t>
        </is>
      </c>
      <c r="G39" s="49" t="inlineStr">
        <is>
          <t>Benchmark KPIs</t>
        </is>
      </c>
      <c r="H39" s="91" t="inlineStr">
        <is>
          <t>Verified</t>
        </is>
      </c>
      <c r="I39" s="49" t="inlineStr">
        <is>
          <t>2033 Job Detail Report.pdf (Sage Timberline, 04/03/2026, 191 pages)</t>
        </is>
      </c>
      <c r="J39" s="53" t="n"/>
    </row>
    <row r="40">
      <c r="B40" s="52" t="n">
        <v>35</v>
      </c>
      <c r="C40" s="47" t="inlineStr">
        <is>
          <t>burden_cost</t>
        </is>
      </c>
      <c r="D40" s="47" t="inlineStr">
        <is>
          <t>Burden Cost</t>
        </is>
      </c>
      <c r="E40" s="76" t="n">
        <v>209595.74</v>
      </c>
      <c r="F40" s="47" t="inlineStr">
        <is>
          <t>USD</t>
        </is>
      </c>
      <c r="G40" s="47" t="inlineStr">
        <is>
          <t>Benchmark KPIs</t>
        </is>
      </c>
      <c r="H40" s="91" t="inlineStr">
        <is>
          <t>Verified</t>
        </is>
      </c>
      <c r="I40" s="47" t="inlineStr">
        <is>
          <t>2033 Job Detail Report.pdf (Sage Timberline, 04/03/2026, 191 pages)</t>
        </is>
      </c>
    </row>
    <row r="41">
      <c r="B41" s="79" t="n">
        <v>36</v>
      </c>
      <c r="C41" s="49" t="inlineStr">
        <is>
          <t>tax_cost</t>
        </is>
      </c>
      <c r="D41" s="49" t="inlineStr">
        <is>
          <t>Tax Cost</t>
        </is>
      </c>
      <c r="E41" s="55" t="n">
        <v>40260.5</v>
      </c>
      <c r="F41" s="49" t="inlineStr">
        <is>
          <t>USD</t>
        </is>
      </c>
      <c r="G41" s="49" t="inlineStr">
        <is>
          <t>Benchmark KPIs</t>
        </is>
      </c>
      <c r="H41" s="91" t="inlineStr">
        <is>
          <t>Verified</t>
        </is>
      </c>
      <c r="I41" s="49" t="inlineStr">
        <is>
          <t>2033 Job Detail Report.pdf (Sage Timberline, 04/03/2026, 191 pages)</t>
        </is>
      </c>
      <c r="J41" s="53" t="n"/>
    </row>
    <row r="42">
      <c r="B42" s="52" t="n">
        <v>37</v>
      </c>
      <c r="C42" s="47" t="inlineStr">
        <is>
          <t>total_hours</t>
        </is>
      </c>
      <c r="D42" s="47" t="inlineStr">
        <is>
          <t>Total Labor Hours</t>
        </is>
      </c>
      <c r="E42" s="69" t="n">
        <v>19509</v>
      </c>
      <c r="F42" s="47" t="inlineStr">
        <is>
          <t>hours</t>
        </is>
      </c>
      <c r="G42" s="47" t="inlineStr">
        <is>
          <t>Benchmark KPIs</t>
        </is>
      </c>
      <c r="H42" s="91" t="inlineStr">
        <is>
          <t>Verified</t>
        </is>
      </c>
      <c r="I42" s="47" t="inlineStr">
        <is>
          <t>2033 Job Detail Report.pdf (Sage Timberline, 04/03/2026, 191 pages)</t>
        </is>
      </c>
    </row>
    <row r="43">
      <c r="B43" s="79" t="n">
        <v>38</v>
      </c>
      <c r="C43" s="49" t="inlineStr">
        <is>
          <t>total_workers</t>
        </is>
      </c>
      <c r="D43" s="49" t="inlineStr">
        <is>
          <t>Total Workers</t>
        </is>
      </c>
      <c r="E43" s="79" t="n">
        <v>44</v>
      </c>
      <c r="F43" s="49" t="inlineStr">
        <is>
          <t>count</t>
        </is>
      </c>
      <c r="G43" s="49" t="inlineStr">
        <is>
          <t>Benchmark KPIs</t>
        </is>
      </c>
      <c r="H43" s="91" t="inlineStr">
        <is>
          <t>Verified</t>
        </is>
      </c>
      <c r="I43" s="49" t="inlineStr">
        <is>
          <t>2033 Job Detail Report.pdf (Sage Timberline, 04/03/2026, 191 pages)</t>
        </is>
      </c>
      <c r="J43" s="53" t="n"/>
    </row>
    <row r="44">
      <c r="B44" s="52" t="n">
        <v>39</v>
      </c>
      <c r="C44" s="47" t="inlineStr">
        <is>
          <t>blended_gross_wage</t>
        </is>
      </c>
      <c r="D44" s="47" t="inlineStr">
        <is>
          <t>Blended Gross Wage</t>
        </is>
      </c>
      <c r="E44" s="76" t="n">
        <v>26.97614588138808</v>
      </c>
      <c r="F44" s="47" t="inlineStr">
        <is>
          <t>USD/hr</t>
        </is>
      </c>
      <c r="G44" s="47" t="inlineStr">
        <is>
          <t>Benchmark KPIs</t>
        </is>
      </c>
      <c r="H44" s="91" t="inlineStr">
        <is>
          <t>Verified</t>
        </is>
      </c>
      <c r="I44" s="85" t="inlineStr">
        <is>
          <t>Derived</t>
        </is>
      </c>
    </row>
    <row r="45">
      <c r="B45" s="79" t="n">
        <v>40</v>
      </c>
      <c r="C45" s="49" t="inlineStr">
        <is>
          <t>fully_loaded_wage</t>
        </is>
      </c>
      <c r="D45" s="49" t="inlineStr">
        <is>
          <t>Fully-Loaded Wage</t>
        </is>
      </c>
      <c r="E45" s="55" t="n">
        <v>39.78337536521605</v>
      </c>
      <c r="F45" s="49" t="inlineStr">
        <is>
          <t>USD/hr</t>
        </is>
      </c>
      <c r="G45" s="49" t="inlineStr">
        <is>
          <t>Benchmark KPIs</t>
        </is>
      </c>
      <c r="H45" s="91" t="inlineStr">
        <is>
          <t>Verified</t>
        </is>
      </c>
      <c r="I45" s="85" t="inlineStr">
        <is>
          <t>Derived</t>
        </is>
      </c>
      <c r="J45" s="53" t="n"/>
    </row>
    <row r="46">
      <c r="B46" s="52" t="n">
        <v>41</v>
      </c>
      <c r="C46" s="47" t="inlineStr">
        <is>
          <t>burden_multiplier</t>
        </is>
      </c>
      <c r="D46" s="47" t="inlineStr">
        <is>
          <t>Burden Multiplier</t>
        </is>
      </c>
      <c r="E46" s="98" t="n">
        <v>1.474761277616911</v>
      </c>
      <c r="F46" s="47" t="inlineStr">
        <is>
          <t>x</t>
        </is>
      </c>
      <c r="G46" s="47" t="inlineStr">
        <is>
          <t>Benchmark KPIs</t>
        </is>
      </c>
      <c r="H46" s="91" t="inlineStr">
        <is>
          <t>Verified</t>
        </is>
      </c>
      <c r="I46" s="85" t="inlineStr">
        <is>
          <t>Derived</t>
        </is>
      </c>
    </row>
    <row r="47">
      <c r="B47" s="79" t="n">
        <v>42</v>
      </c>
      <c r="C47" s="49" t="inlineStr">
        <is>
          <t>revenue_per_hour</t>
        </is>
      </c>
      <c r="D47" s="49" t="inlineStr">
        <is>
          <t>Revenue per Hour</t>
        </is>
      </c>
      <c r="E47" s="55" t="n">
        <v>120.1080526936286</v>
      </c>
      <c r="F47" s="49" t="inlineStr">
        <is>
          <t>USD/hr</t>
        </is>
      </c>
      <c r="G47" s="49" t="inlineStr">
        <is>
          <t>Benchmark KPIs</t>
        </is>
      </c>
      <c r="H47" s="91" t="inlineStr">
        <is>
          <t>Verified</t>
        </is>
      </c>
      <c r="I47" s="85" t="inlineStr">
        <is>
          <t>Derived</t>
        </is>
      </c>
      <c r="J47" s="53" t="n"/>
    </row>
    <row r="48">
      <c r="B48" s="52" t="n">
        <v>43</v>
      </c>
      <c r="C48" s="47" t="inlineStr">
        <is>
          <t>profit_per_hour</t>
        </is>
      </c>
      <c r="D48" s="47" t="inlineStr">
        <is>
          <t>Profit per Hour</t>
        </is>
      </c>
      <c r="E48" s="76" t="n">
        <v>51.79699420780153</v>
      </c>
      <c r="F48" s="47" t="inlineStr">
        <is>
          <t>USD/hr</t>
        </is>
      </c>
      <c r="G48" s="47" t="inlineStr">
        <is>
          <t>Benchmark KPIs</t>
        </is>
      </c>
      <c r="H48" s="91" t="inlineStr">
        <is>
          <t>Verified</t>
        </is>
      </c>
      <c r="I48" s="85" t="inlineStr">
        <is>
          <t>Derived</t>
        </is>
      </c>
    </row>
    <row r="49">
      <c r="B49" s="79" t="n">
        <v>44</v>
      </c>
      <c r="C49" s="49" t="inlineStr">
        <is>
          <t>revenue_per_unit</t>
        </is>
      </c>
      <c r="D49" s="49" t="inlineStr">
        <is>
          <t>Revenue per Unit</t>
        </is>
      </c>
      <c r="E49" s="55" t="n">
        <v>17103.56204379562</v>
      </c>
      <c r="F49" s="49" t="inlineStr">
        <is>
          <t>USD</t>
        </is>
      </c>
      <c r="G49" s="49" t="inlineStr">
        <is>
          <t>Benchmark KPIs</t>
        </is>
      </c>
      <c r="H49" s="91" t="inlineStr">
        <is>
          <t>Verified</t>
        </is>
      </c>
      <c r="I49" s="85" t="inlineStr">
        <is>
          <t>Derived</t>
        </is>
      </c>
      <c r="J49" s="53" t="n"/>
    </row>
    <row r="50">
      <c r="B50" s="52" t="n">
        <v>45</v>
      </c>
      <c r="C50" s="47" t="inlineStr">
        <is>
          <t>cost_per_unit</t>
        </is>
      </c>
      <c r="D50" s="47" t="inlineStr">
        <is>
          <t>Direct Cost per Unit</t>
        </is>
      </c>
      <c r="E50" s="76" t="n">
        <v>9727.594452554744</v>
      </c>
      <c r="F50" s="47" t="inlineStr">
        <is>
          <t>USD</t>
        </is>
      </c>
      <c r="G50" s="47" t="inlineStr">
        <is>
          <t>Benchmark KPIs</t>
        </is>
      </c>
      <c r="H50" s="91" t="inlineStr">
        <is>
          <t>Verified</t>
        </is>
      </c>
      <c r="I50" s="85" t="inlineStr">
        <is>
          <t>Derived</t>
        </is>
      </c>
    </row>
    <row r="51">
      <c r="B51" s="79" t="n">
        <v>46</v>
      </c>
      <c r="C51" s="49" t="inlineStr">
        <is>
          <t>hours_per_unit</t>
        </is>
      </c>
      <c r="D51" s="49" t="inlineStr">
        <is>
          <t>Labor Hours per Unit</t>
        </is>
      </c>
      <c r="E51" s="56" t="n">
        <v>142.4014598540146</v>
      </c>
      <c r="F51" s="49" t="inlineStr">
        <is>
          <t>hours</t>
        </is>
      </c>
      <c r="G51" s="49" t="inlineStr">
        <is>
          <t>Benchmark KPIs</t>
        </is>
      </c>
      <c r="H51" s="91" t="inlineStr">
        <is>
          <t>Verified</t>
        </is>
      </c>
      <c r="I51" s="85" t="inlineStr">
        <is>
          <t>Derived</t>
        </is>
      </c>
      <c r="J51" s="53" t="n"/>
    </row>
    <row r="52">
      <c r="B52" s="52" t="n">
        <v>47</v>
      </c>
      <c r="C52" s="47" t="inlineStr">
        <is>
          <t>labor_pct_revenue</t>
        </is>
      </c>
      <c r="D52" s="47" t="inlineStr">
        <is>
          <t>Labor % of Revenue</t>
        </is>
      </c>
      <c r="E52" s="95" t="n">
        <v>0.2245989779735984</v>
      </c>
      <c r="F52" s="47" t="inlineStr">
        <is>
          <t>%</t>
        </is>
      </c>
      <c r="G52" s="47" t="inlineStr">
        <is>
          <t>Benchmark KPIs</t>
        </is>
      </c>
      <c r="H52" s="91" t="inlineStr">
        <is>
          <t>Verified</t>
        </is>
      </c>
      <c r="I52" s="85" t="inlineStr">
        <is>
          <t>Derived</t>
        </is>
      </c>
    </row>
    <row r="53">
      <c r="B53" s="79" t="n">
        <v>48</v>
      </c>
      <c r="C53" s="49" t="inlineStr">
        <is>
          <t>material_pct_revenue</t>
        </is>
      </c>
      <c r="D53" s="49" t="inlineStr">
        <is>
          <t>Material % of Revenue</t>
        </is>
      </c>
      <c r="E53" s="93" t="n">
        <v>0.1964261211648404</v>
      </c>
      <c r="F53" s="49" t="inlineStr">
        <is>
          <t>%</t>
        </is>
      </c>
      <c r="G53" s="49" t="inlineStr">
        <is>
          <t>Benchmark KPIs</t>
        </is>
      </c>
      <c r="H53" s="91" t="inlineStr">
        <is>
          <t>Verified</t>
        </is>
      </c>
      <c r="I53" s="85" t="inlineStr">
        <is>
          <t>Derived</t>
        </is>
      </c>
      <c r="J53" s="53" t="n"/>
    </row>
    <row r="54">
      <c r="B54" s="52" t="n">
        <v>49</v>
      </c>
      <c r="C54" s="47" t="inlineStr">
        <is>
          <t>total_vendors</t>
        </is>
      </c>
      <c r="D54" s="47" t="inlineStr">
        <is>
          <t>Total Vendors (AP)</t>
        </is>
      </c>
      <c r="E54" s="52" t="n">
        <v>26</v>
      </c>
      <c r="F54" s="47" t="inlineStr">
        <is>
          <t>count</t>
        </is>
      </c>
      <c r="G54" s="47" t="inlineStr">
        <is>
          <t>Vendors</t>
        </is>
      </c>
      <c r="H54" s="91" t="inlineStr">
        <is>
          <t>Verified</t>
        </is>
      </c>
      <c r="I54" s="47" t="inlineStr">
        <is>
          <t>2033 Job Detail Report.pdf (Sage Timberline, 04/03/2026, 191 pages)</t>
        </is>
      </c>
    </row>
    <row r="55">
      <c r="B55" s="79" t="n">
        <v>50</v>
      </c>
      <c r="C55" s="49" t="inlineStr">
        <is>
          <t>total_invoices</t>
        </is>
      </c>
      <c r="D55" s="49" t="inlineStr">
        <is>
          <t>Total Invoices (AR)</t>
        </is>
      </c>
      <c r="E55" s="79" t="n">
        <v>30</v>
      </c>
      <c r="F55" s="49" t="inlineStr">
        <is>
          <t>count</t>
        </is>
      </c>
      <c r="G55" s="49" t="inlineStr">
        <is>
          <t>Billing &amp; SOV</t>
        </is>
      </c>
      <c r="H55" s="91" t="inlineStr">
        <is>
          <t>Verified</t>
        </is>
      </c>
      <c r="I55" s="49" t="inlineStr">
        <is>
          <t>2033 Job Detail Report.pdf (Sage Timberline, 04/03/2026, 191 pages)</t>
        </is>
      </c>
      <c r="J55" s="53" t="n"/>
    </row>
    <row r="56">
      <c r="B56" s="52" t="n">
        <v>51</v>
      </c>
      <c r="C56" s="47" t="inlineStr">
        <is>
          <t>rfi_count</t>
        </is>
      </c>
      <c r="D56" s="47" t="inlineStr">
        <is>
          <t>ASI-RFI Count</t>
        </is>
      </c>
      <c r="E56" s="52" t="n">
        <v>59</v>
      </c>
      <c r="F56" s="47" t="inlineStr">
        <is>
          <t>count</t>
        </is>
      </c>
      <c r="G56" s="47" t="inlineStr">
        <is>
          <t>Change Log</t>
        </is>
      </c>
      <c r="H56" s="91" t="inlineStr">
        <is>
          <t>Verified</t>
        </is>
      </c>
      <c r="I56" s="47" t="inlineStr">
        <is>
          <t>ASI-RFI folder</t>
        </is>
      </c>
    </row>
    <row r="57">
      <c r="B57" s="79" t="n">
        <v>52</v>
      </c>
      <c r="C57" s="49" t="inlineStr">
        <is>
          <t>submittal_count</t>
        </is>
      </c>
      <c r="D57" s="49" t="inlineStr">
        <is>
          <t>Submittal Count</t>
        </is>
      </c>
      <c r="E57" s="79" t="n">
        <v>22</v>
      </c>
      <c r="F57" s="49" t="inlineStr">
        <is>
          <t>count</t>
        </is>
      </c>
      <c r="G57" s="49" t="inlineStr">
        <is>
          <t>Change Log</t>
        </is>
      </c>
      <c r="H57" s="91" t="inlineStr">
        <is>
          <t>Verified</t>
        </is>
      </c>
      <c r="I57" s="49" t="inlineStr">
        <is>
          <t>Submittals</t>
        </is>
      </c>
      <c r="J57" s="53" t="n"/>
    </row>
    <row r="58">
      <c r="B58" s="52" t="n">
        <v>53</v>
      </c>
      <c r="C58" s="47" t="inlineStr">
        <is>
          <t>permit_count</t>
        </is>
      </c>
      <c r="D58" s="47" t="inlineStr">
        <is>
          <t>Permit Count</t>
        </is>
      </c>
      <c r="E58" s="52" t="n">
        <v>10</v>
      </c>
      <c r="F58" s="47" t="inlineStr">
        <is>
          <t>count</t>
        </is>
      </c>
      <c r="G58" s="47" t="inlineStr">
        <is>
          <t>Change Log</t>
        </is>
      </c>
      <c r="H58" s="91" t="inlineStr">
        <is>
          <t>Verified</t>
        </is>
      </c>
      <c r="I58" s="47" t="inlineStr">
        <is>
          <t>Permits</t>
        </is>
      </c>
    </row>
    <row r="59">
      <c r="B59" s="79" t="n">
        <v>54</v>
      </c>
      <c r="C59" s="49" t="inlineStr">
        <is>
          <t>po_count</t>
        </is>
      </c>
      <c r="D59" s="49" t="inlineStr">
        <is>
          <t>PO Count</t>
        </is>
      </c>
      <c r="E59" s="79" t="n">
        <v>231</v>
      </c>
      <c r="F59" s="49" t="inlineStr">
        <is>
          <t>count</t>
        </is>
      </c>
      <c r="G59" s="49" t="inlineStr">
        <is>
          <t>Change Log</t>
        </is>
      </c>
      <c r="H59" s="91" t="inlineStr">
        <is>
          <t>Verified</t>
        </is>
      </c>
      <c r="I59" s="49" t="inlineStr">
        <is>
          <t>POs</t>
        </is>
      </c>
      <c r="J59" s="53" t="n"/>
    </row>
    <row r="60">
      <c r="B60" s="52" t="n">
        <v>55</v>
      </c>
      <c r="C60" s="47" t="inlineStr">
        <is>
          <t>photo_count</t>
        </is>
      </c>
      <c r="D60" s="47" t="inlineStr">
        <is>
          <t>Photo Count</t>
        </is>
      </c>
      <c r="E60" s="52" t="n">
        <v>503</v>
      </c>
      <c r="F60" s="47" t="inlineStr">
        <is>
          <t>count</t>
        </is>
      </c>
      <c r="G60" s="47" t="inlineStr">
        <is>
          <t>—</t>
        </is>
      </c>
      <c r="H60" s="91" t="inlineStr">
        <is>
          <t>Verified</t>
        </is>
      </c>
      <c r="I60" s="47" t="inlineStr">
        <is>
          <t>Photos</t>
        </is>
      </c>
    </row>
    <row r="61">
      <c r="B61" s="79" t="n">
        <v>56</v>
      </c>
      <c r="C61" s="49" t="inlineStr">
        <is>
          <t>top_worker_hours_share</t>
        </is>
      </c>
      <c r="D61" s="49" t="inlineStr">
        <is>
          <t>Top Worker Hours Share</t>
        </is>
      </c>
      <c r="E61" s="93" t="n">
        <v>0.1329899020964683</v>
      </c>
      <c r="F61" s="49" t="inlineStr">
        <is>
          <t>%</t>
        </is>
      </c>
      <c r="G61" s="49" t="inlineStr">
        <is>
          <t>Crew Analytics</t>
        </is>
      </c>
      <c r="H61" s="91" t="inlineStr">
        <is>
          <t>Verified</t>
        </is>
      </c>
      <c r="I61" s="85" t="inlineStr">
        <is>
          <t>Derived</t>
        </is>
      </c>
      <c r="J61" s="53" t="n"/>
    </row>
    <row r="62">
      <c r="B62" s="52" t="n">
        <v>57</v>
      </c>
      <c r="C62" s="47" t="inlineStr">
        <is>
          <t>top5_worker_hours_share</t>
        </is>
      </c>
      <c r="D62" s="47" t="inlineStr">
        <is>
          <t>Top 5 Worker Hours Share</t>
        </is>
      </c>
      <c r="E62" s="95" t="n">
        <v>0.4688861551078989</v>
      </c>
      <c r="F62" s="47" t="inlineStr">
        <is>
          <t>%</t>
        </is>
      </c>
      <c r="G62" s="47" t="inlineStr">
        <is>
          <t>Crew Analytics</t>
        </is>
      </c>
      <c r="H62" s="91" t="inlineStr">
        <is>
          <t>Verified</t>
        </is>
      </c>
      <c r="I62" s="85" t="inlineStr">
        <is>
          <t>Derived</t>
        </is>
      </c>
    </row>
    <row r="63">
      <c r="B63" s="79" t="n">
        <v>58</v>
      </c>
      <c r="C63" s="49" t="inlineStr">
        <is>
          <t>cost_code_count</t>
        </is>
      </c>
      <c r="D63" s="49" t="inlineStr">
        <is>
          <t>Cost Codes Active</t>
        </is>
      </c>
      <c r="E63" s="79" t="n">
        <v>29</v>
      </c>
      <c r="F63" s="49" t="inlineStr">
        <is>
          <t>count</t>
        </is>
      </c>
      <c r="G63" s="49" t="inlineStr">
        <is>
          <t>Budget vs Actual</t>
        </is>
      </c>
      <c r="H63" s="91" t="inlineStr">
        <is>
          <t>Verified</t>
        </is>
      </c>
      <c r="I63" s="49" t="inlineStr">
        <is>
          <t>2033 Job Detail Report.pdf (Sage Timberline, 04/03/2026, 191 pages)</t>
        </is>
      </c>
      <c r="J6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52" t="n">
        <v>1</v>
      </c>
      <c r="C6" s="47" t="inlineStr">
        <is>
          <t>Revenue (JDR) = Contract Final</t>
        </is>
      </c>
      <c r="D6" s="76" t="n">
        <v>2343188</v>
      </c>
      <c r="E6" s="76" t="n">
        <v>2343188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79" t="n">
        <v>2</v>
      </c>
      <c r="C7" s="49" t="inlineStr">
        <is>
          <t>Expenses = Labor+Material+OH+Burden+Tax</t>
        </is>
      </c>
      <c r="D7" s="55" t="n">
        <v>1332680.44</v>
      </c>
      <c r="E7" s="55" t="n">
        <v>1332680.44</v>
      </c>
      <c r="F7" s="71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52" t="n">
        <v>3</v>
      </c>
      <c r="C8" s="47" t="inlineStr">
        <is>
          <t>Net Profit = Revenue - Expenses</t>
        </is>
      </c>
      <c r="D8" s="76" t="n">
        <v>1010507.56</v>
      </c>
      <c r="E8" s="76" t="n">
        <v>1010507.56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79" t="n">
        <v>4</v>
      </c>
      <c r="C9" s="49" t="inlineStr">
        <is>
          <t>JDR Source: AP+PR+GL = Expenses</t>
        </is>
      </c>
      <c r="D9" s="55" t="n">
        <v>1332680.44</v>
      </c>
      <c r="E9" s="55" t="n">
        <v>1332680.44</v>
      </c>
      <c r="F9" s="71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52" t="n">
        <v>5</v>
      </c>
      <c r="C10" s="47" t="inlineStr">
        <is>
          <t>Budget vs Actual (code 999) = -Revenue</t>
        </is>
      </c>
      <c r="D10" s="76" t="n">
        <v>2343188</v>
      </c>
      <c r="E10" s="76" t="n">
        <v>2343188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79" t="n">
        <v>6</v>
      </c>
      <c r="C11" s="49" t="inlineStr">
        <is>
          <t>Total Labor Hours = Worker hours sum</t>
        </is>
      </c>
      <c r="D11" s="55" t="n">
        <v>19509</v>
      </c>
      <c r="E11" s="55" t="n">
        <v>19559</v>
      </c>
      <c r="F11" s="71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52" t="n">
        <v>7</v>
      </c>
      <c r="C12" s="47" t="inlineStr">
        <is>
          <t>Labor Cost ≈ Worker gross sum</t>
        </is>
      </c>
      <c r="D12" s="76" t="n">
        <v>526277.63</v>
      </c>
      <c r="E12" s="76" t="n">
        <v>522100.5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79" t="n">
        <v>8</v>
      </c>
      <c r="C13" s="49" t="inlineStr">
        <is>
          <t>Vendor total ≈ AP footer</t>
        </is>
      </c>
      <c r="D13" s="55" t="n">
        <v>490114.6600000001</v>
      </c>
      <c r="E13" s="55" t="n">
        <v>490114.66</v>
      </c>
      <c r="F13" s="71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52" t="n">
        <v>9</v>
      </c>
      <c r="C14" s="47" t="inlineStr">
        <is>
          <t>Invoice count</t>
        </is>
      </c>
      <c r="D14" s="52" t="n">
        <v>30</v>
      </c>
      <c r="E14" s="52" t="n">
        <v>30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</t>
        </is>
      </c>
    </row>
    <row r="15">
      <c r="B15" s="79" t="n">
        <v>10</v>
      </c>
      <c r="C15" s="49" t="inlineStr">
        <is>
          <t>Contract Final - Orig = CO implied</t>
        </is>
      </c>
      <c r="D15" s="55" t="n">
        <v>-161412</v>
      </c>
      <c r="E15" s="55" t="n">
        <v>-161412</v>
      </c>
      <c r="F15" s="71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52" t="n">
        <v>11</v>
      </c>
      <c r="C16" s="47" t="inlineStr">
        <is>
          <t>CO implied vs documented (gap = CO#18)</t>
        </is>
      </c>
      <c r="D16" s="76" t="n">
        <v>-161412</v>
      </c>
      <c r="E16" s="76" t="n">
        <v>-160233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Deductive 18th CO no BT</t>
        </is>
      </c>
    </row>
    <row r="17">
      <c r="B17" s="79" t="n">
        <v>12</v>
      </c>
      <c r="C17" s="49" t="inlineStr">
        <is>
          <t>Retainage outstanding</t>
        </is>
      </c>
      <c r="D17" s="55" t="n">
        <v>114309.4</v>
      </c>
      <c r="E17" s="55" t="n">
        <v>114309.4</v>
      </c>
      <c r="F17" s="71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52" t="n">
        <v>13</v>
      </c>
      <c r="C18" s="47" t="inlineStr">
        <is>
          <t>Worker count</t>
        </is>
      </c>
      <c r="D18" s="52" t="n">
        <v>44</v>
      </c>
      <c r="E18" s="52" t="n">
        <v>44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</t>
        </is>
      </c>
    </row>
    <row r="19">
      <c r="B19" s="79" t="n">
        <v>14</v>
      </c>
      <c r="C19" s="49" t="inlineStr">
        <is>
          <t>Cost code count</t>
        </is>
      </c>
      <c r="D19" s="79" t="n">
        <v>29</v>
      </c>
      <c r="E19" s="79" t="n">
        <v>29</v>
      </c>
      <c r="F19" s="71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#2033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2033 Job Detail Report.pdf (Sage Timberline, 04/03/2026, 191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$2,343,188.00 / Expenses $1,332,680.44 / Net $1,010,507.56 / Retainage $114,309.40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$66,431.91 · AP $490,114.66 · PR $776,133.87 · AR $2,343,188.00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Vuecrest-One Way Plumbing Fully Executed 9.26.16.pdf (Lump Sum $2,504,600.00 descoped to $2,343,188.00, Bellevue Vuecrest, LP (Developer: Continental))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Fixture schedule: Vuecrest P-tag and equipment list working copy.xlsx (137-unit luxury multifamily specification)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Plumbing narrative: Vuecrest plumbing narrative / Div 22 spec (Division 22 specification, City of Bellevue plumbing code + UPC with WA amendments)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Change Orders: 18 fully-executed COs; 17 Budget Transfer spreadsheets; 1,179 allocated to CO#18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Project Team: Ryan Ames / Vince Dennison (GC PM) · Todd Mortenson (GC Sup) · Dan Peck (GC PE) · Continental (Developer) · Victor (OWP RI Foreman)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Insurance: Wrap (OCIP) enrollment per Insurance/OCIP Enrollment.pdf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Financial reconciliation: GL + AP + PR = Expenses; AR = Revenue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TIES = within $1  ·  WITHIN = within 5%  ·  OFF = investigate</t>
        </is>
      </c>
      <c r="C34" s="6" t="n"/>
      <c r="D34" s="6" t="n"/>
      <c r="E34" s="6" t="n"/>
      <c r="F34" s="6" t="n"/>
      <c r="G34" s="6" t="n"/>
      <c r="H34" s="7" t="n"/>
    </row>
  </sheetData>
  <mergeCells count="14">
    <mergeCell ref="B32:H32"/>
    <mergeCell ref="B3:J3"/>
    <mergeCell ref="B28:H28"/>
    <mergeCell ref="B26:H26"/>
    <mergeCell ref="B27:H27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2026-04-17T00:59:14Z</dcterms:created>
  <dcterms:modified xmlns:dcterms="http://purl.org/dc/terms/" xmlns:xsi="http://www.w3.org/2001/XMLSchema-instance" xsi:type="dcterms:W3CDTF">2026-04-17T01:00:06Z</dcterms:modified>
</cp:coreProperties>
</file>