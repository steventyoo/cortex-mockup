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<sst xmlns="http://schemas.openxmlformats.org/spreadsheetml/2006/main" count="563" uniqueCount="433">
  <si>
    <t xml:space="preserve">OWP #2052 · Fifth &amp; Roy</t>
  </si>
  <si>
    <t xml:space="preserve">Farrell-McKenna Construction LLC · 107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</si>
  <si>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</si>
  <si>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</si>
  <si>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</si>
  <si>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</si>
  <si>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</si>
  <si>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</si>
  <si>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</si>
  <si>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</si>
  <si>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</si>
  <si>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</si>
  <si>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</si>
  <si>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</si>
  <si>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</si>
  <si>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</si>
  <si>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</si>
  <si>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</si>
  <si>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</si>
  <si>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</si>
  <si>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#2052 · FARRELL-McKENNA · FIFTH &amp; ROY — FULL PROJECT INFORMATION</t>
  </si>
  <si>
    <t xml:space="preserve">Sourced from executed Master Contract (#22-0000 / Project #17-100) + Job Ticket 7-25-2019 + GDrive folder scan</t>
  </si>
  <si>
    <t xml:space="preserve">IDENTITY</t>
  </si>
  <si>
    <t xml:space="preserve">OWP Job ID</t>
  </si>
  <si>
    <t xml:space="preserve">2052</t>
  </si>
  <si>
    <t xml:space="preserve">Project Name</t>
  </si>
  <si>
    <t xml:space="preserve">Fifth &amp; Roy</t>
  </si>
  <si>
    <t xml:space="preserve">GC Project Number</t>
  </si>
  <si>
    <t xml:space="preserve">17-100</t>
  </si>
  <si>
    <t xml:space="preserve">Subcontract Number</t>
  </si>
  <si>
    <t xml:space="preserve">22-0000</t>
  </si>
  <si>
    <t xml:space="preserve">Effective Date</t>
  </si>
  <si>
    <t xml:space="preserve">February 9, 2018</t>
  </si>
  <si>
    <t xml:space="preserve">Site Address</t>
  </si>
  <si>
    <t xml:space="preserve">701 5th Ave North, Seattle, WA 98109</t>
  </si>
  <si>
    <t xml:space="preserve">City</t>
  </si>
  <si>
    <t xml:space="preserve">Seattle (Lower Queen Anne)</t>
  </si>
  <si>
    <t xml:space="preserve">Ground-Floor Tenant</t>
  </si>
  <si>
    <t xml:space="preserve">Blarney Stone Irish pub (retail tenant)</t>
  </si>
  <si>
    <t xml:space="preserve">PROJECT TEAM — GENERAL CONTRACTOR</t>
  </si>
  <si>
    <t xml:space="preserve">GC Legal Name</t>
  </si>
  <si>
    <t xml:space="preserve">Farrell-McKenna Construction LLC</t>
  </si>
  <si>
    <t xml:space="preserve">GC Address</t>
  </si>
  <si>
    <t xml:space="preserve">17786 Des Moines Memorial Dr, Burien, WA 98148</t>
  </si>
  <si>
    <t xml:space="preserve">GC Phone</t>
  </si>
  <si>
    <t xml:space="preserve">(206) 241-2600</t>
  </si>
  <si>
    <t xml:space="preserve">GC Fax</t>
  </si>
  <si>
    <t xml:space="preserve">(206) 243-0654</t>
  </si>
  <si>
    <t xml:space="preserve">GC Contract Signatory</t>
  </si>
  <si>
    <t xml:space="preserve">Initials "CM" on contract pages (full name on Meeting Minutes — see GDrive)</t>
  </si>
  <si>
    <t xml:space="preserve">GC Project Manager</t>
  </si>
  <si>
    <t xml:space="preserve">TBD — see Meetings-Schedules folder for sub coordination meeting attendees</t>
  </si>
  <si>
    <t xml:space="preserve">GC Superintendent</t>
  </si>
  <si>
    <t xml:space="preserve">TBD</t>
  </si>
  <si>
    <t xml:space="preserve">GC Project Engineer</t>
  </si>
  <si>
    <t xml:space="preserve">Michael McKenna (referenced in 7/24/19 email re Lotus L6 sinks)</t>
  </si>
  <si>
    <t xml:space="preserve">GC Field Contact</t>
  </si>
  <si>
    <t xml:space="preserve">Joe (referenced in Job Ticket 6/6/19 re irrigation deduct meter)</t>
  </si>
  <si>
    <t xml:space="preserve">PROJECT TEAM — OWP (SUBCONTRACTOR)</t>
  </si>
  <si>
    <t xml:space="preserve">OWP Legal Name</t>
  </si>
  <si>
    <t xml:space="preserve">One Way Plumbing LLC</t>
  </si>
  <si>
    <t xml:space="preserve">OWP Address</t>
  </si>
  <si>
    <t xml:space="preserve">127 10th Street S, Suite 200, Kirkland, WA 98003</t>
  </si>
  <si>
    <t xml:space="preserve">OWP Phone</t>
  </si>
  <si>
    <t xml:space="preserve">(425) 968-8314</t>
  </si>
  <si>
    <t xml:space="preserve">OWP Email</t>
  </si>
  <si>
    <t xml:space="preserve">miked@owpllc.net</t>
  </si>
  <si>
    <t xml:space="preserve">OWP Contract Signatory</t>
  </si>
  <si>
    <t xml:space="preserve">Michael Donelson (initials MD on contract)</t>
  </si>
  <si>
    <t xml:space="preserve">OWP Contact (per contract)</t>
  </si>
  <si>
    <t xml:space="preserve">Michael Donelson</t>
  </si>
  <si>
    <t xml:space="preserve">OWP Top-Hours Foremen</t>
  </si>
  <si>
    <t xml:space="preserve">TBD — see Daily Reports / PR records (top hours: Frausto Mendoza Pedro 1,413; Wennig Johnathan 1,341; Velasquez Cruz Denis 1,340)</t>
  </si>
  <si>
    <t xml:space="preserve">OWP License #</t>
  </si>
  <si>
    <t xml:space="preserve">ONEWAWP895BU</t>
  </si>
  <si>
    <t xml:space="preserve">OWP State Tax ID</t>
  </si>
  <si>
    <t xml:space="preserve">603 078 218</t>
  </si>
  <si>
    <t xml:space="preserve">OWP Savings #</t>
  </si>
  <si>
    <t xml:space="preserve">138101826916</t>
  </si>
  <si>
    <t xml:space="preserve">PROJECT TEAM — OWNER</t>
  </si>
  <si>
    <t xml:space="preserve">Owner Legal Name</t>
  </si>
  <si>
    <t xml:space="preserve">Fifth North &amp; Roy LLC</t>
  </si>
  <si>
    <t xml:space="preserve">Owner Address</t>
  </si>
  <si>
    <t xml:space="preserve">17786 Des Moines Memorial Dr, Burien, WA 98148 (same address as GC — sister development entity)</t>
  </si>
  <si>
    <t xml:space="preserve">Owner Phone</t>
  </si>
  <si>
    <t xml:space="preserve">PROJECT TEAM — DESIGN</t>
  </si>
  <si>
    <t xml:space="preserve">Architect</t>
  </si>
  <si>
    <t xml:space="preserve">Hewitt Architects</t>
  </si>
  <si>
    <t xml:space="preserve">Architect Address</t>
  </si>
  <si>
    <t xml:space="preserve">101 Stewart Street, Suite 200, Seattle, WA 98101</t>
  </si>
  <si>
    <t xml:space="preserve">Architect Phone</t>
  </si>
  <si>
    <t xml:space="preserve">(206) 834-3821</t>
  </si>
  <si>
    <t xml:space="preserve">Civil Engineer</t>
  </si>
  <si>
    <t xml:space="preserve">KPFF Consulting Engineers</t>
  </si>
  <si>
    <t xml:space="preserve">Civil Address</t>
  </si>
  <si>
    <t xml:space="preserve">1601 Fifth Avenue, Suite 1600, Seattle, WA 98101</t>
  </si>
  <si>
    <t xml:space="preserve">Civil Phone</t>
  </si>
  <si>
    <t xml:space="preserve">(206) 622-5822</t>
  </si>
  <si>
    <t xml:space="preserve">Structural Engineer</t>
  </si>
  <si>
    <t xml:space="preserve">Bykonen Carter Quinn</t>
  </si>
  <si>
    <t xml:space="preserve">Structural Address</t>
  </si>
  <si>
    <t xml:space="preserve">820 John Street, Suite 201, Seattle, WA 98109</t>
  </si>
  <si>
    <t xml:space="preserve">Structural Phone</t>
  </si>
  <si>
    <t xml:space="preserve">(206) 264-7784</t>
  </si>
  <si>
    <t xml:space="preserve">MEP / Plumbing Engineer</t>
  </si>
  <si>
    <t xml:space="preserve">Rushing Engineering</t>
  </si>
  <si>
    <t xml:space="preserve">INSURANCE &amp; BONDING</t>
  </si>
  <si>
    <t xml:space="preserve">Bond Status</t>
  </si>
  <si>
    <t xml:space="preserve">Not Required (per contract Page 1)</t>
  </si>
  <si>
    <t xml:space="preserve">Insurance</t>
  </si>
  <si>
    <t xml:space="preserve">OWP carries own CGL/WC; Bond Not Required per contract</t>
  </si>
  <si>
    <t xml:space="preserve">CONTRACT &amp; FINANCIALS</t>
  </si>
  <si>
    <t xml:space="preserve">Original Contract</t>
  </si>
  <si>
    <t xml:space="preserve">$2,134,000 (Item 22-0000 Unit Trim, Rough-in, Building Plumbing Systems)</t>
  </si>
  <si>
    <t xml:space="preserve">Final Contract</t>
  </si>
  <si>
    <t xml:space="preserve">$2,231,035</t>
  </si>
  <si>
    <t xml:space="preserve">Net Change Orders</t>
  </si>
  <si>
    <t xml:space="preserve">+$97,035 net (+4.5%) — additive growth, healthy posture</t>
  </si>
  <si>
    <t xml:space="preserve">Retention Percentage</t>
  </si>
  <si>
    <t xml:space="preserve">5%</t>
  </si>
  <si>
    <t xml:space="preserve">Retention Held</t>
  </si>
  <si>
    <t xml:space="preserve">$111,551.75 (still held per JDR 04/03/2026 · 6+ yrs aged)</t>
  </si>
  <si>
    <t xml:space="preserve">WSST</t>
  </si>
  <si>
    <t xml:space="preserve">Item 00-0000 — Washington State Sales Tax (separately invoiced, N/A on contract)</t>
  </si>
  <si>
    <t xml:space="preserve">Schedule</t>
  </si>
  <si>
    <t xml:space="preserve">February 9, 2018 (contract effective) · first Sage PR Mar 23, 2018 → December 19, 2019 (last AR invoice 037460) · ~22 months</t>
  </si>
  <si>
    <t xml:space="preserve">SCOPE &amp; FIXTURES (per Job Ticket 7-25-2019)</t>
  </si>
  <si>
    <t xml:space="preserve">Plumbing Units</t>
  </si>
  <si>
    <t xml:space="preserve">Resident Unit Trim</t>
  </si>
  <si>
    <t xml:space="preserve">111 Toto CST743E elongated bowl toilets (Bemis 500EC seat) + 6 Toto CST744EL ADA elongated + 1 Toto CST744EFN.10#01 specialty (unit 217); 112 Kohler K2355 undercounter lavs + 6 K2882 ADA (Delta 559LF-PP faucet); 115 Fibercare ET60-32RTHC80S tub/shower stalls w/ Delta R10000MF + T14459 valve; 6 Delta 51549 ADA handheld showers; 1 white Bestbath 38" shower stall (R10000MF + T14259); 93 Blanco 235829 nested SS undercounter sinks (Type B, per approval 10/22/18); 5 Blanco 442079 SS sinks ADA; 8 Lotus 2718-10D L6 sinks Type B + 1 Type A (per Michael McKenna email 7/24/19); 107 Delta 9159-DST chrome kitchen faucets; 107 ISE Badger 1 1/3hp garbage disposals; 107 dishwasher rough-ins; 107 ice-maker box rough-ins; 107 washer rough-ins</t>
  </si>
  <si>
    <t xml:space="preserve">Amenity / Lobby Fixtures</t>
  </si>
  <si>
    <t xml:space="preserve">ASSE 1070 mixing valves at amenity lavs (scald protection); 4 Watts FD15 floor drains lobby/amenity restrooms; 4 Toto CST454 ADA toilets; 1 Kohler K-2330 lobby lav (Delta 559LF-BL-LPU black faucet w/grid strainer); 2 Kohler K-2210 L1 amenity lavs (Delta 559LF-BLLPU + Brizo RP72412BL grid); 1 K-2330 roof amenity (Delta 559LF-SSLPU + Delta RP6346SS grid); 4 Kohler K3894 SS sinks (media room, north/south rooftops, leasing); 1 lobby coffee bar; 4 ISE Badger 1 disposals at amenities; 4 dishwashers (rough/connect at amenities); refrigerator/icemaker rough-ins; 2 Mustee 63M mop sinks (Rooms 115 + 650, T&amp;S Brass B-0665-BSTR faucet); 1 Ridalco SS dog wash sink with pre-rinse; 1 Fitness Elkay LZSTL8WSSP drinking fountain w/ bottle filler</t>
  </si>
  <si>
    <t xml:space="preserve">Building Systems</t>
  </si>
  <si>
    <t xml:space="preserve">1 wvs/cw stub at 2 retail spaces; 1 common gas supply (1 earthquake valve + 3 water heaters + 2 rooftop fire pits + 2 rooftop BBQ + 1 rooftop amenity cooktop area B Room 610 + 1 rooftop amenity fireplace area A Room 611); rooftop HVAC TBD (Rushing shows 4, Mech shows less); 1 gas supply roughin from PSE meter; 4 gas submeters; 2 Woodford 24 keyless hosebibs garage mech rooms; 10 Woodford B65 frostproof keyless hose bibs ext; 2 Woodford yard hydrants rooftop; 1 Woodford hot/cold trash room; 3 Bock 399,000 BTU gas-fired condensing water heaters w/ PVC vent; 1 hot water expansion tank; 2 hot water circulating pumps w/ Tekmar pump control; 2 thermostatic master mixing valves; 2 Watts backflow valves DWS; 1 Watts pressure reducing; 1 duplex booster package (added per CO #2); 1 Watts backflow for irrigation; 1 deduct meter (per Joe conversation 6/6/19 — may be street-mounted, not procured)</t>
  </si>
  <si>
    <t xml:space="preserve">Drainage Systems</t>
  </si>
  <si>
    <t xml:space="preserve">1 Quality Concrete 36×36 sand/oil basin garage drainage; 1 type 241 concrete basin foundation drainage silt collection; SP-1 60" basin w/ duplex pumps garage floor drains; SP-2 72" basin w/ duplex pumps storm detention + foundation drains; SP-3 60" basin w/ duplex pumps deck drain + bio-retention storm; 1 foundation drain 4" Master Meter Octave Ultrasonic w/ Itron 100W ERT remote kit (in 60" basin); 1 PVC control structure detention vault; 1 NDS DS-090N trench drain w/ DS-232 grate; 9 Watts FD33/Proset P65X garage floor drains; 11 Watts FD15/ProSet P65X mech/trash/loading-dock drains; 12 deck drains Roy/5th Ave side (overflow check); 9 ballast roof drains units 411-415, 516, 602-605; 42 Watts cast iron drains w/ overflow + bio-retention SLOTTED piping per 12/L3.11; 16 Watts cast iron drains L2-L4 overflow; 7 Watts FD15 upper roof gutters per RFI-210; 26 Watts cast iron drains roof; 1 PVC foundation wall collector pipe per RFI #009 (excludes miradrain adaptors); 4 backwater valves L1 sanitary; 1 grease waste line stub for future TI</t>
  </si>
  <si>
    <t xml:space="preserve">Scope EXCLUDES (per ticket)</t>
  </si>
  <si>
    <t xml:space="preserve">Shoreline plumbing/gas/boiler permits/plan review (by owner). Excavation/backfill. Hoisting/concrete basin placement. Foundation/footing drains. HVAC condensate. Pump systems for storm/sanitary (gravity assumed). Unit meter jumpers (by others). Fire-rated tub/shower enclosures. Heat trace. Generator. Pipe protection bollards. Water heater housekeeping pad. Unit meters. Wash machine drain pans. Kitchen sink garbage disposals. Sewer hookup. Landscape irrigation. Exterior side sewers/storm sewers. Retentions above 5%. Bonding. WSST. Prevailing wage rates.</t>
  </si>
  <si>
    <t xml:space="preserve">Blarney Stone Retail Tenant</t>
  </si>
  <si>
    <t xml:space="preserve">Ground-floor retail tenant — separate Blarney Stone floor drain markup PDF/JPG on file (1122 plan revised)</t>
  </si>
  <si>
    <t xml:space="preserve">DOCUMENTS ON FILE (GDrive)</t>
  </si>
  <si>
    <t xml:space="preserve">Executed Master Contract</t>
  </si>
  <si>
    <t xml:space="preserve">One Way &amp; FMC - Master Contract - 5th &amp; Roy  FULLY EXECUTED.pdf (20 pages)</t>
  </si>
  <si>
    <t xml:space="preserve">Exhibit J&amp;K (SOV + Pay App)</t>
  </si>
  <si>
    <t xml:space="preserve">8 - ONE WAY Exhibit J&amp;K (Schedule of Values and Application for Payment).xls</t>
  </si>
  <si>
    <t xml:space="preserve">Exhibit L&amp;M (Release Forms)</t>
  </si>
  <si>
    <t xml:space="preserve">9 - ONE WAY Exhibit L&amp;M (Release on Progress Payment).xls</t>
  </si>
  <si>
    <t xml:space="preserve">Job Tickets</t>
  </si>
  <si>
    <t xml:space="preserve">10+ ticket revisions (Oct 2018 → Mar 2019, then 7-25-2019 latest)</t>
  </si>
  <si>
    <t xml:space="preserve">Latest Ticket</t>
  </si>
  <si>
    <t xml:space="preserve">Fifth and Roy job ticket 07-25-2019.pdf</t>
  </si>
  <si>
    <t xml:space="preserve">RFIs</t>
  </si>
  <si>
    <t xml:space="preserve">many (RFI #009, RFI #117, RFI #143, RFI #210 referenced in Job Ticket — full inventory in ASI-RFI/)</t>
  </si>
  <si>
    <t xml:space="preserve">ASIs</t>
  </si>
  <si>
    <t xml:space="preserve">see ASI-RFI/ folder</t>
  </si>
  <si>
    <t xml:space="preserve">Permits</t>
  </si>
  <si>
    <t xml:space="preserve">see Permits/ folder; Farrell McKenna Reseller Permit 2016-2018.pdf on file</t>
  </si>
  <si>
    <t xml:space="preserve">Vendor Subfolders</t>
  </si>
  <si>
    <t xml:space="preserve">Franklin 5th &amp; Roy (MEP design subfolder)</t>
  </si>
  <si>
    <t xml:space="preserve">GDrive Status</t>
  </si>
  <si>
    <t xml:space="preserve">Folder fully accessible at this run. Contract + ticket + change orders + permits all read-through.</t>
  </si>
  <si>
    <t xml:space="preserve">FIXTURE SCHEDULE (verified from Job Ticket)</t>
  </si>
  <si>
    <t xml:space="preserve">Sourced from latest Job Ticket. Two totals shown: 'Main' = standard plumbing-engineering fixture schedule (toilets + lavs + tub/showers + kitchen sinks + drinking fountains + mop sinks + dog wash + coffee bar). 'Inclusive' adds appliance rough-ins (dishwasher + washer + icemaker) and matches the 2020 dashboard convention.</t>
  </si>
  <si>
    <t xml:space="preserve">Toilets (water closets)</t>
  </si>
  <si>
    <t xml:space="preserve">Lavs (lavatory sinks)</t>
  </si>
  <si>
    <t xml:space="preserve">Tub/showers + handshowers</t>
  </si>
  <si>
    <t xml:space="preserve">Kitchen sinks</t>
  </si>
  <si>
    <t xml:space="preserve">Drinking fountains</t>
  </si>
  <si>
    <t xml:space="preserve">Mop sinks</t>
  </si>
  <si>
    <t xml:space="preserve">Dog-wash sink</t>
  </si>
  <si>
    <t xml:space="preserve">Lobby coffee bar</t>
  </si>
  <si>
    <t xml:space="preserve">MAIN FIXTURE TOTAL</t>
  </si>
  <si>
    <t xml:space="preserve">INCLUSIVE FIXTURE TOTAL (with appliance rough-ins)</t>
  </si>
  <si>
    <t xml:space="preserve">Main fixtures / unit: 4.50  ·  Inclusive / unit: 7.61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</si>
  <si>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</si>
  <si>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</si>
  <si>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</si>
  <si>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</si>
  <si>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</si>
  <si>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</si>
  <si>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</si>
  <si>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</si>
  <si>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</si>
  <si>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</si>
  <si>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</si>
  <si>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</si>
  <si>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</si>
  <si>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STATEMENT OF VALUES — SUMMARY</t>
  </si>
  <si>
    <t xml:space="preserve">Original Contract (Item 22-0000)</t>
  </si>
  <si>
    <t xml:space="preserve">WSST (Item 00-0000)</t>
  </si>
  <si>
    <t xml:space="preserve">N/A — separately invoiced</t>
  </si>
  <si>
    <t xml:space="preserve">Final Contract Value</t>
  </si>
  <si>
    <t xml:space="preserve">Total Billed to Date</t>
  </si>
  <si>
    <t xml:space="preserve">Retention Held (5%)</t>
  </si>
  <si>
    <t xml:space="preserve">Net Paid to OWP</t>
  </si>
  <si>
    <t xml:space="preserve">Percent Complete</t>
  </si>
  <si>
    <t xml:space="preserve">100.0%</t>
  </si>
  <si>
    <t xml:space="preserve">PAY APPLICATION DETAIL — DATA SOURCE</t>
  </si>
  <si>
    <t xml:space="preserve">Per-pay-app history lives in 2052-Farrell, 5th &amp; Roy/Billing/ on GDrive. JDR shows 12 distinct AR invoices Dec 2018 → Dec 2019 (037260, 037266, 037293, 037305, 037325, 037345, 037361, 037378, 037386, 037422, 037460). Contract uses Exhibit J&amp;K (Schedule of Values + App for Payment forms).</t>
  </si>
  <si>
    <t xml:space="preserve">Change Order Log</t>
  </si>
  <si>
    <t xml:space="preserve">CHANGE ORDER LOG — SOURCE: GDRIVE/CHANGE ORDERS/</t>
  </si>
  <si>
    <t xml:space="preserve">Net JDR delta: original $2,134,000 → final $2,231,035 = +$97,035 (+4.5% additive)</t>
  </si>
  <si>
    <t xml:space="preserve">#</t>
  </si>
  <si>
    <t xml:space="preserve">CO Reference</t>
  </si>
  <si>
    <t xml:space="preserve">Type</t>
  </si>
  <si>
    <t xml:space="preserve">CO #2</t>
  </si>
  <si>
    <t xml:space="preserve">Added duplex booster package at water entry room</t>
  </si>
  <si>
    <t xml:space="preserve">Owner-Directed</t>
  </si>
  <si>
    <t xml:space="preserve">Job Ticket 7-25-2019 line item</t>
  </si>
  <si>
    <t xml:space="preserve">RFI #009</t>
  </si>
  <si>
    <t xml:space="preserve">Foundation wall collector PVC pipe (excludes miradrain adaptors) per revised drawings</t>
  </si>
  <si>
    <t xml:space="preserve">Field/Coord</t>
  </si>
  <si>
    <t xml:space="preserve">Job Ticket 7-25-2019 (drainage section)</t>
  </si>
  <si>
    <t xml:space="preserve">RFI #210</t>
  </si>
  <si>
    <t xml:space="preserve">7 Watts FD15 drains for upper roof gutters</t>
  </si>
  <si>
    <t xml:space="preserve">Email 7/24/19</t>
  </si>
  <si>
    <t xml:space="preserve">Lotus 2718-10D L6 sinks (8 Type B + 1 Type A) per Michael McKenna</t>
  </si>
  <si>
    <t xml:space="preserve">Submittal</t>
  </si>
  <si>
    <t xml:space="preserve">Job Ticket 7-25-2019 line items</t>
  </si>
  <si>
    <t xml:space="preserve">Conv 6/6/19</t>
  </si>
  <si>
    <t xml:space="preserve">Deduct meter for irrigation water supply — meter may be street-mounted (no order)</t>
  </si>
  <si>
    <t xml:space="preserve">Job Ticket 7-25-2019 line item with handwritten note</t>
  </si>
  <si>
    <t xml:space="preserve">Approval 10/22/18</t>
  </si>
  <si>
    <t xml:space="preserve">Blanco 235829 nested SS undercounter sinks (replaces 518171 spec)</t>
  </si>
  <si>
    <t xml:space="preserve">GDRIVE CO INVENTORY NOTE</t>
  </si>
  <si>
    <t xml:space="preserve">Full CO/COR ledger in 2052-Farrell, 5th &amp; Roy/Change Orders/ folder. JDR-implied net is +$97,035 (+4.5%). The references above are CO/RFI mentions extracted from the Job Ticket; per-CO dollar amounts can be reconciled by reading the SCO/COR PDFs directly. Farrell McKenna Reseller Permit 2016-2018.pdf is also on file at the project root.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</si>
  <si>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</si>
  <si>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</si>
  <si>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</si>
  <si>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</si>
  <si>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</si>
  <si>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</si>
  <si>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</si>
  <si>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</si>
  <si>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</si>
  <si>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</si>
  <si>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</si>
  <si>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</si>
  <si>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</si>
  <si>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</si>
  <si>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</si>
  <si>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</si>
  <si>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</si>
  <si>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</si>
  <si>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</si>
  <si>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</si>
  <si>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</si>
  <si>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</si>
  <si>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</si>
  <si>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</si>
  <si>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</si>
  <si>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</si>
  <si>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</si>
  <si>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</si>
  <si>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</si>
  <si>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</si>
  <si>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</si>
  <si>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</si>
  <si>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</si>
  <si>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</si>
  <si>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</si>
  <si>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</si>
  <si>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</si>
  <si>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</si>
  <si>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</si>
  <si>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</si>
  <si>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</si>
  <si>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</si>
  <si>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251</t>
  </si>
  <si>
    <t xml:space="preserve">T&amp;M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</si>
  <si>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</si>
  <si>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</si>
  <si>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</si>
  <si>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</si>
  <si>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</si>
  <si>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</si>
  <si>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</si>
  <si>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</si>
  <si>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</si>
  <si>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</si>
  <si>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</si>
  <si>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</si>
  <si>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</si>
  <si>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</si>
  <si>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</si>
  <si>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</si>
  <si>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</si>
  <si>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</si>
  <si>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</si>
  <si>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</si>
  <si>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</si>
  <si>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</si>
  <si>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</si>
  <si>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</si>
  <si>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</si>
  <si>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</si>
  <si>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Status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</si>
  <si>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</si>
  <si>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</si>
  <si>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</si>
  <si>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</si>
  <si>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</si>
  <si>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Rosen Supply Kirkland</t>
  </si>
  <si>
    <t xml:space="preserve">Keller Supply Company</t>
  </si>
  <si>
    <t xml:space="preserve">Consolidated Supply Co.</t>
  </si>
  <si>
    <t xml:space="preserve">California Hydronics Corp</t>
  </si>
  <si>
    <t xml:space="preserve">Ferguson Enterprises, Inc. #3007</t>
  </si>
  <si>
    <t xml:space="preserve">Franklin Engineering</t>
  </si>
  <si>
    <t xml:space="preserve">Capital One Credit Card</t>
  </si>
  <si>
    <t xml:space="preserve">Quality Concrete Products, Inc. $32</t>
  </si>
  <si>
    <t xml:space="preserve">Patchworks, Inc.</t>
  </si>
  <si>
    <t xml:space="preserve">Rosen Supply Company, Inc. $Fifth &amp; Roy</t>
  </si>
  <si>
    <t xml:space="preserve">Mechanical Resource Services, Inc.</t>
  </si>
  <si>
    <t xml:space="preserve">Scan2Core, Inc.</t>
  </si>
  <si>
    <t xml:space="preserve">Consolidated Supply Co. $5th Roy</t>
  </si>
  <si>
    <t xml:space="preserve">Citibank Credit Card</t>
  </si>
  <si>
    <t xml:space="preserve">Lotus United, LLC</t>
  </si>
  <si>
    <t xml:space="preserve">Core &amp; Main LP $HD Supply Waterworks</t>
  </si>
  <si>
    <t xml:space="preserve">Best Bath Systems</t>
  </si>
  <si>
    <t xml:space="preserve">Sunbelt Rentals, Inc.</t>
  </si>
  <si>
    <t xml:space="preserve">DRSi</t>
  </si>
  <si>
    <t xml:space="preserve">Rosen Supply Company, Inc. $Reserve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</si>
  <si>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</si>
  <si>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</si>
  <si>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</si>
  <si>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</si>
  <si>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</si>
  <si>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</si>
  <si>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</si>
  <si>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Frausto Mendoza, Pedro</t>
  </si>
  <si>
    <t xml:space="preserve">JOURNEYMAN</t>
  </si>
  <si>
    <t xml:space="preserve">Wennig, Johnathan M</t>
  </si>
  <si>
    <t xml:space="preserve">Velasquez Cruz, Denis M</t>
  </si>
  <si>
    <t xml:space="preserve">Martinez Reyes, Juan C</t>
  </si>
  <si>
    <t xml:space="preserve">Velasquez Cruz, Osman N</t>
  </si>
  <si>
    <t xml:space="preserve">Waites, Thaddeus Z</t>
  </si>
  <si>
    <t xml:space="preserve">LEAD/SUPERVISOR</t>
  </si>
  <si>
    <t xml:space="preserve">Crespin Portillo, Juan D</t>
  </si>
  <si>
    <t xml:space="preserve">APPRENTICE/HELPER</t>
  </si>
  <si>
    <t xml:space="preserve">Ascencio, Jose L</t>
  </si>
  <si>
    <t xml:space="preserve">Cornejo Orellana, Carlos E</t>
  </si>
  <si>
    <t xml:space="preserve">Serrano, Jeremiah G</t>
  </si>
  <si>
    <t xml:space="preserve">Barnhart, Joseph N</t>
  </si>
  <si>
    <t xml:space="preserve">Garcia Perez, Ervey O</t>
  </si>
  <si>
    <t xml:space="preserve">Cruz Gonzalez, Julio C</t>
  </si>
  <si>
    <t xml:space="preserve">McCabe, Thomas C</t>
  </si>
  <si>
    <t xml:space="preserve">Gerard, Jordan E</t>
  </si>
  <si>
    <t xml:space="preserve">Cruz Reyes, Jose</t>
  </si>
  <si>
    <t xml:space="preserve">Gerard, Jeffrey S</t>
  </si>
  <si>
    <t xml:space="preserve">Jimenez Alvarenga, Gerson M</t>
  </si>
  <si>
    <t xml:space="preserve">Jimenez Montiel, Carlos A</t>
  </si>
  <si>
    <t xml:space="preserve">Donelson, Richard T</t>
  </si>
  <si>
    <t xml:space="preserve">Sanders, Allen O</t>
  </si>
  <si>
    <t xml:space="preserve">Kinssies, Jr, John E</t>
  </si>
  <si>
    <t xml:space="preserve">Villalobos Tejada, Carlos F</t>
  </si>
  <si>
    <t xml:space="preserve">Mendoza, Edgar E</t>
  </si>
  <si>
    <t xml:space="preserve">Hubbard, Robert W</t>
  </si>
  <si>
    <t xml:space="preserve">Taylor, Evan R</t>
  </si>
  <si>
    <t xml:space="preserve">Vazquez Popoca, Jose N</t>
  </si>
  <si>
    <t xml:space="preserve">Guerrero, Ali A</t>
  </si>
  <si>
    <t xml:space="preserve">Rodriguez Arevalos, Christian</t>
  </si>
  <si>
    <t xml:space="preserve">Trower-Kelly, Fidel D</t>
  </si>
  <si>
    <t xml:space="preserve">Sepulveda Gonzalez, Alfredo</t>
  </si>
  <si>
    <t xml:space="preserve">Wilson, Garret A</t>
  </si>
  <si>
    <t xml:space="preserve">Stahlschmidt, John P</t>
  </si>
  <si>
    <t xml:space="preserve">Eliassen, Cory H</t>
  </si>
  <si>
    <t xml:space="preserve">Mendoza Galdamez, Geovanny A</t>
  </si>
  <si>
    <t xml:space="preserve">Gauthier, Dillon R</t>
  </si>
  <si>
    <t xml:space="preserve">Roberts, Lake A</t>
  </si>
  <si>
    <t xml:space="preserve">OT-ONLY</t>
  </si>
  <si>
    <t xml:space="preserve">Barbosa, Michael S</t>
  </si>
  <si>
    <t xml:space="preserve">Mendoza Morales, Jesus A</t>
  </si>
  <si>
    <t xml:space="preserve">Wage Tier Distribution</t>
  </si>
  <si>
    <t xml:space="preserve"># Workers</t>
  </si>
  <si>
    <t xml:space="preserve">% of Hours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</si>
  <si>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</si>
  <si>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</si>
  <si>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</si>
  <si>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</si>
  <si>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</si>
  <si>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</si>
  <si>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</si>
  <si>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</si>
  <si>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</si>
  <si>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</si>
  <si>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</si>
  <si>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</si>
  <si>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</si>
  <si>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</si>
  <si>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</si>
  <si>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</si>
  <si>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Water Main/Insulation Lab (141) CRITICAL overrun</t>
  </si>
  <si>
    <t xml:space="preserve">⚠ WATCH</t>
  </si>
  <si>
    <t xml:space="preserve">Actual $117,138 vs revised $49,650 (+136%) — needs immediate attention</t>
  </si>
  <si>
    <t xml:space="preserve">Top vendor concentration (Rosen Supply Kirklan)</t>
  </si>
  <si>
    <t xml:space="preserve">✓ OK</t>
  </si>
  <si>
    <t xml:space="preserve">23% of AP ($110,030) — acceptable</t>
  </si>
  <si>
    <t xml:space="preserve">Retention aging</t>
  </si>
  <si>
    <t xml:space="preserve">$111,552 held · 5.0% of billed · standard range</t>
  </si>
  <si>
    <t xml:space="preserve">25.3%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</si>
  <si>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</si>
  <si>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</si>
  <si>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</si>
  <si>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</si>
  <si>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</si>
  <si>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</si>
  <si>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</si>
  <si>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</si>
  <si>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</si>
  <si>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</si>
  <si>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</si>
  <si>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</si>
  <si>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</si>
  <si>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</si>
  <si>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</si>
  <si>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</si>
  <si>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</si>
  <si>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</si>
  <si>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</si>
  <si>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</si>
  <si>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</si>
  <si>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</si>
  <si>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</si>
  <si>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</si>
  <si>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</si>
  <si>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</si>
  <si>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</si>
  <si>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</si>
  <si>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</si>
  <si>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</si>
  <si>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#2052 live project. 17-tab JCR schema on revised budget basis.</t>
  </si>
  <si>
    <t xml:space="preserve">v1.1 · enriched</t>
  </si>
  <si>
    <t xml:space="preserve">Patched by enrich_2052.py: filled SOV-PayApps and Change Orders tabs (were empty), expanded Job Info from 13 rows to 60+ rows of key-players + contract + permit + fixture detail. Source: executed Master Contract #22-0000 (Project #17-100) + Job Ticket 7-25-2019 + GDrive folder scan + JDR AR invoice ledger.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</si>
</sst>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AFAFA"/>
      </patternFill>
    </fill>
    <fill>
      <patternFill patternType="solid">
        <fgColor rgb="FFFFF8E7"/>
        <bgColor rgb="FFFAFAFA"/>
      </patternFill>
    </fill>
    <fill>
      <patternFill patternType="solid">
        <fgColor rgb="FF2C3E50"/>
        <bgColor rgb="FF2C2B29"/>
      </patternFill>
    </fill>
    <fill>
      <patternFill patternType="solid">
        <fgColor rgb="FFFAFAFA"/>
        <bgColor rgb="FFFFFFFF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2231035</v>
      </c>
    </row>
    <row r="6" customFormat="false" ht="15" hidden="false" customHeight="true" outlineLevel="0" collapsed="false">
      <c r="A6" s="5" t="s">
        <v>4</v>
      </c>
      <c r="B6" s="6" t="n">
        <v>1665799.11</v>
      </c>
    </row>
    <row r="7" customFormat="false" ht="15" hidden="false" customHeight="true" outlineLevel="0" collapsed="false">
      <c r="A7" s="5" t="s">
        <v>5</v>
      </c>
      <c r="B7" s="7" t="n">
        <f aca="false">B5-B6</f>
        <v>565235.89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0.253351422097816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2231035</v>
      </c>
    </row>
    <row r="12" customFormat="false" ht="15" hidden="false" customHeight="true" outlineLevel="0" collapsed="false">
      <c r="A12" s="5" t="s">
        <v>9</v>
      </c>
      <c r="B12" s="6" t="n">
        <v>111551.75</v>
      </c>
    </row>
    <row r="13" customFormat="false" ht="15" hidden="false" customHeight="true" outlineLevel="0" collapsed="false">
      <c r="A13" s="5" t="s">
        <v>10</v>
      </c>
      <c r="B13" s="7" t="n">
        <f aca="false">B11-B12</f>
        <v>2119483.25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58255.93</v>
      </c>
    </row>
    <row r="20" customFormat="false" ht="15" hidden="false" customHeight="true" outlineLevel="0" collapsed="false">
      <c r="A20" s="5" t="s">
        <v>17</v>
      </c>
      <c r="B20" s="10" t="n">
        <v>485225.95</v>
      </c>
    </row>
    <row r="21" customFormat="false" ht="15" hidden="false" customHeight="true" outlineLevel="0" collapsed="false">
      <c r="A21" s="5" t="s">
        <v>18</v>
      </c>
      <c r="B21" s="10" t="n">
        <v>673729.1</v>
      </c>
    </row>
    <row r="22" customFormat="false" ht="15" hidden="false" customHeight="true" outlineLevel="0" collapsed="false">
      <c r="A22" s="5" t="s">
        <v>19</v>
      </c>
      <c r="B22" s="10" t="n">
        <v>-2231035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5" min="3" style="1" width="22"/>
    <col collapsed="false" customWidth="true" hidden="false" outlineLevel="0" max="6" min="6" style="1" width="24"/>
  </cols>
  <sheetData>
    <row r="1" customFormat="false" ht="19.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5" t="s">
        <v>33</v>
      </c>
      <c r="B10" s="16" t="s">
        <v>34</v>
      </c>
      <c r="C10" s="16"/>
      <c r="D10" s="16"/>
      <c r="E10" s="16"/>
      <c r="F10" s="16"/>
    </row>
    <row r="11" customFormat="false" ht="15" hidden="false" customHeight="true" outlineLevel="0" collapsed="false">
      <c r="A11" s="15" t="s">
        <v>35</v>
      </c>
      <c r="B11" s="16" t="s">
        <v>36</v>
      </c>
      <c r="C11" s="16"/>
      <c r="D11" s="16"/>
      <c r="E11" s="16"/>
      <c r="F11" s="16"/>
    </row>
    <row r="12" customFormat="false" ht="15" hidden="false" customHeight="true" outlineLevel="0" collapsed="false">
      <c r="A12" s="15" t="s">
        <v>37</v>
      </c>
      <c r="B12" s="16" t="s">
        <v>38</v>
      </c>
      <c r="C12" s="16"/>
      <c r="D12" s="16"/>
      <c r="E12" s="16"/>
      <c r="F12" s="16"/>
    </row>
    <row r="13" customFormat="false" ht="15" hidden="false" customHeight="true" outlineLevel="0" collapsed="false">
      <c r="A13" s="13"/>
      <c r="B13" s="5"/>
    </row>
    <row r="14" customFormat="false" ht="15" hidden="false" customHeight="true" outlineLevel="0" collapsed="false">
      <c r="A14" s="14" t="s">
        <v>39</v>
      </c>
      <c r="B14" s="14"/>
      <c r="C14" s="14"/>
      <c r="D14" s="14"/>
      <c r="E14" s="14"/>
      <c r="F14" s="14"/>
    </row>
    <row r="15" customFormat="false" ht="15" hidden="false" customHeight="true" outlineLevel="0" collapsed="false">
      <c r="A15" s="15" t="s">
        <v>40</v>
      </c>
      <c r="B15" s="16" t="s">
        <v>41</v>
      </c>
      <c r="C15" s="16"/>
      <c r="D15" s="16"/>
      <c r="E15" s="16"/>
      <c r="F15" s="16"/>
    </row>
    <row r="16" customFormat="false" ht="15" hidden="false" customHeight="true" outlineLevel="0" collapsed="false">
      <c r="A16" s="15" t="s">
        <v>42</v>
      </c>
      <c r="B16" s="16" t="s">
        <v>43</v>
      </c>
      <c r="C16" s="16"/>
      <c r="D16" s="16"/>
      <c r="E16" s="16"/>
      <c r="F16" s="16"/>
    </row>
    <row r="17" customFormat="false" ht="15" hidden="false" customHeight="true" outlineLevel="0" collapsed="false">
      <c r="A17" s="15" t="s">
        <v>44</v>
      </c>
      <c r="B17" s="16" t="s">
        <v>45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46</v>
      </c>
      <c r="B18" s="16" t="s">
        <v>47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48</v>
      </c>
      <c r="B19" s="16" t="s">
        <v>49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50</v>
      </c>
      <c r="B20" s="16" t="s">
        <v>51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52</v>
      </c>
      <c r="B21" s="16" t="s">
        <v>53</v>
      </c>
      <c r="C21" s="16"/>
      <c r="D21" s="16"/>
      <c r="E21" s="16"/>
      <c r="F21" s="16"/>
    </row>
    <row r="22" customFormat="false" ht="15" hidden="false" customHeight="true" outlineLevel="0" collapsed="false">
      <c r="A22" s="15" t="s">
        <v>54</v>
      </c>
      <c r="B22" s="16" t="s">
        <v>55</v>
      </c>
      <c r="C22" s="16"/>
      <c r="D22" s="16"/>
      <c r="E22" s="16"/>
      <c r="F22" s="16"/>
    </row>
    <row r="23" customFormat="false" ht="15" hidden="false" customHeight="true" outlineLevel="0" collapsed="false">
      <c r="A23" s="15" t="s">
        <v>56</v>
      </c>
      <c r="B23" s="16" t="s">
        <v>57</v>
      </c>
      <c r="C23" s="16"/>
      <c r="D23" s="16"/>
      <c r="E23" s="16"/>
      <c r="F23" s="16"/>
    </row>
    <row r="25" customFormat="false" ht="15" hidden="false" customHeight="true" outlineLevel="0" collapsed="false">
      <c r="A25" s="14" t="s">
        <v>58</v>
      </c>
      <c r="B25" s="14"/>
      <c r="C25" s="14"/>
      <c r="D25" s="14"/>
      <c r="E25" s="14"/>
      <c r="F25" s="14"/>
    </row>
    <row r="26" customFormat="false" ht="15" hidden="false" customHeight="true" outlineLevel="0" collapsed="false">
      <c r="A26" s="15" t="s">
        <v>59</v>
      </c>
      <c r="B26" s="16" t="s">
        <v>60</v>
      </c>
      <c r="C26" s="16"/>
      <c r="D26" s="16"/>
      <c r="E26" s="16"/>
      <c r="F26" s="16"/>
    </row>
    <row r="27" customFormat="false" ht="15" hidden="false" customHeight="true" outlineLevel="0" collapsed="false">
      <c r="A27" s="15" t="s">
        <v>61</v>
      </c>
      <c r="B27" s="16" t="s">
        <v>62</v>
      </c>
      <c r="C27" s="16"/>
      <c r="D27" s="16"/>
      <c r="E27" s="16"/>
      <c r="F27" s="16"/>
    </row>
    <row r="28" customFormat="false" ht="15" hidden="false" customHeight="true" outlineLevel="0" collapsed="false">
      <c r="A28" s="15" t="s">
        <v>63</v>
      </c>
      <c r="B28" s="16" t="s">
        <v>64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65</v>
      </c>
      <c r="B29" s="16" t="s">
        <v>66</v>
      </c>
      <c r="C29" s="16"/>
      <c r="D29" s="16"/>
      <c r="E29" s="16"/>
      <c r="F29" s="16"/>
    </row>
    <row r="30" customFormat="false" ht="15" hidden="false" customHeight="true" outlineLevel="0" collapsed="false">
      <c r="A30" s="15" t="s">
        <v>67</v>
      </c>
      <c r="B30" s="16" t="s">
        <v>68</v>
      </c>
      <c r="C30" s="16"/>
      <c r="D30" s="16"/>
      <c r="E30" s="16"/>
      <c r="F30" s="16"/>
    </row>
    <row r="31" customFormat="false" ht="15" hidden="false" customHeight="true" outlineLevel="0" collapsed="false">
      <c r="A31" s="15" t="s">
        <v>69</v>
      </c>
      <c r="B31" s="16" t="s">
        <v>70</v>
      </c>
      <c r="C31" s="16"/>
      <c r="D31" s="16"/>
      <c r="E31" s="16"/>
      <c r="F31" s="16"/>
    </row>
    <row r="32" customFormat="false" ht="15" hidden="false" customHeight="true" outlineLevel="0" collapsed="false">
      <c r="A32" s="15" t="s">
        <v>71</v>
      </c>
      <c r="B32" s="16" t="s">
        <v>72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73</v>
      </c>
      <c r="B33" s="16" t="s">
        <v>74</v>
      </c>
      <c r="C33" s="16"/>
      <c r="D33" s="16"/>
      <c r="E33" s="16"/>
      <c r="F33" s="16"/>
    </row>
    <row r="34" customFormat="false" ht="15" hidden="false" customHeight="true" outlineLevel="0" collapsed="false">
      <c r="A34" s="15" t="s">
        <v>75</v>
      </c>
      <c r="B34" s="16" t="s">
        <v>76</v>
      </c>
      <c r="C34" s="16"/>
      <c r="D34" s="16"/>
      <c r="E34" s="16"/>
      <c r="F34" s="16"/>
    </row>
    <row r="35" customFormat="false" ht="15" hidden="false" customHeight="true" outlineLevel="0" collapsed="false">
      <c r="A35" s="15" t="s">
        <v>77</v>
      </c>
      <c r="B35" s="16" t="s">
        <v>78</v>
      </c>
      <c r="C35" s="16"/>
      <c r="D35" s="16"/>
      <c r="E35" s="16"/>
      <c r="F35" s="16"/>
    </row>
    <row r="37" customFormat="false" ht="15" hidden="false" customHeight="true" outlineLevel="0" collapsed="false">
      <c r="A37" s="14" t="s">
        <v>79</v>
      </c>
      <c r="B37" s="14"/>
      <c r="C37" s="14"/>
      <c r="D37" s="14"/>
      <c r="E37" s="14"/>
      <c r="F37" s="14"/>
    </row>
    <row r="38" customFormat="false" ht="15" hidden="false" customHeight="true" outlineLevel="0" collapsed="false">
      <c r="A38" s="15" t="s">
        <v>80</v>
      </c>
      <c r="B38" s="16" t="s">
        <v>81</v>
      </c>
      <c r="C38" s="16"/>
      <c r="D38" s="16"/>
      <c r="E38" s="16"/>
      <c r="F38" s="16"/>
    </row>
    <row r="39" customFormat="false" ht="15" hidden="false" customHeight="true" outlineLevel="0" collapsed="false">
      <c r="A39" s="15" t="s">
        <v>82</v>
      </c>
      <c r="B39" s="16" t="s">
        <v>83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84</v>
      </c>
      <c r="B40" s="16" t="s">
        <v>45</v>
      </c>
      <c r="C40" s="16"/>
      <c r="D40" s="16"/>
      <c r="E40" s="16"/>
      <c r="F40" s="16"/>
    </row>
    <row r="42" customFormat="false" ht="15" hidden="false" customHeight="true" outlineLevel="0" collapsed="false">
      <c r="A42" s="14" t="s">
        <v>85</v>
      </c>
      <c r="B42" s="14"/>
      <c r="C42" s="14"/>
      <c r="D42" s="14"/>
      <c r="E42" s="14"/>
      <c r="F42" s="14"/>
    </row>
    <row r="43" customFormat="false" ht="15" hidden="false" customHeight="true" outlineLevel="0" collapsed="false">
      <c r="A43" s="15" t="s">
        <v>86</v>
      </c>
      <c r="B43" s="16" t="s">
        <v>87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88</v>
      </c>
      <c r="B44" s="16" t="s">
        <v>89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90</v>
      </c>
      <c r="B45" s="16" t="s">
        <v>91</v>
      </c>
      <c r="C45" s="16"/>
      <c r="D45" s="16"/>
      <c r="E45" s="16"/>
      <c r="F45" s="16"/>
    </row>
    <row r="46" customFormat="false" ht="15" hidden="false" customHeight="true" outlineLevel="0" collapsed="false">
      <c r="A46" s="15" t="s">
        <v>92</v>
      </c>
      <c r="B46" s="16" t="s">
        <v>93</v>
      </c>
      <c r="C46" s="16"/>
      <c r="D46" s="16"/>
      <c r="E46" s="16"/>
      <c r="F46" s="16"/>
    </row>
    <row r="47" customFormat="false" ht="15" hidden="false" customHeight="true" outlineLevel="0" collapsed="false">
      <c r="A47" s="15" t="s">
        <v>94</v>
      </c>
      <c r="B47" s="16" t="s">
        <v>95</v>
      </c>
      <c r="C47" s="16"/>
      <c r="D47" s="16"/>
      <c r="E47" s="16"/>
      <c r="F47" s="16"/>
    </row>
    <row r="48" customFormat="false" ht="15" hidden="false" customHeight="true" outlineLevel="0" collapsed="false">
      <c r="A48" s="15" t="s">
        <v>96</v>
      </c>
      <c r="B48" s="16" t="s">
        <v>97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98</v>
      </c>
      <c r="B49" s="16" t="s">
        <v>99</v>
      </c>
      <c r="C49" s="16"/>
      <c r="D49" s="16"/>
      <c r="E49" s="16"/>
      <c r="F49" s="16"/>
    </row>
    <row r="50" customFormat="false" ht="15" hidden="false" customHeight="true" outlineLevel="0" collapsed="false">
      <c r="A50" s="15" t="s">
        <v>100</v>
      </c>
      <c r="B50" s="16" t="s">
        <v>101</v>
      </c>
      <c r="C50" s="16"/>
      <c r="D50" s="16"/>
      <c r="E50" s="16"/>
      <c r="F50" s="16"/>
    </row>
    <row r="51" customFormat="false" ht="15" hidden="false" customHeight="true" outlineLevel="0" collapsed="false">
      <c r="A51" s="15" t="s">
        <v>102</v>
      </c>
      <c r="B51" s="16" t="s">
        <v>103</v>
      </c>
      <c r="C51" s="16"/>
      <c r="D51" s="16"/>
      <c r="E51" s="16"/>
      <c r="F51" s="16"/>
    </row>
    <row r="52" customFormat="false" ht="15" hidden="false" customHeight="true" outlineLevel="0" collapsed="false">
      <c r="A52" s="15" t="s">
        <v>104</v>
      </c>
      <c r="B52" s="16" t="s">
        <v>105</v>
      </c>
      <c r="C52" s="16"/>
      <c r="D52" s="16"/>
      <c r="E52" s="16"/>
      <c r="F52" s="16"/>
    </row>
    <row r="54" customFormat="false" ht="15" hidden="false" customHeight="true" outlineLevel="0" collapsed="false">
      <c r="A54" s="14" t="s">
        <v>106</v>
      </c>
      <c r="B54" s="14"/>
      <c r="C54" s="14"/>
      <c r="D54" s="14"/>
      <c r="E54" s="14"/>
      <c r="F54" s="14"/>
    </row>
    <row r="55" customFormat="false" ht="15" hidden="false" customHeight="true" outlineLevel="0" collapsed="false">
      <c r="A55" s="15" t="s">
        <v>107</v>
      </c>
      <c r="B55" s="16" t="s">
        <v>108</v>
      </c>
      <c r="C55" s="16"/>
      <c r="D55" s="16"/>
      <c r="E55" s="16"/>
      <c r="F55" s="16"/>
    </row>
    <row r="56" customFormat="false" ht="15" hidden="false" customHeight="true" outlineLevel="0" collapsed="false">
      <c r="A56" s="15" t="s">
        <v>109</v>
      </c>
      <c r="B56" s="16" t="s">
        <v>110</v>
      </c>
      <c r="C56" s="16"/>
      <c r="D56" s="16"/>
      <c r="E56" s="16"/>
      <c r="F56" s="16"/>
    </row>
    <row r="58" customFormat="false" ht="15" hidden="false" customHeight="true" outlineLevel="0" collapsed="false">
      <c r="A58" s="14" t="s">
        <v>111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15" t="s">
        <v>112</v>
      </c>
      <c r="B59" s="16" t="s">
        <v>113</v>
      </c>
      <c r="C59" s="16"/>
      <c r="D59" s="16"/>
      <c r="E59" s="16"/>
      <c r="F59" s="16"/>
    </row>
    <row r="60" customFormat="false" ht="15" hidden="false" customHeight="true" outlineLevel="0" collapsed="false">
      <c r="A60" s="15" t="s">
        <v>114</v>
      </c>
      <c r="B60" s="16" t="s">
        <v>115</v>
      </c>
      <c r="C60" s="16"/>
      <c r="D60" s="16"/>
      <c r="E60" s="16"/>
      <c r="F60" s="16"/>
    </row>
    <row r="61" customFormat="false" ht="15" hidden="false" customHeight="true" outlineLevel="0" collapsed="false">
      <c r="A61" s="15" t="s">
        <v>116</v>
      </c>
      <c r="B61" s="16" t="s">
        <v>117</v>
      </c>
      <c r="C61" s="16"/>
      <c r="D61" s="16"/>
      <c r="E61" s="16"/>
      <c r="F61" s="16"/>
    </row>
    <row r="62" customFormat="false" ht="15" hidden="false" customHeight="true" outlineLevel="0" collapsed="false">
      <c r="A62" s="15" t="s">
        <v>118</v>
      </c>
      <c r="B62" s="16" t="s">
        <v>119</v>
      </c>
      <c r="C62" s="16"/>
      <c r="D62" s="16"/>
      <c r="E62" s="16"/>
      <c r="F62" s="16"/>
    </row>
    <row r="63" customFormat="false" ht="15" hidden="false" customHeight="true" outlineLevel="0" collapsed="false">
      <c r="A63" s="15" t="s">
        <v>120</v>
      </c>
      <c r="B63" s="16" t="s">
        <v>121</v>
      </c>
      <c r="C63" s="16"/>
      <c r="D63" s="16"/>
      <c r="E63" s="16"/>
      <c r="F63" s="16"/>
    </row>
    <row r="64" customFormat="false" ht="15" hidden="false" customHeight="true" outlineLevel="0" collapsed="false">
      <c r="A64" s="15" t="s">
        <v>122</v>
      </c>
      <c r="B64" s="16" t="s">
        <v>123</v>
      </c>
      <c r="C64" s="16"/>
      <c r="D64" s="16"/>
      <c r="E64" s="16"/>
      <c r="F64" s="16"/>
    </row>
    <row r="65" customFormat="false" ht="15" hidden="false" customHeight="true" outlineLevel="0" collapsed="false">
      <c r="A65" s="15" t="s">
        <v>124</v>
      </c>
      <c r="B65" s="16" t="s">
        <v>125</v>
      </c>
      <c r="C65" s="16"/>
      <c r="D65" s="16"/>
      <c r="E65" s="16"/>
      <c r="F65" s="16"/>
    </row>
    <row r="67" customFormat="false" ht="15" hidden="false" customHeight="true" outlineLevel="0" collapsed="false">
      <c r="A67" s="14" t="s">
        <v>126</v>
      </c>
      <c r="B67" s="14"/>
      <c r="C67" s="14"/>
      <c r="D67" s="14"/>
      <c r="E67" s="14"/>
      <c r="F67" s="14"/>
    </row>
    <row r="68" customFormat="false" ht="15" hidden="false" customHeight="true" outlineLevel="0" collapsed="false">
      <c r="A68" s="15" t="s">
        <v>127</v>
      </c>
      <c r="B68" s="16" t="n">
        <v>107</v>
      </c>
      <c r="C68" s="16"/>
      <c r="D68" s="16"/>
      <c r="E68" s="16"/>
      <c r="F68" s="16"/>
    </row>
    <row r="69" customFormat="false" ht="68.25" hidden="false" customHeight="true" outlineLevel="0" collapsed="false">
      <c r="A69" s="15" t="s">
        <v>128</v>
      </c>
      <c r="B69" s="16" t="s">
        <v>129</v>
      </c>
      <c r="C69" s="16"/>
      <c r="D69" s="16"/>
      <c r="E69" s="16"/>
      <c r="F69" s="16"/>
    </row>
    <row r="70" customFormat="false" ht="68.25" hidden="false" customHeight="true" outlineLevel="0" collapsed="false">
      <c r="A70" s="15" t="s">
        <v>130</v>
      </c>
      <c r="B70" s="16" t="s">
        <v>131</v>
      </c>
      <c r="C70" s="16"/>
      <c r="D70" s="16"/>
      <c r="E70" s="16"/>
      <c r="F70" s="16"/>
    </row>
    <row r="71" customFormat="false" ht="79.5" hidden="false" customHeight="true" outlineLevel="0" collapsed="false">
      <c r="A71" s="15" t="s">
        <v>132</v>
      </c>
      <c r="B71" s="16" t="s">
        <v>133</v>
      </c>
      <c r="C71" s="16"/>
      <c r="D71" s="16"/>
      <c r="E71" s="16"/>
      <c r="F71" s="16"/>
    </row>
    <row r="72" customFormat="false" ht="90.75" hidden="false" customHeight="true" outlineLevel="0" collapsed="false">
      <c r="A72" s="15" t="s">
        <v>134</v>
      </c>
      <c r="B72" s="16" t="s">
        <v>135</v>
      </c>
      <c r="C72" s="16"/>
      <c r="D72" s="16"/>
      <c r="E72" s="16"/>
      <c r="F72" s="16"/>
    </row>
    <row r="73" customFormat="false" ht="45.75" hidden="false" customHeight="true" outlineLevel="0" collapsed="false">
      <c r="A73" s="15" t="s">
        <v>136</v>
      </c>
      <c r="B73" s="16" t="s">
        <v>137</v>
      </c>
      <c r="C73" s="16"/>
      <c r="D73" s="16"/>
      <c r="E73" s="16"/>
      <c r="F73" s="16"/>
    </row>
    <row r="74" customFormat="false" ht="15" hidden="false" customHeight="true" outlineLevel="0" collapsed="false">
      <c r="A74" s="15" t="s">
        <v>138</v>
      </c>
      <c r="B74" s="16" t="s">
        <v>139</v>
      </c>
      <c r="C74" s="16"/>
      <c r="D74" s="16"/>
      <c r="E74" s="16"/>
      <c r="F74" s="16"/>
    </row>
    <row r="76" customFormat="false" ht="15" hidden="false" customHeight="true" outlineLevel="0" collapsed="false">
      <c r="A76" s="14" t="s">
        <v>140</v>
      </c>
      <c r="B76" s="14"/>
      <c r="C76" s="14"/>
      <c r="D76" s="14"/>
      <c r="E76" s="14"/>
      <c r="F76" s="14"/>
    </row>
    <row r="77" customFormat="false" ht="15" hidden="false" customHeight="true" outlineLevel="0" collapsed="false">
      <c r="A77" s="15" t="s">
        <v>141</v>
      </c>
      <c r="B77" s="16" t="s">
        <v>142</v>
      </c>
      <c r="C77" s="16"/>
      <c r="D77" s="16"/>
      <c r="E77" s="16"/>
      <c r="F77" s="16"/>
    </row>
    <row r="78" customFormat="false" ht="15" hidden="false" customHeight="true" outlineLevel="0" collapsed="false">
      <c r="A78" s="15" t="s">
        <v>143</v>
      </c>
      <c r="B78" s="16" t="s">
        <v>144</v>
      </c>
      <c r="C78" s="16"/>
      <c r="D78" s="16"/>
      <c r="E78" s="16"/>
      <c r="F78" s="16"/>
    </row>
    <row r="79" customFormat="false" ht="15" hidden="false" customHeight="true" outlineLevel="0" collapsed="false">
      <c r="A79" s="15" t="s">
        <v>145</v>
      </c>
      <c r="B79" s="16" t="s">
        <v>146</v>
      </c>
      <c r="C79" s="16"/>
      <c r="D79" s="16"/>
      <c r="E79" s="16"/>
      <c r="F79" s="16"/>
    </row>
    <row r="80" customFormat="false" ht="15" hidden="false" customHeight="true" outlineLevel="0" collapsed="false">
      <c r="A80" s="15" t="s">
        <v>147</v>
      </c>
      <c r="B80" s="16" t="s">
        <v>148</v>
      </c>
      <c r="C80" s="16"/>
      <c r="D80" s="16"/>
      <c r="E80" s="16"/>
      <c r="F80" s="16"/>
    </row>
    <row r="81" customFormat="false" ht="15" hidden="false" customHeight="true" outlineLevel="0" collapsed="false">
      <c r="A81" s="15" t="s">
        <v>149</v>
      </c>
      <c r="B81" s="16" t="s">
        <v>150</v>
      </c>
      <c r="C81" s="16"/>
      <c r="D81" s="16"/>
      <c r="E81" s="16"/>
      <c r="F81" s="16"/>
    </row>
    <row r="82" customFormat="false" ht="15" hidden="false" customHeight="true" outlineLevel="0" collapsed="false">
      <c r="A82" s="15" t="s">
        <v>151</v>
      </c>
      <c r="B82" s="16" t="s">
        <v>152</v>
      </c>
      <c r="C82" s="16"/>
      <c r="D82" s="16"/>
      <c r="E82" s="16"/>
      <c r="F82" s="16"/>
    </row>
    <row r="83" customFormat="false" ht="15" hidden="false" customHeight="true" outlineLevel="0" collapsed="false">
      <c r="A83" s="15" t="s">
        <v>153</v>
      </c>
      <c r="B83" s="16" t="s">
        <v>154</v>
      </c>
      <c r="C83" s="16"/>
      <c r="D83" s="16"/>
      <c r="E83" s="16"/>
      <c r="F83" s="16"/>
    </row>
    <row r="84" customFormat="false" ht="15" hidden="false" customHeight="true" outlineLevel="0" collapsed="false">
      <c r="A84" s="15" t="s">
        <v>155</v>
      </c>
      <c r="B84" s="16" t="s">
        <v>156</v>
      </c>
      <c r="C84" s="16"/>
      <c r="D84" s="16"/>
      <c r="E84" s="16"/>
      <c r="F84" s="16"/>
    </row>
    <row r="85" customFormat="false" ht="15" hidden="false" customHeight="true" outlineLevel="0" collapsed="false">
      <c r="A85" s="15" t="s">
        <v>157</v>
      </c>
      <c r="B85" s="16" t="s">
        <v>158</v>
      </c>
      <c r="C85" s="16"/>
      <c r="D85" s="16"/>
      <c r="E85" s="16"/>
      <c r="F85" s="16"/>
    </row>
    <row r="86" customFormat="false" ht="15" hidden="false" customHeight="true" outlineLevel="0" collapsed="false">
      <c r="A86" s="15" t="s">
        <v>159</v>
      </c>
      <c r="B86" s="16" t="s">
        <v>160</v>
      </c>
      <c r="C86" s="16"/>
      <c r="D86" s="16"/>
      <c r="E86" s="16"/>
      <c r="F86" s="16"/>
    </row>
    <row r="89" customFormat="false" ht="15" hidden="false" customHeight="false" outlineLevel="0" collapsed="false">
      <c r="A89" s="17" t="s">
        <v>161</v>
      </c>
      <c r="B89" s="17"/>
      <c r="C89" s="17"/>
      <c r="D89" s="17"/>
      <c r="E89" s="17"/>
      <c r="F89" s="17"/>
    </row>
    <row r="90" customFormat="false" ht="22.35" hidden="false" customHeight="true" outlineLevel="0" collapsed="false">
      <c r="A90" s="18" t="s">
        <v>162</v>
      </c>
      <c r="B90" s="18"/>
      <c r="C90" s="18"/>
      <c r="D90" s="18"/>
      <c r="E90" s="18"/>
      <c r="F90" s="18"/>
    </row>
    <row r="91" customFormat="false" ht="15" hidden="false" customHeight="false" outlineLevel="0" collapsed="false">
      <c r="A91" s="19" t="s">
        <v>163</v>
      </c>
      <c r="B91" s="20" t="n">
        <v>122</v>
      </c>
      <c r="C91" s="20"/>
      <c r="D91" s="20"/>
      <c r="E91" s="20"/>
      <c r="F91" s="20"/>
    </row>
    <row r="92" customFormat="false" ht="15" hidden="false" customHeight="false" outlineLevel="0" collapsed="false">
      <c r="A92" s="19" t="s">
        <v>164</v>
      </c>
      <c r="B92" s="20" t="n">
        <v>122</v>
      </c>
      <c r="C92" s="20"/>
      <c r="D92" s="20"/>
      <c r="E92" s="20"/>
      <c r="F92" s="20"/>
    </row>
    <row r="93" customFormat="false" ht="15" hidden="false" customHeight="false" outlineLevel="0" collapsed="false">
      <c r="A93" s="19" t="s">
        <v>165</v>
      </c>
      <c r="B93" s="20" t="n">
        <v>122</v>
      </c>
      <c r="C93" s="20"/>
      <c r="D93" s="20"/>
      <c r="E93" s="20"/>
      <c r="F93" s="20"/>
    </row>
    <row r="94" customFormat="false" ht="15" hidden="false" customHeight="false" outlineLevel="0" collapsed="false">
      <c r="A94" s="19" t="s">
        <v>166</v>
      </c>
      <c r="B94" s="20" t="n">
        <v>111</v>
      </c>
      <c r="C94" s="20"/>
      <c r="D94" s="20"/>
      <c r="E94" s="20"/>
      <c r="F94" s="20"/>
    </row>
    <row r="95" customFormat="false" ht="15" hidden="false" customHeight="false" outlineLevel="0" collapsed="false">
      <c r="A95" s="19" t="s">
        <v>167</v>
      </c>
      <c r="B95" s="20" t="n">
        <v>1</v>
      </c>
      <c r="C95" s="20"/>
      <c r="D95" s="20"/>
      <c r="E95" s="20"/>
      <c r="F95" s="20"/>
    </row>
    <row r="96" customFormat="false" ht="15" hidden="false" customHeight="false" outlineLevel="0" collapsed="false">
      <c r="A96" s="19" t="s">
        <v>168</v>
      </c>
      <c r="B96" s="20" t="n">
        <v>2</v>
      </c>
      <c r="C96" s="20"/>
      <c r="D96" s="20"/>
      <c r="E96" s="20"/>
      <c r="F96" s="20"/>
    </row>
    <row r="97" customFormat="false" ht="15" hidden="false" customHeight="false" outlineLevel="0" collapsed="false">
      <c r="A97" s="19" t="s">
        <v>169</v>
      </c>
      <c r="B97" s="20" t="n">
        <v>1</v>
      </c>
      <c r="C97" s="20"/>
      <c r="D97" s="20"/>
      <c r="E97" s="20"/>
      <c r="F97" s="20"/>
    </row>
    <row r="98" customFormat="false" ht="15" hidden="false" customHeight="false" outlineLevel="0" collapsed="false">
      <c r="A98" s="19" t="s">
        <v>170</v>
      </c>
      <c r="B98" s="20" t="n">
        <v>1</v>
      </c>
      <c r="C98" s="20"/>
      <c r="D98" s="20"/>
      <c r="E98" s="20"/>
      <c r="F98" s="20"/>
    </row>
    <row r="99" customFormat="false" ht="15" hidden="false" customHeight="false" outlineLevel="0" collapsed="false">
      <c r="A99" s="21" t="s">
        <v>171</v>
      </c>
      <c r="B99" s="21" t="n">
        <v>482</v>
      </c>
      <c r="C99" s="21"/>
      <c r="D99" s="21"/>
      <c r="E99" s="21"/>
      <c r="F99" s="21"/>
    </row>
    <row r="100" customFormat="false" ht="15" hidden="false" customHeight="false" outlineLevel="0" collapsed="false">
      <c r="A100" s="22" t="s">
        <v>172</v>
      </c>
      <c r="B100" s="22" t="n">
        <v>814</v>
      </c>
      <c r="C100" s="22"/>
      <c r="D100" s="22"/>
      <c r="E100" s="22"/>
      <c r="F100" s="22"/>
    </row>
    <row r="102" customFormat="false" ht="15" hidden="false" customHeight="false" outlineLevel="0" collapsed="false">
      <c r="A102" s="23" t="s">
        <v>173</v>
      </c>
      <c r="B102" s="23"/>
      <c r="C102" s="23"/>
      <c r="D102" s="23"/>
      <c r="E102" s="23"/>
      <c r="F102" s="23"/>
    </row>
  </sheetData>
  <mergeCells count="90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A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A37:F37"/>
    <mergeCell ref="B38:F38"/>
    <mergeCell ref="B39:F39"/>
    <mergeCell ref="B40:F40"/>
    <mergeCell ref="A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A54:F54"/>
    <mergeCell ref="B55:F55"/>
    <mergeCell ref="B56:F56"/>
    <mergeCell ref="A58:F58"/>
    <mergeCell ref="B59:F59"/>
    <mergeCell ref="B60:F60"/>
    <mergeCell ref="B61:F61"/>
    <mergeCell ref="B62:F62"/>
    <mergeCell ref="B63:F63"/>
    <mergeCell ref="B64:F64"/>
    <mergeCell ref="B65:F65"/>
    <mergeCell ref="A67:F67"/>
    <mergeCell ref="B68:F68"/>
    <mergeCell ref="B69:F69"/>
    <mergeCell ref="B70:F70"/>
    <mergeCell ref="B71:F71"/>
    <mergeCell ref="B72:F72"/>
    <mergeCell ref="B73:F73"/>
    <mergeCell ref="B74:F74"/>
    <mergeCell ref="A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A89:F89"/>
    <mergeCell ref="A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A102:F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174</v>
      </c>
    </row>
    <row r="3" customFormat="false" ht="15" hidden="false" customHeight="true" outlineLevel="0" collapsed="false">
      <c r="A3" s="24" t="s">
        <v>175</v>
      </c>
      <c r="B3" s="24" t="s">
        <v>176</v>
      </c>
      <c r="C3" s="24" t="s">
        <v>177</v>
      </c>
      <c r="D3" s="24" t="s">
        <v>178</v>
      </c>
    </row>
    <row r="4" customFormat="false" ht="15" hidden="false" customHeight="true" outlineLevel="0" collapsed="false">
      <c r="A4" s="5" t="s">
        <v>179</v>
      </c>
      <c r="B4" s="6" t="n">
        <v>2134000</v>
      </c>
      <c r="C4" s="6" t="n">
        <v>2231035</v>
      </c>
      <c r="D4" s="10" t="n">
        <f aca="false">C4-B4</f>
        <v>97035</v>
      </c>
    </row>
    <row r="5" customFormat="false" ht="15" hidden="false" customHeight="true" outlineLevel="0" collapsed="false">
      <c r="A5" s="5" t="s">
        <v>180</v>
      </c>
      <c r="B5" s="6" t="n">
        <v>0</v>
      </c>
      <c r="C5" s="6" t="n">
        <v>97035</v>
      </c>
      <c r="D5" s="10" t="n">
        <f aca="false">C5-B5</f>
        <v>97035</v>
      </c>
    </row>
    <row r="6" customFormat="false" ht="15" hidden="false" customHeight="true" outlineLevel="0" collapsed="false">
      <c r="A6" s="13" t="s">
        <v>181</v>
      </c>
      <c r="B6" s="7" t="n">
        <f aca="false">SUM(B4:B5)</f>
        <v>2134000</v>
      </c>
      <c r="C6" s="7" t="n">
        <f aca="false">SUM(C4:C5)</f>
        <v>2328070</v>
      </c>
      <c r="D6" s="7" t="n">
        <f aca="false">SUM(D4:D5)</f>
        <v>194070</v>
      </c>
    </row>
    <row r="9" customFormat="false" ht="15" hidden="false" customHeight="true" outlineLevel="0" collapsed="false">
      <c r="A9" s="4" t="s">
        <v>182</v>
      </c>
    </row>
    <row r="10" customFormat="false" ht="15" hidden="false" customHeight="true" outlineLevel="0" collapsed="false">
      <c r="A10" s="24" t="s">
        <v>183</v>
      </c>
      <c r="B10" s="24" t="s">
        <v>184</v>
      </c>
      <c r="C10" s="24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2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186</v>
      </c>
    </row>
    <row r="3" customFormat="false" ht="15" hidden="false" customHeight="true" outlineLevel="0" collapsed="false">
      <c r="A3" s="25"/>
      <c r="B3" s="25"/>
      <c r="C3" s="25"/>
      <c r="D3" s="25"/>
      <c r="E3" s="25"/>
      <c r="F3" s="25"/>
      <c r="G3" s="25"/>
    </row>
    <row r="4" customFormat="false" ht="15" hidden="false" customHeight="true" outlineLevel="0" collapsed="false">
      <c r="A4" s="26" t="s">
        <v>187</v>
      </c>
      <c r="B4" s="26"/>
      <c r="C4" s="26"/>
      <c r="D4" s="26"/>
      <c r="E4" s="26"/>
      <c r="F4" s="26"/>
      <c r="G4" s="26"/>
    </row>
    <row r="5" customFormat="false" ht="15" hidden="false" customHeight="true" outlineLevel="0" collapsed="false">
      <c r="A5" s="27" t="s">
        <v>188</v>
      </c>
      <c r="B5" s="28" t="n">
        <v>2134000</v>
      </c>
    </row>
    <row r="6" customFormat="false" ht="15" hidden="false" customHeight="true" outlineLevel="0" collapsed="false">
      <c r="A6" s="27" t="s">
        <v>189</v>
      </c>
      <c r="B6" s="28" t="s">
        <v>190</v>
      </c>
    </row>
    <row r="7" customFormat="false" ht="15" hidden="false" customHeight="true" outlineLevel="0" collapsed="false">
      <c r="A7" s="27" t="s">
        <v>116</v>
      </c>
      <c r="B7" s="28" t="n">
        <v>97035</v>
      </c>
    </row>
    <row r="8" customFormat="false" ht="15" hidden="false" customHeight="true" outlineLevel="0" collapsed="false">
      <c r="A8" s="27" t="s">
        <v>191</v>
      </c>
      <c r="B8" s="28" t="n">
        <v>2231035</v>
      </c>
    </row>
    <row r="9" customFormat="false" ht="15" hidden="false" customHeight="true" outlineLevel="0" collapsed="false">
      <c r="A9" s="27" t="s">
        <v>192</v>
      </c>
      <c r="B9" s="28" t="n">
        <v>2231035</v>
      </c>
    </row>
    <row r="10" customFormat="false" ht="15" hidden="false" customHeight="true" outlineLevel="0" collapsed="false">
      <c r="A10" s="27" t="s">
        <v>193</v>
      </c>
      <c r="B10" s="28" t="n">
        <v>111552</v>
      </c>
    </row>
    <row r="11" customFormat="false" ht="15" hidden="false" customHeight="true" outlineLevel="0" collapsed="false">
      <c r="A11" s="27" t="s">
        <v>194</v>
      </c>
      <c r="B11" s="28" t="n">
        <v>2119483</v>
      </c>
    </row>
    <row r="12" customFormat="false" ht="15" hidden="false" customHeight="true" outlineLevel="0" collapsed="false">
      <c r="A12" s="27" t="s">
        <v>195</v>
      </c>
      <c r="B12" s="28" t="s">
        <v>196</v>
      </c>
    </row>
    <row r="15" customFormat="false" ht="15" hidden="false" customHeight="true" outlineLevel="0" collapsed="false">
      <c r="A15" s="26" t="s">
        <v>197</v>
      </c>
      <c r="B15" s="26"/>
      <c r="C15" s="26"/>
      <c r="D15" s="26"/>
      <c r="E15" s="26"/>
      <c r="F15" s="26"/>
      <c r="G15" s="26"/>
    </row>
    <row r="16" customFormat="false" ht="21.75" hidden="false" customHeight="true" outlineLevel="0" collapsed="false">
      <c r="A16" s="18" t="s">
        <v>198</v>
      </c>
      <c r="B16" s="18"/>
      <c r="C16" s="18"/>
      <c r="D16" s="18"/>
      <c r="E16" s="18"/>
      <c r="F16" s="18"/>
      <c r="G16" s="18"/>
    </row>
  </sheetData>
  <mergeCells count="3">
    <mergeCell ref="A4:G4"/>
    <mergeCell ref="A15:G15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60"/>
    <col collapsed="false" customWidth="true" hidden="false" outlineLevel="0" max="4" min="4" style="1" width="18"/>
    <col collapsed="false" customWidth="true" hidden="false" outlineLevel="0" max="5" min="5" style="1" width="32"/>
  </cols>
  <sheetData>
    <row r="1" customFormat="false" ht="19.5" hidden="false" customHeight="true" outlineLevel="0" collapsed="false">
      <c r="A1" s="2" t="s">
        <v>199</v>
      </c>
    </row>
    <row r="3" customFormat="false" ht="15" hidden="false" customHeight="true" outlineLevel="0" collapsed="false">
      <c r="A3" s="25"/>
      <c r="B3" s="25"/>
      <c r="C3" s="25"/>
      <c r="D3" s="25"/>
      <c r="E3" s="25"/>
    </row>
    <row r="4" customFormat="false" ht="15" hidden="false" customHeight="true" outlineLevel="0" collapsed="false">
      <c r="A4" s="26" t="s">
        <v>200</v>
      </c>
      <c r="B4" s="26"/>
      <c r="C4" s="26"/>
      <c r="D4" s="26"/>
      <c r="E4" s="26"/>
    </row>
    <row r="5" customFormat="false" ht="15" hidden="false" customHeight="true" outlineLevel="0" collapsed="false">
      <c r="A5" s="12" t="s">
        <v>201</v>
      </c>
      <c r="B5" s="12"/>
      <c r="C5" s="12"/>
      <c r="D5" s="12"/>
      <c r="E5" s="12"/>
    </row>
    <row r="6" customFormat="false" ht="15" hidden="false" customHeight="true" outlineLevel="0" collapsed="false">
      <c r="A6" s="29" t="s">
        <v>202</v>
      </c>
      <c r="B6" s="29" t="s">
        <v>203</v>
      </c>
      <c r="C6" s="29" t="s">
        <v>184</v>
      </c>
      <c r="D6" s="29" t="s">
        <v>204</v>
      </c>
      <c r="E6" s="29" t="s">
        <v>14</v>
      </c>
    </row>
    <row r="7" customFormat="false" ht="15" hidden="false" customHeight="true" outlineLevel="0" collapsed="false">
      <c r="A7" s="30" t="n">
        <v>1</v>
      </c>
      <c r="B7" s="30" t="s">
        <v>205</v>
      </c>
      <c r="C7" s="30" t="s">
        <v>206</v>
      </c>
      <c r="D7" s="30" t="s">
        <v>207</v>
      </c>
      <c r="E7" s="30" t="s">
        <v>208</v>
      </c>
    </row>
    <row r="8" customFormat="false" ht="23.25" hidden="false" customHeight="true" outlineLevel="0" collapsed="false">
      <c r="A8" s="31" t="n">
        <v>2</v>
      </c>
      <c r="B8" s="31" t="s">
        <v>209</v>
      </c>
      <c r="C8" s="31" t="s">
        <v>210</v>
      </c>
      <c r="D8" s="31" t="s">
        <v>211</v>
      </c>
      <c r="E8" s="31" t="s">
        <v>212</v>
      </c>
    </row>
    <row r="9" customFormat="false" ht="23.25" hidden="false" customHeight="true" outlineLevel="0" collapsed="false">
      <c r="A9" s="30" t="n">
        <v>3</v>
      </c>
      <c r="B9" s="30" t="s">
        <v>213</v>
      </c>
      <c r="C9" s="30" t="s">
        <v>214</v>
      </c>
      <c r="D9" s="30" t="s">
        <v>211</v>
      </c>
      <c r="E9" s="30" t="s">
        <v>212</v>
      </c>
    </row>
    <row r="10" customFormat="false" ht="15" hidden="false" customHeight="true" outlineLevel="0" collapsed="false">
      <c r="A10" s="31" t="n">
        <v>4</v>
      </c>
      <c r="B10" s="31" t="s">
        <v>215</v>
      </c>
      <c r="C10" s="31" t="s">
        <v>216</v>
      </c>
      <c r="D10" s="31" t="s">
        <v>217</v>
      </c>
      <c r="E10" s="31" t="s">
        <v>218</v>
      </c>
    </row>
    <row r="11" customFormat="false" ht="23.25" hidden="false" customHeight="true" outlineLevel="0" collapsed="false">
      <c r="A11" s="30" t="n">
        <v>5</v>
      </c>
      <c r="B11" s="30" t="s">
        <v>219</v>
      </c>
      <c r="C11" s="30" t="s">
        <v>220</v>
      </c>
      <c r="D11" s="30" t="s">
        <v>211</v>
      </c>
      <c r="E11" s="30" t="s">
        <v>221</v>
      </c>
    </row>
    <row r="12" customFormat="false" ht="15" hidden="false" customHeight="true" outlineLevel="0" collapsed="false">
      <c r="A12" s="31" t="n">
        <v>6</v>
      </c>
      <c r="B12" s="31" t="s">
        <v>222</v>
      </c>
      <c r="C12" s="31" t="s">
        <v>223</v>
      </c>
      <c r="D12" s="31" t="s">
        <v>217</v>
      </c>
      <c r="E12" s="31" t="s">
        <v>208</v>
      </c>
    </row>
    <row r="14" customFormat="false" ht="15" hidden="false" customHeight="true" outlineLevel="0" collapsed="false">
      <c r="A14" s="26" t="s">
        <v>224</v>
      </c>
      <c r="B14" s="26"/>
      <c r="C14" s="26"/>
      <c r="D14" s="26"/>
      <c r="E14" s="26"/>
    </row>
    <row r="15" customFormat="false" ht="21.75" hidden="false" customHeight="true" outlineLevel="0" collapsed="false">
      <c r="A15" s="18" t="s">
        <v>225</v>
      </c>
      <c r="B15" s="18"/>
      <c r="C15" s="18"/>
      <c r="D15" s="18"/>
      <c r="E15" s="18"/>
    </row>
  </sheetData>
  <mergeCells count="4">
    <mergeCell ref="A4:E4"/>
    <mergeCell ref="A5:E5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226</v>
      </c>
    </row>
    <row r="3" customFormat="false" ht="15" hidden="false" customHeight="true" outlineLevel="0" collapsed="false">
      <c r="A3" s="24" t="s">
        <v>227</v>
      </c>
      <c r="B3" s="24" t="s">
        <v>184</v>
      </c>
      <c r="C3" s="24" t="s">
        <v>176</v>
      </c>
      <c r="D3" s="24" t="s">
        <v>177</v>
      </c>
      <c r="E3" s="24" t="s">
        <v>228</v>
      </c>
      <c r="F3" s="24" t="s">
        <v>229</v>
      </c>
      <c r="G3" s="24" t="s">
        <v>230</v>
      </c>
      <c r="H3" s="24" t="s">
        <v>231</v>
      </c>
    </row>
    <row r="4" customFormat="false" ht="15" hidden="false" customHeight="true" outlineLevel="0" collapsed="false">
      <c r="A4" s="5" t="s">
        <v>232</v>
      </c>
      <c r="B4" s="5" t="s">
        <v>233</v>
      </c>
      <c r="C4" s="6" t="n">
        <v>10700</v>
      </c>
      <c r="D4" s="6" t="n">
        <v>11000</v>
      </c>
      <c r="E4" s="6" t="n">
        <v>5783</v>
      </c>
      <c r="F4" s="10" t="n">
        <f aca="false">D4-E4</f>
        <v>5217</v>
      </c>
      <c r="G4" s="6" t="n">
        <v>0</v>
      </c>
      <c r="H4" s="32" t="n">
        <f aca="false">IFERROR(E4/D4,0)</f>
        <v>0.525727272727273</v>
      </c>
    </row>
    <row r="5" customFormat="false" ht="15" hidden="false" customHeight="true" outlineLevel="0" collapsed="false">
      <c r="A5" s="5" t="s">
        <v>234</v>
      </c>
      <c r="B5" s="5" t="s">
        <v>235</v>
      </c>
      <c r="C5" s="6" t="n">
        <v>18190</v>
      </c>
      <c r="D5" s="6" t="n">
        <v>20540</v>
      </c>
      <c r="E5" s="6" t="n">
        <v>12636.5</v>
      </c>
      <c r="F5" s="10" t="n">
        <f aca="false">D5-E5</f>
        <v>7903.5</v>
      </c>
      <c r="G5" s="6" t="n">
        <v>0</v>
      </c>
      <c r="H5" s="32" t="n">
        <f aca="false">IFERROR(E5/D5,0)</f>
        <v>0.615214216163583</v>
      </c>
    </row>
    <row r="6" customFormat="false" ht="15" hidden="false" customHeight="true" outlineLevel="0" collapsed="false">
      <c r="A6" s="5" t="s">
        <v>236</v>
      </c>
      <c r="B6" s="5" t="s">
        <v>237</v>
      </c>
      <c r="C6" s="6" t="n">
        <v>25825</v>
      </c>
      <c r="D6" s="6" t="n">
        <v>27925</v>
      </c>
      <c r="E6" s="6" t="n">
        <v>13156</v>
      </c>
      <c r="F6" s="10" t="n">
        <f aca="false">D6-E6</f>
        <v>14769</v>
      </c>
      <c r="G6" s="6" t="n">
        <v>0</v>
      </c>
      <c r="H6" s="32" t="n">
        <f aca="false">IFERROR(E6/D6,0)</f>
        <v>0.471119068934646</v>
      </c>
    </row>
    <row r="7" customFormat="false" ht="15" hidden="false" customHeight="true" outlineLevel="0" collapsed="false">
      <c r="A7" s="5" t="s">
        <v>238</v>
      </c>
      <c r="B7" s="5" t="s">
        <v>239</v>
      </c>
      <c r="C7" s="6" t="n">
        <v>110040</v>
      </c>
      <c r="D7" s="6" t="n">
        <v>113215</v>
      </c>
      <c r="E7" s="6" t="n">
        <v>33231</v>
      </c>
      <c r="F7" s="10" t="n">
        <f aca="false">D7-E7</f>
        <v>79984</v>
      </c>
      <c r="G7" s="6" t="n">
        <v>0</v>
      </c>
      <c r="H7" s="32" t="n">
        <f aca="false">IFERROR(E7/D7,0)</f>
        <v>0.293521176522546</v>
      </c>
    </row>
    <row r="8" customFormat="false" ht="15" hidden="false" customHeight="true" outlineLevel="0" collapsed="false">
      <c r="A8" s="5" t="s">
        <v>240</v>
      </c>
      <c r="B8" s="5" t="s">
        <v>241</v>
      </c>
      <c r="C8" s="6" t="n">
        <v>21300</v>
      </c>
      <c r="D8" s="6" t="n">
        <v>22040</v>
      </c>
      <c r="E8" s="6" t="n">
        <v>9800</v>
      </c>
      <c r="F8" s="10" t="n">
        <f aca="false">D8-E8</f>
        <v>12240</v>
      </c>
      <c r="G8" s="6" t="n">
        <v>0</v>
      </c>
      <c r="H8" s="32" t="n">
        <f aca="false">IFERROR(E8/D8,0)</f>
        <v>0.44464609800363</v>
      </c>
    </row>
    <row r="9" customFormat="false" ht="15" hidden="false" customHeight="true" outlineLevel="0" collapsed="false">
      <c r="A9" s="5" t="s">
        <v>242</v>
      </c>
      <c r="B9" s="5" t="s">
        <v>243</v>
      </c>
      <c r="C9" s="6" t="n">
        <v>195065</v>
      </c>
      <c r="D9" s="6" t="n">
        <v>211765</v>
      </c>
      <c r="E9" s="6" t="n">
        <v>201052.75</v>
      </c>
      <c r="F9" s="10" t="n">
        <f aca="false">D9-E9</f>
        <v>10712.25</v>
      </c>
      <c r="G9" s="6" t="n">
        <v>0</v>
      </c>
      <c r="H9" s="32" t="n">
        <f aca="false">IFERROR(E9/D9,0)</f>
        <v>0.949414445257715</v>
      </c>
    </row>
    <row r="10" customFormat="false" ht="15" hidden="false" customHeight="true" outlineLevel="0" collapsed="false">
      <c r="A10" s="5" t="s">
        <v>244</v>
      </c>
      <c r="B10" s="5" t="s">
        <v>245</v>
      </c>
      <c r="C10" s="6" t="n">
        <v>35640</v>
      </c>
      <c r="D10" s="6" t="n">
        <v>35780</v>
      </c>
      <c r="E10" s="6" t="n">
        <v>34751</v>
      </c>
      <c r="F10" s="10" t="n">
        <f aca="false">D10-E10</f>
        <v>1029</v>
      </c>
      <c r="G10" s="6" t="n">
        <v>0</v>
      </c>
      <c r="H10" s="32" t="n">
        <f aca="false">IFERROR(E10/D10,0)</f>
        <v>0.971240916713248</v>
      </c>
    </row>
    <row r="11" customFormat="false" ht="15" hidden="false" customHeight="true" outlineLevel="0" collapsed="false">
      <c r="A11" s="5" t="s">
        <v>246</v>
      </c>
      <c r="B11" s="5" t="s">
        <v>247</v>
      </c>
      <c r="C11" s="6" t="n">
        <v>9750</v>
      </c>
      <c r="D11" s="6" t="n">
        <v>10050</v>
      </c>
      <c r="E11" s="6" t="n">
        <v>4126.5</v>
      </c>
      <c r="F11" s="10" t="n">
        <f aca="false">D11-E11</f>
        <v>5923.5</v>
      </c>
      <c r="G11" s="6" t="n">
        <v>0</v>
      </c>
      <c r="H11" s="32" t="n">
        <f aca="false">IFERROR(E11/D11,0)</f>
        <v>0.410597014925373</v>
      </c>
    </row>
    <row r="12" customFormat="false" ht="15" hidden="false" customHeight="true" outlineLevel="0" collapsed="false">
      <c r="A12" s="5" t="s">
        <v>248</v>
      </c>
      <c r="B12" s="5" t="s">
        <v>249</v>
      </c>
      <c r="C12" s="6" t="n">
        <v>49650</v>
      </c>
      <c r="D12" s="6" t="n">
        <v>49650</v>
      </c>
      <c r="E12" s="6" t="n">
        <v>117138.5</v>
      </c>
      <c r="F12" s="10" t="n">
        <f aca="false">D12-E12</f>
        <v>-67488.5</v>
      </c>
      <c r="G12" s="6" t="n">
        <v>0</v>
      </c>
      <c r="H12" s="32" t="n">
        <f aca="false">IFERROR(E12/D12,0)</f>
        <v>2.35928499496475</v>
      </c>
    </row>
    <row r="13" customFormat="false" ht="15" hidden="false" customHeight="true" outlineLevel="0" collapsed="false">
      <c r="A13" s="5" t="s">
        <v>250</v>
      </c>
      <c r="B13" s="5" t="s">
        <v>251</v>
      </c>
      <c r="C13" s="6" t="n">
        <v>16000</v>
      </c>
      <c r="D13" s="6" t="n">
        <v>19000</v>
      </c>
      <c r="E13" s="6" t="n">
        <v>11567</v>
      </c>
      <c r="F13" s="10" t="n">
        <f aca="false">D13-E13</f>
        <v>7433</v>
      </c>
      <c r="G13" s="6" t="n">
        <v>0</v>
      </c>
      <c r="H13" s="32" t="n">
        <f aca="false">IFERROR(E13/D13,0)</f>
        <v>0.608789473684211</v>
      </c>
    </row>
    <row r="14" customFormat="false" ht="15" hidden="false" customHeight="true" outlineLevel="0" collapsed="false">
      <c r="A14" s="5" t="s">
        <v>252</v>
      </c>
      <c r="B14" s="5" t="s">
        <v>253</v>
      </c>
      <c r="C14" s="6" t="n">
        <v>20325</v>
      </c>
      <c r="D14" s="6" t="n">
        <v>20325</v>
      </c>
      <c r="E14" s="6" t="n">
        <v>13998.46</v>
      </c>
      <c r="F14" s="10" t="n">
        <f aca="false">D14-E14</f>
        <v>6326.54</v>
      </c>
      <c r="G14" s="6" t="n">
        <v>0</v>
      </c>
      <c r="H14" s="32" t="n">
        <f aca="false">IFERROR(E14/D14,0)</f>
        <v>0.688731119311193</v>
      </c>
    </row>
    <row r="15" customFormat="false" ht="15" hidden="false" customHeight="true" outlineLevel="0" collapsed="false">
      <c r="A15" s="5" t="s">
        <v>254</v>
      </c>
      <c r="B15" s="5" t="s">
        <v>255</v>
      </c>
      <c r="C15" s="6" t="n">
        <v>70875</v>
      </c>
      <c r="D15" s="6" t="n">
        <v>73930</v>
      </c>
      <c r="E15" s="6" t="n">
        <v>30100.97</v>
      </c>
      <c r="F15" s="10" t="n">
        <f aca="false">D15-E15</f>
        <v>43829.03</v>
      </c>
      <c r="G15" s="6" t="n">
        <v>0</v>
      </c>
      <c r="H15" s="32" t="n">
        <f aca="false">IFERROR(E15/D15,0)</f>
        <v>0.407155011497362</v>
      </c>
    </row>
    <row r="16" customFormat="false" ht="15" hidden="false" customHeight="true" outlineLevel="0" collapsed="false">
      <c r="A16" s="5" t="s">
        <v>256</v>
      </c>
      <c r="B16" s="5" t="s">
        <v>257</v>
      </c>
      <c r="C16" s="6" t="n">
        <v>21300</v>
      </c>
      <c r="D16" s="6" t="n">
        <v>22040</v>
      </c>
      <c r="E16" s="6" t="n">
        <v>11577.93</v>
      </c>
      <c r="F16" s="10" t="n">
        <f aca="false">D16-E16</f>
        <v>10462.07</v>
      </c>
      <c r="G16" s="6" t="n">
        <v>0</v>
      </c>
      <c r="H16" s="32" t="n">
        <f aca="false">IFERROR(E16/D16,0)</f>
        <v>0.52531442831216</v>
      </c>
    </row>
    <row r="17" customFormat="false" ht="15" hidden="false" customHeight="true" outlineLevel="0" collapsed="false">
      <c r="A17" s="5" t="s">
        <v>258</v>
      </c>
      <c r="B17" s="5" t="s">
        <v>259</v>
      </c>
      <c r="C17" s="6" t="n">
        <v>112170</v>
      </c>
      <c r="D17" s="6" t="n">
        <v>118820</v>
      </c>
      <c r="E17" s="6" t="n">
        <v>87583.59</v>
      </c>
      <c r="F17" s="10" t="n">
        <f aca="false">D17-E17</f>
        <v>31236.41</v>
      </c>
      <c r="G17" s="6" t="n">
        <v>0</v>
      </c>
      <c r="H17" s="32" t="n">
        <f aca="false">IFERROR(E17/D17,0)</f>
        <v>0.737111513213264</v>
      </c>
    </row>
    <row r="18" customFormat="false" ht="15" hidden="false" customHeight="true" outlineLevel="0" collapsed="false">
      <c r="A18" s="5" t="s">
        <v>260</v>
      </c>
      <c r="B18" s="5" t="s">
        <v>261</v>
      </c>
      <c r="C18" s="6" t="n">
        <v>404000</v>
      </c>
      <c r="D18" s="6" t="n">
        <v>419844</v>
      </c>
      <c r="E18" s="6" t="n">
        <v>273004.96</v>
      </c>
      <c r="F18" s="10" t="n">
        <f aca="false">D18-E18</f>
        <v>146839.04</v>
      </c>
      <c r="G18" s="6" t="n">
        <v>0</v>
      </c>
      <c r="H18" s="32" t="n">
        <f aca="false">IFERROR(E18/D18,0)</f>
        <v>0.650253332190052</v>
      </c>
    </row>
    <row r="19" customFormat="false" ht="15" hidden="false" customHeight="true" outlineLevel="0" collapsed="false">
      <c r="A19" s="5" t="s">
        <v>262</v>
      </c>
      <c r="B19" s="5" t="s">
        <v>263</v>
      </c>
      <c r="C19" s="6" t="n">
        <v>7500</v>
      </c>
      <c r="D19" s="6" t="n">
        <v>8425</v>
      </c>
      <c r="E19" s="6" t="n">
        <v>6559.15</v>
      </c>
      <c r="F19" s="10" t="n">
        <f aca="false">D19-E19</f>
        <v>1865.85</v>
      </c>
      <c r="G19" s="6" t="n">
        <v>0</v>
      </c>
      <c r="H19" s="32" t="n">
        <f aca="false">IFERROR(E19/D19,0)</f>
        <v>0.77853412462908</v>
      </c>
    </row>
    <row r="20" customFormat="false" ht="15" hidden="false" customHeight="true" outlineLevel="0" collapsed="false">
      <c r="A20" s="5" t="s">
        <v>264</v>
      </c>
      <c r="B20" s="5" t="s">
        <v>265</v>
      </c>
      <c r="C20" s="6" t="n">
        <v>69550</v>
      </c>
      <c r="D20" s="6" t="n">
        <v>69550</v>
      </c>
      <c r="E20" s="6" t="n">
        <v>41276.8</v>
      </c>
      <c r="F20" s="10" t="n">
        <f aca="false">D20-E20</f>
        <v>28273.2</v>
      </c>
      <c r="G20" s="6" t="n">
        <v>0</v>
      </c>
      <c r="H20" s="32" t="n">
        <f aca="false">IFERROR(E20/D20,0)</f>
        <v>0.593483824586628</v>
      </c>
    </row>
    <row r="21" customFormat="false" ht="15" hidden="false" customHeight="true" outlineLevel="0" collapsed="false">
      <c r="A21" s="5" t="s">
        <v>266</v>
      </c>
      <c r="B21" s="5" t="s">
        <v>267</v>
      </c>
      <c r="C21" s="6" t="n">
        <v>20000</v>
      </c>
      <c r="D21" s="6" t="n">
        <v>22000</v>
      </c>
      <c r="E21" s="6" t="n">
        <v>15179.21</v>
      </c>
      <c r="F21" s="10" t="n">
        <f aca="false">D21-E21</f>
        <v>6820.79</v>
      </c>
      <c r="G21" s="6" t="n">
        <v>0</v>
      </c>
      <c r="H21" s="32" t="n">
        <f aca="false">IFERROR(E21/D21,0)</f>
        <v>0.689964090909091</v>
      </c>
    </row>
    <row r="22" customFormat="false" ht="15" hidden="false" customHeight="true" outlineLevel="0" collapsed="false">
      <c r="A22" s="5" t="s">
        <v>268</v>
      </c>
      <c r="B22" s="5" t="s">
        <v>269</v>
      </c>
      <c r="C22" s="6" t="n">
        <v>0</v>
      </c>
      <c r="D22" s="6" t="n">
        <v>0</v>
      </c>
      <c r="E22" s="6" t="n">
        <v>81.68</v>
      </c>
      <c r="F22" s="10" t="n">
        <f aca="false">D22-E22</f>
        <v>-81.68</v>
      </c>
      <c r="G22" s="6" t="n">
        <v>0</v>
      </c>
      <c r="H22" s="32" t="n">
        <f aca="false">IFERROR(E22/D22,0)</f>
        <v>0</v>
      </c>
    </row>
    <row r="23" customFormat="false" ht="15" hidden="false" customHeight="true" outlineLevel="0" collapsed="false">
      <c r="A23" s="5" t="s">
        <v>270</v>
      </c>
      <c r="B23" s="5" t="s">
        <v>271</v>
      </c>
      <c r="C23" s="6" t="n">
        <v>25500</v>
      </c>
      <c r="D23" s="6" t="n">
        <v>25500</v>
      </c>
      <c r="E23" s="6" t="n">
        <v>13352</v>
      </c>
      <c r="F23" s="10" t="n">
        <f aca="false">D23-E23</f>
        <v>12148</v>
      </c>
      <c r="G23" s="6" t="n">
        <v>0</v>
      </c>
      <c r="H23" s="32" t="n">
        <f aca="false">IFERROR(E23/D23,0)</f>
        <v>0.523607843137255</v>
      </c>
    </row>
    <row r="24" customFormat="false" ht="15" hidden="false" customHeight="true" outlineLevel="0" collapsed="false">
      <c r="A24" s="5" t="s">
        <v>272</v>
      </c>
      <c r="B24" s="5" t="s">
        <v>273</v>
      </c>
      <c r="C24" s="6" t="n">
        <v>50000</v>
      </c>
      <c r="D24" s="6" t="n">
        <v>51250</v>
      </c>
      <c r="E24" s="6" t="n">
        <v>35026.44</v>
      </c>
      <c r="F24" s="10" t="n">
        <f aca="false">D24-E24</f>
        <v>16223.56</v>
      </c>
      <c r="G24" s="6" t="n">
        <v>0</v>
      </c>
      <c r="H24" s="32" t="n">
        <f aca="false">IFERROR(E24/D24,0)</f>
        <v>0.683442731707317</v>
      </c>
    </row>
    <row r="25" customFormat="false" ht="15" hidden="false" customHeight="true" outlineLevel="0" collapsed="false">
      <c r="A25" s="5" t="s">
        <v>274</v>
      </c>
      <c r="B25" s="5" t="s">
        <v>275</v>
      </c>
      <c r="C25" s="6" t="n">
        <v>8000</v>
      </c>
      <c r="D25" s="6" t="n">
        <v>8400</v>
      </c>
      <c r="E25" s="6" t="n">
        <v>591.82</v>
      </c>
      <c r="F25" s="10" t="n">
        <f aca="false">D25-E25</f>
        <v>7808.18</v>
      </c>
      <c r="G25" s="6" t="n">
        <v>0</v>
      </c>
      <c r="H25" s="32" t="n">
        <f aca="false">IFERROR(E25/D25,0)</f>
        <v>0.0704547619047619</v>
      </c>
    </row>
    <row r="26" customFormat="false" ht="15" hidden="false" customHeight="true" outlineLevel="0" collapsed="false">
      <c r="A26" s="5" t="s">
        <v>276</v>
      </c>
      <c r="B26" s="5" t="s">
        <v>277</v>
      </c>
      <c r="C26" s="6" t="n">
        <v>16780</v>
      </c>
      <c r="D26" s="6" t="n">
        <v>16780</v>
      </c>
      <c r="E26" s="6" t="n">
        <v>8631.5</v>
      </c>
      <c r="F26" s="10" t="n">
        <f aca="false">D26-E26</f>
        <v>8148.5</v>
      </c>
      <c r="G26" s="6" t="n">
        <v>0</v>
      </c>
      <c r="H26" s="32" t="n">
        <f aca="false">IFERROR(E26/D26,0)</f>
        <v>0.514392133492253</v>
      </c>
    </row>
    <row r="27" customFormat="false" ht="15" hidden="false" customHeight="true" outlineLevel="0" collapsed="false">
      <c r="A27" s="5" t="s">
        <v>278</v>
      </c>
      <c r="B27" s="5" t="s">
        <v>279</v>
      </c>
      <c r="C27" s="6" t="n">
        <v>12000</v>
      </c>
      <c r="D27" s="6" t="n">
        <v>12000</v>
      </c>
      <c r="E27" s="6" t="n">
        <v>6517.37</v>
      </c>
      <c r="F27" s="10" t="n">
        <f aca="false">D27-E27</f>
        <v>5482.63</v>
      </c>
      <c r="G27" s="6" t="n">
        <v>0</v>
      </c>
      <c r="H27" s="32" t="n">
        <f aca="false">IFERROR(E27/D27,0)</f>
        <v>0.543114166666667</v>
      </c>
    </row>
    <row r="28" customFormat="false" ht="15" hidden="false" customHeight="true" outlineLevel="0" collapsed="false">
      <c r="A28" s="5" t="s">
        <v>280</v>
      </c>
      <c r="B28" s="5" t="s">
        <v>281</v>
      </c>
      <c r="C28" s="6" t="n">
        <v>223194.56</v>
      </c>
      <c r="D28" s="6" t="n">
        <v>236116.28</v>
      </c>
      <c r="E28" s="6" t="n">
        <v>196578.34</v>
      </c>
      <c r="F28" s="10" t="n">
        <f aca="false">D28-E28</f>
        <v>39537.94</v>
      </c>
      <c r="G28" s="6" t="n">
        <v>0</v>
      </c>
      <c r="H28" s="32" t="n">
        <f aca="false">IFERROR(E28/D28,0)</f>
        <v>0.83254886109505</v>
      </c>
    </row>
    <row r="29" customFormat="false" ht="15" hidden="false" customHeight="true" outlineLevel="0" collapsed="false">
      <c r="A29" s="5" t="s">
        <v>282</v>
      </c>
      <c r="B29" s="5" t="s">
        <v>283</v>
      </c>
      <c r="C29" s="6" t="n">
        <v>37650.24</v>
      </c>
      <c r="D29" s="6" t="n">
        <v>39853.83</v>
      </c>
      <c r="E29" s="6" t="n">
        <v>33908.51</v>
      </c>
      <c r="F29" s="10" t="n">
        <f aca="false">D29-E29</f>
        <v>5945.32</v>
      </c>
      <c r="G29" s="6" t="n">
        <v>0</v>
      </c>
      <c r="H29" s="32" t="n">
        <f aca="false">IFERROR(E29/D29,0)</f>
        <v>0.850821865803111</v>
      </c>
    </row>
    <row r="30" customFormat="false" ht="15" hidden="false" customHeight="true" outlineLevel="0" collapsed="false">
      <c r="A30" s="13" t="s">
        <v>284</v>
      </c>
      <c r="C30" s="7" t="n">
        <f aca="false">SUM(C4:C29)</f>
        <v>1591004.8</v>
      </c>
      <c r="D30" s="7" t="n">
        <f aca="false">SUM(D4:D29)</f>
        <v>1665799.11</v>
      </c>
      <c r="E30" s="7" t="n">
        <f aca="false">SUM(E4:E29)</f>
        <v>1217210.98</v>
      </c>
      <c r="F30" s="7" t="n">
        <f aca="false">SUM(F4:F29)</f>
        <v>448588.13</v>
      </c>
      <c r="G30" s="7" t="n">
        <f aca="false">SUM(G4:G29)</f>
        <v>0</v>
      </c>
      <c r="H30" s="8" t="n">
        <f aca="false">IFERROR(E30/D30,0)</f>
        <v>0.73070694580933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285</v>
      </c>
    </row>
    <row r="3" customFormat="false" ht="15" hidden="false" customHeight="true" outlineLevel="0" collapsed="false">
      <c r="A3" s="24" t="s">
        <v>286</v>
      </c>
      <c r="B3" s="24" t="s">
        <v>287</v>
      </c>
      <c r="C3" s="24" t="s">
        <v>288</v>
      </c>
      <c r="D3" s="24" t="s">
        <v>228</v>
      </c>
      <c r="E3" s="24" t="s">
        <v>229</v>
      </c>
      <c r="F3" s="24" t="s">
        <v>231</v>
      </c>
    </row>
    <row r="4" customFormat="false" ht="15" hidden="false" customHeight="true" outlineLevel="0" collapsed="false">
      <c r="A4" s="13" t="s">
        <v>289</v>
      </c>
      <c r="B4" s="5" t="n">
        <v>10</v>
      </c>
      <c r="C4" s="6" t="n">
        <v>520965</v>
      </c>
      <c r="D4" s="6" t="n">
        <v>443242.25</v>
      </c>
      <c r="E4" s="10" t="n">
        <f aca="false">C4-D4</f>
        <v>77722.75</v>
      </c>
      <c r="F4" s="32" t="n">
        <f aca="false">IFERROR(D4/C4,0)</f>
        <v>0.850810035223096</v>
      </c>
    </row>
    <row r="5" customFormat="false" ht="15" hidden="false" customHeight="true" outlineLevel="0" collapsed="false">
      <c r="A5" s="13" t="s">
        <v>290</v>
      </c>
      <c r="B5" s="5" t="n">
        <v>9</v>
      </c>
      <c r="C5" s="6" t="n">
        <v>754934</v>
      </c>
      <c r="D5" s="6" t="n">
        <v>479362.75</v>
      </c>
      <c r="E5" s="10" t="n">
        <f aca="false">C5-D5</f>
        <v>275571.25</v>
      </c>
      <c r="F5" s="32" t="n">
        <f aca="false">IFERROR(D5/C5,0)</f>
        <v>0.634973057247389</v>
      </c>
    </row>
    <row r="6" customFormat="false" ht="15" hidden="false" customHeight="true" outlineLevel="0" collapsed="false">
      <c r="A6" s="13" t="s">
        <v>291</v>
      </c>
      <c r="B6" s="5" t="n">
        <v>5</v>
      </c>
      <c r="C6" s="6" t="n">
        <v>113930</v>
      </c>
      <c r="D6" s="6" t="n">
        <v>64119.13</v>
      </c>
      <c r="E6" s="10" t="n">
        <f aca="false">C6-D6</f>
        <v>49810.87</v>
      </c>
      <c r="F6" s="32" t="n">
        <f aca="false">IFERROR(D6/C6,0)</f>
        <v>0.56279408408672</v>
      </c>
    </row>
    <row r="7" customFormat="false" ht="15" hidden="false" customHeight="true" outlineLevel="0" collapsed="false">
      <c r="A7" s="13" t="s">
        <v>292</v>
      </c>
      <c r="B7" s="5" t="n">
        <v>2</v>
      </c>
      <c r="C7" s="6" t="n">
        <v>275970.11</v>
      </c>
      <c r="D7" s="6" t="n">
        <v>230486.85</v>
      </c>
      <c r="E7" s="10" t="n">
        <f aca="false">C7-D7</f>
        <v>45483.26</v>
      </c>
      <c r="F7" s="32" t="n">
        <f aca="false">IFERROR(D7/C7,0)</f>
        <v>0.835187731019131</v>
      </c>
    </row>
    <row r="8" customFormat="false" ht="15" hidden="false" customHeight="true" outlineLevel="0" collapsed="false">
      <c r="A8" s="13" t="s">
        <v>284</v>
      </c>
      <c r="B8" s="33" t="n">
        <f aca="false">SUM(B4:B7)</f>
        <v>26</v>
      </c>
      <c r="C8" s="7" t="n">
        <f aca="false">SUM(C4:C7)</f>
        <v>1665799.11</v>
      </c>
      <c r="D8" s="7" t="n">
        <f aca="false">SUM(D4:D7)</f>
        <v>1217210.98</v>
      </c>
      <c r="E8" s="7" t="n">
        <f aca="false">SUM(E4:E7)</f>
        <v>448588.13</v>
      </c>
      <c r="F8" s="8" t="n">
        <f aca="false">IFERROR(D8/C8,0)</f>
        <v>0.73070694580933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293</v>
      </c>
    </row>
    <row r="2" customFormat="false" ht="15" hidden="false" customHeight="true" outlineLevel="0" collapsed="false">
      <c r="A2" s="3" t="s">
        <v>294</v>
      </c>
    </row>
    <row r="4" customFormat="false" ht="15" hidden="false" customHeight="true" outlineLevel="0" collapsed="false">
      <c r="A4" s="24" t="s">
        <v>227</v>
      </c>
      <c r="B4" s="24" t="s">
        <v>184</v>
      </c>
      <c r="C4" s="24" t="s">
        <v>177</v>
      </c>
      <c r="D4" s="24" t="s">
        <v>228</v>
      </c>
      <c r="E4" s="24" t="s">
        <v>229</v>
      </c>
      <c r="F4" s="24" t="s">
        <v>295</v>
      </c>
      <c r="G4" s="24" t="s">
        <v>296</v>
      </c>
    </row>
    <row r="5" customFormat="false" ht="15" hidden="false" customHeight="true" outlineLevel="0" collapsed="false">
      <c r="A5" s="5" t="s">
        <v>232</v>
      </c>
      <c r="B5" s="5" t="s">
        <v>233</v>
      </c>
      <c r="C5" s="6" t="n">
        <v>11000</v>
      </c>
      <c r="D5" s="6" t="n">
        <v>5783</v>
      </c>
      <c r="E5" s="10" t="n">
        <f aca="false">C5-D5</f>
        <v>5217</v>
      </c>
      <c r="F5" s="32" t="n">
        <f aca="false">IFERROR((D5-C5)/C5,0)</f>
        <v>-0.474272727272727</v>
      </c>
      <c r="G5" s="34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234</v>
      </c>
      <c r="B6" s="5" t="s">
        <v>235</v>
      </c>
      <c r="C6" s="6" t="n">
        <v>20540</v>
      </c>
      <c r="D6" s="6" t="n">
        <v>12636.5</v>
      </c>
      <c r="E6" s="10" t="n">
        <f aca="false">C6-D6</f>
        <v>7903.5</v>
      </c>
      <c r="F6" s="32" t="n">
        <f aca="false">IFERROR((D6-C6)/C6,0)</f>
        <v>-0.384785783836417</v>
      </c>
      <c r="G6" s="34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236</v>
      </c>
      <c r="B7" s="5" t="s">
        <v>237</v>
      </c>
      <c r="C7" s="6" t="n">
        <v>27925</v>
      </c>
      <c r="D7" s="6" t="n">
        <v>13156</v>
      </c>
      <c r="E7" s="10" t="n">
        <f aca="false">C7-D7</f>
        <v>14769</v>
      </c>
      <c r="F7" s="32" t="n">
        <f aca="false">IFERROR((D7-C7)/C7,0)</f>
        <v>-0.528880931065354</v>
      </c>
      <c r="G7" s="34" t="str">
        <f aca="false">IF(C7=0,"UNBUDGETED",IF(F7&gt;0.5,"CRITICAL",IF(F7&gt;0.1,"OVER",IF(F7&lt;-0.1,"UNDER","ON"))))</f>
        <v>UNDER</v>
      </c>
    </row>
    <row r="8" customFormat="false" ht="15" hidden="false" customHeight="true" outlineLevel="0" collapsed="false">
      <c r="A8" s="5" t="s">
        <v>238</v>
      </c>
      <c r="B8" s="5" t="s">
        <v>239</v>
      </c>
      <c r="C8" s="6" t="n">
        <v>113215</v>
      </c>
      <c r="D8" s="6" t="n">
        <v>33231</v>
      </c>
      <c r="E8" s="10" t="n">
        <f aca="false">C8-D8</f>
        <v>79984</v>
      </c>
      <c r="F8" s="32" t="n">
        <f aca="false">IFERROR((D8-C8)/C8,0)</f>
        <v>-0.706478823477454</v>
      </c>
      <c r="G8" s="34" t="str">
        <f aca="false">IF(C8=0,"UNBUDGETED",IF(F8&gt;0.5,"CRITICAL",IF(F8&gt;0.1,"OVER",IF(F8&lt;-0.1,"UNDER","ON"))))</f>
        <v>UNDER</v>
      </c>
    </row>
    <row r="9" customFormat="false" ht="15" hidden="false" customHeight="true" outlineLevel="0" collapsed="false">
      <c r="A9" s="5" t="s">
        <v>240</v>
      </c>
      <c r="B9" s="5" t="s">
        <v>241</v>
      </c>
      <c r="C9" s="6" t="n">
        <v>22040</v>
      </c>
      <c r="D9" s="6" t="n">
        <v>9800</v>
      </c>
      <c r="E9" s="10" t="n">
        <f aca="false">C9-D9</f>
        <v>12240</v>
      </c>
      <c r="F9" s="32" t="n">
        <f aca="false">IFERROR((D9-C9)/C9,0)</f>
        <v>-0.55535390199637</v>
      </c>
      <c r="G9" s="34" t="str">
        <f aca="false">IF(C9=0,"UNBUDGETED",IF(F9&gt;0.5,"CRITICAL",IF(F9&gt;0.1,"OVER",IF(F9&lt;-0.1,"UNDER","ON"))))</f>
        <v>UNDER</v>
      </c>
    </row>
    <row r="10" customFormat="false" ht="15" hidden="false" customHeight="true" outlineLevel="0" collapsed="false">
      <c r="A10" s="5" t="s">
        <v>242</v>
      </c>
      <c r="B10" s="5" t="s">
        <v>243</v>
      </c>
      <c r="C10" s="6" t="n">
        <v>211765</v>
      </c>
      <c r="D10" s="6" t="n">
        <v>201052.75</v>
      </c>
      <c r="E10" s="10" t="n">
        <f aca="false">C10-D10</f>
        <v>10712.25</v>
      </c>
      <c r="F10" s="32" t="n">
        <f aca="false">IFERROR((D10-C10)/C10,0)</f>
        <v>-0.0505855547422851</v>
      </c>
      <c r="G10" s="34" t="str">
        <f aca="false">IF(C10=0,"UNBUDGETED",IF(F10&gt;0.5,"CRITICAL",IF(F10&gt;0.1,"OVER",IF(F10&lt;-0.1,"UNDER","ON"))))</f>
        <v>ON</v>
      </c>
    </row>
    <row r="11" customFormat="false" ht="15" hidden="false" customHeight="true" outlineLevel="0" collapsed="false">
      <c r="A11" s="5" t="s">
        <v>244</v>
      </c>
      <c r="B11" s="5" t="s">
        <v>245</v>
      </c>
      <c r="C11" s="6" t="n">
        <v>35780</v>
      </c>
      <c r="D11" s="6" t="n">
        <v>34751</v>
      </c>
      <c r="E11" s="10" t="n">
        <f aca="false">C11-D11</f>
        <v>1029</v>
      </c>
      <c r="F11" s="32" t="n">
        <f aca="false">IFERROR((D11-C11)/C11,0)</f>
        <v>-0.0287590832867524</v>
      </c>
      <c r="G11" s="34" t="str">
        <f aca="false">IF(C11=0,"UNBUDGETED",IF(F11&gt;0.5,"CRITICAL",IF(F11&gt;0.1,"OVER",IF(F11&lt;-0.1,"UNDER","ON"))))</f>
        <v>ON</v>
      </c>
    </row>
    <row r="12" customFormat="false" ht="15" hidden="false" customHeight="true" outlineLevel="0" collapsed="false">
      <c r="A12" s="5" t="s">
        <v>246</v>
      </c>
      <c r="B12" s="5" t="s">
        <v>247</v>
      </c>
      <c r="C12" s="6" t="n">
        <v>10050</v>
      </c>
      <c r="D12" s="6" t="n">
        <v>4126.5</v>
      </c>
      <c r="E12" s="10" t="n">
        <f aca="false">C12-D12</f>
        <v>5923.5</v>
      </c>
      <c r="F12" s="32" t="n">
        <f aca="false">IFERROR((D12-C12)/C12,0)</f>
        <v>-0.589402985074627</v>
      </c>
      <c r="G12" s="34" t="str">
        <f aca="false">IF(C12=0,"UNBUDGETED",IF(F12&gt;0.5,"CRITICAL",IF(F12&gt;0.1,"OVER",IF(F12&lt;-0.1,"UNDER","ON"))))</f>
        <v>UNDER</v>
      </c>
    </row>
    <row r="13" customFormat="false" ht="15" hidden="false" customHeight="true" outlineLevel="0" collapsed="false">
      <c r="A13" s="5" t="s">
        <v>248</v>
      </c>
      <c r="B13" s="5" t="s">
        <v>249</v>
      </c>
      <c r="C13" s="6" t="n">
        <v>49650</v>
      </c>
      <c r="D13" s="6" t="n">
        <v>117138.5</v>
      </c>
      <c r="E13" s="10" t="n">
        <f aca="false">C13-D13</f>
        <v>-67488.5</v>
      </c>
      <c r="F13" s="32" t="n">
        <f aca="false">IFERROR((D13-C13)/C13,0)</f>
        <v>1.35928499496475</v>
      </c>
      <c r="G13" s="34" t="str">
        <f aca="false">IF(C13=0,"UNBUDGETED",IF(F13&gt;0.5,"CRITICAL",IF(F13&gt;0.1,"OVER",IF(F13&lt;-0.1,"UNDER","ON"))))</f>
        <v>CRITICAL</v>
      </c>
    </row>
    <row r="14" customFormat="false" ht="15" hidden="false" customHeight="true" outlineLevel="0" collapsed="false">
      <c r="A14" s="5" t="s">
        <v>250</v>
      </c>
      <c r="B14" s="5" t="s">
        <v>251</v>
      </c>
      <c r="C14" s="6" t="n">
        <v>19000</v>
      </c>
      <c r="D14" s="6" t="n">
        <v>11567</v>
      </c>
      <c r="E14" s="10" t="n">
        <f aca="false">C14-D14</f>
        <v>7433</v>
      </c>
      <c r="F14" s="32" t="n">
        <f aca="false">IFERROR((D14-C14)/C14,0)</f>
        <v>-0.391210526315789</v>
      </c>
      <c r="G14" s="34" t="str">
        <f aca="false">IF(C14=0,"UNBUDGETED",IF(F14&gt;0.5,"CRITICAL",IF(F14&gt;0.1,"OVER",IF(F14&lt;-0.1,"UNDER","ON"))))</f>
        <v>UNDER</v>
      </c>
    </row>
    <row r="15" customFormat="false" ht="15" hidden="false" customHeight="true" outlineLevel="0" collapsed="false">
      <c r="A15" s="5" t="s">
        <v>252</v>
      </c>
      <c r="B15" s="5" t="s">
        <v>253</v>
      </c>
      <c r="C15" s="6" t="n">
        <v>20325</v>
      </c>
      <c r="D15" s="6" t="n">
        <v>13998.46</v>
      </c>
      <c r="E15" s="10" t="n">
        <f aca="false">C15-D15</f>
        <v>6326.54</v>
      </c>
      <c r="F15" s="32" t="n">
        <f aca="false">IFERROR((D15-C15)/C15,0)</f>
        <v>-0.311268880688807</v>
      </c>
      <c r="G15" s="34" t="str">
        <f aca="false">IF(C15=0,"UNBUDGETED",IF(F15&gt;0.5,"CRITICAL",IF(F15&gt;0.1,"OVER",IF(F15&lt;-0.1,"UNDER","ON"))))</f>
        <v>UNDER</v>
      </c>
    </row>
    <row r="16" customFormat="false" ht="15" hidden="false" customHeight="true" outlineLevel="0" collapsed="false">
      <c r="A16" s="5" t="s">
        <v>254</v>
      </c>
      <c r="B16" s="5" t="s">
        <v>255</v>
      </c>
      <c r="C16" s="6" t="n">
        <v>73930</v>
      </c>
      <c r="D16" s="6" t="n">
        <v>30100.97</v>
      </c>
      <c r="E16" s="10" t="n">
        <f aca="false">C16-D16</f>
        <v>43829.03</v>
      </c>
      <c r="F16" s="32" t="n">
        <f aca="false">IFERROR((D16-C16)/C16,0)</f>
        <v>-0.592844988502638</v>
      </c>
      <c r="G16" s="34" t="str">
        <f aca="false">IF(C16=0,"UNBUDGETED",IF(F16&gt;0.5,"CRITICAL",IF(F16&gt;0.1,"OVER",IF(F16&lt;-0.1,"UNDER","ON"))))</f>
        <v>UNDER</v>
      </c>
    </row>
    <row r="17" customFormat="false" ht="15" hidden="false" customHeight="true" outlineLevel="0" collapsed="false">
      <c r="A17" s="5" t="s">
        <v>256</v>
      </c>
      <c r="B17" s="5" t="s">
        <v>257</v>
      </c>
      <c r="C17" s="6" t="n">
        <v>22040</v>
      </c>
      <c r="D17" s="6" t="n">
        <v>11577.93</v>
      </c>
      <c r="E17" s="10" t="n">
        <f aca="false">C17-D17</f>
        <v>10462.07</v>
      </c>
      <c r="F17" s="32" t="n">
        <f aca="false">IFERROR((D17-C17)/C17,0)</f>
        <v>-0.47468557168784</v>
      </c>
      <c r="G17" s="34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258</v>
      </c>
      <c r="B18" s="5" t="s">
        <v>259</v>
      </c>
      <c r="C18" s="6" t="n">
        <v>118820</v>
      </c>
      <c r="D18" s="6" t="n">
        <v>87583.59</v>
      </c>
      <c r="E18" s="10" t="n">
        <f aca="false">C18-D18</f>
        <v>31236.41</v>
      </c>
      <c r="F18" s="32" t="n">
        <f aca="false">IFERROR((D18-C18)/C18,0)</f>
        <v>-0.262888486786736</v>
      </c>
      <c r="G18" s="34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260</v>
      </c>
      <c r="B19" s="5" t="s">
        <v>261</v>
      </c>
      <c r="C19" s="6" t="n">
        <v>419844</v>
      </c>
      <c r="D19" s="6" t="n">
        <v>273004.96</v>
      </c>
      <c r="E19" s="10" t="n">
        <f aca="false">C19-D19</f>
        <v>146839.04</v>
      </c>
      <c r="F19" s="32" t="n">
        <f aca="false">IFERROR((D19-C19)/C19,0)</f>
        <v>-0.349746667809948</v>
      </c>
      <c r="G19" s="34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262</v>
      </c>
      <c r="B20" s="5" t="s">
        <v>263</v>
      </c>
      <c r="C20" s="6" t="n">
        <v>8425</v>
      </c>
      <c r="D20" s="6" t="n">
        <v>6559.15</v>
      </c>
      <c r="E20" s="10" t="n">
        <f aca="false">C20-D20</f>
        <v>1865.85</v>
      </c>
      <c r="F20" s="32" t="n">
        <f aca="false">IFERROR((D20-C20)/C20,0)</f>
        <v>-0.22146587537092</v>
      </c>
      <c r="G20" s="34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264</v>
      </c>
      <c r="B21" s="5" t="s">
        <v>265</v>
      </c>
      <c r="C21" s="6" t="n">
        <v>69550</v>
      </c>
      <c r="D21" s="6" t="n">
        <v>41276.8</v>
      </c>
      <c r="E21" s="10" t="n">
        <f aca="false">C21-D21</f>
        <v>28273.2</v>
      </c>
      <c r="F21" s="32" t="n">
        <f aca="false">IFERROR((D21-C21)/C21,0)</f>
        <v>-0.406516175413372</v>
      </c>
      <c r="G21" s="34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266</v>
      </c>
      <c r="B22" s="5" t="s">
        <v>267</v>
      </c>
      <c r="C22" s="6" t="n">
        <v>22000</v>
      </c>
      <c r="D22" s="6" t="n">
        <v>15179.21</v>
      </c>
      <c r="E22" s="10" t="n">
        <f aca="false">C22-D22</f>
        <v>6820.79</v>
      </c>
      <c r="F22" s="32" t="n">
        <f aca="false">IFERROR((D22-C22)/C22,0)</f>
        <v>-0.310035909090909</v>
      </c>
      <c r="G22" s="34" t="str">
        <f aca="false">IF(C22=0,"UNBUDGETED",IF(F22&gt;0.5,"CRITICAL",IF(F22&gt;0.1,"OVER",IF(F22&lt;-0.1,"UNDER","ON"))))</f>
        <v>UNDER</v>
      </c>
    </row>
    <row r="23" customFormat="false" ht="15" hidden="false" customHeight="true" outlineLevel="0" collapsed="false">
      <c r="A23" s="5" t="s">
        <v>268</v>
      </c>
      <c r="B23" s="5" t="s">
        <v>269</v>
      </c>
      <c r="C23" s="6" t="n">
        <v>0</v>
      </c>
      <c r="D23" s="6" t="n">
        <v>81.68</v>
      </c>
      <c r="E23" s="10" t="n">
        <f aca="false">C23-D23</f>
        <v>-81.68</v>
      </c>
      <c r="F23" s="32" t="n">
        <f aca="false">IFERROR((D23-C23)/C23,0)</f>
        <v>0</v>
      </c>
      <c r="G23" s="34" t="str">
        <f aca="false">IF(C23=0,"UNBUDGETED",IF(F23&gt;0.5,"CRITICAL",IF(F23&gt;0.1,"OVER",IF(F23&lt;-0.1,"UNDER","ON"))))</f>
        <v>UNBUDGETED</v>
      </c>
    </row>
    <row r="24" customFormat="false" ht="15" hidden="false" customHeight="true" outlineLevel="0" collapsed="false">
      <c r="A24" s="5" t="s">
        <v>270</v>
      </c>
      <c r="B24" s="5" t="s">
        <v>271</v>
      </c>
      <c r="C24" s="6" t="n">
        <v>25500</v>
      </c>
      <c r="D24" s="6" t="n">
        <v>13352</v>
      </c>
      <c r="E24" s="10" t="n">
        <f aca="false">C24-D24</f>
        <v>12148</v>
      </c>
      <c r="F24" s="32" t="n">
        <f aca="false">IFERROR((D24-C24)/C24,0)</f>
        <v>-0.476392156862745</v>
      </c>
      <c r="G24" s="34" t="str">
        <f aca="false">IF(C24=0,"UNBUDGETED",IF(F24&gt;0.5,"CRITICAL",IF(F24&gt;0.1,"OVER",IF(F24&lt;-0.1,"UNDER","ON"))))</f>
        <v>UNDER</v>
      </c>
    </row>
    <row r="25" customFormat="false" ht="15" hidden="false" customHeight="true" outlineLevel="0" collapsed="false">
      <c r="A25" s="5" t="s">
        <v>272</v>
      </c>
      <c r="B25" s="5" t="s">
        <v>273</v>
      </c>
      <c r="C25" s="6" t="n">
        <v>51250</v>
      </c>
      <c r="D25" s="6" t="n">
        <v>35026.44</v>
      </c>
      <c r="E25" s="10" t="n">
        <f aca="false">C25-D25</f>
        <v>16223.56</v>
      </c>
      <c r="F25" s="32" t="n">
        <f aca="false">IFERROR((D25-C25)/C25,0)</f>
        <v>-0.316557268292683</v>
      </c>
      <c r="G25" s="34" t="str">
        <f aca="false">IF(C25=0,"UNBUDGETED",IF(F25&gt;0.5,"CRITICAL",IF(F25&gt;0.1,"OVER",IF(F25&lt;-0.1,"UNDER","ON"))))</f>
        <v>UNDER</v>
      </c>
    </row>
    <row r="26" customFormat="false" ht="15" hidden="false" customHeight="true" outlineLevel="0" collapsed="false">
      <c r="A26" s="5" t="s">
        <v>274</v>
      </c>
      <c r="B26" s="5" t="s">
        <v>275</v>
      </c>
      <c r="C26" s="6" t="n">
        <v>8400</v>
      </c>
      <c r="D26" s="6" t="n">
        <v>591.82</v>
      </c>
      <c r="E26" s="10" t="n">
        <f aca="false">C26-D26</f>
        <v>7808.18</v>
      </c>
      <c r="F26" s="32" t="n">
        <f aca="false">IFERROR((D26-C26)/C26,0)</f>
        <v>-0.929545238095238</v>
      </c>
      <c r="G26" s="34" t="str">
        <f aca="false">IF(C26=0,"UNBUDGETED",IF(F26&gt;0.5,"CRITICAL",IF(F26&gt;0.1,"OVER",IF(F26&lt;-0.1,"UNDER","ON"))))</f>
        <v>UNDER</v>
      </c>
    </row>
    <row r="27" customFormat="false" ht="15" hidden="false" customHeight="true" outlineLevel="0" collapsed="false">
      <c r="A27" s="5" t="s">
        <v>276</v>
      </c>
      <c r="B27" s="5" t="s">
        <v>277</v>
      </c>
      <c r="C27" s="6" t="n">
        <v>16780</v>
      </c>
      <c r="D27" s="6" t="n">
        <v>8631.5</v>
      </c>
      <c r="E27" s="10" t="n">
        <f aca="false">C27-D27</f>
        <v>8148.5</v>
      </c>
      <c r="F27" s="32" t="n">
        <f aca="false">IFERROR((D27-C27)/C27,0)</f>
        <v>-0.485607866507747</v>
      </c>
      <c r="G27" s="34" t="str">
        <f aca="false">IF(C27=0,"UNBUDGETED",IF(F27&gt;0.5,"CRITICAL",IF(F27&gt;0.1,"OVER",IF(F27&lt;-0.1,"UNDER","ON"))))</f>
        <v>UNDER</v>
      </c>
    </row>
    <row r="28" customFormat="false" ht="15" hidden="false" customHeight="true" outlineLevel="0" collapsed="false">
      <c r="A28" s="5" t="s">
        <v>278</v>
      </c>
      <c r="B28" s="5" t="s">
        <v>279</v>
      </c>
      <c r="C28" s="6" t="n">
        <v>12000</v>
      </c>
      <c r="D28" s="6" t="n">
        <v>6517.37</v>
      </c>
      <c r="E28" s="10" t="n">
        <f aca="false">C28-D28</f>
        <v>5482.63</v>
      </c>
      <c r="F28" s="32" t="n">
        <f aca="false">IFERROR((D28-C28)/C28,0)</f>
        <v>-0.456885833333333</v>
      </c>
      <c r="G28" s="34" t="str">
        <f aca="false">IF(C28=0,"UNBUDGETED",IF(F28&gt;0.5,"CRITICAL",IF(F28&gt;0.1,"OVER",IF(F28&lt;-0.1,"UNDER","ON"))))</f>
        <v>UNDER</v>
      </c>
    </row>
    <row r="29" customFormat="false" ht="15" hidden="false" customHeight="true" outlineLevel="0" collapsed="false">
      <c r="A29" s="5" t="s">
        <v>280</v>
      </c>
      <c r="B29" s="5" t="s">
        <v>281</v>
      </c>
      <c r="C29" s="6" t="n">
        <v>236116.28</v>
      </c>
      <c r="D29" s="6" t="n">
        <v>196578.34</v>
      </c>
      <c r="E29" s="10" t="n">
        <f aca="false">C29-D29</f>
        <v>39537.94</v>
      </c>
      <c r="F29" s="32" t="n">
        <f aca="false">IFERROR((D29-C29)/C29,0)</f>
        <v>-0.16745113890495</v>
      </c>
      <c r="G29" s="34" t="str">
        <f aca="false">IF(C29=0,"UNBUDGETED",IF(F29&gt;0.5,"CRITICAL",IF(F29&gt;0.1,"OVER",IF(F29&lt;-0.1,"UNDER","ON"))))</f>
        <v>UNDER</v>
      </c>
    </row>
    <row r="30" customFormat="false" ht="15" hidden="false" customHeight="true" outlineLevel="0" collapsed="false">
      <c r="A30" s="5" t="s">
        <v>282</v>
      </c>
      <c r="B30" s="5" t="s">
        <v>283</v>
      </c>
      <c r="C30" s="6" t="n">
        <v>39853.83</v>
      </c>
      <c r="D30" s="6" t="n">
        <v>33908.51</v>
      </c>
      <c r="E30" s="10" t="n">
        <f aca="false">C30-D30</f>
        <v>5945.32</v>
      </c>
      <c r="F30" s="32" t="n">
        <f aca="false">IFERROR((D30-C30)/C30,0)</f>
        <v>-0.149178134196889</v>
      </c>
      <c r="G30" s="34" t="str">
        <f aca="false">IF(C30=0,"UNBUDGETED",IF(F30&gt;0.5,"CRITICAL",IF(F30&gt;0.1,"OVER",IF(F30&lt;-0.1,"UNDER","ON"))))</f>
        <v>UNDER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297</v>
      </c>
    </row>
    <row r="3" customFormat="false" ht="15" hidden="false" customHeight="true" outlineLevel="0" collapsed="false">
      <c r="A3" s="24" t="s">
        <v>298</v>
      </c>
      <c r="B3" s="24" t="s">
        <v>299</v>
      </c>
      <c r="C3" s="24" t="s">
        <v>300</v>
      </c>
      <c r="D3" s="24" t="s">
        <v>301</v>
      </c>
    </row>
    <row r="4" customFormat="false" ht="15" hidden="false" customHeight="true" outlineLevel="0" collapsed="false">
      <c r="A4" s="5" t="s">
        <v>302</v>
      </c>
      <c r="B4" s="6" t="n">
        <v>110029.79</v>
      </c>
      <c r="C4" s="5" t="n">
        <v>89</v>
      </c>
      <c r="D4" s="32" t="n">
        <f aca="false">IFERROR(B4/SUM(B$4:B$23),0)</f>
        <v>0.226759904329107</v>
      </c>
    </row>
    <row r="5" customFormat="false" ht="15" hidden="false" customHeight="true" outlineLevel="0" collapsed="false">
      <c r="A5" s="5" t="s">
        <v>303</v>
      </c>
      <c r="B5" s="6" t="n">
        <v>98682.59</v>
      </c>
      <c r="C5" s="5" t="n">
        <v>33</v>
      </c>
      <c r="D5" s="32" t="n">
        <f aca="false">IFERROR(B5/SUM(B$4:B$23),0)</f>
        <v>0.20337451036986</v>
      </c>
    </row>
    <row r="6" customFormat="false" ht="15" hidden="false" customHeight="true" outlineLevel="0" collapsed="false">
      <c r="A6" s="5" t="s">
        <v>304</v>
      </c>
      <c r="B6" s="6" t="n">
        <v>76452.43</v>
      </c>
      <c r="C6" s="5" t="n">
        <v>61</v>
      </c>
      <c r="D6" s="32" t="n">
        <f aca="false">IFERROR(B6/SUM(B$4:B$23),0)</f>
        <v>0.157560472600445</v>
      </c>
    </row>
    <row r="7" customFormat="false" ht="15" hidden="false" customHeight="true" outlineLevel="0" collapsed="false">
      <c r="A7" s="5" t="s">
        <v>305</v>
      </c>
      <c r="B7" s="6" t="n">
        <v>54714</v>
      </c>
      <c r="C7" s="5" t="n">
        <v>8</v>
      </c>
      <c r="D7" s="32" t="n">
        <f aca="false">IFERROR(B7/SUM(B$4:B$23),0)</f>
        <v>0.112759838998718</v>
      </c>
    </row>
    <row r="8" customFormat="false" ht="15" hidden="false" customHeight="true" outlineLevel="0" collapsed="false">
      <c r="A8" s="5" t="s">
        <v>306</v>
      </c>
      <c r="B8" s="6" t="n">
        <v>54268.63</v>
      </c>
      <c r="C8" s="5" t="n">
        <v>49</v>
      </c>
      <c r="D8" s="32" t="n">
        <f aca="false">IFERROR(B8/SUM(B$4:B$23),0)</f>
        <v>0.111841977948624</v>
      </c>
    </row>
    <row r="9" customFormat="false" ht="15" hidden="false" customHeight="true" outlineLevel="0" collapsed="false">
      <c r="A9" s="5" t="s">
        <v>307</v>
      </c>
      <c r="B9" s="6" t="n">
        <v>34755.75</v>
      </c>
      <c r="C9" s="5" t="n">
        <v>5</v>
      </c>
      <c r="D9" s="32" t="n">
        <f aca="false">IFERROR(B9/SUM(B$4:B$23),0)</f>
        <v>0.0716279704331559</v>
      </c>
    </row>
    <row r="10" customFormat="false" ht="15" hidden="false" customHeight="true" outlineLevel="0" collapsed="false">
      <c r="A10" s="5" t="s">
        <v>308</v>
      </c>
      <c r="B10" s="6" t="n">
        <v>17324.5</v>
      </c>
      <c r="C10" s="5" t="n">
        <v>43</v>
      </c>
      <c r="D10" s="32" t="n">
        <f aca="false">IFERROR(B10/SUM(B$4:B$23),0)</f>
        <v>0.0357039849167177</v>
      </c>
    </row>
    <row r="11" customFormat="false" ht="15" hidden="false" customHeight="true" outlineLevel="0" collapsed="false">
      <c r="A11" s="5" t="s">
        <v>309</v>
      </c>
      <c r="B11" s="6" t="n">
        <v>11277</v>
      </c>
      <c r="C11" s="5" t="n">
        <v>7</v>
      </c>
      <c r="D11" s="32" t="n">
        <f aca="false">IFERROR(B11/SUM(B$4:B$23),0)</f>
        <v>0.0232407190917963</v>
      </c>
    </row>
    <row r="12" customFormat="false" ht="15" hidden="false" customHeight="true" outlineLevel="0" collapsed="false">
      <c r="A12" s="5" t="s">
        <v>310</v>
      </c>
      <c r="B12" s="6" t="n">
        <v>6630</v>
      </c>
      <c r="C12" s="5" t="n">
        <v>1</v>
      </c>
      <c r="D12" s="32" t="n">
        <f aca="false">IFERROR(B12/SUM(B$4:B$23),0)</f>
        <v>0.0136637374814764</v>
      </c>
    </row>
    <row r="13" customFormat="false" ht="15" hidden="false" customHeight="true" outlineLevel="0" collapsed="false">
      <c r="A13" s="5" t="s">
        <v>311</v>
      </c>
      <c r="B13" s="6" t="n">
        <v>5742.65</v>
      </c>
      <c r="C13" s="5" t="n">
        <v>4</v>
      </c>
      <c r="D13" s="32" t="n">
        <f aca="false">IFERROR(B13/SUM(B$4:B$23),0)</f>
        <v>0.0118350018171947</v>
      </c>
    </row>
    <row r="14" customFormat="false" ht="15" hidden="false" customHeight="true" outlineLevel="0" collapsed="false">
      <c r="A14" s="5" t="s">
        <v>312</v>
      </c>
      <c r="B14" s="6" t="n">
        <v>4000</v>
      </c>
      <c r="C14" s="5" t="n">
        <v>1</v>
      </c>
      <c r="D14" s="32" t="n">
        <f aca="false">IFERROR(B14/SUM(B$4:B$23),0)</f>
        <v>0.008243582190936</v>
      </c>
    </row>
    <row r="15" customFormat="false" ht="15" hidden="false" customHeight="true" outlineLevel="0" collapsed="false">
      <c r="A15" s="5" t="s">
        <v>313</v>
      </c>
      <c r="B15" s="6" t="n">
        <v>2722</v>
      </c>
      <c r="C15" s="5" t="n">
        <v>4</v>
      </c>
      <c r="D15" s="32" t="n">
        <f aca="false">IFERROR(B15/SUM(B$4:B$23),0)</f>
        <v>0.00560975768093195</v>
      </c>
    </row>
    <row r="16" customFormat="false" ht="15" hidden="false" customHeight="true" outlineLevel="0" collapsed="false">
      <c r="A16" s="5" t="s">
        <v>314</v>
      </c>
      <c r="B16" s="6" t="n">
        <v>2208.55</v>
      </c>
      <c r="C16" s="5" t="n">
        <v>1</v>
      </c>
      <c r="D16" s="32" t="n">
        <f aca="false">IFERROR(B16/SUM(B$4:B$23),0)</f>
        <v>0.00455159086194792</v>
      </c>
    </row>
    <row r="17" customFormat="false" ht="15" hidden="false" customHeight="true" outlineLevel="0" collapsed="false">
      <c r="A17" s="5" t="s">
        <v>315</v>
      </c>
      <c r="B17" s="6" t="n">
        <v>1895</v>
      </c>
      <c r="C17" s="5" t="n">
        <v>7</v>
      </c>
      <c r="D17" s="32" t="n">
        <f aca="false">IFERROR(B17/SUM(B$4:B$23),0)</f>
        <v>0.00390539706295593</v>
      </c>
    </row>
    <row r="18" customFormat="false" ht="15" hidden="false" customHeight="true" outlineLevel="0" collapsed="false">
      <c r="A18" s="5" t="s">
        <v>316</v>
      </c>
      <c r="B18" s="6" t="n">
        <v>1395</v>
      </c>
      <c r="C18" s="5" t="n">
        <v>1</v>
      </c>
      <c r="D18" s="32" t="n">
        <f aca="false">IFERROR(B18/SUM(B$4:B$23),0)</f>
        <v>0.00287494928908893</v>
      </c>
    </row>
    <row r="19" customFormat="false" ht="15" hidden="false" customHeight="true" outlineLevel="0" collapsed="false">
      <c r="A19" s="5" t="s">
        <v>317</v>
      </c>
      <c r="B19" s="6" t="n">
        <v>1280</v>
      </c>
      <c r="C19" s="5" t="n">
        <v>1</v>
      </c>
      <c r="D19" s="32" t="n">
        <f aca="false">IFERROR(B19/SUM(B$4:B$23),0)</f>
        <v>0.00263794630109952</v>
      </c>
    </row>
    <row r="20" customFormat="false" ht="15" hidden="false" customHeight="true" outlineLevel="0" collapsed="false">
      <c r="A20" s="5" t="s">
        <v>318</v>
      </c>
      <c r="B20" s="6" t="n">
        <v>985.55</v>
      </c>
      <c r="C20" s="5" t="n">
        <v>1</v>
      </c>
      <c r="D20" s="32" t="n">
        <f aca="false">IFERROR(B20/SUM(B$4:B$23),0)</f>
        <v>0.00203111560706924</v>
      </c>
    </row>
    <row r="21" customFormat="false" ht="15" hidden="false" customHeight="true" outlineLevel="0" collapsed="false">
      <c r="A21" s="5" t="s">
        <v>319</v>
      </c>
      <c r="B21" s="6" t="n">
        <v>591.82</v>
      </c>
      <c r="C21" s="5" t="n">
        <v>2</v>
      </c>
      <c r="D21" s="32" t="n">
        <f aca="false">IFERROR(B21/SUM(B$4:B$23),0)</f>
        <v>0.00121967920305994</v>
      </c>
    </row>
    <row r="22" customFormat="false" ht="15" hidden="false" customHeight="true" outlineLevel="0" collapsed="false">
      <c r="A22" s="5" t="s">
        <v>320</v>
      </c>
      <c r="B22" s="6" t="n">
        <v>270.69</v>
      </c>
      <c r="C22" s="5" t="n">
        <v>2</v>
      </c>
      <c r="D22" s="32" t="n">
        <f aca="false">IFERROR(B22/SUM(B$4:B$23),0)</f>
        <v>0.000557863815816116</v>
      </c>
    </row>
    <row r="23" customFormat="false" ht="15" hidden="false" customHeight="true" outlineLevel="0" collapsed="false">
      <c r="A23" s="5" t="s">
        <v>321</v>
      </c>
      <c r="B23" s="6" t="n">
        <v>0</v>
      </c>
      <c r="C23" s="5" t="n">
        <v>2</v>
      </c>
      <c r="D23" s="32" t="n">
        <f aca="false">IFERROR(B23/SUM(B$4:B$23),0)</f>
        <v>0</v>
      </c>
    </row>
    <row r="24" customFormat="false" ht="15" hidden="false" customHeight="true" outlineLevel="0" collapsed="false">
      <c r="A24" s="13" t="s">
        <v>322</v>
      </c>
      <c r="B24" s="7" t="n">
        <f aca="false">SUM(B4:B23)</f>
        <v>485225.95</v>
      </c>
      <c r="C24" s="35" t="n">
        <f aca="false">SUM(C4:C23)</f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323</v>
      </c>
    </row>
    <row r="3" customFormat="false" ht="15" hidden="false" customHeight="true" outlineLevel="0" collapsed="false">
      <c r="A3" s="24" t="s">
        <v>324</v>
      </c>
      <c r="B3" s="24" t="s">
        <v>325</v>
      </c>
      <c r="C3" s="24" t="s">
        <v>326</v>
      </c>
      <c r="D3" s="24" t="s">
        <v>327</v>
      </c>
      <c r="E3" s="24" t="s">
        <v>328</v>
      </c>
    </row>
    <row r="4" customFormat="false" ht="15" hidden="false" customHeight="true" outlineLevel="0" collapsed="false">
      <c r="A4" s="5" t="s">
        <v>329</v>
      </c>
      <c r="B4" s="36" t="n">
        <v>1413</v>
      </c>
      <c r="C4" s="6" t="n">
        <v>31952</v>
      </c>
      <c r="D4" s="37" t="n">
        <f aca="false">IFERROR(C4/B4,0)</f>
        <v>22.6128803963199</v>
      </c>
      <c r="E4" s="5" t="s">
        <v>330</v>
      </c>
    </row>
    <row r="5" customFormat="false" ht="15" hidden="false" customHeight="true" outlineLevel="0" collapsed="false">
      <c r="A5" s="5" t="s">
        <v>331</v>
      </c>
      <c r="B5" s="36" t="n">
        <v>1341</v>
      </c>
      <c r="C5" s="6" t="n">
        <v>43087</v>
      </c>
      <c r="D5" s="37" t="n">
        <f aca="false">IFERROR(C5/B5,0)</f>
        <v>32.1304996271439</v>
      </c>
      <c r="E5" s="5" t="s">
        <v>330</v>
      </c>
    </row>
    <row r="6" customFormat="false" ht="15" hidden="false" customHeight="true" outlineLevel="0" collapsed="false">
      <c r="A6" s="5" t="s">
        <v>332</v>
      </c>
      <c r="B6" s="36" t="n">
        <v>1340</v>
      </c>
      <c r="C6" s="6" t="n">
        <v>41653</v>
      </c>
      <c r="D6" s="37" t="n">
        <f aca="false">IFERROR(C6/B6,0)</f>
        <v>31.084328358209</v>
      </c>
      <c r="E6" s="5" t="s">
        <v>330</v>
      </c>
    </row>
    <row r="7" customFormat="false" ht="15" hidden="false" customHeight="true" outlineLevel="0" collapsed="false">
      <c r="A7" s="5" t="s">
        <v>333</v>
      </c>
      <c r="B7" s="36" t="n">
        <v>1288</v>
      </c>
      <c r="C7" s="6" t="n">
        <v>36015</v>
      </c>
      <c r="D7" s="37" t="n">
        <f aca="false">IFERROR(C7/B7,0)</f>
        <v>27.9619565217391</v>
      </c>
      <c r="E7" s="5" t="s">
        <v>330</v>
      </c>
    </row>
    <row r="8" customFormat="false" ht="15" hidden="false" customHeight="true" outlineLevel="0" collapsed="false">
      <c r="A8" s="5" t="s">
        <v>334</v>
      </c>
      <c r="B8" s="36" t="n">
        <v>1281</v>
      </c>
      <c r="C8" s="6" t="n">
        <v>30554</v>
      </c>
      <c r="D8" s="37" t="n">
        <f aca="false">IFERROR(C8/B8,0)</f>
        <v>23.8516783762685</v>
      </c>
      <c r="E8" s="5" t="s">
        <v>330</v>
      </c>
    </row>
    <row r="9" customFormat="false" ht="15" hidden="false" customHeight="true" outlineLevel="0" collapsed="false">
      <c r="A9" s="5" t="s">
        <v>335</v>
      </c>
      <c r="B9" s="36" t="n">
        <v>1192.5</v>
      </c>
      <c r="C9" s="6" t="n">
        <v>53703</v>
      </c>
      <c r="D9" s="37" t="n">
        <f aca="false">IFERROR(C9/B9,0)</f>
        <v>45.0339622641509</v>
      </c>
      <c r="E9" s="5" t="s">
        <v>336</v>
      </c>
    </row>
    <row r="10" customFormat="false" ht="15" hidden="false" customHeight="true" outlineLevel="0" collapsed="false">
      <c r="A10" s="5" t="s">
        <v>337</v>
      </c>
      <c r="B10" s="36" t="n">
        <v>1190</v>
      </c>
      <c r="C10" s="6" t="n">
        <v>21184</v>
      </c>
      <c r="D10" s="37" t="n">
        <f aca="false">IFERROR(C10/B10,0)</f>
        <v>17.8016806722689</v>
      </c>
      <c r="E10" s="5" t="s">
        <v>338</v>
      </c>
    </row>
    <row r="11" customFormat="false" ht="15" hidden="false" customHeight="true" outlineLevel="0" collapsed="false">
      <c r="A11" s="5" t="s">
        <v>339</v>
      </c>
      <c r="B11" s="36" t="n">
        <v>1060</v>
      </c>
      <c r="C11" s="6" t="n">
        <v>30796</v>
      </c>
      <c r="D11" s="37" t="n">
        <f aca="false">IFERROR(C11/B11,0)</f>
        <v>29.0528301886792</v>
      </c>
      <c r="E11" s="5" t="s">
        <v>330</v>
      </c>
    </row>
    <row r="12" customFormat="false" ht="15" hidden="false" customHeight="true" outlineLevel="0" collapsed="false">
      <c r="A12" s="5" t="s">
        <v>340</v>
      </c>
      <c r="B12" s="36" t="n">
        <v>817</v>
      </c>
      <c r="C12" s="6" t="n">
        <v>18347</v>
      </c>
      <c r="D12" s="37" t="n">
        <f aca="false">IFERROR(C12/B12,0)</f>
        <v>22.4565483476132</v>
      </c>
      <c r="E12" s="5" t="s">
        <v>330</v>
      </c>
    </row>
    <row r="13" customFormat="false" ht="15" hidden="false" customHeight="true" outlineLevel="0" collapsed="false">
      <c r="A13" s="5" t="s">
        <v>341</v>
      </c>
      <c r="B13" s="36" t="n">
        <v>649</v>
      </c>
      <c r="C13" s="6" t="n">
        <v>10916</v>
      </c>
      <c r="D13" s="37" t="n">
        <f aca="false">IFERROR(C13/B13,0)</f>
        <v>16.8197226502311</v>
      </c>
      <c r="E13" s="5" t="s">
        <v>338</v>
      </c>
    </row>
    <row r="14" customFormat="false" ht="15" hidden="false" customHeight="true" outlineLevel="0" collapsed="false">
      <c r="A14" s="5" t="s">
        <v>342</v>
      </c>
      <c r="B14" s="36" t="n">
        <v>622.5</v>
      </c>
      <c r="C14" s="6" t="n">
        <v>30174</v>
      </c>
      <c r="D14" s="37" t="n">
        <f aca="false">IFERROR(C14/B14,0)</f>
        <v>48.4722891566265</v>
      </c>
      <c r="E14" s="5" t="s">
        <v>336</v>
      </c>
    </row>
    <row r="15" customFormat="false" ht="15" hidden="false" customHeight="true" outlineLevel="0" collapsed="false">
      <c r="A15" s="5" t="s">
        <v>343</v>
      </c>
      <c r="B15" s="36" t="n">
        <v>551</v>
      </c>
      <c r="C15" s="6" t="n">
        <v>8816</v>
      </c>
      <c r="D15" s="37" t="n">
        <f aca="false">IFERROR(C15/B15,0)</f>
        <v>16</v>
      </c>
      <c r="E15" s="5" t="s">
        <v>338</v>
      </c>
    </row>
    <row r="16" customFormat="false" ht="15" hidden="false" customHeight="true" outlineLevel="0" collapsed="false">
      <c r="A16" s="5" t="s">
        <v>344</v>
      </c>
      <c r="B16" s="36" t="n">
        <v>360</v>
      </c>
      <c r="C16" s="6" t="n">
        <v>9363</v>
      </c>
      <c r="D16" s="37" t="n">
        <f aca="false">IFERROR(C16/B16,0)</f>
        <v>26.0083333333333</v>
      </c>
      <c r="E16" s="5" t="s">
        <v>330</v>
      </c>
    </row>
    <row r="17" customFormat="false" ht="15" hidden="false" customHeight="true" outlineLevel="0" collapsed="false">
      <c r="A17" s="5" t="s">
        <v>345</v>
      </c>
      <c r="B17" s="36" t="n">
        <v>280</v>
      </c>
      <c r="C17" s="6" t="n">
        <v>9752</v>
      </c>
      <c r="D17" s="37" t="n">
        <f aca="false">IFERROR(C17/B17,0)</f>
        <v>34.8285714285714</v>
      </c>
      <c r="E17" s="5" t="s">
        <v>330</v>
      </c>
    </row>
    <row r="18" customFormat="false" ht="15" hidden="false" customHeight="true" outlineLevel="0" collapsed="false">
      <c r="A18" s="5" t="s">
        <v>346</v>
      </c>
      <c r="B18" s="36" t="n">
        <v>268</v>
      </c>
      <c r="C18" s="6" t="n">
        <v>9888</v>
      </c>
      <c r="D18" s="37" t="n">
        <f aca="false">IFERROR(C18/B18,0)</f>
        <v>36.8955223880597</v>
      </c>
      <c r="E18" s="5" t="s">
        <v>336</v>
      </c>
    </row>
    <row r="19" customFormat="false" ht="15" hidden="false" customHeight="true" outlineLevel="0" collapsed="false">
      <c r="A19" s="5" t="s">
        <v>347</v>
      </c>
      <c r="B19" s="36" t="n">
        <v>245</v>
      </c>
      <c r="C19" s="6" t="n">
        <v>7201</v>
      </c>
      <c r="D19" s="37" t="n">
        <f aca="false">IFERROR(C19/B19,0)</f>
        <v>29.3918367346939</v>
      </c>
      <c r="E19" s="5" t="s">
        <v>330</v>
      </c>
    </row>
    <row r="20" customFormat="false" ht="15" hidden="false" customHeight="true" outlineLevel="0" collapsed="false">
      <c r="A20" s="5" t="s">
        <v>348</v>
      </c>
      <c r="B20" s="36" t="n">
        <v>220.5</v>
      </c>
      <c r="C20" s="6" t="n">
        <v>11394</v>
      </c>
      <c r="D20" s="37" t="n">
        <f aca="false">IFERROR(C20/B20,0)</f>
        <v>51.6734693877551</v>
      </c>
      <c r="E20" s="5" t="s">
        <v>336</v>
      </c>
    </row>
    <row r="21" customFormat="false" ht="15" hidden="false" customHeight="true" outlineLevel="0" collapsed="false">
      <c r="A21" s="5" t="s">
        <v>349</v>
      </c>
      <c r="B21" s="36" t="n">
        <v>206</v>
      </c>
      <c r="C21" s="6" t="n">
        <v>4796</v>
      </c>
      <c r="D21" s="37" t="n">
        <f aca="false">IFERROR(C21/B21,0)</f>
        <v>23.2815533980583</v>
      </c>
      <c r="E21" s="5" t="s">
        <v>330</v>
      </c>
    </row>
    <row r="22" customFormat="false" ht="15" hidden="false" customHeight="true" outlineLevel="0" collapsed="false">
      <c r="A22" s="5" t="s">
        <v>350</v>
      </c>
      <c r="B22" s="36" t="n">
        <v>189</v>
      </c>
      <c r="C22" s="6" t="n">
        <v>3024</v>
      </c>
      <c r="D22" s="37" t="n">
        <f aca="false">IFERROR(C22/B22,0)</f>
        <v>16</v>
      </c>
      <c r="E22" s="5" t="s">
        <v>338</v>
      </c>
    </row>
    <row r="23" customFormat="false" ht="15" hidden="false" customHeight="true" outlineLevel="0" collapsed="false">
      <c r="A23" s="5" t="s">
        <v>351</v>
      </c>
      <c r="B23" s="36" t="n">
        <v>106</v>
      </c>
      <c r="C23" s="6" t="n">
        <v>6625</v>
      </c>
      <c r="D23" s="37" t="n">
        <f aca="false">IFERROR(C23/B23,0)</f>
        <v>62.5</v>
      </c>
      <c r="E23" s="5" t="s">
        <v>336</v>
      </c>
    </row>
    <row r="24" customFormat="false" ht="15" hidden="false" customHeight="true" outlineLevel="0" collapsed="false">
      <c r="A24" s="5" t="s">
        <v>352</v>
      </c>
      <c r="B24" s="36" t="n">
        <v>104.5</v>
      </c>
      <c r="C24" s="6" t="n">
        <v>5470</v>
      </c>
      <c r="D24" s="37" t="n">
        <f aca="false">IFERROR(C24/B24,0)</f>
        <v>52.3444976076555</v>
      </c>
      <c r="E24" s="5" t="s">
        <v>336</v>
      </c>
    </row>
    <row r="25" customFormat="false" ht="15" hidden="false" customHeight="true" outlineLevel="0" collapsed="false">
      <c r="A25" s="5" t="s">
        <v>353</v>
      </c>
      <c r="B25" s="36" t="n">
        <v>93</v>
      </c>
      <c r="C25" s="6" t="n">
        <v>2799</v>
      </c>
      <c r="D25" s="37" t="n">
        <f aca="false">IFERROR(C25/B25,0)</f>
        <v>30.0967741935484</v>
      </c>
      <c r="E25" s="5" t="s">
        <v>330</v>
      </c>
    </row>
    <row r="26" customFormat="false" ht="15" hidden="false" customHeight="true" outlineLevel="0" collapsed="false">
      <c r="A26" s="5" t="s">
        <v>354</v>
      </c>
      <c r="B26" s="36" t="n">
        <v>88</v>
      </c>
      <c r="C26" s="6" t="n">
        <v>1500</v>
      </c>
      <c r="D26" s="37" t="n">
        <f aca="false">IFERROR(C26/B26,0)</f>
        <v>17.0454545454545</v>
      </c>
      <c r="E26" s="5" t="s">
        <v>338</v>
      </c>
    </row>
    <row r="27" customFormat="false" ht="15" hidden="false" customHeight="true" outlineLevel="0" collapsed="false">
      <c r="A27" s="5" t="s">
        <v>355</v>
      </c>
      <c r="B27" s="36" t="n">
        <v>82</v>
      </c>
      <c r="C27" s="6" t="n">
        <v>2004</v>
      </c>
      <c r="D27" s="37" t="n">
        <f aca="false">IFERROR(C27/B27,0)</f>
        <v>24.4390243902439</v>
      </c>
      <c r="E27" s="5" t="s">
        <v>330</v>
      </c>
    </row>
    <row r="28" customFormat="false" ht="15" hidden="false" customHeight="true" outlineLevel="0" collapsed="false">
      <c r="A28" s="5" t="s">
        <v>356</v>
      </c>
      <c r="B28" s="36" t="n">
        <v>80</v>
      </c>
      <c r="C28" s="6" t="n">
        <v>3974</v>
      </c>
      <c r="D28" s="37" t="n">
        <f aca="false">IFERROR(C28/B28,0)</f>
        <v>49.675</v>
      </c>
      <c r="E28" s="5" t="s">
        <v>336</v>
      </c>
    </row>
    <row r="29" customFormat="false" ht="15" hidden="false" customHeight="true" outlineLevel="0" collapsed="false">
      <c r="A29" s="5" t="s">
        <v>357</v>
      </c>
      <c r="B29" s="36" t="n">
        <v>69</v>
      </c>
      <c r="C29" s="6" t="n">
        <v>2288</v>
      </c>
      <c r="D29" s="37" t="n">
        <f aca="false">IFERROR(C29/B29,0)</f>
        <v>33.1594202898551</v>
      </c>
      <c r="E29" s="5" t="s">
        <v>330</v>
      </c>
    </row>
    <row r="30" customFormat="false" ht="15" hidden="false" customHeight="true" outlineLevel="0" collapsed="false">
      <c r="A30" s="5" t="s">
        <v>358</v>
      </c>
      <c r="B30" s="36" t="n">
        <v>48</v>
      </c>
      <c r="C30" s="6" t="n">
        <v>816</v>
      </c>
      <c r="D30" s="37" t="n">
        <f aca="false">IFERROR(C30/B30,0)</f>
        <v>17</v>
      </c>
      <c r="E30" s="5" t="s">
        <v>338</v>
      </c>
    </row>
    <row r="31" customFormat="false" ht="15" hidden="false" customHeight="true" outlineLevel="0" collapsed="false">
      <c r="A31" s="5" t="s">
        <v>359</v>
      </c>
      <c r="B31" s="36" t="n">
        <v>47.5</v>
      </c>
      <c r="C31" s="6" t="n">
        <v>808</v>
      </c>
      <c r="D31" s="37" t="n">
        <f aca="false">IFERROR(C31/B31,0)</f>
        <v>17.0105263157895</v>
      </c>
      <c r="E31" s="5" t="s">
        <v>338</v>
      </c>
    </row>
    <row r="32" customFormat="false" ht="15" hidden="false" customHeight="true" outlineLevel="0" collapsed="false">
      <c r="A32" s="5" t="s">
        <v>360</v>
      </c>
      <c r="B32" s="36" t="n">
        <v>38</v>
      </c>
      <c r="C32" s="6" t="n">
        <v>986</v>
      </c>
      <c r="D32" s="37" t="n">
        <f aca="false">IFERROR(C32/B32,0)</f>
        <v>25.9473684210526</v>
      </c>
      <c r="E32" s="5" t="s">
        <v>330</v>
      </c>
    </row>
    <row r="33" customFormat="false" ht="15" hidden="false" customHeight="true" outlineLevel="0" collapsed="false">
      <c r="A33" s="5" t="s">
        <v>361</v>
      </c>
      <c r="B33" s="36" t="n">
        <v>24</v>
      </c>
      <c r="C33" s="6" t="n">
        <v>432</v>
      </c>
      <c r="D33" s="37" t="n">
        <f aca="false">IFERROR(C33/B33,0)</f>
        <v>18</v>
      </c>
      <c r="E33" s="5" t="s">
        <v>338</v>
      </c>
    </row>
    <row r="34" customFormat="false" ht="15" hidden="false" customHeight="true" outlineLevel="0" collapsed="false">
      <c r="A34" s="5" t="s">
        <v>362</v>
      </c>
      <c r="B34" s="36" t="n">
        <v>23</v>
      </c>
      <c r="C34" s="6" t="n">
        <v>741</v>
      </c>
      <c r="D34" s="37" t="n">
        <f aca="false">IFERROR(C34/B34,0)</f>
        <v>32.2173913043478</v>
      </c>
      <c r="E34" s="5" t="s">
        <v>330</v>
      </c>
    </row>
    <row r="35" customFormat="false" ht="15" hidden="false" customHeight="true" outlineLevel="0" collapsed="false">
      <c r="A35" s="5" t="s">
        <v>363</v>
      </c>
      <c r="B35" s="36" t="n">
        <v>23</v>
      </c>
      <c r="C35" s="6" t="n">
        <v>851</v>
      </c>
      <c r="D35" s="37" t="n">
        <f aca="false">IFERROR(C35/B35,0)</f>
        <v>37</v>
      </c>
      <c r="E35" s="5" t="s">
        <v>336</v>
      </c>
    </row>
    <row r="36" customFormat="false" ht="15" hidden="false" customHeight="true" outlineLevel="0" collapsed="false">
      <c r="A36" s="5" t="s">
        <v>364</v>
      </c>
      <c r="B36" s="36" t="n">
        <v>16</v>
      </c>
      <c r="C36" s="6" t="n">
        <v>304</v>
      </c>
      <c r="D36" s="37" t="n">
        <f aca="false">IFERROR(C36/B36,0)</f>
        <v>19</v>
      </c>
      <c r="E36" s="5" t="s">
        <v>338</v>
      </c>
    </row>
    <row r="37" customFormat="false" ht="15" hidden="false" customHeight="true" outlineLevel="0" collapsed="false">
      <c r="A37" s="5" t="s">
        <v>365</v>
      </c>
      <c r="B37" s="36" t="n">
        <v>16</v>
      </c>
      <c r="C37" s="6" t="n">
        <v>432</v>
      </c>
      <c r="D37" s="37" t="n">
        <f aca="false">IFERROR(C37/B37,0)</f>
        <v>27</v>
      </c>
      <c r="E37" s="5" t="s">
        <v>330</v>
      </c>
    </row>
    <row r="38" customFormat="false" ht="15" hidden="false" customHeight="true" outlineLevel="0" collapsed="false">
      <c r="A38" s="5" t="s">
        <v>366</v>
      </c>
      <c r="B38" s="36" t="n">
        <v>14</v>
      </c>
      <c r="C38" s="6" t="n">
        <v>224</v>
      </c>
      <c r="D38" s="37" t="n">
        <f aca="false">IFERROR(C38/B38,0)</f>
        <v>16</v>
      </c>
      <c r="E38" s="5" t="s">
        <v>338</v>
      </c>
    </row>
    <row r="39" customFormat="false" ht="15" hidden="false" customHeight="true" outlineLevel="0" collapsed="false">
      <c r="A39" s="5" t="s">
        <v>367</v>
      </c>
      <c r="B39" s="36" t="n">
        <v>5</v>
      </c>
      <c r="C39" s="6" t="n">
        <v>85</v>
      </c>
      <c r="D39" s="37" t="n">
        <f aca="false">IFERROR(C39/B39,0)</f>
        <v>17</v>
      </c>
      <c r="E39" s="5" t="s">
        <v>338</v>
      </c>
    </row>
    <row r="40" customFormat="false" ht="15" hidden="false" customHeight="true" outlineLevel="0" collapsed="false">
      <c r="A40" s="5" t="s">
        <v>368</v>
      </c>
      <c r="B40" s="36" t="n">
        <v>5</v>
      </c>
      <c r="C40" s="6" t="n">
        <v>135</v>
      </c>
      <c r="D40" s="37" t="n">
        <f aca="false">IFERROR(C40/B40,0)</f>
        <v>27</v>
      </c>
      <c r="E40" s="5" t="s">
        <v>369</v>
      </c>
    </row>
    <row r="41" customFormat="false" ht="15" hidden="false" customHeight="true" outlineLevel="0" collapsed="false">
      <c r="A41" s="5" t="s">
        <v>370</v>
      </c>
      <c r="B41" s="36" t="n">
        <v>3</v>
      </c>
      <c r="C41" s="6" t="n">
        <v>75</v>
      </c>
      <c r="D41" s="37" t="n">
        <f aca="false">IFERROR(C41/B41,0)</f>
        <v>25</v>
      </c>
      <c r="E41" s="5" t="s">
        <v>330</v>
      </c>
    </row>
    <row r="42" customFormat="false" ht="15" hidden="false" customHeight="true" outlineLevel="0" collapsed="false">
      <c r="A42" s="5" t="s">
        <v>371</v>
      </c>
      <c r="B42" s="36" t="n">
        <v>3</v>
      </c>
      <c r="C42" s="6" t="n">
        <v>78</v>
      </c>
      <c r="D42" s="37" t="n">
        <f aca="false">IFERROR(C42/B42,0)</f>
        <v>26</v>
      </c>
      <c r="E42" s="5" t="s"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372</v>
      </c>
    </row>
    <row r="3" customFormat="false" ht="15" hidden="false" customHeight="true" outlineLevel="0" collapsed="false">
      <c r="A3" s="24" t="s">
        <v>328</v>
      </c>
      <c r="B3" s="24" t="s">
        <v>373</v>
      </c>
      <c r="C3" s="24" t="s">
        <v>325</v>
      </c>
      <c r="D3" s="24" t="s">
        <v>326</v>
      </c>
      <c r="E3" s="24" t="s">
        <v>374</v>
      </c>
    </row>
    <row r="4" customFormat="false" ht="15" hidden="false" customHeight="true" outlineLevel="0" collapsed="false">
      <c r="A4" s="13" t="s">
        <v>336</v>
      </c>
      <c r="B4" s="5" t="n">
        <v>8</v>
      </c>
      <c r="C4" s="36" t="n">
        <v>2617</v>
      </c>
      <c r="D4" s="6" t="n">
        <v>122080</v>
      </c>
      <c r="E4" s="32" t="n">
        <f aca="false">IFERROR(C4/SUM(C$4:C$7),0)</f>
        <v>0.169918514430413</v>
      </c>
    </row>
    <row r="5" customFormat="false" ht="15" hidden="false" customHeight="true" outlineLevel="0" collapsed="false">
      <c r="A5" s="13" t="s">
        <v>330</v>
      </c>
      <c r="B5" s="5" t="n">
        <v>19</v>
      </c>
      <c r="C5" s="36" t="n">
        <v>9958</v>
      </c>
      <c r="D5" s="6" t="n">
        <v>272918</v>
      </c>
      <c r="E5" s="32" t="n">
        <f aca="false">IFERROR(C5/SUM(C$4:C$7),0)</f>
        <v>0.646560399961043</v>
      </c>
    </row>
    <row r="6" customFormat="false" ht="15" hidden="false" customHeight="true" outlineLevel="0" collapsed="false">
      <c r="A6" s="13" t="s">
        <v>338</v>
      </c>
      <c r="B6" s="5" t="n">
        <v>11</v>
      </c>
      <c r="C6" s="36" t="n">
        <v>2821.5</v>
      </c>
      <c r="D6" s="6" t="n">
        <v>48109</v>
      </c>
      <c r="E6" s="32" t="n">
        <f aca="false">IFERROR(C6/SUM(C$4:C$7),0)</f>
        <v>0.183196441905009</v>
      </c>
    </row>
    <row r="7" customFormat="false" ht="15" hidden="false" customHeight="true" outlineLevel="0" collapsed="false">
      <c r="A7" s="13" t="s">
        <v>369</v>
      </c>
      <c r="B7" s="5" t="n">
        <v>1</v>
      </c>
      <c r="C7" s="36" t="n">
        <v>5</v>
      </c>
      <c r="D7" s="6" t="n">
        <v>135</v>
      </c>
      <c r="E7" s="32" t="n">
        <f aca="false">IFERROR(C7/SUM(C$4:C$7),0)</f>
        <v>0.00032464370353537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375</v>
      </c>
    </row>
    <row r="3" customFormat="false" ht="15" hidden="false" customHeight="true" outlineLevel="0" collapsed="false">
      <c r="A3" s="5" t="s">
        <v>376</v>
      </c>
      <c r="B3" s="36" t="n">
        <v>15402</v>
      </c>
    </row>
    <row r="4" customFormat="false" ht="15" hidden="false" customHeight="true" outlineLevel="0" collapsed="false">
      <c r="A4" s="5" t="s">
        <v>377</v>
      </c>
      <c r="B4" s="38" t="n">
        <v>39</v>
      </c>
    </row>
    <row r="5" customFormat="false" ht="15" hidden="false" customHeight="true" outlineLevel="0" collapsed="false">
      <c r="A5" s="5" t="s">
        <v>378</v>
      </c>
      <c r="B5" s="36" t="n">
        <v>143.9</v>
      </c>
    </row>
    <row r="6" customFormat="false" ht="15" hidden="false" customHeight="true" outlineLevel="0" collapsed="false">
      <c r="A6" s="5" t="s">
        <v>379</v>
      </c>
      <c r="B6" s="39" t="n">
        <v>144.86</v>
      </c>
    </row>
    <row r="7" customFormat="false" ht="15" hidden="false" customHeight="true" outlineLevel="0" collapsed="false">
      <c r="A7" s="5" t="s">
        <v>12</v>
      </c>
      <c r="B7" s="4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380</v>
      </c>
    </row>
    <row r="3" customFormat="false" ht="15" hidden="false" customHeight="true" outlineLevel="0" collapsed="false">
      <c r="A3" s="24" t="s">
        <v>381</v>
      </c>
      <c r="B3" s="24" t="s">
        <v>382</v>
      </c>
      <c r="C3" s="24" t="s">
        <v>383</v>
      </c>
      <c r="D3" s="24" t="s">
        <v>178</v>
      </c>
    </row>
    <row r="4" customFormat="false" ht="15" hidden="false" customHeight="true" outlineLevel="0" collapsed="false">
      <c r="A4" s="5" t="s">
        <v>384</v>
      </c>
      <c r="B4" s="40" t="n">
        <v>0.253351422097816</v>
      </c>
      <c r="C4" s="40" t="n">
        <v>0.34</v>
      </c>
      <c r="D4" s="32" t="n">
        <f aca="false">B4-C4</f>
        <v>-0.086648577902184</v>
      </c>
    </row>
    <row r="5" customFormat="false" ht="15" hidden="false" customHeight="true" outlineLevel="0" collapsed="false">
      <c r="A5" s="5" t="s">
        <v>385</v>
      </c>
      <c r="B5" s="40" t="n">
        <v>0.406486040329005</v>
      </c>
      <c r="C5" s="40" t="n">
        <v>0.45</v>
      </c>
      <c r="D5" s="32" t="n">
        <f aca="false">B5-C5</f>
        <v>-0.043513959670995</v>
      </c>
    </row>
    <row r="6" customFormat="false" ht="15" hidden="false" customHeight="true" outlineLevel="0" collapsed="false">
      <c r="A6" s="5" t="s">
        <v>386</v>
      </c>
      <c r="B6" s="40" t="n">
        <v>0.226759904329107</v>
      </c>
      <c r="C6" s="40" t="n">
        <v>0.38</v>
      </c>
      <c r="D6" s="32" t="n">
        <f aca="false">B6-C6</f>
        <v>-0.153240095670893</v>
      </c>
    </row>
    <row r="7" customFormat="false" ht="15" hidden="false" customHeight="true" outlineLevel="0" collapsed="false">
      <c r="A7" s="5" t="s">
        <v>387</v>
      </c>
      <c r="B7" s="36" t="n">
        <v>143.939252336449</v>
      </c>
      <c r="C7" s="36" t="n">
        <v>95</v>
      </c>
      <c r="D7" s="41" t="n">
        <f aca="false">B7-C7</f>
        <v>48.939252336449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388</v>
      </c>
    </row>
    <row r="3" customFormat="false" ht="15" hidden="false" customHeight="true" outlineLevel="0" collapsed="false">
      <c r="A3" s="24" t="s">
        <v>389</v>
      </c>
      <c r="B3" s="24" t="s">
        <v>296</v>
      </c>
      <c r="C3" s="24" t="s">
        <v>390</v>
      </c>
    </row>
    <row r="4" customFormat="false" ht="15" hidden="false" customHeight="true" outlineLevel="0" collapsed="false">
      <c r="A4" s="5" t="s">
        <v>391</v>
      </c>
      <c r="B4" s="42" t="s">
        <v>392</v>
      </c>
      <c r="C4" s="5" t="s">
        <v>393</v>
      </c>
    </row>
    <row r="5" customFormat="false" ht="15" hidden="false" customHeight="true" outlineLevel="0" collapsed="false">
      <c r="A5" s="5" t="s">
        <v>394</v>
      </c>
      <c r="B5" s="43" t="s">
        <v>395</v>
      </c>
      <c r="C5" s="5" t="s">
        <v>396</v>
      </c>
    </row>
    <row r="6" customFormat="false" ht="15" hidden="false" customHeight="true" outlineLevel="0" collapsed="false">
      <c r="A6" s="5" t="s">
        <v>397</v>
      </c>
      <c r="B6" s="43" t="s">
        <v>395</v>
      </c>
      <c r="C6" s="5" t="s">
        <v>398</v>
      </c>
    </row>
    <row r="7" customFormat="false" ht="15" hidden="false" customHeight="true" outlineLevel="0" collapsed="false">
      <c r="A7" s="5" t="s">
        <v>6</v>
      </c>
      <c r="B7" s="43" t="s">
        <v>395</v>
      </c>
      <c r="C7" s="5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400</v>
      </c>
    </row>
    <row r="3" customFormat="false" ht="15" hidden="false" customHeight="true" outlineLevel="0" collapsed="false">
      <c r="A3" s="24" t="s">
        <v>14</v>
      </c>
      <c r="B3" s="24" t="s">
        <v>401</v>
      </c>
      <c r="C3" s="24" t="s">
        <v>402</v>
      </c>
      <c r="D3" s="24" t="s">
        <v>178</v>
      </c>
    </row>
    <row r="4" customFormat="false" ht="15" hidden="false" customHeight="true" outlineLevel="0" collapsed="false">
      <c r="A4" s="5" t="s">
        <v>403</v>
      </c>
      <c r="B4" s="6" t="n">
        <v>1217210.98</v>
      </c>
      <c r="C4" s="6" t="n">
        <v>1217210.98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404</v>
      </c>
      <c r="B5" s="6" t="n">
        <v>-2231035</v>
      </c>
      <c r="C5" s="6" t="n">
        <v>2231035</v>
      </c>
      <c r="D5" s="10" t="n">
        <f aca="false">IF(ISNUMBER(B5),B5-C5,"—")</f>
        <v>-4462070</v>
      </c>
    </row>
    <row r="6" customFormat="false" ht="15" hidden="false" customHeight="true" outlineLevel="0" collapsed="false">
      <c r="A6" s="5" t="s">
        <v>405</v>
      </c>
      <c r="C6" s="6" t="n">
        <v>485225.95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406</v>
      </c>
      <c r="C7" s="6" t="n">
        <v>673729.1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407</v>
      </c>
      <c r="C8" s="6" t="n">
        <v>58255.93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408</v>
      </c>
    </row>
    <row r="3" customFormat="false" ht="15" hidden="false" customHeight="true" outlineLevel="0" collapsed="false">
      <c r="A3" s="24" t="s">
        <v>381</v>
      </c>
      <c r="B3" s="24" t="s">
        <v>409</v>
      </c>
      <c r="C3" s="24" t="s">
        <v>410</v>
      </c>
    </row>
    <row r="4" customFormat="false" ht="15" hidden="false" customHeight="true" outlineLevel="0" collapsed="false">
      <c r="A4" s="44" t="s">
        <v>384</v>
      </c>
      <c r="B4" s="44" t="s">
        <v>411</v>
      </c>
      <c r="C4" s="44" t="s">
        <v>412</v>
      </c>
    </row>
    <row r="5" customFormat="false" ht="15" hidden="false" customHeight="true" outlineLevel="0" collapsed="false">
      <c r="A5" s="44" t="s">
        <v>12</v>
      </c>
      <c r="B5" s="44" t="s">
        <v>411</v>
      </c>
      <c r="C5" s="44" t="s">
        <v>413</v>
      </c>
    </row>
    <row r="6" customFormat="false" ht="15" hidden="false" customHeight="true" outlineLevel="0" collapsed="false">
      <c r="A6" s="44" t="s">
        <v>414</v>
      </c>
      <c r="B6" s="44" t="s">
        <v>415</v>
      </c>
      <c r="C6" s="44" t="s">
        <v>416</v>
      </c>
    </row>
    <row r="7" customFormat="false" ht="15" hidden="false" customHeight="true" outlineLevel="0" collapsed="false">
      <c r="A7" s="44" t="s">
        <v>386</v>
      </c>
      <c r="B7" s="44" t="s">
        <v>417</v>
      </c>
      <c r="C7" s="44" t="s">
        <v>418</v>
      </c>
    </row>
    <row r="8" customFormat="false" ht="15" hidden="false" customHeight="true" outlineLevel="0" collapsed="false">
      <c r="A8" s="44" t="s">
        <v>387</v>
      </c>
      <c r="B8" s="44" t="s">
        <v>419</v>
      </c>
      <c r="C8" s="44" t="s">
        <v>420</v>
      </c>
    </row>
    <row r="9" customFormat="false" ht="23.25" hidden="false" customHeight="true" outlineLevel="0" collapsed="false">
      <c r="A9" s="44" t="s">
        <v>421</v>
      </c>
      <c r="B9" s="44" t="s">
        <v>422</v>
      </c>
      <c r="C9" s="44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70"/>
  </cols>
  <sheetData>
    <row r="1" customFormat="false" ht="19.5" hidden="false" customHeight="true" outlineLevel="0" collapsed="false">
      <c r="A1" s="2" t="s">
        <v>424</v>
      </c>
    </row>
    <row r="3" customFormat="false" ht="15" hidden="false" customHeight="true" outlineLevel="0" collapsed="false">
      <c r="A3" s="24" t="s">
        <v>425</v>
      </c>
      <c r="B3" s="24" t="s">
        <v>426</v>
      </c>
      <c r="C3" s="24" t="s">
        <v>427</v>
      </c>
    </row>
    <row r="4" customFormat="false" ht="15" hidden="false" customHeight="true" outlineLevel="0" collapsed="false">
      <c r="A4" s="5" t="s">
        <v>428</v>
      </c>
      <c r="B4" s="5" t="s">
        <v>429</v>
      </c>
      <c r="C4" s="5" t="s">
        <v>430</v>
      </c>
    </row>
    <row r="6" customFormat="false" ht="45.75" hidden="false" customHeight="true" outlineLevel="0" collapsed="false">
      <c r="A6" s="28" t="s">
        <v>428</v>
      </c>
      <c r="B6" s="28" t="s">
        <v>431</v>
      </c>
      <c r="C6" s="30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2026-04-26T01:53:53Z</dcterms:created>
  <dc:creator>openpyxl</dc:creator>
  <dc:description/>
  <dc:language>en-US</dc:language>
  <cp:lastModifiedBy/>
  <dcterms:modified xsi:type="dcterms:W3CDTF">2026-04-26T02:07:30Z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