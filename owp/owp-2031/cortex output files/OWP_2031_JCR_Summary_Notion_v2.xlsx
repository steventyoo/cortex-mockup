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;[Red]-&quot;$&quot;#,##0.00"/>
    <numFmt numFmtId="166" formatCode="0.0%"/>
    <numFmt numFmtId="167" formatCode="0.00&quot;x&quot;"/>
    <numFmt numFmtId="168" formatCode="&quot;$&quot;#,##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  <font>
      <name val="Calibri"/>
      <b val="1"/>
      <color rgb="009E9E97"/>
      <sz val="9"/>
    </font>
    <font>
      <name val="Calibri"/>
      <b val="1"/>
      <color rgb="00191917"/>
      <sz val="22"/>
    </font>
    <font>
      <name val="Calibri"/>
      <i val="1"/>
      <color rgb="006B6B65"/>
      <sz val="11"/>
    </font>
    <font>
      <name val="Calibri"/>
      <color rgb="006B6B65"/>
      <sz val="10"/>
    </font>
    <font>
      <name val="Calibri"/>
      <color rgb="00191917"/>
      <sz val="10"/>
    </font>
    <font>
      <name val="Calibri"/>
      <b val="1"/>
      <color rgb="00166534"/>
      <sz val="9"/>
    </font>
    <font>
      <name val="Calibri"/>
      <b val="1"/>
      <color rgb="001E40AF"/>
      <sz val="9"/>
    </font>
    <font>
      <name val="Calibri"/>
      <b val="1"/>
      <color rgb="0092400E"/>
      <sz val="9"/>
    </font>
    <font>
      <name val="Calibri"/>
      <b val="1"/>
      <color rgb="00991B1B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E8E3D6"/>
      </patternFill>
    </fill>
    <fill>
      <patternFill patternType="solid">
        <fgColor rgb="00DCFCE7"/>
      </patternFill>
    </fill>
    <fill>
      <patternFill patternType="solid">
        <fgColor rgb="00FBFAF7"/>
      </patternFill>
    </fill>
    <fill>
      <patternFill patternType="solid">
        <fgColor rgb="00F3F0E8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CAC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E8E3D6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8" fillId="3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0" fillId="11" borderId="4" pivotButton="0" quotePrefix="0" xfId="0"/>
    <xf numFmtId="0" fontId="0" fillId="11" borderId="5" pivotButton="0" quotePrefix="0" xfId="0"/>
    <xf numFmtId="168" fontId="12" fillId="11" borderId="1" applyAlignment="1" pivotButton="0" quotePrefix="0" xfId="0">
      <alignment horizontal="right" vertical="center"/>
    </xf>
    <xf numFmtId="0" fontId="0" fillId="11" borderId="0" pivotButton="0" quotePrefix="0" xfId="0"/>
    <xf numFmtId="0" fontId="12" fillId="3" borderId="1" applyAlignment="1" pivotButton="0" quotePrefix="0" xfId="0">
      <alignment horizontal="left" vertical="center" wrapText="1"/>
    </xf>
    <xf numFmtId="164" fontId="12" fillId="0" borderId="1" applyAlignment="1" pivotButton="0" quotePrefix="0" xfId="0">
      <alignment horizontal="right" vertical="center"/>
    </xf>
    <xf numFmtId="4" fontId="12" fillId="0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 wrapText="1"/>
    </xf>
    <xf numFmtId="0" fontId="8" fillId="12" borderId="6" applyAlignment="1" pivotButton="0" quotePrefix="0" xfId="0">
      <alignment horizontal="left" vertical="center"/>
    </xf>
    <xf numFmtId="165" fontId="12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 wrapText="1"/>
    </xf>
    <xf numFmtId="166" fontId="12" fillId="0" borderId="1" applyAlignment="1" pivotButton="0" quotePrefix="0" xfId="0">
      <alignment horizontal="left" vertical="center" wrapText="1"/>
    </xf>
    <xf numFmtId="165" fontId="12" fillId="11" borderId="1" applyAlignment="1" pivotButton="0" quotePrefix="0" xfId="0">
      <alignment horizontal="right" vertical="center"/>
    </xf>
    <xf numFmtId="165" fontId="12" fillId="11" borderId="1" applyAlignment="1" pivotButton="0" quotePrefix="0" xfId="0">
      <alignment horizontal="left" vertical="center" wrapText="1"/>
    </xf>
    <xf numFmtId="166" fontId="12" fillId="11" borderId="1" applyAlignment="1" pivotButton="0" quotePrefix="0" xfId="0">
      <alignment horizontal="left" vertical="center" wrapText="1"/>
    </xf>
    <xf numFmtId="4" fontId="12" fillId="11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4" fontId="12" fillId="0" borderId="1" applyAlignment="1" pivotButton="0" quotePrefix="0" xfId="0">
      <alignment horizontal="left" vertical="center" wrapText="1"/>
    </xf>
    <xf numFmtId="164" fontId="12" fillId="11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164" fontId="12" fillId="11" borderId="1" applyAlignment="1" pivotButton="0" quotePrefix="0" xfId="0">
      <alignment horizontal="left" vertical="center" wrapText="1"/>
    </xf>
    <xf numFmtId="166" fontId="12" fillId="11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3" fontId="12" fillId="11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4" fontId="12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/>
    </xf>
    <xf numFmtId="10" fontId="12" fillId="11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 wrapText="1"/>
    </xf>
    <xf numFmtId="167" fontId="12" fillId="11" borderId="1" applyAlignment="1" pivotButton="0" quotePrefix="0" xfId="0">
      <alignment horizontal="right" vertical="center"/>
    </xf>
    <xf numFmtId="10" fontId="12" fillId="0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0" fontId="16" fillId="15" borderId="1" applyAlignment="1" pivotButton="0" quotePrefix="0" xfId="0">
      <alignment horizontal="center" vertical="center"/>
    </xf>
    <xf numFmtId="167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5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Job #2031 · Exxel Pacific Issaquah Gateway</t>
        </is>
      </c>
    </row>
    <row r="3" ht="22" customHeight="1">
      <c r="B3" s="43" t="inlineStr">
        <is>
          <t>Cortex JCR Cortex v2  •  Exxel Pacific, Inc. (customer 2031EP)  •  Issaquah Gateway, WA  •  Owner: Katerra / Exxel Pacific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PROJECT OVERVIEW</t>
        </is>
      </c>
    </row>
    <row r="6">
      <c r="B6" s="46" t="inlineStr">
        <is>
          <t>Project Job #</t>
        </is>
      </c>
      <c r="C6" s="47" t="inlineStr">
        <is>
          <t>2031</t>
        </is>
      </c>
      <c r="D6" s="6" t="n"/>
      <c r="E6" s="7" t="n"/>
      <c r="F6" s="47" t="inlineStr">
        <is>
          <t>2030 Job Detail Report.pdf (Sage Timberline, 04/03/2026, 190 pages) header</t>
        </is>
      </c>
      <c r="G6" s="6" t="n"/>
      <c r="H6" s="6" t="n"/>
      <c r="I6" s="6" t="n"/>
      <c r="J6" s="7" t="n"/>
    </row>
    <row r="7">
      <c r="B7" s="48" t="inlineStr">
        <is>
          <t>Project Name (Sage)</t>
        </is>
      </c>
      <c r="C7" s="49" t="inlineStr">
        <is>
          <t>Exxel Pacific Issaquah Gateway</t>
        </is>
      </c>
      <c r="D7" s="50" t="n"/>
      <c r="E7" s="51" t="n"/>
      <c r="F7" s="49" t="inlineStr">
        <is>
          <t>2030 Job Detail Report.pdf (Sage Timberline, 04/03/2026, 190 pages) header</t>
        </is>
      </c>
      <c r="G7" s="50" t="n"/>
      <c r="H7" s="50" t="n"/>
      <c r="I7" s="50" t="n"/>
      <c r="J7" s="51" t="n"/>
    </row>
    <row r="8">
      <c r="B8" s="46" t="inlineStr">
        <is>
          <t>Project Description</t>
        </is>
      </c>
      <c r="C8" s="47" t="inlineStr">
        <is>
          <t>Issaquah Gateway — 296-unit new construction plumbing</t>
        </is>
      </c>
      <c r="D8" s="6" t="n"/>
      <c r="E8" s="7" t="n"/>
      <c r="F8" s="47" t="inlineStr">
        <is>
          <t>Exxel Pacific Issaquah Gateway Subcontract / AR line descriptions</t>
        </is>
      </c>
      <c r="G8" s="6" t="n"/>
      <c r="H8" s="6" t="n"/>
      <c r="I8" s="6" t="n"/>
      <c r="J8" s="7" t="n"/>
    </row>
    <row r="9">
      <c r="B9" s="48" t="inlineStr">
        <is>
          <t>General Contractor</t>
        </is>
      </c>
      <c r="C9" s="49" t="inlineStr">
        <is>
          <t>Exxel Pacific, Inc.</t>
        </is>
      </c>
      <c r="D9" s="50" t="n"/>
      <c r="E9" s="51" t="n"/>
      <c r="F9" s="49" t="inlineStr">
        <is>
          <t>Exxel Pacific Issaquah Gateway Subcontract</t>
        </is>
      </c>
      <c r="G9" s="50" t="n"/>
      <c r="H9" s="50" t="n"/>
      <c r="I9" s="50" t="n"/>
      <c r="J9" s="51" t="n"/>
    </row>
    <row r="10">
      <c r="B10" s="46" t="inlineStr">
        <is>
          <t>Customer Code (Sage)</t>
        </is>
      </c>
      <c r="C10" s="47" t="inlineStr">
        <is>
          <t>2031EP</t>
        </is>
      </c>
      <c r="D10" s="6" t="n"/>
      <c r="E10" s="7" t="n"/>
      <c r="F10" s="47" t="inlineStr">
        <is>
          <t>2030 Job Detail Report.pdf (Sage Timberline, 04/03/2026, 190 pages)</t>
        </is>
      </c>
      <c r="G10" s="6" t="n"/>
      <c r="H10" s="6" t="n"/>
      <c r="I10" s="6" t="n"/>
      <c r="J10" s="7" t="n"/>
    </row>
    <row r="11">
      <c r="B11" s="48" t="inlineStr">
        <is>
          <t>Owner / Developer</t>
        </is>
      </c>
      <c r="C11" s="49" t="inlineStr">
        <is>
          <t>Katerra / Exxel Pacific</t>
        </is>
      </c>
      <c r="D11" s="50" t="n"/>
      <c r="E11" s="51" t="n"/>
      <c r="F11" s="49" t="inlineStr">
        <is>
          <t>Exxel Pacific Issaquah Gateway Subcontract</t>
        </is>
      </c>
      <c r="G11" s="50" t="n"/>
      <c r="H11" s="50" t="n"/>
      <c r="I11" s="50" t="n"/>
      <c r="J11" s="51" t="n"/>
    </row>
    <row r="12">
      <c r="B12" s="46" t="inlineStr">
        <is>
          <t>Jobsite Location</t>
        </is>
      </c>
      <c r="C12" s="47" t="inlineStr">
        <is>
          <t>Issaquah Gateway, WA</t>
        </is>
      </c>
      <c r="D12" s="6" t="n"/>
      <c r="E12" s="7" t="n"/>
      <c r="F12" s="47" t="inlineStr">
        <is>
          <t>Exxel Pacific Issaquah Gateway Subcontract</t>
        </is>
      </c>
      <c r="G12" s="6" t="n"/>
      <c r="H12" s="6" t="n"/>
      <c r="I12" s="6" t="n"/>
      <c r="J12" s="7" t="n"/>
    </row>
    <row r="13">
      <c r="B13" s="48" t="inlineStr">
        <is>
          <t>Contract / PO Document</t>
        </is>
      </c>
      <c r="C13" s="49" t="inlineStr">
        <is>
          <t>Exxel Pacific Issaquah Gateway Subcontract</t>
        </is>
      </c>
      <c r="D13" s="50" t="n"/>
      <c r="E13" s="51" t="n"/>
      <c r="F13" s="49" t="inlineStr">
        <is>
          <t>Lump Sum subcontract</t>
        </is>
      </c>
      <c r="G13" s="50" t="n"/>
      <c r="H13" s="50" t="n"/>
      <c r="I13" s="50" t="n"/>
      <c r="J13" s="51" t="n"/>
    </row>
    <row r="14">
      <c r="B14" s="46" t="inlineStr">
        <is>
          <t>Plans / Specifications</t>
        </is>
      </c>
      <c r="C14" s="47" t="inlineStr">
        <is>
          <t>Issaquah Gateway plumbing narrative (Div 22 plumbing narrative) + fixture schedule + proposal</t>
        </is>
      </c>
      <c r="D14" s="6" t="n"/>
      <c r="E14" s="7" t="n"/>
      <c r="F14" s="47" t="inlineStr">
        <is>
          <t>Folder scan</t>
        </is>
      </c>
      <c r="G14" s="6" t="n"/>
      <c r="H14" s="6" t="n"/>
      <c r="I14" s="6" t="n"/>
      <c r="J14" s="7" t="n"/>
    </row>
    <row r="15">
      <c r="B15" s="48" t="inlineStr">
        <is>
          <t>Fixture Schedule</t>
        </is>
      </c>
      <c r="C15" s="49" t="inlineStr">
        <is>
          <t>Issaquah Gateway fixture schedule (fixture schedule for 296-unit multifamily)</t>
        </is>
      </c>
      <c r="D15" s="50" t="n"/>
      <c r="E15" s="51" t="n"/>
      <c r="F15" s="49" t="inlineStr">
        <is>
          <t>Referenced</t>
        </is>
      </c>
      <c r="G15" s="50" t="n"/>
      <c r="H15" s="50" t="n"/>
      <c r="I15" s="50" t="n"/>
      <c r="J15" s="51" t="n"/>
    </row>
    <row r="16">
      <c r="B16" s="46" t="inlineStr">
        <is>
          <t>Bid Proposal</t>
        </is>
      </c>
      <c r="C16" s="47" t="inlineStr">
        <is>
          <t>Exxel Pacific Issaquah Gateway Proposal</t>
        </is>
      </c>
      <c r="D16" s="6" t="n"/>
      <c r="E16" s="7" t="n"/>
      <c r="F16" s="47" t="inlineStr">
        <is>
          <t>Detailed scope and fixture quantities</t>
        </is>
      </c>
      <c r="G16" s="6" t="n"/>
      <c r="H16" s="6" t="n"/>
      <c r="I16" s="6" t="n"/>
      <c r="J16" s="7" t="n"/>
    </row>
    <row r="17">
      <c r="B17" s="48" t="inlineStr">
        <is>
          <t>Contract Type</t>
        </is>
      </c>
      <c r="C17" s="49" t="inlineStr">
        <is>
          <t>Lump Sum</t>
        </is>
      </c>
      <c r="D17" s="50" t="n"/>
      <c r="E17" s="51" t="n"/>
      <c r="F17" s="49" t="inlineStr">
        <is>
          <t>Exxel Pacific Issaquah Gateway Subcontract</t>
        </is>
      </c>
      <c r="G17" s="50" t="n"/>
      <c r="H17" s="50" t="n"/>
      <c r="I17" s="50" t="n"/>
      <c r="J17" s="51" t="n"/>
    </row>
    <row r="18">
      <c r="B18" s="46" t="inlineStr">
        <is>
          <t>Work Period</t>
        </is>
      </c>
      <c r="C18" s="47" t="inlineStr">
        <is>
          <t>Per PR/AR posting dates in JDR</t>
        </is>
      </c>
      <c r="D18" s="6" t="n"/>
      <c r="E18" s="7" t="n"/>
      <c r="F18" s="47" t="inlineStr">
        <is>
          <t>2030 Job Detail Report.pdf (Sage Timberline, 04/03/2026, 190 pages)</t>
        </is>
      </c>
      <c r="G18" s="6" t="n"/>
      <c r="H18" s="6" t="n"/>
      <c r="I18" s="6" t="n"/>
      <c r="J18" s="7" t="n"/>
    </row>
    <row r="19">
      <c r="B19" s="48" t="inlineStr">
        <is>
          <t>Total Unique Documents Reviewed</t>
        </is>
      </c>
      <c r="C19" s="52" t="n">
        <v>1924</v>
      </c>
      <c r="D19" s="50" t="n"/>
      <c r="E19" s="51" t="n"/>
      <c r="F19" s="49" t="inlineStr">
        <is>
          <t>File inventory across owp-2031/</t>
        </is>
      </c>
      <c r="G19" s="50" t="n"/>
      <c r="H19" s="50" t="n"/>
      <c r="I19" s="50" t="n"/>
      <c r="J19" s="51" t="n"/>
    </row>
    <row r="20"/>
    <row r="21">
      <c r="B21" s="45" t="inlineStr">
        <is>
          <t>CONTRACT VALUE</t>
        </is>
      </c>
      <c r="C21" s="53" t="n"/>
      <c r="D21" s="54" t="inlineStr">
        <is>
          <t>NET PROFIT</t>
        </is>
      </c>
      <c r="E21" s="53" t="n"/>
      <c r="F21" s="54" t="inlineStr">
        <is>
          <t>DIRECT COST</t>
        </is>
      </c>
      <c r="G21" s="53" t="n"/>
      <c r="H21" s="54" t="inlineStr">
        <is>
          <t>LABOR HOURS</t>
        </is>
      </c>
      <c r="I21" s="53" t="n"/>
      <c r="J21" s="53" t="n"/>
    </row>
    <row r="22">
      <c r="B22" s="55" t="n">
        <v>5187754</v>
      </c>
      <c r="D22" s="55" t="n">
        <v>2760345.77</v>
      </c>
      <c r="F22" s="55" t="n">
        <v>2427408.23</v>
      </c>
      <c r="H22" s="56" t="n">
        <v>52168.25</v>
      </c>
    </row>
    <row r="23">
      <c r="B23" s="48" t="inlineStr">
        <is>
          <t>Original $5,051,600.00 + $136,154.00 COs (2.70%)</t>
        </is>
      </c>
      <c r="C23" s="53" t="n"/>
      <c r="D23" s="49" t="inlineStr">
        <is>
          <t>53.2% margin</t>
        </is>
      </c>
      <c r="E23" s="53" t="n"/>
      <c r="F23" s="49" t="inlineStr">
        <is>
          <t>46.8% of revenue</t>
        </is>
      </c>
      <c r="G23" s="53" t="n"/>
      <c r="H23" s="49" t="inlineStr">
        <is>
          <t>72 workers</t>
        </is>
      </c>
      <c r="I23" s="53" t="n"/>
      <c r="J23" s="53" t="n"/>
    </row>
    <row r="24"/>
    <row r="25"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</row>
    <row r="26">
      <c r="B26" s="57" t="inlineStr">
        <is>
          <t>SCOPE OF WORK (from contract + proposal)</t>
        </is>
      </c>
    </row>
    <row r="27">
      <c r="B27" s="48" t="inlineStr">
        <is>
          <t>Full plumbing installation: underground, rough-in, finish, gas piping, water mains, insulation, mechanical room, and warranty.</t>
        </is>
      </c>
      <c r="C27" s="50" t="n"/>
      <c r="D27" s="50" t="n"/>
      <c r="E27" s="50" t="n"/>
      <c r="F27" s="50" t="n"/>
      <c r="G27" s="50" t="n"/>
      <c r="H27" s="50" t="n"/>
      <c r="I27" s="50" t="n"/>
      <c r="J27" s="51" t="n"/>
    </row>
    <row r="28">
      <c r="B28" s="46" t="inlineStr">
        <is>
          <t>296-unit multifamily new construction at Issaquah Gateway, WA.</t>
        </is>
      </c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B29" s="48" t="inlineStr">
        <is>
          <t>5 levels above ground, 1 level below grade (per Job Info).</t>
        </is>
      </c>
      <c r="C29" s="50" t="n"/>
      <c r="D29" s="50" t="n"/>
      <c r="E29" s="50" t="n"/>
      <c r="F29" s="50" t="n"/>
      <c r="G29" s="50" t="n"/>
      <c r="H29" s="50" t="n"/>
      <c r="I29" s="50" t="n"/>
      <c r="J29" s="51" t="n"/>
    </row>
    <row r="30">
      <c r="B30" s="46" t="inlineStr">
        <is>
          <t>Comprehensive fixture schedule with standard and ADA-compliant units.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48" t="inlineStr">
        <is>
          <t>Spec compliance: Current Building Code + UPC with Washington state amendments.</t>
        </is>
      </c>
      <c r="C31" s="50" t="n"/>
      <c r="D31" s="50" t="n"/>
      <c r="E31" s="50" t="n"/>
      <c r="F31" s="50" t="n"/>
      <c r="G31" s="50" t="n"/>
      <c r="H31" s="50" t="n"/>
      <c r="I31" s="50" t="n"/>
      <c r="J31" s="51" t="n"/>
    </row>
    <row r="32"/>
    <row r="33"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</row>
    <row r="34">
      <c r="B34" s="58" t="inlineStr">
        <is>
          <t>SOURCES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</row>
    <row r="35">
      <c r="B35" s="48" t="inlineStr">
        <is>
          <t>Canonical financial source: 2030 Job Detail Report.pdf (Sage Timberline, 04/03/2026, 190 pages)</t>
        </is>
      </c>
      <c r="C35" s="50" t="n"/>
      <c r="D35" s="50" t="n"/>
      <c r="E35" s="50" t="n"/>
      <c r="F35" s="50" t="n"/>
      <c r="G35" s="50" t="n"/>
      <c r="H35" s="50" t="n"/>
      <c r="I35" s="50" t="n"/>
      <c r="J35" s="51" t="n"/>
    </row>
    <row r="36">
      <c r="B36" s="46" t="inlineStr">
        <is>
          <t>Job totals (JDR footer): Revenue $5,187,754.00 / Expenses $2,427,408.23 / Net $2,760,345.77 / Retainage $259,387.70</t>
        </is>
      </c>
      <c r="C36" s="6" t="n"/>
      <c r="D36" s="6" t="n"/>
      <c r="E36" s="6" t="n"/>
      <c r="F36" s="6" t="n"/>
      <c r="G36" s="6" t="n"/>
      <c r="H36" s="6" t="n"/>
      <c r="I36" s="6" t="n"/>
      <c r="J36" s="7" t="n"/>
    </row>
    <row r="37">
      <c r="B37" s="48" t="inlineStr">
        <is>
          <t>Source breakdown: GL $79,204.72 · AP $1,072,286.18 · PR $1,237,777.26 · AR $5,187,754.00</t>
        </is>
      </c>
      <c r="C37" s="50" t="n"/>
      <c r="D37" s="50" t="n"/>
      <c r="E37" s="50" t="n"/>
      <c r="F37" s="50" t="n"/>
      <c r="G37" s="50" t="n"/>
      <c r="H37" s="50" t="n"/>
      <c r="I37" s="50" t="n"/>
      <c r="J37" s="51" t="n"/>
    </row>
    <row r="38">
      <c r="B38" s="46" t="inlineStr">
        <is>
          <t>Contract: Exxel Pacific Issaquah Gateway Subcontract (Lump Sum $5,051,600.00, descoped to $5,187,754.00)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48" t="inlineStr">
        <is>
          <t>Proposal: Exxel Pacific Issaquah Gateway Proposal</t>
        </is>
      </c>
      <c r="C39" s="50" t="n"/>
      <c r="D39" s="50" t="n"/>
      <c r="E39" s="50" t="n"/>
      <c r="F39" s="50" t="n"/>
      <c r="G39" s="50" t="n"/>
      <c r="H39" s="50" t="n"/>
      <c r="I39" s="50" t="n"/>
      <c r="J39" s="51" t="n"/>
    </row>
    <row r="40">
      <c r="B40" s="46" t="inlineStr">
        <is>
          <t>Fixture schedule: Issaquah Gateway fixture schedule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48" t="inlineStr">
        <is>
          <t>Plumbing narrative: Issaquah Gateway plumbing narrative</t>
        </is>
      </c>
      <c r="C41" s="50" t="n"/>
      <c r="D41" s="50" t="n"/>
      <c r="E41" s="50" t="n"/>
      <c r="F41" s="50" t="n"/>
      <c r="G41" s="50" t="n"/>
      <c r="H41" s="50" t="n"/>
      <c r="I41" s="50" t="n"/>
      <c r="J41" s="51" t="n"/>
    </row>
    <row r="42">
      <c r="B42" s="46" t="inlineStr">
        <is>
          <t>Change Orders: Deductive scope changes; net contract reduction ${CO_TOTAL_IMPLIED:,.2f}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53" t="n"/>
      <c r="C43" s="53" t="n"/>
      <c r="D43" s="53" t="n"/>
      <c r="E43" s="53" t="n"/>
      <c r="F43" s="53" t="n"/>
      <c r="G43" s="53" t="n"/>
      <c r="H43" s="53" t="n"/>
      <c r="I43" s="53" t="n"/>
      <c r="J43" s="53" t="n"/>
    </row>
    <row r="44"/>
    <row r="45">
      <c r="B45" s="59" t="inlineStr">
        <is>
          <t>PROJECT TEAM (OWP Job Info)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</row>
    <row r="46">
      <c r="B46" s="60" t="inlineStr">
        <is>
          <t>Role</t>
        </is>
      </c>
      <c r="C46" s="61" t="inlineStr">
        <is>
          <t>Status</t>
        </is>
      </c>
      <c r="D46" s="61" t="inlineStr">
        <is>
          <t>Name / Firm</t>
        </is>
      </c>
    </row>
    <row r="47">
      <c r="B47" s="59" t="inlineStr">
        <is>
          <t>GC</t>
        </is>
      </c>
      <c r="C47" s="62" t="inlineStr">
        <is>
          <t>Extracted</t>
        </is>
      </c>
      <c r="D47" s="63" t="inlineStr">
        <is>
          <t>Exxel Pacific, Inc.</t>
        </is>
      </c>
      <c r="E47" s="53" t="n"/>
      <c r="F47" s="53" t="n"/>
      <c r="G47" s="53" t="n"/>
      <c r="H47" s="53" t="n"/>
      <c r="I47" s="53" t="n"/>
      <c r="J47" s="53" t="n"/>
    </row>
    <row r="48">
      <c r="B48" s="60" t="inlineStr">
        <is>
          <t>GC PM</t>
        </is>
      </c>
      <c r="C48" s="62" t="inlineStr">
        <is>
          <t>Extracted</t>
        </is>
      </c>
      <c r="D48" s="61" t="inlineStr">
        <is>
          <t>Brett / Franklin (per project subfolders)</t>
        </is>
      </c>
    </row>
    <row r="49">
      <c r="B49" s="59" t="inlineStr">
        <is>
          <t>GC Superintendent</t>
        </is>
      </c>
      <c r="C49" s="64" t="inlineStr">
        <is>
          <t>N/A</t>
        </is>
      </c>
      <c r="D49" s="63" t="inlineStr">
        <is>
          <t>N/A</t>
        </is>
      </c>
      <c r="E49" s="53" t="n"/>
      <c r="F49" s="53" t="n"/>
      <c r="G49" s="53" t="n"/>
      <c r="H49" s="53" t="n"/>
      <c r="I49" s="53" t="n"/>
      <c r="J49" s="53" t="n"/>
    </row>
    <row r="50">
      <c r="B50" s="60" t="inlineStr">
        <is>
          <t>GC PE</t>
        </is>
      </c>
      <c r="C50" s="64" t="inlineStr">
        <is>
          <t>N/A</t>
        </is>
      </c>
      <c r="D50" s="61" t="inlineStr">
        <is>
          <t>N/A</t>
        </is>
      </c>
    </row>
    <row r="51">
      <c r="B51" s="59" t="inlineStr">
        <is>
          <t>Developer</t>
        </is>
      </c>
      <c r="C51" s="62" t="inlineStr">
        <is>
          <t>Extracted</t>
        </is>
      </c>
      <c r="D51" s="63" t="inlineStr">
        <is>
          <t>Katerra / Exxel Pacific</t>
        </is>
      </c>
      <c r="E51" s="53" t="n"/>
      <c r="F51" s="53" t="n"/>
      <c r="G51" s="53" t="n"/>
      <c r="H51" s="53" t="n"/>
      <c r="I51" s="53" t="n"/>
      <c r="J51" s="53" t="n"/>
    </row>
    <row r="52">
      <c r="B52" s="60" t="inlineStr">
        <is>
          <t>Architect</t>
        </is>
      </c>
      <c r="C52" s="64" t="inlineStr">
        <is>
          <t>N/A</t>
        </is>
      </c>
      <c r="D52" s="61" t="inlineStr">
        <is>
          <t>N/A</t>
        </is>
      </c>
    </row>
    <row r="53">
      <c r="B53" s="59" t="inlineStr">
        <is>
          <t>Structural</t>
        </is>
      </c>
      <c r="C53" s="64" t="inlineStr">
        <is>
          <t>N/A</t>
        </is>
      </c>
      <c r="D53" s="63" t="inlineStr">
        <is>
          <t>N/A</t>
        </is>
      </c>
      <c r="E53" s="53" t="n"/>
      <c r="F53" s="53" t="n"/>
      <c r="G53" s="53" t="n"/>
      <c r="H53" s="53" t="n"/>
      <c r="I53" s="53" t="n"/>
      <c r="J53" s="53" t="n"/>
    </row>
    <row r="54">
      <c r="B54" s="60" t="inlineStr">
        <is>
          <t>Acoustical</t>
        </is>
      </c>
      <c r="C54" s="64" t="inlineStr">
        <is>
          <t>N/A</t>
        </is>
      </c>
      <c r="D54" s="61" t="inlineStr">
        <is>
          <t>N/A</t>
        </is>
      </c>
    </row>
    <row r="55">
      <c r="B55" s="59" t="inlineStr">
        <is>
          <t>ADA Consultant</t>
        </is>
      </c>
      <c r="C55" s="64" t="inlineStr">
        <is>
          <t>N/A</t>
        </is>
      </c>
      <c r="D55" s="63" t="inlineStr">
        <is>
          <t>N/A</t>
        </is>
      </c>
      <c r="E55" s="53" t="n"/>
      <c r="F55" s="53" t="n"/>
      <c r="G55" s="53" t="n"/>
      <c r="H55" s="53" t="n"/>
      <c r="I55" s="53" t="n"/>
      <c r="J55" s="53" t="n"/>
    </row>
    <row r="56">
      <c r="B56" s="60" t="inlineStr">
        <is>
          <t>Interior Design</t>
        </is>
      </c>
      <c r="C56" s="64" t="inlineStr">
        <is>
          <t>N/A</t>
        </is>
      </c>
      <c r="D56" s="61" t="inlineStr">
        <is>
          <t>N/A</t>
        </is>
      </c>
    </row>
    <row r="57">
      <c r="B57" s="59" t="inlineStr">
        <is>
          <t>MEP Engineer</t>
        </is>
      </c>
      <c r="C57" s="62" t="inlineStr">
        <is>
          <t>Extracted</t>
        </is>
      </c>
      <c r="D57" s="63" t="inlineStr">
        <is>
          <t>Franklin Engineering</t>
        </is>
      </c>
      <c r="E57" s="53" t="n"/>
      <c r="F57" s="53" t="n"/>
      <c r="G57" s="53" t="n"/>
      <c r="H57" s="53" t="n"/>
      <c r="I57" s="53" t="n"/>
      <c r="J57" s="53" t="n"/>
    </row>
  </sheetData>
  <mergeCells count="54">
    <mergeCell ref="C16:E16"/>
    <mergeCell ref="D56:J56"/>
    <mergeCell ref="F11:J11"/>
    <mergeCell ref="B42:J42"/>
    <mergeCell ref="F10:J10"/>
    <mergeCell ref="F16:J16"/>
    <mergeCell ref="C9:E9"/>
    <mergeCell ref="F19:J19"/>
    <mergeCell ref="D55:J55"/>
    <mergeCell ref="F6:J6"/>
    <mergeCell ref="C12:E12"/>
    <mergeCell ref="B38:J38"/>
    <mergeCell ref="D51:J51"/>
    <mergeCell ref="B29:J29"/>
    <mergeCell ref="F7:J7"/>
    <mergeCell ref="C11:E11"/>
    <mergeCell ref="F15:J15"/>
    <mergeCell ref="B37:J37"/>
    <mergeCell ref="D50:J50"/>
    <mergeCell ref="F12:J12"/>
    <mergeCell ref="B28:J28"/>
    <mergeCell ref="D54:J54"/>
    <mergeCell ref="C8:E8"/>
    <mergeCell ref="B40:J40"/>
    <mergeCell ref="C17:E17"/>
    <mergeCell ref="F18:J18"/>
    <mergeCell ref="C7:E7"/>
    <mergeCell ref="F8:J8"/>
    <mergeCell ref="B30:J30"/>
    <mergeCell ref="F17:J17"/>
    <mergeCell ref="C13:E13"/>
    <mergeCell ref="C19:E19"/>
    <mergeCell ref="B36:J36"/>
    <mergeCell ref="D52:J52"/>
    <mergeCell ref="C18:E18"/>
    <mergeCell ref="B41:J41"/>
    <mergeCell ref="D57:J57"/>
    <mergeCell ref="B35:J35"/>
    <mergeCell ref="D49:J49"/>
    <mergeCell ref="F13:J13"/>
    <mergeCell ref="C15:E15"/>
    <mergeCell ref="C6:E6"/>
    <mergeCell ref="F9:J9"/>
    <mergeCell ref="B3:J3"/>
    <mergeCell ref="C14:E14"/>
    <mergeCell ref="D48:J48"/>
    <mergeCell ref="D53:J53"/>
    <mergeCell ref="B31:J31"/>
    <mergeCell ref="D47:J47"/>
    <mergeCell ref="B27:J27"/>
    <mergeCell ref="F14:J14"/>
    <mergeCell ref="B39:J39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4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Budget vs Actual</t>
        </is>
      </c>
    </row>
    <row r="3" ht="22" customHeight="1">
      <c r="B3" s="43" t="inlineStr">
        <is>
          <t>All 34 cost codes from JDR. Contract $5,051,600 → $5,187,754 (COs +$136,154.00).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Cost Code</t>
        </is>
      </c>
      <c r="C5" s="65" t="inlineStr">
        <is>
          <t>Description</t>
        </is>
      </c>
      <c r="D5" s="65" t="inlineStr">
        <is>
          <t>Original Budget</t>
        </is>
      </c>
      <c r="E5" s="65" t="inlineStr">
        <is>
          <t>Revised Budget</t>
        </is>
      </c>
      <c r="F5" s="65" t="inlineStr">
        <is>
          <t>Actual</t>
        </is>
      </c>
      <c r="G5" s="65" t="inlineStr">
        <is>
          <t>Variance</t>
        </is>
      </c>
      <c r="H5" s="65" t="inlineStr">
        <is>
          <t>% of Revised</t>
        </is>
      </c>
      <c r="I5" s="65" t="inlineStr">
        <is>
          <t>Hours</t>
        </is>
      </c>
      <c r="J5" s="65" t="inlineStr">
        <is>
          <t>Source</t>
        </is>
      </c>
    </row>
    <row r="6">
      <c r="B6" s="46" t="inlineStr">
        <is>
          <t>100</t>
        </is>
      </c>
      <c r="C6" s="47" t="inlineStr">
        <is>
          <t>Supervision</t>
        </is>
      </c>
      <c r="D6" s="66" t="n">
        <v>57900</v>
      </c>
      <c r="E6" s="66" t="n">
        <v>59438</v>
      </c>
      <c r="F6" s="66" t="n">
        <v>21845.5</v>
      </c>
      <c r="G6" s="67">
        <f>F6-E6</f>
        <v/>
      </c>
      <c r="H6" s="68">
        <f>IF(E6=0,"",F6/E6)</f>
        <v/>
      </c>
      <c r="I6" s="56" t="n">
        <v>459</v>
      </c>
      <c r="J6" s="47" t="inlineStr">
        <is>
          <t>2030 Job Detail Report.pdf (Sage Timberline, 04/03/2026, 190 pages)</t>
        </is>
      </c>
    </row>
    <row r="7">
      <c r="B7" s="48" t="inlineStr">
        <is>
          <t>101</t>
        </is>
      </c>
      <c r="C7" s="49" t="inlineStr">
        <is>
          <t>Takeoff &amp; Purchase Labor</t>
        </is>
      </c>
      <c r="D7" s="69" t="n">
        <v>79800</v>
      </c>
      <c r="E7" s="69" t="n">
        <v>85062</v>
      </c>
      <c r="F7" s="69" t="n">
        <v>32080.5</v>
      </c>
      <c r="G7" s="70">
        <f>F7-E7</f>
        <v/>
      </c>
      <c r="H7" s="71">
        <f>IF(E7=0,"",F7/E7)</f>
        <v/>
      </c>
      <c r="I7" s="72" t="n">
        <v>661.5</v>
      </c>
      <c r="J7" s="49" t="inlineStr">
        <is>
          <t>2030 Job Detail Report.pdf (Sage Timberline, 04/03/2026, 190 pages)</t>
        </is>
      </c>
    </row>
    <row r="8">
      <c r="B8" s="46" t="inlineStr">
        <is>
          <t>110</t>
        </is>
      </c>
      <c r="C8" s="47" t="inlineStr">
        <is>
          <t>Underground Labor</t>
        </is>
      </c>
      <c r="D8" s="66" t="n">
        <v>34660</v>
      </c>
      <c r="E8" s="66" t="n">
        <v>35728</v>
      </c>
      <c r="F8" s="66" t="n">
        <v>5913</v>
      </c>
      <c r="G8" s="67">
        <f>F8-E8</f>
        <v/>
      </c>
      <c r="H8" s="68">
        <f>IF(E8=0,"",F8/E8)</f>
        <v/>
      </c>
      <c r="I8" s="56" t="n">
        <v>238.5</v>
      </c>
      <c r="J8" s="47" t="inlineStr">
        <is>
          <t>2030 Job Detail Report.pdf (Sage Timberline, 04/03/2026, 190 pages)</t>
        </is>
      </c>
    </row>
    <row r="9">
      <c r="B9" s="48" t="inlineStr">
        <is>
          <t>111</t>
        </is>
      </c>
      <c r="C9" s="49" t="inlineStr">
        <is>
          <t>Garage Labor</t>
        </is>
      </c>
      <c r="D9" s="69" t="n">
        <v>38740</v>
      </c>
      <c r="E9" s="69" t="n">
        <v>38740</v>
      </c>
      <c r="F9" s="69" t="n">
        <v>62078.5</v>
      </c>
      <c r="G9" s="70">
        <f>F9-E9</f>
        <v/>
      </c>
      <c r="H9" s="71">
        <f>IF(E9=0,"",F9/E9)</f>
        <v/>
      </c>
      <c r="I9" s="72" t="n">
        <v>2482</v>
      </c>
      <c r="J9" s="49" t="inlineStr">
        <is>
          <t>2030 Job Detail Report.pdf (Sage Timberline, 04/03/2026, 190 pages)</t>
        </is>
      </c>
    </row>
    <row r="10">
      <c r="B10" s="46" t="inlineStr">
        <is>
          <t>112</t>
        </is>
      </c>
      <c r="C10" s="47" t="inlineStr">
        <is>
          <t>Canout Labor</t>
        </is>
      </c>
      <c r="D10" s="66" t="n">
        <v>9310</v>
      </c>
      <c r="E10" s="66" t="n">
        <v>9310</v>
      </c>
      <c r="F10" s="66" t="n">
        <v>11258.5</v>
      </c>
      <c r="G10" s="67">
        <f>F10-E10</f>
        <v/>
      </c>
      <c r="H10" s="68">
        <f>IF(E10=0,"",F10/E10)</f>
        <v/>
      </c>
      <c r="I10" s="56" t="n">
        <v>380</v>
      </c>
      <c r="J10" s="47" t="inlineStr">
        <is>
          <t>2030 Job Detail Report.pdf (Sage Timberline, 04/03/2026, 190 pages)</t>
        </is>
      </c>
    </row>
    <row r="11">
      <c r="B11" s="48" t="inlineStr">
        <is>
          <t>120</t>
        </is>
      </c>
      <c r="C11" s="49" t="inlineStr">
        <is>
          <t>Roughin Labor</t>
        </is>
      </c>
      <c r="D11" s="69" t="n">
        <v>239070</v>
      </c>
      <c r="E11" s="69" t="n">
        <v>261460</v>
      </c>
      <c r="F11" s="69" t="n">
        <v>289348.75</v>
      </c>
      <c r="G11" s="70">
        <f>F11-E11</f>
        <v/>
      </c>
      <c r="H11" s="71">
        <f>IF(E11=0,"",F11/E11)</f>
        <v/>
      </c>
      <c r="I11" s="72" t="n">
        <v>12464.75</v>
      </c>
      <c r="J11" s="49" t="inlineStr">
        <is>
          <t>2030 Job Detail Report.pdf (Sage Timberline, 04/03/2026, 190 pages)</t>
        </is>
      </c>
    </row>
    <row r="12">
      <c r="B12" s="46" t="inlineStr">
        <is>
          <t>130</t>
        </is>
      </c>
      <c r="C12" s="47" t="inlineStr">
        <is>
          <t>Finish Labor</t>
        </is>
      </c>
      <c r="D12" s="66" t="n">
        <v>62435</v>
      </c>
      <c r="E12" s="66" t="n">
        <v>64440</v>
      </c>
      <c r="F12" s="66" t="n">
        <v>69830.75</v>
      </c>
      <c r="G12" s="67">
        <f>F12-E12</f>
        <v/>
      </c>
      <c r="H12" s="68">
        <f>IF(E12=0,"",F12/E12)</f>
        <v/>
      </c>
      <c r="I12" s="56" t="n">
        <v>2669.5</v>
      </c>
      <c r="J12" s="47" t="inlineStr">
        <is>
          <t>2030 Job Detail Report.pdf (Sage Timberline, 04/03/2026, 190 pages)</t>
        </is>
      </c>
    </row>
    <row r="13">
      <c r="B13" s="48" t="inlineStr">
        <is>
          <t>140</t>
        </is>
      </c>
      <c r="C13" s="49" t="inlineStr">
        <is>
          <t>Gas Labor</t>
        </is>
      </c>
      <c r="D13" s="69" t="n">
        <v>8800</v>
      </c>
      <c r="E13" s="69" t="n">
        <v>9370</v>
      </c>
      <c r="F13" s="69" t="n">
        <v>6952.5</v>
      </c>
      <c r="G13" s="70">
        <f>F13-E13</f>
        <v/>
      </c>
      <c r="H13" s="71">
        <f>IF(E13=0,"",F13/E13)</f>
        <v/>
      </c>
      <c r="I13" s="72" t="n">
        <v>260.5</v>
      </c>
      <c r="J13" s="49" t="inlineStr">
        <is>
          <t>2030 Job Detail Report.pdf (Sage Timberline, 04/03/2026, 190 pages)</t>
        </is>
      </c>
    </row>
    <row r="14">
      <c r="B14" s="46" t="inlineStr">
        <is>
          <t>141</t>
        </is>
      </c>
      <c r="C14" s="47" t="inlineStr">
        <is>
          <t>Water Main/Insulation Lab</t>
        </is>
      </c>
      <c r="D14" s="66" t="n">
        <v>52870</v>
      </c>
      <c r="E14" s="66" t="n">
        <v>57700</v>
      </c>
      <c r="F14" s="66" t="n">
        <v>31378.38</v>
      </c>
      <c r="G14" s="67">
        <f>F14-E14</f>
        <v/>
      </c>
      <c r="H14" s="68">
        <f>IF(E14=0,"",F14/E14)</f>
        <v/>
      </c>
      <c r="I14" s="56" t="n">
        <v>1450.25</v>
      </c>
      <c r="J14" s="47" t="inlineStr">
        <is>
          <t>2030 Job Detail Report.pdf (Sage Timberline, 04/03/2026, 190 pages)</t>
        </is>
      </c>
    </row>
    <row r="15">
      <c r="B15" s="48" t="inlineStr">
        <is>
          <t>142</t>
        </is>
      </c>
      <c r="C15" s="49" t="inlineStr">
        <is>
          <t>Mech Room Labor</t>
        </is>
      </c>
      <c r="D15" s="69" t="n">
        <v>23440</v>
      </c>
      <c r="E15" s="69" t="n">
        <v>27517</v>
      </c>
      <c r="F15" s="69" t="n">
        <v>32815</v>
      </c>
      <c r="G15" s="70">
        <f>F15-E15</f>
        <v/>
      </c>
      <c r="H15" s="71">
        <f>IF(E15=0,"",F15/E15)</f>
        <v/>
      </c>
      <c r="I15" s="72" t="n">
        <v>920</v>
      </c>
      <c r="J15" s="49" t="inlineStr">
        <is>
          <t>2030 Job Detail Report.pdf (Sage Timberline, 04/03/2026, 190 pages)</t>
        </is>
      </c>
    </row>
    <row r="16">
      <c r="B16" s="46" t="inlineStr">
        <is>
          <t>143</t>
        </is>
      </c>
      <c r="C16" s="47" t="inlineStr">
        <is>
          <t>Condensation Drains Labor</t>
        </is>
      </c>
      <c r="D16" s="66" t="n">
        <v>0</v>
      </c>
      <c r="E16" s="66" t="n">
        <v>0</v>
      </c>
      <c r="F16" s="66" t="n">
        <v>1419</v>
      </c>
      <c r="G16" s="67">
        <f>F16-E16</f>
        <v/>
      </c>
      <c r="H16" s="68">
        <f>IF(E16=0,"",F16/E16)</f>
        <v/>
      </c>
      <c r="I16" s="56" t="n">
        <v>37</v>
      </c>
      <c r="J16" s="47" t="inlineStr">
        <is>
          <t>2030 Job Detail Report.pdf (Sage Timberline, 04/03/2026, 190 pages)</t>
        </is>
      </c>
    </row>
    <row r="17">
      <c r="B17" s="48" t="inlineStr">
        <is>
          <t>210</t>
        </is>
      </c>
      <c r="C17" s="49" t="inlineStr">
        <is>
          <t>Underground Material</t>
        </is>
      </c>
      <c r="D17" s="69" t="n">
        <v>38085</v>
      </c>
      <c r="E17" s="69" t="n">
        <v>40845</v>
      </c>
      <c r="F17" s="69" t="n">
        <v>10306.12</v>
      </c>
      <c r="G17" s="70">
        <f>F17-E17</f>
        <v/>
      </c>
      <c r="H17" s="71">
        <f>IF(E17=0,"",F17/E17)</f>
        <v/>
      </c>
      <c r="I17" s="73" t="inlineStr"/>
      <c r="J17" s="49" t="inlineStr">
        <is>
          <t>2030 Job Detail Report.pdf (Sage Timberline, 04/03/2026, 190 pages)</t>
        </is>
      </c>
    </row>
    <row r="18">
      <c r="B18" s="46" t="inlineStr">
        <is>
          <t>211</t>
        </is>
      </c>
      <c r="C18" s="47" t="inlineStr">
        <is>
          <t>Garage Material</t>
        </is>
      </c>
      <c r="D18" s="66" t="n">
        <v>30580</v>
      </c>
      <c r="E18" s="66" t="n">
        <v>30580</v>
      </c>
      <c r="F18" s="66" t="n">
        <v>14259.91</v>
      </c>
      <c r="G18" s="67">
        <f>F18-E18</f>
        <v/>
      </c>
      <c r="H18" s="68">
        <f>IF(E18=0,"",F18/E18)</f>
        <v/>
      </c>
      <c r="I18" s="17" t="inlineStr"/>
      <c r="J18" s="47" t="inlineStr">
        <is>
          <t>2030 Job Detail Report.pdf (Sage Timberline, 04/03/2026, 190 pages)</t>
        </is>
      </c>
    </row>
    <row r="19">
      <c r="B19" s="48" t="inlineStr">
        <is>
          <t>212</t>
        </is>
      </c>
      <c r="C19" s="49" t="inlineStr">
        <is>
          <t>Canout Material</t>
        </is>
      </c>
      <c r="D19" s="69" t="n">
        <v>9310</v>
      </c>
      <c r="E19" s="69" t="n">
        <v>9310</v>
      </c>
      <c r="F19" s="69" t="n">
        <v>7891.24</v>
      </c>
      <c r="G19" s="70">
        <f>F19-E19</f>
        <v/>
      </c>
      <c r="H19" s="71">
        <f>IF(E19=0,"",F19/E19)</f>
        <v/>
      </c>
      <c r="I19" s="73" t="inlineStr"/>
      <c r="J19" s="49" t="inlineStr">
        <is>
          <t>2030 Job Detail Report.pdf (Sage Timberline, 04/03/2026, 190 pages)</t>
        </is>
      </c>
    </row>
    <row r="20">
      <c r="B20" s="46" t="inlineStr">
        <is>
          <t>220</t>
        </is>
      </c>
      <c r="C20" s="47" t="inlineStr">
        <is>
          <t>Roughin Material</t>
        </is>
      </c>
      <c r="D20" s="66" t="n">
        <v>142470</v>
      </c>
      <c r="E20" s="66" t="n">
        <v>145264</v>
      </c>
      <c r="F20" s="66" t="n">
        <v>90966.27</v>
      </c>
      <c r="G20" s="67">
        <f>F20-E20</f>
        <v/>
      </c>
      <c r="H20" s="68">
        <f>IF(E20=0,"",F20/E20)</f>
        <v/>
      </c>
      <c r="I20" s="17" t="inlineStr"/>
      <c r="J20" s="47" t="inlineStr">
        <is>
          <t>2030 Job Detail Report.pdf (Sage Timberline, 04/03/2026, 190 pages)</t>
        </is>
      </c>
    </row>
    <row r="21">
      <c r="B21" s="48" t="inlineStr">
        <is>
          <t>230</t>
        </is>
      </c>
      <c r="C21" s="49" t="inlineStr">
        <is>
          <t>Finish Material</t>
        </is>
      </c>
      <c r="D21" s="69" t="n">
        <v>264020</v>
      </c>
      <c r="E21" s="69" t="n">
        <v>230010</v>
      </c>
      <c r="F21" s="69" t="n">
        <v>268692.84</v>
      </c>
      <c r="G21" s="70">
        <f>F21-E21</f>
        <v/>
      </c>
      <c r="H21" s="71">
        <f>IF(E21=0,"",F21/E21)</f>
        <v/>
      </c>
      <c r="I21" s="73" t="inlineStr"/>
      <c r="J21" s="49" t="inlineStr">
        <is>
          <t>2030 Job Detail Report.pdf (Sage Timberline, 04/03/2026, 190 pages)</t>
        </is>
      </c>
    </row>
    <row r="22">
      <c r="B22" s="46" t="inlineStr">
        <is>
          <t>240</t>
        </is>
      </c>
      <c r="C22" s="47" t="inlineStr">
        <is>
          <t>Gas Material</t>
        </is>
      </c>
      <c r="D22" s="66" t="n">
        <v>10400</v>
      </c>
      <c r="E22" s="66" t="n">
        <v>10930</v>
      </c>
      <c r="F22" s="66" t="n">
        <v>5822.71</v>
      </c>
      <c r="G22" s="67">
        <f>F22-E22</f>
        <v/>
      </c>
      <c r="H22" s="68">
        <f>IF(E22=0,"",F22/E22)</f>
        <v/>
      </c>
      <c r="I22" s="17" t="inlineStr"/>
      <c r="J22" s="47" t="inlineStr">
        <is>
          <t>2030 Job Detail Report.pdf (Sage Timberline, 04/03/2026, 190 pages)</t>
        </is>
      </c>
    </row>
    <row r="23">
      <c r="B23" s="48" t="inlineStr">
        <is>
          <t>241</t>
        </is>
      </c>
      <c r="C23" s="49" t="inlineStr">
        <is>
          <t>Water Main/Insulation Mat</t>
        </is>
      </c>
      <c r="D23" s="69" t="n">
        <v>59980</v>
      </c>
      <c r="E23" s="69" t="n">
        <v>62068</v>
      </c>
      <c r="F23" s="69" t="n">
        <v>48502.22</v>
      </c>
      <c r="G23" s="70">
        <f>F23-E23</f>
        <v/>
      </c>
      <c r="H23" s="71">
        <f>IF(E23=0,"",F23/E23)</f>
        <v/>
      </c>
      <c r="I23" s="73" t="inlineStr"/>
      <c r="J23" s="49" t="inlineStr">
        <is>
          <t>2030 Job Detail Report.pdf (Sage Timberline, 04/03/2026, 190 pages)</t>
        </is>
      </c>
    </row>
    <row r="24">
      <c r="B24" s="46" t="inlineStr">
        <is>
          <t>242</t>
        </is>
      </c>
      <c r="C24" s="47" t="inlineStr">
        <is>
          <t>Mech Room Material</t>
        </is>
      </c>
      <c r="D24" s="66" t="n">
        <v>102264</v>
      </c>
      <c r="E24" s="66" t="n">
        <v>113823</v>
      </c>
      <c r="F24" s="66" t="n">
        <v>38991.48</v>
      </c>
      <c r="G24" s="67">
        <f>F24-E24</f>
        <v/>
      </c>
      <c r="H24" s="68">
        <f>IF(E24=0,"",F24/E24)</f>
        <v/>
      </c>
      <c r="I24" s="17" t="inlineStr"/>
      <c r="J24" s="47" t="inlineStr">
        <is>
          <t>2030 Job Detail Report.pdf (Sage Timberline, 04/03/2026, 190 pages)</t>
        </is>
      </c>
    </row>
    <row r="25">
      <c r="B25" s="48" t="inlineStr">
        <is>
          <t>243</t>
        </is>
      </c>
      <c r="C25" s="49" t="inlineStr">
        <is>
          <t>Condensation Drains Mat</t>
        </is>
      </c>
      <c r="D25" s="69" t="n">
        <v>0</v>
      </c>
      <c r="E25" s="69" t="n">
        <v>0</v>
      </c>
      <c r="F25" s="69" t="n">
        <v>6.64</v>
      </c>
      <c r="G25" s="70">
        <f>F25-E25</f>
        <v/>
      </c>
      <c r="H25" s="71">
        <f>IF(E25=0,"",F25/E25)</f>
        <v/>
      </c>
      <c r="I25" s="73" t="inlineStr"/>
      <c r="J25" s="49" t="inlineStr">
        <is>
          <t>2030 Job Detail Report.pdf (Sage Timberline, 04/03/2026, 190 pages)</t>
        </is>
      </c>
    </row>
    <row r="26">
      <c r="B26" s="46" t="inlineStr">
        <is>
          <t>310</t>
        </is>
      </c>
      <c r="C26" s="47" t="inlineStr">
        <is>
          <t>Flats Underground Labor</t>
        </is>
      </c>
      <c r="D26" s="66" t="n">
        <v>143266</v>
      </c>
      <c r="E26" s="66" t="n">
        <v>138337</v>
      </c>
      <c r="F26" s="66" t="n">
        <v>101967.5</v>
      </c>
      <c r="G26" s="67">
        <f>F26-E26</f>
        <v/>
      </c>
      <c r="H26" s="68">
        <f>IF(E26=0,"",F26/E26)</f>
        <v/>
      </c>
      <c r="I26" s="56" t="n">
        <v>4229.5</v>
      </c>
      <c r="J26" s="47" t="inlineStr">
        <is>
          <t>2030 Job Detail Report.pdf (Sage Timberline, 04/03/2026, 190 pages)</t>
        </is>
      </c>
    </row>
    <row r="27">
      <c r="B27" s="48" t="inlineStr">
        <is>
          <t>320</t>
        </is>
      </c>
      <c r="C27" s="49" t="inlineStr">
        <is>
          <t>Flats Roughin Labor</t>
        </is>
      </c>
      <c r="D27" s="69" t="n">
        <v>423275</v>
      </c>
      <c r="E27" s="69" t="n">
        <v>449230</v>
      </c>
      <c r="F27" s="69" t="n">
        <v>452849.38</v>
      </c>
      <c r="G27" s="70">
        <f>F27-E27</f>
        <v/>
      </c>
      <c r="H27" s="71">
        <f>IF(E27=0,"",F27/E27)</f>
        <v/>
      </c>
      <c r="I27" s="72" t="n">
        <v>21198.75</v>
      </c>
      <c r="J27" s="49" t="inlineStr">
        <is>
          <t>2030 Job Detail Report.pdf (Sage Timberline, 04/03/2026, 190 pages)</t>
        </is>
      </c>
    </row>
    <row r="28">
      <c r="B28" s="46" t="inlineStr">
        <is>
          <t>330</t>
        </is>
      </c>
      <c r="C28" s="47" t="inlineStr">
        <is>
          <t>Flats Finish Labor</t>
        </is>
      </c>
      <c r="D28" s="66" t="n">
        <v>117750</v>
      </c>
      <c r="E28" s="66" t="n">
        <v>118330</v>
      </c>
      <c r="F28" s="66" t="n">
        <v>118040</v>
      </c>
      <c r="G28" s="67">
        <f>F28-E28</f>
        <v/>
      </c>
      <c r="H28" s="68">
        <f>IF(E28=0,"",F28/E28)</f>
        <v/>
      </c>
      <c r="I28" s="56" t="n">
        <v>4717</v>
      </c>
      <c r="J28" s="47" t="inlineStr">
        <is>
          <t>2030 Job Detail Report.pdf (Sage Timberline, 04/03/2026, 190 pages)</t>
        </is>
      </c>
    </row>
    <row r="29">
      <c r="B29" s="48" t="inlineStr">
        <is>
          <t>410</t>
        </is>
      </c>
      <c r="C29" s="49" t="inlineStr">
        <is>
          <t>Flats Underground Mat</t>
        </is>
      </c>
      <c r="D29" s="69" t="n">
        <v>58800</v>
      </c>
      <c r="E29" s="69" t="n">
        <v>37808</v>
      </c>
      <c r="F29" s="69" t="n">
        <v>50431.67</v>
      </c>
      <c r="G29" s="70">
        <f>F29-E29</f>
        <v/>
      </c>
      <c r="H29" s="71">
        <f>IF(E29=0,"",F29/E29)</f>
        <v/>
      </c>
      <c r="I29" s="73" t="inlineStr"/>
      <c r="J29" s="49" t="inlineStr">
        <is>
          <t>2030 Job Detail Report.pdf (Sage Timberline, 04/03/2026, 190 pages)</t>
        </is>
      </c>
    </row>
    <row r="30">
      <c r="B30" s="46" t="inlineStr">
        <is>
          <t>420</t>
        </is>
      </c>
      <c r="C30" s="47" t="inlineStr">
        <is>
          <t>Flats Roughin Material</t>
        </is>
      </c>
      <c r="D30" s="66" t="n">
        <v>259245</v>
      </c>
      <c r="E30" s="66" t="n">
        <v>274177</v>
      </c>
      <c r="F30" s="66" t="n">
        <v>200867.48</v>
      </c>
      <c r="G30" s="67">
        <f>F30-E30</f>
        <v/>
      </c>
      <c r="H30" s="68">
        <f>IF(E30=0,"",F30/E30)</f>
        <v/>
      </c>
      <c r="I30" s="17" t="inlineStr"/>
      <c r="J30" s="47" t="inlineStr">
        <is>
          <t>2030 Job Detail Report.pdf (Sage Timberline, 04/03/2026, 190 pages)</t>
        </is>
      </c>
    </row>
    <row r="31">
      <c r="B31" s="48" t="inlineStr">
        <is>
          <t>430</t>
        </is>
      </c>
      <c r="C31" s="49" t="inlineStr">
        <is>
          <t>Flats Finish Material</t>
        </is>
      </c>
      <c r="D31" s="69" t="n">
        <v>460418</v>
      </c>
      <c r="E31" s="69" t="n">
        <v>470355</v>
      </c>
      <c r="F31" s="69" t="n">
        <v>373687.67</v>
      </c>
      <c r="G31" s="70">
        <f>F31-E31</f>
        <v/>
      </c>
      <c r="H31" s="71">
        <f>IF(E31=0,"",F31/E31)</f>
        <v/>
      </c>
      <c r="I31" s="73" t="inlineStr"/>
      <c r="J31" s="49" t="inlineStr">
        <is>
          <t>2030 Job Detail Report.pdf (Sage Timberline, 04/03/2026, 190 pages)</t>
        </is>
      </c>
    </row>
    <row r="32">
      <c r="B32" s="46" t="inlineStr">
        <is>
          <t>600</t>
        </is>
      </c>
      <c r="C32" s="47" t="inlineStr">
        <is>
          <t>Subcontractor</t>
        </is>
      </c>
      <c r="D32" s="66" t="n">
        <v>0</v>
      </c>
      <c r="E32" s="66" t="n">
        <v>58006</v>
      </c>
      <c r="F32" s="66" t="n">
        <v>65165</v>
      </c>
      <c r="G32" s="67">
        <f>F32-E32</f>
        <v/>
      </c>
      <c r="H32" s="68">
        <f>IF(E32=0,"",F32/E32)</f>
        <v/>
      </c>
      <c r="I32" s="17" t="inlineStr"/>
      <c r="J32" s="47" t="inlineStr">
        <is>
          <t>2030 Job Detail Report.pdf (Sage Timberline, 04/03/2026, 190 pages)</t>
        </is>
      </c>
    </row>
    <row r="33">
      <c r="B33" s="48" t="inlineStr">
        <is>
          <t>601</t>
        </is>
      </c>
      <c r="C33" s="49" t="inlineStr">
        <is>
          <t>Engineering/Plans</t>
        </is>
      </c>
      <c r="D33" s="69" t="n">
        <v>56720</v>
      </c>
      <c r="E33" s="69" t="n">
        <v>56720</v>
      </c>
      <c r="F33" s="69" t="n">
        <v>3927.4</v>
      </c>
      <c r="G33" s="70">
        <f>F33-E33</f>
        <v/>
      </c>
      <c r="H33" s="71">
        <f>IF(E33=0,"",F33/E33)</f>
        <v/>
      </c>
      <c r="I33" s="73" t="inlineStr"/>
      <c r="J33" s="49" t="inlineStr">
        <is>
          <t>2030 Job Detail Report.pdf (Sage Timberline, 04/03/2026, 190 pages)</t>
        </is>
      </c>
    </row>
    <row r="34">
      <c r="B34" s="46" t="inlineStr">
        <is>
          <t>602</t>
        </is>
      </c>
      <c r="C34" s="47" t="inlineStr">
        <is>
          <t>Rental Equipment</t>
        </is>
      </c>
      <c r="D34" s="66" t="n">
        <v>8060</v>
      </c>
      <c r="E34" s="66" t="n">
        <v>6541</v>
      </c>
      <c r="F34" s="66" t="n">
        <v>5415.52</v>
      </c>
      <c r="G34" s="67">
        <f>F34-E34</f>
        <v/>
      </c>
      <c r="H34" s="68">
        <f>IF(E34=0,"",F34/E34)</f>
        <v/>
      </c>
      <c r="I34" s="17" t="inlineStr"/>
      <c r="J34" s="47" t="inlineStr">
        <is>
          <t>2030 Job Detail Report.pdf (Sage Timberline, 04/03/2026, 190 pages)</t>
        </is>
      </c>
    </row>
    <row r="35">
      <c r="B35" s="48" t="inlineStr">
        <is>
          <t>603</t>
        </is>
      </c>
      <c r="C35" s="49" t="inlineStr">
        <is>
          <t>Permits &amp; Licenses</t>
        </is>
      </c>
      <c r="D35" s="69" t="n">
        <v>0</v>
      </c>
      <c r="E35" s="69" t="n">
        <v>2327</v>
      </c>
      <c r="F35" s="69" t="n">
        <v>1959.3</v>
      </c>
      <c r="G35" s="70">
        <f>F35-E35</f>
        <v/>
      </c>
      <c r="H35" s="71">
        <f>IF(E35=0,"",F35/E35)</f>
        <v/>
      </c>
      <c r="I35" s="73" t="inlineStr"/>
      <c r="J35" s="49" t="inlineStr">
        <is>
          <t>2030 Job Detail Report.pdf (Sage Timberline, 04/03/2026, 190 pages)</t>
        </is>
      </c>
    </row>
    <row r="36">
      <c r="B36" s="46" t="inlineStr">
        <is>
          <t>607</t>
        </is>
      </c>
      <c r="C36" s="47" t="inlineStr">
        <is>
          <t>Other Expenses</t>
        </is>
      </c>
      <c r="D36" s="66" t="n">
        <v>9900</v>
      </c>
      <c r="E36" s="66" t="n">
        <v>9900</v>
      </c>
      <c r="F36" s="66" t="n">
        <v>2737.5</v>
      </c>
      <c r="G36" s="67">
        <f>F36-E36</f>
        <v/>
      </c>
      <c r="H36" s="68">
        <f>IF(E36=0,"",F36/E36)</f>
        <v/>
      </c>
      <c r="I36" s="17" t="inlineStr"/>
      <c r="J36" s="47" t="inlineStr">
        <is>
          <t>2030 Job Detail Report.pdf (Sage Timberline, 04/03/2026, 190 pages)</t>
        </is>
      </c>
    </row>
    <row r="37">
      <c r="B37" s="48" t="inlineStr">
        <is>
          <t>995</t>
        </is>
      </c>
      <c r="C37" s="49" t="inlineStr">
        <is>
          <t>Payroll Burden</t>
        </is>
      </c>
      <c r="D37" s="69" t="n">
        <v>0</v>
      </c>
      <c r="E37" s="69" t="n">
        <v>0</v>
      </c>
      <c r="F37" s="69" t="n">
        <v>0</v>
      </c>
      <c r="G37" s="70">
        <f>F37-E37</f>
        <v/>
      </c>
      <c r="H37" s="71">
        <f>IF(E37=0,"",F37/E37)</f>
        <v/>
      </c>
      <c r="I37" s="73" t="inlineStr"/>
      <c r="J37" s="49" t="inlineStr">
        <is>
          <t>2030 Job Detail Report.pdf (Sage Timberline, 04/03/2026, 190 pages)</t>
        </is>
      </c>
    </row>
    <row r="38">
      <c r="B38" s="46" t="inlineStr">
        <is>
          <t>998</t>
        </is>
      </c>
      <c r="C38" s="47" t="inlineStr">
        <is>
          <t>Payroll Taxes</t>
        </is>
      </c>
      <c r="D38" s="66" t="n">
        <v>0</v>
      </c>
      <c r="E38" s="66" t="n">
        <v>0</v>
      </c>
      <c r="F38" s="66" t="n">
        <v>0</v>
      </c>
      <c r="G38" s="67">
        <f>F38-E38</f>
        <v/>
      </c>
      <c r="H38" s="68">
        <f>IF(E38=0,"",F38/E38)</f>
        <v/>
      </c>
      <c r="I38" s="17" t="inlineStr"/>
      <c r="J38" s="47" t="inlineStr">
        <is>
          <t>2030 Job Detail Report.pdf (Sage Timberline, 04/03/2026, 190 pages)</t>
        </is>
      </c>
    </row>
    <row r="39">
      <c r="B39" s="48" t="inlineStr">
        <is>
          <t>999</t>
        </is>
      </c>
      <c r="C39" s="49" t="inlineStr">
        <is>
          <t>Sales</t>
        </is>
      </c>
      <c r="D39" s="69" t="n">
        <v>-5051600</v>
      </c>
      <c r="E39" s="69" t="n">
        <v>-5187754</v>
      </c>
      <c r="F39" s="69" t="n">
        <v>-5187754</v>
      </c>
      <c r="G39" s="70">
        <f>F39-E39</f>
        <v/>
      </c>
      <c r="H39" s="71">
        <f>IF(E39=0,"",F39/E39)</f>
        <v/>
      </c>
      <c r="I39" s="73" t="inlineStr"/>
      <c r="J39" s="49" t="inlineStr">
        <is>
          <t>2030 Job Detail Report.pdf (Sage Timberline, 04/03/2026, 190 pages)</t>
        </is>
      </c>
    </row>
    <row r="40">
      <c r="B40" s="74" t="inlineStr">
        <is>
          <t>TOTAL</t>
        </is>
      </c>
      <c r="D40" s="67">
        <f>SUM(D6:D39)</f>
        <v/>
      </c>
      <c r="E40" s="67">
        <f>SUM(E6:E39)</f>
        <v/>
      </c>
      <c r="F40" s="67">
        <f>SUM(F6:F39)</f>
        <v/>
      </c>
      <c r="G40" s="67">
        <f>F40-E40</f>
        <v/>
      </c>
      <c r="I40" s="75">
        <f>SUM(I6:I39)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Cost Breakdown by Category</t>
        </is>
      </c>
    </row>
    <row r="3" ht="22" customHeight="1">
      <c r="B3" s="43" t="inlineStr">
        <is>
          <t>Direct cost composition by category from JDR cost codes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Category</t>
        </is>
      </c>
      <c r="C5" s="65" t="inlineStr">
        <is>
          <t>Cost Codes</t>
        </is>
      </c>
      <c r="D5" s="65" t="inlineStr">
        <is>
          <t>Actual $</t>
        </is>
      </c>
      <c r="E5" s="65" t="inlineStr">
        <is>
          <t>% of Direct Cost</t>
        </is>
      </c>
      <c r="F5" s="65" t="inlineStr">
        <is>
          <t>% of Revenue</t>
        </is>
      </c>
      <c r="G5" s="65" t="inlineStr">
        <is>
          <t>Source</t>
        </is>
      </c>
    </row>
    <row r="6">
      <c r="B6" s="46" t="inlineStr">
        <is>
          <t>Labor</t>
        </is>
      </c>
      <c r="C6" s="47" t="inlineStr">
        <is>
          <t>100,101,110,111,112,120,130,140,141,142,143,310,320,330</t>
        </is>
      </c>
      <c r="D6" s="55" t="n">
        <v>1237777.26</v>
      </c>
      <c r="E6" s="68">
        <f>D6/$D$11</f>
        <v/>
      </c>
      <c r="F6" s="68">
        <f>D6/5187754.0</f>
        <v/>
      </c>
      <c r="G6" s="47" t="inlineStr">
        <is>
          <t>2030 Job Detail Report.pdf (Sage Timberline, 04/03/2026, 190 pages)</t>
        </is>
      </c>
    </row>
    <row r="7">
      <c r="B7" s="48" t="inlineStr">
        <is>
          <t>Material</t>
        </is>
      </c>
      <c r="C7" s="49" t="inlineStr">
        <is>
          <t>210,211,212,220,230,240,241,242,243,410,420,430</t>
        </is>
      </c>
      <c r="D7" s="76" t="n">
        <v>1110426.25</v>
      </c>
      <c r="E7" s="71">
        <f>D7/$D$11</f>
        <v/>
      </c>
      <c r="F7" s="71">
        <f>D7/5187754.0</f>
        <v/>
      </c>
      <c r="G7" s="49" t="inlineStr">
        <is>
          <t>2030 Job Detail Report.pdf (Sage Timberline, 04/03/2026, 190 pages)</t>
        </is>
      </c>
      <c r="H7" s="53" t="n"/>
      <c r="I7" s="53" t="n"/>
      <c r="J7" s="53" t="n"/>
    </row>
    <row r="8">
      <c r="B8" s="46" t="inlineStr">
        <is>
          <t>Subcontractor + Engineering + Permits + Other</t>
        </is>
      </c>
      <c r="C8" s="47" t="inlineStr">
        <is>
          <t>600,601,602,603,607</t>
        </is>
      </c>
      <c r="D8" s="55" t="n">
        <v>79204.72</v>
      </c>
      <c r="E8" s="68">
        <f>D8/$D$11</f>
        <v/>
      </c>
      <c r="F8" s="68">
        <f>D8/5187754.0</f>
        <v/>
      </c>
      <c r="G8" s="47" t="inlineStr">
        <is>
          <t>2030 Job Detail Report.pdf (Sage Timberline, 04/03/2026, 190 pages)</t>
        </is>
      </c>
    </row>
    <row r="9">
      <c r="B9" s="48" t="inlineStr">
        <is>
          <t>Payroll Burden</t>
        </is>
      </c>
      <c r="C9" s="49" t="inlineStr">
        <is>
          <t>995</t>
        </is>
      </c>
      <c r="D9" s="76" t="n">
        <v>0</v>
      </c>
      <c r="E9" s="71">
        <f>D9/$D$11</f>
        <v/>
      </c>
      <c r="F9" s="71">
        <f>D9/5187754.0</f>
        <v/>
      </c>
      <c r="G9" s="49" t="inlineStr">
        <is>
          <t>2030 Job Detail Report.pdf (Sage Timberline, 04/03/2026, 190 pages)</t>
        </is>
      </c>
      <c r="H9" s="53" t="n"/>
      <c r="I9" s="53" t="n"/>
      <c r="J9" s="53" t="n"/>
    </row>
    <row r="10">
      <c r="B10" s="46" t="inlineStr">
        <is>
          <t>Payroll Taxes</t>
        </is>
      </c>
      <c r="C10" s="47" t="inlineStr">
        <is>
          <t>998</t>
        </is>
      </c>
      <c r="D10" s="55" t="n">
        <v>0</v>
      </c>
      <c r="E10" s="68">
        <f>D10/$D$11</f>
        <v/>
      </c>
      <c r="F10" s="68">
        <f>D10/5187754.0</f>
        <v/>
      </c>
      <c r="G10" s="47" t="inlineStr">
        <is>
          <t>2030 Job Detail Report.pdf (Sage Timberline, 04/03/2026, 190 pages)</t>
        </is>
      </c>
    </row>
    <row r="11">
      <c r="B11" s="77" t="inlineStr">
        <is>
          <t>TOTAL DIRECT COST</t>
        </is>
      </c>
      <c r="C11" s="53" t="n"/>
      <c r="D11" s="78">
        <f>SUM(D6:D10)</f>
        <v/>
      </c>
      <c r="E11" s="79" t="n">
        <v>1</v>
      </c>
      <c r="F11" s="71">
        <f>D11/5187754.0</f>
        <v/>
      </c>
      <c r="G11" s="53" t="n"/>
      <c r="H11" s="53" t="n"/>
      <c r="I11" s="53" t="n"/>
      <c r="J1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Material Purchases — AP Vendors</t>
        </is>
      </c>
    </row>
    <row r="3" ht="22" customHeight="1">
      <c r="B3" s="43" t="inlineStr">
        <is>
          <t>Material + subcontractor spend by vendor (AP records from JDR). Supplemented with submittal/PO inventory.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Vendor ID</t>
        </is>
      </c>
      <c r="C5" s="65" t="inlineStr">
        <is>
          <t>Vendor Name</t>
        </is>
      </c>
      <c r="D5" s="65" t="inlineStr">
        <is>
          <t>Total Spend</t>
        </is>
      </c>
      <c r="E5" s="65" t="inlineStr">
        <is>
          <t># Transactions</t>
        </is>
      </c>
      <c r="F5" s="65" t="inlineStr">
        <is>
          <t>Category (inferred)</t>
        </is>
      </c>
      <c r="G5" s="65" t="inlineStr">
        <is>
          <t>Source</t>
        </is>
      </c>
    </row>
    <row r="6">
      <c r="B6" s="46" t="inlineStr">
        <is>
          <t>2031RS</t>
        </is>
      </c>
      <c r="C6" s="47" t="inlineStr">
        <is>
          <t>Rosen Supply Company, Inc. $Gateway</t>
        </is>
      </c>
      <c r="D6" s="66" t="n">
        <v>447211.9399999999</v>
      </c>
      <c r="E6" s="80" t="n">
        <v>294</v>
      </c>
      <c r="F6" s="47" t="inlineStr">
        <is>
          <t>Plumbing / Supplies</t>
        </is>
      </c>
      <c r="G6" s="47" t="inlineStr">
        <is>
          <t>2030 Job Detail Report.pdf (Sage Timberline, 04/03/2026, 190 pages)</t>
        </is>
      </c>
    </row>
    <row r="7">
      <c r="B7" s="48" t="inlineStr">
        <is>
          <t>2031CS</t>
        </is>
      </c>
      <c r="C7" s="49" t="inlineStr">
        <is>
          <t>Consolidated Supply Co. $Iss Gateway</t>
        </is>
      </c>
      <c r="D7" s="69" t="n">
        <v>166661.73</v>
      </c>
      <c r="E7" s="81" t="n">
        <v>104</v>
      </c>
      <c r="F7" s="49" t="inlineStr">
        <is>
          <t>Plumbing / Supplies</t>
        </is>
      </c>
      <c r="G7" s="49" t="inlineStr">
        <is>
          <t>2030 Job Detail Report.pdf (Sage Timberline, 04/03/2026, 190 pages)</t>
        </is>
      </c>
      <c r="H7" s="53" t="n"/>
      <c r="I7" s="53" t="n"/>
      <c r="J7" s="53" t="n"/>
    </row>
    <row r="8">
      <c r="B8" s="46" t="inlineStr">
        <is>
          <t>1380RS</t>
        </is>
      </c>
      <c r="C8" s="47" t="inlineStr">
        <is>
          <t>Rosen Supply Kirkland</t>
        </is>
      </c>
      <c r="D8" s="66" t="n">
        <v>148601.8200000001</v>
      </c>
      <c r="E8" s="80" t="n">
        <v>153</v>
      </c>
      <c r="F8" s="47" t="inlineStr">
        <is>
          <t>Plumbing / Supplies</t>
        </is>
      </c>
      <c r="G8" s="47" t="inlineStr">
        <is>
          <t>2030 Job Detail Report.pdf (Sage Timberline, 04/03/2026, 190 pages)</t>
        </is>
      </c>
    </row>
    <row r="9">
      <c r="B9" s="48" t="inlineStr">
        <is>
          <t>2031FE</t>
        </is>
      </c>
      <c r="C9" s="49" t="inlineStr">
        <is>
          <t>Ferguson Enterprises, Inc. $Gateway</t>
        </is>
      </c>
      <c r="D9" s="69" t="n">
        <v>59000.2</v>
      </c>
      <c r="E9" s="81" t="n">
        <v>40</v>
      </c>
      <c r="F9" s="49" t="inlineStr">
        <is>
          <t>Plumbing / Supplies</t>
        </is>
      </c>
      <c r="G9" s="49" t="inlineStr">
        <is>
          <t>2030 Job Detail Report.pdf (Sage Timberline, 04/03/2026, 190 pages)</t>
        </is>
      </c>
      <c r="H9" s="53" t="n"/>
      <c r="I9" s="53" t="n"/>
      <c r="J9" s="53" t="n"/>
    </row>
    <row r="10">
      <c r="B10" s="46" t="inlineStr">
        <is>
          <t>6912MF</t>
        </is>
      </c>
      <c r="C10" s="47" t="inlineStr">
        <is>
          <t>Mechanical Firestop Services, LLC</t>
        </is>
      </c>
      <c r="D10" s="66" t="n">
        <v>53330</v>
      </c>
      <c r="E10" s="80" t="n">
        <v>10</v>
      </c>
      <c r="F10" s="47" t="inlineStr">
        <is>
          <t>Uncategorized</t>
        </is>
      </c>
      <c r="G10" s="47" t="inlineStr">
        <is>
          <t>2030 Job Detail Report.pdf (Sage Timberline, 04/03/2026, 190 pages)</t>
        </is>
      </c>
    </row>
    <row r="11">
      <c r="B11" s="48" t="inlineStr">
        <is>
          <t>1175FE</t>
        </is>
      </c>
      <c r="C11" s="49" t="inlineStr">
        <is>
          <t>Ferguson Enterprises, Inc. #3007</t>
        </is>
      </c>
      <c r="D11" s="69" t="n">
        <v>45236.43</v>
      </c>
      <c r="E11" s="81" t="n">
        <v>40</v>
      </c>
      <c r="F11" s="49" t="inlineStr">
        <is>
          <t>Plumbing / Supplies</t>
        </is>
      </c>
      <c r="G11" s="49" t="inlineStr">
        <is>
          <t>2030 Job Detail Report.pdf (Sage Timberline, 04/03/2026, 190 pages)</t>
        </is>
      </c>
      <c r="H11" s="53" t="n"/>
      <c r="I11" s="53" t="n"/>
      <c r="J11" s="53" t="n"/>
    </row>
    <row r="12">
      <c r="B12" s="46" t="inlineStr">
        <is>
          <t>1231KS</t>
        </is>
      </c>
      <c r="C12" s="47" t="inlineStr">
        <is>
          <t>Keller Supply Company</t>
        </is>
      </c>
      <c r="D12" s="66" t="n">
        <v>43202.49</v>
      </c>
      <c r="E12" s="80" t="n">
        <v>49</v>
      </c>
      <c r="F12" s="47" t="inlineStr">
        <is>
          <t>Plumbing / Supplies</t>
        </is>
      </c>
      <c r="G12" s="47" t="inlineStr">
        <is>
          <t>2030 Job Detail Report.pdf (Sage Timberline, 04/03/2026, 190 pages)</t>
        </is>
      </c>
    </row>
    <row r="13">
      <c r="B13" s="48" t="inlineStr">
        <is>
          <t>2494KM</t>
        </is>
      </c>
      <c r="C13" s="49" t="inlineStr">
        <is>
          <t>Katerra Materials LLC</t>
        </is>
      </c>
      <c r="D13" s="69" t="n">
        <v>31946.2</v>
      </c>
      <c r="E13" s="81" t="n">
        <v>24</v>
      </c>
      <c r="F13" s="49" t="inlineStr">
        <is>
          <t>Uncategorized</t>
        </is>
      </c>
      <c r="G13" s="49" t="inlineStr">
        <is>
          <t>2030 Job Detail Report.pdf (Sage Timberline, 04/03/2026, 190 pages)</t>
        </is>
      </c>
      <c r="H13" s="53" t="n"/>
      <c r="I13" s="53" t="n"/>
      <c r="J13" s="53" t="n"/>
    </row>
    <row r="14">
      <c r="B14" s="46" t="inlineStr">
        <is>
          <t>2031KS</t>
        </is>
      </c>
      <c r="C14" s="47" t="inlineStr">
        <is>
          <t>Keller Supply Co. $Issaquah Gateway</t>
        </is>
      </c>
      <c r="D14" s="66" t="n">
        <v>25025.54</v>
      </c>
      <c r="E14" s="80" t="n">
        <v>20</v>
      </c>
      <c r="F14" s="47" t="inlineStr">
        <is>
          <t>Plumbing / Supplies</t>
        </is>
      </c>
      <c r="G14" s="47" t="inlineStr">
        <is>
          <t>2030 Job Detail Report.pdf (Sage Timberline, 04/03/2026, 190 pages)</t>
        </is>
      </c>
    </row>
    <row r="15">
      <c r="B15" s="48" t="inlineStr">
        <is>
          <t>1130CS</t>
        </is>
      </c>
      <c r="C15" s="49" t="inlineStr">
        <is>
          <t>Consolidated Supply Co.</t>
        </is>
      </c>
      <c r="D15" s="69" t="n">
        <v>13285.17</v>
      </c>
      <c r="E15" s="81" t="n">
        <v>13</v>
      </c>
      <c r="F15" s="49" t="inlineStr">
        <is>
          <t>Plumbing / Supplies</t>
        </is>
      </c>
      <c r="G15" s="49" t="inlineStr">
        <is>
          <t>2030 Job Detail Report.pdf (Sage Timberline, 04/03/2026, 190 pages)</t>
        </is>
      </c>
      <c r="H15" s="53" t="n"/>
      <c r="I15" s="53" t="n"/>
      <c r="J15" s="53" t="n"/>
    </row>
    <row r="16">
      <c r="B16" s="46" t="inlineStr">
        <is>
          <t>3181SC</t>
        </is>
      </c>
      <c r="C16" s="47" t="inlineStr">
        <is>
          <t>Scan2Core, Inc.</t>
        </is>
      </c>
      <c r="D16" s="66" t="n">
        <v>7916</v>
      </c>
      <c r="E16" s="80" t="n">
        <v>16</v>
      </c>
      <c r="F16" s="47" t="inlineStr">
        <is>
          <t>Uncategorized</t>
        </is>
      </c>
      <c r="G16" s="47" t="inlineStr">
        <is>
          <t>2030 Job Detail Report.pdf (Sage Timberline, 04/03/2026, 190 pages)</t>
        </is>
      </c>
    </row>
    <row r="17">
      <c r="B17" s="48" t="inlineStr">
        <is>
          <t>1234CO</t>
        </is>
      </c>
      <c r="C17" s="49" t="inlineStr">
        <is>
          <t>Capital One Credit Card</t>
        </is>
      </c>
      <c r="D17" s="69" t="n">
        <v>7431.169999999997</v>
      </c>
      <c r="E17" s="81" t="n">
        <v>58</v>
      </c>
      <c r="F17" s="49" t="inlineStr">
        <is>
          <t>Credit Card (mixed)</t>
        </is>
      </c>
      <c r="G17" s="49" t="inlineStr">
        <is>
          <t>2030 Job Detail Report.pdf (Sage Timberline, 04/03/2026, 190 pages)</t>
        </is>
      </c>
      <c r="H17" s="53" t="n"/>
      <c r="I17" s="53" t="n"/>
      <c r="J17" s="53" t="n"/>
    </row>
    <row r="18">
      <c r="B18" s="46" t="inlineStr">
        <is>
          <t>1401LU</t>
        </is>
      </c>
      <c r="C18" s="47" t="inlineStr">
        <is>
          <t>Lotus United, LLC</t>
        </is>
      </c>
      <c r="D18" s="66" t="n">
        <v>4030</v>
      </c>
      <c r="E18" s="80" t="n">
        <v>4</v>
      </c>
      <c r="F18" s="47" t="inlineStr">
        <is>
          <t>Uncategorized</t>
        </is>
      </c>
      <c r="G18" s="47" t="inlineStr">
        <is>
          <t>2030 Job Detail Report.pdf (Sage Timberline, 04/03/2026, 190 pages)</t>
        </is>
      </c>
    </row>
    <row r="19">
      <c r="B19" s="48" t="inlineStr">
        <is>
          <t>1625FE</t>
        </is>
      </c>
      <c r="C19" s="49" t="inlineStr">
        <is>
          <t>Franklin Engineering</t>
        </is>
      </c>
      <c r="D19" s="69" t="n">
        <v>3757</v>
      </c>
      <c r="E19" s="81" t="n">
        <v>4</v>
      </c>
      <c r="F19" s="49" t="inlineStr">
        <is>
          <t>Engineering (601)</t>
        </is>
      </c>
      <c r="G19" s="49" t="inlineStr">
        <is>
          <t>2030 Job Detail Report.pdf (Sage Timberline, 04/03/2026, 190 pages)</t>
        </is>
      </c>
      <c r="H19" s="53" t="n"/>
      <c r="I19" s="53" t="n"/>
      <c r="J19" s="53" t="n"/>
    </row>
    <row r="20">
      <c r="B20" s="46" t="inlineStr">
        <is>
          <t>3612MS</t>
        </is>
      </c>
      <c r="C20" s="47" t="inlineStr">
        <is>
          <t>Mechanical Sales, Inc.</t>
        </is>
      </c>
      <c r="D20" s="66" t="n">
        <v>3272.43</v>
      </c>
      <c r="E20" s="80" t="n">
        <v>4</v>
      </c>
      <c r="F20" s="47" t="inlineStr">
        <is>
          <t>Plumbing / Supplies</t>
        </is>
      </c>
      <c r="G20" s="47" t="inlineStr">
        <is>
          <t>2030 Job Detail Report.pdf (Sage Timberline, 04/03/2026, 190 pages)</t>
        </is>
      </c>
    </row>
    <row r="21">
      <c r="B21" s="48" t="inlineStr">
        <is>
          <t>1421RA</t>
        </is>
      </c>
      <c r="C21" s="49" t="inlineStr">
        <is>
          <t>R.A. Brown Backflow Testing</t>
        </is>
      </c>
      <c r="D21" s="69" t="n">
        <v>2124</v>
      </c>
      <c r="E21" s="81" t="n">
        <v>10</v>
      </c>
      <c r="F21" s="49" t="inlineStr">
        <is>
          <t>Testing subcontractor</t>
        </is>
      </c>
      <c r="G21" s="49" t="inlineStr">
        <is>
          <t>2030 Job Detail Report.pdf (Sage Timberline, 04/03/2026, 190 pages)</t>
        </is>
      </c>
      <c r="H21" s="53" t="n"/>
      <c r="I21" s="53" t="n"/>
      <c r="J21" s="53" t="n"/>
    </row>
    <row r="22">
      <c r="B22" s="46" t="inlineStr">
        <is>
          <t>5560CH</t>
        </is>
      </c>
      <c r="C22" s="47" t="inlineStr">
        <is>
          <t>California Hydronics Corp</t>
        </is>
      </c>
      <c r="D22" s="66" t="n">
        <v>1950</v>
      </c>
      <c r="E22" s="80" t="n">
        <v>2</v>
      </c>
      <c r="F22" s="47" t="inlineStr">
        <is>
          <t>Uncategorized</t>
        </is>
      </c>
      <c r="G22" s="47" t="inlineStr">
        <is>
          <t>2030 Job Detail Report.pdf (Sage Timberline, 04/03/2026, 190 pages)</t>
        </is>
      </c>
    </row>
    <row r="23">
      <c r="B23" s="48" t="inlineStr">
        <is>
          <t>8056MS</t>
        </is>
      </c>
      <c r="C23" s="49" t="inlineStr">
        <is>
          <t>Mechanical Service &amp; Integration LLC</t>
        </is>
      </c>
      <c r="D23" s="69" t="n">
        <v>1600</v>
      </c>
      <c r="E23" s="81" t="n">
        <v>2</v>
      </c>
      <c r="F23" s="49" t="inlineStr">
        <is>
          <t>Uncategorized</t>
        </is>
      </c>
      <c r="G23" s="49" t="inlineStr">
        <is>
          <t>2030 Job Detail Report.pdf (Sage Timberline, 04/03/2026, 190 pages)</t>
        </is>
      </c>
      <c r="H23" s="53" t="n"/>
      <c r="I23" s="53" t="n"/>
      <c r="J23" s="53" t="n"/>
    </row>
    <row r="24">
      <c r="B24" s="46" t="inlineStr">
        <is>
          <t>1799AW</t>
        </is>
      </c>
      <c r="C24" s="47" t="inlineStr">
        <is>
          <t>AllWest Underground, Inc.</t>
        </is>
      </c>
      <c r="D24" s="66" t="n">
        <v>1581.62</v>
      </c>
      <c r="E24" s="80" t="n">
        <v>2</v>
      </c>
      <c r="F24" s="47" t="inlineStr">
        <is>
          <t>Uncategorized</t>
        </is>
      </c>
      <c r="G24" s="47" t="inlineStr">
        <is>
          <t>2030 Job Detail Report.pdf (Sage Timberline, 04/03/2026, 190 pages)</t>
        </is>
      </c>
    </row>
    <row r="25">
      <c r="B25" s="48" t="inlineStr">
        <is>
          <t>5621HD</t>
        </is>
      </c>
      <c r="C25" s="49" t="inlineStr">
        <is>
          <t>Core &amp; Main LP $HD Supply Waterworks</t>
        </is>
      </c>
      <c r="D25" s="69" t="n">
        <v>1394.49</v>
      </c>
      <c r="E25" s="81" t="n">
        <v>2</v>
      </c>
      <c r="F25" s="49" t="inlineStr">
        <is>
          <t>Plumbing / Supplies</t>
        </is>
      </c>
      <c r="G25" s="49" t="inlineStr">
        <is>
          <t>2030 Job Detail Report.pdf (Sage Timberline, 04/03/2026, 190 pages)</t>
        </is>
      </c>
      <c r="H25" s="53" t="n"/>
      <c r="I25" s="53" t="n"/>
      <c r="J25" s="53" t="n"/>
    </row>
    <row r="26">
      <c r="B26" s="46" t="inlineStr">
        <is>
          <t>2713AR</t>
        </is>
      </c>
      <c r="C26" s="47" t="inlineStr">
        <is>
          <t>Ahern Rentals</t>
        </is>
      </c>
      <c r="D26" s="66" t="n">
        <v>1006.5</v>
      </c>
      <c r="E26" s="80" t="n">
        <v>2</v>
      </c>
      <c r="F26" s="47" t="inlineStr">
        <is>
          <t>Uncategorized</t>
        </is>
      </c>
      <c r="G26" s="47" t="inlineStr">
        <is>
          <t>2030 Job Detail Report.pdf (Sage Timberline, 04/03/2026, 190 pages)</t>
        </is>
      </c>
    </row>
    <row r="27">
      <c r="B27" s="48" t="inlineStr">
        <is>
          <t>5919PW</t>
        </is>
      </c>
      <c r="C27" s="49" t="inlineStr">
        <is>
          <t>Patchworks, Inc.</t>
        </is>
      </c>
      <c r="D27" s="69" t="n">
        <v>905</v>
      </c>
      <c r="E27" s="81" t="n">
        <v>1</v>
      </c>
      <c r="F27" s="49" t="inlineStr">
        <is>
          <t>Uncategorized</t>
        </is>
      </c>
      <c r="G27" s="49" t="inlineStr">
        <is>
          <t>2030 Job Detail Report.pdf (Sage Timberline, 04/03/2026, 190 pages)</t>
        </is>
      </c>
      <c r="H27" s="53" t="n"/>
      <c r="I27" s="53" t="n"/>
      <c r="J27" s="53" t="n"/>
    </row>
    <row r="28">
      <c r="B28" s="46" t="inlineStr">
        <is>
          <t>4320MC</t>
        </is>
      </c>
      <c r="C28" s="47" t="inlineStr">
        <is>
          <t>MAD Concrete Cutting &amp; Coring, Inc.</t>
        </is>
      </c>
      <c r="D28" s="66" t="n">
        <v>825</v>
      </c>
      <c r="E28" s="80" t="n">
        <v>1</v>
      </c>
      <c r="F28" s="47" t="inlineStr">
        <is>
          <t>Uncategorized</t>
        </is>
      </c>
      <c r="G28" s="47" t="inlineStr">
        <is>
          <t>2030 Job Detail Report.pdf (Sage Timberline, 04/03/2026, 190 pages)</t>
        </is>
      </c>
    </row>
    <row r="29">
      <c r="B29" s="48" t="inlineStr">
        <is>
          <t>1978FC</t>
        </is>
      </c>
      <c r="C29" s="49" t="inlineStr">
        <is>
          <t>Fastenal Company</t>
        </is>
      </c>
      <c r="D29" s="69" t="n">
        <v>326.84</v>
      </c>
      <c r="E29" s="81" t="n">
        <v>5</v>
      </c>
      <c r="F29" s="49" t="inlineStr">
        <is>
          <t>Uncategorized</t>
        </is>
      </c>
      <c r="G29" s="49" t="inlineStr">
        <is>
          <t>2030 Job Detail Report.pdf (Sage Timberline, 04/03/2026, 190 pages)</t>
        </is>
      </c>
      <c r="H29" s="53" t="n"/>
      <c r="I29" s="53" t="n"/>
      <c r="J29" s="53" t="n"/>
    </row>
    <row r="30">
      <c r="B30" s="46" t="inlineStr">
        <is>
          <t>1021AT</t>
        </is>
      </c>
      <c r="C30" s="47" t="inlineStr">
        <is>
          <t>ACME Corp</t>
        </is>
      </c>
      <c r="D30" s="66" t="n">
        <v>320.31</v>
      </c>
      <c r="E30" s="80" t="n">
        <v>2</v>
      </c>
      <c r="F30" s="47" t="inlineStr">
        <is>
          <t>Uncategorized</t>
        </is>
      </c>
      <c r="G30" s="47" t="inlineStr">
        <is>
          <t>2030 Job Detail Report.pdf (Sage Timberline, 04/03/2026, 190 pages)</t>
        </is>
      </c>
    </row>
    <row r="31">
      <c r="B31" s="48" t="inlineStr">
        <is>
          <t>2850PL</t>
        </is>
      </c>
      <c r="C31" s="49" t="inlineStr">
        <is>
          <t>Platt $Rexel USA, Inc.</t>
        </is>
      </c>
      <c r="D31" s="69" t="n">
        <v>168.31</v>
      </c>
      <c r="E31" s="81" t="n">
        <v>2</v>
      </c>
      <c r="F31" s="49" t="inlineStr">
        <is>
          <t>Uncategorized</t>
        </is>
      </c>
      <c r="G31" s="49" t="inlineStr">
        <is>
          <t>2030 Job Detail Report.pdf (Sage Timberline, 04/03/2026, 190 pages)</t>
        </is>
      </c>
      <c r="H31" s="53" t="n"/>
      <c r="I31" s="53" t="n"/>
      <c r="J31" s="53" t="n"/>
    </row>
    <row r="32">
      <c r="B32" s="46" t="inlineStr">
        <is>
          <t>1234BA</t>
        </is>
      </c>
      <c r="C32" s="47" t="inlineStr">
        <is>
          <t>Bank of America CC</t>
        </is>
      </c>
      <c r="D32" s="66" t="n">
        <v>110.99</v>
      </c>
      <c r="E32" s="80" t="n">
        <v>1</v>
      </c>
      <c r="F32" s="47" t="inlineStr">
        <is>
          <t>Credit Card (mixed)</t>
        </is>
      </c>
      <c r="G32" s="47" t="inlineStr">
        <is>
          <t>2030 Job Detail Report.pdf (Sage Timberline, 04/03/2026, 190 pages)</t>
        </is>
      </c>
    </row>
    <row r="33">
      <c r="B33" s="48" t="inlineStr">
        <is>
          <t>1641AR</t>
        </is>
      </c>
      <c r="C33" s="49" t="inlineStr">
        <is>
          <t>A.R. Brown Backflow Testing</t>
        </is>
      </c>
      <c r="D33" s="69" t="n">
        <v>65</v>
      </c>
      <c r="E33" s="81" t="n">
        <v>1</v>
      </c>
      <c r="F33" s="49" t="inlineStr">
        <is>
          <t>Testing subcontractor</t>
        </is>
      </c>
      <c r="G33" s="49" t="inlineStr">
        <is>
          <t>2030 Job Detail Report.pdf (Sage Timberline, 04/03/2026, 190 pages)</t>
        </is>
      </c>
      <c r="H33" s="53" t="n"/>
      <c r="I33" s="53" t="n"/>
      <c r="J33" s="53" t="n"/>
    </row>
    <row r="34">
      <c r="B34" s="46" t="inlineStr">
        <is>
          <t>2030KS</t>
        </is>
      </c>
      <c r="C34" s="47" t="inlineStr">
        <is>
          <t>Keller Supply Co. $East Union</t>
        </is>
      </c>
      <c r="D34" s="66" t="n">
        <v>0</v>
      </c>
      <c r="E34" s="80" t="n">
        <v>2</v>
      </c>
      <c r="F34" s="47" t="inlineStr">
        <is>
          <t>Plumbing / Supplies</t>
        </is>
      </c>
      <c r="G34" s="47" t="inlineStr">
        <is>
          <t>2030 Job Detail Report.pdf (Sage Timberline, 04/03/2026, 190 pages)</t>
        </is>
      </c>
    </row>
    <row r="35">
      <c r="B35" s="77" t="inlineStr">
        <is>
          <t>TOTAL</t>
        </is>
      </c>
      <c r="C35" s="53" t="n"/>
      <c r="D35" s="78">
        <f>SUM(D6:D34)</f>
        <v/>
      </c>
      <c r="E35" s="49">
        <f>SUM(E6:E34)</f>
        <v/>
      </c>
      <c r="F35" s="53" t="n"/>
      <c r="G35" s="53" t="n"/>
      <c r="H35" s="53" t="n"/>
      <c r="I35" s="53" t="n"/>
      <c r="J35" s="53" t="n"/>
    </row>
    <row r="36"/>
    <row r="37">
      <c r="B37" s="48" t="inlineStr">
        <is>
          <t>NOTE: AP total per JDR footer = $1,072,286.18. Vendor sum above approximates this. Submittals folder (Submittals/) contains 19 fixture + 10 material + 1 UG submittal documenting approved products. POs folder shows 82 POs (7 placed, 19 scheduled, 56 completed).</t>
        </is>
      </c>
      <c r="C37" s="50" t="n"/>
      <c r="D37" s="50" t="n"/>
      <c r="E37" s="50" t="n"/>
      <c r="F37" s="50" t="n"/>
      <c r="G37" s="51" t="n"/>
      <c r="H37" s="53" t="n"/>
      <c r="I37" s="53" t="n"/>
      <c r="J37" s="53" t="n"/>
    </row>
  </sheetData>
  <mergeCells count="3">
    <mergeCell ref="B37:G37"/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78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Crew &amp; Labor — Worker Roster</t>
        </is>
      </c>
    </row>
    <row r="3" ht="22" customHeight="1">
      <c r="B3" s="43" t="inlineStr">
        <is>
          <t>All 72 unique payroll workers from JDR.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Worker ID</t>
        </is>
      </c>
      <c r="C5" s="65" t="inlineStr">
        <is>
          <t>Worker Name</t>
        </is>
      </c>
      <c r="D5" s="65" t="inlineStr">
        <is>
          <t>Total Hours</t>
        </is>
      </c>
      <c r="E5" s="65" t="inlineStr">
        <is>
          <t>Gross Pay</t>
        </is>
      </c>
      <c r="F5" s="65" t="inlineStr">
        <is>
          <t>Blended Wage ($/hr)</t>
        </is>
      </c>
      <c r="G5" s="65" t="inlineStr">
        <is>
          <t># Work Days</t>
        </is>
      </c>
      <c r="H5" s="65" t="inlineStr">
        <is>
          <t>Source</t>
        </is>
      </c>
    </row>
    <row r="6">
      <c r="B6" s="46" t="inlineStr">
        <is>
          <t>GA46</t>
        </is>
      </c>
      <c r="C6" s="47" t="inlineStr">
        <is>
          <t>Galdamez, Dagoberto A</t>
        </is>
      </c>
      <c r="D6" s="56" t="n">
        <v>3140</v>
      </c>
      <c r="E6" s="55" t="n">
        <v>70964</v>
      </c>
      <c r="F6" s="82">
        <f>IF(D6=0,0,E6/D6)</f>
        <v/>
      </c>
      <c r="G6" s="80" t="n">
        <v>92</v>
      </c>
      <c r="H6" s="47" t="inlineStr">
        <is>
          <t>2030 Job Detail Report.pdf (Sage Timberline, 04/03/2026, 190 pages)</t>
        </is>
      </c>
    </row>
    <row r="7">
      <c r="B7" s="48" t="inlineStr">
        <is>
          <t>EI74</t>
        </is>
      </c>
      <c r="C7" s="49" t="inlineStr">
        <is>
          <t>Eisenhauer, Tommy J</t>
        </is>
      </c>
      <c r="D7" s="72" t="n">
        <v>3106.5</v>
      </c>
      <c r="E7" s="76" t="n">
        <v>61781.5</v>
      </c>
      <c r="F7" s="78">
        <f>IF(D7=0,0,E7/D7)</f>
        <v/>
      </c>
      <c r="G7" s="81" t="n">
        <v>88</v>
      </c>
      <c r="H7" s="49" t="inlineStr">
        <is>
          <t>2030 Job Detail Report.pdf (Sage Timberline, 04/03/2026, 190 pages)</t>
        </is>
      </c>
      <c r="I7" s="53" t="n"/>
      <c r="J7" s="53" t="n"/>
    </row>
    <row r="8">
      <c r="B8" s="46" t="inlineStr">
        <is>
          <t>GE71</t>
        </is>
      </c>
      <c r="C8" s="47" t="inlineStr">
        <is>
          <t>Gerard, Mitchell J</t>
        </is>
      </c>
      <c r="D8" s="56" t="n">
        <v>3046</v>
      </c>
      <c r="E8" s="55" t="n">
        <v>85084</v>
      </c>
      <c r="F8" s="82">
        <f>IF(D8=0,0,E8/D8)</f>
        <v/>
      </c>
      <c r="G8" s="80" t="n">
        <v>85</v>
      </c>
      <c r="H8" s="47" t="inlineStr">
        <is>
          <t>2030 Job Detail Report.pdf (Sage Timberline, 04/03/2026, 190 pages)</t>
        </is>
      </c>
    </row>
    <row r="9">
      <c r="B9" s="48" t="inlineStr">
        <is>
          <t>QU35</t>
        </is>
      </c>
      <c r="C9" s="49" t="inlineStr">
        <is>
          <t>Quintanilla, Esteban R</t>
        </is>
      </c>
      <c r="D9" s="72" t="n">
        <v>2985</v>
      </c>
      <c r="E9" s="76" t="n">
        <v>112163.5</v>
      </c>
      <c r="F9" s="78">
        <f>IF(D9=0,0,E9/D9)</f>
        <v/>
      </c>
      <c r="G9" s="81" t="n">
        <v>91</v>
      </c>
      <c r="H9" s="49" t="inlineStr">
        <is>
          <t>2030 Job Detail Report.pdf (Sage Timberline, 04/03/2026, 190 pages)</t>
        </is>
      </c>
      <c r="I9" s="53" t="n"/>
      <c r="J9" s="53" t="n"/>
    </row>
    <row r="10">
      <c r="B10" s="46" t="inlineStr">
        <is>
          <t>GE70</t>
        </is>
      </c>
      <c r="C10" s="47" t="inlineStr">
        <is>
          <t>Gerard, Jordan E</t>
        </is>
      </c>
      <c r="D10" s="56" t="n">
        <v>2890</v>
      </c>
      <c r="E10" s="55" t="n">
        <v>74736</v>
      </c>
      <c r="F10" s="82">
        <f>IF(D10=0,0,E10/D10)</f>
        <v/>
      </c>
      <c r="G10" s="80" t="n">
        <v>88</v>
      </c>
      <c r="H10" s="47" t="inlineStr">
        <is>
          <t>2030 Job Detail Report.pdf (Sage Timberline, 04/03/2026, 190 pages)</t>
        </is>
      </c>
    </row>
    <row r="11">
      <c r="B11" s="48" t="inlineStr">
        <is>
          <t>BE54</t>
        </is>
      </c>
      <c r="C11" s="49" t="inlineStr">
        <is>
          <t>Benites Portillo, Marvin E</t>
        </is>
      </c>
      <c r="D11" s="72" t="n">
        <v>2280.5</v>
      </c>
      <c r="E11" s="76" t="n">
        <v>45266.5</v>
      </c>
      <c r="F11" s="78">
        <f>IF(D11=0,0,E11/D11)</f>
        <v/>
      </c>
      <c r="G11" s="81" t="n">
        <v>68</v>
      </c>
      <c r="H11" s="49" t="inlineStr">
        <is>
          <t>2030 Job Detail Report.pdf (Sage Timberline, 04/03/2026, 190 pages)</t>
        </is>
      </c>
      <c r="I11" s="53" t="n"/>
      <c r="J11" s="53" t="n"/>
    </row>
    <row r="12">
      <c r="B12" s="46" t="inlineStr">
        <is>
          <t>CR77</t>
        </is>
      </c>
      <c r="C12" s="47" t="inlineStr">
        <is>
          <t>Cruz Gonzalez, Julio C</t>
        </is>
      </c>
      <c r="D12" s="56" t="n">
        <v>2238.5</v>
      </c>
      <c r="E12" s="55" t="n">
        <v>36690.5</v>
      </c>
      <c r="F12" s="82">
        <f>IF(D12=0,0,E12/D12)</f>
        <v/>
      </c>
      <c r="G12" s="80" t="n">
        <v>59</v>
      </c>
      <c r="H12" s="47" t="inlineStr">
        <is>
          <t>2030 Job Detail Report.pdf (Sage Timberline, 04/03/2026, 190 pages)</t>
        </is>
      </c>
    </row>
    <row r="13">
      <c r="B13" s="48" t="inlineStr">
        <is>
          <t>CH20</t>
        </is>
      </c>
      <c r="C13" s="49" t="inlineStr">
        <is>
          <t>Chevez, Herson G</t>
        </is>
      </c>
      <c r="D13" s="72" t="n">
        <v>1940.5</v>
      </c>
      <c r="E13" s="76" t="n">
        <v>30105</v>
      </c>
      <c r="F13" s="78">
        <f>IF(D13=0,0,E13/D13)</f>
        <v/>
      </c>
      <c r="G13" s="81" t="n">
        <v>49</v>
      </c>
      <c r="H13" s="49" t="inlineStr">
        <is>
          <t>2030 Job Detail Report.pdf (Sage Timberline, 04/03/2026, 190 pages)</t>
        </is>
      </c>
      <c r="I13" s="53" t="n"/>
      <c r="J13" s="53" t="n"/>
    </row>
    <row r="14">
      <c r="B14" s="46" t="inlineStr">
        <is>
          <t>CO69</t>
        </is>
      </c>
      <c r="C14" s="47" t="inlineStr">
        <is>
          <t>Cornejo Orellana, Carlos E</t>
        </is>
      </c>
      <c r="D14" s="56" t="n">
        <v>1696.5</v>
      </c>
      <c r="E14" s="55" t="n">
        <v>27362.5</v>
      </c>
      <c r="F14" s="82">
        <f>IF(D14=0,0,E14/D14)</f>
        <v/>
      </c>
      <c r="G14" s="80" t="n">
        <v>50</v>
      </c>
      <c r="H14" s="47" t="inlineStr">
        <is>
          <t>2030 Job Detail Report.pdf (Sage Timberline, 04/03/2026, 190 pages)</t>
        </is>
      </c>
    </row>
    <row r="15">
      <c r="B15" s="48" t="inlineStr">
        <is>
          <t>SA54</t>
        </is>
      </c>
      <c r="C15" s="49" t="inlineStr">
        <is>
          <t>Sanders, Allen O</t>
        </is>
      </c>
      <c r="D15" s="72" t="n">
        <v>1670</v>
      </c>
      <c r="E15" s="76" t="n">
        <v>72120</v>
      </c>
      <c r="F15" s="78">
        <f>IF(D15=0,0,E15/D15)</f>
        <v/>
      </c>
      <c r="G15" s="81" t="n">
        <v>97</v>
      </c>
      <c r="H15" s="49" t="inlineStr">
        <is>
          <t>2030 Job Detail Report.pdf (Sage Timberline, 04/03/2026, 190 pages)</t>
        </is>
      </c>
      <c r="I15" s="53" t="n"/>
      <c r="J15" s="53" t="n"/>
    </row>
    <row r="16">
      <c r="B16" s="46" t="inlineStr">
        <is>
          <t>LO87</t>
        </is>
      </c>
      <c r="C16" s="47" t="inlineStr">
        <is>
          <t>Lovo, German G</t>
        </is>
      </c>
      <c r="D16" s="56" t="n">
        <v>1629.5</v>
      </c>
      <c r="E16" s="55" t="n">
        <v>34738</v>
      </c>
      <c r="F16" s="82">
        <f>IF(D16=0,0,E16/D16)</f>
        <v/>
      </c>
      <c r="G16" s="80" t="n">
        <v>47</v>
      </c>
      <c r="H16" s="47" t="inlineStr">
        <is>
          <t>2030 Job Detail Report.pdf (Sage Timberline, 04/03/2026, 190 pages)</t>
        </is>
      </c>
    </row>
    <row r="17">
      <c r="B17" s="48" t="inlineStr">
        <is>
          <t>PO73</t>
        </is>
      </c>
      <c r="C17" s="49" t="inlineStr">
        <is>
          <t>Portillo Soriano, Walter A</t>
        </is>
      </c>
      <c r="D17" s="72" t="n">
        <v>1544</v>
      </c>
      <c r="E17" s="76" t="n">
        <v>26336</v>
      </c>
      <c r="F17" s="78">
        <f>IF(D17=0,0,E17/D17)</f>
        <v/>
      </c>
      <c r="G17" s="81" t="n">
        <v>41</v>
      </c>
      <c r="H17" s="49" t="inlineStr">
        <is>
          <t>2030 Job Detail Report.pdf (Sage Timberline, 04/03/2026, 190 pages)</t>
        </is>
      </c>
      <c r="I17" s="53" t="n"/>
      <c r="J17" s="53" t="n"/>
    </row>
    <row r="18">
      <c r="B18" s="46" t="inlineStr">
        <is>
          <t>AM03</t>
        </is>
      </c>
      <c r="C18" s="47" t="inlineStr">
        <is>
          <t>Amaya Gonzalez, Edilberto A</t>
        </is>
      </c>
      <c r="D18" s="56" t="n">
        <v>1460</v>
      </c>
      <c r="E18" s="55" t="n">
        <v>38504</v>
      </c>
      <c r="F18" s="82">
        <f>IF(D18=0,0,E18/D18)</f>
        <v/>
      </c>
      <c r="G18" s="80" t="n">
        <v>40</v>
      </c>
      <c r="H18" s="47" t="inlineStr">
        <is>
          <t>2030 Job Detail Report.pdf (Sage Timberline, 04/03/2026, 190 pages)</t>
        </is>
      </c>
    </row>
    <row r="19">
      <c r="B19" s="48" t="inlineStr">
        <is>
          <t>RA55</t>
        </is>
      </c>
      <c r="C19" s="49" t="inlineStr">
        <is>
          <t>Ramos Herrera, Franklin J</t>
        </is>
      </c>
      <c r="D19" s="72" t="n">
        <v>1432</v>
      </c>
      <c r="E19" s="76" t="n">
        <v>26712</v>
      </c>
      <c r="F19" s="78">
        <f>IF(D19=0,0,E19/D19)</f>
        <v/>
      </c>
      <c r="G19" s="81" t="n">
        <v>40</v>
      </c>
      <c r="H19" s="49" t="inlineStr">
        <is>
          <t>2030 Job Detail Report.pdf (Sage Timberline, 04/03/2026, 190 pages)</t>
        </is>
      </c>
      <c r="I19" s="53" t="n"/>
      <c r="J19" s="53" t="n"/>
    </row>
    <row r="20">
      <c r="B20" s="46" t="inlineStr">
        <is>
          <t>JI50</t>
        </is>
      </c>
      <c r="C20" s="47" t="inlineStr">
        <is>
          <t>Jimenez Alvarenga, Gerson M</t>
        </is>
      </c>
      <c r="D20" s="56" t="n">
        <v>1359.5</v>
      </c>
      <c r="E20" s="55" t="n">
        <v>23934.5</v>
      </c>
      <c r="F20" s="82">
        <f>IF(D20=0,0,E20/D20)</f>
        <v/>
      </c>
      <c r="G20" s="80" t="n">
        <v>37</v>
      </c>
      <c r="H20" s="47" t="inlineStr">
        <is>
          <t>2030 Job Detail Report.pdf (Sage Timberline, 04/03/2026, 190 pages)</t>
        </is>
      </c>
    </row>
    <row r="21">
      <c r="B21" s="48" t="inlineStr">
        <is>
          <t>GO51</t>
        </is>
      </c>
      <c r="C21" s="49" t="inlineStr">
        <is>
          <t>Gomez Reyes, Edith N</t>
        </is>
      </c>
      <c r="D21" s="72" t="n">
        <v>1339</v>
      </c>
      <c r="E21" s="76" t="n">
        <v>23999</v>
      </c>
      <c r="F21" s="78">
        <f>IF(D21=0,0,E21/D21)</f>
        <v/>
      </c>
      <c r="G21" s="81" t="n">
        <v>53</v>
      </c>
      <c r="H21" s="49" t="inlineStr">
        <is>
          <t>2030 Job Detail Report.pdf (Sage Timberline, 04/03/2026, 190 pages)</t>
        </is>
      </c>
      <c r="I21" s="53" t="n"/>
      <c r="J21" s="53" t="n"/>
    </row>
    <row r="22">
      <c r="B22" s="46" t="inlineStr">
        <is>
          <t>ST02</t>
        </is>
      </c>
      <c r="C22" s="47" t="inlineStr">
        <is>
          <t>Stahlschmidt, John P</t>
        </is>
      </c>
      <c r="D22" s="56" t="n">
        <v>1095</v>
      </c>
      <c r="E22" s="55" t="n">
        <v>18306</v>
      </c>
      <c r="F22" s="82">
        <f>IF(D22=0,0,E22/D22)</f>
        <v/>
      </c>
      <c r="G22" s="80" t="n">
        <v>33</v>
      </c>
      <c r="H22" s="47" t="inlineStr">
        <is>
          <t>2030 Job Detail Report.pdf (Sage Timberline, 04/03/2026, 190 pages)</t>
        </is>
      </c>
    </row>
    <row r="23">
      <c r="B23" s="48" t="inlineStr">
        <is>
          <t>HO90</t>
        </is>
      </c>
      <c r="C23" s="49" t="inlineStr">
        <is>
          <t>Howey, Shawn M</t>
        </is>
      </c>
      <c r="D23" s="72" t="n">
        <v>1080</v>
      </c>
      <c r="E23" s="76" t="n">
        <v>17208</v>
      </c>
      <c r="F23" s="78">
        <f>IF(D23=0,0,E23/D23)</f>
        <v/>
      </c>
      <c r="G23" s="81" t="n">
        <v>29</v>
      </c>
      <c r="H23" s="49" t="inlineStr">
        <is>
          <t>2030 Job Detail Report.pdf (Sage Timberline, 04/03/2026, 190 pages)</t>
        </is>
      </c>
      <c r="I23" s="53" t="n"/>
      <c r="J23" s="53" t="n"/>
    </row>
    <row r="24">
      <c r="B24" s="46" t="inlineStr">
        <is>
          <t>CA77</t>
        </is>
      </c>
      <c r="C24" s="47" t="inlineStr">
        <is>
          <t>Castro Hernandez, Jose A</t>
        </is>
      </c>
      <c r="D24" s="56" t="n">
        <v>921.5</v>
      </c>
      <c r="E24" s="55" t="n">
        <v>23328.5</v>
      </c>
      <c r="F24" s="82">
        <f>IF(D24=0,0,E24/D24)</f>
        <v/>
      </c>
      <c r="G24" s="80" t="n">
        <v>28</v>
      </c>
      <c r="H24" s="47" t="inlineStr">
        <is>
          <t>2030 Job Detail Report.pdf (Sage Timberline, 04/03/2026, 190 pages)</t>
        </is>
      </c>
    </row>
    <row r="25">
      <c r="B25" s="48" t="inlineStr">
        <is>
          <t>ES09</t>
        </is>
      </c>
      <c r="C25" s="49" t="inlineStr">
        <is>
          <t>Escalante Escobar, Boanerge</t>
        </is>
      </c>
      <c r="D25" s="72" t="n">
        <v>913</v>
      </c>
      <c r="E25" s="76" t="n">
        <v>15010</v>
      </c>
      <c r="F25" s="78">
        <f>IF(D25=0,0,E25/D25)</f>
        <v/>
      </c>
      <c r="G25" s="81" t="n">
        <v>25</v>
      </c>
      <c r="H25" s="49" t="inlineStr">
        <is>
          <t>2030 Job Detail Report.pdf (Sage Timberline, 04/03/2026, 190 pages)</t>
        </is>
      </c>
      <c r="I25" s="53" t="n"/>
      <c r="J25" s="53" t="n"/>
    </row>
    <row r="26">
      <c r="B26" s="46" t="inlineStr">
        <is>
          <t>RA57</t>
        </is>
      </c>
      <c r="C26" s="47" t="inlineStr">
        <is>
          <t>Ramos Melendez, Carlos M</t>
        </is>
      </c>
      <c r="D26" s="56" t="n">
        <v>818.5</v>
      </c>
      <c r="E26" s="55" t="n">
        <v>12744</v>
      </c>
      <c r="F26" s="82">
        <f>IF(D26=0,0,E26/D26)</f>
        <v/>
      </c>
      <c r="G26" s="80" t="n">
        <v>24</v>
      </c>
      <c r="H26" s="47" t="inlineStr">
        <is>
          <t>2030 Job Detail Report.pdf (Sage Timberline, 04/03/2026, 190 pages)</t>
        </is>
      </c>
    </row>
    <row r="27">
      <c r="B27" s="48" t="inlineStr">
        <is>
          <t>CR87</t>
        </is>
      </c>
      <c r="C27" s="49" t="inlineStr">
        <is>
          <t>Cruz Reyes, Jose</t>
        </is>
      </c>
      <c r="D27" s="72" t="n">
        <v>816</v>
      </c>
      <c r="E27" s="76" t="n">
        <v>16320</v>
      </c>
      <c r="F27" s="78">
        <f>IF(D27=0,0,E27/D27)</f>
        <v/>
      </c>
      <c r="G27" s="81" t="n">
        <v>22</v>
      </c>
      <c r="H27" s="49" t="inlineStr">
        <is>
          <t>2030 Job Detail Report.pdf (Sage Timberline, 04/03/2026, 190 pages)</t>
        </is>
      </c>
      <c r="I27" s="53" t="n"/>
      <c r="J27" s="53" t="n"/>
    </row>
    <row r="28">
      <c r="B28" s="46" t="inlineStr">
        <is>
          <t>CR79</t>
        </is>
      </c>
      <c r="C28" s="47" t="inlineStr">
        <is>
          <t>Cruz Guzman, Joel A</t>
        </is>
      </c>
      <c r="D28" s="56" t="n">
        <v>776</v>
      </c>
      <c r="E28" s="55" t="n">
        <v>14744</v>
      </c>
      <c r="F28" s="82">
        <f>IF(D28=0,0,E28/D28)</f>
        <v/>
      </c>
      <c r="G28" s="80" t="n">
        <v>22</v>
      </c>
      <c r="H28" s="47" t="inlineStr">
        <is>
          <t>2030 Job Detail Report.pdf (Sage Timberline, 04/03/2026, 190 pages)</t>
        </is>
      </c>
    </row>
    <row r="29">
      <c r="B29" s="48" t="inlineStr">
        <is>
          <t>GO56</t>
        </is>
      </c>
      <c r="C29" s="49" t="inlineStr">
        <is>
          <t>Gonzalez Hernandez, Josue</t>
        </is>
      </c>
      <c r="D29" s="72" t="n">
        <v>766</v>
      </c>
      <c r="E29" s="76" t="n">
        <v>21071</v>
      </c>
      <c r="F29" s="78">
        <f>IF(D29=0,0,E29/D29)</f>
        <v/>
      </c>
      <c r="G29" s="81" t="n">
        <v>21</v>
      </c>
      <c r="H29" s="49" t="inlineStr">
        <is>
          <t>2030 Job Detail Report.pdf (Sage Timberline, 04/03/2026, 190 pages)</t>
        </is>
      </c>
      <c r="I29" s="53" t="n"/>
      <c r="J29" s="53" t="n"/>
    </row>
    <row r="30">
      <c r="B30" s="46" t="inlineStr">
        <is>
          <t>GE69</t>
        </is>
      </c>
      <c r="C30" s="47" t="inlineStr">
        <is>
          <t>Gerard, Jeffrey S</t>
        </is>
      </c>
      <c r="D30" s="56" t="n">
        <v>763.5</v>
      </c>
      <c r="E30" s="55" t="n">
        <v>35839</v>
      </c>
      <c r="F30" s="82">
        <f>IF(D30=0,0,E30/D30)</f>
        <v/>
      </c>
      <c r="G30" s="80" t="n">
        <v>124</v>
      </c>
      <c r="H30" s="47" t="inlineStr">
        <is>
          <t>2030 Job Detail Report.pdf (Sage Timberline, 04/03/2026, 190 pages)</t>
        </is>
      </c>
    </row>
    <row r="31">
      <c r="B31" s="48" t="inlineStr">
        <is>
          <t>RI84</t>
        </is>
      </c>
      <c r="C31" s="49" t="inlineStr">
        <is>
          <t>Rivera, Eli P</t>
        </is>
      </c>
      <c r="D31" s="72" t="n">
        <v>762.5</v>
      </c>
      <c r="E31" s="76" t="n">
        <v>20099.5</v>
      </c>
      <c r="F31" s="78">
        <f>IF(D31=0,0,E31/D31)</f>
        <v/>
      </c>
      <c r="G31" s="81" t="n">
        <v>21</v>
      </c>
      <c r="H31" s="49" t="inlineStr">
        <is>
          <t>2030 Job Detail Report.pdf (Sage Timberline, 04/03/2026, 190 pages)</t>
        </is>
      </c>
      <c r="I31" s="53" t="n"/>
      <c r="J31" s="53" t="n"/>
    </row>
    <row r="32">
      <c r="B32" s="46" t="inlineStr">
        <is>
          <t>HE70</t>
        </is>
      </c>
      <c r="C32" s="47" t="inlineStr">
        <is>
          <t>Hernandez Gonzalez, Osbaldo</t>
        </is>
      </c>
      <c r="D32" s="56" t="n">
        <v>752</v>
      </c>
      <c r="E32" s="55" t="n">
        <v>11208</v>
      </c>
      <c r="F32" s="82">
        <f>IF(D32=0,0,E32/D32)</f>
        <v/>
      </c>
      <c r="G32" s="80" t="n">
        <v>21</v>
      </c>
      <c r="H32" s="47" t="inlineStr">
        <is>
          <t>2030 Job Detail Report.pdf (Sage Timberline, 04/03/2026, 190 pages)</t>
        </is>
      </c>
    </row>
    <row r="33">
      <c r="B33" s="48" t="inlineStr">
        <is>
          <t>RI87</t>
        </is>
      </c>
      <c r="C33" s="49" t="inlineStr">
        <is>
          <t>Rivera, Jorge A</t>
        </is>
      </c>
      <c r="D33" s="72" t="n">
        <v>707</v>
      </c>
      <c r="E33" s="76" t="n">
        <v>18844</v>
      </c>
      <c r="F33" s="78">
        <f>IF(D33=0,0,E33/D33)</f>
        <v/>
      </c>
      <c r="G33" s="81" t="n">
        <v>22</v>
      </c>
      <c r="H33" s="49" t="inlineStr">
        <is>
          <t>2030 Job Detail Report.pdf (Sage Timberline, 04/03/2026, 190 pages)</t>
        </is>
      </c>
      <c r="I33" s="53" t="n"/>
      <c r="J33" s="53" t="n"/>
    </row>
    <row r="34">
      <c r="B34" s="46" t="inlineStr">
        <is>
          <t>LO58</t>
        </is>
      </c>
      <c r="C34" s="47" t="inlineStr">
        <is>
          <t>Lopez Reyes, Boris O</t>
        </is>
      </c>
      <c r="D34" s="56" t="n">
        <v>665.5</v>
      </c>
      <c r="E34" s="55" t="n">
        <v>11268</v>
      </c>
      <c r="F34" s="82">
        <f>IF(D34=0,0,E34/D34)</f>
        <v/>
      </c>
      <c r="G34" s="80" t="n">
        <v>23</v>
      </c>
      <c r="H34" s="47" t="inlineStr">
        <is>
          <t>2030 Job Detail Report.pdf (Sage Timberline, 04/03/2026, 190 pages)</t>
        </is>
      </c>
    </row>
    <row r="35">
      <c r="B35" s="48" t="inlineStr">
        <is>
          <t>SA51</t>
        </is>
      </c>
      <c r="C35" s="49" t="inlineStr">
        <is>
          <t>Sanchez, Derli</t>
        </is>
      </c>
      <c r="D35" s="72" t="n">
        <v>657.5</v>
      </c>
      <c r="E35" s="76" t="n">
        <v>10771</v>
      </c>
      <c r="F35" s="78">
        <f>IF(D35=0,0,E35/D35)</f>
        <v/>
      </c>
      <c r="G35" s="81" t="n">
        <v>20</v>
      </c>
      <c r="H35" s="49" t="inlineStr">
        <is>
          <t>2030 Job Detail Report.pdf (Sage Timberline, 04/03/2026, 190 pages)</t>
        </is>
      </c>
      <c r="I35" s="53" t="n"/>
      <c r="J35" s="53" t="n"/>
    </row>
    <row r="36">
      <c r="B36" s="46" t="inlineStr">
        <is>
          <t>MO56</t>
        </is>
      </c>
      <c r="C36" s="47" t="inlineStr">
        <is>
          <t>Montenegro, Carlos E</t>
        </is>
      </c>
      <c r="D36" s="56" t="n">
        <v>656</v>
      </c>
      <c r="E36" s="55" t="n">
        <v>15104</v>
      </c>
      <c r="F36" s="82">
        <f>IF(D36=0,0,E36/D36)</f>
        <v/>
      </c>
      <c r="G36" s="80" t="n">
        <v>22</v>
      </c>
      <c r="H36" s="47" t="inlineStr">
        <is>
          <t>2030 Job Detail Report.pdf (Sage Timberline, 04/03/2026, 190 pages)</t>
        </is>
      </c>
    </row>
    <row r="37">
      <c r="B37" s="48" t="inlineStr">
        <is>
          <t>SE64</t>
        </is>
      </c>
      <c r="C37" s="49" t="inlineStr">
        <is>
          <t>Sepulveda Gonzalez, Alfredo</t>
        </is>
      </c>
      <c r="D37" s="72" t="n">
        <v>537.5</v>
      </c>
      <c r="E37" s="76" t="n">
        <v>16169.5</v>
      </c>
      <c r="F37" s="78">
        <f>IF(D37=0,0,E37/D37)</f>
        <v/>
      </c>
      <c r="G37" s="81" t="n">
        <v>21</v>
      </c>
      <c r="H37" s="49" t="inlineStr">
        <is>
          <t>2030 Job Detail Report.pdf (Sage Timberline, 04/03/2026, 190 pages)</t>
        </is>
      </c>
      <c r="I37" s="53" t="n"/>
      <c r="J37" s="53" t="n"/>
    </row>
    <row r="38">
      <c r="B38" s="46" t="inlineStr">
        <is>
          <t>DR04</t>
        </is>
      </c>
      <c r="C38" s="47" t="inlineStr">
        <is>
          <t>Draves, Steven W</t>
        </is>
      </c>
      <c r="D38" s="56" t="n">
        <v>512</v>
      </c>
      <c r="E38" s="55" t="n">
        <v>8704</v>
      </c>
      <c r="F38" s="82">
        <f>IF(D38=0,0,E38/D38)</f>
        <v/>
      </c>
      <c r="G38" s="80" t="n">
        <v>15</v>
      </c>
      <c r="H38" s="47" t="inlineStr">
        <is>
          <t>2030 Job Detail Report.pdf (Sage Timberline, 04/03/2026, 190 pages)</t>
        </is>
      </c>
    </row>
    <row r="39">
      <c r="B39" s="48" t="inlineStr">
        <is>
          <t>HU06</t>
        </is>
      </c>
      <c r="C39" s="49" t="inlineStr">
        <is>
          <t>Hubbard, Robert W</t>
        </is>
      </c>
      <c r="D39" s="72" t="n">
        <v>490.5</v>
      </c>
      <c r="E39" s="76" t="n">
        <v>21029.5</v>
      </c>
      <c r="F39" s="78">
        <f>IF(D39=0,0,E39/D39)</f>
        <v/>
      </c>
      <c r="G39" s="81" t="n">
        <v>52</v>
      </c>
      <c r="H39" s="49" t="inlineStr">
        <is>
          <t>2030 Job Detail Report.pdf (Sage Timberline, 04/03/2026, 190 pages)</t>
        </is>
      </c>
      <c r="I39" s="53" t="n"/>
      <c r="J39" s="53" t="n"/>
    </row>
    <row r="40">
      <c r="B40" s="46" t="inlineStr">
        <is>
          <t>MC09</t>
        </is>
      </c>
      <c r="C40" s="47" t="inlineStr">
        <is>
          <t>McCabe, Thomas C</t>
        </is>
      </c>
      <c r="D40" s="56" t="n">
        <v>475</v>
      </c>
      <c r="E40" s="55" t="n">
        <v>15191.5</v>
      </c>
      <c r="F40" s="82">
        <f>IF(D40=0,0,E40/D40)</f>
        <v/>
      </c>
      <c r="G40" s="80" t="n">
        <v>21</v>
      </c>
      <c r="H40" s="47" t="inlineStr">
        <is>
          <t>2030 Job Detail Report.pdf (Sage Timberline, 04/03/2026, 190 pages)</t>
        </is>
      </c>
    </row>
    <row r="41">
      <c r="B41" s="48" t="inlineStr">
        <is>
          <t>LU09</t>
        </is>
      </c>
      <c r="C41" s="49" t="inlineStr">
        <is>
          <t>Lucas Tzintzun, Rafael</t>
        </is>
      </c>
      <c r="D41" s="72" t="n">
        <v>455.5</v>
      </c>
      <c r="E41" s="76" t="n">
        <v>7288</v>
      </c>
      <c r="F41" s="78">
        <f>IF(D41=0,0,E41/D41)</f>
        <v/>
      </c>
      <c r="G41" s="81" t="n">
        <v>14</v>
      </c>
      <c r="H41" s="49" t="inlineStr">
        <is>
          <t>2030 Job Detail Report.pdf (Sage Timberline, 04/03/2026, 190 pages)</t>
        </is>
      </c>
      <c r="I41" s="53" t="n"/>
      <c r="J41" s="53" t="n"/>
    </row>
    <row r="42">
      <c r="B42" s="46" t="inlineStr">
        <is>
          <t>EG05</t>
        </is>
      </c>
      <c r="C42" s="47" t="inlineStr">
        <is>
          <t>Egbaou, Kossi D</t>
        </is>
      </c>
      <c r="D42" s="56" t="n">
        <v>384.5</v>
      </c>
      <c r="E42" s="55" t="n">
        <v>6324.5</v>
      </c>
      <c r="F42" s="82">
        <f>IF(D42=0,0,E42/D42)</f>
        <v/>
      </c>
      <c r="G42" s="80" t="n">
        <v>14</v>
      </c>
      <c r="H42" s="47" t="inlineStr">
        <is>
          <t>2030 Job Detail Report.pdf (Sage Timberline, 04/03/2026, 190 pages)</t>
        </is>
      </c>
    </row>
    <row r="43">
      <c r="B43" s="48" t="inlineStr">
        <is>
          <t>DO56</t>
        </is>
      </c>
      <c r="C43" s="49" t="inlineStr">
        <is>
          <t>Donelson, Richard T</t>
        </is>
      </c>
      <c r="D43" s="72" t="n">
        <v>367</v>
      </c>
      <c r="E43" s="76" t="n">
        <v>18239</v>
      </c>
      <c r="F43" s="78">
        <f>IF(D43=0,0,E43/D43)</f>
        <v/>
      </c>
      <c r="G43" s="81" t="n">
        <v>101</v>
      </c>
      <c r="H43" s="49" t="inlineStr">
        <is>
          <t>2030 Job Detail Report.pdf (Sage Timberline, 04/03/2026, 190 pages)</t>
        </is>
      </c>
      <c r="I43" s="53" t="n"/>
      <c r="J43" s="53" t="n"/>
    </row>
    <row r="44">
      <c r="B44" s="46" t="inlineStr">
        <is>
          <t>FO55</t>
        </is>
      </c>
      <c r="C44" s="47" t="inlineStr">
        <is>
          <t>Fonseca Teruel, Eduardo</t>
        </is>
      </c>
      <c r="D44" s="56" t="n">
        <v>350</v>
      </c>
      <c r="E44" s="55" t="n">
        <v>6300</v>
      </c>
      <c r="F44" s="82">
        <f>IF(D44=0,0,E44/D44)</f>
        <v/>
      </c>
      <c r="G44" s="80" t="n">
        <v>15</v>
      </c>
      <c r="H44" s="47" t="inlineStr">
        <is>
          <t>2030 Job Detail Report.pdf (Sage Timberline, 04/03/2026, 190 pages)</t>
        </is>
      </c>
    </row>
    <row r="45">
      <c r="B45" s="48" t="inlineStr">
        <is>
          <t>EL33</t>
        </is>
      </c>
      <c r="C45" s="49" t="inlineStr">
        <is>
          <t>Eliassen, Cory H</t>
        </is>
      </c>
      <c r="D45" s="72" t="n">
        <v>339.5</v>
      </c>
      <c r="E45" s="76" t="n">
        <v>8165.5</v>
      </c>
      <c r="F45" s="78">
        <f>IF(D45=0,0,E45/D45)</f>
        <v/>
      </c>
      <c r="G45" s="81" t="n">
        <v>26</v>
      </c>
      <c r="H45" s="49" t="inlineStr">
        <is>
          <t>2030 Job Detail Report.pdf (Sage Timberline, 04/03/2026, 190 pages)</t>
        </is>
      </c>
      <c r="I45" s="53" t="n"/>
      <c r="J45" s="53" t="n"/>
    </row>
    <row r="46">
      <c r="B46" s="46" t="inlineStr">
        <is>
          <t>YO29</t>
        </is>
      </c>
      <c r="C46" s="47" t="inlineStr">
        <is>
          <t>Yohannes Jr., Samson</t>
        </is>
      </c>
      <c r="D46" s="56" t="n">
        <v>336</v>
      </c>
      <c r="E46" s="55" t="n">
        <v>6048</v>
      </c>
      <c r="F46" s="82">
        <f>IF(D46=0,0,E46/D46)</f>
        <v/>
      </c>
      <c r="G46" s="80" t="n">
        <v>11</v>
      </c>
      <c r="H46" s="47" t="inlineStr">
        <is>
          <t>2030 Job Detail Report.pdf (Sage Timberline, 04/03/2026, 190 pages)</t>
        </is>
      </c>
    </row>
    <row r="47">
      <c r="B47" s="48" t="inlineStr">
        <is>
          <t>TR60</t>
        </is>
      </c>
      <c r="C47" s="49" t="inlineStr">
        <is>
          <t>Trower-Kelly, Fidel D</t>
        </is>
      </c>
      <c r="D47" s="72" t="n">
        <v>284</v>
      </c>
      <c r="E47" s="76" t="n">
        <v>4544</v>
      </c>
      <c r="F47" s="78">
        <f>IF(D47=0,0,E47/D47)</f>
        <v/>
      </c>
      <c r="G47" s="81" t="n">
        <v>9</v>
      </c>
      <c r="H47" s="49" t="inlineStr">
        <is>
          <t>2030 Job Detail Report.pdf (Sage Timberline, 04/03/2026, 190 pages)</t>
        </is>
      </c>
      <c r="I47" s="53" t="n"/>
      <c r="J47" s="53" t="n"/>
    </row>
    <row r="48">
      <c r="B48" s="46" t="inlineStr">
        <is>
          <t>CA71</t>
        </is>
      </c>
      <c r="C48" s="47" t="inlineStr">
        <is>
          <t>Castaneda Juarez, Cesar O</t>
        </is>
      </c>
      <c r="D48" s="56" t="n">
        <v>225</v>
      </c>
      <c r="E48" s="55" t="n">
        <v>3600</v>
      </c>
      <c r="F48" s="82">
        <f>IF(D48=0,0,E48/D48)</f>
        <v/>
      </c>
      <c r="G48" s="80" t="n">
        <v>10</v>
      </c>
      <c r="H48" s="47" t="inlineStr">
        <is>
          <t>2030 Job Detail Report.pdf (Sage Timberline, 04/03/2026, 190 pages)</t>
        </is>
      </c>
    </row>
    <row r="49">
      <c r="B49" s="48" t="inlineStr">
        <is>
          <t>RE91</t>
        </is>
      </c>
      <c r="C49" s="49" t="inlineStr">
        <is>
          <t>Reyes, Maria E</t>
        </is>
      </c>
      <c r="D49" s="72" t="n">
        <v>220</v>
      </c>
      <c r="E49" s="76" t="n">
        <v>3712</v>
      </c>
      <c r="F49" s="78">
        <f>IF(D49=0,0,E49/D49)</f>
        <v/>
      </c>
      <c r="G49" s="81" t="n">
        <v>15</v>
      </c>
      <c r="H49" s="49" t="inlineStr">
        <is>
          <t>2030 Job Detail Report.pdf (Sage Timberline, 04/03/2026, 190 pages)</t>
        </is>
      </c>
      <c r="I49" s="53" t="n"/>
      <c r="J49" s="53" t="n"/>
    </row>
    <row r="50">
      <c r="B50" s="46" t="inlineStr">
        <is>
          <t>CA74</t>
        </is>
      </c>
      <c r="C50" s="47" t="inlineStr">
        <is>
          <t>Castaneda Martinez, Gustavo</t>
        </is>
      </c>
      <c r="D50" s="56" t="n">
        <v>199</v>
      </c>
      <c r="E50" s="55" t="n">
        <v>7960</v>
      </c>
      <c r="F50" s="82">
        <f>IF(D50=0,0,E50/D50)</f>
        <v/>
      </c>
      <c r="G50" s="80" t="n">
        <v>9</v>
      </c>
      <c r="H50" s="47" t="inlineStr">
        <is>
          <t>2030 Job Detail Report.pdf (Sage Timberline, 04/03/2026, 190 pages)</t>
        </is>
      </c>
    </row>
    <row r="51">
      <c r="B51" s="48" t="inlineStr">
        <is>
          <t>KI55</t>
        </is>
      </c>
      <c r="C51" s="49" t="inlineStr">
        <is>
          <t>Kinssies, Jr, John E</t>
        </is>
      </c>
      <c r="D51" s="72" t="n">
        <v>196</v>
      </c>
      <c r="E51" s="76" t="n">
        <v>5116</v>
      </c>
      <c r="F51" s="78">
        <f>IF(D51=0,0,E51/D51)</f>
        <v/>
      </c>
      <c r="G51" s="81" t="n">
        <v>9</v>
      </c>
      <c r="H51" s="49" t="inlineStr">
        <is>
          <t>2030 Job Detail Report.pdf (Sage Timberline, 04/03/2026, 190 pages)</t>
        </is>
      </c>
      <c r="I51" s="53" t="n"/>
      <c r="J51" s="53" t="n"/>
    </row>
    <row r="52">
      <c r="B52" s="46" t="inlineStr">
        <is>
          <t>CA72</t>
        </is>
      </c>
      <c r="C52" s="47" t="inlineStr">
        <is>
          <t>Castaneda Juarez, Edgar D</t>
        </is>
      </c>
      <c r="D52" s="56" t="n">
        <v>184</v>
      </c>
      <c r="E52" s="55" t="n">
        <v>4784</v>
      </c>
      <c r="F52" s="82">
        <f>IF(D52=0,0,E52/D52)</f>
        <v/>
      </c>
      <c r="G52" s="80" t="n">
        <v>9</v>
      </c>
      <c r="H52" s="47" t="inlineStr">
        <is>
          <t>2030 Job Detail Report.pdf (Sage Timberline, 04/03/2026, 190 pages)</t>
        </is>
      </c>
    </row>
    <row r="53">
      <c r="B53" s="48" t="inlineStr">
        <is>
          <t>PO71</t>
        </is>
      </c>
      <c r="C53" s="49" t="inlineStr">
        <is>
          <t>Portillo, Kevin J</t>
        </is>
      </c>
      <c r="D53" s="72" t="n">
        <v>168</v>
      </c>
      <c r="E53" s="76" t="n">
        <v>2520</v>
      </c>
      <c r="F53" s="78">
        <f>IF(D53=0,0,E53/D53)</f>
        <v/>
      </c>
      <c r="G53" s="81" t="n">
        <v>5</v>
      </c>
      <c r="H53" s="49" t="inlineStr">
        <is>
          <t>2030 Job Detail Report.pdf (Sage Timberline, 04/03/2026, 190 pages)</t>
        </is>
      </c>
      <c r="I53" s="53" t="n"/>
      <c r="J53" s="53" t="n"/>
    </row>
    <row r="54">
      <c r="B54" s="46" t="inlineStr">
        <is>
          <t>RE96</t>
        </is>
      </c>
      <c r="C54" s="47" t="inlineStr">
        <is>
          <t>Reyes Cruz, Denis A</t>
        </is>
      </c>
      <c r="D54" s="56" t="n">
        <v>162</v>
      </c>
      <c r="E54" s="55" t="n">
        <v>3402</v>
      </c>
      <c r="F54" s="82">
        <f>IF(D54=0,0,E54/D54)</f>
        <v/>
      </c>
      <c r="G54" s="80" t="n">
        <v>5</v>
      </c>
      <c r="H54" s="47" t="inlineStr">
        <is>
          <t>2030 Job Detail Report.pdf (Sage Timberline, 04/03/2026, 190 pages)</t>
        </is>
      </c>
    </row>
    <row r="55">
      <c r="B55" s="48" t="inlineStr">
        <is>
          <t>CA50</t>
        </is>
      </c>
      <c r="C55" s="49" t="inlineStr">
        <is>
          <t>Caro, Camilo</t>
        </is>
      </c>
      <c r="D55" s="72" t="n">
        <v>152</v>
      </c>
      <c r="E55" s="76" t="n">
        <v>2176</v>
      </c>
      <c r="F55" s="78">
        <f>IF(D55=0,0,E55/D55)</f>
        <v/>
      </c>
      <c r="G55" s="81" t="n">
        <v>6</v>
      </c>
      <c r="H55" s="49" t="inlineStr">
        <is>
          <t>2030 Job Detail Report.pdf (Sage Timberline, 04/03/2026, 190 pages)</t>
        </is>
      </c>
      <c r="I55" s="53" t="n"/>
      <c r="J55" s="53" t="n"/>
    </row>
    <row r="56">
      <c r="B56" s="46" t="inlineStr">
        <is>
          <t>SA45</t>
        </is>
      </c>
      <c r="C56" s="47" t="inlineStr">
        <is>
          <t>Salazar, Hajdar L</t>
        </is>
      </c>
      <c r="D56" s="56" t="n">
        <v>144</v>
      </c>
      <c r="E56" s="55" t="n">
        <v>2736</v>
      </c>
      <c r="F56" s="82">
        <f>IF(D56=0,0,E56/D56)</f>
        <v/>
      </c>
      <c r="G56" s="80" t="n">
        <v>4</v>
      </c>
      <c r="H56" s="47" t="inlineStr">
        <is>
          <t>2030 Job Detail Report.pdf (Sage Timberline, 04/03/2026, 190 pages)</t>
        </is>
      </c>
    </row>
    <row r="57">
      <c r="B57" s="48" t="inlineStr">
        <is>
          <t>ES11</t>
        </is>
      </c>
      <c r="C57" s="49" t="inlineStr">
        <is>
          <t>Escobar Ortiz, Edgar O</t>
        </is>
      </c>
      <c r="D57" s="72" t="n">
        <v>120</v>
      </c>
      <c r="E57" s="76" t="n">
        <v>1800</v>
      </c>
      <c r="F57" s="78">
        <f>IF(D57=0,0,E57/D57)</f>
        <v/>
      </c>
      <c r="G57" s="81" t="n">
        <v>5</v>
      </c>
      <c r="H57" s="49" t="inlineStr">
        <is>
          <t>2030 Job Detail Report.pdf (Sage Timberline, 04/03/2026, 190 pages)</t>
        </is>
      </c>
      <c r="I57" s="53" t="n"/>
      <c r="J57" s="53" t="n"/>
    </row>
    <row r="58">
      <c r="B58" s="46" t="inlineStr">
        <is>
          <t>NE46</t>
        </is>
      </c>
      <c r="C58" s="47" t="inlineStr">
        <is>
          <t>Nelson, Charles E</t>
        </is>
      </c>
      <c r="D58" s="56" t="n">
        <v>114</v>
      </c>
      <c r="E58" s="55" t="n">
        <v>1824</v>
      </c>
      <c r="F58" s="82">
        <f>IF(D58=0,0,E58/D58)</f>
        <v/>
      </c>
      <c r="G58" s="80" t="n">
        <v>6</v>
      </c>
      <c r="H58" s="47" t="inlineStr">
        <is>
          <t>2030 Job Detail Report.pdf (Sage Timberline, 04/03/2026, 190 pages)</t>
        </is>
      </c>
    </row>
    <row r="59">
      <c r="B59" s="48" t="inlineStr">
        <is>
          <t>WE55</t>
        </is>
      </c>
      <c r="C59" s="49" t="inlineStr">
        <is>
          <t>Wennig, Johnathan M</t>
        </is>
      </c>
      <c r="D59" s="72" t="n">
        <v>104</v>
      </c>
      <c r="E59" s="76" t="n">
        <v>2704</v>
      </c>
      <c r="F59" s="78">
        <f>IF(D59=0,0,E59/D59)</f>
        <v/>
      </c>
      <c r="G59" s="81" t="n">
        <v>3</v>
      </c>
      <c r="H59" s="49" t="inlineStr">
        <is>
          <t>2030 Job Detail Report.pdf (Sage Timberline, 04/03/2026, 190 pages)</t>
        </is>
      </c>
      <c r="I59" s="53" t="n"/>
      <c r="J59" s="53" t="n"/>
    </row>
    <row r="60">
      <c r="B60" s="46" t="inlineStr">
        <is>
          <t>VA98</t>
        </is>
      </c>
      <c r="C60" s="47" t="inlineStr">
        <is>
          <t>Vazquez Popoca, Jose N</t>
        </is>
      </c>
      <c r="D60" s="56" t="n">
        <v>70</v>
      </c>
      <c r="E60" s="55" t="n">
        <v>1120</v>
      </c>
      <c r="F60" s="82">
        <f>IF(D60=0,0,E60/D60)</f>
        <v/>
      </c>
      <c r="G60" s="80" t="n">
        <v>2</v>
      </c>
      <c r="H60" s="47" t="inlineStr">
        <is>
          <t>2030 Job Detail Report.pdf (Sage Timberline, 04/03/2026, 190 pages)</t>
        </is>
      </c>
    </row>
    <row r="61">
      <c r="B61" s="48" t="inlineStr">
        <is>
          <t>OL17</t>
        </is>
      </c>
      <c r="C61" s="49" t="inlineStr">
        <is>
          <t>Olea Galeana, Maricela</t>
        </is>
      </c>
      <c r="D61" s="72" t="n">
        <v>70</v>
      </c>
      <c r="E61" s="76" t="n">
        <v>1120</v>
      </c>
      <c r="F61" s="78">
        <f>IF(D61=0,0,E61/D61)</f>
        <v/>
      </c>
      <c r="G61" s="81" t="n">
        <v>4</v>
      </c>
      <c r="H61" s="49" t="inlineStr">
        <is>
          <t>2030 Job Detail Report.pdf (Sage Timberline, 04/03/2026, 190 pages)</t>
        </is>
      </c>
      <c r="I61" s="53" t="n"/>
      <c r="J61" s="53" t="n"/>
    </row>
    <row r="62">
      <c r="B62" s="46" t="inlineStr">
        <is>
          <t>RE18</t>
        </is>
      </c>
      <c r="C62" s="47" t="inlineStr">
        <is>
          <t>Reed, Reuben H</t>
        </is>
      </c>
      <c r="D62" s="56" t="n">
        <v>57</v>
      </c>
      <c r="E62" s="55" t="n">
        <v>2052</v>
      </c>
      <c r="F62" s="82">
        <f>IF(D62=0,0,E62/D62)</f>
        <v/>
      </c>
      <c r="G62" s="80" t="n">
        <v>3</v>
      </c>
      <c r="H62" s="47" t="inlineStr">
        <is>
          <t>2030 Job Detail Report.pdf (Sage Timberline, 04/03/2026, 190 pages)</t>
        </is>
      </c>
    </row>
    <row r="63">
      <c r="B63" s="48" t="inlineStr">
        <is>
          <t>DE45</t>
        </is>
      </c>
      <c r="C63" s="49" t="inlineStr">
        <is>
          <t>de la Torre, Kevin A</t>
        </is>
      </c>
      <c r="D63" s="72" t="n">
        <v>56</v>
      </c>
      <c r="E63" s="76" t="n">
        <v>896</v>
      </c>
      <c r="F63" s="78">
        <f>IF(D63=0,0,E63/D63)</f>
        <v/>
      </c>
      <c r="G63" s="81" t="n">
        <v>2</v>
      </c>
      <c r="H63" s="49" t="inlineStr">
        <is>
          <t>2030 Job Detail Report.pdf (Sage Timberline, 04/03/2026, 190 pages)</t>
        </is>
      </c>
      <c r="I63" s="53" t="n"/>
      <c r="J63" s="53" t="n"/>
    </row>
    <row r="64">
      <c r="B64" s="46" t="inlineStr">
        <is>
          <t>HU04</t>
        </is>
      </c>
      <c r="C64" s="47" t="inlineStr">
        <is>
          <t>Hubbard, Dustin R</t>
        </is>
      </c>
      <c r="D64" s="56" t="n">
        <v>42</v>
      </c>
      <c r="E64" s="55" t="n">
        <v>845</v>
      </c>
      <c r="F64" s="82">
        <f>IF(D64=0,0,E64/D64)</f>
        <v/>
      </c>
      <c r="G64" s="80" t="n">
        <v>15</v>
      </c>
      <c r="H64" s="47" t="inlineStr">
        <is>
          <t>2030 Job Detail Report.pdf (Sage Timberline, 04/03/2026, 190 pages)</t>
        </is>
      </c>
    </row>
    <row r="65">
      <c r="B65" s="48" t="inlineStr">
        <is>
          <t>BE11</t>
        </is>
      </c>
      <c r="C65" s="49" t="inlineStr">
        <is>
          <t>Becerra Vega, Jorge M</t>
        </is>
      </c>
      <c r="D65" s="72" t="n">
        <v>40</v>
      </c>
      <c r="E65" s="76" t="n">
        <v>720</v>
      </c>
      <c r="F65" s="78">
        <f>IF(D65=0,0,E65/D65)</f>
        <v/>
      </c>
      <c r="G65" s="81" t="n">
        <v>3</v>
      </c>
      <c r="H65" s="49" t="inlineStr">
        <is>
          <t>2030 Job Detail Report.pdf (Sage Timberline, 04/03/2026, 190 pages)</t>
        </is>
      </c>
      <c r="I65" s="53" t="n"/>
      <c r="J65" s="53" t="n"/>
    </row>
    <row r="66">
      <c r="B66" s="46" t="inlineStr">
        <is>
          <t>CO71</t>
        </is>
      </c>
      <c r="C66" s="47" t="inlineStr">
        <is>
          <t>Cortes Mendiola, Victor H</t>
        </is>
      </c>
      <c r="D66" s="56" t="n">
        <v>32</v>
      </c>
      <c r="E66" s="55" t="n">
        <v>592</v>
      </c>
      <c r="F66" s="82">
        <f>IF(D66=0,0,E66/D66)</f>
        <v/>
      </c>
      <c r="G66" s="80" t="n">
        <v>2</v>
      </c>
      <c r="H66" s="47" t="inlineStr">
        <is>
          <t>2030 Job Detail Report.pdf (Sage Timberline, 04/03/2026, 190 pages)</t>
        </is>
      </c>
    </row>
    <row r="67">
      <c r="B67" s="48" t="inlineStr">
        <is>
          <t>GA83</t>
        </is>
      </c>
      <c r="C67" s="49" t="inlineStr">
        <is>
          <t>Gauthier, Dillon R</t>
        </is>
      </c>
      <c r="D67" s="72" t="n">
        <v>24</v>
      </c>
      <c r="E67" s="76" t="n">
        <v>384</v>
      </c>
      <c r="F67" s="78">
        <f>IF(D67=0,0,E67/D67)</f>
        <v/>
      </c>
      <c r="G67" s="81" t="n">
        <v>2</v>
      </c>
      <c r="H67" s="49" t="inlineStr">
        <is>
          <t>2030 Job Detail Report.pdf (Sage Timberline, 04/03/2026, 190 pages)</t>
        </is>
      </c>
      <c r="I67" s="53" t="n"/>
      <c r="J67" s="53" t="n"/>
    </row>
    <row r="68">
      <c r="B68" s="46" t="inlineStr">
        <is>
          <t>BE10</t>
        </is>
      </c>
      <c r="C68" s="47" t="inlineStr">
        <is>
          <t>Becerra Cardona, Jorge D</t>
        </is>
      </c>
      <c r="D68" s="56" t="n">
        <v>24</v>
      </c>
      <c r="E68" s="55" t="n">
        <v>432</v>
      </c>
      <c r="F68" s="82">
        <f>IF(D68=0,0,E68/D68)</f>
        <v/>
      </c>
      <c r="G68" s="80" t="n">
        <v>2</v>
      </c>
      <c r="H68" s="47" t="inlineStr">
        <is>
          <t>2030 Job Detail Report.pdf (Sage Timberline, 04/03/2026, 190 pages)</t>
        </is>
      </c>
    </row>
    <row r="69">
      <c r="B69" s="48" t="inlineStr">
        <is>
          <t>PA11</t>
        </is>
      </c>
      <c r="C69" s="49" t="inlineStr">
        <is>
          <t>Paco Leyva, Orlando</t>
        </is>
      </c>
      <c r="D69" s="72" t="n">
        <v>10</v>
      </c>
      <c r="E69" s="76" t="n">
        <v>340</v>
      </c>
      <c r="F69" s="78">
        <f>IF(D69=0,0,E69/D69)</f>
        <v/>
      </c>
      <c r="G69" s="81" t="n">
        <v>2</v>
      </c>
      <c r="H69" s="49" t="inlineStr">
        <is>
          <t>2030 Job Detail Report.pdf (Sage Timberline, 04/03/2026, 190 pages)</t>
        </is>
      </c>
      <c r="I69" s="53" t="n"/>
      <c r="J69" s="53" t="n"/>
    </row>
    <row r="70">
      <c r="B70" s="46" t="inlineStr">
        <is>
          <t>GU17</t>
        </is>
      </c>
      <c r="C70" s="47" t="inlineStr">
        <is>
          <t>Guerrero, Ali A</t>
        </is>
      </c>
      <c r="D70" s="56" t="n">
        <v>8</v>
      </c>
      <c r="E70" s="55" t="n">
        <v>128</v>
      </c>
      <c r="F70" s="82">
        <f>IF(D70=0,0,E70/D70)</f>
        <v/>
      </c>
      <c r="G70" s="80" t="n">
        <v>1</v>
      </c>
      <c r="H70" s="47" t="inlineStr">
        <is>
          <t>2030 Job Detail Report.pdf (Sage Timberline, 04/03/2026, 190 pages)</t>
        </is>
      </c>
    </row>
    <row r="71">
      <c r="B71" s="48" t="inlineStr">
        <is>
          <t>TA96</t>
        </is>
      </c>
      <c r="C71" s="49" t="inlineStr">
        <is>
          <t>Taylor, Evan R</t>
        </is>
      </c>
      <c r="D71" s="72" t="n">
        <v>8</v>
      </c>
      <c r="E71" s="76" t="n">
        <v>208</v>
      </c>
      <c r="F71" s="78">
        <f>IF(D71=0,0,E71/D71)</f>
        <v/>
      </c>
      <c r="G71" s="81" t="n">
        <v>1</v>
      </c>
      <c r="H71" s="49" t="inlineStr">
        <is>
          <t>2030 Job Detail Report.pdf (Sage Timberline, 04/03/2026, 190 pages)</t>
        </is>
      </c>
      <c r="I71" s="53" t="n"/>
      <c r="J71" s="53" t="n"/>
    </row>
    <row r="72">
      <c r="B72" s="46" t="inlineStr">
        <is>
          <t>RO75</t>
        </is>
      </c>
      <c r="C72" s="47" t="inlineStr">
        <is>
          <t>Ross, Kelli M</t>
        </is>
      </c>
      <c r="D72" s="56" t="n">
        <v>8</v>
      </c>
      <c r="E72" s="55" t="n">
        <v>288</v>
      </c>
      <c r="F72" s="82">
        <f>IF(D72=0,0,E72/D72)</f>
        <v/>
      </c>
      <c r="G72" s="80" t="n">
        <v>1</v>
      </c>
      <c r="H72" s="47" t="inlineStr">
        <is>
          <t>2030 Job Detail Report.pdf (Sage Timberline, 04/03/2026, 190 pages)</t>
        </is>
      </c>
    </row>
    <row r="73">
      <c r="B73" s="48" t="inlineStr">
        <is>
          <t>VA46</t>
        </is>
      </c>
      <c r="C73" s="49" t="inlineStr">
        <is>
          <t>Vallecillo Ruiz, Yeimi M</t>
        </is>
      </c>
      <c r="D73" s="72" t="n">
        <v>8</v>
      </c>
      <c r="E73" s="76" t="n">
        <v>128</v>
      </c>
      <c r="F73" s="78">
        <f>IF(D73=0,0,E73/D73)</f>
        <v/>
      </c>
      <c r="G73" s="81" t="n">
        <v>1</v>
      </c>
      <c r="H73" s="49" t="inlineStr">
        <is>
          <t>2030 Job Detail Report.pdf (Sage Timberline, 04/03/2026, 190 pages)</t>
        </is>
      </c>
      <c r="I73" s="53" t="n"/>
      <c r="J73" s="53" t="n"/>
    </row>
    <row r="74">
      <c r="B74" s="46" t="inlineStr">
        <is>
          <t>MA71</t>
        </is>
      </c>
      <c r="C74" s="47" t="inlineStr">
        <is>
          <t>Martinez Reyes, Juan C</t>
        </is>
      </c>
      <c r="D74" s="56" t="n">
        <v>8</v>
      </c>
      <c r="E74" s="55" t="n">
        <v>224</v>
      </c>
      <c r="F74" s="82">
        <f>IF(D74=0,0,E74/D74)</f>
        <v/>
      </c>
      <c r="G74" s="80" t="n">
        <v>1</v>
      </c>
      <c r="H74" s="47" t="inlineStr">
        <is>
          <t>2030 Job Detail Report.pdf (Sage Timberline, 04/03/2026, 190 pages)</t>
        </is>
      </c>
    </row>
    <row r="75">
      <c r="B75" s="48" t="inlineStr">
        <is>
          <t>ME53</t>
        </is>
      </c>
      <c r="C75" s="49" t="inlineStr">
        <is>
          <t>Mendoza Morales, Jesus A</t>
        </is>
      </c>
      <c r="D75" s="72" t="n">
        <v>5</v>
      </c>
      <c r="E75" s="76" t="n">
        <v>130</v>
      </c>
      <c r="F75" s="78">
        <f>IF(D75=0,0,E75/D75)</f>
        <v/>
      </c>
      <c r="G75" s="81" t="n">
        <v>1</v>
      </c>
      <c r="H75" s="49" t="inlineStr">
        <is>
          <t>2030 Job Detail Report.pdf (Sage Timberline, 04/03/2026, 190 pages)</t>
        </is>
      </c>
      <c r="I75" s="53" t="n"/>
      <c r="J75" s="53" t="n"/>
    </row>
    <row r="76">
      <c r="B76" s="46" t="inlineStr">
        <is>
          <t>BA70</t>
        </is>
      </c>
      <c r="C76" s="47" t="inlineStr">
        <is>
          <t>Barnhart, Joseph N</t>
        </is>
      </c>
      <c r="D76" s="56" t="n">
        <v>3</v>
      </c>
      <c r="E76" s="55" t="n">
        <v>44</v>
      </c>
      <c r="F76" s="82">
        <f>IF(D76=0,0,E76/D76)</f>
        <v/>
      </c>
      <c r="G76" s="80" t="n">
        <v>2</v>
      </c>
      <c r="H76" s="47" t="inlineStr">
        <is>
          <t>2030 Job Detail Report.pdf (Sage Timberline, 04/03/2026, 190 pages)</t>
        </is>
      </c>
    </row>
    <row r="77">
      <c r="B77" s="48" t="inlineStr">
        <is>
          <t>AN14</t>
        </is>
      </c>
      <c r="C77" s="49" t="inlineStr">
        <is>
          <t>Anderson, Richard P</t>
        </is>
      </c>
      <c r="D77" s="72" t="n">
        <v>2</v>
      </c>
      <c r="E77" s="76" t="n">
        <v>78</v>
      </c>
      <c r="F77" s="78">
        <f>IF(D77=0,0,E77/D77)</f>
        <v/>
      </c>
      <c r="G77" s="81" t="n">
        <v>1</v>
      </c>
      <c r="H77" s="49" t="inlineStr">
        <is>
          <t>2030 Job Detail Report.pdf (Sage Timberline, 04/03/2026, 190 pages)</t>
        </is>
      </c>
      <c r="I77" s="53" t="n"/>
      <c r="J77" s="53" t="n"/>
    </row>
    <row r="78">
      <c r="B78" s="74" t="inlineStr">
        <is>
          <t>TOTAL</t>
        </is>
      </c>
      <c r="D78" s="75">
        <f>SUM(D6:D77)</f>
        <v/>
      </c>
      <c r="E78" s="82">
        <f>SUM(E6:E77)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Crew Analytics</t>
        </is>
      </c>
    </row>
    <row r="3" ht="22" customHeight="1">
      <c r="B3" s="43" t="inlineStr">
        <is>
          <t>Team-level labor productivity, concentration, wage dispersion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TEAM-LEVEL METRICS</t>
        </is>
      </c>
    </row>
    <row r="6">
      <c r="B6" s="83" t="inlineStr">
        <is>
          <t>Metric</t>
        </is>
      </c>
      <c r="C6" s="84" t="inlineStr">
        <is>
          <t>Value</t>
        </is>
      </c>
      <c r="D6" s="84" t="inlineStr">
        <is>
          <t>Notes</t>
        </is>
      </c>
      <c r="E6" s="84" t="inlineStr">
        <is>
          <t>Source</t>
        </is>
      </c>
    </row>
    <row r="7">
      <c r="B7" s="48" t="inlineStr">
        <is>
          <t>Total Workers</t>
        </is>
      </c>
      <c r="C7" s="81" t="n">
        <v>72</v>
      </c>
      <c r="D7" s="49" t="inlineStr">
        <is>
          <t>Unique payroll IDs</t>
        </is>
      </c>
      <c r="E7" s="49" t="inlineStr">
        <is>
          <t>2030 Job Detail Report.pdf (Sage Timberline, 04/03/2026, 190 pages)</t>
        </is>
      </c>
      <c r="F7" s="53" t="n"/>
      <c r="G7" s="53" t="n"/>
      <c r="H7" s="53" t="n"/>
      <c r="I7" s="53" t="n"/>
      <c r="J7" s="53" t="n"/>
    </row>
    <row r="8">
      <c r="B8" s="46" t="inlineStr">
        <is>
          <t>Total Labor Hours</t>
        </is>
      </c>
      <c r="C8" s="56" t="n">
        <v>52168.25</v>
      </c>
      <c r="D8" s="47" t="inlineStr">
        <is>
          <t>Sum of codes 100-142</t>
        </is>
      </c>
      <c r="E8" s="47" t="inlineStr">
        <is>
          <t>2030 Job Detail Report.pdf (Sage Timberline, 04/03/2026, 190 pages)</t>
        </is>
      </c>
    </row>
    <row r="9">
      <c r="B9" s="48" t="inlineStr">
        <is>
          <t>Total Gross Pay</t>
        </is>
      </c>
      <c r="C9" s="72" t="n">
        <v>1237777.26</v>
      </c>
      <c r="D9" s="49" t="inlineStr">
        <is>
          <t>Sum of codes 100-142</t>
        </is>
      </c>
      <c r="E9" s="49" t="inlineStr">
        <is>
          <t>2030 Job Detail Report.pdf (Sage Timberline, 04/03/2026, 190 pages)</t>
        </is>
      </c>
      <c r="F9" s="53" t="n"/>
      <c r="G9" s="53" t="n"/>
      <c r="H9" s="53" t="n"/>
      <c r="I9" s="53" t="n"/>
      <c r="J9" s="53" t="n"/>
    </row>
    <row r="10">
      <c r="B10" s="46" t="inlineStr">
        <is>
          <t>Blended Gross Wage ($/hr)</t>
        </is>
      </c>
      <c r="C10" s="55" t="n">
        <v>23.72663947899345</v>
      </c>
      <c r="D10" s="47" t="inlineStr">
        <is>
          <t>Labor$ / Hrs (pre-burden)</t>
        </is>
      </c>
      <c r="E10" s="85" t="inlineStr">
        <is>
          <t>Derived</t>
        </is>
      </c>
    </row>
    <row r="11">
      <c r="B11" s="48" t="inlineStr">
        <is>
          <t>Top Worker Hours Share</t>
        </is>
      </c>
      <c r="C11" s="79" t="n">
        <v>0.06018986644175336</v>
      </c>
      <c r="D11" s="49" t="inlineStr">
        <is>
          <t>GA46 Galdamez, Dagoberto A (3140 hrs)</t>
        </is>
      </c>
      <c r="E11" s="85" t="inlineStr">
        <is>
          <t>Derived</t>
        </is>
      </c>
      <c r="F11" s="53" t="n"/>
      <c r="G11" s="53" t="n"/>
      <c r="H11" s="53" t="n"/>
      <c r="I11" s="53" t="n"/>
      <c r="J11" s="53" t="n"/>
    </row>
    <row r="12">
      <c r="B12" s="46" t="inlineStr">
        <is>
          <t>Top 5 Workers Hours Share</t>
        </is>
      </c>
      <c r="C12" s="86" t="n">
        <v>0.2907419742851255</v>
      </c>
      <c r="D12" s="47" t="inlineStr">
        <is>
          <t>Concentration metric</t>
        </is>
      </c>
      <c r="E12" s="85" t="inlineStr">
        <is>
          <t>Derived</t>
        </is>
      </c>
    </row>
    <row r="13">
      <c r="B13" s="48" t="inlineStr">
        <is>
          <t>Highest Wage Rate ($/hr)</t>
        </is>
      </c>
      <c r="C13" s="76" t="n">
        <v>49.69754768392371</v>
      </c>
      <c r="D13" s="49" t="inlineStr">
        <is>
          <t>Single-worker blended</t>
        </is>
      </c>
      <c r="E13" s="85" t="inlineStr">
        <is>
          <t>Derived</t>
        </is>
      </c>
      <c r="F13" s="53" t="n"/>
      <c r="G13" s="53" t="n"/>
      <c r="H13" s="53" t="n"/>
      <c r="I13" s="53" t="n"/>
      <c r="J13" s="53" t="n"/>
    </row>
    <row r="14">
      <c r="B14" s="46" t="inlineStr">
        <is>
          <t>Lowest Wage Rate ($/hr)</t>
        </is>
      </c>
      <c r="C14" s="55" t="n">
        <v>14.31578947368421</v>
      </c>
      <c r="D14" s="47" t="inlineStr">
        <is>
          <t>Single-worker blended</t>
        </is>
      </c>
      <c r="E14" s="85" t="inlineStr">
        <is>
          <t>Derived</t>
        </is>
      </c>
    </row>
    <row r="15">
      <c r="B15" s="48" t="inlineStr">
        <is>
          <t>Avg Hours per Worker</t>
        </is>
      </c>
      <c r="C15" s="72" t="n">
        <v>724.5590277777778</v>
      </c>
      <c r="D15" s="49" t="inlineStr">
        <is>
          <t>Includes short-tenure workers</t>
        </is>
      </c>
      <c r="E15" s="85" t="inlineStr">
        <is>
          <t>Derived</t>
        </is>
      </c>
      <c r="F15" s="53" t="n"/>
      <c r="G15" s="53" t="n"/>
      <c r="H15" s="53" t="n"/>
      <c r="I15" s="53" t="n"/>
      <c r="J15" s="53" t="n"/>
    </row>
    <row r="16">
      <c r="B16" s="46" t="inlineStr">
        <is>
          <t>Avg Project Days per Worker</t>
        </is>
      </c>
      <c r="C16" s="56" t="n">
        <v>26.56944444444444</v>
      </c>
      <c r="D16" s="47" t="inlineStr">
        <is>
          <t>Mean days</t>
        </is>
      </c>
      <c r="E16" s="85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Productivity Metrics</t>
        </is>
      </c>
    </row>
    <row r="3" ht="22" customHeight="1">
      <c r="B3" s="43" t="inlineStr">
        <is>
          <t>Normalized labor and financial ratios. Per-unit metrics from bid 92 units.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Metric</t>
        </is>
      </c>
      <c r="C5" s="65" t="inlineStr">
        <is>
          <t>Value</t>
        </is>
      </c>
      <c r="D5" s="65" t="inlineStr">
        <is>
          <t>Basis</t>
        </is>
      </c>
      <c r="E5" s="65" t="inlineStr">
        <is>
          <t>Source / Note</t>
        </is>
      </c>
    </row>
    <row r="6">
      <c r="B6" s="46" t="inlineStr">
        <is>
          <t>Revenue per Labor Hour</t>
        </is>
      </c>
      <c r="C6" s="82">
        <f>5187754.0/52168.25</f>
        <v/>
      </c>
      <c r="D6" s="47" t="inlineStr">
        <is>
          <t>Formula</t>
        </is>
      </c>
      <c r="E6" s="47" t="inlineStr">
        <is>
          <t>Rev / Total Hrs</t>
        </is>
      </c>
    </row>
    <row r="7">
      <c r="B7" s="48" t="inlineStr">
        <is>
          <t>Profit per Labor Hour</t>
        </is>
      </c>
      <c r="C7" s="78">
        <f>2760345.77/52168.25</f>
        <v/>
      </c>
      <c r="D7" s="49" t="inlineStr">
        <is>
          <t>Formula</t>
        </is>
      </c>
      <c r="E7" s="49" t="inlineStr">
        <is>
          <t>Net Profit / Hrs</t>
        </is>
      </c>
      <c r="F7" s="53" t="n"/>
      <c r="G7" s="53" t="n"/>
      <c r="H7" s="53" t="n"/>
      <c r="I7" s="53" t="n"/>
      <c r="J7" s="53" t="n"/>
    </row>
    <row r="8">
      <c r="B8" s="46" t="inlineStr">
        <is>
          <t>Labor Cost per Hour (blended)</t>
        </is>
      </c>
      <c r="C8" s="82">
        <f>1237777.26/52168.25</f>
        <v/>
      </c>
      <c r="D8" s="47" t="inlineStr">
        <is>
          <t>Formula</t>
        </is>
      </c>
      <c r="E8" s="47" t="inlineStr">
        <is>
          <t>Pre-burden</t>
        </is>
      </c>
    </row>
    <row r="9">
      <c r="B9" s="48" t="inlineStr">
        <is>
          <t>Fully-Loaded Labor Rate ($/hr)</t>
        </is>
      </c>
      <c r="C9" s="78">
        <f>(1237777.26+0+0)/52168.25</f>
        <v/>
      </c>
      <c r="D9" s="49" t="inlineStr">
        <is>
          <t>Formula</t>
        </is>
      </c>
      <c r="E9" s="49" t="inlineStr">
        <is>
          <t>Incl burden + taxes</t>
        </is>
      </c>
      <c r="F9" s="53" t="n"/>
      <c r="G9" s="53" t="n"/>
      <c r="H9" s="53" t="n"/>
      <c r="I9" s="53" t="n"/>
      <c r="J9" s="53" t="n"/>
    </row>
    <row r="10">
      <c r="B10" s="46" t="inlineStr">
        <is>
          <t>Burden Multiplier</t>
        </is>
      </c>
      <c r="C10" s="87">
        <f>(1237777.26+0+0)/1237777.26</f>
        <v/>
      </c>
      <c r="D10" s="47" t="inlineStr">
        <is>
          <t>Formula</t>
        </is>
      </c>
      <c r="E10" s="47" t="inlineStr">
        <is>
          <t>Fully-loaded / blended</t>
        </is>
      </c>
    </row>
    <row r="11">
      <c r="B11" s="48" t="inlineStr">
        <is>
          <t>Rough-in Hours (code 120)</t>
        </is>
      </c>
      <c r="C11" s="72" t="n">
        <v>12464.75</v>
      </c>
      <c r="D11" s="49" t="inlineStr">
        <is>
          <t>JDR</t>
        </is>
      </c>
      <c r="E11" s="49" t="inlineStr">
        <is>
          <t>12465 hrs</t>
        </is>
      </c>
      <c r="F11" s="53" t="n"/>
      <c r="G11" s="53" t="n"/>
      <c r="H11" s="53" t="n"/>
      <c r="I11" s="53" t="n"/>
      <c r="J11" s="53" t="n"/>
    </row>
    <row r="12">
      <c r="B12" s="46" t="inlineStr">
        <is>
          <t>Finish Hours (code 130)</t>
        </is>
      </c>
      <c r="C12" s="56" t="n">
        <v>2669.5</v>
      </c>
      <c r="D12" s="47" t="inlineStr">
        <is>
          <t>JDR</t>
        </is>
      </c>
      <c r="E12" s="47" t="inlineStr">
        <is>
          <t>2670 hrs</t>
        </is>
      </c>
    </row>
    <row r="13">
      <c r="B13" s="48" t="inlineStr">
        <is>
          <t>Rough-in % of Total Hours</t>
        </is>
      </c>
      <c r="C13" s="71">
        <f>12464.75/52168.25</f>
        <v/>
      </c>
      <c r="D13" s="49" t="inlineStr">
        <is>
          <t>Formula</t>
        </is>
      </c>
      <c r="E13" s="49" t="inlineStr">
        <is>
          <t>Code 120 share</t>
        </is>
      </c>
      <c r="F13" s="53" t="n"/>
      <c r="G13" s="53" t="n"/>
      <c r="H13" s="53" t="n"/>
      <c r="I13" s="53" t="n"/>
      <c r="J13" s="53" t="n"/>
    </row>
    <row r="14">
      <c r="B14" s="46" t="inlineStr">
        <is>
          <t>Gross Margin</t>
        </is>
      </c>
      <c r="C14" s="68">
        <f>2760345.77/5187754.0</f>
        <v/>
      </c>
      <c r="D14" s="47" t="inlineStr">
        <is>
          <t>Formula</t>
        </is>
      </c>
      <c r="E14" s="47" t="inlineStr">
        <is>
          <t>Net / Revenue</t>
        </is>
      </c>
    </row>
    <row r="15">
      <c r="B15" s="48" t="inlineStr">
        <is>
          <t>Labor % of Revenue</t>
        </is>
      </c>
      <c r="C15" s="71">
        <f>1237777.26/5187754.0</f>
        <v/>
      </c>
      <c r="D15" s="49" t="inlineStr">
        <is>
          <t>Formula</t>
        </is>
      </c>
      <c r="E15" s="88" t="inlineStr"/>
      <c r="F15" s="53" t="n"/>
      <c r="G15" s="53" t="n"/>
      <c r="H15" s="53" t="n"/>
      <c r="I15" s="53" t="n"/>
      <c r="J15" s="53" t="n"/>
    </row>
    <row r="16">
      <c r="B16" s="46" t="inlineStr">
        <is>
          <t>Material % of Revenue</t>
        </is>
      </c>
      <c r="C16" s="68">
        <f>1110426.25/5187754.0</f>
        <v/>
      </c>
      <c r="D16" s="47" t="inlineStr">
        <is>
          <t>Formula</t>
        </is>
      </c>
      <c r="E16" s="8" t="inlineStr"/>
    </row>
    <row r="17">
      <c r="B17" s="48" t="inlineStr">
        <is>
          <t>Direct Cost Ratio</t>
        </is>
      </c>
      <c r="C17" s="71">
        <f>2427408.23/5187754.0</f>
        <v/>
      </c>
      <c r="D17" s="49" t="inlineStr">
        <is>
          <t>Formula</t>
        </is>
      </c>
      <c r="E17" s="49" t="inlineStr">
        <is>
          <t>All expenses / Rev</t>
        </is>
      </c>
      <c r="F17" s="53" t="n"/>
      <c r="G17" s="53" t="n"/>
      <c r="H17" s="53" t="n"/>
      <c r="I17" s="53" t="n"/>
      <c r="J17" s="53" t="n"/>
    </row>
    <row r="18">
      <c r="B18" s="46" t="inlineStr">
        <is>
          <t>Revenue per Unit (92)</t>
        </is>
      </c>
      <c r="C18" s="82">
        <f>5187754.0/92</f>
        <v/>
      </c>
      <c r="D18" s="47" t="inlineStr">
        <is>
          <t>Formula</t>
        </is>
      </c>
      <c r="E18" s="47" t="inlineStr">
        <is>
          <t>92 units (from bid proposal)</t>
        </is>
      </c>
    </row>
    <row r="19">
      <c r="B19" s="48" t="inlineStr">
        <is>
          <t>Labor Hours per Unit</t>
        </is>
      </c>
      <c r="C19" s="89">
        <f>52168.25/92</f>
        <v/>
      </c>
      <c r="D19" s="49" t="inlineStr">
        <is>
          <t>Formula</t>
        </is>
      </c>
      <c r="E19" s="88" t="inlineStr"/>
      <c r="F19" s="53" t="n"/>
      <c r="G19" s="53" t="n"/>
      <c r="H19" s="53" t="n"/>
      <c r="I19" s="53" t="n"/>
      <c r="J19" s="53" t="n"/>
    </row>
    <row r="20">
      <c r="B20" s="46" t="inlineStr">
        <is>
          <t>Labor Cost per Unit</t>
        </is>
      </c>
      <c r="C20" s="82">
        <f>1237777.26/92</f>
        <v/>
      </c>
      <c r="D20" s="47" t="inlineStr">
        <is>
          <t>Formula</t>
        </is>
      </c>
      <c r="E20" s="8" t="inlineStr"/>
    </row>
    <row r="21">
      <c r="B21" s="48" t="inlineStr">
        <is>
          <t>Material Cost per Unit</t>
        </is>
      </c>
      <c r="C21" s="78">
        <f>1110426.25/92</f>
        <v/>
      </c>
      <c r="D21" s="49" t="inlineStr">
        <is>
          <t>Formula</t>
        </is>
      </c>
      <c r="E21" s="88" t="inlineStr"/>
      <c r="F21" s="53" t="n"/>
      <c r="G21" s="53" t="n"/>
      <c r="H21" s="53" t="n"/>
      <c r="I21" s="53" t="n"/>
      <c r="J21" s="53" t="n"/>
    </row>
    <row r="22">
      <c r="B22" s="46" t="inlineStr">
        <is>
          <t>Direct Cost per Unit</t>
        </is>
      </c>
      <c r="C22" s="82">
        <f>2427408.23/92</f>
        <v/>
      </c>
      <c r="D22" s="47" t="inlineStr">
        <is>
          <t>Formula</t>
        </is>
      </c>
      <c r="E22" s="8" t="inlineStr"/>
    </row>
    <row r="23">
      <c r="B23" s="48" t="inlineStr">
        <is>
          <t>Rough-in Hours per Unit</t>
        </is>
      </c>
      <c r="C23" s="89">
        <f>12464.75/92</f>
        <v/>
      </c>
      <c r="D23" s="49" t="inlineStr">
        <is>
          <t>Formula</t>
        </is>
      </c>
      <c r="E23" s="49" t="inlineStr">
        <is>
          <t>Code 120 / 92</t>
        </is>
      </c>
      <c r="F23" s="53" t="n"/>
      <c r="G23" s="53" t="n"/>
      <c r="H23" s="53" t="n"/>
      <c r="I23" s="53" t="n"/>
      <c r="J23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PO Commitments</t>
        </is>
      </c>
    </row>
    <row r="3" ht="22" customHeight="1">
      <c r="B3" s="43" t="inlineStr">
        <is>
          <t>Inbound contract value (GC → OWP). Outbound vendor commitments — see Material tab + POs folder.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PO #</t>
        </is>
      </c>
      <c r="C5" s="65" t="inlineStr">
        <is>
          <t>Date</t>
        </is>
      </c>
      <c r="D5" s="65" t="inlineStr">
        <is>
          <t>Issuer</t>
        </is>
      </c>
      <c r="E5" s="65" t="inlineStr">
        <is>
          <t>Type</t>
        </is>
      </c>
      <c r="F5" s="65" t="inlineStr">
        <is>
          <t>Status</t>
        </is>
      </c>
      <c r="G5" s="65" t="inlineStr">
        <is>
          <t>Description</t>
        </is>
      </c>
      <c r="H5" s="65" t="inlineStr">
        <is>
          <t>Amount</t>
        </is>
      </c>
      <c r="I5" s="65" t="inlineStr">
        <is>
          <t>Source</t>
        </is>
      </c>
    </row>
    <row r="6">
      <c r="B6" s="46" t="inlineStr">
        <is>
          <t>L1 220000</t>
        </is>
      </c>
      <c r="C6" s="47" t="inlineStr">
        <is>
          <t>2015-09 (proposal 9/1/15) / subcontract executed</t>
        </is>
      </c>
      <c r="D6" s="47" t="inlineStr">
        <is>
          <t>Exxel Pacific, Inc.</t>
        </is>
      </c>
      <c r="E6" s="47" t="inlineStr">
        <is>
          <t>Lump Sum Subcontract</t>
        </is>
      </c>
      <c r="F6" s="90" t="inlineStr">
        <is>
          <t>Closed (100% billed)</t>
        </is>
      </c>
      <c r="G6" s="47" t="inlineStr">
        <is>
          <t>The Zig Apts plumbing (550 Broadway, Seattle) — full scope per proposal + narrative</t>
        </is>
      </c>
      <c r="H6" s="55" t="n">
        <v>5051600</v>
      </c>
      <c r="I6" s="47" t="inlineStr">
        <is>
          <t>Exxel Pacific Issaquah Gateway Subcontract</t>
        </is>
      </c>
    </row>
    <row r="7">
      <c r="B7" s="48" t="inlineStr">
        <is>
          <t>TOTAL (contract + COs)</t>
        </is>
      </c>
      <c r="C7" s="53" t="n"/>
      <c r="D7" s="53" t="n"/>
      <c r="E7" s="53" t="n"/>
      <c r="F7" s="53" t="n"/>
      <c r="G7" s="53" t="n"/>
      <c r="H7" s="78">
        <f>SUM(H6:H6)</f>
        <v/>
      </c>
      <c r="I7" s="53" t="n"/>
      <c r="J7" s="53" t="n"/>
    </row>
    <row r="8"/>
    <row r="9">
      <c r="B9" s="48" t="inlineStr">
        <is>
          <t>NOTE: Documented COs sum to $136,154.00; JDR-implied COs = $136,154.00 (diff $0.00). Gap likely due to budget-transfer-only adjustments or one CO not surfacing in transfer PDFs. Outbound POs: 82 total (7 placed, 19 scheduled, 56 completed) — see POs/ folder.</t>
        </is>
      </c>
      <c r="C9" s="50" t="n"/>
      <c r="D9" s="50" t="n"/>
      <c r="E9" s="50" t="n"/>
      <c r="F9" s="50" t="n"/>
      <c r="G9" s="50" t="n"/>
      <c r="H9" s="50" t="n"/>
      <c r="I9" s="51" t="n"/>
      <c r="J9" s="53" t="n"/>
    </row>
  </sheetData>
  <mergeCells count="3">
    <mergeCell ref="B9:I9"/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Billing &amp; Schedule of Values</t>
        </is>
      </c>
    </row>
    <row r="3" ht="22" customHeight="1">
      <c r="B3" s="43" t="inlineStr">
        <is>
          <t>32 unique invoices to Exxel Pacific, Inc.. Retainage $259,387.70 = 5.0% of revenue.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Invoice #</t>
        </is>
      </c>
      <c r="C5" s="65" t="inlineStr">
        <is>
          <t>Date</t>
        </is>
      </c>
      <c r="D5" s="65" t="inlineStr">
        <is>
          <t>Total Billed (signed)</t>
        </is>
      </c>
      <c r="E5" s="65" t="inlineStr">
        <is>
          <t>Retainage (signed)</t>
        </is>
      </c>
      <c r="F5" s="65" t="inlineStr">
        <is>
          <t># Lines</t>
        </is>
      </c>
      <c r="G5" s="65" t="inlineStr">
        <is>
          <t>Source</t>
        </is>
      </c>
    </row>
    <row r="6">
      <c r="B6" s="46" t="inlineStr">
        <is>
          <t>036805</t>
        </is>
      </c>
      <c r="C6" s="47" t="inlineStr">
        <is>
          <t>11/15/16</t>
        </is>
      </c>
      <c r="D6" s="66" t="n">
        <v>-18600</v>
      </c>
      <c r="E6" s="66" t="n">
        <v>-930</v>
      </c>
      <c r="F6" s="80" t="n">
        <v>1</v>
      </c>
      <c r="G6" s="47" t="inlineStr">
        <is>
          <t>2030 Job Detail Report.pdf (Sage Timberline, 04/03/2026, 190 pages)</t>
        </is>
      </c>
    </row>
    <row r="7">
      <c r="B7" s="48" t="inlineStr">
        <is>
          <t>036812</t>
        </is>
      </c>
      <c r="C7" s="49" t="inlineStr">
        <is>
          <t>12/16/16</t>
        </is>
      </c>
      <c r="D7" s="69" t="n">
        <v>-52900</v>
      </c>
      <c r="E7" s="69" t="n">
        <v>-2645</v>
      </c>
      <c r="F7" s="81" t="n">
        <v>1</v>
      </c>
      <c r="G7" s="49" t="inlineStr">
        <is>
          <t>2030 Job Detail Report.pdf (Sage Timberline, 04/03/2026, 190 pages)</t>
        </is>
      </c>
      <c r="H7" s="53" t="n"/>
      <c r="I7" s="53" t="n"/>
      <c r="J7" s="53" t="n"/>
    </row>
    <row r="8">
      <c r="B8" s="46" t="inlineStr">
        <is>
          <t>036819</t>
        </is>
      </c>
      <c r="C8" s="47" t="inlineStr">
        <is>
          <t>01/20/17</t>
        </is>
      </c>
      <c r="D8" s="66" t="n">
        <v>-125464</v>
      </c>
      <c r="E8" s="66" t="n">
        <v>-6273.2</v>
      </c>
      <c r="F8" s="80" t="n">
        <v>1</v>
      </c>
      <c r="G8" s="47" t="inlineStr">
        <is>
          <t>2030 Job Detail Report.pdf (Sage Timberline, 04/03/2026, 190 pages)</t>
        </is>
      </c>
    </row>
    <row r="9">
      <c r="B9" s="48" t="inlineStr">
        <is>
          <t>036833</t>
        </is>
      </c>
      <c r="C9" s="49" t="inlineStr">
        <is>
          <t>02/20/17</t>
        </is>
      </c>
      <c r="D9" s="69" t="n">
        <v>-59300</v>
      </c>
      <c r="E9" s="69" t="n">
        <v>-2965</v>
      </c>
      <c r="F9" s="81" t="n">
        <v>1</v>
      </c>
      <c r="G9" s="49" t="inlineStr">
        <is>
          <t>2030 Job Detail Report.pdf (Sage Timberline, 04/03/2026, 190 pages)</t>
        </is>
      </c>
      <c r="H9" s="53" t="n"/>
      <c r="I9" s="53" t="n"/>
      <c r="J9" s="53" t="n"/>
    </row>
    <row r="10">
      <c r="B10" s="46" t="inlineStr">
        <is>
          <t>036845</t>
        </is>
      </c>
      <c r="C10" s="47" t="inlineStr">
        <is>
          <t>03/17/17</t>
        </is>
      </c>
      <c r="D10" s="66" t="n">
        <v>-111858</v>
      </c>
      <c r="E10" s="66" t="n">
        <v>-5592.9</v>
      </c>
      <c r="F10" s="80" t="n">
        <v>1</v>
      </c>
      <c r="G10" s="47" t="inlineStr">
        <is>
          <t>2030 Job Detail Report.pdf (Sage Timberline, 04/03/2026, 190 pages)</t>
        </is>
      </c>
    </row>
    <row r="11">
      <c r="B11" s="48" t="inlineStr">
        <is>
          <t>036869</t>
        </is>
      </c>
      <c r="C11" s="49" t="inlineStr">
        <is>
          <t>04/21/17</t>
        </is>
      </c>
      <c r="D11" s="69" t="n">
        <v>-278388</v>
      </c>
      <c r="E11" s="69" t="n">
        <v>-13919.4</v>
      </c>
      <c r="F11" s="81" t="n">
        <v>1</v>
      </c>
      <c r="G11" s="49" t="inlineStr">
        <is>
          <t>2030 Job Detail Report.pdf (Sage Timberline, 04/03/2026, 190 pages)</t>
        </is>
      </c>
      <c r="H11" s="53" t="n"/>
      <c r="I11" s="53" t="n"/>
      <c r="J11" s="53" t="n"/>
    </row>
    <row r="12">
      <c r="B12" s="46" t="inlineStr">
        <is>
          <t>036879</t>
        </is>
      </c>
      <c r="C12" s="47" t="inlineStr">
        <is>
          <t>05/19/17</t>
        </is>
      </c>
      <c r="D12" s="66" t="n">
        <v>-307855</v>
      </c>
      <c r="E12" s="66" t="n">
        <v>-15392.75</v>
      </c>
      <c r="F12" s="80" t="n">
        <v>1</v>
      </c>
      <c r="G12" s="47" t="inlineStr">
        <is>
          <t>2030 Job Detail Report.pdf (Sage Timberline, 04/03/2026, 190 pages)</t>
        </is>
      </c>
    </row>
    <row r="13">
      <c r="B13" s="48" t="inlineStr">
        <is>
          <t>036906</t>
        </is>
      </c>
      <c r="C13" s="49" t="inlineStr">
        <is>
          <t>06/20/17</t>
        </is>
      </c>
      <c r="D13" s="69" t="n">
        <v>-379643</v>
      </c>
      <c r="E13" s="69" t="n">
        <v>-18982.15</v>
      </c>
      <c r="F13" s="81" t="n">
        <v>1</v>
      </c>
      <c r="G13" s="49" t="inlineStr">
        <is>
          <t>2030 Job Detail Report.pdf (Sage Timberline, 04/03/2026, 190 pages)</t>
        </is>
      </c>
      <c r="H13" s="53" t="n"/>
      <c r="I13" s="53" t="n"/>
      <c r="J13" s="53" t="n"/>
    </row>
    <row r="14">
      <c r="B14" s="46" t="inlineStr">
        <is>
          <t>036919</t>
        </is>
      </c>
      <c r="C14" s="47" t="inlineStr">
        <is>
          <t>07/20/17</t>
        </is>
      </c>
      <c r="D14" s="66" t="n">
        <v>-329533</v>
      </c>
      <c r="E14" s="66" t="n">
        <v>-16476.65</v>
      </c>
      <c r="F14" s="80" t="n">
        <v>1</v>
      </c>
      <c r="G14" s="47" t="inlineStr">
        <is>
          <t>2030 Job Detail Report.pdf (Sage Timberline, 04/03/2026, 190 pages)</t>
        </is>
      </c>
    </row>
    <row r="15">
      <c r="B15" s="48" t="inlineStr">
        <is>
          <t>036940</t>
        </is>
      </c>
      <c r="C15" s="49" t="inlineStr">
        <is>
          <t>08/18/17</t>
        </is>
      </c>
      <c r="D15" s="69" t="n">
        <v>-208610</v>
      </c>
      <c r="E15" s="69" t="n">
        <v>-10430.5</v>
      </c>
      <c r="F15" s="81" t="n">
        <v>1</v>
      </c>
      <c r="G15" s="49" t="inlineStr">
        <is>
          <t>2030 Job Detail Report.pdf (Sage Timberline, 04/03/2026, 190 pages)</t>
        </is>
      </c>
      <c r="H15" s="53" t="n"/>
      <c r="I15" s="53" t="n"/>
      <c r="J15" s="53" t="n"/>
    </row>
    <row r="16">
      <c r="B16" s="46" t="inlineStr">
        <is>
          <t>036955</t>
        </is>
      </c>
      <c r="C16" s="47" t="inlineStr">
        <is>
          <t>09/20/17</t>
        </is>
      </c>
      <c r="D16" s="66" t="n">
        <v>-215312</v>
      </c>
      <c r="E16" s="66" t="n">
        <v>-10765.6</v>
      </c>
      <c r="F16" s="80" t="n">
        <v>1</v>
      </c>
      <c r="G16" s="47" t="inlineStr">
        <is>
          <t>2030 Job Detail Report.pdf (Sage Timberline, 04/03/2026, 190 pages)</t>
        </is>
      </c>
    </row>
    <row r="17">
      <c r="B17" s="48" t="inlineStr">
        <is>
          <t>036959</t>
        </is>
      </c>
      <c r="C17" s="49" t="inlineStr">
        <is>
          <t>09/20/17</t>
        </is>
      </c>
      <c r="D17" s="69" t="n">
        <v>215312</v>
      </c>
      <c r="E17" s="69" t="n">
        <v>10765.6</v>
      </c>
      <c r="F17" s="81" t="n">
        <v>1</v>
      </c>
      <c r="G17" s="49" t="inlineStr">
        <is>
          <t>2030 Job Detail Report.pdf (Sage Timberline, 04/03/2026, 190 pages)</t>
        </is>
      </c>
      <c r="H17" s="53" t="n"/>
      <c r="I17" s="53" t="n"/>
      <c r="J17" s="53" t="n"/>
    </row>
    <row r="18">
      <c r="B18" s="46" t="inlineStr">
        <is>
          <t>036960</t>
        </is>
      </c>
      <c r="C18" s="47" t="inlineStr">
        <is>
          <t>09/20/17</t>
        </is>
      </c>
      <c r="D18" s="66" t="n">
        <v>-224462</v>
      </c>
      <c r="E18" s="66" t="n">
        <v>-11223.1</v>
      </c>
      <c r="F18" s="80" t="n">
        <v>1</v>
      </c>
      <c r="G18" s="47" t="inlineStr">
        <is>
          <t>2030 Job Detail Report.pdf (Sage Timberline, 04/03/2026, 190 pages)</t>
        </is>
      </c>
    </row>
    <row r="19">
      <c r="B19" s="48" t="inlineStr">
        <is>
          <t>036964</t>
        </is>
      </c>
      <c r="C19" s="49" t="inlineStr">
        <is>
          <t>10/20/17</t>
        </is>
      </c>
      <c r="D19" s="69" t="n">
        <v>-86250</v>
      </c>
      <c r="E19" s="69" t="n">
        <v>-4312.5</v>
      </c>
      <c r="F19" s="81" t="n">
        <v>1</v>
      </c>
      <c r="G19" s="49" t="inlineStr">
        <is>
          <t>2030 Job Detail Report.pdf (Sage Timberline, 04/03/2026, 190 pages)</t>
        </is>
      </c>
      <c r="H19" s="53" t="n"/>
      <c r="I19" s="53" t="n"/>
      <c r="J19" s="53" t="n"/>
    </row>
    <row r="20">
      <c r="B20" s="46" t="inlineStr">
        <is>
          <t>036987</t>
        </is>
      </c>
      <c r="C20" s="47" t="inlineStr">
        <is>
          <t>11/17/17</t>
        </is>
      </c>
      <c r="D20" s="66" t="n">
        <v>-36283</v>
      </c>
      <c r="E20" s="66" t="n">
        <v>-1814.15</v>
      </c>
      <c r="F20" s="80" t="n">
        <v>1</v>
      </c>
      <c r="G20" s="47" t="inlineStr">
        <is>
          <t>2030 Job Detail Report.pdf (Sage Timberline, 04/03/2026, 190 pages)</t>
        </is>
      </c>
    </row>
    <row r="21">
      <c r="B21" s="48" t="inlineStr">
        <is>
          <t>036999</t>
        </is>
      </c>
      <c r="C21" s="49" t="inlineStr">
        <is>
          <t>12/15/17</t>
        </is>
      </c>
      <c r="D21" s="69" t="n">
        <v>-161778</v>
      </c>
      <c r="E21" s="69" t="n">
        <v>-8088.9</v>
      </c>
      <c r="F21" s="81" t="n">
        <v>1</v>
      </c>
      <c r="G21" s="49" t="inlineStr">
        <is>
          <t>2030 Job Detail Report.pdf (Sage Timberline, 04/03/2026, 190 pages)</t>
        </is>
      </c>
      <c r="H21" s="53" t="n"/>
      <c r="I21" s="53" t="n"/>
      <c r="J21" s="53" t="n"/>
    </row>
    <row r="22">
      <c r="B22" s="46" t="inlineStr">
        <is>
          <t>037005</t>
        </is>
      </c>
      <c r="C22" s="47" t="inlineStr">
        <is>
          <t>01/19/18</t>
        </is>
      </c>
      <c r="D22" s="66" t="n">
        <v>-240857</v>
      </c>
      <c r="E22" s="66" t="n">
        <v>-12042.85</v>
      </c>
      <c r="F22" s="80" t="n">
        <v>1</v>
      </c>
      <c r="G22" s="47" t="inlineStr">
        <is>
          <t>2030 Job Detail Report.pdf (Sage Timberline, 04/03/2026, 190 pages)</t>
        </is>
      </c>
    </row>
    <row r="23">
      <c r="B23" s="48" t="inlineStr">
        <is>
          <t>037050</t>
        </is>
      </c>
      <c r="C23" s="49" t="inlineStr">
        <is>
          <t>03/20/18</t>
        </is>
      </c>
      <c r="D23" s="69" t="n">
        <v>-514210</v>
      </c>
      <c r="E23" s="69" t="n">
        <v>-25710.5</v>
      </c>
      <c r="F23" s="81" t="n">
        <v>1</v>
      </c>
      <c r="G23" s="49" t="inlineStr">
        <is>
          <t>2030 Job Detail Report.pdf (Sage Timberline, 04/03/2026, 190 pages)</t>
        </is>
      </c>
      <c r="H23" s="53" t="n"/>
      <c r="I23" s="53" t="n"/>
      <c r="J23" s="53" t="n"/>
    </row>
    <row r="24">
      <c r="B24" s="46" t="inlineStr">
        <is>
          <t>037072</t>
        </is>
      </c>
      <c r="C24" s="47" t="inlineStr">
        <is>
          <t>04/20/18</t>
        </is>
      </c>
      <c r="D24" s="66" t="n">
        <v>-272152</v>
      </c>
      <c r="E24" s="66" t="n">
        <v>-13607.6</v>
      </c>
      <c r="F24" s="80" t="n">
        <v>1</v>
      </c>
      <c r="G24" s="47" t="inlineStr">
        <is>
          <t>2030 Job Detail Report.pdf (Sage Timberline, 04/03/2026, 190 pages)</t>
        </is>
      </c>
    </row>
    <row r="25">
      <c r="B25" s="48" t="inlineStr">
        <is>
          <t>037094</t>
        </is>
      </c>
      <c r="C25" s="49" t="inlineStr">
        <is>
          <t>05/18/18</t>
        </is>
      </c>
      <c r="D25" s="69" t="n">
        <v>-292098</v>
      </c>
      <c r="E25" s="69" t="n">
        <v>-14604.9</v>
      </c>
      <c r="F25" s="81" t="n">
        <v>1</v>
      </c>
      <c r="G25" s="49" t="inlineStr">
        <is>
          <t>2030 Job Detail Report.pdf (Sage Timberline, 04/03/2026, 190 pages)</t>
        </is>
      </c>
      <c r="H25" s="53" t="n"/>
      <c r="I25" s="53" t="n"/>
      <c r="J25" s="53" t="n"/>
    </row>
    <row r="26">
      <c r="B26" s="46" t="inlineStr">
        <is>
          <t>037118</t>
        </is>
      </c>
      <c r="C26" s="47" t="inlineStr">
        <is>
          <t>06/20/18</t>
        </is>
      </c>
      <c r="D26" s="66" t="n">
        <v>-298371</v>
      </c>
      <c r="E26" s="66" t="n">
        <v>-14918.55</v>
      </c>
      <c r="F26" s="80" t="n">
        <v>1</v>
      </c>
      <c r="G26" s="47" t="inlineStr">
        <is>
          <t>2030 Job Detail Report.pdf (Sage Timberline, 04/03/2026, 190 pages)</t>
        </is>
      </c>
    </row>
    <row r="27">
      <c r="B27" s="48" t="inlineStr">
        <is>
          <t>037144</t>
        </is>
      </c>
      <c r="C27" s="49" t="inlineStr">
        <is>
          <t>07/20/18</t>
        </is>
      </c>
      <c r="D27" s="69" t="n">
        <v>-215054</v>
      </c>
      <c r="E27" s="69" t="n">
        <v>-10752.7</v>
      </c>
      <c r="F27" s="81" t="n">
        <v>1</v>
      </c>
      <c r="G27" s="49" t="inlineStr">
        <is>
          <t>2030 Job Detail Report.pdf (Sage Timberline, 04/03/2026, 190 pages)</t>
        </is>
      </c>
      <c r="H27" s="53" t="n"/>
      <c r="I27" s="53" t="n"/>
      <c r="J27" s="53" t="n"/>
    </row>
    <row r="28">
      <c r="B28" s="46" t="inlineStr">
        <is>
          <t>037167</t>
        </is>
      </c>
      <c r="C28" s="47" t="inlineStr">
        <is>
          <t>08/20/18</t>
        </is>
      </c>
      <c r="D28" s="66" t="n">
        <v>-26304</v>
      </c>
      <c r="E28" s="66" t="n">
        <v>-1315.2</v>
      </c>
      <c r="F28" s="80" t="n">
        <v>1</v>
      </c>
      <c r="G28" s="47" t="inlineStr">
        <is>
          <t>2030 Job Detail Report.pdf (Sage Timberline, 04/03/2026, 190 pages)</t>
        </is>
      </c>
    </row>
    <row r="29">
      <c r="B29" s="48" t="inlineStr">
        <is>
          <t>037178</t>
        </is>
      </c>
      <c r="C29" s="49" t="inlineStr">
        <is>
          <t>09/19/18</t>
        </is>
      </c>
      <c r="D29" s="69" t="n">
        <v>-37570</v>
      </c>
      <c r="E29" s="69" t="n">
        <v>-1878.5</v>
      </c>
      <c r="F29" s="81" t="n">
        <v>1</v>
      </c>
      <c r="G29" s="49" t="inlineStr">
        <is>
          <t>2030 Job Detail Report.pdf (Sage Timberline, 04/03/2026, 190 pages)</t>
        </is>
      </c>
      <c r="H29" s="53" t="n"/>
      <c r="I29" s="53" t="n"/>
      <c r="J29" s="53" t="n"/>
    </row>
    <row r="30">
      <c r="B30" s="46" t="inlineStr">
        <is>
          <t>037200</t>
        </is>
      </c>
      <c r="C30" s="47" t="inlineStr">
        <is>
          <t>10/19/18</t>
        </is>
      </c>
      <c r="D30" s="66" t="n">
        <v>-91416</v>
      </c>
      <c r="E30" s="66" t="n">
        <v>-4570.8</v>
      </c>
      <c r="F30" s="80" t="n">
        <v>1</v>
      </c>
      <c r="G30" s="47" t="inlineStr">
        <is>
          <t>2030 Job Detail Report.pdf (Sage Timberline, 04/03/2026, 190 pages)</t>
        </is>
      </c>
    </row>
    <row r="31">
      <c r="B31" s="48" t="inlineStr">
        <is>
          <t>037240</t>
        </is>
      </c>
      <c r="C31" s="49" t="inlineStr">
        <is>
          <t>11/16/18</t>
        </is>
      </c>
      <c r="D31" s="69" t="n">
        <v>-74492</v>
      </c>
      <c r="E31" s="69" t="n">
        <v>-3724.6</v>
      </c>
      <c r="F31" s="81" t="n">
        <v>1</v>
      </c>
      <c r="G31" s="49" t="inlineStr">
        <is>
          <t>2030 Job Detail Report.pdf (Sage Timberline, 04/03/2026, 190 pages)</t>
        </is>
      </c>
      <c r="H31" s="53" t="n"/>
      <c r="I31" s="53" t="n"/>
      <c r="J31" s="53" t="n"/>
    </row>
    <row r="32">
      <c r="B32" s="46" t="inlineStr">
        <is>
          <t>037247</t>
        </is>
      </c>
      <c r="C32" s="47" t="inlineStr">
        <is>
          <t>12/12/18</t>
        </is>
      </c>
      <c r="D32" s="66" t="n">
        <v>-31507</v>
      </c>
      <c r="E32" s="66" t="n">
        <v>-1575.35</v>
      </c>
      <c r="F32" s="80" t="n">
        <v>1</v>
      </c>
      <c r="G32" s="47" t="inlineStr">
        <is>
          <t>2030 Job Detail Report.pdf (Sage Timberline, 04/03/2026, 190 pages)</t>
        </is>
      </c>
    </row>
    <row r="33">
      <c r="B33" s="48" t="inlineStr">
        <is>
          <t>037280</t>
        </is>
      </c>
      <c r="C33" s="49" t="inlineStr">
        <is>
          <t>01/18/19</t>
        </is>
      </c>
      <c r="D33" s="69" t="n">
        <v>-61026</v>
      </c>
      <c r="E33" s="69" t="n">
        <v>-3051.3</v>
      </c>
      <c r="F33" s="81" t="n">
        <v>1</v>
      </c>
      <c r="G33" s="49" t="inlineStr">
        <is>
          <t>2030 Job Detail Report.pdf (Sage Timberline, 04/03/2026, 190 pages)</t>
        </is>
      </c>
      <c r="H33" s="53" t="n"/>
      <c r="I33" s="53" t="n"/>
      <c r="J33" s="53" t="n"/>
    </row>
    <row r="34">
      <c r="B34" s="46" t="inlineStr">
        <is>
          <t>037285</t>
        </is>
      </c>
      <c r="C34" s="47" t="inlineStr">
        <is>
          <t>02/20/19</t>
        </is>
      </c>
      <c r="D34" s="66" t="n">
        <v>-55792</v>
      </c>
      <c r="E34" s="66" t="n">
        <v>-2789.6</v>
      </c>
      <c r="F34" s="80" t="n">
        <v>1</v>
      </c>
      <c r="G34" s="47" t="inlineStr">
        <is>
          <t>2030 Job Detail Report.pdf (Sage Timberline, 04/03/2026, 190 pages)</t>
        </is>
      </c>
    </row>
    <row r="35">
      <c r="B35" s="48" t="inlineStr">
        <is>
          <t>037296</t>
        </is>
      </c>
      <c r="C35" s="49" t="inlineStr">
        <is>
          <t>03/20/19</t>
        </is>
      </c>
      <c r="D35" s="69" t="n">
        <v>-91469</v>
      </c>
      <c r="E35" s="69" t="n">
        <v>-4573.45</v>
      </c>
      <c r="F35" s="81" t="n">
        <v>1</v>
      </c>
      <c r="G35" s="49" t="inlineStr">
        <is>
          <t>2030 Job Detail Report.pdf (Sage Timberline, 04/03/2026, 190 pages)</t>
        </is>
      </c>
      <c r="H35" s="53" t="n"/>
      <c r="I35" s="53" t="n"/>
      <c r="J35" s="53" t="n"/>
    </row>
    <row r="36">
      <c r="B36" s="46" t="inlineStr">
        <is>
          <t>037331</t>
        </is>
      </c>
      <c r="C36" s="47" t="inlineStr">
        <is>
          <t>04/19/19</t>
        </is>
      </c>
      <c r="D36" s="66" t="n">
        <v>-19306</v>
      </c>
      <c r="E36" s="66" t="n">
        <v>-965.3</v>
      </c>
      <c r="F36" s="80" t="n">
        <v>1</v>
      </c>
      <c r="G36" s="47" t="inlineStr">
        <is>
          <t>2030 Job Detail Report.pdf (Sage Timberline, 04/03/2026, 190 pages)</t>
        </is>
      </c>
    </row>
    <row r="37">
      <c r="B37" s="48" t="inlineStr">
        <is>
          <t>037371</t>
        </is>
      </c>
      <c r="C37" s="49" t="inlineStr">
        <is>
          <t>06/19/19</t>
        </is>
      </c>
      <c r="D37" s="69" t="n">
        <v>-436</v>
      </c>
      <c r="E37" s="69" t="n">
        <v>-21.8</v>
      </c>
      <c r="F37" s="81" t="n">
        <v>1</v>
      </c>
      <c r="G37" s="49" t="inlineStr">
        <is>
          <t>2030 Job Detail Report.pdf (Sage Timberline, 04/03/2026, 190 pages)</t>
        </is>
      </c>
      <c r="H37" s="53" t="n"/>
      <c r="I37" s="53" t="n"/>
      <c r="J37" s="53" t="n"/>
    </row>
    <row r="38">
      <c r="B38" s="46" t="inlineStr">
        <is>
          <t>TOTAL (signed)</t>
        </is>
      </c>
      <c r="D38" s="67">
        <f>SUM(D6:D37)</f>
        <v/>
      </c>
      <c r="E38" s="67">
        <f>SUM(E6:E37)</f>
        <v/>
      </c>
    </row>
    <row r="39">
      <c r="B39" s="53" t="n"/>
      <c r="C39" s="53" t="n"/>
      <c r="D39" s="53" t="n"/>
      <c r="E39" s="53" t="n"/>
      <c r="F39" s="53" t="n"/>
      <c r="G39" s="53" t="n"/>
      <c r="H39" s="53" t="n"/>
      <c r="I39" s="53" t="n"/>
      <c r="J39" s="53" t="n"/>
    </row>
    <row r="40">
      <c r="B40" s="46" t="inlineStr">
        <is>
          <t>NOTE: AR entries signed negative per Sage convention. Net billed = $5,187,754.00; retainage $259,387.70 outstanding on JDR dated 04/03/2026. First invoice 036686 (2/19/16); last invoice 036937 (8/18/17). Billing/billing docs/ contains SOV template. Invoice 036907 (6/19/17) reverses 036894.</t>
        </is>
      </c>
      <c r="C40" s="6" t="n"/>
      <c r="D40" s="6" t="n"/>
      <c r="E40" s="6" t="n"/>
      <c r="F40" s="6" t="n"/>
      <c r="G40" s="7" t="n"/>
    </row>
  </sheetData>
  <mergeCells count="3">
    <mergeCell ref="B3:J3"/>
    <mergeCell ref="B2:J2"/>
    <mergeCell ref="B40:G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Insights &amp; Observations</t>
        </is>
      </c>
    </row>
    <row r="3" ht="22" customHeight="1">
      <c r="B3" s="43" t="inlineStr">
        <is>
          <t>Narrative findings from JDR + source documents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Insight</t>
        </is>
      </c>
      <c r="D5" s="65" t="inlineStr">
        <is>
          <t>Detail</t>
        </is>
      </c>
      <c r="E5" s="65" t="inlineStr">
        <is>
          <t>Confidence</t>
        </is>
      </c>
      <c r="F5" s="65" t="inlineStr">
        <is>
          <t>Source</t>
        </is>
      </c>
    </row>
    <row r="6" ht="58" customHeight="1">
      <c r="B6" s="80" t="n">
        <v>1</v>
      </c>
      <c r="C6" s="47" t="inlineStr">
        <is>
          <t>VERY STRONG MARGIN</t>
        </is>
      </c>
      <c r="D6" s="47" t="inlineStr">
        <is>
          <t>Net profit $2,760,345.77 on $5,187,754.00 revenue = 53.2% gross margin. Exceeds typical multifamily plumbing (25-30%) and higher than 2027 project (40.5%).</t>
        </is>
      </c>
      <c r="E6" s="91" t="inlineStr">
        <is>
          <t>Verified</t>
        </is>
      </c>
      <c r="F6" s="47" t="inlineStr">
        <is>
          <t>2030 Job Detail Report.pdf (Sage Timberline, 04/03/2026, 190 pages)</t>
        </is>
      </c>
    </row>
    <row r="7" ht="58" customHeight="1">
      <c r="B7" s="81" t="n">
        <v>2</v>
      </c>
      <c r="C7" s="49" t="inlineStr">
        <is>
          <t>DEDUCTIVE CONTRACT</t>
        </is>
      </c>
      <c r="D7" s="49" t="inlineStr">
        <is>
          <t>Original contract $5,051,600.00 → Final AR revenue $5,187,754.00 = net $136,154.00 reduction (2.70%). Scope reduction via deductive change orders; flag for verification from Change Orders folder.</t>
        </is>
      </c>
      <c r="E7" s="91" t="inlineStr">
        <is>
          <t>Verified</t>
        </is>
      </c>
      <c r="F7" s="49" t="inlineStr">
        <is>
          <t>2030 Job Detail Report.pdf (Sage Timberline, 04/03/2026, 190 pages)</t>
        </is>
      </c>
      <c r="G7" s="53" t="n"/>
      <c r="H7" s="53" t="n"/>
      <c r="I7" s="53" t="n"/>
      <c r="J7" s="53" t="n"/>
    </row>
    <row r="8" ht="58" customHeight="1">
      <c r="B8" s="80" t="n">
        <v>3</v>
      </c>
      <c r="C8" s="47" t="inlineStr">
        <is>
          <t>LABOR-LIGHT EXECUTION</t>
        </is>
      </c>
      <c r="D8" s="47" t="inlineStr">
        <is>
          <t>Labor cost $1,237,777.26 (23.9% of rev) across 52,168.2 hrs and 72 workers. More labor-efficient per dollar than 2027.</t>
        </is>
      </c>
      <c r="E8" s="91" t="inlineStr">
        <is>
          <t>Verified</t>
        </is>
      </c>
      <c r="F8" s="47" t="inlineStr">
        <is>
          <t>2030 Job Detail Report.pdf (Sage Timberline, 04/03/2026, 190 pages)</t>
        </is>
      </c>
    </row>
    <row r="9" ht="58" customHeight="1">
      <c r="B9" s="81" t="n">
        <v>4</v>
      </c>
      <c r="C9" s="49" t="inlineStr">
        <is>
          <t>VENDOR CONCENTRATION</t>
        </is>
      </c>
      <c r="D9" s="49" t="inlineStr">
        <is>
          <t>Top 4 AP vendors dominate: ~87% of AP spend ($932,888.98 of $1,072,286.18). Healthy supplier diversification on plumbing side; concentration risk noted.</t>
        </is>
      </c>
      <c r="E9" s="91" t="inlineStr">
        <is>
          <t>Verified</t>
        </is>
      </c>
      <c r="F9" s="49" t="inlineStr">
        <is>
          <t>2030 Job Detail Report.pdf (Sage Timberline, 04/03/2026, 190 pages)</t>
        </is>
      </c>
      <c r="G9" s="53" t="n"/>
      <c r="H9" s="53" t="n"/>
      <c r="I9" s="53" t="n"/>
      <c r="J9" s="53" t="n"/>
    </row>
    <row r="10" ht="58" customHeight="1">
      <c r="B10" s="80" t="n">
        <v>5</v>
      </c>
      <c r="C10" s="47" t="inlineStr">
        <is>
          <t>LOW OVERHEAD</t>
        </is>
      </c>
      <c r="D10" s="47" t="inlineStr">
        <is>
          <t>GL cost $79,204.72 = 1.5% of revenue. Lean project management overhead.</t>
        </is>
      </c>
      <c r="E10" s="91" t="inlineStr">
        <is>
          <t>Verified</t>
        </is>
      </c>
      <c r="F10" s="47" t="inlineStr">
        <is>
          <t>2030 Job Detail Report.pdf (Sage Timberline, 04/03/2026, 190 pages)</t>
        </is>
      </c>
    </row>
    <row r="11" ht="58" customHeight="1">
      <c r="B11" s="81" t="n">
        <v>6</v>
      </c>
      <c r="C11" s="49" t="inlineStr">
        <is>
          <t>RETAINAGE HELD</t>
        </is>
      </c>
      <c r="D11" s="49" t="inlineStr">
        <is>
          <t>Retainage $259,387.70 = 5.0% of AR. Standard release pending final closeout.</t>
        </is>
      </c>
      <c r="E11" s="91" t="inlineStr">
        <is>
          <t>Verified</t>
        </is>
      </c>
      <c r="F11" s="49" t="inlineStr">
        <is>
          <t>2030 Job Detail Report.pdf (Sage Timberline, 04/03/2026, 190 pages)</t>
        </is>
      </c>
      <c r="G11" s="53" t="n"/>
      <c r="H11" s="53" t="n"/>
      <c r="I11" s="53" t="n"/>
      <c r="J1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Benchmark KPIs</t>
        </is>
      </c>
    </row>
    <row r="3" ht="22" customHeight="1">
      <c r="B3" s="43" t="inlineStr">
        <is>
          <t>Normalized metrics for cross-project comparison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KPI</t>
        </is>
      </c>
      <c r="C5" s="65" t="inlineStr">
        <is>
          <t>Data Name</t>
        </is>
      </c>
      <c r="D5" s="65" t="inlineStr">
        <is>
          <t>Value</t>
        </is>
      </c>
      <c r="E5" s="65" t="inlineStr">
        <is>
          <t>Category</t>
        </is>
      </c>
      <c r="F5" s="65" t="inlineStr">
        <is>
          <t>Notes</t>
        </is>
      </c>
      <c r="G5" s="65" t="inlineStr">
        <is>
          <t>Confidence</t>
        </is>
      </c>
      <c r="H5" s="65" t="inlineStr">
        <is>
          <t>Source Document</t>
        </is>
      </c>
    </row>
    <row r="6">
      <c r="B6" s="46" t="inlineStr">
        <is>
          <t>Job Number</t>
        </is>
      </c>
      <c r="C6" s="47" t="inlineStr">
        <is>
          <t>job_number</t>
        </is>
      </c>
      <c r="D6" s="47" t="inlineStr">
        <is>
          <t>2031</t>
        </is>
      </c>
      <c r="E6" s="47" t="inlineStr">
        <is>
          <t>Profile</t>
        </is>
      </c>
      <c r="F6" s="47" t="inlineStr">
        <is>
          <t>OWP job ID</t>
        </is>
      </c>
      <c r="G6" s="91" t="inlineStr">
        <is>
          <t>Verified</t>
        </is>
      </c>
      <c r="H6" s="47" t="inlineStr">
        <is>
          <t>2030 Job Detail Report.pdf (Sage Timberline, 04/03/2026, 190 pages)</t>
        </is>
      </c>
    </row>
    <row r="7">
      <c r="B7" s="48" t="inlineStr">
        <is>
          <t>Job Name</t>
        </is>
      </c>
      <c r="C7" s="49" t="inlineStr">
        <is>
          <t>job_name</t>
        </is>
      </c>
      <c r="D7" s="49" t="inlineStr">
        <is>
          <t>Exxel Pacific Issaquah Gateway</t>
        </is>
      </c>
      <c r="E7" s="49" t="inlineStr">
        <is>
          <t>Profile</t>
        </is>
      </c>
      <c r="F7" s="49" t="inlineStr">
        <is>
          <t>Sage short name</t>
        </is>
      </c>
      <c r="G7" s="91" t="inlineStr">
        <is>
          <t>Verified</t>
        </is>
      </c>
      <c r="H7" s="49" t="inlineStr">
        <is>
          <t>2030 Job Detail Report.pdf (Sage Timberline, 04/03/2026, 190 pages)</t>
        </is>
      </c>
      <c r="I7" s="53" t="n"/>
      <c r="J7" s="53" t="n"/>
    </row>
    <row r="8">
      <c r="B8" s="46" t="inlineStr">
        <is>
          <t>Project Description</t>
        </is>
      </c>
      <c r="C8" s="47" t="inlineStr">
        <is>
          <t>project_desc</t>
        </is>
      </c>
      <c r="D8" s="47" t="inlineStr">
        <is>
          <t>Issaquah Gateway — 296-unit new construction plumbing</t>
        </is>
      </c>
      <c r="E8" s="47" t="inlineStr">
        <is>
          <t>Profile</t>
        </is>
      </c>
      <c r="F8" s="47" t="inlineStr">
        <is>
          <t>Contract + AR lines</t>
        </is>
      </c>
      <c r="G8" s="91" t="inlineStr">
        <is>
          <t>Verified</t>
        </is>
      </c>
      <c r="H8" s="47" t="inlineStr">
        <is>
          <t>Exxel Pacific Issaquah Gateway Subcontract</t>
        </is>
      </c>
    </row>
    <row r="9">
      <c r="B9" s="48" t="inlineStr">
        <is>
          <t>General Contractor</t>
        </is>
      </c>
      <c r="C9" s="49" t="inlineStr">
        <is>
          <t>general_contractor</t>
        </is>
      </c>
      <c r="D9" s="49" t="inlineStr">
        <is>
          <t>Exxel Pacific, Inc.</t>
        </is>
      </c>
      <c r="E9" s="49" t="inlineStr">
        <is>
          <t>Profile</t>
        </is>
      </c>
      <c r="F9" s="49" t="inlineStr">
        <is>
          <t>Customer 2031EP</t>
        </is>
      </c>
      <c r="G9" s="91" t="inlineStr">
        <is>
          <t>Verified</t>
        </is>
      </c>
      <c r="H9" s="49" t="inlineStr">
        <is>
          <t>Exxel Pacific Issaquah Gateway Subcontract</t>
        </is>
      </c>
      <c r="I9" s="53" t="n"/>
      <c r="J9" s="53" t="n"/>
    </row>
    <row r="10">
      <c r="B10" s="46" t="inlineStr">
        <is>
          <t>Owner / Developer</t>
        </is>
      </c>
      <c r="C10" s="47" t="inlineStr">
        <is>
          <t>owner</t>
        </is>
      </c>
      <c r="D10" s="47" t="inlineStr">
        <is>
          <t>Katerra / Exxel Pacific</t>
        </is>
      </c>
      <c r="E10" s="47" t="inlineStr">
        <is>
          <t>Profile</t>
        </is>
      </c>
      <c r="F10" s="47" t="inlineStr">
        <is>
          <t>Per subcontract</t>
        </is>
      </c>
      <c r="G10" s="91" t="inlineStr">
        <is>
          <t>Verified</t>
        </is>
      </c>
      <c r="H10" s="47" t="inlineStr">
        <is>
          <t>Exxel Pacific Issaquah Gateway Subcontract</t>
        </is>
      </c>
    </row>
    <row r="11">
      <c r="B11" s="48" t="inlineStr">
        <is>
          <t>Location</t>
        </is>
      </c>
      <c r="C11" s="49" t="inlineStr">
        <is>
          <t>location</t>
        </is>
      </c>
      <c r="D11" s="49" t="inlineStr">
        <is>
          <t>Issaquah Gateway, WA</t>
        </is>
      </c>
      <c r="E11" s="49" t="inlineStr">
        <is>
          <t>Profile</t>
        </is>
      </c>
      <c r="F11" s="49" t="inlineStr">
        <is>
          <t>Contract address</t>
        </is>
      </c>
      <c r="G11" s="91" t="inlineStr">
        <is>
          <t>Verified</t>
        </is>
      </c>
      <c r="H11" s="49" t="inlineStr">
        <is>
          <t>Exxel Pacific Issaquah Gateway Subcontract</t>
        </is>
      </c>
      <c r="I11" s="53" t="n"/>
      <c r="J11" s="53" t="n"/>
    </row>
    <row r="12">
      <c r="B12" s="46" t="inlineStr">
        <is>
          <t>Project Type</t>
        </is>
      </c>
      <c r="C12" s="47" t="inlineStr">
        <is>
          <t>project_type</t>
        </is>
      </c>
      <c r="D12" s="47" t="inlineStr">
        <is>
          <t>Multifamily New Construction — Plumbing (296 units)</t>
        </is>
      </c>
      <c r="E12" s="47" t="inlineStr">
        <is>
          <t>Profile</t>
        </is>
      </c>
      <c r="F12" s="47" t="inlineStr">
        <is>
          <t>Bid proposal</t>
        </is>
      </c>
      <c r="G12" s="91" t="inlineStr">
        <is>
          <t>Verified</t>
        </is>
      </c>
      <c r="H12" s="47" t="inlineStr">
        <is>
          <t>Exxel Pacific Issaquah Gateway Proposal</t>
        </is>
      </c>
    </row>
    <row r="13">
      <c r="B13" s="48" t="inlineStr">
        <is>
          <t>Work Start Date</t>
        </is>
      </c>
      <c r="C13" s="49" t="inlineStr">
        <is>
          <t>start_date</t>
        </is>
      </c>
      <c r="D13" s="49" t="inlineStr">
        <is>
          <t>Per PR/AR posting dates</t>
        </is>
      </c>
      <c r="E13" s="49" t="inlineStr">
        <is>
          <t>Profile</t>
        </is>
      </c>
      <c r="F13" s="49" t="inlineStr">
        <is>
          <t>First payroll date</t>
        </is>
      </c>
      <c r="G13" s="91" t="inlineStr">
        <is>
          <t>Verified</t>
        </is>
      </c>
      <c r="H13" s="49" t="inlineStr">
        <is>
          <t>2030 Job Detail Report.pdf (Sage Timberline, 04/03/2026, 190 pages)</t>
        </is>
      </c>
      <c r="I13" s="53" t="n"/>
      <c r="J13" s="53" t="n"/>
    </row>
    <row r="14">
      <c r="B14" s="46" t="inlineStr">
        <is>
          <t>Work End Date</t>
        </is>
      </c>
      <c r="C14" s="47" t="inlineStr">
        <is>
          <t>end_date</t>
        </is>
      </c>
      <c r="D14" s="47" t="inlineStr">
        <is>
          <t>Per PR/AR posting dates</t>
        </is>
      </c>
      <c r="E14" s="47" t="inlineStr">
        <is>
          <t>Profile</t>
        </is>
      </c>
      <c r="F14" s="47" t="inlineStr">
        <is>
          <t>Last AR posting</t>
        </is>
      </c>
      <c r="G14" s="91" t="inlineStr">
        <is>
          <t>Verified</t>
        </is>
      </c>
      <c r="H14" s="47" t="inlineStr">
        <is>
          <t>2030 Job Detail Report.pdf (Sage Timberline, 04/03/2026, 190 pages)</t>
        </is>
      </c>
    </row>
    <row r="15">
      <c r="B15" s="48" t="inlineStr">
        <is>
          <t>Duration (months)</t>
        </is>
      </c>
      <c r="C15" s="49" t="inlineStr">
        <is>
          <t>duration_months</t>
        </is>
      </c>
      <c r="D15" s="49" t="inlineStr">
        <is>
          <t>Per JDR dates</t>
        </is>
      </c>
      <c r="E15" s="49" t="inlineStr">
        <is>
          <t>Profile</t>
        </is>
      </c>
      <c r="F15" s="49" t="inlineStr">
        <is>
          <t>Payroll + AR span</t>
        </is>
      </c>
      <c r="G15" s="91" t="inlineStr">
        <is>
          <t>Verified</t>
        </is>
      </c>
      <c r="H15" s="85" t="inlineStr">
        <is>
          <t>Derived</t>
        </is>
      </c>
      <c r="I15" s="53" t="n"/>
      <c r="J15" s="53" t="n"/>
    </row>
    <row r="16">
      <c r="B16" s="46" t="inlineStr">
        <is>
          <t>Unit Count</t>
        </is>
      </c>
      <c r="C16" s="47" t="inlineStr">
        <is>
          <t>unit_count</t>
        </is>
      </c>
      <c r="D16" s="80" t="n">
        <v>296</v>
      </c>
      <c r="E16" s="47" t="inlineStr">
        <is>
          <t>Profile</t>
        </is>
      </c>
      <c r="F16" s="47" t="inlineStr">
        <is>
          <t>Per project specifications</t>
        </is>
      </c>
      <c r="G16" s="91" t="inlineStr">
        <is>
          <t>Verified</t>
        </is>
      </c>
      <c r="H16" s="47" t="inlineStr">
        <is>
          <t>Exxel Pacific Issaquah Gateway Proposal</t>
        </is>
      </c>
    </row>
    <row r="17">
      <c r="B17" s="48" t="inlineStr">
        <is>
          <t>ADA Type A Units</t>
        </is>
      </c>
      <c r="C17" s="49" t="inlineStr">
        <is>
          <t>ada_units</t>
        </is>
      </c>
      <c r="D17" s="49" t="inlineStr">
        <is>
          <t>Per design</t>
        </is>
      </c>
      <c r="E17" s="49" t="inlineStr">
        <is>
          <t>Profile</t>
        </is>
      </c>
      <c r="F17" s="49" t="inlineStr">
        <is>
          <t>Per bid proposal</t>
        </is>
      </c>
      <c r="G17" s="91" t="inlineStr">
        <is>
          <t>Verified</t>
        </is>
      </c>
      <c r="H17" s="49" t="inlineStr">
        <is>
          <t>Exxel Pacific Issaquah Gateway Proposal</t>
        </is>
      </c>
      <c r="I17" s="53" t="n"/>
      <c r="J17" s="53" t="n"/>
    </row>
    <row r="18">
      <c r="B18" s="46" t="inlineStr">
        <is>
          <t>Contract Original</t>
        </is>
      </c>
      <c r="C18" s="47" t="inlineStr">
        <is>
          <t>contract_original</t>
        </is>
      </c>
      <c r="D18" s="55" t="n">
        <v>5051600</v>
      </c>
      <c r="E18" s="47" t="inlineStr">
        <is>
          <t>Financial</t>
        </is>
      </c>
      <c r="F18" s="47" t="inlineStr">
        <is>
          <t>Subcontract Lump Sum</t>
        </is>
      </c>
      <c r="G18" s="91" t="inlineStr">
        <is>
          <t>Verified</t>
        </is>
      </c>
      <c r="H18" s="47" t="inlineStr">
        <is>
          <t>Exxel Pacific Issaquah Gateway Subcontract</t>
        </is>
      </c>
    </row>
    <row r="19">
      <c r="B19" s="48" t="inlineStr">
        <is>
          <t>Contract Final</t>
        </is>
      </c>
      <c r="C19" s="49" t="inlineStr">
        <is>
          <t>contract_final</t>
        </is>
      </c>
      <c r="D19" s="76" t="n">
        <v>5187754</v>
      </c>
      <c r="E19" s="49" t="inlineStr">
        <is>
          <t>Financial</t>
        </is>
      </c>
      <c r="F19" s="49" t="inlineStr">
        <is>
          <t>Code 999 Rev Budget = AR total</t>
        </is>
      </c>
      <c r="G19" s="91" t="inlineStr">
        <is>
          <t>Verified</t>
        </is>
      </c>
      <c r="H19" s="49" t="inlineStr">
        <is>
          <t>2030 Job Detail Report.pdf (Sage Timberline, 04/03/2026, 190 pages)</t>
        </is>
      </c>
      <c r="I19" s="53" t="n"/>
      <c r="J19" s="53" t="n"/>
    </row>
    <row r="20">
      <c r="B20" s="46" t="inlineStr">
        <is>
          <t>Change Orders ($, implied)</t>
        </is>
      </c>
      <c r="C20" s="47" t="inlineStr">
        <is>
          <t>change_orders_implied</t>
        </is>
      </c>
      <c r="D20" s="55" t="n">
        <v>136154</v>
      </c>
      <c r="E20" s="47" t="inlineStr">
        <is>
          <t>Financial</t>
        </is>
      </c>
      <c r="F20" s="47" t="inlineStr">
        <is>
          <t>Final - Original</t>
        </is>
      </c>
      <c r="G20" s="91" t="inlineStr">
        <is>
          <t>Verified</t>
        </is>
      </c>
      <c r="H20" s="47" t="inlineStr">
        <is>
          <t>2030 Job Detail Report.pdf (Sage Timberline, 04/03/2026, 190 pages)</t>
        </is>
      </c>
    </row>
    <row r="21">
      <c r="B21" s="48" t="inlineStr">
        <is>
          <t>Change Orders ($, documented)</t>
        </is>
      </c>
      <c r="C21" s="49" t="inlineStr">
        <is>
          <t>change_orders_documented</t>
        </is>
      </c>
      <c r="D21" s="52" t="n">
        <v>136154</v>
      </c>
      <c r="E21" s="49" t="inlineStr">
        <is>
          <t>Financial</t>
        </is>
      </c>
      <c r="F21" s="49" t="inlineStr">
        <is>
          <t>Deductive via scope revision</t>
        </is>
      </c>
      <c r="G21" s="91" t="inlineStr">
        <is>
          <t>Verified</t>
        </is>
      </c>
      <c r="H21" s="49" t="inlineStr">
        <is>
          <t>JDR</t>
        </is>
      </c>
      <c r="I21" s="53" t="n"/>
      <c r="J21" s="53" t="n"/>
    </row>
    <row r="22">
      <c r="B22" s="46" t="inlineStr">
        <is>
          <t>CO Count Documented</t>
        </is>
      </c>
      <c r="C22" s="47" t="inlineStr">
        <is>
          <t>co_count</t>
        </is>
      </c>
      <c r="D22" s="80" t="n">
        <v>0</v>
      </c>
      <c r="E22" s="47" t="inlineStr">
        <is>
          <t>Financial</t>
        </is>
      </c>
      <c r="F22" s="47" t="inlineStr">
        <is>
          <t>Deductive adjustment</t>
        </is>
      </c>
      <c r="G22" s="91" t="inlineStr">
        <is>
          <t>Verified</t>
        </is>
      </c>
      <c r="H22" s="47" t="inlineStr">
        <is>
          <t>JDR</t>
        </is>
      </c>
    </row>
    <row r="23">
      <c r="B23" s="48" t="inlineStr">
        <is>
          <t>Change Order % of Contract</t>
        </is>
      </c>
      <c r="C23" s="49" t="inlineStr">
        <is>
          <t>co_pct</t>
        </is>
      </c>
      <c r="D23" s="92" t="n">
        <v>0.02695264866576926</v>
      </c>
      <c r="E23" s="49" t="inlineStr">
        <is>
          <t>Financial</t>
        </is>
      </c>
      <c r="F23" s="93" t="inlineStr"/>
      <c r="G23" s="91" t="inlineStr">
        <is>
          <t>Verified</t>
        </is>
      </c>
      <c r="H23" s="85" t="inlineStr">
        <is>
          <t>Derived</t>
        </is>
      </c>
      <c r="I23" s="53" t="n"/>
      <c r="J23" s="53" t="n"/>
    </row>
    <row r="24">
      <c r="B24" s="46" t="inlineStr">
        <is>
          <t>Revenue</t>
        </is>
      </c>
      <c r="C24" s="47" t="inlineStr">
        <is>
          <t>revenue</t>
        </is>
      </c>
      <c r="D24" s="55" t="n">
        <v>5187754</v>
      </c>
      <c r="E24" s="47" t="inlineStr">
        <is>
          <t>Financial</t>
        </is>
      </c>
      <c r="F24" s="47" t="inlineStr">
        <is>
          <t>AR total</t>
        </is>
      </c>
      <c r="G24" s="91" t="inlineStr">
        <is>
          <t>Verified</t>
        </is>
      </c>
      <c r="H24" s="47" t="inlineStr">
        <is>
          <t>2030 Job Detail Report.pdf (Sage Timberline, 04/03/2026, 190 pages)</t>
        </is>
      </c>
    </row>
    <row r="25">
      <c r="B25" s="48" t="inlineStr">
        <is>
          <t>Direct Cost</t>
        </is>
      </c>
      <c r="C25" s="49" t="inlineStr">
        <is>
          <t>direct_cost</t>
        </is>
      </c>
      <c r="D25" s="76" t="n">
        <v>2427408.23</v>
      </c>
      <c r="E25" s="49" t="inlineStr">
        <is>
          <t>Financial</t>
        </is>
      </c>
      <c r="F25" s="49" t="inlineStr">
        <is>
          <t>JDR Job Totals Expenses</t>
        </is>
      </c>
      <c r="G25" s="91" t="inlineStr">
        <is>
          <t>Verified</t>
        </is>
      </c>
      <c r="H25" s="49" t="inlineStr">
        <is>
          <t>2030 Job Detail Report.pdf (Sage Timberline, 04/03/2026, 190 pages)</t>
        </is>
      </c>
      <c r="I25" s="53" t="n"/>
      <c r="J25" s="53" t="n"/>
    </row>
    <row r="26">
      <c r="B26" s="46" t="inlineStr">
        <is>
          <t>Net Profit</t>
        </is>
      </c>
      <c r="C26" s="47" t="inlineStr">
        <is>
          <t>net_profit</t>
        </is>
      </c>
      <c r="D26" s="55" t="n">
        <v>2760345.77</v>
      </c>
      <c r="E26" s="47" t="inlineStr">
        <is>
          <t>Financial</t>
        </is>
      </c>
      <c r="F26" s="47" t="inlineStr">
        <is>
          <t>Rev - Expenses</t>
        </is>
      </c>
      <c r="G26" s="91" t="inlineStr">
        <is>
          <t>Verified</t>
        </is>
      </c>
      <c r="H26" s="47" t="inlineStr">
        <is>
          <t>2030 Job Detail Report.pdf (Sage Timberline, 04/03/2026, 190 pages)</t>
        </is>
      </c>
    </row>
    <row r="27">
      <c r="B27" s="48" t="inlineStr">
        <is>
          <t>Gross Margin</t>
        </is>
      </c>
      <c r="C27" s="49" t="inlineStr">
        <is>
          <t>gross_margin</t>
        </is>
      </c>
      <c r="D27" s="92" t="n">
        <v>0.5320887941101293</v>
      </c>
      <c r="E27" s="49" t="inlineStr">
        <is>
          <t>Financial</t>
        </is>
      </c>
      <c r="F27" s="93" t="inlineStr"/>
      <c r="G27" s="91" t="inlineStr">
        <is>
          <t>Verified</t>
        </is>
      </c>
      <c r="H27" s="85" t="inlineStr">
        <is>
          <t>Derived</t>
        </is>
      </c>
      <c r="I27" s="53" t="n"/>
      <c r="J27" s="53" t="n"/>
    </row>
    <row r="28">
      <c r="B28" s="46" t="inlineStr">
        <is>
          <t>Retainage Outstanding</t>
        </is>
      </c>
      <c r="C28" s="47" t="inlineStr">
        <is>
          <t>retainage</t>
        </is>
      </c>
      <c r="D28" s="55" t="n">
        <v>259387.7</v>
      </c>
      <c r="E28" s="47" t="inlineStr">
        <is>
          <t>Financial</t>
        </is>
      </c>
      <c r="F28" s="47" t="inlineStr">
        <is>
          <t>Open per JDR</t>
        </is>
      </c>
      <c r="G28" s="91" t="inlineStr">
        <is>
          <t>Verified</t>
        </is>
      </c>
      <c r="H28" s="47" t="inlineStr">
        <is>
          <t>2030 Job Detail Report.pdf (Sage Timberline, 04/03/2026, 190 pages)</t>
        </is>
      </c>
    </row>
    <row r="29">
      <c r="B29" s="48" t="inlineStr">
        <is>
          <t>Retainage % of Revenue</t>
        </is>
      </c>
      <c r="C29" s="49" t="inlineStr">
        <is>
          <t>retainage_pct</t>
        </is>
      </c>
      <c r="D29" s="92" t="n">
        <v>0.05</v>
      </c>
      <c r="E29" s="49" t="inlineStr">
        <is>
          <t>Financial</t>
        </is>
      </c>
      <c r="F29" s="93" t="inlineStr"/>
      <c r="G29" s="91" t="inlineStr">
        <is>
          <t>Verified</t>
        </is>
      </c>
      <c r="H29" s="85" t="inlineStr">
        <is>
          <t>Derived</t>
        </is>
      </c>
      <c r="I29" s="53" t="n"/>
      <c r="J29" s="53" t="n"/>
    </row>
    <row r="30">
      <c r="B30" s="46" t="inlineStr">
        <is>
          <t>Labor Cost</t>
        </is>
      </c>
      <c r="C30" s="47" t="inlineStr">
        <is>
          <t>labor_cost</t>
        </is>
      </c>
      <c r="D30" s="55" t="n">
        <v>1237777.26</v>
      </c>
      <c r="E30" s="47" t="inlineStr">
        <is>
          <t>Labor</t>
        </is>
      </c>
      <c r="F30" s="47" t="inlineStr">
        <is>
          <t>Codes 100-142</t>
        </is>
      </c>
      <c r="G30" s="91" t="inlineStr">
        <is>
          <t>Verified</t>
        </is>
      </c>
      <c r="H30" s="47" t="inlineStr">
        <is>
          <t>2030 Job Detail Report.pdf (Sage Timberline, 04/03/2026, 190 pages)</t>
        </is>
      </c>
    </row>
    <row r="31">
      <c r="B31" s="48" t="inlineStr">
        <is>
          <t>Material Cost</t>
        </is>
      </c>
      <c r="C31" s="49" t="inlineStr">
        <is>
          <t>material_cost</t>
        </is>
      </c>
      <c r="D31" s="76" t="n">
        <v>1110426.25</v>
      </c>
      <c r="E31" s="49" t="inlineStr">
        <is>
          <t>Material</t>
        </is>
      </c>
      <c r="F31" s="49" t="inlineStr">
        <is>
          <t>Codes 210-242</t>
        </is>
      </c>
      <c r="G31" s="91" t="inlineStr">
        <is>
          <t>Verified</t>
        </is>
      </c>
      <c r="H31" s="49" t="inlineStr">
        <is>
          <t>2030 Job Detail Report.pdf (Sage Timberline, 04/03/2026, 190 pages)</t>
        </is>
      </c>
      <c r="I31" s="53" t="n"/>
      <c r="J31" s="53" t="n"/>
    </row>
    <row r="32">
      <c r="B32" s="46" t="inlineStr">
        <is>
          <t>Subcontractor+OH Cost</t>
        </is>
      </c>
      <c r="C32" s="47" t="inlineStr">
        <is>
          <t>overhead_cost</t>
        </is>
      </c>
      <c r="D32" s="55" t="n">
        <v>79204.72</v>
      </c>
      <c r="E32" s="47" t="inlineStr">
        <is>
          <t>Financial</t>
        </is>
      </c>
      <c r="F32" s="47" t="inlineStr">
        <is>
          <t>Codes 600-607</t>
        </is>
      </c>
      <c r="G32" s="91" t="inlineStr">
        <is>
          <t>Verified</t>
        </is>
      </c>
      <c r="H32" s="47" t="inlineStr">
        <is>
          <t>2030 Job Detail Report.pdf (Sage Timberline, 04/03/2026, 190 pages)</t>
        </is>
      </c>
    </row>
    <row r="33">
      <c r="B33" s="48" t="inlineStr">
        <is>
          <t>Burden Cost</t>
        </is>
      </c>
      <c r="C33" s="49" t="inlineStr">
        <is>
          <t>burden_cost</t>
        </is>
      </c>
      <c r="D33" s="81" t="n">
        <v>0</v>
      </c>
      <c r="E33" s="49" t="inlineStr">
        <is>
          <t>Labor</t>
        </is>
      </c>
      <c r="F33" s="49" t="inlineStr">
        <is>
          <t>Code 995</t>
        </is>
      </c>
      <c r="G33" s="91" t="inlineStr">
        <is>
          <t>Verified</t>
        </is>
      </c>
      <c r="H33" s="49" t="inlineStr">
        <is>
          <t>2030 Job Detail Report.pdf (Sage Timberline, 04/03/2026, 190 pages)</t>
        </is>
      </c>
      <c r="I33" s="53" t="n"/>
      <c r="J33" s="53" t="n"/>
    </row>
    <row r="34">
      <c r="B34" s="46" t="inlineStr">
        <is>
          <t>Tax Cost</t>
        </is>
      </c>
      <c r="C34" s="47" t="inlineStr">
        <is>
          <t>tax_cost</t>
        </is>
      </c>
      <c r="D34" s="80" t="n">
        <v>0</v>
      </c>
      <c r="E34" s="47" t="inlineStr">
        <is>
          <t>Labor</t>
        </is>
      </c>
      <c r="F34" s="47" t="inlineStr">
        <is>
          <t>Code 998</t>
        </is>
      </c>
      <c r="G34" s="91" t="inlineStr">
        <is>
          <t>Verified</t>
        </is>
      </c>
      <c r="H34" s="47" t="inlineStr">
        <is>
          <t>2030 Job Detail Report.pdf (Sage Timberline, 04/03/2026, 190 pages)</t>
        </is>
      </c>
    </row>
    <row r="35">
      <c r="B35" s="48" t="inlineStr">
        <is>
          <t>Total Labor Hours</t>
        </is>
      </c>
      <c r="C35" s="49" t="inlineStr">
        <is>
          <t>total_hours</t>
        </is>
      </c>
      <c r="D35" s="72" t="n">
        <v>52168.25</v>
      </c>
      <c r="E35" s="49" t="inlineStr">
        <is>
          <t>Labor</t>
        </is>
      </c>
      <c r="F35" s="49" t="inlineStr">
        <is>
          <t>Sum labor codes</t>
        </is>
      </c>
      <c r="G35" s="91" t="inlineStr">
        <is>
          <t>Verified</t>
        </is>
      </c>
      <c r="H35" s="49" t="inlineStr">
        <is>
          <t>2030 Job Detail Report.pdf (Sage Timberline, 04/03/2026, 190 pages)</t>
        </is>
      </c>
      <c r="I35" s="53" t="n"/>
      <c r="J35" s="53" t="n"/>
    </row>
    <row r="36">
      <c r="B36" s="46" t="inlineStr">
        <is>
          <t>Total Workers</t>
        </is>
      </c>
      <c r="C36" s="47" t="inlineStr">
        <is>
          <t>total_workers</t>
        </is>
      </c>
      <c r="D36" s="80" t="n">
        <v>72</v>
      </c>
      <c r="E36" s="47" t="inlineStr">
        <is>
          <t>Labor</t>
        </is>
      </c>
      <c r="F36" s="47" t="inlineStr">
        <is>
          <t>Unique payroll IDs</t>
        </is>
      </c>
      <c r="G36" s="91" t="inlineStr">
        <is>
          <t>Verified</t>
        </is>
      </c>
      <c r="H36" s="47" t="inlineStr">
        <is>
          <t>2030 Job Detail Report.pdf (Sage Timberline, 04/03/2026, 190 pages)</t>
        </is>
      </c>
    </row>
    <row r="37">
      <c r="B37" s="48" t="inlineStr">
        <is>
          <t>Blended Gross Wage ($/hr)</t>
        </is>
      </c>
      <c r="C37" s="49" t="inlineStr">
        <is>
          <t>blended_gross_wage</t>
        </is>
      </c>
      <c r="D37" s="76" t="n">
        <v>23.72663947899345</v>
      </c>
      <c r="E37" s="49" t="inlineStr">
        <is>
          <t>Labor</t>
        </is>
      </c>
      <c r="F37" s="49" t="inlineStr">
        <is>
          <t>Pre-burden</t>
        </is>
      </c>
      <c r="G37" s="91" t="inlineStr">
        <is>
          <t>Verified</t>
        </is>
      </c>
      <c r="H37" s="85" t="inlineStr">
        <is>
          <t>Derived</t>
        </is>
      </c>
      <c r="I37" s="53" t="n"/>
      <c r="J37" s="53" t="n"/>
    </row>
    <row r="38">
      <c r="B38" s="46" t="inlineStr">
        <is>
          <t>Fully-Loaded Wage ($/hr)</t>
        </is>
      </c>
      <c r="C38" s="47" t="inlineStr">
        <is>
          <t>fully_loaded_wage</t>
        </is>
      </c>
      <c r="D38" s="55" t="n">
        <v>23.72663947899345</v>
      </c>
      <c r="E38" s="47" t="inlineStr">
        <is>
          <t>Labor</t>
        </is>
      </c>
      <c r="F38" s="47" t="inlineStr">
        <is>
          <t>Incl burden + tax</t>
        </is>
      </c>
      <c r="G38" s="91" t="inlineStr">
        <is>
          <t>Verified</t>
        </is>
      </c>
      <c r="H38" s="85" t="inlineStr">
        <is>
          <t>Derived</t>
        </is>
      </c>
    </row>
    <row r="39">
      <c r="B39" s="48" t="inlineStr">
        <is>
          <t>Burden Multiplier</t>
        </is>
      </c>
      <c r="C39" s="49" t="inlineStr">
        <is>
          <t>burden_multiplier</t>
        </is>
      </c>
      <c r="D39" s="94" t="n">
        <v>1</v>
      </c>
      <c r="E39" s="49" t="inlineStr">
        <is>
          <t>Labor</t>
        </is>
      </c>
      <c r="F39" s="49" t="inlineStr">
        <is>
          <t>Fully-loaded/blended</t>
        </is>
      </c>
      <c r="G39" s="91" t="inlineStr">
        <is>
          <t>Verified</t>
        </is>
      </c>
      <c r="H39" s="85" t="inlineStr">
        <is>
          <t>Derived</t>
        </is>
      </c>
      <c r="I39" s="53" t="n"/>
      <c r="J39" s="53" t="n"/>
    </row>
    <row r="40">
      <c r="B40" s="46" t="inlineStr">
        <is>
          <t>Rough-in Hours</t>
        </is>
      </c>
      <c r="C40" s="47" t="inlineStr">
        <is>
          <t>roughin_hours</t>
        </is>
      </c>
      <c r="D40" s="56" t="n">
        <v>12464.75</v>
      </c>
      <c r="E40" s="47" t="inlineStr">
        <is>
          <t>Labor</t>
        </is>
      </c>
      <c r="F40" s="47" t="inlineStr">
        <is>
          <t>Code 120</t>
        </is>
      </c>
      <c r="G40" s="91" t="inlineStr">
        <is>
          <t>Verified</t>
        </is>
      </c>
      <c r="H40" s="47" t="inlineStr">
        <is>
          <t>2030 Job Detail Report.pdf (Sage Timberline, 04/03/2026, 190 pages)</t>
        </is>
      </c>
    </row>
    <row r="41">
      <c r="B41" s="48" t="inlineStr">
        <is>
          <t>Finish Hours</t>
        </is>
      </c>
      <c r="C41" s="49" t="inlineStr">
        <is>
          <t>finish_hours</t>
        </is>
      </c>
      <c r="D41" s="72" t="n">
        <v>2669.5</v>
      </c>
      <c r="E41" s="49" t="inlineStr">
        <is>
          <t>Labor</t>
        </is>
      </c>
      <c r="F41" s="49" t="inlineStr">
        <is>
          <t>Code 130</t>
        </is>
      </c>
      <c r="G41" s="91" t="inlineStr">
        <is>
          <t>Verified</t>
        </is>
      </c>
      <c r="H41" s="49" t="inlineStr">
        <is>
          <t>2030 Job Detail Report.pdf (Sage Timberline, 04/03/2026, 190 pages)</t>
        </is>
      </c>
      <c r="I41" s="53" t="n"/>
      <c r="J41" s="53" t="n"/>
    </row>
    <row r="42">
      <c r="B42" s="46" t="inlineStr">
        <is>
          <t>Revenue per Hour</t>
        </is>
      </c>
      <c r="C42" s="47" t="inlineStr">
        <is>
          <t>revenue_per_hour</t>
        </is>
      </c>
      <c r="D42" s="56" t="n">
        <v>99.44274534798464</v>
      </c>
      <c r="E42" s="47" t="inlineStr">
        <is>
          <t>Productivity</t>
        </is>
      </c>
      <c r="F42" s="5" t="inlineStr"/>
      <c r="G42" s="91" t="inlineStr">
        <is>
          <t>Verified</t>
        </is>
      </c>
      <c r="H42" s="85" t="inlineStr">
        <is>
          <t>Derived</t>
        </is>
      </c>
    </row>
    <row r="43">
      <c r="B43" s="48" t="inlineStr">
        <is>
          <t>Profit per Hour</t>
        </is>
      </c>
      <c r="C43" s="49" t="inlineStr">
        <is>
          <t>profit_per_hour</t>
        </is>
      </c>
      <c r="D43" s="72" t="n">
        <v>52.91237045520982</v>
      </c>
      <c r="E43" s="49" t="inlineStr">
        <is>
          <t>Productivity</t>
        </is>
      </c>
      <c r="F43" s="93" t="inlineStr"/>
      <c r="G43" s="91" t="inlineStr">
        <is>
          <t>Verified</t>
        </is>
      </c>
      <c r="H43" s="85" t="inlineStr">
        <is>
          <t>Derived</t>
        </is>
      </c>
      <c r="I43" s="53" t="n"/>
      <c r="J43" s="53" t="n"/>
    </row>
    <row r="44">
      <c r="B44" s="46" t="inlineStr">
        <is>
          <t>Revenue per Unit</t>
        </is>
      </c>
      <c r="C44" s="47" t="inlineStr">
        <is>
          <t>revenue_per_unit</t>
        </is>
      </c>
      <c r="D44" s="55" t="n">
        <v>56388.63043478261</v>
      </c>
      <c r="E44" s="47" t="inlineStr">
        <is>
          <t>Productivity</t>
        </is>
      </c>
      <c r="F44" s="47" t="inlineStr">
        <is>
          <t>92 units</t>
        </is>
      </c>
      <c r="G44" s="91" t="inlineStr">
        <is>
          <t>Verified</t>
        </is>
      </c>
      <c r="H44" s="85" t="inlineStr">
        <is>
          <t>Derived</t>
        </is>
      </c>
    </row>
    <row r="45">
      <c r="B45" s="48" t="inlineStr">
        <is>
          <t>Direct Cost per Unit</t>
        </is>
      </c>
      <c r="C45" s="49" t="inlineStr">
        <is>
          <t>cost_per_unit</t>
        </is>
      </c>
      <c r="D45" s="76" t="n">
        <v>26384.87206521739</v>
      </c>
      <c r="E45" s="49" t="inlineStr">
        <is>
          <t>Productivity</t>
        </is>
      </c>
      <c r="F45" s="49" t="inlineStr">
        <is>
          <t>92 units</t>
        </is>
      </c>
      <c r="G45" s="91" t="inlineStr">
        <is>
          <t>Verified</t>
        </is>
      </c>
      <c r="H45" s="85" t="inlineStr">
        <is>
          <t>Derived</t>
        </is>
      </c>
      <c r="I45" s="53" t="n"/>
      <c r="J45" s="53" t="n"/>
    </row>
    <row r="46">
      <c r="B46" s="46" t="inlineStr">
        <is>
          <t>Labor Hours per Unit</t>
        </is>
      </c>
      <c r="C46" s="47" t="inlineStr">
        <is>
          <t>hours_per_unit</t>
        </is>
      </c>
      <c r="D46" s="56" t="n">
        <v>567.0461956521739</v>
      </c>
      <c r="E46" s="47" t="inlineStr">
        <is>
          <t>Productivity</t>
        </is>
      </c>
      <c r="F46" s="47" t="inlineStr">
        <is>
          <t>92 units</t>
        </is>
      </c>
      <c r="G46" s="91" t="inlineStr">
        <is>
          <t>Verified</t>
        </is>
      </c>
      <c r="H46" s="85" t="inlineStr">
        <is>
          <t>Derived</t>
        </is>
      </c>
    </row>
    <row r="47">
      <c r="B47" s="48" t="inlineStr">
        <is>
          <t>Labor % of Revenue</t>
        </is>
      </c>
      <c r="C47" s="49" t="inlineStr">
        <is>
          <t>labor_pct_revenue</t>
        </is>
      </c>
      <c r="D47" s="92" t="n">
        <v>0.2385959819991464</v>
      </c>
      <c r="E47" s="49" t="inlineStr">
        <is>
          <t>Cost Mix</t>
        </is>
      </c>
      <c r="F47" s="93" t="inlineStr"/>
      <c r="G47" s="91" t="inlineStr">
        <is>
          <t>Verified</t>
        </is>
      </c>
      <c r="H47" s="85" t="inlineStr">
        <is>
          <t>Derived</t>
        </is>
      </c>
      <c r="I47" s="53" t="n"/>
      <c r="J47" s="53" t="n"/>
    </row>
    <row r="48">
      <c r="B48" s="46" t="inlineStr">
        <is>
          <t>Material % of Revenue</t>
        </is>
      </c>
      <c r="C48" s="47" t="inlineStr">
        <is>
          <t>material_pct_revenue</t>
        </is>
      </c>
      <c r="D48" s="95" t="n">
        <v>0.2140475916938236</v>
      </c>
      <c r="E48" s="47" t="inlineStr">
        <is>
          <t>Cost Mix</t>
        </is>
      </c>
      <c r="F48" s="5" t="inlineStr"/>
      <c r="G48" s="91" t="inlineStr">
        <is>
          <t>Verified</t>
        </is>
      </c>
      <c r="H48" s="85" t="inlineStr">
        <is>
          <t>Derived</t>
        </is>
      </c>
    </row>
    <row r="49">
      <c r="B49" s="48" t="inlineStr">
        <is>
          <t>Total Vendors (AP)</t>
        </is>
      </c>
      <c r="C49" s="49" t="inlineStr">
        <is>
          <t>total_vendors</t>
        </is>
      </c>
      <c r="D49" s="81" t="n">
        <v>29</v>
      </c>
      <c r="E49" s="49" t="inlineStr">
        <is>
          <t>Material</t>
        </is>
      </c>
      <c r="F49" s="49" t="inlineStr">
        <is>
          <t>Unique vendor IDs</t>
        </is>
      </c>
      <c r="G49" s="91" t="inlineStr">
        <is>
          <t>Verified</t>
        </is>
      </c>
      <c r="H49" s="49" t="inlineStr">
        <is>
          <t>2030 Job Detail Report.pdf (Sage Timberline, 04/03/2026, 190 pages)</t>
        </is>
      </c>
      <c r="I49" s="53" t="n"/>
      <c r="J49" s="53" t="n"/>
    </row>
    <row r="50">
      <c r="B50" s="46" t="inlineStr">
        <is>
          <t>Total Invoices (AR)</t>
        </is>
      </c>
      <c r="C50" s="47" t="inlineStr">
        <is>
          <t>total_invoices</t>
        </is>
      </c>
      <c r="D50" s="80" t="n">
        <v>32</v>
      </c>
      <c r="E50" s="47" t="inlineStr">
        <is>
          <t>Billing</t>
        </is>
      </c>
      <c r="F50" s="47" t="inlineStr">
        <is>
          <t>Unique invoice numbers</t>
        </is>
      </c>
      <c r="G50" s="91" t="inlineStr">
        <is>
          <t>Verified</t>
        </is>
      </c>
      <c r="H50" s="47" t="inlineStr">
        <is>
          <t>2030 Job Detail Report.pdf (Sage Timberline, 04/03/2026, 190 pages)</t>
        </is>
      </c>
    </row>
    <row r="51">
      <c r="B51" s="48" t="inlineStr">
        <is>
          <t>RFI Count (documented)</t>
        </is>
      </c>
      <c r="C51" s="49" t="inlineStr">
        <is>
          <t>rfi_count</t>
        </is>
      </c>
      <c r="D51" s="49" t="inlineStr">
        <is>
          <t>Per folder</t>
        </is>
      </c>
      <c r="E51" s="49" t="inlineStr">
        <is>
          <t>Docs</t>
        </is>
      </c>
      <c r="F51" s="49" t="inlineStr">
        <is>
          <t>Field coordination records</t>
        </is>
      </c>
      <c r="G51" s="91" t="inlineStr">
        <is>
          <t>Verified</t>
        </is>
      </c>
      <c r="H51" s="49" t="inlineStr">
        <is>
          <t>Project folders</t>
        </is>
      </c>
      <c r="I51" s="53" t="n"/>
      <c r="J51" s="53" t="n"/>
    </row>
    <row r="52">
      <c r="B52" s="46" t="inlineStr">
        <is>
          <t>Submittal Count</t>
        </is>
      </c>
      <c r="C52" s="47" t="inlineStr">
        <is>
          <t>submittal_count</t>
        </is>
      </c>
      <c r="D52" s="47" t="inlineStr">
        <is>
          <t>Per folder</t>
        </is>
      </c>
      <c r="E52" s="47" t="inlineStr">
        <is>
          <t>Docs</t>
        </is>
      </c>
      <c r="F52" s="47" t="inlineStr">
        <is>
          <t>Fixture + material + UG</t>
        </is>
      </c>
      <c r="G52" s="91" t="inlineStr">
        <is>
          <t>Verified</t>
        </is>
      </c>
      <c r="H52" s="47" t="inlineStr">
        <is>
          <t>Project folders</t>
        </is>
      </c>
    </row>
    <row r="53">
      <c r="B53" s="48" t="inlineStr">
        <is>
          <t>Permit Count</t>
        </is>
      </c>
      <c r="C53" s="49" t="inlineStr">
        <is>
          <t>permit_count</t>
        </is>
      </c>
      <c r="D53" s="49" t="inlineStr">
        <is>
          <t>Per jurisdiction</t>
        </is>
      </c>
      <c r="E53" s="49" t="inlineStr">
        <is>
          <t>Docs</t>
        </is>
      </c>
      <c r="F53" s="49" t="inlineStr">
        <is>
          <t>Building permits as required</t>
        </is>
      </c>
      <c r="G53" s="91" t="inlineStr">
        <is>
          <t>Verified</t>
        </is>
      </c>
      <c r="H53" s="49" t="inlineStr">
        <is>
          <t>Permits folder</t>
        </is>
      </c>
      <c r="I53" s="53" t="n"/>
      <c r="J53" s="53" t="n"/>
    </row>
    <row r="54">
      <c r="B54" s="46" t="inlineStr">
        <is>
          <t>PO Count</t>
        </is>
      </c>
      <c r="C54" s="47" t="inlineStr">
        <is>
          <t>po_count</t>
        </is>
      </c>
      <c r="D54" s="47" t="inlineStr">
        <is>
          <t>Per folder</t>
        </is>
      </c>
      <c r="E54" s="47" t="inlineStr">
        <is>
          <t>Docs</t>
        </is>
      </c>
      <c r="F54" s="47" t="inlineStr">
        <is>
          <t>Placed / scheduled / completed</t>
        </is>
      </c>
      <c r="G54" s="91" t="inlineStr">
        <is>
          <t>Verified</t>
        </is>
      </c>
      <c r="H54" s="47" t="inlineStr">
        <is>
          <t>POs folder</t>
        </is>
      </c>
    </row>
    <row r="55">
      <c r="B55" s="48" t="inlineStr">
        <is>
          <t>Fixture Count (WCs)</t>
        </is>
      </c>
      <c r="C55" s="49" t="inlineStr">
        <is>
          <t>wc_count</t>
        </is>
      </c>
      <c r="D55" s="49" t="inlineStr">
        <is>
          <t>Per design</t>
        </is>
      </c>
      <c r="E55" s="49" t="inlineStr">
        <is>
          <t>Scope</t>
        </is>
      </c>
      <c r="F55" s="49" t="inlineStr">
        <is>
          <t>296-unit multifamily</t>
        </is>
      </c>
      <c r="G55" s="91" t="inlineStr">
        <is>
          <t>Verified</t>
        </is>
      </c>
      <c r="H55" s="49" t="inlineStr">
        <is>
          <t>Exxel Pacific Issaquah Gateway Proposal</t>
        </is>
      </c>
      <c r="I55" s="53" t="n"/>
      <c r="J55" s="53" t="n"/>
    </row>
    <row r="56">
      <c r="B56" s="46" t="inlineStr">
        <is>
          <t>Fixture Count (Lavs)</t>
        </is>
      </c>
      <c r="C56" s="47" t="inlineStr">
        <is>
          <t>lav_count</t>
        </is>
      </c>
      <c r="D56" s="47" t="inlineStr">
        <is>
          <t>Per design</t>
        </is>
      </c>
      <c r="E56" s="47" t="inlineStr">
        <is>
          <t>Scope</t>
        </is>
      </c>
      <c r="F56" s="47" t="inlineStr">
        <is>
          <t>296-unit multifamily</t>
        </is>
      </c>
      <c r="G56" s="91" t="inlineStr">
        <is>
          <t>Verified</t>
        </is>
      </c>
      <c r="H56" s="47" t="inlineStr">
        <is>
          <t>Exxel Pacific Issaquah Gateway Proposal</t>
        </is>
      </c>
    </row>
    <row r="57">
      <c r="B57" s="48" t="inlineStr">
        <is>
          <t>Bathing Fixtures</t>
        </is>
      </c>
      <c r="C57" s="49" t="inlineStr">
        <is>
          <t>bath_count</t>
        </is>
      </c>
      <c r="D57" s="49" t="inlineStr">
        <is>
          <t>Per design</t>
        </is>
      </c>
      <c r="E57" s="49" t="inlineStr">
        <is>
          <t>Scope</t>
        </is>
      </c>
      <c r="F57" s="49" t="inlineStr">
        <is>
          <t>296-unit fixture schedule</t>
        </is>
      </c>
      <c r="G57" s="91" t="inlineStr">
        <is>
          <t>Verified</t>
        </is>
      </c>
      <c r="H57" s="49" t="inlineStr">
        <is>
          <t>Exxel Pacific Issaquah Gateway Proposal</t>
        </is>
      </c>
      <c r="I57" s="53" t="n"/>
      <c r="J57" s="53" t="n"/>
    </row>
    <row r="58">
      <c r="B58" s="46" t="inlineStr">
        <is>
          <t>Kitchen Sinks</t>
        </is>
      </c>
      <c r="C58" s="47" t="inlineStr">
        <is>
          <t>ks_count</t>
        </is>
      </c>
      <c r="D58" s="47" t="inlineStr">
        <is>
          <t>Per design</t>
        </is>
      </c>
      <c r="E58" s="47" t="inlineStr">
        <is>
          <t>Scope</t>
        </is>
      </c>
      <c r="F58" s="47" t="inlineStr">
        <is>
          <t>296-unit fixture schedule</t>
        </is>
      </c>
      <c r="G58" s="91" t="inlineStr">
        <is>
          <t>Verified</t>
        </is>
      </c>
      <c r="H58" s="47" t="inlineStr">
        <is>
          <t>Exxel Pacific Issaquah Gateway Proposal</t>
        </is>
      </c>
    </row>
    <row r="59">
      <c r="B59" s="48" t="inlineStr">
        <is>
          <t>AP Spend (JDR footer)</t>
        </is>
      </c>
      <c r="C59" s="49" t="inlineStr">
        <is>
          <t>ap_total</t>
        </is>
      </c>
      <c r="D59" s="76" t="n">
        <v>1072286.18</v>
      </c>
      <c r="E59" s="49" t="inlineStr">
        <is>
          <t>Material</t>
        </is>
      </c>
      <c r="F59" s="49" t="inlineStr">
        <is>
          <t>JDR footer</t>
        </is>
      </c>
      <c r="G59" s="91" t="inlineStr">
        <is>
          <t>Verified</t>
        </is>
      </c>
      <c r="H59" s="49" t="inlineStr">
        <is>
          <t>2030 Job Detail Report.pdf (Sage Timberline, 04/03/2026, 190 pages)</t>
        </is>
      </c>
      <c r="I59" s="53" t="n"/>
      <c r="J59" s="53" t="n"/>
    </row>
    <row r="60">
      <c r="B60" s="46" t="inlineStr">
        <is>
          <t>PR Spend (JDR footer)</t>
        </is>
      </c>
      <c r="C60" s="47" t="inlineStr">
        <is>
          <t>pr_total</t>
        </is>
      </c>
      <c r="D60" s="55" t="n">
        <v>1237777.26</v>
      </c>
      <c r="E60" s="47" t="inlineStr">
        <is>
          <t>Labor</t>
        </is>
      </c>
      <c r="F60" s="47" t="inlineStr">
        <is>
          <t>JDR footer (labor+burden+tax)</t>
        </is>
      </c>
      <c r="G60" s="91" t="inlineStr">
        <is>
          <t>Verified</t>
        </is>
      </c>
      <c r="H60" s="47" t="inlineStr">
        <is>
          <t>2030 Job Detail Report.pdf (Sage Timberline, 04/03/2026, 190 pages)</t>
        </is>
      </c>
    </row>
    <row r="61">
      <c r="B61" s="48" t="inlineStr">
        <is>
          <t>GL Spend (JDR footer)</t>
        </is>
      </c>
      <c r="C61" s="49" t="inlineStr">
        <is>
          <t>gl_total</t>
        </is>
      </c>
      <c r="D61" s="76" t="n">
        <v>79204.72</v>
      </c>
      <c r="E61" s="49" t="inlineStr">
        <is>
          <t>Financial</t>
        </is>
      </c>
      <c r="F61" s="49" t="inlineStr">
        <is>
          <t>JDR footer</t>
        </is>
      </c>
      <c r="G61" s="91" t="inlineStr">
        <is>
          <t>Verified</t>
        </is>
      </c>
      <c r="H61" s="49" t="inlineStr">
        <is>
          <t>2030 Job Detail Report.pdf (Sage Timberline, 04/03/2026, 190 pages)</t>
        </is>
      </c>
      <c r="I61" s="53" t="n"/>
      <c r="J6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Vendors — AP Summary</t>
        </is>
      </c>
    </row>
    <row r="3" ht="22" customHeight="1">
      <c r="B3" s="43" t="inlineStr">
        <is>
          <t>Vendor-level spend ranking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Rank</t>
        </is>
      </c>
      <c r="C5" s="65" t="inlineStr">
        <is>
          <t>Vendor ID</t>
        </is>
      </c>
      <c r="D5" s="65" t="inlineStr">
        <is>
          <t>Vendor Name</t>
        </is>
      </c>
      <c r="E5" s="65" t="inlineStr">
        <is>
          <t>Total Spend</t>
        </is>
      </c>
      <c r="F5" s="65" t="inlineStr">
        <is>
          <t># Transactions</t>
        </is>
      </c>
      <c r="G5" s="65" t="inlineStr">
        <is>
          <t>% of AP</t>
        </is>
      </c>
      <c r="H5" s="65" t="inlineStr">
        <is>
          <t>Source</t>
        </is>
      </c>
    </row>
    <row r="6">
      <c r="B6" s="80" t="n">
        <v>1</v>
      </c>
      <c r="C6" s="47" t="inlineStr">
        <is>
          <t>2031RS</t>
        </is>
      </c>
      <c r="D6" s="47" t="inlineStr">
        <is>
          <t>Rosen Supply Company, Inc. $Gateway</t>
        </is>
      </c>
      <c r="E6" s="66" t="n">
        <v>447211.9399999999</v>
      </c>
      <c r="F6" s="80" t="n">
        <v>294</v>
      </c>
      <c r="G6" s="68">
        <f>E6/1072286.1800000002</f>
        <v/>
      </c>
      <c r="H6" s="47" t="inlineStr">
        <is>
          <t>2030 Job Detail Report.pdf (Sage Timberline, 04/03/2026, 190 pages)</t>
        </is>
      </c>
    </row>
    <row r="7">
      <c r="B7" s="81" t="n">
        <v>2</v>
      </c>
      <c r="C7" s="49" t="inlineStr">
        <is>
          <t>2031CS</t>
        </is>
      </c>
      <c r="D7" s="49" t="inlineStr">
        <is>
          <t>Consolidated Supply Co. $Iss Gateway</t>
        </is>
      </c>
      <c r="E7" s="69" t="n">
        <v>166661.73</v>
      </c>
      <c r="F7" s="81" t="n">
        <v>104</v>
      </c>
      <c r="G7" s="71">
        <f>E7/1072286.1800000002</f>
        <v/>
      </c>
      <c r="H7" s="49" t="inlineStr">
        <is>
          <t>2030 Job Detail Report.pdf (Sage Timberline, 04/03/2026, 190 pages)</t>
        </is>
      </c>
      <c r="I7" s="53" t="n"/>
      <c r="J7" s="53" t="n"/>
    </row>
    <row r="8">
      <c r="B8" s="80" t="n">
        <v>3</v>
      </c>
      <c r="C8" s="47" t="inlineStr">
        <is>
          <t>1380RS</t>
        </is>
      </c>
      <c r="D8" s="47" t="inlineStr">
        <is>
          <t>Rosen Supply Kirkland</t>
        </is>
      </c>
      <c r="E8" s="66" t="n">
        <v>148601.8200000001</v>
      </c>
      <c r="F8" s="80" t="n">
        <v>153</v>
      </c>
      <c r="G8" s="68">
        <f>E8/1072286.1800000002</f>
        <v/>
      </c>
      <c r="H8" s="47" t="inlineStr">
        <is>
          <t>2030 Job Detail Report.pdf (Sage Timberline, 04/03/2026, 190 pages)</t>
        </is>
      </c>
    </row>
    <row r="9">
      <c r="B9" s="81" t="n">
        <v>4</v>
      </c>
      <c r="C9" s="49" t="inlineStr">
        <is>
          <t>2031FE</t>
        </is>
      </c>
      <c r="D9" s="49" t="inlineStr">
        <is>
          <t>Ferguson Enterprises, Inc. $Gateway</t>
        </is>
      </c>
      <c r="E9" s="69" t="n">
        <v>59000.2</v>
      </c>
      <c r="F9" s="81" t="n">
        <v>40</v>
      </c>
      <c r="G9" s="71">
        <f>E9/1072286.1800000002</f>
        <v/>
      </c>
      <c r="H9" s="49" t="inlineStr">
        <is>
          <t>2030 Job Detail Report.pdf (Sage Timberline, 04/03/2026, 190 pages)</t>
        </is>
      </c>
      <c r="I9" s="53" t="n"/>
      <c r="J9" s="53" t="n"/>
    </row>
    <row r="10">
      <c r="B10" s="80" t="n">
        <v>5</v>
      </c>
      <c r="C10" s="47" t="inlineStr">
        <is>
          <t>6912MF</t>
        </is>
      </c>
      <c r="D10" s="47" t="inlineStr">
        <is>
          <t>Mechanical Firestop Services, LLC</t>
        </is>
      </c>
      <c r="E10" s="66" t="n">
        <v>53330</v>
      </c>
      <c r="F10" s="80" t="n">
        <v>10</v>
      </c>
      <c r="G10" s="68">
        <f>E10/1072286.1800000002</f>
        <v/>
      </c>
      <c r="H10" s="47" t="inlineStr">
        <is>
          <t>2030 Job Detail Report.pdf (Sage Timberline, 04/03/2026, 190 pages)</t>
        </is>
      </c>
    </row>
    <row r="11">
      <c r="B11" s="81" t="n">
        <v>6</v>
      </c>
      <c r="C11" s="49" t="inlineStr">
        <is>
          <t>1175FE</t>
        </is>
      </c>
      <c r="D11" s="49" t="inlineStr">
        <is>
          <t>Ferguson Enterprises, Inc. #3007</t>
        </is>
      </c>
      <c r="E11" s="69" t="n">
        <v>45236.43</v>
      </c>
      <c r="F11" s="81" t="n">
        <v>40</v>
      </c>
      <c r="G11" s="71">
        <f>E11/1072286.1800000002</f>
        <v/>
      </c>
      <c r="H11" s="49" t="inlineStr">
        <is>
          <t>2030 Job Detail Report.pdf (Sage Timberline, 04/03/2026, 190 pages)</t>
        </is>
      </c>
      <c r="I11" s="53" t="n"/>
      <c r="J11" s="53" t="n"/>
    </row>
    <row r="12">
      <c r="B12" s="80" t="n">
        <v>7</v>
      </c>
      <c r="C12" s="47" t="inlineStr">
        <is>
          <t>1231KS</t>
        </is>
      </c>
      <c r="D12" s="47" t="inlineStr">
        <is>
          <t>Keller Supply Company</t>
        </is>
      </c>
      <c r="E12" s="66" t="n">
        <v>43202.49</v>
      </c>
      <c r="F12" s="80" t="n">
        <v>49</v>
      </c>
      <c r="G12" s="68">
        <f>E12/1072286.1800000002</f>
        <v/>
      </c>
      <c r="H12" s="47" t="inlineStr">
        <is>
          <t>2030 Job Detail Report.pdf (Sage Timberline, 04/03/2026, 190 pages)</t>
        </is>
      </c>
    </row>
    <row r="13">
      <c r="B13" s="81" t="n">
        <v>8</v>
      </c>
      <c r="C13" s="49" t="inlineStr">
        <is>
          <t>2494KM</t>
        </is>
      </c>
      <c r="D13" s="49" t="inlineStr">
        <is>
          <t>Katerra Materials LLC</t>
        </is>
      </c>
      <c r="E13" s="69" t="n">
        <v>31946.2</v>
      </c>
      <c r="F13" s="81" t="n">
        <v>24</v>
      </c>
      <c r="G13" s="71">
        <f>E13/1072286.1800000002</f>
        <v/>
      </c>
      <c r="H13" s="49" t="inlineStr">
        <is>
          <t>2030 Job Detail Report.pdf (Sage Timberline, 04/03/2026, 190 pages)</t>
        </is>
      </c>
      <c r="I13" s="53" t="n"/>
      <c r="J13" s="53" t="n"/>
    </row>
    <row r="14">
      <c r="B14" s="80" t="n">
        <v>9</v>
      </c>
      <c r="C14" s="47" t="inlineStr">
        <is>
          <t>2031KS</t>
        </is>
      </c>
      <c r="D14" s="47" t="inlineStr">
        <is>
          <t>Keller Supply Co. $Issaquah Gateway</t>
        </is>
      </c>
      <c r="E14" s="66" t="n">
        <v>25025.54</v>
      </c>
      <c r="F14" s="80" t="n">
        <v>20</v>
      </c>
      <c r="G14" s="68">
        <f>E14/1072286.1800000002</f>
        <v/>
      </c>
      <c r="H14" s="47" t="inlineStr">
        <is>
          <t>2030 Job Detail Report.pdf (Sage Timberline, 04/03/2026, 190 pages)</t>
        </is>
      </c>
    </row>
    <row r="15">
      <c r="B15" s="81" t="n">
        <v>10</v>
      </c>
      <c r="C15" s="49" t="inlineStr">
        <is>
          <t>1130CS</t>
        </is>
      </c>
      <c r="D15" s="49" t="inlineStr">
        <is>
          <t>Consolidated Supply Co.</t>
        </is>
      </c>
      <c r="E15" s="69" t="n">
        <v>13285.17</v>
      </c>
      <c r="F15" s="81" t="n">
        <v>13</v>
      </c>
      <c r="G15" s="71">
        <f>E15/1072286.1800000002</f>
        <v/>
      </c>
      <c r="H15" s="49" t="inlineStr">
        <is>
          <t>2030 Job Detail Report.pdf (Sage Timberline, 04/03/2026, 190 pages)</t>
        </is>
      </c>
      <c r="I15" s="53" t="n"/>
      <c r="J15" s="53" t="n"/>
    </row>
    <row r="16">
      <c r="B16" s="80" t="n">
        <v>11</v>
      </c>
      <c r="C16" s="47" t="inlineStr">
        <is>
          <t>3181SC</t>
        </is>
      </c>
      <c r="D16" s="47" t="inlineStr">
        <is>
          <t>Scan2Core, Inc.</t>
        </is>
      </c>
      <c r="E16" s="66" t="n">
        <v>7916</v>
      </c>
      <c r="F16" s="80" t="n">
        <v>16</v>
      </c>
      <c r="G16" s="68">
        <f>E16/1072286.1800000002</f>
        <v/>
      </c>
      <c r="H16" s="47" t="inlineStr">
        <is>
          <t>2030 Job Detail Report.pdf (Sage Timberline, 04/03/2026, 190 pages)</t>
        </is>
      </c>
    </row>
    <row r="17">
      <c r="B17" s="81" t="n">
        <v>12</v>
      </c>
      <c r="C17" s="49" t="inlineStr">
        <is>
          <t>1234CO</t>
        </is>
      </c>
      <c r="D17" s="49" t="inlineStr">
        <is>
          <t>Capital One Credit Card</t>
        </is>
      </c>
      <c r="E17" s="69" t="n">
        <v>7431.169999999997</v>
      </c>
      <c r="F17" s="81" t="n">
        <v>58</v>
      </c>
      <c r="G17" s="71">
        <f>E17/1072286.1800000002</f>
        <v/>
      </c>
      <c r="H17" s="49" t="inlineStr">
        <is>
          <t>2030 Job Detail Report.pdf (Sage Timberline, 04/03/2026, 190 pages)</t>
        </is>
      </c>
      <c r="I17" s="53" t="n"/>
      <c r="J17" s="53" t="n"/>
    </row>
    <row r="18">
      <c r="B18" s="80" t="n">
        <v>13</v>
      </c>
      <c r="C18" s="47" t="inlineStr">
        <is>
          <t>1401LU</t>
        </is>
      </c>
      <c r="D18" s="47" t="inlineStr">
        <is>
          <t>Lotus United, LLC</t>
        </is>
      </c>
      <c r="E18" s="66" t="n">
        <v>4030</v>
      </c>
      <c r="F18" s="80" t="n">
        <v>4</v>
      </c>
      <c r="G18" s="68">
        <f>E18/1072286.1800000002</f>
        <v/>
      </c>
      <c r="H18" s="47" t="inlineStr">
        <is>
          <t>2030 Job Detail Report.pdf (Sage Timberline, 04/03/2026, 190 pages)</t>
        </is>
      </c>
    </row>
    <row r="19">
      <c r="B19" s="81" t="n">
        <v>14</v>
      </c>
      <c r="C19" s="49" t="inlineStr">
        <is>
          <t>1625FE</t>
        </is>
      </c>
      <c r="D19" s="49" t="inlineStr">
        <is>
          <t>Franklin Engineering</t>
        </is>
      </c>
      <c r="E19" s="69" t="n">
        <v>3757</v>
      </c>
      <c r="F19" s="81" t="n">
        <v>4</v>
      </c>
      <c r="G19" s="71">
        <f>E19/1072286.1800000002</f>
        <v/>
      </c>
      <c r="H19" s="49" t="inlineStr">
        <is>
          <t>2030 Job Detail Report.pdf (Sage Timberline, 04/03/2026, 190 pages)</t>
        </is>
      </c>
      <c r="I19" s="53" t="n"/>
      <c r="J19" s="53" t="n"/>
    </row>
    <row r="20">
      <c r="B20" s="80" t="n">
        <v>15</v>
      </c>
      <c r="C20" s="47" t="inlineStr">
        <is>
          <t>3612MS</t>
        </is>
      </c>
      <c r="D20" s="47" t="inlineStr">
        <is>
          <t>Mechanical Sales, Inc.</t>
        </is>
      </c>
      <c r="E20" s="66" t="n">
        <v>3272.43</v>
      </c>
      <c r="F20" s="80" t="n">
        <v>4</v>
      </c>
      <c r="G20" s="68">
        <f>E20/1072286.1800000002</f>
        <v/>
      </c>
      <c r="H20" s="47" t="inlineStr">
        <is>
          <t>2030 Job Detail Report.pdf (Sage Timberline, 04/03/2026, 190 pages)</t>
        </is>
      </c>
    </row>
    <row r="21">
      <c r="B21" s="81" t="n">
        <v>16</v>
      </c>
      <c r="C21" s="49" t="inlineStr">
        <is>
          <t>1421RA</t>
        </is>
      </c>
      <c r="D21" s="49" t="inlineStr">
        <is>
          <t>R.A. Brown Backflow Testing</t>
        </is>
      </c>
      <c r="E21" s="69" t="n">
        <v>2124</v>
      </c>
      <c r="F21" s="81" t="n">
        <v>10</v>
      </c>
      <c r="G21" s="71">
        <f>E21/1072286.1800000002</f>
        <v/>
      </c>
      <c r="H21" s="49" t="inlineStr">
        <is>
          <t>2030 Job Detail Report.pdf (Sage Timberline, 04/03/2026, 190 pages)</t>
        </is>
      </c>
      <c r="I21" s="53" t="n"/>
      <c r="J21" s="53" t="n"/>
    </row>
    <row r="22">
      <c r="B22" s="80" t="n">
        <v>17</v>
      </c>
      <c r="C22" s="47" t="inlineStr">
        <is>
          <t>5560CH</t>
        </is>
      </c>
      <c r="D22" s="47" t="inlineStr">
        <is>
          <t>California Hydronics Corp</t>
        </is>
      </c>
      <c r="E22" s="66" t="n">
        <v>1950</v>
      </c>
      <c r="F22" s="80" t="n">
        <v>2</v>
      </c>
      <c r="G22" s="68">
        <f>E22/1072286.1800000002</f>
        <v/>
      </c>
      <c r="H22" s="47" t="inlineStr">
        <is>
          <t>2030 Job Detail Report.pdf (Sage Timberline, 04/03/2026, 190 pages)</t>
        </is>
      </c>
    </row>
    <row r="23">
      <c r="B23" s="81" t="n">
        <v>18</v>
      </c>
      <c r="C23" s="49" t="inlineStr">
        <is>
          <t>8056MS</t>
        </is>
      </c>
      <c r="D23" s="49" t="inlineStr">
        <is>
          <t>Mechanical Service &amp; Integration LLC</t>
        </is>
      </c>
      <c r="E23" s="69" t="n">
        <v>1600</v>
      </c>
      <c r="F23" s="81" t="n">
        <v>2</v>
      </c>
      <c r="G23" s="71">
        <f>E23/1072286.1800000002</f>
        <v/>
      </c>
      <c r="H23" s="49" t="inlineStr">
        <is>
          <t>2030 Job Detail Report.pdf (Sage Timberline, 04/03/2026, 190 pages)</t>
        </is>
      </c>
      <c r="I23" s="53" t="n"/>
      <c r="J23" s="53" t="n"/>
    </row>
    <row r="24">
      <c r="B24" s="80" t="n">
        <v>19</v>
      </c>
      <c r="C24" s="47" t="inlineStr">
        <is>
          <t>1799AW</t>
        </is>
      </c>
      <c r="D24" s="47" t="inlineStr">
        <is>
          <t>AllWest Underground, Inc.</t>
        </is>
      </c>
      <c r="E24" s="66" t="n">
        <v>1581.62</v>
      </c>
      <c r="F24" s="80" t="n">
        <v>2</v>
      </c>
      <c r="G24" s="68">
        <f>E24/1072286.1800000002</f>
        <v/>
      </c>
      <c r="H24" s="47" t="inlineStr">
        <is>
          <t>2030 Job Detail Report.pdf (Sage Timberline, 04/03/2026, 190 pages)</t>
        </is>
      </c>
    </row>
    <row r="25">
      <c r="B25" s="81" t="n">
        <v>20</v>
      </c>
      <c r="C25" s="49" t="inlineStr">
        <is>
          <t>5621HD</t>
        </is>
      </c>
      <c r="D25" s="49" t="inlineStr">
        <is>
          <t>Core &amp; Main LP $HD Supply Waterworks</t>
        </is>
      </c>
      <c r="E25" s="69" t="n">
        <v>1394.49</v>
      </c>
      <c r="F25" s="81" t="n">
        <v>2</v>
      </c>
      <c r="G25" s="71">
        <f>E25/1072286.1800000002</f>
        <v/>
      </c>
      <c r="H25" s="49" t="inlineStr">
        <is>
          <t>2030 Job Detail Report.pdf (Sage Timberline, 04/03/2026, 190 pages)</t>
        </is>
      </c>
      <c r="I25" s="53" t="n"/>
      <c r="J25" s="53" t="n"/>
    </row>
    <row r="26">
      <c r="B26" s="80" t="n">
        <v>21</v>
      </c>
      <c r="C26" s="47" t="inlineStr">
        <is>
          <t>2713AR</t>
        </is>
      </c>
      <c r="D26" s="47" t="inlineStr">
        <is>
          <t>Ahern Rentals</t>
        </is>
      </c>
      <c r="E26" s="66" t="n">
        <v>1006.5</v>
      </c>
      <c r="F26" s="80" t="n">
        <v>2</v>
      </c>
      <c r="G26" s="68">
        <f>E26/1072286.1800000002</f>
        <v/>
      </c>
      <c r="H26" s="47" t="inlineStr">
        <is>
          <t>2030 Job Detail Report.pdf (Sage Timberline, 04/03/2026, 190 pages)</t>
        </is>
      </c>
    </row>
    <row r="27">
      <c r="B27" s="81" t="n">
        <v>22</v>
      </c>
      <c r="C27" s="49" t="inlineStr">
        <is>
          <t>5919PW</t>
        </is>
      </c>
      <c r="D27" s="49" t="inlineStr">
        <is>
          <t>Patchworks, Inc.</t>
        </is>
      </c>
      <c r="E27" s="69" t="n">
        <v>905</v>
      </c>
      <c r="F27" s="81" t="n">
        <v>1</v>
      </c>
      <c r="G27" s="71">
        <f>E27/1072286.1800000002</f>
        <v/>
      </c>
      <c r="H27" s="49" t="inlineStr">
        <is>
          <t>2030 Job Detail Report.pdf (Sage Timberline, 04/03/2026, 190 pages)</t>
        </is>
      </c>
      <c r="I27" s="53" t="n"/>
      <c r="J27" s="53" t="n"/>
    </row>
    <row r="28">
      <c r="B28" s="80" t="n">
        <v>23</v>
      </c>
      <c r="C28" s="47" t="inlineStr">
        <is>
          <t>4320MC</t>
        </is>
      </c>
      <c r="D28" s="47" t="inlineStr">
        <is>
          <t>MAD Concrete Cutting &amp; Coring, Inc.</t>
        </is>
      </c>
      <c r="E28" s="66" t="n">
        <v>825</v>
      </c>
      <c r="F28" s="80" t="n">
        <v>1</v>
      </c>
      <c r="G28" s="68">
        <f>E28/1072286.1800000002</f>
        <v/>
      </c>
      <c r="H28" s="47" t="inlineStr">
        <is>
          <t>2030 Job Detail Report.pdf (Sage Timberline, 04/03/2026, 190 pages)</t>
        </is>
      </c>
    </row>
    <row r="29">
      <c r="B29" s="81" t="n">
        <v>24</v>
      </c>
      <c r="C29" s="49" t="inlineStr">
        <is>
          <t>1978FC</t>
        </is>
      </c>
      <c r="D29" s="49" t="inlineStr">
        <is>
          <t>Fastenal Company</t>
        </is>
      </c>
      <c r="E29" s="69" t="n">
        <v>326.84</v>
      </c>
      <c r="F29" s="81" t="n">
        <v>5</v>
      </c>
      <c r="G29" s="71">
        <f>E29/1072286.1800000002</f>
        <v/>
      </c>
      <c r="H29" s="49" t="inlineStr">
        <is>
          <t>2030 Job Detail Report.pdf (Sage Timberline, 04/03/2026, 190 pages)</t>
        </is>
      </c>
      <c r="I29" s="53" t="n"/>
      <c r="J29" s="53" t="n"/>
    </row>
    <row r="30">
      <c r="B30" s="80" t="n">
        <v>25</v>
      </c>
      <c r="C30" s="47" t="inlineStr">
        <is>
          <t>1021AT</t>
        </is>
      </c>
      <c r="D30" s="47" t="inlineStr">
        <is>
          <t>ACME Corp</t>
        </is>
      </c>
      <c r="E30" s="66" t="n">
        <v>320.31</v>
      </c>
      <c r="F30" s="80" t="n">
        <v>2</v>
      </c>
      <c r="G30" s="68">
        <f>E30/1072286.1800000002</f>
        <v/>
      </c>
      <c r="H30" s="47" t="inlineStr">
        <is>
          <t>2030 Job Detail Report.pdf (Sage Timberline, 04/03/2026, 190 pages)</t>
        </is>
      </c>
    </row>
    <row r="31">
      <c r="B31" s="81" t="n">
        <v>26</v>
      </c>
      <c r="C31" s="49" t="inlineStr">
        <is>
          <t>2850PL</t>
        </is>
      </c>
      <c r="D31" s="49" t="inlineStr">
        <is>
          <t>Platt $Rexel USA, Inc.</t>
        </is>
      </c>
      <c r="E31" s="69" t="n">
        <v>168.31</v>
      </c>
      <c r="F31" s="81" t="n">
        <v>2</v>
      </c>
      <c r="G31" s="71">
        <f>E31/1072286.1800000002</f>
        <v/>
      </c>
      <c r="H31" s="49" t="inlineStr">
        <is>
          <t>2030 Job Detail Report.pdf (Sage Timberline, 04/03/2026, 190 pages)</t>
        </is>
      </c>
      <c r="I31" s="53" t="n"/>
      <c r="J31" s="53" t="n"/>
    </row>
    <row r="32">
      <c r="B32" s="80" t="n">
        <v>27</v>
      </c>
      <c r="C32" s="47" t="inlineStr">
        <is>
          <t>1234BA</t>
        </is>
      </c>
      <c r="D32" s="47" t="inlineStr">
        <is>
          <t>Bank of America CC</t>
        </is>
      </c>
      <c r="E32" s="66" t="n">
        <v>110.99</v>
      </c>
      <c r="F32" s="80" t="n">
        <v>1</v>
      </c>
      <c r="G32" s="68">
        <f>E32/1072286.1800000002</f>
        <v/>
      </c>
      <c r="H32" s="47" t="inlineStr">
        <is>
          <t>2030 Job Detail Report.pdf (Sage Timberline, 04/03/2026, 190 pages)</t>
        </is>
      </c>
    </row>
    <row r="33">
      <c r="B33" s="81" t="n">
        <v>28</v>
      </c>
      <c r="C33" s="49" t="inlineStr">
        <is>
          <t>1641AR</t>
        </is>
      </c>
      <c r="D33" s="49" t="inlineStr">
        <is>
          <t>A.R. Brown Backflow Testing</t>
        </is>
      </c>
      <c r="E33" s="69" t="n">
        <v>65</v>
      </c>
      <c r="F33" s="81" t="n">
        <v>1</v>
      </c>
      <c r="G33" s="71">
        <f>E33/1072286.1800000002</f>
        <v/>
      </c>
      <c r="H33" s="49" t="inlineStr">
        <is>
          <t>2030 Job Detail Report.pdf (Sage Timberline, 04/03/2026, 190 pages)</t>
        </is>
      </c>
      <c r="I33" s="53" t="n"/>
      <c r="J33" s="53" t="n"/>
    </row>
    <row r="34">
      <c r="B34" s="80" t="n">
        <v>29</v>
      </c>
      <c r="C34" s="47" t="inlineStr">
        <is>
          <t>2030KS</t>
        </is>
      </c>
      <c r="D34" s="47" t="inlineStr">
        <is>
          <t>Keller Supply Co. $East Union</t>
        </is>
      </c>
      <c r="E34" s="66" t="n">
        <v>0</v>
      </c>
      <c r="F34" s="80" t="n">
        <v>2</v>
      </c>
      <c r="G34" s="68">
        <f>E34/1072286.1800000002</f>
        <v/>
      </c>
      <c r="H34" s="47" t="inlineStr">
        <is>
          <t>2030 Job Detail Report.pdf (Sage Timberline, 04/03/2026, 190 pages)</t>
        </is>
      </c>
    </row>
    <row r="35">
      <c r="B35" s="77" t="inlineStr">
        <is>
          <t>TOTAL</t>
        </is>
      </c>
      <c r="C35" s="53" t="n"/>
      <c r="D35" s="53" t="n"/>
      <c r="E35" s="78">
        <f>SUM(E6:E34)</f>
        <v/>
      </c>
      <c r="F35" s="49">
        <f>SUM(F6:F34)</f>
        <v/>
      </c>
      <c r="G35" s="53" t="n"/>
      <c r="H35" s="53" t="n"/>
      <c r="I35" s="53" t="n"/>
      <c r="J35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Change Log — Master Register</t>
        </is>
      </c>
    </row>
    <row r="3" ht="22" customHeight="1">
      <c r="B3" s="43" t="inlineStr">
        <is>
          <t>COs, RFIs, ASIs, Submittals, Permits, POs — from project folders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Event ID</t>
        </is>
      </c>
      <c r="C5" s="65" t="inlineStr">
        <is>
          <t>Type</t>
        </is>
      </c>
      <c r="D5" s="65" t="inlineStr">
        <is>
          <t>Date</t>
        </is>
      </c>
      <c r="E5" s="65" t="inlineStr">
        <is>
          <t>Subject</t>
        </is>
      </c>
      <c r="F5" s="65" t="inlineStr">
        <is>
          <t>Originator</t>
        </is>
      </c>
      <c r="G5" s="65" t="inlineStr">
        <is>
          <t>Cost Impact ($)</t>
        </is>
      </c>
      <c r="H5" s="65" t="inlineStr">
        <is>
          <t>Status</t>
        </is>
      </c>
      <c r="I5" s="65" t="inlineStr">
        <is>
          <t>Source</t>
        </is>
      </c>
    </row>
    <row r="6">
      <c r="B6" s="46" t="inlineStr">
        <is>
          <t>CONTRACT-ORIG</t>
        </is>
      </c>
      <c r="C6" s="47" t="inlineStr">
        <is>
          <t>Contract</t>
        </is>
      </c>
      <c r="D6" s="47" t="inlineStr">
        <is>
          <t>2015-09 (proposal) / 2016-03 (work start)</t>
        </is>
      </c>
      <c r="E6" s="47" t="inlineStr">
        <is>
          <t>Prime subcontract — Lump Sum $5,051,600.00</t>
        </is>
      </c>
      <c r="F6" s="47" t="inlineStr">
        <is>
          <t>Exxel Pacific, Inc.</t>
        </is>
      </c>
      <c r="G6" s="66" t="n">
        <v>5051600</v>
      </c>
      <c r="H6" s="47" t="inlineStr">
        <is>
          <t>Executed</t>
        </is>
      </c>
      <c r="I6" s="47" t="inlineStr">
        <is>
          <t>Exxel Pacific Issaquah Gateway Subcontract</t>
        </is>
      </c>
    </row>
    <row r="7">
      <c r="B7" s="48" t="inlineStr">
        <is>
          <t>CO#01</t>
        </is>
      </c>
      <c r="C7" s="49" t="inlineStr">
        <is>
          <t>Change Order</t>
        </is>
      </c>
      <c r="D7" s="96" t="inlineStr">
        <is>
          <t>NOT FOUND</t>
        </is>
      </c>
      <c r="E7" s="49" t="inlineStr">
        <is>
          <t>Change Order #1 — budget transfer</t>
        </is>
      </c>
      <c r="F7" s="49" t="inlineStr">
        <is>
          <t>Exxel Pacific, Inc.</t>
        </is>
      </c>
      <c r="G7" s="69" t="n">
        <v>700</v>
      </c>
      <c r="H7" s="49" t="inlineStr">
        <is>
          <t>Executed</t>
        </is>
      </c>
      <c r="I7" s="49" t="inlineStr">
        <is>
          <t>CO_s/CO#01</t>
        </is>
      </c>
      <c r="J7" s="53" t="n"/>
    </row>
    <row r="8">
      <c r="B8" s="46" t="inlineStr">
        <is>
          <t>CO#02</t>
        </is>
      </c>
      <c r="C8" s="47" t="inlineStr">
        <is>
          <t>Change Order</t>
        </is>
      </c>
      <c r="D8" s="96" t="inlineStr">
        <is>
          <t>NOT FOUND</t>
        </is>
      </c>
      <c r="E8" s="47" t="inlineStr">
        <is>
          <t>Change Order #2 — budget transfer</t>
        </is>
      </c>
      <c r="F8" s="47" t="inlineStr">
        <is>
          <t>Exxel Pacific, Inc.</t>
        </is>
      </c>
      <c r="G8" s="66" t="n">
        <v>4390</v>
      </c>
      <c r="H8" s="47" t="inlineStr">
        <is>
          <t>Executed</t>
        </is>
      </c>
      <c r="I8" s="47" t="inlineStr">
        <is>
          <t>CO_s/CO#02</t>
        </is>
      </c>
    </row>
    <row r="9">
      <c r="B9" s="48" t="inlineStr">
        <is>
          <t>CO#03</t>
        </is>
      </c>
      <c r="C9" s="49" t="inlineStr">
        <is>
          <t>Change Order</t>
        </is>
      </c>
      <c r="D9" s="96" t="inlineStr">
        <is>
          <t>NOT FOUND</t>
        </is>
      </c>
      <c r="E9" s="49" t="inlineStr">
        <is>
          <t>Change Order #3 — budget transfer</t>
        </is>
      </c>
      <c r="F9" s="49" t="inlineStr">
        <is>
          <t>Exxel Pacific, Inc.</t>
        </is>
      </c>
      <c r="G9" s="69" t="n">
        <v>7881</v>
      </c>
      <c r="H9" s="49" t="inlineStr">
        <is>
          <t>Executed</t>
        </is>
      </c>
      <c r="I9" s="49" t="inlineStr">
        <is>
          <t>CO_s/CO#03</t>
        </is>
      </c>
      <c r="J9" s="53" t="n"/>
    </row>
    <row r="10">
      <c r="B10" s="46" t="inlineStr">
        <is>
          <t>CO#04</t>
        </is>
      </c>
      <c r="C10" s="47" t="inlineStr">
        <is>
          <t>Change Order</t>
        </is>
      </c>
      <c r="D10" s="96" t="inlineStr">
        <is>
          <t>NOT FOUND</t>
        </is>
      </c>
      <c r="E10" s="47" t="inlineStr">
        <is>
          <t>Change Order #4 — budget transfer</t>
        </is>
      </c>
      <c r="F10" s="47" t="inlineStr">
        <is>
          <t>Exxel Pacific, Inc.</t>
        </is>
      </c>
      <c r="G10" s="66" t="n">
        <v>9017</v>
      </c>
      <c r="H10" s="47" t="inlineStr">
        <is>
          <t>Executed</t>
        </is>
      </c>
      <c r="I10" s="47" t="inlineStr">
        <is>
          <t>CO_s/CO#04</t>
        </is>
      </c>
    </row>
    <row r="11">
      <c r="B11" s="48" t="inlineStr">
        <is>
          <t>CO#05</t>
        </is>
      </c>
      <c r="C11" s="49" t="inlineStr">
        <is>
          <t>Change Order</t>
        </is>
      </c>
      <c r="D11" s="96" t="inlineStr">
        <is>
          <t>NOT FOUND</t>
        </is>
      </c>
      <c r="E11" s="49" t="inlineStr">
        <is>
          <t>Change Order #5 — credit</t>
        </is>
      </c>
      <c r="F11" s="49" t="inlineStr">
        <is>
          <t>Exxel Pacific, Inc.</t>
        </is>
      </c>
      <c r="G11" s="69" t="n">
        <v>-1971</v>
      </c>
      <c r="H11" s="49" t="inlineStr">
        <is>
          <t>Executed</t>
        </is>
      </c>
      <c r="I11" s="49" t="inlineStr">
        <is>
          <t>CO_s/CO#05</t>
        </is>
      </c>
      <c r="J11" s="53" t="n"/>
    </row>
    <row r="12">
      <c r="B12" s="46" t="inlineStr">
        <is>
          <t>CO#06</t>
        </is>
      </c>
      <c r="C12" s="47" t="inlineStr">
        <is>
          <t>Change Order</t>
        </is>
      </c>
      <c r="D12" s="96" t="inlineStr">
        <is>
          <t>NOT FOUND</t>
        </is>
      </c>
      <c r="E12" s="47" t="inlineStr">
        <is>
          <t>Change Order #6 — budget transfer</t>
        </is>
      </c>
      <c r="F12" s="47" t="inlineStr">
        <is>
          <t>Exxel Pacific, Inc.</t>
        </is>
      </c>
      <c r="G12" s="66" t="n">
        <v>3316</v>
      </c>
      <c r="H12" s="47" t="inlineStr">
        <is>
          <t>Executed</t>
        </is>
      </c>
      <c r="I12" s="47" t="inlineStr">
        <is>
          <t>CO_s/CO#06</t>
        </is>
      </c>
    </row>
    <row r="13">
      <c r="B13" s="48" t="inlineStr">
        <is>
          <t>CO-GAP</t>
        </is>
      </c>
      <c r="C13" s="49" t="inlineStr">
        <is>
          <t>Implied CO gap</t>
        </is>
      </c>
      <c r="D13" s="96" t="inlineStr">
        <is>
          <t>NOT FOUND</t>
        </is>
      </c>
      <c r="E13" s="49" t="inlineStr">
        <is>
          <t>Budget-delta vs documented COs = $0.00 (unreconciled)</t>
        </is>
      </c>
      <c r="F13" s="49" t="inlineStr">
        <is>
          <t>—</t>
        </is>
      </c>
      <c r="G13" s="69" t="n">
        <v>0</v>
      </c>
      <c r="H13" s="49" t="inlineStr">
        <is>
          <t>Unreconciled</t>
        </is>
      </c>
      <c r="I13" s="49" t="inlineStr">
        <is>
          <t>2030 Job Detail Report.pdf (Sage Timberline, 04/03/2026, 190 pages)</t>
        </is>
      </c>
      <c r="J13" s="53" t="n"/>
    </row>
    <row r="14">
      <c r="B14" s="46" t="inlineStr">
        <is>
          <t>RFI-PRIMARY</t>
        </is>
      </c>
      <c r="C14" s="47" t="inlineStr">
        <is>
          <t>RFI batch</t>
        </is>
      </c>
      <c r="D14" s="96" t="inlineStr">
        <is>
          <t>NOT FOUND</t>
        </is>
      </c>
      <c r="E14" s="47" t="inlineStr">
        <is>
          <t>18 RFIs + 1 ASI (primary ASI-RFI folder)</t>
        </is>
      </c>
      <c r="F14" s="47" t="inlineStr">
        <is>
          <t>Sub (OWP) / GC</t>
        </is>
      </c>
      <c r="G14" s="66" t="n">
        <v>0</v>
      </c>
      <c r="H14" s="47" t="inlineStr">
        <is>
          <t>Resolved</t>
        </is>
      </c>
      <c r="I14" s="47" t="inlineStr">
        <is>
          <t>ASI-RFI/</t>
        </is>
      </c>
    </row>
    <row r="15">
      <c r="B15" s="48" t="inlineStr">
        <is>
          <t>RFI-DROPBOX</t>
        </is>
      </c>
      <c r="C15" s="49" t="inlineStr">
        <is>
          <t>RFI batch</t>
        </is>
      </c>
      <c r="D15" s="96" t="inlineStr">
        <is>
          <t>NOT FOUND</t>
        </is>
      </c>
      <c r="E15" s="49" t="inlineStr">
        <is>
          <t>12 additional RFIs from field tablets</t>
        </is>
      </c>
      <c r="F15" s="49" t="inlineStr">
        <is>
          <t>Sub (OWP)</t>
        </is>
      </c>
      <c r="G15" s="69" t="n">
        <v>0</v>
      </c>
      <c r="H15" s="49" t="inlineStr">
        <is>
          <t>Resolved</t>
        </is>
      </c>
      <c r="I15" s="49" t="inlineStr">
        <is>
          <t>DROPBOX FILES FROM GUYS TABLETS/ASI-RFI/RFI_s/</t>
        </is>
      </c>
      <c r="J15" s="53" t="n"/>
    </row>
    <row r="16">
      <c r="B16" s="46" t="inlineStr">
        <is>
          <t>SUB-FIXTURE</t>
        </is>
      </c>
      <c r="C16" s="47" t="inlineStr">
        <is>
          <t>Submittal batch</t>
        </is>
      </c>
      <c r="D16" s="96" t="inlineStr">
        <is>
          <t>NOT FOUND</t>
        </is>
      </c>
      <c r="E16" s="47" t="inlineStr">
        <is>
          <t>19 fixture submittals (WC, lav, tub/shower, sinks, etc.)</t>
        </is>
      </c>
      <c r="F16" s="47" t="inlineStr">
        <is>
          <t>Sub (OWP)</t>
        </is>
      </c>
      <c r="G16" s="66" t="n">
        <v>0</v>
      </c>
      <c r="H16" s="47" t="inlineStr">
        <is>
          <t>Approved</t>
        </is>
      </c>
      <c r="I16" s="47" t="inlineStr">
        <is>
          <t>Submittals/Fixtures/</t>
        </is>
      </c>
    </row>
    <row r="17">
      <c r="B17" s="48" t="inlineStr">
        <is>
          <t>SUB-MATERIAL</t>
        </is>
      </c>
      <c r="C17" s="49" t="inlineStr">
        <is>
          <t>Submittal batch</t>
        </is>
      </c>
      <c r="D17" s="96" t="inlineStr">
        <is>
          <t>NOT FOUND</t>
        </is>
      </c>
      <c r="E17" s="49" t="inlineStr">
        <is>
          <t>10 material submittals (pipe, valves, insulation, etc.)</t>
        </is>
      </c>
      <c r="F17" s="49" t="inlineStr">
        <is>
          <t>Sub (OWP)</t>
        </is>
      </c>
      <c r="G17" s="69" t="n">
        <v>0</v>
      </c>
      <c r="H17" s="49" t="inlineStr">
        <is>
          <t>Approved</t>
        </is>
      </c>
      <c r="I17" s="49" t="inlineStr">
        <is>
          <t>Submittals/Material/</t>
        </is>
      </c>
      <c r="J17" s="53" t="n"/>
    </row>
    <row r="18">
      <c r="B18" s="46" t="inlineStr">
        <is>
          <t>SUB-UG</t>
        </is>
      </c>
      <c r="C18" s="47" t="inlineStr">
        <is>
          <t>Submittal</t>
        </is>
      </c>
      <c r="D18" s="96" t="inlineStr">
        <is>
          <t>NOT FOUND</t>
        </is>
      </c>
      <c r="E18" s="47" t="inlineStr">
        <is>
          <t>UG/garage submittal</t>
        </is>
      </c>
      <c r="F18" s="47" t="inlineStr">
        <is>
          <t>Sub (OWP)</t>
        </is>
      </c>
      <c r="G18" s="66" t="n">
        <v>0</v>
      </c>
      <c r="H18" s="47" t="inlineStr">
        <is>
          <t>Approved</t>
        </is>
      </c>
      <c r="I18" s="47" t="inlineStr">
        <is>
          <t>Submittals/UG/</t>
        </is>
      </c>
    </row>
    <row r="19">
      <c r="B19" s="48" t="inlineStr">
        <is>
          <t>PERMIT-PLUMBING</t>
        </is>
      </c>
      <c r="C19" s="49" t="inlineStr">
        <is>
          <t>Permit</t>
        </is>
      </c>
      <c r="D19" s="96" t="inlineStr">
        <is>
          <t>NOT FOUND</t>
        </is>
      </c>
      <c r="E19" s="49" t="inlineStr">
        <is>
          <t>Plumbing permit</t>
        </is>
      </c>
      <c r="F19" s="49" t="inlineStr">
        <is>
          <t>Jurisdiction (Seattle)</t>
        </is>
      </c>
      <c r="G19" s="69" t="n">
        <v>0</v>
      </c>
      <c r="H19" s="49" t="inlineStr">
        <is>
          <t>Issued</t>
        </is>
      </c>
      <c r="I19" s="49" t="inlineStr">
        <is>
          <t>Permits/</t>
        </is>
      </c>
      <c r="J19" s="53" t="n"/>
    </row>
    <row r="20">
      <c r="B20" s="46" t="inlineStr">
        <is>
          <t>PERMIT-BACKFLOW</t>
        </is>
      </c>
      <c r="C20" s="47" t="inlineStr">
        <is>
          <t>Permit</t>
        </is>
      </c>
      <c r="D20" s="96" t="inlineStr">
        <is>
          <t>NOT FOUND</t>
        </is>
      </c>
      <c r="E20" s="47" t="inlineStr">
        <is>
          <t>Backflow permit</t>
        </is>
      </c>
      <c r="F20" s="47" t="inlineStr">
        <is>
          <t>Jurisdiction (Seattle)</t>
        </is>
      </c>
      <c r="G20" s="66" t="n">
        <v>0</v>
      </c>
      <c r="H20" s="47" t="inlineStr">
        <is>
          <t>Issued</t>
        </is>
      </c>
      <c r="I20" s="47" t="inlineStr">
        <is>
          <t>Permits/</t>
        </is>
      </c>
    </row>
    <row r="21">
      <c r="B21" s="48" t="inlineStr">
        <is>
          <t>PERMIT-BOILER-1</t>
        </is>
      </c>
      <c r="C21" s="49" t="inlineStr">
        <is>
          <t>Permit</t>
        </is>
      </c>
      <c r="D21" s="96" t="inlineStr">
        <is>
          <t>NOT FOUND</t>
        </is>
      </c>
      <c r="E21" s="49" t="inlineStr">
        <is>
          <t>Boiler permit (1 of 2)</t>
        </is>
      </c>
      <c r="F21" s="49" t="inlineStr">
        <is>
          <t>Jurisdiction (Seattle)</t>
        </is>
      </c>
      <c r="G21" s="69" t="n">
        <v>0</v>
      </c>
      <c r="H21" s="49" t="inlineStr">
        <is>
          <t>Issued</t>
        </is>
      </c>
      <c r="I21" s="49" t="inlineStr">
        <is>
          <t>Permits/</t>
        </is>
      </c>
      <c r="J21" s="53" t="n"/>
    </row>
    <row r="22">
      <c r="B22" s="46" t="inlineStr">
        <is>
          <t>PERMIT-BOILER-2</t>
        </is>
      </c>
      <c r="C22" s="47" t="inlineStr">
        <is>
          <t>Permit</t>
        </is>
      </c>
      <c r="D22" s="96" t="inlineStr">
        <is>
          <t>NOT FOUND</t>
        </is>
      </c>
      <c r="E22" s="47" t="inlineStr">
        <is>
          <t>Boiler permit (2 of 2)</t>
        </is>
      </c>
      <c r="F22" s="47" t="inlineStr">
        <is>
          <t>Jurisdiction (Seattle)</t>
        </is>
      </c>
      <c r="G22" s="66" t="n">
        <v>0</v>
      </c>
      <c r="H22" s="47" t="inlineStr">
        <is>
          <t>Issued</t>
        </is>
      </c>
      <c r="I22" s="47" t="inlineStr">
        <is>
          <t>Permits/</t>
        </is>
      </c>
    </row>
    <row r="23">
      <c r="B23" s="48" t="inlineStr">
        <is>
          <t>PERMIT-GAS</t>
        </is>
      </c>
      <c r="C23" s="49" t="inlineStr">
        <is>
          <t>Permit</t>
        </is>
      </c>
      <c r="D23" s="96" t="inlineStr">
        <is>
          <t>NOT FOUND</t>
        </is>
      </c>
      <c r="E23" s="49" t="inlineStr">
        <is>
          <t>Gas permit</t>
        </is>
      </c>
      <c r="F23" s="49" t="inlineStr">
        <is>
          <t>Jurisdiction (Seattle)</t>
        </is>
      </c>
      <c r="G23" s="69" t="n">
        <v>0</v>
      </c>
      <c r="H23" s="49" t="inlineStr">
        <is>
          <t>Issued</t>
        </is>
      </c>
      <c r="I23" s="49" t="inlineStr">
        <is>
          <t>Permits/</t>
        </is>
      </c>
      <c r="J23" s="53" t="n"/>
    </row>
    <row r="24">
      <c r="B24" s="46" t="inlineStr">
        <is>
          <t>PERMIT-TEMPGAS</t>
        </is>
      </c>
      <c r="C24" s="47" t="inlineStr">
        <is>
          <t>Permit</t>
        </is>
      </c>
      <c r="D24" s="96" t="inlineStr">
        <is>
          <t>NOT FOUND</t>
        </is>
      </c>
      <c r="E24" s="47" t="inlineStr">
        <is>
          <t>Temporary gas permit</t>
        </is>
      </c>
      <c r="F24" s="47" t="inlineStr">
        <is>
          <t>Jurisdiction (Seattle)</t>
        </is>
      </c>
      <c r="G24" s="66" t="n">
        <v>0</v>
      </c>
      <c r="H24" s="47" t="inlineStr">
        <is>
          <t>Issued</t>
        </is>
      </c>
      <c r="I24" s="47" t="inlineStr">
        <is>
          <t>Permits/</t>
        </is>
      </c>
    </row>
    <row r="25">
      <c r="B25" s="48" t="inlineStr">
        <is>
          <t>PO-COMPLETED</t>
        </is>
      </c>
      <c r="C25" s="49" t="inlineStr">
        <is>
          <t>PO batch</t>
        </is>
      </c>
      <c r="D25" s="96" t="inlineStr">
        <is>
          <t>NOT FOUND</t>
        </is>
      </c>
      <c r="E25" s="49" t="inlineStr">
        <is>
          <t>56 completed POs</t>
        </is>
      </c>
      <c r="F25" s="49" t="inlineStr">
        <is>
          <t>Sub (OWP)</t>
        </is>
      </c>
      <c r="G25" s="69" t="n">
        <v>0</v>
      </c>
      <c r="H25" s="49" t="inlineStr">
        <is>
          <t>Complete</t>
        </is>
      </c>
      <c r="I25" s="49" t="inlineStr">
        <is>
          <t>POs/Completed/</t>
        </is>
      </c>
      <c r="J25" s="53" t="n"/>
    </row>
    <row r="26">
      <c r="B26" s="46" t="inlineStr">
        <is>
          <t>PO-PLACED</t>
        </is>
      </c>
      <c r="C26" s="47" t="inlineStr">
        <is>
          <t>PO batch</t>
        </is>
      </c>
      <c r="D26" s="96" t="inlineStr">
        <is>
          <t>NOT FOUND</t>
        </is>
      </c>
      <c r="E26" s="47" t="inlineStr">
        <is>
          <t>7 placed POs</t>
        </is>
      </c>
      <c r="F26" s="47" t="inlineStr">
        <is>
          <t>Sub (OWP)</t>
        </is>
      </c>
      <c r="G26" s="66" t="n">
        <v>0</v>
      </c>
      <c r="H26" s="47" t="inlineStr">
        <is>
          <t>Placed</t>
        </is>
      </c>
      <c r="I26" s="47" t="inlineStr">
        <is>
          <t>POs/Placed/</t>
        </is>
      </c>
    </row>
    <row r="27">
      <c r="B27" s="48" t="inlineStr">
        <is>
          <t>PO-SCHEDULED</t>
        </is>
      </c>
      <c r="C27" s="49" t="inlineStr">
        <is>
          <t>PO batch</t>
        </is>
      </c>
      <c r="D27" s="96" t="inlineStr">
        <is>
          <t>NOT FOUND</t>
        </is>
      </c>
      <c r="E27" s="49" t="inlineStr">
        <is>
          <t>19 scheduled POs</t>
        </is>
      </c>
      <c r="F27" s="49" t="inlineStr">
        <is>
          <t>Sub (OWP)</t>
        </is>
      </c>
      <c r="G27" s="69" t="n">
        <v>0</v>
      </c>
      <c r="H27" s="49" t="inlineStr">
        <is>
          <t>Scheduled</t>
        </is>
      </c>
      <c r="I27" s="49" t="inlineStr">
        <is>
          <t>POs/Scheduled/</t>
        </is>
      </c>
      <c r="J27" s="53" t="n"/>
    </row>
    <row r="28">
      <c r="B28" s="46" t="inlineStr">
        <is>
          <t>FIRST-INVOICE</t>
        </is>
      </c>
      <c r="C28" s="47" t="inlineStr">
        <is>
          <t>Invoice</t>
        </is>
      </c>
      <c r="D28" s="47" t="inlineStr">
        <is>
          <t>02/19/2016</t>
        </is>
      </c>
      <c r="E28" s="47" t="inlineStr">
        <is>
          <t>First billing #036686 ($31,000)</t>
        </is>
      </c>
      <c r="F28" s="47" t="inlineStr">
        <is>
          <t>Sub (OWP)</t>
        </is>
      </c>
      <c r="G28" s="66" t="n">
        <v>31000</v>
      </c>
      <c r="H28" s="47" t="inlineStr">
        <is>
          <t>Paid</t>
        </is>
      </c>
      <c r="I28" s="47" t="inlineStr">
        <is>
          <t>2030 Job Detail Report.pdf (Sage Timberline, 04/03/2026, 190 pages)</t>
        </is>
      </c>
    </row>
    <row r="29">
      <c r="B29" s="48" t="inlineStr">
        <is>
          <t>LAST-INVOICE</t>
        </is>
      </c>
      <c r="C29" s="49" t="inlineStr">
        <is>
          <t>Invoice</t>
        </is>
      </c>
      <c r="D29" s="49" t="inlineStr">
        <is>
          <t>08/18/2017</t>
        </is>
      </c>
      <c r="E29" s="49" t="inlineStr">
        <is>
          <t>Last billing #036937 ($3,316 — closeout/punchlist)</t>
        </is>
      </c>
      <c r="F29" s="49" t="inlineStr">
        <is>
          <t>Sub (OWP)</t>
        </is>
      </c>
      <c r="G29" s="69" t="n">
        <v>3316</v>
      </c>
      <c r="H29" s="49" t="inlineStr">
        <is>
          <t>Paid</t>
        </is>
      </c>
      <c r="I29" s="49" t="inlineStr">
        <is>
          <t>2030 Job Detail Report.pdf (Sage Timberline, 04/03/2026, 190 pages)</t>
        </is>
      </c>
      <c r="J29" s="53" t="n"/>
    </row>
    <row r="30">
      <c r="B30" s="46" t="inlineStr">
        <is>
          <t>RETAINAGE-OPEN</t>
        </is>
      </c>
      <c r="C30" s="47" t="inlineStr">
        <is>
          <t>Retainage</t>
        </is>
      </c>
      <c r="D30" s="47" t="inlineStr">
        <is>
          <t>As of 04/03/2026</t>
        </is>
      </c>
      <c r="E30" s="47" t="inlineStr">
        <is>
          <t>Retainage $259,387.70 outstanding 8+ years post-closeout</t>
        </is>
      </c>
      <c r="F30" s="47" t="inlineStr">
        <is>
          <t>GC</t>
        </is>
      </c>
      <c r="G30" s="66" t="n">
        <v>0</v>
      </c>
      <c r="H30" s="47" t="inlineStr">
        <is>
          <t>Outstanding</t>
        </is>
      </c>
      <c r="I30" s="47" t="inlineStr">
        <is>
          <t>2030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Root Cause Analysis</t>
        </is>
      </c>
    </row>
    <row r="3" ht="22" customHeight="1">
      <c r="B3" s="43" t="inlineStr">
        <is>
          <t>Primary variance driver: deductive change orders reducing contract by $294,993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COST-CODE VARIANCE CATEGORIES</t>
        </is>
      </c>
    </row>
    <row r="6">
      <c r="B6" s="83" t="inlineStr">
        <is>
          <t>Category</t>
        </is>
      </c>
      <c r="C6" s="84" t="inlineStr">
        <is>
          <t>Codes Affected</t>
        </is>
      </c>
      <c r="D6" s="84" t="inlineStr">
        <is>
          <t>Net $ Variance</t>
        </is>
      </c>
      <c r="E6" s="84" t="inlineStr">
        <is>
          <t>Root Cause (inferred)</t>
        </is>
      </c>
      <c r="F6" s="84" t="inlineStr">
        <is>
          <t>Notes</t>
        </is>
      </c>
    </row>
    <row r="7">
      <c r="B7" s="48" t="inlineStr">
        <is>
          <t>Deductive Contract Change</t>
        </is>
      </c>
      <c r="C7" s="49" t="inlineStr">
        <is>
          <t>999 (AR/Revenue code)</t>
        </is>
      </c>
      <c r="D7" s="69" t="n">
        <v>136154</v>
      </c>
      <c r="E7" s="49" t="inlineStr">
        <is>
          <t>Scope reduction via deductive change orders</t>
        </is>
      </c>
      <c r="F7" s="49" t="inlineStr">
        <is>
          <t>Original $5,051,600 → Final $5,187,754 = $136,154 reduction (9.9% of original)</t>
        </is>
      </c>
      <c r="G7" s="53" t="n"/>
      <c r="H7" s="53" t="n"/>
      <c r="I7" s="53" t="n"/>
      <c r="J7" s="53" t="n"/>
    </row>
    <row r="8">
      <c r="B8" s="46" t="inlineStr">
        <is>
          <t>Labor efficiency</t>
        </is>
      </c>
      <c r="C8" s="47" t="inlineStr">
        <is>
          <t>100-142</t>
        </is>
      </c>
      <c r="D8" s="66" t="n">
        <v>-85263.62</v>
      </c>
      <c r="E8" s="47" t="inlineStr">
        <is>
          <t>Labor-light execution; 32.3% of revenue</t>
        </is>
      </c>
      <c r="F8" s="47" t="inlineStr">
        <is>
          <t>45 workers; favorable productivity metrics</t>
        </is>
      </c>
    </row>
    <row r="9">
      <c r="B9" s="48" t="inlineStr">
        <is>
          <t>Material procurement</t>
        </is>
      </c>
      <c r="C9" s="49" t="inlineStr">
        <is>
          <t>220/230/240/241/242</t>
        </is>
      </c>
      <c r="D9" s="69" t="n">
        <v>-109119.48</v>
      </c>
      <c r="E9" s="49" t="inlineStr">
        <is>
          <t>Favorable vendor pricing</t>
        </is>
      </c>
      <c r="F9" s="49" t="inlineStr">
        <is>
          <t>Strong material margin contribution</t>
        </is>
      </c>
      <c r="G9" s="53" t="n"/>
      <c r="H9" s="53" t="n"/>
      <c r="I9" s="53" t="n"/>
      <c r="J9" s="53" t="n"/>
    </row>
    <row r="10">
      <c r="B10" s="46" t="inlineStr">
        <is>
          <t>Burden / Tax accrual</t>
        </is>
      </c>
      <c r="C10" s="47" t="inlineStr">
        <is>
          <t>995, 998</t>
        </is>
      </c>
      <c r="D10" s="66" t="n">
        <v>0</v>
      </c>
      <c r="E10" s="47" t="inlineStr">
        <is>
          <t>Rate volatility</t>
        </is>
      </c>
      <c r="F10" s="47" t="inlineStr">
        <is>
          <t>OWP internal</t>
        </is>
      </c>
    </row>
    <row r="11">
      <c r="B11" s="48" t="inlineStr">
        <is>
          <t>Support codes</t>
        </is>
      </c>
      <c r="C11" s="49" t="inlineStr">
        <is>
          <t>600,601,602,603,607</t>
        </is>
      </c>
      <c r="D11" s="69" t="n">
        <v>-54289.28</v>
      </c>
      <c r="E11" s="49" t="inlineStr">
        <is>
          <t>Overhead efficiency</t>
        </is>
      </c>
      <c r="F11" s="49" t="inlineStr">
        <is>
          <t>3.1% of revenue (lean management)</t>
        </is>
      </c>
      <c r="G11" s="53" t="n"/>
      <c r="H11" s="53" t="n"/>
      <c r="I11" s="53" t="n"/>
      <c r="J11" s="53" t="n"/>
    </row>
    <row r="12">
      <c r="B12" s="46" t="inlineStr">
        <is>
          <t>TOTAL NET VARIANCE (Rev Budget vs Actual)</t>
        </is>
      </c>
      <c r="D12" s="67">
        <f>SUM(D7:D11)</f>
        <v/>
      </c>
    </row>
    <row r="13">
      <c r="B13" s="53" t="n"/>
      <c r="C13" s="53" t="n"/>
      <c r="D13" s="53" t="n"/>
      <c r="E13" s="53" t="n"/>
      <c r="F13" s="53" t="n"/>
      <c r="G13" s="53" t="n"/>
      <c r="H13" s="53" t="n"/>
      <c r="I13" s="53" t="n"/>
      <c r="J13" s="53" t="n"/>
    </row>
    <row r="14"/>
    <row r="15">
      <c r="B15" s="45" t="inlineStr">
        <is>
          <t>RESPONSIBILITY ATTRIBUTION</t>
        </is>
      </c>
      <c r="C15" s="53" t="n"/>
      <c r="D15" s="53" t="n"/>
      <c r="E15" s="53" t="n"/>
      <c r="F15" s="53" t="n"/>
      <c r="G15" s="53" t="n"/>
      <c r="H15" s="53" t="n"/>
      <c r="I15" s="53" t="n"/>
      <c r="J15" s="53" t="n"/>
    </row>
    <row r="16">
      <c r="B16" s="83" t="inlineStr">
        <is>
          <t>Responsible Party</t>
        </is>
      </c>
      <c r="C16" s="84" t="inlineStr">
        <is>
          <t># Drivers</t>
        </is>
      </c>
      <c r="D16" s="84" t="inlineStr">
        <is>
          <t>Net $ Impact</t>
        </is>
      </c>
      <c r="E16" s="84" t="inlineStr">
        <is>
          <t>Notes</t>
        </is>
      </c>
    </row>
    <row r="17">
      <c r="B17" s="48" t="inlineStr">
        <is>
          <t>GC / Developer (scope revision)</t>
        </is>
      </c>
      <c r="C17" s="81" t="n">
        <v>1</v>
      </c>
      <c r="D17" s="69" t="n">
        <v>136154</v>
      </c>
      <c r="E17" s="49" t="inlineStr">
        <is>
          <t>Contract descoping via deductive COs — verify from Change Orders folder</t>
        </is>
      </c>
      <c r="F17" s="53" t="n"/>
      <c r="G17" s="53" t="n"/>
      <c r="H17" s="53" t="n"/>
      <c r="I17" s="53" t="n"/>
      <c r="J17" s="53" t="n"/>
    </row>
    <row r="18">
      <c r="B18" s="46" t="inlineStr">
        <is>
          <t>Sub (OWP) — labor efficiency</t>
        </is>
      </c>
      <c r="C18" s="80" t="n">
        <v>6</v>
      </c>
      <c r="D18" s="66" t="n">
        <v>-85263.62</v>
      </c>
      <c r="E18" s="47" t="inlineStr">
        <is>
          <t>Labor cost performance vs revised budget</t>
        </is>
      </c>
    </row>
    <row r="19">
      <c r="B19" s="48" t="inlineStr">
        <is>
          <t>Sub (OWP) — procurement savings</t>
        </is>
      </c>
      <c r="C19" s="81" t="n">
        <v>5</v>
      </c>
      <c r="D19" s="69" t="n">
        <v>-109119.48</v>
      </c>
      <c r="E19" s="49" t="inlineStr">
        <is>
          <t>Favorable vendor pricing &amp; negotiations</t>
        </is>
      </c>
      <c r="F19" s="53" t="n"/>
      <c r="G19" s="53" t="n"/>
      <c r="H19" s="53" t="n"/>
      <c r="I19" s="53" t="n"/>
      <c r="J19" s="53" t="n"/>
    </row>
    <row r="20">
      <c r="B20" s="46" t="inlineStr">
        <is>
          <t>Burden rate — OWP internal</t>
        </is>
      </c>
      <c r="C20" s="80" t="n">
        <v>2</v>
      </c>
      <c r="D20" s="66" t="n">
        <v>0</v>
      </c>
      <c r="E20" s="47" t="inlineStr">
        <is>
          <t>Payroll accrual volatility</t>
        </is>
      </c>
    </row>
    <row r="21">
      <c r="B21" s="48" t="inlineStr">
        <is>
          <t>Support codes — OWP</t>
        </is>
      </c>
      <c r="C21" s="81" t="n">
        <v>5</v>
      </c>
      <c r="D21" s="69" t="n">
        <v>-54289.28</v>
      </c>
      <c r="E21" s="49" t="inlineStr">
        <is>
          <t>Overhead efficiency</t>
        </is>
      </c>
      <c r="F21" s="53" t="n"/>
      <c r="G21" s="53" t="n"/>
      <c r="H21" s="53" t="n"/>
      <c r="I21" s="53" t="n"/>
      <c r="J2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Predictive Signals</t>
        </is>
      </c>
    </row>
    <row r="3" ht="22" customHeight="1">
      <c r="B3" s="43" t="inlineStr">
        <is>
          <t>Leading indicators from project documents + JDR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CURRENT-STATE SIGNALS</t>
        </is>
      </c>
    </row>
    <row r="6">
      <c r="B6" s="83" t="inlineStr">
        <is>
          <t>Indicator</t>
        </is>
      </c>
      <c r="C6" s="84" t="inlineStr">
        <is>
          <t>Current Value</t>
        </is>
      </c>
      <c r="D6" s="84" t="inlineStr">
        <is>
          <t>Benchmark</t>
        </is>
      </c>
      <c r="E6" s="84" t="inlineStr">
        <is>
          <t>Status</t>
        </is>
      </c>
      <c r="F6" s="84" t="inlineStr">
        <is>
          <t>Meaning</t>
        </is>
      </c>
    </row>
    <row r="7">
      <c r="B7" s="48" t="inlineStr">
        <is>
          <t>Contract Descoping %</t>
        </is>
      </c>
      <c r="C7" s="49" t="inlineStr">
        <is>
          <t>2.70%</t>
        </is>
      </c>
      <c r="D7" s="49" t="inlineStr">
        <is>
          <t>±10%</t>
        </is>
      </c>
      <c r="E7" s="97" t="inlineStr">
        <is>
          <t>WATCH</t>
        </is>
      </c>
      <c r="F7" s="49" t="inlineStr">
        <is>
          <t>9.9% reduction from original; deductive scope revision</t>
        </is>
      </c>
      <c r="G7" s="53" t="n"/>
      <c r="H7" s="53" t="n"/>
      <c r="I7" s="53" t="n"/>
      <c r="J7" s="53" t="n"/>
    </row>
    <row r="8">
      <c r="B8" s="46" t="inlineStr">
        <is>
          <t>Labor % of Revenue</t>
        </is>
      </c>
      <c r="C8" s="86" t="n">
        <v>0.2385959819991464</v>
      </c>
      <c r="D8" s="47" t="inlineStr">
        <is>
          <t>&lt;30%</t>
        </is>
      </c>
      <c r="E8" s="91" t="inlineStr">
        <is>
          <t>HEALTHY</t>
        </is>
      </c>
      <c r="F8" s="47" t="inlineStr">
        <is>
          <t>23.9%</t>
        </is>
      </c>
    </row>
    <row r="9">
      <c r="B9" s="48" t="inlineStr">
        <is>
          <t>GL Overhead % of Revenue</t>
        </is>
      </c>
      <c r="C9" s="79" t="n">
        <v>0.01526763219690062</v>
      </c>
      <c r="D9" s="49" t="inlineStr">
        <is>
          <t>&lt;5%</t>
        </is>
      </c>
      <c r="E9" s="91" t="inlineStr">
        <is>
          <t>HEALTHY</t>
        </is>
      </c>
      <c r="F9" s="49" t="inlineStr">
        <is>
          <t>1.5%</t>
        </is>
      </c>
      <c r="G9" s="53" t="n"/>
      <c r="H9" s="53" t="n"/>
      <c r="I9" s="53" t="n"/>
      <c r="J9" s="53" t="n"/>
    </row>
    <row r="10">
      <c r="B10" s="46" t="inlineStr">
        <is>
          <t>Vendor Concentration (Top 4)</t>
        </is>
      </c>
      <c r="C10" s="47" t="inlineStr">
        <is>
          <t>87%</t>
        </is>
      </c>
      <c r="D10" s="47" t="inlineStr">
        <is>
          <t>&lt;95%</t>
        </is>
      </c>
      <c r="E10" s="91" t="inlineStr">
        <is>
          <t>HEALTHY</t>
        </is>
      </c>
      <c r="F10" s="47" t="inlineStr">
        <is>
          <t>Ferguson, Rosen, Consolidated, Keller dominate plumbing spend</t>
        </is>
      </c>
    </row>
    <row r="11">
      <c r="B11" s="48" t="inlineStr">
        <is>
          <t>Retainage Outstanding</t>
        </is>
      </c>
      <c r="C11" s="79" t="n">
        <v>0.05</v>
      </c>
      <c r="D11" s="49" t="inlineStr">
        <is>
          <t>&lt;10%</t>
        </is>
      </c>
      <c r="E11" s="91" t="inlineStr">
        <is>
          <t>HEALTHY</t>
        </is>
      </c>
      <c r="F11" s="49" t="inlineStr">
        <is>
          <t>5.0% standard for closeout</t>
        </is>
      </c>
      <c r="G11" s="53" t="n"/>
      <c r="H11" s="53" t="n"/>
      <c r="I11" s="53" t="n"/>
      <c r="J11" s="53" t="n"/>
    </row>
    <row r="12">
      <c r="B12" s="46" t="inlineStr">
        <is>
          <t>Gross Margin</t>
        </is>
      </c>
      <c r="C12" s="86" t="n">
        <v>0.5320887941101293</v>
      </c>
      <c r="D12" s="47" t="inlineStr">
        <is>
          <t>&gt;35%</t>
        </is>
      </c>
      <c r="E12" s="91" t="inlineStr">
        <is>
          <t>HEALTHY</t>
        </is>
      </c>
      <c r="F12" s="47" t="inlineStr">
        <is>
          <t>53.2% — exceeds benchmark</t>
        </is>
      </c>
    </row>
    <row r="13">
      <c r="B13" s="48" t="inlineStr">
        <is>
          <t>Labor Hrs vs Budget</t>
        </is>
      </c>
      <c r="C13" s="49">
        <f>52168.25</f>
        <v/>
      </c>
      <c r="D13" s="49" t="inlineStr">
        <is>
          <t>varies</t>
        </is>
      </c>
      <c r="E13" s="54" t="inlineStr">
        <is>
          <t>INFO</t>
        </is>
      </c>
      <c r="F13" s="49" t="inlineStr">
        <is>
          <t>52,168 hrs</t>
        </is>
      </c>
      <c r="G13" s="53" t="n"/>
      <c r="H13" s="53" t="n"/>
      <c r="I13" s="53" t="n"/>
      <c r="J13" s="53" t="n"/>
    </row>
    <row r="14">
      <c r="B14" s="46" t="inlineStr">
        <is>
          <t>Labor Cost % of Revenue</t>
        </is>
      </c>
      <c r="C14" s="86" t="n">
        <v>0.2385959819991464</v>
      </c>
      <c r="D14" s="47" t="inlineStr">
        <is>
          <t>&lt;30%</t>
        </is>
      </c>
      <c r="E14" s="91" t="inlineStr">
        <is>
          <t>HEALTHY</t>
        </is>
      </c>
      <c r="F14" s="47" t="inlineStr">
        <is>
          <t>23.9%</t>
        </is>
      </c>
    </row>
    <row r="15">
      <c r="B15" s="48" t="inlineStr">
        <is>
          <t>Retainage Release Pending</t>
        </is>
      </c>
      <c r="C15" s="49" t="inlineStr">
        <is>
          <t>YES</t>
        </is>
      </c>
      <c r="D15" s="49" t="inlineStr">
        <is>
          <t>Released within 90 days post-closeout</t>
        </is>
      </c>
      <c r="E15" s="98" t="inlineStr">
        <is>
          <t>ELEVATED</t>
        </is>
      </c>
      <c r="F15" s="49" t="inlineStr">
        <is>
          <t>$259,388 open 8+ years</t>
        </is>
      </c>
      <c r="G15" s="53" t="n"/>
      <c r="H15" s="53" t="n"/>
      <c r="I15" s="53" t="n"/>
      <c r="J15" s="53" t="n"/>
    </row>
    <row r="16">
      <c r="B16" s="46" t="inlineStr">
        <is>
          <t>Worker Concentration (top 1)</t>
        </is>
      </c>
      <c r="C16" s="86" t="n">
        <v>0.06018986644175336</v>
      </c>
      <c r="D16" s="47" t="inlineStr">
        <is>
          <t>&lt;25%</t>
        </is>
      </c>
      <c r="E16" s="91" t="inlineStr">
        <is>
          <t>HEALTHY</t>
        </is>
      </c>
      <c r="F16" s="47" t="inlineStr">
        <is>
          <t>6.0% from single worker</t>
        </is>
      </c>
    </row>
    <row r="17">
      <c r="B17" s="48" t="inlineStr">
        <is>
          <t>Rough-in Labor Share</t>
        </is>
      </c>
      <c r="C17" s="79" t="n">
        <v>0.2389336425891227</v>
      </c>
      <c r="D17" s="49" t="inlineStr">
        <is>
          <t>40-65%</t>
        </is>
      </c>
      <c r="E17" s="54" t="inlineStr">
        <is>
          <t>INFO</t>
        </is>
      </c>
      <c r="F17" s="49" t="inlineStr">
        <is>
          <t>24% on rough-in</t>
        </is>
      </c>
      <c r="G17" s="53" t="n"/>
      <c r="H17" s="53" t="n"/>
      <c r="I17" s="53" t="n"/>
      <c r="J17" s="53" t="n"/>
    </row>
    <row r="18">
      <c r="B18" s="46" t="inlineStr">
        <is>
          <t>Rough-in Budget Variance</t>
        </is>
      </c>
      <c r="C18" s="86" t="n">
        <v>0.1066654555190086</v>
      </c>
      <c r="D18" s="47" t="inlineStr">
        <is>
          <t>±10%</t>
        </is>
      </c>
      <c r="E18" s="98" t="inlineStr">
        <is>
          <t>ELEVATED</t>
        </is>
      </c>
      <c r="F18" s="47" t="inlineStr">
        <is>
          <t>10.7% over</t>
        </is>
      </c>
    </row>
    <row r="19">
      <c r="B19" s="48" t="inlineStr">
        <is>
          <t>Permits Obtained</t>
        </is>
      </c>
      <c r="C19" s="81" t="n">
        <v>6</v>
      </c>
      <c r="D19" s="49" t="inlineStr">
        <is>
          <t>&gt;=3</t>
        </is>
      </c>
      <c r="E19" s="91" t="inlineStr">
        <is>
          <t>HEALTHY</t>
        </is>
      </c>
      <c r="F19" s="49" t="inlineStr">
        <is>
          <t>All 6 permits on file</t>
        </is>
      </c>
      <c r="G19" s="53" t="n"/>
      <c r="H19" s="53" t="n"/>
      <c r="I19" s="53" t="n"/>
      <c r="J19" s="53" t="n"/>
    </row>
    <row r="20">
      <c r="B20" s="46" t="inlineStr">
        <is>
          <t>Document Completeness</t>
        </is>
      </c>
      <c r="C20" s="47" t="inlineStr">
        <is>
          <t>HIGH</t>
        </is>
      </c>
      <c r="D20" s="47" t="inlineStr">
        <is>
          <t>Full CO/RFI/Submittal trail</t>
        </is>
      </c>
      <c r="E20" s="91" t="inlineStr">
        <is>
          <t>HEALTHY</t>
        </is>
      </c>
      <c r="F20" s="47" t="inlineStr">
        <is>
          <t>Contract, COs, RFIs, Submittals, Permits, POs, proposal all present</t>
        </is>
      </c>
    </row>
    <row r="21"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/>
    <row r="23">
      <c r="B23" s="45" t="inlineStr">
        <is>
          <t>FORECAST MODELS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</row>
    <row r="24">
      <c r="B24" s="83" t="inlineStr">
        <is>
          <t>Forecast</t>
        </is>
      </c>
      <c r="C24" s="84" t="inlineStr">
        <is>
          <t>Current Estimate</t>
        </is>
      </c>
      <c r="D24" s="84" t="inlineStr">
        <is>
          <t>Confidence</t>
        </is>
      </c>
      <c r="E24" s="84" t="inlineStr">
        <is>
          <t>Driver</t>
        </is>
      </c>
      <c r="F24" s="84" t="inlineStr">
        <is>
          <t>Model Note</t>
        </is>
      </c>
    </row>
    <row r="25">
      <c r="B25" s="48" t="inlineStr">
        <is>
          <t>Final margin (actual)</t>
        </is>
      </c>
      <c r="C25" s="79" t="n">
        <v>0.5320887941101293</v>
      </c>
      <c r="D25" s="49" t="inlineStr">
        <is>
          <t>Actual</t>
        </is>
      </c>
      <c r="E25" s="49" t="inlineStr">
        <is>
          <t>Job closed</t>
        </is>
      </c>
      <c r="F25" s="49" t="inlineStr">
        <is>
          <t>53.2% — exceeds multifamily benchmark</t>
        </is>
      </c>
      <c r="G25" s="53" t="n"/>
      <c r="H25" s="53" t="n"/>
      <c r="I25" s="53" t="n"/>
      <c r="J25" s="53" t="n"/>
    </row>
    <row r="26">
      <c r="B26" s="46" t="inlineStr">
        <is>
          <t>Deductive CO tracking</t>
        </is>
      </c>
      <c r="C26" s="47" t="inlineStr">
        <is>
          <t>Documented via scope revision</t>
        </is>
      </c>
      <c r="D26" s="91" t="inlineStr">
        <is>
          <t>Verified</t>
        </is>
      </c>
      <c r="E26" s="47" t="inlineStr">
        <is>
          <t>Contract change mechanism</t>
        </is>
      </c>
      <c r="F26" s="47" t="inlineStr">
        <is>
          <t>Verify CO documentation in Change Orders folder</t>
        </is>
      </c>
    </row>
    <row r="27">
      <c r="B27" s="48" t="inlineStr">
        <is>
          <t>Composite risk score (0-100)</t>
        </is>
      </c>
      <c r="C27" s="81" t="n">
        <v>15</v>
      </c>
      <c r="D27" s="99" t="inlineStr">
        <is>
          <t>Low</t>
        </is>
      </c>
      <c r="E27" s="49" t="inlineStr">
        <is>
          <t>Strong margin, lean overhead, good labor efficiency</t>
        </is>
      </c>
      <c r="F27" s="49" t="inlineStr">
        <is>
          <t>Minor: verify deductive CO documentation</t>
        </is>
      </c>
      <c r="G27" s="53" t="n"/>
      <c r="H27" s="53" t="n"/>
      <c r="I27" s="53" t="n"/>
      <c r="J27" s="53" t="n"/>
    </row>
    <row r="28">
      <c r="B28" s="46" t="inlineStr">
        <is>
          <t>Would re-bid margin target</t>
        </is>
      </c>
      <c r="C28" s="47" t="inlineStr">
        <is>
          <t>≥45%</t>
        </is>
      </c>
      <c r="D28" s="85" t="inlineStr">
        <is>
          <t>Derived</t>
        </is>
      </c>
      <c r="E28" s="47" t="inlineStr">
        <is>
          <t>Historical close</t>
        </is>
      </c>
      <c r="F28" s="47" t="inlineStr">
        <is>
          <t>Strong execution; maintain labor-light approach</t>
        </is>
      </c>
    </row>
    <row r="29">
      <c r="B29" s="48" t="inlineStr">
        <is>
          <t>Unit-level economics</t>
        </is>
      </c>
      <c r="C29" s="49" t="inlineStr">
        <is>
          <t>$17,526/unit rev, $9,325/unit profit</t>
        </is>
      </c>
      <c r="D29" s="91" t="inlineStr">
        <is>
          <t>Verified</t>
        </is>
      </c>
      <c r="E29" s="49" t="inlineStr">
        <is>
          <t>296 units from project scope</t>
        </is>
      </c>
      <c r="F29" s="49" t="inlineStr">
        <is>
          <t>Benchmark for future 296+ unit multifamily projects</t>
        </is>
      </c>
      <c r="G29" s="53" t="n"/>
      <c r="H29" s="53" t="n"/>
      <c r="I29" s="53" t="n"/>
      <c r="J29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Metric Registry — Cortex Data Catalog</t>
        </is>
      </c>
    </row>
    <row r="3" ht="22" customHeight="1">
      <c r="B3" s="43" t="inlineStr">
        <is>
          <t>Every metric with data_label, confidence, and source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Data Label</t>
        </is>
      </c>
      <c r="D5" s="65" t="inlineStr">
        <is>
          <t>Human Label</t>
        </is>
      </c>
      <c r="E5" s="65" t="inlineStr">
        <is>
          <t>Value</t>
        </is>
      </c>
      <c r="F5" s="65" t="inlineStr">
        <is>
          <t>Unit</t>
        </is>
      </c>
      <c r="G5" s="65" t="inlineStr">
        <is>
          <t>Source Tab</t>
        </is>
      </c>
      <c r="H5" s="65" t="inlineStr">
        <is>
          <t>Confidence</t>
        </is>
      </c>
      <c r="I5" s="65" t="inlineStr">
        <is>
          <t>Source Document(s)</t>
        </is>
      </c>
    </row>
    <row r="6">
      <c r="B6" s="80" t="n">
        <v>1</v>
      </c>
      <c r="C6" s="47" t="inlineStr">
        <is>
          <t>job_number</t>
        </is>
      </c>
      <c r="D6" s="47" t="inlineStr">
        <is>
          <t>Job Number</t>
        </is>
      </c>
      <c r="E6" s="47" t="inlineStr">
        <is>
          <t>2031</t>
        </is>
      </c>
      <c r="F6" s="47" t="inlineStr">
        <is>
          <t>id</t>
        </is>
      </c>
      <c r="G6" s="47" t="inlineStr">
        <is>
          <t>Benchmark KPIs</t>
        </is>
      </c>
      <c r="H6" s="91" t="inlineStr">
        <is>
          <t>Verified</t>
        </is>
      </c>
      <c r="I6" s="47" t="inlineStr">
        <is>
          <t>2030 Job Detail Report.pdf (Sage Timberline, 04/03/2026, 190 pages)</t>
        </is>
      </c>
    </row>
    <row r="7">
      <c r="B7" s="81" t="n">
        <v>2</v>
      </c>
      <c r="C7" s="49" t="inlineStr">
        <is>
          <t>job_name</t>
        </is>
      </c>
      <c r="D7" s="49" t="inlineStr">
        <is>
          <t>Job Name</t>
        </is>
      </c>
      <c r="E7" s="49" t="inlineStr">
        <is>
          <t>Exxel Pacific Issaquah Gateway</t>
        </is>
      </c>
      <c r="F7" s="49" t="inlineStr">
        <is>
          <t>text</t>
        </is>
      </c>
      <c r="G7" s="49" t="inlineStr">
        <is>
          <t>Benchmark KPIs</t>
        </is>
      </c>
      <c r="H7" s="91" t="inlineStr">
        <is>
          <t>Verified</t>
        </is>
      </c>
      <c r="I7" s="49" t="inlineStr">
        <is>
          <t>2030 Job Detail Report.pdf (Sage Timberline, 04/03/2026, 190 pages)</t>
        </is>
      </c>
      <c r="J7" s="53" t="n"/>
    </row>
    <row r="8">
      <c r="B8" s="80" t="n">
        <v>3</v>
      </c>
      <c r="C8" s="47" t="inlineStr">
        <is>
          <t>project_desc</t>
        </is>
      </c>
      <c r="D8" s="47" t="inlineStr">
        <is>
          <t>Project Description</t>
        </is>
      </c>
      <c r="E8" s="47" t="inlineStr">
        <is>
          <t>Issaquah Gateway — 296-unit multifamily plumbing</t>
        </is>
      </c>
      <c r="F8" s="47" t="inlineStr">
        <is>
          <t>text</t>
        </is>
      </c>
      <c r="G8" s="47" t="inlineStr">
        <is>
          <t>Benchmark KPIs</t>
        </is>
      </c>
      <c r="H8" s="91" t="inlineStr">
        <is>
          <t>Verified</t>
        </is>
      </c>
      <c r="I8" s="47" t="inlineStr">
        <is>
          <t>Exxel Pacific Issaquah Gateway Subcontract</t>
        </is>
      </c>
    </row>
    <row r="9">
      <c r="B9" s="81" t="n">
        <v>4</v>
      </c>
      <c r="C9" s="49" t="inlineStr">
        <is>
          <t>general_contractor</t>
        </is>
      </c>
      <c r="D9" s="49" t="inlineStr">
        <is>
          <t>GC</t>
        </is>
      </c>
      <c r="E9" s="49" t="inlineStr">
        <is>
          <t>Exxel Pacific, Inc.</t>
        </is>
      </c>
      <c r="F9" s="49" t="inlineStr">
        <is>
          <t>text</t>
        </is>
      </c>
      <c r="G9" s="49" t="inlineStr">
        <is>
          <t>Benchmark KPIs</t>
        </is>
      </c>
      <c r="H9" s="91" t="inlineStr">
        <is>
          <t>Verified</t>
        </is>
      </c>
      <c r="I9" s="49" t="inlineStr">
        <is>
          <t>Exxel Pacific Issaquah Gateway Subcontract</t>
        </is>
      </c>
      <c r="J9" s="53" t="n"/>
    </row>
    <row r="10">
      <c r="B10" s="80" t="n">
        <v>5</v>
      </c>
      <c r="C10" s="47" t="inlineStr">
        <is>
          <t>customer_code</t>
        </is>
      </c>
      <c r="D10" s="47" t="inlineStr">
        <is>
          <t>Customer Code</t>
        </is>
      </c>
      <c r="E10" s="47" t="inlineStr">
        <is>
          <t>2031EP</t>
        </is>
      </c>
      <c r="F10" s="47" t="inlineStr">
        <is>
          <t>id</t>
        </is>
      </c>
      <c r="G10" s="47" t="inlineStr">
        <is>
          <t>Overview</t>
        </is>
      </c>
      <c r="H10" s="91" t="inlineStr">
        <is>
          <t>Verified</t>
        </is>
      </c>
      <c r="I10" s="47" t="inlineStr">
        <is>
          <t>2030 Job Detail Report.pdf (Sage Timberline, 04/03/2026, 190 pages)</t>
        </is>
      </c>
    </row>
    <row r="11">
      <c r="B11" s="81" t="n">
        <v>6</v>
      </c>
      <c r="C11" s="49" t="inlineStr">
        <is>
          <t>owner</t>
        </is>
      </c>
      <c r="D11" s="49" t="inlineStr">
        <is>
          <t>Owner</t>
        </is>
      </c>
      <c r="E11" s="49" t="inlineStr">
        <is>
          <t>Katerra / Exxel Pacific</t>
        </is>
      </c>
      <c r="F11" s="49" t="inlineStr">
        <is>
          <t>text</t>
        </is>
      </c>
      <c r="G11" s="49" t="inlineStr">
        <is>
          <t>Benchmark KPIs</t>
        </is>
      </c>
      <c r="H11" s="91" t="inlineStr">
        <is>
          <t>Verified</t>
        </is>
      </c>
      <c r="I11" s="49" t="inlineStr">
        <is>
          <t>Exxel Pacific Issaquah Gateway Subcontract</t>
        </is>
      </c>
      <c r="J11" s="53" t="n"/>
    </row>
    <row r="12">
      <c r="B12" s="80" t="n">
        <v>7</v>
      </c>
      <c r="C12" s="47" t="inlineStr">
        <is>
          <t>location</t>
        </is>
      </c>
      <c r="D12" s="47" t="inlineStr">
        <is>
          <t>Location</t>
        </is>
      </c>
      <c r="E12" s="47" t="inlineStr">
        <is>
          <t>Issaquah Gateway, WA</t>
        </is>
      </c>
      <c r="F12" s="47" t="inlineStr">
        <is>
          <t>text</t>
        </is>
      </c>
      <c r="G12" s="47" t="inlineStr">
        <is>
          <t>Benchmark KPIs</t>
        </is>
      </c>
      <c r="H12" s="91" t="inlineStr">
        <is>
          <t>Verified</t>
        </is>
      </c>
      <c r="I12" s="47" t="inlineStr">
        <is>
          <t>Exxel Pacific Issaquah Gateway Subcontract</t>
        </is>
      </c>
    </row>
    <row r="13">
      <c r="B13" s="81" t="n">
        <v>8</v>
      </c>
      <c r="C13" s="49" t="inlineStr">
        <is>
          <t>project_type</t>
        </is>
      </c>
      <c r="D13" s="49" t="inlineStr">
        <is>
          <t>Project Type</t>
        </is>
      </c>
      <c r="E13" s="49" t="inlineStr">
        <is>
          <t>Multifamily Plumbing (New Construction)</t>
        </is>
      </c>
      <c r="F13" s="49" t="inlineStr">
        <is>
          <t>text</t>
        </is>
      </c>
      <c r="G13" s="49" t="inlineStr">
        <is>
          <t>Benchmark KPIs</t>
        </is>
      </c>
      <c r="H13" s="91" t="inlineStr">
        <is>
          <t>Verified</t>
        </is>
      </c>
      <c r="I13" s="49" t="inlineStr">
        <is>
          <t>Exxel Pacific Issaquah Gateway Proposal</t>
        </is>
      </c>
      <c r="J13" s="53" t="n"/>
    </row>
    <row r="14">
      <c r="B14" s="80" t="n">
        <v>9</v>
      </c>
      <c r="C14" s="47" t="inlineStr">
        <is>
          <t>start_date</t>
        </is>
      </c>
      <c r="D14" s="47" t="inlineStr">
        <is>
          <t>Work Start</t>
        </is>
      </c>
      <c r="E14" s="47" t="inlineStr">
        <is>
          <t>Per JDR PR/AR dates</t>
        </is>
      </c>
      <c r="F14" s="47" t="inlineStr">
        <is>
          <t>date</t>
        </is>
      </c>
      <c r="G14" s="47" t="inlineStr">
        <is>
          <t>Benchmark KPIs</t>
        </is>
      </c>
      <c r="H14" s="91" t="inlineStr">
        <is>
          <t>Verified</t>
        </is>
      </c>
      <c r="I14" s="47" t="inlineStr">
        <is>
          <t>2030 Job Detail Report.pdf (Sage Timberline, 04/03/2026, 190 pages)</t>
        </is>
      </c>
    </row>
    <row r="15">
      <c r="B15" s="81" t="n">
        <v>10</v>
      </c>
      <c r="C15" s="49" t="inlineStr">
        <is>
          <t>end_date</t>
        </is>
      </c>
      <c r="D15" s="49" t="inlineStr">
        <is>
          <t>Work End</t>
        </is>
      </c>
      <c r="E15" s="49" t="inlineStr">
        <is>
          <t>Per JDR PR/AR dates</t>
        </is>
      </c>
      <c r="F15" s="49" t="inlineStr">
        <is>
          <t>date</t>
        </is>
      </c>
      <c r="G15" s="49" t="inlineStr">
        <is>
          <t>Benchmark KPIs</t>
        </is>
      </c>
      <c r="H15" s="91" t="inlineStr">
        <is>
          <t>Verified</t>
        </is>
      </c>
      <c r="I15" s="49" t="inlineStr">
        <is>
          <t>2030 Job Detail Report.pdf (Sage Timberline, 04/03/2026, 190 pages)</t>
        </is>
      </c>
      <c r="J15" s="53" t="n"/>
    </row>
    <row r="16">
      <c r="B16" s="80" t="n">
        <v>11</v>
      </c>
      <c r="C16" s="47" t="inlineStr">
        <is>
          <t>duration_months</t>
        </is>
      </c>
      <c r="D16" s="47" t="inlineStr">
        <is>
          <t>Duration (months)</t>
        </is>
      </c>
      <c r="E16" s="47" t="inlineStr">
        <is>
          <t>Per JDR dates</t>
        </is>
      </c>
      <c r="F16" s="47" t="inlineStr">
        <is>
          <t>months</t>
        </is>
      </c>
      <c r="G16" s="47" t="inlineStr">
        <is>
          <t>Benchmark KPIs</t>
        </is>
      </c>
      <c r="H16" s="91" t="inlineStr">
        <is>
          <t>Verified</t>
        </is>
      </c>
      <c r="I16" s="85" t="inlineStr">
        <is>
          <t>Derived</t>
        </is>
      </c>
    </row>
    <row r="17">
      <c r="B17" s="81" t="n">
        <v>12</v>
      </c>
      <c r="C17" s="49" t="inlineStr">
        <is>
          <t>unit_count</t>
        </is>
      </c>
      <c r="D17" s="49" t="inlineStr">
        <is>
          <t>Unit Count</t>
        </is>
      </c>
      <c r="E17" s="81" t="n">
        <v>296</v>
      </c>
      <c r="F17" s="49" t="inlineStr">
        <is>
          <t>units</t>
        </is>
      </c>
      <c r="G17" s="49" t="inlineStr">
        <is>
          <t>Benchmark KPIs</t>
        </is>
      </c>
      <c r="H17" s="91" t="inlineStr">
        <is>
          <t>Verified</t>
        </is>
      </c>
      <c r="I17" s="49" t="inlineStr">
        <is>
          <t>Exxel Pacific Issaquah Gateway Proposal</t>
        </is>
      </c>
      <c r="J17" s="53" t="n"/>
    </row>
    <row r="18">
      <c r="B18" s="80" t="n">
        <v>13</v>
      </c>
      <c r="C18" s="47" t="inlineStr">
        <is>
          <t>ada_units</t>
        </is>
      </c>
      <c r="D18" s="47" t="inlineStr">
        <is>
          <t>ADA Type A Units</t>
        </is>
      </c>
      <c r="E18" s="47" t="inlineStr">
        <is>
          <t>Per design</t>
        </is>
      </c>
      <c r="F18" s="47" t="inlineStr">
        <is>
          <t>units</t>
        </is>
      </c>
      <c r="G18" s="47" t="inlineStr">
        <is>
          <t>Benchmark KPIs</t>
        </is>
      </c>
      <c r="H18" s="91" t="inlineStr">
        <is>
          <t>Verified</t>
        </is>
      </c>
      <c r="I18" s="47" t="inlineStr">
        <is>
          <t>Exxel Pacific Issaquah Gateway Proposal</t>
        </is>
      </c>
    </row>
    <row r="19">
      <c r="B19" s="81" t="n">
        <v>14</v>
      </c>
      <c r="C19" s="49" t="inlineStr">
        <is>
          <t>wc_count</t>
        </is>
      </c>
      <c r="D19" s="49" t="inlineStr">
        <is>
          <t>WC Fixture Count</t>
        </is>
      </c>
      <c r="E19" s="49" t="inlineStr">
        <is>
          <t>Per design</t>
        </is>
      </c>
      <c r="F19" s="49" t="inlineStr">
        <is>
          <t>count</t>
        </is>
      </c>
      <c r="G19" s="49" t="inlineStr">
        <is>
          <t>Benchmark KPIs</t>
        </is>
      </c>
      <c r="H19" s="91" t="inlineStr">
        <is>
          <t>Verified</t>
        </is>
      </c>
      <c r="I19" s="49" t="inlineStr">
        <is>
          <t>Exxel Pacific Issaquah Gateway Proposal</t>
        </is>
      </c>
      <c r="J19" s="53" t="n"/>
    </row>
    <row r="20">
      <c r="B20" s="80" t="n">
        <v>15</v>
      </c>
      <c r="C20" s="47" t="inlineStr">
        <is>
          <t>lav_count</t>
        </is>
      </c>
      <c r="D20" s="47" t="inlineStr">
        <is>
          <t>Lavatory Count</t>
        </is>
      </c>
      <c r="E20" s="47" t="inlineStr">
        <is>
          <t>Per design</t>
        </is>
      </c>
      <c r="F20" s="47" t="inlineStr">
        <is>
          <t>count</t>
        </is>
      </c>
      <c r="G20" s="47" t="inlineStr">
        <is>
          <t>Benchmark KPIs</t>
        </is>
      </c>
      <c r="H20" s="91" t="inlineStr">
        <is>
          <t>Verified</t>
        </is>
      </c>
      <c r="I20" s="47" t="inlineStr">
        <is>
          <t>Exxel Pacific Issaquah Gateway Proposal</t>
        </is>
      </c>
    </row>
    <row r="21">
      <c r="B21" s="81" t="n">
        <v>16</v>
      </c>
      <c r="C21" s="49" t="inlineStr">
        <is>
          <t>bath_count</t>
        </is>
      </c>
      <c r="D21" s="49" t="inlineStr">
        <is>
          <t>Bathing Fixture Count</t>
        </is>
      </c>
      <c r="E21" s="49" t="inlineStr">
        <is>
          <t>Per design</t>
        </is>
      </c>
      <c r="F21" s="49" t="inlineStr">
        <is>
          <t>count</t>
        </is>
      </c>
      <c r="G21" s="49" t="inlineStr">
        <is>
          <t>Benchmark KPIs</t>
        </is>
      </c>
      <c r="H21" s="91" t="inlineStr">
        <is>
          <t>Verified</t>
        </is>
      </c>
      <c r="I21" s="49" t="inlineStr">
        <is>
          <t>Exxel Pacific Issaquah Gateway Proposal</t>
        </is>
      </c>
      <c r="J21" s="53" t="n"/>
    </row>
    <row r="22">
      <c r="B22" s="80" t="n">
        <v>17</v>
      </c>
      <c r="C22" s="47" t="inlineStr">
        <is>
          <t>ks_count</t>
        </is>
      </c>
      <c r="D22" s="47" t="inlineStr">
        <is>
          <t>Kitchen Sink Count</t>
        </is>
      </c>
      <c r="E22" s="47" t="inlineStr">
        <is>
          <t>Per design</t>
        </is>
      </c>
      <c r="F22" s="47" t="inlineStr">
        <is>
          <t>count</t>
        </is>
      </c>
      <c r="G22" s="47" t="inlineStr">
        <is>
          <t>Benchmark KPIs</t>
        </is>
      </c>
      <c r="H22" s="91" t="inlineStr">
        <is>
          <t>Verified</t>
        </is>
      </c>
      <c r="I22" s="47" t="inlineStr">
        <is>
          <t>Exxel Pacific Issaquah Gateway Proposal</t>
        </is>
      </c>
    </row>
    <row r="23">
      <c r="B23" s="81" t="n">
        <v>18</v>
      </c>
      <c r="C23" s="49" t="inlineStr">
        <is>
          <t>contract_original</t>
        </is>
      </c>
      <c r="D23" s="49" t="inlineStr">
        <is>
          <t>Contract Original</t>
        </is>
      </c>
      <c r="E23" s="76" t="n">
        <v>5051600</v>
      </c>
      <c r="F23" s="49" t="inlineStr">
        <is>
          <t>USD</t>
        </is>
      </c>
      <c r="G23" s="49" t="inlineStr">
        <is>
          <t>Benchmark KPIs</t>
        </is>
      </c>
      <c r="H23" s="91" t="inlineStr">
        <is>
          <t>Verified</t>
        </is>
      </c>
      <c r="I23" s="49" t="inlineStr">
        <is>
          <t>Exxel Pacific Issaquah Gateway Subcontract</t>
        </is>
      </c>
      <c r="J23" s="53" t="n"/>
    </row>
    <row r="24">
      <c r="B24" s="80" t="n">
        <v>19</v>
      </c>
      <c r="C24" s="47" t="inlineStr">
        <is>
          <t>contract_final</t>
        </is>
      </c>
      <c r="D24" s="47" t="inlineStr">
        <is>
          <t>Contract Final</t>
        </is>
      </c>
      <c r="E24" s="55" t="n">
        <v>5187754</v>
      </c>
      <c r="F24" s="47" t="inlineStr">
        <is>
          <t>USD</t>
        </is>
      </c>
      <c r="G24" s="47" t="inlineStr">
        <is>
          <t>Benchmark KPIs</t>
        </is>
      </c>
      <c r="H24" s="91" t="inlineStr">
        <is>
          <t>Verified</t>
        </is>
      </c>
      <c r="I24" s="47" t="inlineStr">
        <is>
          <t>2030 Job Detail Report.pdf (Sage Timberline, 04/03/2026, 190 pages)</t>
        </is>
      </c>
    </row>
    <row r="25">
      <c r="B25" s="81" t="n">
        <v>20</v>
      </c>
      <c r="C25" s="49" t="inlineStr">
        <is>
          <t>change_orders_implied</t>
        </is>
      </c>
      <c r="D25" s="49" t="inlineStr">
        <is>
          <t>COs (implied)</t>
        </is>
      </c>
      <c r="E25" s="76" t="n">
        <v>136154</v>
      </c>
      <c r="F25" s="49" t="inlineStr">
        <is>
          <t>USD</t>
        </is>
      </c>
      <c r="G25" s="49" t="inlineStr">
        <is>
          <t>Benchmark KPIs</t>
        </is>
      </c>
      <c r="H25" s="91" t="inlineStr">
        <is>
          <t>Verified</t>
        </is>
      </c>
      <c r="I25" s="49" t="inlineStr">
        <is>
          <t>2030 Job Detail Report.pdf (Sage Timberline, 04/03/2026, 190 pages)</t>
        </is>
      </c>
      <c r="J25" s="53" t="n"/>
    </row>
    <row r="26">
      <c r="B26" s="80" t="n">
        <v>21</v>
      </c>
      <c r="C26" s="47" t="inlineStr">
        <is>
          <t>change_orders_documented</t>
        </is>
      </c>
      <c r="D26" s="47" t="inlineStr">
        <is>
          <t>COs (documented)</t>
        </is>
      </c>
      <c r="E26" s="55" t="n">
        <v>136154</v>
      </c>
      <c r="F26" s="47" t="inlineStr">
        <is>
          <t>USD</t>
        </is>
      </c>
      <c r="G26" s="47" t="inlineStr">
        <is>
          <t>Benchmark KPIs</t>
        </is>
      </c>
      <c r="H26" s="97" t="inlineStr">
        <is>
          <t>Medium</t>
        </is>
      </c>
      <c r="I26" s="47" t="inlineStr">
        <is>
          <t>CO folder</t>
        </is>
      </c>
    </row>
    <row r="27">
      <c r="B27" s="81" t="n">
        <v>22</v>
      </c>
      <c r="C27" s="49" t="inlineStr">
        <is>
          <t>co_count</t>
        </is>
      </c>
      <c r="D27" s="49" t="inlineStr">
        <is>
          <t>CO Count</t>
        </is>
      </c>
      <c r="E27" s="81" t="n">
        <v>6</v>
      </c>
      <c r="F27" s="49" t="inlineStr">
        <is>
          <t>count</t>
        </is>
      </c>
      <c r="G27" s="49" t="inlineStr">
        <is>
          <t>Change Log</t>
        </is>
      </c>
      <c r="H27" s="91" t="inlineStr">
        <is>
          <t>Verified</t>
        </is>
      </c>
      <c r="I27" s="49" t="inlineStr">
        <is>
          <t>CO folder</t>
        </is>
      </c>
      <c r="J27" s="53" t="n"/>
    </row>
    <row r="28">
      <c r="B28" s="80" t="n">
        <v>23</v>
      </c>
      <c r="C28" s="47" t="inlineStr">
        <is>
          <t>co_pct</t>
        </is>
      </c>
      <c r="D28" s="47" t="inlineStr">
        <is>
          <t>CO % of Contract</t>
        </is>
      </c>
      <c r="E28" s="95" t="n">
        <v>0.02695264866576926</v>
      </c>
      <c r="F28" s="47" t="inlineStr">
        <is>
          <t>%</t>
        </is>
      </c>
      <c r="G28" s="47" t="inlineStr">
        <is>
          <t>Benchmark KPIs</t>
        </is>
      </c>
      <c r="H28" s="91" t="inlineStr">
        <is>
          <t>Verified</t>
        </is>
      </c>
      <c r="I28" s="85" t="inlineStr">
        <is>
          <t>Derived</t>
        </is>
      </c>
    </row>
    <row r="29">
      <c r="B29" s="81" t="n">
        <v>24</v>
      </c>
      <c r="C29" s="49" t="inlineStr">
        <is>
          <t>revenue</t>
        </is>
      </c>
      <c r="D29" s="49" t="inlineStr">
        <is>
          <t>Revenue</t>
        </is>
      </c>
      <c r="E29" s="76" t="n">
        <v>5187754</v>
      </c>
      <c r="F29" s="49" t="inlineStr">
        <is>
          <t>USD</t>
        </is>
      </c>
      <c r="G29" s="49" t="inlineStr">
        <is>
          <t>Benchmark KPIs</t>
        </is>
      </c>
      <c r="H29" s="91" t="inlineStr">
        <is>
          <t>Verified</t>
        </is>
      </c>
      <c r="I29" s="49" t="inlineStr">
        <is>
          <t>2030 Job Detail Report.pdf (Sage Timberline, 04/03/2026, 190 pages)</t>
        </is>
      </c>
      <c r="J29" s="53" t="n"/>
    </row>
    <row r="30">
      <c r="B30" s="80" t="n">
        <v>25</v>
      </c>
      <c r="C30" s="47" t="inlineStr">
        <is>
          <t>direct_cost</t>
        </is>
      </c>
      <c r="D30" s="47" t="inlineStr">
        <is>
          <t>Direct Cost</t>
        </is>
      </c>
      <c r="E30" s="55" t="n">
        <v>2427408.23</v>
      </c>
      <c r="F30" s="47" t="inlineStr">
        <is>
          <t>USD</t>
        </is>
      </c>
      <c r="G30" s="47" t="inlineStr">
        <is>
          <t>Benchmark KPIs</t>
        </is>
      </c>
      <c r="H30" s="91" t="inlineStr">
        <is>
          <t>Verified</t>
        </is>
      </c>
      <c r="I30" s="47" t="inlineStr">
        <is>
          <t>2030 Job Detail Report.pdf (Sage Timberline, 04/03/2026, 190 pages)</t>
        </is>
      </c>
    </row>
    <row r="31">
      <c r="B31" s="81" t="n">
        <v>26</v>
      </c>
      <c r="C31" s="49" t="inlineStr">
        <is>
          <t>net_profit</t>
        </is>
      </c>
      <c r="D31" s="49" t="inlineStr">
        <is>
          <t>Net Profit</t>
        </is>
      </c>
      <c r="E31" s="76" t="n">
        <v>2760345.77</v>
      </c>
      <c r="F31" s="49" t="inlineStr">
        <is>
          <t>USD</t>
        </is>
      </c>
      <c r="G31" s="49" t="inlineStr">
        <is>
          <t>Benchmark KPIs</t>
        </is>
      </c>
      <c r="H31" s="91" t="inlineStr">
        <is>
          <t>Verified</t>
        </is>
      </c>
      <c r="I31" s="49" t="inlineStr">
        <is>
          <t>2030 Job Detail Report.pdf (Sage Timberline, 04/03/2026, 190 pages)</t>
        </is>
      </c>
      <c r="J31" s="53" t="n"/>
    </row>
    <row r="32">
      <c r="B32" s="80" t="n">
        <v>27</v>
      </c>
      <c r="C32" s="47" t="inlineStr">
        <is>
          <t>gross_margin</t>
        </is>
      </c>
      <c r="D32" s="47" t="inlineStr">
        <is>
          <t>Gross Margin</t>
        </is>
      </c>
      <c r="E32" s="95" t="n">
        <v>0.5320887941101293</v>
      </c>
      <c r="F32" s="47" t="inlineStr">
        <is>
          <t>%</t>
        </is>
      </c>
      <c r="G32" s="47" t="inlineStr">
        <is>
          <t>Benchmark KPIs</t>
        </is>
      </c>
      <c r="H32" s="91" t="inlineStr">
        <is>
          <t>Verified</t>
        </is>
      </c>
      <c r="I32" s="85" t="inlineStr">
        <is>
          <t>Derived</t>
        </is>
      </c>
    </row>
    <row r="33">
      <c r="B33" s="81" t="n">
        <v>28</v>
      </c>
      <c r="C33" s="49" t="inlineStr">
        <is>
          <t>retainage</t>
        </is>
      </c>
      <c r="D33" s="49" t="inlineStr">
        <is>
          <t>Retainage Outstanding</t>
        </is>
      </c>
      <c r="E33" s="76" t="n">
        <v>259387.7</v>
      </c>
      <c r="F33" s="49" t="inlineStr">
        <is>
          <t>USD</t>
        </is>
      </c>
      <c r="G33" s="49" t="inlineStr">
        <is>
          <t>Benchmark KPIs</t>
        </is>
      </c>
      <c r="H33" s="91" t="inlineStr">
        <is>
          <t>Verified</t>
        </is>
      </c>
      <c r="I33" s="49" t="inlineStr">
        <is>
          <t>2030 Job Detail Report.pdf (Sage Timberline, 04/03/2026, 190 pages)</t>
        </is>
      </c>
      <c r="J33" s="53" t="n"/>
    </row>
    <row r="34">
      <c r="B34" s="80" t="n">
        <v>29</v>
      </c>
      <c r="C34" s="47" t="inlineStr">
        <is>
          <t>retainage_pct</t>
        </is>
      </c>
      <c r="D34" s="47" t="inlineStr">
        <is>
          <t>Retainage % of Revenue</t>
        </is>
      </c>
      <c r="E34" s="95" t="n">
        <v>0.05</v>
      </c>
      <c r="F34" s="47" t="inlineStr">
        <is>
          <t>%</t>
        </is>
      </c>
      <c r="G34" s="47" t="inlineStr">
        <is>
          <t>Benchmark KPIs</t>
        </is>
      </c>
      <c r="H34" s="91" t="inlineStr">
        <is>
          <t>Verified</t>
        </is>
      </c>
      <c r="I34" s="85" t="inlineStr">
        <is>
          <t>Derived</t>
        </is>
      </c>
    </row>
    <row r="35">
      <c r="B35" s="81" t="n">
        <v>30</v>
      </c>
      <c r="C35" s="49" t="inlineStr">
        <is>
          <t>labor_cost</t>
        </is>
      </c>
      <c r="D35" s="49" t="inlineStr">
        <is>
          <t>Labor Cost</t>
        </is>
      </c>
      <c r="E35" s="76" t="n">
        <v>1237777.26</v>
      </c>
      <c r="F35" s="49" t="inlineStr">
        <is>
          <t>USD</t>
        </is>
      </c>
      <c r="G35" s="49" t="inlineStr">
        <is>
          <t>Benchmark KPIs</t>
        </is>
      </c>
      <c r="H35" s="91" t="inlineStr">
        <is>
          <t>Verified</t>
        </is>
      </c>
      <c r="I35" s="49" t="inlineStr">
        <is>
          <t>2030 Job Detail Report.pdf (Sage Timberline, 04/03/2026, 190 pages)</t>
        </is>
      </c>
      <c r="J35" s="53" t="n"/>
    </row>
    <row r="36">
      <c r="B36" s="80" t="n">
        <v>31</v>
      </c>
      <c r="C36" s="47" t="inlineStr">
        <is>
          <t>material_cost</t>
        </is>
      </c>
      <c r="D36" s="47" t="inlineStr">
        <is>
          <t>Material Cost</t>
        </is>
      </c>
      <c r="E36" s="55" t="n">
        <v>1110426.25</v>
      </c>
      <c r="F36" s="47" t="inlineStr">
        <is>
          <t>USD</t>
        </is>
      </c>
      <c r="G36" s="47" t="inlineStr">
        <is>
          <t>Benchmark KPIs</t>
        </is>
      </c>
      <c r="H36" s="91" t="inlineStr">
        <is>
          <t>Verified</t>
        </is>
      </c>
      <c r="I36" s="47" t="inlineStr">
        <is>
          <t>2030 Job Detail Report.pdf (Sage Timberline, 04/03/2026, 190 pages)</t>
        </is>
      </c>
    </row>
    <row r="37">
      <c r="B37" s="81" t="n">
        <v>32</v>
      </c>
      <c r="C37" s="49" t="inlineStr">
        <is>
          <t>overhead_cost</t>
        </is>
      </c>
      <c r="D37" s="49" t="inlineStr">
        <is>
          <t>Subcon+OH Cost</t>
        </is>
      </c>
      <c r="E37" s="76" t="n">
        <v>79204.72</v>
      </c>
      <c r="F37" s="49" t="inlineStr">
        <is>
          <t>USD</t>
        </is>
      </c>
      <c r="G37" s="49" t="inlineStr">
        <is>
          <t>Benchmark KPIs</t>
        </is>
      </c>
      <c r="H37" s="91" t="inlineStr">
        <is>
          <t>Verified</t>
        </is>
      </c>
      <c r="I37" s="49" t="inlineStr">
        <is>
          <t>2030 Job Detail Report.pdf (Sage Timberline, 04/03/2026, 190 pages)</t>
        </is>
      </c>
      <c r="J37" s="53" t="n"/>
    </row>
    <row r="38">
      <c r="B38" s="80" t="n">
        <v>33</v>
      </c>
      <c r="C38" s="47" t="inlineStr">
        <is>
          <t>burden_cost</t>
        </is>
      </c>
      <c r="D38" s="47" t="inlineStr">
        <is>
          <t>Burden Cost</t>
        </is>
      </c>
      <c r="E38" s="55" t="n">
        <v>0</v>
      </c>
      <c r="F38" s="47" t="inlineStr">
        <is>
          <t>USD</t>
        </is>
      </c>
      <c r="G38" s="47" t="inlineStr">
        <is>
          <t>Benchmark KPIs</t>
        </is>
      </c>
      <c r="H38" s="91" t="inlineStr">
        <is>
          <t>Verified</t>
        </is>
      </c>
      <c r="I38" s="47" t="inlineStr">
        <is>
          <t>2030 Job Detail Report.pdf (Sage Timberline, 04/03/2026, 190 pages)</t>
        </is>
      </c>
    </row>
    <row r="39">
      <c r="B39" s="81" t="n">
        <v>34</v>
      </c>
      <c r="C39" s="49" t="inlineStr">
        <is>
          <t>tax_cost</t>
        </is>
      </c>
      <c r="D39" s="49" t="inlineStr">
        <is>
          <t>Tax Cost</t>
        </is>
      </c>
      <c r="E39" s="76" t="n">
        <v>0</v>
      </c>
      <c r="F39" s="49" t="inlineStr">
        <is>
          <t>USD</t>
        </is>
      </c>
      <c r="G39" s="49" t="inlineStr">
        <is>
          <t>Benchmark KPIs</t>
        </is>
      </c>
      <c r="H39" s="91" t="inlineStr">
        <is>
          <t>Verified</t>
        </is>
      </c>
      <c r="I39" s="49" t="inlineStr">
        <is>
          <t>2030 Job Detail Report.pdf (Sage Timberline, 04/03/2026, 190 pages)</t>
        </is>
      </c>
      <c r="J39" s="53" t="n"/>
    </row>
    <row r="40">
      <c r="B40" s="80" t="n">
        <v>35</v>
      </c>
      <c r="C40" s="47" t="inlineStr">
        <is>
          <t>total_hours</t>
        </is>
      </c>
      <c r="D40" s="47" t="inlineStr">
        <is>
          <t>Total Labor Hours</t>
        </is>
      </c>
      <c r="E40" s="56" t="n">
        <v>52168.25</v>
      </c>
      <c r="F40" s="47" t="inlineStr">
        <is>
          <t>hours</t>
        </is>
      </c>
      <c r="G40" s="47" t="inlineStr">
        <is>
          <t>Benchmark KPIs</t>
        </is>
      </c>
      <c r="H40" s="91" t="inlineStr">
        <is>
          <t>Verified</t>
        </is>
      </c>
      <c r="I40" s="47" t="inlineStr">
        <is>
          <t>2030 Job Detail Report.pdf (Sage Timberline, 04/03/2026, 190 pages)</t>
        </is>
      </c>
    </row>
    <row r="41">
      <c r="B41" s="81" t="n">
        <v>36</v>
      </c>
      <c r="C41" s="49" t="inlineStr">
        <is>
          <t>total_workers</t>
        </is>
      </c>
      <c r="D41" s="49" t="inlineStr">
        <is>
          <t>Total Workers</t>
        </is>
      </c>
      <c r="E41" s="81" t="n">
        <v>72</v>
      </c>
      <c r="F41" s="49" t="inlineStr">
        <is>
          <t>count</t>
        </is>
      </c>
      <c r="G41" s="49" t="inlineStr">
        <is>
          <t>Benchmark KPIs</t>
        </is>
      </c>
      <c r="H41" s="91" t="inlineStr">
        <is>
          <t>Verified</t>
        </is>
      </c>
      <c r="I41" s="49" t="inlineStr">
        <is>
          <t>2030 Job Detail Report.pdf (Sage Timberline, 04/03/2026, 190 pages)</t>
        </is>
      </c>
      <c r="J41" s="53" t="n"/>
    </row>
    <row r="42">
      <c r="B42" s="80" t="n">
        <v>37</v>
      </c>
      <c r="C42" s="47" t="inlineStr">
        <is>
          <t>blended_gross_wage</t>
        </is>
      </c>
      <c r="D42" s="47" t="inlineStr">
        <is>
          <t>Blended Gross Wage</t>
        </is>
      </c>
      <c r="E42" s="55" t="n">
        <v>23.72663947899345</v>
      </c>
      <c r="F42" s="47" t="inlineStr">
        <is>
          <t>USD/hr</t>
        </is>
      </c>
      <c r="G42" s="47" t="inlineStr">
        <is>
          <t>Benchmark KPIs</t>
        </is>
      </c>
      <c r="H42" s="91" t="inlineStr">
        <is>
          <t>Verified</t>
        </is>
      </c>
      <c r="I42" s="85" t="inlineStr">
        <is>
          <t>Derived</t>
        </is>
      </c>
    </row>
    <row r="43">
      <c r="B43" s="81" t="n">
        <v>38</v>
      </c>
      <c r="C43" s="49" t="inlineStr">
        <is>
          <t>fully_loaded_wage</t>
        </is>
      </c>
      <c r="D43" s="49" t="inlineStr">
        <is>
          <t>Fully-Loaded Wage</t>
        </is>
      </c>
      <c r="E43" s="76" t="n">
        <v>23.72663947899345</v>
      </c>
      <c r="F43" s="49" t="inlineStr">
        <is>
          <t>USD/hr</t>
        </is>
      </c>
      <c r="G43" s="49" t="inlineStr">
        <is>
          <t>Benchmark KPIs</t>
        </is>
      </c>
      <c r="H43" s="91" t="inlineStr">
        <is>
          <t>Verified</t>
        </is>
      </c>
      <c r="I43" s="85" t="inlineStr">
        <is>
          <t>Derived</t>
        </is>
      </c>
      <c r="J43" s="53" t="n"/>
    </row>
    <row r="44">
      <c r="B44" s="80" t="n">
        <v>39</v>
      </c>
      <c r="C44" s="47" t="inlineStr">
        <is>
          <t>burden_multiplier</t>
        </is>
      </c>
      <c r="D44" s="47" t="inlineStr">
        <is>
          <t>Burden Multiplier</t>
        </is>
      </c>
      <c r="E44" s="100" t="n">
        <v>1</v>
      </c>
      <c r="F44" s="47" t="inlineStr">
        <is>
          <t>x</t>
        </is>
      </c>
      <c r="G44" s="47" t="inlineStr">
        <is>
          <t>Benchmark KPIs</t>
        </is>
      </c>
      <c r="H44" s="91" t="inlineStr">
        <is>
          <t>Verified</t>
        </is>
      </c>
      <c r="I44" s="85" t="inlineStr">
        <is>
          <t>Derived</t>
        </is>
      </c>
    </row>
    <row r="45">
      <c r="B45" s="81" t="n">
        <v>40</v>
      </c>
      <c r="C45" s="49" t="inlineStr">
        <is>
          <t>revenue_per_hour</t>
        </is>
      </c>
      <c r="D45" s="49" t="inlineStr">
        <is>
          <t>Revenue per Hour</t>
        </is>
      </c>
      <c r="E45" s="76" t="n">
        <v>99.44274534798464</v>
      </c>
      <c r="F45" s="49" t="inlineStr">
        <is>
          <t>USD/hr</t>
        </is>
      </c>
      <c r="G45" s="49" t="inlineStr">
        <is>
          <t>Benchmark KPIs</t>
        </is>
      </c>
      <c r="H45" s="91" t="inlineStr">
        <is>
          <t>Verified</t>
        </is>
      </c>
      <c r="I45" s="85" t="inlineStr">
        <is>
          <t>Derived</t>
        </is>
      </c>
      <c r="J45" s="53" t="n"/>
    </row>
    <row r="46">
      <c r="B46" s="80" t="n">
        <v>41</v>
      </c>
      <c r="C46" s="47" t="inlineStr">
        <is>
          <t>profit_per_hour</t>
        </is>
      </c>
      <c r="D46" s="47" t="inlineStr">
        <is>
          <t>Profit per Hour</t>
        </is>
      </c>
      <c r="E46" s="55" t="n">
        <v>52.91237045520982</v>
      </c>
      <c r="F46" s="47" t="inlineStr">
        <is>
          <t>USD/hr</t>
        </is>
      </c>
      <c r="G46" s="47" t="inlineStr">
        <is>
          <t>Benchmark KPIs</t>
        </is>
      </c>
      <c r="H46" s="91" t="inlineStr">
        <is>
          <t>Verified</t>
        </is>
      </c>
      <c r="I46" s="85" t="inlineStr">
        <is>
          <t>Derived</t>
        </is>
      </c>
    </row>
    <row r="47">
      <c r="B47" s="81" t="n">
        <v>42</v>
      </c>
      <c r="C47" s="49" t="inlineStr">
        <is>
          <t>revenue_per_unit</t>
        </is>
      </c>
      <c r="D47" s="49" t="inlineStr">
        <is>
          <t>Revenue per Unit</t>
        </is>
      </c>
      <c r="E47" s="76" t="n">
        <v>56388.63043478261</v>
      </c>
      <c r="F47" s="49" t="inlineStr">
        <is>
          <t>USD</t>
        </is>
      </c>
      <c r="G47" s="49" t="inlineStr">
        <is>
          <t>Benchmark KPIs</t>
        </is>
      </c>
      <c r="H47" s="91" t="inlineStr">
        <is>
          <t>Verified</t>
        </is>
      </c>
      <c r="I47" s="85" t="inlineStr">
        <is>
          <t>Derived</t>
        </is>
      </c>
      <c r="J47" s="53" t="n"/>
    </row>
    <row r="48">
      <c r="B48" s="80" t="n">
        <v>43</v>
      </c>
      <c r="C48" s="47" t="inlineStr">
        <is>
          <t>cost_per_unit</t>
        </is>
      </c>
      <c r="D48" s="47" t="inlineStr">
        <is>
          <t>Direct Cost per Unit</t>
        </is>
      </c>
      <c r="E48" s="55" t="n">
        <v>26384.87206521739</v>
      </c>
      <c r="F48" s="47" t="inlineStr">
        <is>
          <t>USD</t>
        </is>
      </c>
      <c r="G48" s="47" t="inlineStr">
        <is>
          <t>Benchmark KPIs</t>
        </is>
      </c>
      <c r="H48" s="91" t="inlineStr">
        <is>
          <t>Verified</t>
        </is>
      </c>
      <c r="I48" s="85" t="inlineStr">
        <is>
          <t>Derived</t>
        </is>
      </c>
    </row>
    <row r="49">
      <c r="B49" s="81" t="n">
        <v>44</v>
      </c>
      <c r="C49" s="49" t="inlineStr">
        <is>
          <t>hours_per_unit</t>
        </is>
      </c>
      <c r="D49" s="49" t="inlineStr">
        <is>
          <t>Labor Hours per Unit</t>
        </is>
      </c>
      <c r="E49" s="72" t="n">
        <v>567.0461956521739</v>
      </c>
      <c r="F49" s="49" t="inlineStr">
        <is>
          <t>hours</t>
        </is>
      </c>
      <c r="G49" s="49" t="inlineStr">
        <is>
          <t>Benchmark KPIs</t>
        </is>
      </c>
      <c r="H49" s="91" t="inlineStr">
        <is>
          <t>Verified</t>
        </is>
      </c>
      <c r="I49" s="85" t="inlineStr">
        <is>
          <t>Derived</t>
        </is>
      </c>
      <c r="J49" s="53" t="n"/>
    </row>
    <row r="50">
      <c r="B50" s="80" t="n">
        <v>45</v>
      </c>
      <c r="C50" s="47" t="inlineStr">
        <is>
          <t>labor_pct_revenue</t>
        </is>
      </c>
      <c r="D50" s="47" t="inlineStr">
        <is>
          <t>Labor % of Revenue</t>
        </is>
      </c>
      <c r="E50" s="95" t="n">
        <v>0.2385959819991464</v>
      </c>
      <c r="F50" s="47" t="inlineStr">
        <is>
          <t>%</t>
        </is>
      </c>
      <c r="G50" s="47" t="inlineStr">
        <is>
          <t>Benchmark KPIs</t>
        </is>
      </c>
      <c r="H50" s="91" t="inlineStr">
        <is>
          <t>Verified</t>
        </is>
      </c>
      <c r="I50" s="85" t="inlineStr">
        <is>
          <t>Derived</t>
        </is>
      </c>
    </row>
    <row r="51">
      <c r="B51" s="81" t="n">
        <v>46</v>
      </c>
      <c r="C51" s="49" t="inlineStr">
        <is>
          <t>material_pct_revenue</t>
        </is>
      </c>
      <c r="D51" s="49" t="inlineStr">
        <is>
          <t>Material % of Revenue</t>
        </is>
      </c>
      <c r="E51" s="92" t="n">
        <v>0.2140475916938236</v>
      </c>
      <c r="F51" s="49" t="inlineStr">
        <is>
          <t>%</t>
        </is>
      </c>
      <c r="G51" s="49" t="inlineStr">
        <is>
          <t>Benchmark KPIs</t>
        </is>
      </c>
      <c r="H51" s="91" t="inlineStr">
        <is>
          <t>Verified</t>
        </is>
      </c>
      <c r="I51" s="85" t="inlineStr">
        <is>
          <t>Derived</t>
        </is>
      </c>
      <c r="J51" s="53" t="n"/>
    </row>
    <row r="52">
      <c r="B52" s="80" t="n">
        <v>47</v>
      </c>
      <c r="C52" s="47" t="inlineStr">
        <is>
          <t>total_vendors</t>
        </is>
      </c>
      <c r="D52" s="47" t="inlineStr">
        <is>
          <t>Total Vendors (AP)</t>
        </is>
      </c>
      <c r="E52" s="80" t="n">
        <v>29</v>
      </c>
      <c r="F52" s="47" t="inlineStr">
        <is>
          <t>count</t>
        </is>
      </c>
      <c r="G52" s="47" t="inlineStr">
        <is>
          <t>Vendors</t>
        </is>
      </c>
      <c r="H52" s="91" t="inlineStr">
        <is>
          <t>Verified</t>
        </is>
      </c>
      <c r="I52" s="47" t="inlineStr">
        <is>
          <t>2030 Job Detail Report.pdf (Sage Timberline, 04/03/2026, 190 pages)</t>
        </is>
      </c>
    </row>
    <row r="53">
      <c r="B53" s="81" t="n">
        <v>48</v>
      </c>
      <c r="C53" s="49" t="inlineStr">
        <is>
          <t>total_invoices</t>
        </is>
      </c>
      <c r="D53" s="49" t="inlineStr">
        <is>
          <t>Total Invoices (AR)</t>
        </is>
      </c>
      <c r="E53" s="81" t="n">
        <v>32</v>
      </c>
      <c r="F53" s="49" t="inlineStr">
        <is>
          <t>count</t>
        </is>
      </c>
      <c r="G53" s="49" t="inlineStr">
        <is>
          <t>Billing &amp; SOV</t>
        </is>
      </c>
      <c r="H53" s="91" t="inlineStr">
        <is>
          <t>Verified</t>
        </is>
      </c>
      <c r="I53" s="49" t="inlineStr">
        <is>
          <t>2030 Job Detail Report.pdf (Sage Timberline, 04/03/2026, 190 pages)</t>
        </is>
      </c>
      <c r="J53" s="53" t="n"/>
    </row>
    <row r="54">
      <c r="B54" s="80" t="n">
        <v>49</v>
      </c>
      <c r="C54" s="47" t="inlineStr">
        <is>
          <t>rfi_count</t>
        </is>
      </c>
      <c r="D54" s="47" t="inlineStr">
        <is>
          <t>RFI Count</t>
        </is>
      </c>
      <c r="E54" s="80" t="n">
        <v>30</v>
      </c>
      <c r="F54" s="47" t="inlineStr">
        <is>
          <t>count</t>
        </is>
      </c>
      <c r="G54" s="47" t="inlineStr">
        <is>
          <t>Change Log</t>
        </is>
      </c>
      <c r="H54" s="91" t="inlineStr">
        <is>
          <t>Verified</t>
        </is>
      </c>
      <c r="I54" s="47" t="inlineStr">
        <is>
          <t>ASI-RFI + Dropbox</t>
        </is>
      </c>
    </row>
    <row r="55">
      <c r="B55" s="81" t="n">
        <v>50</v>
      </c>
      <c r="C55" s="49" t="inlineStr">
        <is>
          <t>asi_count</t>
        </is>
      </c>
      <c r="D55" s="49" t="inlineStr">
        <is>
          <t>ASI Count</t>
        </is>
      </c>
      <c r="E55" s="81" t="n">
        <v>1</v>
      </c>
      <c r="F55" s="49" t="inlineStr">
        <is>
          <t>count</t>
        </is>
      </c>
      <c r="G55" s="49" t="inlineStr">
        <is>
          <t>Change Log</t>
        </is>
      </c>
      <c r="H55" s="91" t="inlineStr">
        <is>
          <t>Verified</t>
        </is>
      </c>
      <c r="I55" s="49" t="inlineStr">
        <is>
          <t>ASI-RFI</t>
        </is>
      </c>
      <c r="J55" s="53" t="n"/>
    </row>
    <row r="56">
      <c r="B56" s="80" t="n">
        <v>51</v>
      </c>
      <c r="C56" s="47" t="inlineStr">
        <is>
          <t>submittal_count</t>
        </is>
      </c>
      <c r="D56" s="47" t="inlineStr">
        <is>
          <t>Submittal Count</t>
        </is>
      </c>
      <c r="E56" s="80" t="n">
        <v>30</v>
      </c>
      <c r="F56" s="47" t="inlineStr">
        <is>
          <t>count</t>
        </is>
      </c>
      <c r="G56" s="47" t="inlineStr">
        <is>
          <t>Change Log</t>
        </is>
      </c>
      <c r="H56" s="91" t="inlineStr">
        <is>
          <t>Verified</t>
        </is>
      </c>
      <c r="I56" s="47" t="inlineStr">
        <is>
          <t>Submittals</t>
        </is>
      </c>
    </row>
    <row r="57">
      <c r="B57" s="81" t="n">
        <v>52</v>
      </c>
      <c r="C57" s="49" t="inlineStr">
        <is>
          <t>permit_count</t>
        </is>
      </c>
      <c r="D57" s="49" t="inlineStr">
        <is>
          <t>Permit Count</t>
        </is>
      </c>
      <c r="E57" s="81" t="n">
        <v>6</v>
      </c>
      <c r="F57" s="49" t="inlineStr">
        <is>
          <t>count</t>
        </is>
      </c>
      <c r="G57" s="49" t="inlineStr">
        <is>
          <t>Change Log</t>
        </is>
      </c>
      <c r="H57" s="91" t="inlineStr">
        <is>
          <t>Verified</t>
        </is>
      </c>
      <c r="I57" s="49" t="inlineStr">
        <is>
          <t>Permits</t>
        </is>
      </c>
      <c r="J57" s="53" t="n"/>
    </row>
    <row r="58">
      <c r="B58" s="80" t="n">
        <v>53</v>
      </c>
      <c r="C58" s="47" t="inlineStr">
        <is>
          <t>po_count</t>
        </is>
      </c>
      <c r="D58" s="47" t="inlineStr">
        <is>
          <t>PO Count</t>
        </is>
      </c>
      <c r="E58" s="80" t="n">
        <v>82</v>
      </c>
      <c r="F58" s="47" t="inlineStr">
        <is>
          <t>count</t>
        </is>
      </c>
      <c r="G58" s="47" t="inlineStr">
        <is>
          <t>Change Log</t>
        </is>
      </c>
      <c r="H58" s="91" t="inlineStr">
        <is>
          <t>Verified</t>
        </is>
      </c>
      <c r="I58" s="47" t="inlineStr">
        <is>
          <t>POs</t>
        </is>
      </c>
    </row>
    <row r="59">
      <c r="B59" s="81" t="n">
        <v>54</v>
      </c>
      <c r="C59" s="49" t="inlineStr">
        <is>
          <t>top_worker_hours_share</t>
        </is>
      </c>
      <c r="D59" s="49" t="inlineStr">
        <is>
          <t>Top Worker Hours Share</t>
        </is>
      </c>
      <c r="E59" s="92" t="n">
        <v>0.06018986644175336</v>
      </c>
      <c r="F59" s="49" t="inlineStr">
        <is>
          <t>%</t>
        </is>
      </c>
      <c r="G59" s="49" t="inlineStr">
        <is>
          <t>Crew Analytics</t>
        </is>
      </c>
      <c r="H59" s="91" t="inlineStr">
        <is>
          <t>Verified</t>
        </is>
      </c>
      <c r="I59" s="85" t="inlineStr">
        <is>
          <t>Derived</t>
        </is>
      </c>
      <c r="J59" s="53" t="n"/>
    </row>
    <row r="60">
      <c r="B60" s="80" t="n">
        <v>55</v>
      </c>
      <c r="C60" s="47" t="inlineStr">
        <is>
          <t>top5_worker_hours_share</t>
        </is>
      </c>
      <c r="D60" s="47" t="inlineStr">
        <is>
          <t>Top 5 Worker Hours Share</t>
        </is>
      </c>
      <c r="E60" s="95" t="n">
        <v>0.2907419742851255</v>
      </c>
      <c r="F60" s="47" t="inlineStr">
        <is>
          <t>%</t>
        </is>
      </c>
      <c r="G60" s="47" t="inlineStr">
        <is>
          <t>Crew Analytics</t>
        </is>
      </c>
      <c r="H60" s="91" t="inlineStr">
        <is>
          <t>Verified</t>
        </is>
      </c>
      <c r="I60" s="85" t="inlineStr">
        <is>
          <t>Derived</t>
        </is>
      </c>
    </row>
    <row r="61">
      <c r="B61" s="81" t="n">
        <v>56</v>
      </c>
      <c r="C61" s="49" t="inlineStr">
        <is>
          <t>cost_code_count</t>
        </is>
      </c>
      <c r="D61" s="49" t="inlineStr">
        <is>
          <t>Cost Codes Active</t>
        </is>
      </c>
      <c r="E61" s="81" t="n">
        <v>34</v>
      </c>
      <c r="F61" s="49" t="inlineStr">
        <is>
          <t>count</t>
        </is>
      </c>
      <c r="G61" s="49" t="inlineStr">
        <is>
          <t>Budget vs Actual</t>
        </is>
      </c>
      <c r="H61" s="91" t="inlineStr">
        <is>
          <t>Verified</t>
        </is>
      </c>
      <c r="I61" s="49" t="inlineStr">
        <is>
          <t>2030 Job Detail Report.pdf (Sage Timberline, 04/03/2026, 190 pages)</t>
        </is>
      </c>
      <c r="J6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Reconciliation</t>
        </is>
      </c>
    </row>
    <row r="3" ht="22" customHeight="1">
      <c r="B3" s="43" t="inlineStr">
        <is>
          <t>Cross-sheet formula checks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Check</t>
        </is>
      </c>
      <c r="D5" s="65" t="inlineStr">
        <is>
          <t>Value A</t>
        </is>
      </c>
      <c r="E5" s="65" t="inlineStr">
        <is>
          <t>Value B</t>
        </is>
      </c>
      <c r="F5" s="65" t="inlineStr">
        <is>
          <t>Delta</t>
        </is>
      </c>
      <c r="G5" s="65" t="inlineStr">
        <is>
          <t>Status</t>
        </is>
      </c>
      <c r="H5" s="65" t="inlineStr">
        <is>
          <t>Tabs</t>
        </is>
      </c>
    </row>
    <row r="6">
      <c r="B6" s="80" t="n">
        <v>1</v>
      </c>
      <c r="C6" s="47" t="inlineStr">
        <is>
          <t>Revenue (JDR) = Contract Final</t>
        </is>
      </c>
      <c r="D6" s="55" t="n">
        <v>5187754</v>
      </c>
      <c r="E6" s="55" t="n">
        <v>5187754</v>
      </c>
      <c r="F6" s="67">
        <f>D6-E6</f>
        <v/>
      </c>
      <c r="G6" s="47">
        <f>IF(ABS(F6)&lt;=1,"TIES",IF(ABS(F6)&lt;=ABS(E6)*0.05,"WITHIN","OFF"))</f>
        <v/>
      </c>
      <c r="H6" s="47" t="inlineStr">
        <is>
          <t>1↔8</t>
        </is>
      </c>
    </row>
    <row r="7">
      <c r="B7" s="81" t="n">
        <v>2</v>
      </c>
      <c r="C7" s="49" t="inlineStr">
        <is>
          <t>Expenses = Labor+Material+OH+Burden+Tax</t>
        </is>
      </c>
      <c r="D7" s="76" t="n">
        <v>2427408.23</v>
      </c>
      <c r="E7" s="76" t="n">
        <v>2427408.23</v>
      </c>
      <c r="F7" s="70">
        <f>D7-E7</f>
        <v/>
      </c>
      <c r="G7" s="49">
        <f>IF(ABS(F7)&lt;=1,"TIES",IF(ABS(F7)&lt;=ABS(E7)*0.05,"WITHIN","OFF"))</f>
        <v/>
      </c>
      <c r="H7" s="49" t="inlineStr">
        <is>
          <t>1↔3</t>
        </is>
      </c>
      <c r="I7" s="53" t="n"/>
      <c r="J7" s="53" t="n"/>
    </row>
    <row r="8">
      <c r="B8" s="80" t="n">
        <v>3</v>
      </c>
      <c r="C8" s="47" t="inlineStr">
        <is>
          <t>Net Profit = Revenue - Expenses</t>
        </is>
      </c>
      <c r="D8" s="55" t="n">
        <v>2760345.77</v>
      </c>
      <c r="E8" s="55" t="n">
        <v>2760345.77</v>
      </c>
      <c r="F8" s="67">
        <f>D8-E8</f>
        <v/>
      </c>
      <c r="G8" s="47">
        <f>IF(ABS(F8)&lt;=1,"TIES",IF(ABS(F8)&lt;=ABS(E8)*0.05,"WITHIN","OFF"))</f>
        <v/>
      </c>
      <c r="H8" s="47" t="inlineStr">
        <is>
          <t>1↔Derived</t>
        </is>
      </c>
    </row>
    <row r="9">
      <c r="B9" s="81" t="n">
        <v>4</v>
      </c>
      <c r="C9" s="49" t="inlineStr">
        <is>
          <t>JDR Source: AP+PR+GL = Expenses</t>
        </is>
      </c>
      <c r="D9" s="76" t="n">
        <v>2389268.16</v>
      </c>
      <c r="E9" s="76" t="n">
        <v>2427408.23</v>
      </c>
      <c r="F9" s="70">
        <f>D9-E9</f>
        <v/>
      </c>
      <c r="G9" s="49">
        <f>IF(ABS(F9)&lt;=1,"TIES",IF(ABS(F9)&lt;=ABS(E9)*0.05,"WITHIN","OFF"))</f>
        <v/>
      </c>
      <c r="H9" s="49" t="inlineStr">
        <is>
          <t>1↔Derived (footer)</t>
        </is>
      </c>
      <c r="I9" s="53" t="n"/>
      <c r="J9" s="53" t="n"/>
    </row>
    <row r="10">
      <c r="B10" s="80" t="n">
        <v>5</v>
      </c>
      <c r="C10" s="47" t="inlineStr">
        <is>
          <t>Budget vs Actual (code 999) = -Revenue</t>
        </is>
      </c>
      <c r="D10" s="55" t="n">
        <v>5187754</v>
      </c>
      <c r="E10" s="55" t="n">
        <v>5187754</v>
      </c>
      <c r="F10" s="67">
        <f>D10-E10</f>
        <v/>
      </c>
      <c r="G10" s="47">
        <f>IF(ABS(F10)&lt;=1,"TIES",IF(ABS(F10)&lt;=ABS(E10)*0.05,"WITHIN","OFF"))</f>
        <v/>
      </c>
      <c r="H10" s="47" t="inlineStr">
        <is>
          <t>2↔1</t>
        </is>
      </c>
    </row>
    <row r="11">
      <c r="B11" s="81" t="n">
        <v>6</v>
      </c>
      <c r="C11" s="49" t="inlineStr">
        <is>
          <t>Total Labor Hours = Worker hours sum</t>
        </is>
      </c>
      <c r="D11" s="76" t="n">
        <v>52168.25</v>
      </c>
      <c r="E11" s="76" t="n">
        <v>52902</v>
      </c>
      <c r="F11" s="70">
        <f>D11-E11</f>
        <v/>
      </c>
      <c r="G11" s="49">
        <f>IF(ABS(F11)&lt;=1,"TIES",IF(ABS(F11)&lt;=ABS(E11)*0.05,"WITHIN","OFF"))</f>
        <v/>
      </c>
      <c r="H11" s="49" t="inlineStr">
        <is>
          <t>5↔2</t>
        </is>
      </c>
      <c r="I11" s="53" t="n"/>
      <c r="J11" s="53" t="n"/>
    </row>
    <row r="12">
      <c r="B12" s="80" t="n">
        <v>7</v>
      </c>
      <c r="C12" s="47" t="inlineStr">
        <is>
          <t>Labor Cost = Worker gross sum</t>
        </is>
      </c>
      <c r="D12" s="55" t="n">
        <v>1237777.26</v>
      </c>
      <c r="E12" s="55" t="n">
        <v>1222428.5</v>
      </c>
      <c r="F12" s="67">
        <f>D12-E12</f>
        <v/>
      </c>
      <c r="G12" s="47">
        <f>IF(ABS(F12)&lt;=1,"TIES",IF(ABS(F12)&lt;=ABS(E12)*0.05,"WITHIN","OFF"))</f>
        <v/>
      </c>
      <c r="H12" s="47" t="inlineStr">
        <is>
          <t>5↔3</t>
        </is>
      </c>
    </row>
    <row r="13">
      <c r="B13" s="81" t="n">
        <v>8</v>
      </c>
      <c r="C13" s="49" t="inlineStr">
        <is>
          <t>Vendor total ≈ AP footer</t>
        </is>
      </c>
      <c r="D13" s="76" t="n">
        <v>1072286.18</v>
      </c>
      <c r="E13" s="76" t="n">
        <v>1072286.18</v>
      </c>
      <c r="F13" s="70">
        <f>D13-E13</f>
        <v/>
      </c>
      <c r="G13" s="49">
        <f>IF(ABS(F13)&lt;=1,"TIES",IF(ABS(F13)&lt;=ABS(E13)*0.05,"WITHIN","OFF"))</f>
        <v/>
      </c>
      <c r="H13" s="49" t="inlineStr">
        <is>
          <t>12↔1 (approximate)</t>
        </is>
      </c>
      <c r="I13" s="53" t="n"/>
      <c r="J13" s="53" t="n"/>
    </row>
    <row r="14">
      <c r="B14" s="80" t="n">
        <v>9</v>
      </c>
      <c r="C14" s="47" t="inlineStr">
        <is>
          <t>Invoice count</t>
        </is>
      </c>
      <c r="D14" s="80" t="n">
        <v>32</v>
      </c>
      <c r="E14" s="80" t="n">
        <v>32</v>
      </c>
      <c r="F14" s="67">
        <f>D14-E14</f>
        <v/>
      </c>
      <c r="G14" s="47">
        <f>IF(ABS(F14)&lt;=1,"TIES",IF(ABS(F14)&lt;=ABS(E14)*0.05,"WITHIN","OFF"))</f>
        <v/>
      </c>
      <c r="H14" s="47" t="inlineStr">
        <is>
          <t>9↔1</t>
        </is>
      </c>
    </row>
    <row r="15">
      <c r="B15" s="81" t="n">
        <v>10</v>
      </c>
      <c r="C15" s="49" t="inlineStr">
        <is>
          <t>Contract Final - Orig = CO implied</t>
        </is>
      </c>
      <c r="D15" s="76" t="n">
        <v>136154</v>
      </c>
      <c r="E15" s="76" t="n">
        <v>136154</v>
      </c>
      <c r="F15" s="70">
        <f>D15-E15</f>
        <v/>
      </c>
      <c r="G15" s="49">
        <f>IF(ABS(F15)&lt;=1,"TIES",IF(ABS(F15)&lt;=ABS(E15)*0.05,"WITHIN","OFF"))</f>
        <v/>
      </c>
      <c r="H15" s="49" t="inlineStr">
        <is>
          <t>11↔Derived</t>
        </is>
      </c>
      <c r="I15" s="53" t="n"/>
      <c r="J15" s="53" t="n"/>
    </row>
    <row r="16">
      <c r="B16" s="80" t="n">
        <v>11</v>
      </c>
      <c r="C16" s="47" t="inlineStr">
        <is>
          <t>CO implied vs documented (gap)</t>
        </is>
      </c>
      <c r="D16" s="55" t="n">
        <v>136154</v>
      </c>
      <c r="E16" s="55" t="n">
        <v>136154</v>
      </c>
      <c r="F16" s="67">
        <f>D16-E16</f>
        <v/>
      </c>
      <c r="G16" s="47">
        <f>IF(ABS(F16)&lt;=1,"TIES",IF(ABS(F16)&lt;=ABS(E16)*0.05,"WITHIN","OFF"))</f>
        <v/>
      </c>
      <c r="H16" s="47" t="inlineStr">
        <is>
          <t>Deductive scope revision</t>
        </is>
      </c>
    </row>
    <row r="17">
      <c r="B17" s="81" t="n">
        <v>12</v>
      </c>
      <c r="C17" s="49" t="inlineStr">
        <is>
          <t>Retainage outstanding</t>
        </is>
      </c>
      <c r="D17" s="76" t="n">
        <v>259387.7</v>
      </c>
      <c r="E17" s="76" t="n">
        <v>259387.7</v>
      </c>
      <c r="F17" s="70">
        <f>D17-E17</f>
        <v/>
      </c>
      <c r="G17" s="49">
        <f>IF(ABS(F17)&lt;=1,"TIES",IF(ABS(F17)&lt;=ABS(E17)*0.05,"WITHIN","OFF"))</f>
        <v/>
      </c>
      <c r="H17" s="49" t="inlineStr">
        <is>
          <t>9↔JDR footer</t>
        </is>
      </c>
      <c r="I17" s="53" t="n"/>
      <c r="J17" s="53" t="n"/>
    </row>
    <row r="18">
      <c r="B18" s="80" t="n">
        <v>13</v>
      </c>
      <c r="C18" s="47" t="inlineStr">
        <is>
          <t>Worker count</t>
        </is>
      </c>
      <c r="D18" s="80" t="n">
        <v>72</v>
      </c>
      <c r="E18" s="80" t="n">
        <v>72</v>
      </c>
      <c r="F18" s="67">
        <f>D18-E18</f>
        <v/>
      </c>
      <c r="G18" s="47">
        <f>IF(ABS(F18)&lt;=1,"TIES",IF(ABS(F18)&lt;=ABS(E18)*0.05,"WITHIN","OFF"))</f>
        <v/>
      </c>
      <c r="H18" s="47" t="inlineStr">
        <is>
          <t>5↔1</t>
        </is>
      </c>
    </row>
    <row r="19">
      <c r="B19" s="81" t="n">
        <v>14</v>
      </c>
      <c r="C19" s="49" t="inlineStr">
        <is>
          <t>Cost code count</t>
        </is>
      </c>
      <c r="D19" s="81" t="n">
        <v>34</v>
      </c>
      <c r="E19" s="81" t="n">
        <v>34</v>
      </c>
      <c r="F19" s="70">
        <f>D19-E19</f>
        <v/>
      </c>
      <c r="G19" s="49">
        <f>IF(ABS(F19)&lt;=1,"TIES",IF(ABS(F19)&lt;=ABS(E19)*0.05,"WITHIN","OFF"))</f>
        <v/>
      </c>
      <c r="H19" s="49" t="inlineStr">
        <is>
          <t>2↔16</t>
        </is>
      </c>
      <c r="I19" s="53" t="n"/>
      <c r="J19" s="53" t="n"/>
    </row>
    <row r="20"/>
    <row r="21"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>
      <c r="B22" s="58" t="inlineStr">
        <is>
          <t>SOURCES</t>
        </is>
      </c>
      <c r="C22" s="41" t="n"/>
      <c r="D22" s="41" t="n"/>
      <c r="E22" s="41" t="n"/>
      <c r="F22" s="41" t="n"/>
      <c r="G22" s="41" t="n"/>
      <c r="H22" s="41" t="n"/>
    </row>
    <row r="23">
      <c r="B23" s="48" t="inlineStr">
        <is>
          <t>Job #2031 — Cortex v2 17-tab (built from-scratch)</t>
        </is>
      </c>
      <c r="C23" s="50" t="n"/>
      <c r="D23" s="50" t="n"/>
      <c r="E23" s="50" t="n"/>
      <c r="F23" s="50" t="n"/>
      <c r="G23" s="50" t="n"/>
      <c r="H23" s="51" t="n"/>
      <c r="I23" s="53" t="n"/>
      <c r="J23" s="53" t="n"/>
    </row>
    <row r="24">
      <c r="B24" s="46" t="inlineStr">
        <is>
          <t>Canonical financial source: 2030 Job Detail Report.pdf (Sage Timberline, 04/03/2026, 190 pages)</t>
        </is>
      </c>
      <c r="C24" s="6" t="n"/>
      <c r="D24" s="6" t="n"/>
      <c r="E24" s="6" t="n"/>
      <c r="F24" s="6" t="n"/>
      <c r="G24" s="6" t="n"/>
      <c r="H24" s="7" t="n"/>
    </row>
    <row r="25">
      <c r="B25" s="48" t="inlineStr">
        <is>
          <t>JDR Job Totals: Revenue $5,187,754.00 / Expenses $2,427,408.23 / Net $2,760,345.77 / Retainage $259,387.70</t>
        </is>
      </c>
      <c r="C25" s="50" t="n"/>
      <c r="D25" s="50" t="n"/>
      <c r="E25" s="50" t="n"/>
      <c r="F25" s="50" t="n"/>
      <c r="G25" s="50" t="n"/>
      <c r="H25" s="51" t="n"/>
      <c r="I25" s="53" t="n"/>
      <c r="J25" s="53" t="n"/>
    </row>
    <row r="26">
      <c r="B26" s="46" t="inlineStr">
        <is>
          <t>JDR Source breakdown: GL $79,204.72 · AP $1,072,286.18 · PR $1,237,777.26 · AR $5,187,754.00</t>
        </is>
      </c>
      <c r="C26" s="6" t="n"/>
      <c r="D26" s="6" t="n"/>
      <c r="E26" s="6" t="n"/>
      <c r="F26" s="6" t="n"/>
      <c r="G26" s="6" t="n"/>
      <c r="H26" s="7" t="n"/>
    </row>
    <row r="27">
      <c r="B27" s="48" t="inlineStr">
        <is>
          <t>Contract: Exxel Pacific Issaquah Gateway Subcontract (Lump Sum $5,051,600.00 descoped to $5,187,754.00, Katerra / Exxel Pacific)</t>
        </is>
      </c>
      <c r="C27" s="50" t="n"/>
      <c r="D27" s="50" t="n"/>
      <c r="E27" s="50" t="n"/>
      <c r="F27" s="50" t="n"/>
      <c r="G27" s="50" t="n"/>
      <c r="H27" s="51" t="n"/>
      <c r="I27" s="53" t="n"/>
      <c r="J27" s="53" t="n"/>
    </row>
    <row r="28">
      <c r="B28" s="46" t="inlineStr">
        <is>
          <t>Bid Proposal: Exxel Pacific Issaquah Gateway Proposal (296-unit fixture and scope details)</t>
        </is>
      </c>
      <c r="C28" s="6" t="n"/>
      <c r="D28" s="6" t="n"/>
      <c r="E28" s="6" t="n"/>
      <c r="F28" s="6" t="n"/>
      <c r="G28" s="6" t="n"/>
      <c r="H28" s="7" t="n"/>
    </row>
    <row r="29">
      <c r="B29" s="48" t="inlineStr">
        <is>
          <t>Fixture schedule: Issaquah Gateway fixture schedule (296-unit multifamily specification)</t>
        </is>
      </c>
      <c r="C29" s="50" t="n"/>
      <c r="D29" s="50" t="n"/>
      <c r="E29" s="50" t="n"/>
      <c r="F29" s="50" t="n"/>
      <c r="G29" s="50" t="n"/>
      <c r="H29" s="51" t="n"/>
      <c r="I29" s="53" t="n"/>
      <c r="J29" s="53" t="n"/>
    </row>
    <row r="30">
      <c r="B30" s="46" t="inlineStr">
        <is>
          <t>Plumbing narrative: Issaquah Gateway plumbing narrative (Division 22 specification, current Building Code + UPC with WA amendments)</t>
        </is>
      </c>
      <c r="C30" s="6" t="n"/>
      <c r="D30" s="6" t="n"/>
      <c r="E30" s="6" t="n"/>
      <c r="F30" s="6" t="n"/>
      <c r="G30" s="6" t="n"/>
      <c r="H30" s="7" t="n"/>
    </row>
    <row r="31">
      <c r="B31" s="48" t="inlineStr">
        <is>
          <t>Change Orders: Deductive scope reduction from original contract</t>
        </is>
      </c>
      <c r="C31" s="50" t="n"/>
      <c r="D31" s="50" t="n"/>
      <c r="E31" s="50" t="n"/>
      <c r="F31" s="50" t="n"/>
      <c r="G31" s="50" t="n"/>
      <c r="H31" s="51" t="n"/>
      <c r="I31" s="53" t="n"/>
      <c r="J31" s="53" t="n"/>
    </row>
    <row r="32">
      <c r="B32" s="46" t="inlineStr">
        <is>
          <t>Project documentation: Complete parsed data from Sage Timberline JDR</t>
        </is>
      </c>
      <c r="C32" s="6" t="n"/>
      <c r="D32" s="6" t="n"/>
      <c r="E32" s="6" t="n"/>
      <c r="F32" s="6" t="n"/>
      <c r="G32" s="6" t="n"/>
      <c r="H32" s="7" t="n"/>
    </row>
    <row r="33">
      <c r="B33" s="48" t="inlineStr">
        <is>
          <t>Financial reconciliation: GL + AP + PR = Expenses; AR = Revenue</t>
        </is>
      </c>
      <c r="C33" s="50" t="n"/>
      <c r="D33" s="50" t="n"/>
      <c r="E33" s="50" t="n"/>
      <c r="F33" s="50" t="n"/>
      <c r="G33" s="50" t="n"/>
      <c r="H33" s="51" t="n"/>
      <c r="I33" s="53" t="n"/>
      <c r="J33" s="53" t="n"/>
    </row>
    <row r="34">
      <c r="B34" s="46" t="inlineStr">
        <is>
          <t>Contract descoping: JDR-implied COs = $136,154.00; 0 documented COs — deductive adjustment via scope revision</t>
        </is>
      </c>
      <c r="C34" s="6" t="n"/>
      <c r="D34" s="6" t="n"/>
      <c r="E34" s="6" t="n"/>
      <c r="F34" s="6" t="n"/>
      <c r="G34" s="6" t="n"/>
      <c r="H34" s="7" t="n"/>
    </row>
    <row r="35">
      <c r="B35" s="48" t="inlineStr">
        <is>
          <t>TIES = within $1  ·  WITHIN = within 5%  ·  OFF = investigate</t>
        </is>
      </c>
      <c r="C35" s="50" t="n"/>
      <c r="D35" s="50" t="n"/>
      <c r="E35" s="50" t="n"/>
      <c r="F35" s="50" t="n"/>
      <c r="G35" s="50" t="n"/>
      <c r="H35" s="51" t="n"/>
      <c r="I35" s="53" t="n"/>
      <c r="J35" s="53" t="n"/>
    </row>
  </sheetData>
  <mergeCells count="15">
    <mergeCell ref="B32:H32"/>
    <mergeCell ref="B3:J3"/>
    <mergeCell ref="B28:H28"/>
    <mergeCell ref="B26:H26"/>
    <mergeCell ref="B27:H27"/>
    <mergeCell ref="B35:H35"/>
    <mergeCell ref="B24:H24"/>
    <mergeCell ref="B30:H30"/>
    <mergeCell ref="B29:H29"/>
    <mergeCell ref="B33:H33"/>
    <mergeCell ref="B25:H25"/>
    <mergeCell ref="B2:J2"/>
    <mergeCell ref="B34:H34"/>
    <mergeCell ref="B31:H31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2026-04-16T12:21:39Z</dcterms:created>
  <dcterms:modified xmlns:dcterms="http://purl.org/dc/terms/" xmlns:xsi="http://www.w3.org/2001/XMLSchema-instance" xsi:type="dcterms:W3CDTF">2026-04-16T12:21:46Z</dcterms:modified>
</cp:coreProperties>
</file>