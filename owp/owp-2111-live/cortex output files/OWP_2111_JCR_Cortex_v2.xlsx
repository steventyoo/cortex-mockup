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Overview" sheetId="1" state="visible" r:id="rId1"/>
    <sheet xmlns:r="http://schemas.openxmlformats.org/officeDocument/2006/relationships" name="02 Job Info" sheetId="2" state="visible" r:id="rId2"/>
    <sheet xmlns:r="http://schemas.openxmlformats.org/officeDocument/2006/relationships" name="03 Contract" sheetId="3" state="visible" r:id="rId3"/>
    <sheet xmlns:r="http://schemas.openxmlformats.org/officeDocument/2006/relationships" name="04 SOV-PayApps" sheetId="4" state="visible" r:id="rId4"/>
    <sheet xmlns:r="http://schemas.openxmlformats.org/officeDocument/2006/relationships" name="05 Change Orders" sheetId="5" state="visible" r:id="rId5"/>
    <sheet xmlns:r="http://schemas.openxmlformats.org/officeDocument/2006/relationships" name="06 Cost Codes" sheetId="6" state="visible" r:id="rId6"/>
    <sheet xmlns:r="http://schemas.openxmlformats.org/officeDocument/2006/relationships" name="07 Cost Categories" sheetId="7" state="visible" r:id="rId7"/>
    <sheet xmlns:r="http://schemas.openxmlformats.org/officeDocument/2006/relationships" name="08 BVA" sheetId="8" state="visible" r:id="rId8"/>
    <sheet xmlns:r="http://schemas.openxmlformats.org/officeDocument/2006/relationships" name="09 Vendor Analysis" sheetId="9" state="visible" r:id="rId9"/>
    <sheet xmlns:r="http://schemas.openxmlformats.org/officeDocument/2006/relationships" name="10 Crew Roster" sheetId="10" state="visible" r:id="rId10"/>
    <sheet xmlns:r="http://schemas.openxmlformats.org/officeDocument/2006/relationships" name="11 Wage Tiers" sheetId="11" state="visible" r:id="rId11"/>
    <sheet xmlns:r="http://schemas.openxmlformats.org/officeDocument/2006/relationships" name="12 Productivity" sheetId="12" state="visible" r:id="rId12"/>
    <sheet xmlns:r="http://schemas.openxmlformats.org/officeDocument/2006/relationships" name="13 Benchmarks" sheetId="13" state="visible" r:id="rId13"/>
    <sheet xmlns:r="http://schemas.openxmlformats.org/officeDocument/2006/relationships" name="14 Predictive Signals" sheetId="14" state="visible" r:id="rId14"/>
    <sheet xmlns:r="http://schemas.openxmlformats.org/officeDocument/2006/relationships" name="15 Reconciliation" sheetId="15" state="visible" r:id="rId15"/>
    <sheet xmlns:r="http://schemas.openxmlformats.org/officeDocument/2006/relationships" name="16 Metric Registry" sheetId="16" state="visible" r:id="rId16"/>
    <sheet xmlns:r="http://schemas.openxmlformats.org/officeDocument/2006/relationships" name="17 Change Log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;($#,##0);-"/>
    <numFmt numFmtId="165" formatCode="0.0%;(0.0%);-"/>
    <numFmt numFmtId="166" formatCode="#,##0.0"/>
    <numFmt numFmtId="167" formatCode="$#,##0.00"/>
  </numFmts>
  <fonts count="10">
    <font>
      <name val="Calibri"/>
      <family val="2"/>
      <color theme="1"/>
      <sz val="11"/>
      <scheme val="minor"/>
    </font>
    <font>
      <name val="Arial"/>
      <b val="1"/>
      <color rgb="002C2B29"/>
      <sz val="16"/>
    </font>
    <font>
      <name val="Arial"/>
      <i val="1"/>
      <color rgb="0070655C"/>
      <sz val="9"/>
    </font>
    <font>
      <name val="Arial"/>
      <b val="1"/>
      <color rgb="002C2B29"/>
      <sz val="12"/>
    </font>
    <font>
      <name val="Arial"/>
      <color rgb="002C2B29"/>
      <sz val="10"/>
    </font>
    <font>
      <name val="Arial"/>
      <color rgb="000000FF"/>
      <sz val="10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2C2B29"/>
      <sz val="10"/>
    </font>
  </fonts>
  <fills count="5">
    <fill>
      <patternFill/>
    </fill>
    <fill>
      <patternFill patternType="gray125"/>
    </fill>
    <fill>
      <patternFill patternType="solid">
        <fgColor rgb="002C2B29"/>
      </patternFill>
    </fill>
    <fill>
      <patternFill patternType="solid">
        <fgColor rgb="00D5DEC5"/>
      </patternFill>
    </fill>
    <fill>
      <patternFill patternType="solid">
        <fgColor rgb="00E8CEC3"/>
      </patternFill>
    </fill>
  </fills>
  <borders count="2">
    <border>
      <left/>
      <right/>
      <top/>
      <bottom/>
      <diagonal/>
    </border>
    <border>
      <left style="thin">
        <color rgb="00BFB8AE"/>
      </left>
      <right style="thin">
        <color rgb="00BFB8AE"/>
      </right>
      <top style="thin">
        <color rgb="00BFB8AE"/>
      </top>
      <bottom style="thin">
        <color rgb="00BFB8AE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0" borderId="0" applyAlignment="1" pivotButton="0" quotePrefix="0" xfId="0">
      <alignment horizontal="right" vertical="center"/>
    </xf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/>
    </xf>
    <xf numFmtId="164" fontId="8" fillId="0" borderId="0" applyAlignment="1" pivotButton="0" quotePrefix="0" xfId="0">
      <alignment horizontal="right" vertical="center"/>
    </xf>
    <xf numFmtId="0" fontId="9" fillId="0" borderId="0" pivotButton="0" quotePrefix="0" xfId="0"/>
    <xf numFmtId="0" fontId="7" fillId="2" borderId="1" applyAlignment="1" pivotButton="0" quotePrefix="0" xfId="0">
      <alignment horizontal="center" vertical="center"/>
    </xf>
    <xf numFmtId="165" fontId="8" fillId="0" borderId="0" applyAlignment="1" pivotButton="0" quotePrefix="0" xfId="0">
      <alignment horizontal="right" vertical="center"/>
    </xf>
    <xf numFmtId="3" fontId="6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3" fontId="5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0" fontId="9" fillId="3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OWP #2111 · Northgate Station M3</t>
        </is>
      </c>
    </row>
    <row r="2">
      <c r="A2" s="2" t="inlineStr">
        <is>
          <t>Compass General Construction I, LLC · 186 units · Live / in-progress · OCIP</t>
        </is>
      </c>
    </row>
    <row r="4">
      <c r="A4" s="3" t="inlineStr">
        <is>
          <t>Forecast at Completion (Revised Basis)</t>
        </is>
      </c>
    </row>
    <row r="5">
      <c r="A5" s="4" t="inlineStr">
        <is>
          <t>Revised contract value</t>
        </is>
      </c>
      <c r="B5" s="5" t="n">
        <v>0</v>
      </c>
    </row>
    <row r="6">
      <c r="A6" s="4" t="inlineStr">
        <is>
          <t>Revised budget (expenses)</t>
        </is>
      </c>
      <c r="B6" s="5" t="n">
        <v>0</v>
      </c>
    </row>
    <row r="7">
      <c r="A7" s="4" t="inlineStr">
        <is>
          <t>Forecast net profit</t>
        </is>
      </c>
      <c r="B7" s="6">
        <f>B5-B6</f>
        <v/>
      </c>
    </row>
    <row r="8">
      <c r="A8" s="4" t="inlineStr">
        <is>
          <t>Forecast margin</t>
        </is>
      </c>
      <c r="B8" s="7">
        <f>IFERROR(B7/B5,0)</f>
        <v/>
      </c>
    </row>
    <row r="10">
      <c r="A10" s="3" t="inlineStr">
        <is>
          <t>Progress to Date</t>
        </is>
      </c>
    </row>
    <row r="11">
      <c r="A11" s="4" t="inlineStr">
        <is>
          <t>Work complete (billed)</t>
        </is>
      </c>
      <c r="B11" s="5" t="n">
        <v>2203668</v>
      </c>
    </row>
    <row r="12">
      <c r="A12" s="4" t="inlineStr">
        <is>
          <t>Retention held</t>
        </is>
      </c>
      <c r="B12" s="5" t="n">
        <v>110183.4</v>
      </c>
    </row>
    <row r="13">
      <c r="A13" s="4" t="inlineStr">
        <is>
          <t>Earned less retention</t>
        </is>
      </c>
      <c r="B13" s="6">
        <f>B11-B12</f>
        <v/>
      </c>
    </row>
    <row r="14">
      <c r="A14" s="4" t="inlineStr">
        <is>
          <t>Balance to finish</t>
        </is>
      </c>
      <c r="B14" s="6">
        <f>B5-B11</f>
        <v/>
      </c>
    </row>
    <row r="15">
      <c r="A15" s="4" t="inlineStr">
        <is>
          <t>Percent complete</t>
        </is>
      </c>
      <c r="B15" s="7">
        <f>IFERROR(B11/B5,0)</f>
        <v/>
      </c>
    </row>
    <row r="17">
      <c r="A17" s="3" t="inlineStr">
        <is>
          <t>Transaction Totals by Source</t>
        </is>
      </c>
    </row>
    <row r="18">
      <c r="A18" s="8" t="inlineStr">
        <is>
          <t>Source</t>
        </is>
      </c>
      <c r="B18" s="8" t="inlineStr">
        <is>
          <t>Dollars</t>
        </is>
      </c>
    </row>
    <row r="19">
      <c r="A19" s="4" t="inlineStr">
        <is>
          <t>GL</t>
        </is>
      </c>
      <c r="B19" s="9" t="n">
        <v>0</v>
      </c>
    </row>
    <row r="20">
      <c r="A20" s="4" t="inlineStr">
        <is>
          <t>AP</t>
        </is>
      </c>
      <c r="B20" s="9" t="n">
        <v>0</v>
      </c>
    </row>
    <row r="21">
      <c r="A21" s="4" t="inlineStr">
        <is>
          <t>PR</t>
        </is>
      </c>
      <c r="B21" s="9" t="n">
        <v>0</v>
      </c>
    </row>
    <row r="22">
      <c r="A22" s="4" t="inlineStr">
        <is>
          <t>AR</t>
        </is>
      </c>
      <c r="B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1" t="inlineStr">
        <is>
          <t>Job Information</t>
        </is>
      </c>
    </row>
    <row r="3">
      <c r="A3" s="10" t="inlineStr">
        <is>
          <t>Job ID</t>
        </is>
      </c>
      <c r="B3" s="4" t="inlineStr">
        <is>
          <t>2111</t>
        </is>
      </c>
    </row>
    <row r="4">
      <c r="A4" s="10" t="inlineStr">
        <is>
          <t>Project name</t>
        </is>
      </c>
      <c r="B4" s="4" t="inlineStr">
        <is>
          <t>Northgate Station M3</t>
        </is>
      </c>
    </row>
    <row r="5">
      <c r="A5" s="10" t="inlineStr">
        <is>
          <t>General contractor</t>
        </is>
      </c>
      <c r="B5" s="4" t="inlineStr">
        <is>
          <t>Compass General Construction I, LLC</t>
        </is>
      </c>
    </row>
    <row r="6">
      <c r="A6" s="10" t="inlineStr">
        <is>
          <t>Owner</t>
        </is>
      </c>
      <c r="B6" s="4" t="inlineStr">
        <is>
          <t>Northgate Station Residential M2 M3 LLC</t>
        </is>
      </c>
    </row>
    <row r="7">
      <c r="A7" s="10" t="inlineStr">
        <is>
          <t>Units</t>
        </is>
      </c>
      <c r="B7" s="4" t="n">
        <v>186</v>
      </c>
    </row>
    <row r="8">
      <c r="A8" s="10" t="inlineStr">
        <is>
          <t>Insurance</t>
        </is>
      </c>
      <c r="B8" s="4" t="inlineStr">
        <is>
          <t>TBD</t>
        </is>
      </c>
    </row>
    <row r="9">
      <c r="A9" s="10" t="inlineStr">
        <is>
          <t>Job start</t>
        </is>
      </c>
      <c r="B9" s="4" t="inlineStr">
        <is>
          <t>Apr 2025</t>
        </is>
      </c>
    </row>
    <row r="10">
      <c r="A10" s="10" t="inlineStr">
        <is>
          <t>Expected completion</t>
        </is>
      </c>
      <c r="B10" s="4" t="inlineStr">
        <is>
          <t>Q4 2026</t>
        </is>
      </c>
    </row>
    <row r="11">
      <c r="A11" s="10" t="inlineStr">
        <is>
          <t>Architect</t>
        </is>
      </c>
      <c r="B11" s="4" t="inlineStr">
        <is>
          <t>CPL / GGLO</t>
        </is>
      </c>
    </row>
    <row r="12">
      <c r="A12" s="10" t="inlineStr">
        <is>
          <t>MEP Engineer</t>
        </is>
      </c>
      <c r="B12" s="4" t="inlineStr">
        <is>
          <t>Franklin Engineering</t>
        </is>
      </c>
    </row>
    <row r="13">
      <c r="A13" s="10" t="inlineStr">
        <is>
          <t>Status</t>
        </is>
      </c>
      <c r="B13" s="4" t="inlineStr">
        <is>
          <t>ACTIVE · in-progress</t>
        </is>
      </c>
    </row>
    <row r="14">
      <c r="A14" s="10" t="inlineStr">
        <is>
          <t>JDR report date</t>
        </is>
      </c>
      <c r="B14" s="4" t="inlineStr">
        <is>
          <t>Mar 5, 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Contract Summary</t>
        </is>
      </c>
    </row>
    <row r="3">
      <c r="A3" s="11" t="inlineStr">
        <is>
          <t>Item</t>
        </is>
      </c>
      <c r="B3" s="11" t="inlineStr">
        <is>
          <t>Original</t>
        </is>
      </c>
      <c r="C3" s="11" t="inlineStr">
        <is>
          <t>Revised</t>
        </is>
      </c>
      <c r="D3" s="11" t="inlineStr">
        <is>
          <t>Delta</t>
        </is>
      </c>
    </row>
    <row r="4">
      <c r="A4" s="4" t="inlineStr">
        <is>
          <t>Base construction contract</t>
        </is>
      </c>
      <c r="B4" s="5" t="n">
        <v>0</v>
      </c>
      <c r="C4" s="5" t="n">
        <v>0</v>
      </c>
      <c r="D4" s="9">
        <f>C4-B4</f>
        <v/>
      </c>
    </row>
    <row r="5">
      <c r="A5" s="4" t="inlineStr">
        <is>
          <t>Executed change orders (net)</t>
        </is>
      </c>
      <c r="B5" s="5" t="n">
        <v>0</v>
      </c>
      <c r="C5" s="5" t="n">
        <v>0</v>
      </c>
      <c r="D5" s="9">
        <f>C5-B5</f>
        <v/>
      </c>
    </row>
    <row r="6">
      <c r="A6" s="10" t="inlineStr">
        <is>
          <t>Total contract value</t>
        </is>
      </c>
      <c r="B6" s="6">
        <f>SUM(B4:B5)</f>
        <v/>
      </c>
      <c r="C6" s="6">
        <f>SUM(C4:C5)</f>
        <v/>
      </c>
      <c r="D6" s="6">
        <f>SUM(D4:D5)</f>
        <v/>
      </c>
    </row>
    <row r="9">
      <c r="A9" s="3" t="inlineStr">
        <is>
          <t>Executed Change Orders</t>
        </is>
      </c>
    </row>
    <row r="10">
      <c r="A10" s="11" t="inlineStr">
        <is>
          <t>CO #</t>
        </is>
      </c>
      <c r="B10" s="11" t="inlineStr">
        <is>
          <t>Description</t>
        </is>
      </c>
      <c r="C10" s="11" t="inlineStr">
        <is>
          <t>Amount</t>
        </is>
      </c>
    </row>
    <row r="11">
      <c r="A11" s="4" t="inlineStr">
        <is>
          <t>CO#01</t>
        </is>
      </c>
      <c r="B11" s="4" t="inlineStr">
        <is>
          <t>Unit riser shutoff valve additions (COR#03)</t>
        </is>
      </c>
      <c r="C11" s="5" t="n">
        <v>26130</v>
      </c>
    </row>
    <row r="12">
      <c r="A12" s="4" t="inlineStr">
        <is>
          <t>CO#02</t>
        </is>
      </c>
      <c r="B12" s="4" t="inlineStr">
        <is>
          <t>Bundled minor field adds (varies)</t>
        </is>
      </c>
      <c r="C12" s="5" t="n">
        <v>15700</v>
      </c>
    </row>
    <row r="13">
      <c r="A13" s="4" t="inlineStr">
        <is>
          <t>CO#03</t>
        </is>
      </c>
      <c r="B13" s="4" t="inlineStr">
        <is>
          <t>ASI revisions bundle</t>
        </is>
      </c>
      <c r="C13" s="5" t="n">
        <v>12400</v>
      </c>
    </row>
    <row r="14">
      <c r="A14" s="4" t="inlineStr">
        <is>
          <t>CO#04</t>
        </is>
      </c>
      <c r="B14" s="4" t="inlineStr">
        <is>
          <t>Domestic water relocation</t>
        </is>
      </c>
      <c r="C14" s="5" t="n">
        <v>8900</v>
      </c>
    </row>
    <row r="15">
      <c r="A15" s="4" t="inlineStr">
        <is>
          <t>CO#05</t>
        </is>
      </c>
      <c r="B15" s="4" t="inlineStr">
        <is>
          <t>Fixture spec uplift</t>
        </is>
      </c>
      <c r="C15" s="5" t="n">
        <v>7100</v>
      </c>
    </row>
    <row r="16">
      <c r="A16" s="4" t="inlineStr">
        <is>
          <t>CO#06</t>
        </is>
      </c>
      <c r="B16" s="4" t="inlineStr">
        <is>
          <t>Drain reroute (ASI 22)</t>
        </is>
      </c>
      <c r="C16" s="5" t="n">
        <v>11500</v>
      </c>
    </row>
    <row r="17">
      <c r="A17" s="4" t="inlineStr">
        <is>
          <t>CO#07</t>
        </is>
      </c>
      <c r="B17" s="4" t="inlineStr">
        <is>
          <t>Misc additions + cleanups</t>
        </is>
      </c>
      <c r="C17" s="5" t="n">
        <v>8162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Schedule of Values / Pay Application History</t>
        </is>
      </c>
    </row>
    <row r="3">
      <c r="A3" s="11" t="inlineStr">
        <is>
          <t>Pay App</t>
        </is>
      </c>
      <c r="B3" s="11" t="inlineStr">
        <is>
          <t>Period End</t>
        </is>
      </c>
      <c r="C3" s="11" t="inlineStr">
        <is>
          <t>This Period</t>
        </is>
      </c>
      <c r="D3" s="11" t="inlineStr">
        <is>
          <t>Completed to Date</t>
        </is>
      </c>
      <c r="E3" s="11" t="inlineStr">
        <is>
          <t>Retention Held</t>
        </is>
      </c>
      <c r="F3" s="11" t="inlineStr">
        <is>
          <t>Previous Billed</t>
        </is>
      </c>
      <c r="G3" s="11" t="inlineStr">
        <is>
          <t>Current Balance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50" customWidth="1" min="3" max="3"/>
    <col width="18" customWidth="1" min="4" max="4"/>
    <col width="12" customWidth="1" min="5" max="5"/>
  </cols>
  <sheetData>
    <row r="1">
      <c r="A1" s="1" t="inlineStr">
        <is>
          <t>Change Order Log</t>
        </is>
      </c>
    </row>
    <row r="3">
      <c r="A3" s="11" t="inlineStr">
        <is>
          <t>#</t>
        </is>
      </c>
      <c r="B3" s="11" t="inlineStr">
        <is>
          <t>Type</t>
        </is>
      </c>
      <c r="C3" s="11" t="inlineStr">
        <is>
          <t>Description</t>
        </is>
      </c>
      <c r="D3" s="11" t="inlineStr">
        <is>
          <t>Amount</t>
        </is>
      </c>
      <c r="E3" s="11" t="inlineStr">
        <is>
          <t>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Cost Code Detail (Revised Basis)</t>
        </is>
      </c>
    </row>
    <row r="3">
      <c r="A3" s="11" t="inlineStr">
        <is>
          <t>Code</t>
        </is>
      </c>
      <c r="B3" s="11" t="inlineStr">
        <is>
          <t>Description</t>
        </is>
      </c>
      <c r="C3" s="11" t="inlineStr">
        <is>
          <t>Original</t>
        </is>
      </c>
      <c r="D3" s="11" t="inlineStr">
        <is>
          <t>Revised</t>
        </is>
      </c>
      <c r="E3" s="11" t="inlineStr">
        <is>
          <t>Actual</t>
        </is>
      </c>
      <c r="F3" s="11" t="inlineStr">
        <is>
          <t>Variance</t>
        </is>
      </c>
      <c r="G3" s="11" t="inlineStr">
        <is>
          <t>Net Due</t>
        </is>
      </c>
      <c r="H3" s="11" t="inlineStr">
        <is>
          <t>% Complete</t>
        </is>
      </c>
    </row>
    <row r="4">
      <c r="A4" s="10" t="inlineStr">
        <is>
          <t>TOTAL</t>
        </is>
      </c>
      <c r="C4" s="6">
        <f>SUM(C4:C3)</f>
        <v/>
      </c>
      <c r="D4" s="6">
        <f>SUM(D4:D3)</f>
        <v/>
      </c>
      <c r="E4" s="6">
        <f>SUM(E4:E3)</f>
        <v/>
      </c>
      <c r="F4" s="6">
        <f>SUM(F4:F3)</f>
        <v/>
      </c>
      <c r="G4" s="6">
        <f>SUM(G4:G3)</f>
        <v/>
      </c>
      <c r="H4" s="7">
        <f>IFERROR(E4/D4,0)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Cost Category Rollup</t>
        </is>
      </c>
    </row>
    <row r="3">
      <c r="A3" s="11" t="inlineStr">
        <is>
          <t>Category</t>
        </is>
      </c>
      <c r="B3" s="11" t="inlineStr">
        <is>
          <t># Codes</t>
        </is>
      </c>
      <c r="C3" s="11" t="inlineStr">
        <is>
          <t>Revised Budget</t>
        </is>
      </c>
      <c r="D3" s="11" t="inlineStr">
        <is>
          <t>Actual</t>
        </is>
      </c>
      <c r="E3" s="11" t="inlineStr">
        <is>
          <t>Variance</t>
        </is>
      </c>
      <c r="F3" s="11" t="inlineStr">
        <is>
          <t>% Complete</t>
        </is>
      </c>
    </row>
    <row r="4">
      <c r="A4" s="10" t="inlineStr">
        <is>
          <t>Labor</t>
        </is>
      </c>
      <c r="B4" s="4" t="n">
        <v>0</v>
      </c>
      <c r="C4" s="5" t="n">
        <v>0</v>
      </c>
      <c r="D4" s="5" t="n">
        <v>0</v>
      </c>
      <c r="E4" s="9">
        <f>C4-D4</f>
        <v/>
      </c>
      <c r="F4" s="12">
        <f>IFERROR(D4/C4,0)</f>
        <v/>
      </c>
    </row>
    <row r="5">
      <c r="A5" s="10" t="inlineStr">
        <is>
          <t>Material</t>
        </is>
      </c>
      <c r="B5" s="4" t="n">
        <v>0</v>
      </c>
      <c r="C5" s="5" t="n">
        <v>0</v>
      </c>
      <c r="D5" s="5" t="n">
        <v>0</v>
      </c>
      <c r="E5" s="9">
        <f>C5-D5</f>
        <v/>
      </c>
      <c r="F5" s="12">
        <f>IFERROR(D5/C5,0)</f>
        <v/>
      </c>
    </row>
    <row r="6">
      <c r="A6" s="10" t="inlineStr">
        <is>
          <t>Overhead</t>
        </is>
      </c>
      <c r="B6" s="4" t="n">
        <v>0</v>
      </c>
      <c r="C6" s="5" t="n">
        <v>0</v>
      </c>
      <c r="D6" s="5" t="n">
        <v>0</v>
      </c>
      <c r="E6" s="9">
        <f>C6-D6</f>
        <v/>
      </c>
      <c r="F6" s="12">
        <f>IFERROR(D6/C6,0)</f>
        <v/>
      </c>
    </row>
    <row r="7">
      <c r="A7" s="10" t="inlineStr">
        <is>
          <t>Burden</t>
        </is>
      </c>
      <c r="B7" s="4" t="n">
        <v>0</v>
      </c>
      <c r="C7" s="5" t="n">
        <v>0</v>
      </c>
      <c r="D7" s="5" t="n">
        <v>0</v>
      </c>
      <c r="E7" s="9">
        <f>C7-D7</f>
        <v/>
      </c>
      <c r="F7" s="12">
        <f>IFERROR(D7/C7,0)</f>
        <v/>
      </c>
    </row>
    <row r="8">
      <c r="A8" s="10" t="inlineStr">
        <is>
          <t>TOTAL</t>
        </is>
      </c>
      <c r="B8" s="13">
        <f>SUM(B4:B7)</f>
        <v/>
      </c>
      <c r="C8" s="6">
        <f>SUM(C4:C7)</f>
        <v/>
      </c>
      <c r="D8" s="6">
        <f>SUM(D4:D7)</f>
        <v/>
      </c>
      <c r="E8" s="6">
        <f>SUM(E4:E7)</f>
        <v/>
      </c>
      <c r="F8" s="7">
        <f>IFERROR(D8/C8,0)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14" customWidth="1" min="3" max="3"/>
    <col width="14" customWidth="1" min="4" max="4"/>
    <col width="14" customWidth="1" min="5" max="5"/>
    <col width="10" customWidth="1" min="6" max="6"/>
    <col width="14" customWidth="1" min="7" max="7"/>
  </cols>
  <sheetData>
    <row r="1">
      <c r="A1" s="1" t="inlineStr">
        <is>
          <t>Budget vs Actual — Flag list</t>
        </is>
      </c>
    </row>
    <row r="2">
      <c r="A2" s="2" t="inlineStr">
        <is>
          <t>Revised budget is canonical basis. Flags: OVER &gt;10%, CRITICAL &gt;50%, ON ±10%, UNDER &lt;-10%.</t>
        </is>
      </c>
    </row>
    <row r="4">
      <c r="A4" s="11" t="inlineStr">
        <is>
          <t>Code</t>
        </is>
      </c>
      <c r="B4" s="11" t="inlineStr">
        <is>
          <t>Description</t>
        </is>
      </c>
      <c r="C4" s="11" t="inlineStr">
        <is>
          <t>Revised</t>
        </is>
      </c>
      <c r="D4" s="11" t="inlineStr">
        <is>
          <t>Actual</t>
        </is>
      </c>
      <c r="E4" s="11" t="inlineStr">
        <is>
          <t>Variance</t>
        </is>
      </c>
      <c r="F4" s="11" t="inlineStr">
        <is>
          <t>% Var</t>
        </is>
      </c>
      <c r="G4" s="11" t="inlineStr">
        <is>
          <t>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4" customWidth="1" min="4" max="4"/>
  </cols>
  <sheetData>
    <row r="1">
      <c r="A1" s="1" t="inlineStr">
        <is>
          <t>Vendor Spend (AP source)</t>
        </is>
      </c>
    </row>
    <row r="3">
      <c r="A3" s="11" t="inlineStr">
        <is>
          <t>Vendor</t>
        </is>
      </c>
      <c r="B3" s="11" t="inlineStr">
        <is>
          <t>Spend ($)</t>
        </is>
      </c>
      <c r="C3" s="11" t="inlineStr">
        <is>
          <t>Invoices</t>
        </is>
      </c>
      <c r="D3" s="11" t="inlineStr">
        <is>
          <t>% of Total AP</t>
        </is>
      </c>
    </row>
    <row r="4">
      <c r="A4" s="10" t="inlineStr">
        <is>
          <t>TOTAL AP</t>
        </is>
      </c>
      <c r="B4" s="6">
        <f>SUM(B4:B3)</f>
        <v/>
      </c>
      <c r="C4" s="14">
        <f>SUM(C4:C3)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4" customWidth="1" min="3" max="3"/>
    <col width="12" customWidth="1" min="4" max="4"/>
    <col width="12" customWidth="1" min="5" max="5"/>
  </cols>
  <sheetData>
    <row r="1">
      <c r="A1" s="1" t="inlineStr">
        <is>
          <t>Crew Roster (PR source)</t>
        </is>
      </c>
    </row>
    <row r="3">
      <c r="A3" s="11" t="inlineStr">
        <is>
          <t>Worker</t>
        </is>
      </c>
      <c r="B3" s="11" t="inlineStr">
        <is>
          <t>Hours</t>
        </is>
      </c>
      <c r="C3" s="11" t="inlineStr">
        <is>
          <t>Labor $</t>
        </is>
      </c>
      <c r="D3" s="11" t="inlineStr">
        <is>
          <t>Avg $/hr</t>
        </is>
      </c>
      <c r="E3" s="11" t="inlineStr">
        <is>
          <t>Tier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4" customWidth="1" min="4" max="4"/>
    <col width="14" customWidth="1" min="5" max="5"/>
  </cols>
  <sheetData>
    <row r="1">
      <c r="A1" s="1" t="inlineStr">
        <is>
          <t>Wage Tier Distribution</t>
        </is>
      </c>
    </row>
    <row r="3">
      <c r="A3" s="11" t="inlineStr">
        <is>
          <t>Tier</t>
        </is>
      </c>
      <c r="B3" s="11" t="inlineStr">
        <is>
          <t># Workers</t>
        </is>
      </c>
      <c r="C3" s="11" t="inlineStr">
        <is>
          <t>Hours</t>
        </is>
      </c>
      <c r="D3" s="11" t="inlineStr">
        <is>
          <t>Labor $</t>
        </is>
      </c>
      <c r="E3" s="11" t="inlineStr">
        <is>
          <t>% of Hours</t>
        </is>
      </c>
    </row>
    <row r="4">
      <c r="A4" s="10" t="inlineStr">
        <is>
          <t>LEAD/SUPERVISOR</t>
        </is>
      </c>
      <c r="B4" s="4" t="n">
        <v>0</v>
      </c>
      <c r="C4" s="15" t="n">
        <v>0</v>
      </c>
      <c r="D4" s="5" t="n">
        <v>0</v>
      </c>
      <c r="E4" s="12">
        <f>IFERROR(C4/SUM(C$4:C$7),0)</f>
        <v/>
      </c>
    </row>
    <row r="5">
      <c r="A5" s="10" t="inlineStr">
        <is>
          <t>JOURNEYMAN</t>
        </is>
      </c>
      <c r="B5" s="4" t="n">
        <v>0</v>
      </c>
      <c r="C5" s="15" t="n">
        <v>0</v>
      </c>
      <c r="D5" s="5" t="n">
        <v>0</v>
      </c>
      <c r="E5" s="12">
        <f>IFERROR(C5/SUM(C$4:C$7),0)</f>
        <v/>
      </c>
    </row>
    <row r="6">
      <c r="A6" s="10" t="inlineStr">
        <is>
          <t>APPRENTICE/HELPER</t>
        </is>
      </c>
      <c r="B6" s="4" t="n">
        <v>0</v>
      </c>
      <c r="C6" s="15" t="n">
        <v>0</v>
      </c>
      <c r="D6" s="5" t="n">
        <v>0</v>
      </c>
      <c r="E6" s="12">
        <f>IFERROR(C6/SUM(C$4:C$7),0)</f>
        <v/>
      </c>
    </row>
    <row r="7">
      <c r="A7" s="10" t="inlineStr">
        <is>
          <t>OT-ONLY</t>
        </is>
      </c>
      <c r="B7" s="4" t="n">
        <v>0</v>
      </c>
      <c r="C7" s="15" t="n">
        <v>0</v>
      </c>
      <c r="D7" s="5" t="n">
        <v>0</v>
      </c>
      <c r="E7" s="12">
        <f>IFERROR(C7/SUM(C$4:C$7),0)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1" t="inlineStr">
        <is>
          <t>Productivity Metrics</t>
        </is>
      </c>
    </row>
    <row r="3">
      <c r="A3" s="4" t="inlineStr">
        <is>
          <t>Total labor hours (to date)</t>
        </is>
      </c>
      <c r="B3" s="15" t="n">
        <v>0</v>
      </c>
    </row>
    <row r="4">
      <c r="A4" s="4" t="inlineStr">
        <is>
          <t>Active workers</t>
        </is>
      </c>
      <c r="B4" s="16" t="n">
        <v>0</v>
      </c>
    </row>
    <row r="5">
      <c r="A5" s="4" t="inlineStr">
        <is>
          <t>Hours per unit (to date)</t>
        </is>
      </c>
      <c r="B5" s="15" t="n">
        <v>0</v>
      </c>
    </row>
    <row r="6">
      <c r="A6" s="4" t="inlineStr">
        <is>
          <t>Revenue per labor hour (billed)</t>
        </is>
      </c>
      <c r="B6" s="17" t="n">
        <v>0</v>
      </c>
    </row>
    <row r="7">
      <c r="A7" s="4" t="inlineStr">
        <is>
          <t>Percent complete</t>
        </is>
      </c>
      <c r="B7" s="18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Portfolio Benchmarks (vs. closed jobs)</t>
        </is>
      </c>
    </row>
    <row r="3">
      <c r="A3" s="11" t="inlineStr">
        <is>
          <t>Metric</t>
        </is>
      </c>
      <c r="B3" s="11" t="inlineStr">
        <is>
          <t>This Job</t>
        </is>
      </c>
      <c r="C3" s="11" t="inlineStr">
        <is>
          <t>Portfolio Median</t>
        </is>
      </c>
      <c r="D3" s="11" t="inlineStr">
        <is>
          <t>Delta</t>
        </is>
      </c>
    </row>
    <row r="4">
      <c r="A4" s="4" t="inlineStr">
        <is>
          <t>Forecast margin %</t>
        </is>
      </c>
      <c r="B4" s="18" t="n">
        <v>0</v>
      </c>
      <c r="C4" s="18" t="n">
        <v>0.34</v>
      </c>
      <c r="D4" s="12">
        <f>B4-C4</f>
        <v/>
      </c>
    </row>
    <row r="5">
      <c r="A5" s="4" t="inlineStr">
        <is>
          <t>Roughin labor share (code 120)</t>
        </is>
      </c>
      <c r="B5" s="18" t="n">
        <v>0</v>
      </c>
      <c r="C5" s="18" t="n">
        <v>0.45</v>
      </c>
      <c r="D5" s="12">
        <f>B5-C5</f>
        <v/>
      </c>
    </row>
    <row r="6">
      <c r="A6" s="4" t="inlineStr">
        <is>
          <t>Top vendor concentration</t>
        </is>
      </c>
      <c r="B6" s="18" t="n">
        <v>0</v>
      </c>
      <c r="C6" s="18" t="n">
        <v>0.38</v>
      </c>
      <c r="D6" s="12">
        <f>B6-C6</f>
        <v/>
      </c>
    </row>
    <row r="7">
      <c r="A7" s="4" t="inlineStr">
        <is>
          <t>Hours per unit</t>
        </is>
      </c>
      <c r="B7" s="15" t="n">
        <v>0</v>
      </c>
      <c r="C7" s="15" t="n">
        <v>95</v>
      </c>
      <c r="D7" s="19">
        <f>B7-C7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44" customWidth="1" min="3" max="3"/>
  </cols>
  <sheetData>
    <row r="1">
      <c r="A1" s="1" t="inlineStr">
        <is>
          <t>Predictive Signals (live project)</t>
        </is>
      </c>
    </row>
    <row r="3">
      <c r="A3" s="11" t="inlineStr">
        <is>
          <t>Signal</t>
        </is>
      </c>
      <c r="B3" s="11" t="inlineStr">
        <is>
          <t>Status</t>
        </is>
      </c>
      <c r="C3" s="11" t="inlineStr">
        <is>
          <t>Notes</t>
        </is>
      </c>
    </row>
    <row r="4">
      <c r="A4" s="4" t="inlineStr">
        <is>
          <t>Retention aging</t>
        </is>
      </c>
      <c r="B4" s="20" t="inlineStr">
        <is>
          <t>✓ OK</t>
        </is>
      </c>
      <c r="C4" s="4" t="inlineStr">
        <is>
          <t>$110,183 held · 5.0% of billed · standard range</t>
        </is>
      </c>
    </row>
    <row r="5">
      <c r="A5" s="4" t="inlineStr">
        <is>
          <t>Forecast margin</t>
        </is>
      </c>
      <c r="B5" s="21" t="inlineStr">
        <is>
          <t>⚠ WATCH</t>
        </is>
      </c>
      <c r="C5" s="4" t="inlineStr">
        <is>
          <t>0.0% forecast margin — monitor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JDR Reconciliation</t>
        </is>
      </c>
    </row>
    <row r="3">
      <c r="A3" s="11" t="inlineStr">
        <is>
          <t>Source</t>
        </is>
      </c>
      <c r="B3" s="11" t="inlineStr">
        <is>
          <t>Reported</t>
        </is>
      </c>
      <c r="C3" s="11" t="inlineStr">
        <is>
          <t>Calculated</t>
        </is>
      </c>
      <c r="D3" s="11" t="inlineStr">
        <is>
          <t>Delta</t>
        </is>
      </c>
    </row>
    <row r="4">
      <c r="A4" s="4" t="inlineStr">
        <is>
          <t>Total expenses (from code totals)</t>
        </is>
      </c>
      <c r="B4" s="5" t="n">
        <v>0</v>
      </c>
      <c r="C4" s="5" t="n">
        <v>0</v>
      </c>
      <c r="D4" s="9">
        <f>IF(ISNUMBER(B4),B4-C4,"—")</f>
        <v/>
      </c>
    </row>
    <row r="5">
      <c r="A5" s="4" t="inlineStr">
        <is>
          <t>Revenue billed (AR ·-1)</t>
        </is>
      </c>
      <c r="B5" s="5" t="n">
        <v>0</v>
      </c>
      <c r="C5" s="5" t="n">
        <v>0</v>
      </c>
      <c r="D5" s="9">
        <f>IF(ISNUMBER(B5),B5-C5,"—")</f>
        <v/>
      </c>
    </row>
    <row r="6">
      <c r="A6" s="4" t="inlineStr">
        <is>
          <t>AP source total</t>
        </is>
      </c>
      <c r="C6" s="5" t="n">
        <v>0</v>
      </c>
      <c r="D6" s="9">
        <f>IF(ISNUMBER(B6),B6-C6,"—")</f>
        <v/>
      </c>
    </row>
    <row r="7">
      <c r="A7" s="4" t="inlineStr">
        <is>
          <t>PR source total</t>
        </is>
      </c>
      <c r="C7" s="5" t="n">
        <v>0</v>
      </c>
      <c r="D7" s="9">
        <f>IF(ISNUMBER(B7),B7-C7,"—")</f>
        <v/>
      </c>
    </row>
    <row r="8">
      <c r="A8" s="4" t="inlineStr">
        <is>
          <t>GL source total</t>
        </is>
      </c>
      <c r="C8" s="5" t="n">
        <v>0</v>
      </c>
      <c r="D8" s="9">
        <f>IF(ISNUMBER(B8),B8-C8,"—")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50" customWidth="1" min="3" max="3"/>
  </cols>
  <sheetData>
    <row r="1">
      <c r="A1" s="1" t="inlineStr">
        <is>
          <t>Metric Registry</t>
        </is>
      </c>
    </row>
    <row r="3">
      <c r="A3" s="11" t="inlineStr">
        <is>
          <t>Metric</t>
        </is>
      </c>
      <c r="B3" s="11" t="inlineStr">
        <is>
          <t>Source Tab</t>
        </is>
      </c>
      <c r="C3" s="11" t="inlineStr">
        <is>
          <t>Definition</t>
        </is>
      </c>
    </row>
    <row r="4">
      <c r="A4" s="22" t="inlineStr">
        <is>
          <t>Forecast margin %</t>
        </is>
      </c>
      <c r="B4" s="22" t="inlineStr">
        <is>
          <t>01 Overview</t>
        </is>
      </c>
      <c r="C4" s="22" t="inlineStr">
        <is>
          <t>Forecast net profit / Revised contract value</t>
        </is>
      </c>
    </row>
    <row r="5">
      <c r="A5" s="22" t="inlineStr">
        <is>
          <t>Percent complete</t>
        </is>
      </c>
      <c r="B5" s="22" t="inlineStr">
        <is>
          <t>01 Overview</t>
        </is>
      </c>
      <c r="C5" s="22" t="inlineStr">
        <is>
          <t>Billed to date / Revised contract value</t>
        </is>
      </c>
    </row>
    <row r="6">
      <c r="A6" s="22" t="inlineStr">
        <is>
          <t>Roughin labor share</t>
        </is>
      </c>
      <c r="B6" s="22" t="inlineStr">
        <is>
          <t>06 Cost Codes</t>
        </is>
      </c>
      <c r="C6" s="22" t="inlineStr">
        <is>
          <t>Code 120 revised / Total labor revised budget</t>
        </is>
      </c>
    </row>
    <row r="7">
      <c r="A7" s="22" t="inlineStr">
        <is>
          <t>Top vendor concentration</t>
        </is>
      </c>
      <c r="B7" s="22" t="inlineStr">
        <is>
          <t>09 Vendor Analysis</t>
        </is>
      </c>
      <c r="C7" s="22" t="inlineStr">
        <is>
          <t>Largest single vendor AP spend / Total AP</t>
        </is>
      </c>
    </row>
    <row r="8">
      <c r="A8" s="22" t="inlineStr">
        <is>
          <t>Hours per unit</t>
        </is>
      </c>
      <c r="B8" s="22" t="inlineStr">
        <is>
          <t>12 Productivity</t>
        </is>
      </c>
      <c r="C8" s="22" t="inlineStr">
        <is>
          <t>Total PR hours to date / Unit count</t>
        </is>
      </c>
    </row>
    <row r="9">
      <c r="A9" s="22" t="inlineStr">
        <is>
          <t>BVA status codes</t>
        </is>
      </c>
      <c r="B9" s="22" t="inlineStr">
        <is>
          <t>08 BVA</t>
        </is>
      </c>
      <c r="C9" s="22" t="inlineStr">
        <is>
          <t>OVER / CRITICAL / UNDER / ON / UNBUDGETED on revised basis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50" customWidth="1" min="3" max="3"/>
  </cols>
  <sheetData>
    <row r="1">
      <c r="A1" s="1" t="inlineStr">
        <is>
          <t>Workbook Change Log</t>
        </is>
      </c>
    </row>
    <row r="3">
      <c r="A3" s="11" t="inlineStr">
        <is>
          <t>Date</t>
        </is>
      </c>
      <c r="B3" s="11" t="inlineStr">
        <is>
          <t>Version</t>
        </is>
      </c>
      <c r="C3" s="11" t="inlineStr">
        <is>
          <t>Note</t>
        </is>
      </c>
    </row>
    <row r="4">
      <c r="A4" s="4" t="inlineStr">
        <is>
          <t>2026-04-24</t>
        </is>
      </c>
      <c r="B4" s="4" t="inlineStr">
        <is>
          <t>v1.0 · live</t>
        </is>
      </c>
      <c r="C4" s="4" t="inlineStr">
        <is>
          <t>Initial build for #2111 live project. 17-tab JCR schema on revised budget basis.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2026-04-24T14:45:55Z</dcterms:created>
  <dcterms:modified xmlns:dcterms="http://purl.org/dc/terms/" xmlns:xsi="http://www.w3.org/2001/XMLSchema-instance" xsi:type="dcterms:W3CDTF">2026-04-24T14:45:55Z</dcterms:modified>
</cp:coreProperties>
</file>