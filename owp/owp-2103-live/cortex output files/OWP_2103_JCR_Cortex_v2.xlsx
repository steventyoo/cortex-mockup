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Overview" sheetId="1" state="visible" r:id="rId1"/>
    <sheet xmlns:r="http://schemas.openxmlformats.org/officeDocument/2006/relationships" name="02 Job Info" sheetId="2" state="visible" r:id="rId2"/>
    <sheet xmlns:r="http://schemas.openxmlformats.org/officeDocument/2006/relationships" name="03 Contract" sheetId="3" state="visible" r:id="rId3"/>
    <sheet xmlns:r="http://schemas.openxmlformats.org/officeDocument/2006/relationships" name="04 SOV-PayApps" sheetId="4" state="visible" r:id="rId4"/>
    <sheet xmlns:r="http://schemas.openxmlformats.org/officeDocument/2006/relationships" name="05 Change Orders" sheetId="5" state="visible" r:id="rId5"/>
    <sheet xmlns:r="http://schemas.openxmlformats.org/officeDocument/2006/relationships" name="06 Cost Codes" sheetId="6" state="visible" r:id="rId6"/>
    <sheet xmlns:r="http://schemas.openxmlformats.org/officeDocument/2006/relationships" name="07 Cost Categories" sheetId="7" state="visible" r:id="rId7"/>
    <sheet xmlns:r="http://schemas.openxmlformats.org/officeDocument/2006/relationships" name="08 BVA" sheetId="8" state="visible" r:id="rId8"/>
    <sheet xmlns:r="http://schemas.openxmlformats.org/officeDocument/2006/relationships" name="09 Vendor Analysis" sheetId="9" state="visible" r:id="rId9"/>
    <sheet xmlns:r="http://schemas.openxmlformats.org/officeDocument/2006/relationships" name="10 Crew Roster" sheetId="10" state="visible" r:id="rId10"/>
    <sheet xmlns:r="http://schemas.openxmlformats.org/officeDocument/2006/relationships" name="11 Wage Tiers" sheetId="11" state="visible" r:id="rId11"/>
    <sheet xmlns:r="http://schemas.openxmlformats.org/officeDocument/2006/relationships" name="12 Productivity" sheetId="12" state="visible" r:id="rId12"/>
    <sheet xmlns:r="http://schemas.openxmlformats.org/officeDocument/2006/relationships" name="13 Benchmarks" sheetId="13" state="visible" r:id="rId13"/>
    <sheet xmlns:r="http://schemas.openxmlformats.org/officeDocument/2006/relationships" name="14 Predictive Signals" sheetId="14" state="visible" r:id="rId14"/>
    <sheet xmlns:r="http://schemas.openxmlformats.org/officeDocument/2006/relationships" name="15 Reconciliation" sheetId="15" state="visible" r:id="rId15"/>
    <sheet xmlns:r="http://schemas.openxmlformats.org/officeDocument/2006/relationships" name="16 Metric Registry" sheetId="16" state="visible" r:id="rId16"/>
    <sheet xmlns:r="http://schemas.openxmlformats.org/officeDocument/2006/relationships" name="17 Change 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-"/>
    <numFmt numFmtId="165" formatCode="0.0%;(0.0%);-"/>
    <numFmt numFmtId="166" formatCode="#,##0.0"/>
    <numFmt numFmtId="167" formatCode="$#,##0.00"/>
  </numFmts>
  <fonts count="10">
    <font>
      <name val="Calibri"/>
      <family val="2"/>
      <color theme="1"/>
      <sz val="11"/>
      <scheme val="minor"/>
    </font>
    <font>
      <name val="Arial"/>
      <b val="1"/>
      <color rgb="002C2B29"/>
      <sz val="16"/>
    </font>
    <font>
      <name val="Arial"/>
      <i val="1"/>
      <color rgb="0070655C"/>
      <sz val="9"/>
    </font>
    <font>
      <name val="Arial"/>
      <b val="1"/>
      <color rgb="002C2B29"/>
      <sz val="12"/>
    </font>
    <font>
      <name val="Arial"/>
      <color rgb="002C2B29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2C2B29"/>
      <sz val="10"/>
    </font>
  </fonts>
  <fills count="5">
    <fill>
      <patternFill/>
    </fill>
    <fill>
      <patternFill patternType="gray125"/>
    </fill>
    <fill>
      <patternFill patternType="solid">
        <fgColor rgb="002C2B29"/>
      </patternFill>
    </fill>
    <fill>
      <patternFill patternType="solid">
        <fgColor rgb="00E8CEC3"/>
      </patternFill>
    </fill>
    <fill>
      <patternFill patternType="solid">
        <fgColor rgb="00D5DEC5"/>
      </patternFill>
    </fill>
  </fills>
  <borders count="2">
    <border>
      <left/>
      <right/>
      <top/>
      <bottom/>
      <diagonal/>
    </border>
    <border>
      <left style="thin">
        <color rgb="00BFB8AE"/>
      </left>
      <right style="thin">
        <color rgb="00BFB8AE"/>
      </right>
      <top style="thin">
        <color rgb="00BFB8AE"/>
      </top>
      <bottom style="thin">
        <color rgb="00BFB8A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right" vertical="center"/>
    </xf>
    <xf numFmtId="0" fontId="9" fillId="0" borderId="0" pivotButton="0" quotePrefix="0" xfId="0"/>
    <xf numFmtId="0" fontId="7" fillId="2" borderId="1" applyAlignment="1" pivotButton="0" quotePrefix="0" xfId="0">
      <alignment horizontal="center" vertical="center"/>
    </xf>
    <xf numFmtId="165" fontId="8" fillId="0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7" fontId="8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OWP #2103 · Northgate Station M2</t>
        </is>
      </c>
    </row>
    <row r="2">
      <c r="A2" s="2" t="inlineStr">
        <is>
          <t>Compass General Construction I, LLC · 234 units · Live / in-progress · OCIP</t>
        </is>
      </c>
    </row>
    <row r="4">
      <c r="A4" s="3" t="inlineStr">
        <is>
          <t>Forecast at Completion (Revised Basis)</t>
        </is>
      </c>
    </row>
    <row r="5">
      <c r="A5" s="4" t="inlineStr">
        <is>
          <t>Revised contract value</t>
        </is>
      </c>
      <c r="B5" s="5" t="n">
        <v>6625153.34</v>
      </c>
    </row>
    <row r="6">
      <c r="A6" s="4" t="inlineStr">
        <is>
          <t>Revised budget (expenses)</t>
        </is>
      </c>
      <c r="B6" s="5" t="n">
        <v>5172943.45</v>
      </c>
    </row>
    <row r="7">
      <c r="A7" s="4" t="inlineStr">
        <is>
          <t>Forecast net profit</t>
        </is>
      </c>
      <c r="B7" s="6">
        <f>B5-B6</f>
        <v/>
      </c>
    </row>
    <row r="8">
      <c r="A8" s="4" t="inlineStr">
        <is>
          <t>Forecast margin</t>
        </is>
      </c>
      <c r="B8" s="7">
        <f>IFERROR(B7/B5,0)</f>
        <v/>
      </c>
    </row>
    <row r="10">
      <c r="A10" s="3" t="inlineStr">
        <is>
          <t>Progress to Date</t>
        </is>
      </c>
    </row>
    <row r="11">
      <c r="A11" s="4" t="inlineStr">
        <is>
          <t>Work complete (billed)</t>
        </is>
      </c>
      <c r="B11" s="5" t="n">
        <v>6608301.34</v>
      </c>
    </row>
    <row r="12">
      <c r="A12" s="4" t="inlineStr">
        <is>
          <t>Retention held</t>
        </is>
      </c>
      <c r="B12" s="5" t="n">
        <v>305091.57</v>
      </c>
    </row>
    <row r="13">
      <c r="A13" s="4" t="inlineStr">
        <is>
          <t>Earned less retention</t>
        </is>
      </c>
      <c r="B13" s="6">
        <f>B11-B12</f>
        <v/>
      </c>
    </row>
    <row r="14">
      <c r="A14" s="4" t="inlineStr">
        <is>
          <t>Balance to finish</t>
        </is>
      </c>
      <c r="B14" s="6">
        <f>B5-B11</f>
        <v/>
      </c>
    </row>
    <row r="15">
      <c r="A15" s="4" t="inlineStr">
        <is>
          <t>Percent complete</t>
        </is>
      </c>
      <c r="B15" s="7">
        <f>IFERROR(B11/B5,0)</f>
        <v/>
      </c>
    </row>
    <row r="17">
      <c r="A17" s="3" t="inlineStr">
        <is>
          <t>Transaction Totals by Source</t>
        </is>
      </c>
    </row>
    <row r="18">
      <c r="A18" s="8" t="inlineStr">
        <is>
          <t>Source</t>
        </is>
      </c>
      <c r="B18" s="8" t="inlineStr">
        <is>
          <t>Dollars</t>
        </is>
      </c>
    </row>
    <row r="19">
      <c r="A19" s="4" t="inlineStr">
        <is>
          <t>GL</t>
        </is>
      </c>
      <c r="B19" s="9" t="n">
        <v>130080.51</v>
      </c>
    </row>
    <row r="20">
      <c r="A20" s="4" t="inlineStr">
        <is>
          <t>AP</t>
        </is>
      </c>
      <c r="B20" s="9" t="n">
        <v>1784123.02</v>
      </c>
    </row>
    <row r="21">
      <c r="A21" s="4" t="inlineStr">
        <is>
          <t>PR</t>
        </is>
      </c>
      <c r="B21" s="9" t="n">
        <v>2766581.81</v>
      </c>
    </row>
    <row r="22">
      <c r="A22" s="4" t="inlineStr">
        <is>
          <t>AR</t>
        </is>
      </c>
      <c r="B22" s="9" t="n">
        <v>-6608301.34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Job Information</t>
        </is>
      </c>
    </row>
    <row r="3">
      <c r="A3" s="10" t="inlineStr">
        <is>
          <t>Job ID</t>
        </is>
      </c>
      <c r="B3" s="4" t="inlineStr">
        <is>
          <t>2103</t>
        </is>
      </c>
    </row>
    <row r="4">
      <c r="A4" s="10" t="inlineStr">
        <is>
          <t>Project name</t>
        </is>
      </c>
      <c r="B4" s="4" t="inlineStr">
        <is>
          <t>Northgate Station M2</t>
        </is>
      </c>
    </row>
    <row r="5">
      <c r="A5" s="10" t="inlineStr">
        <is>
          <t>General contractor</t>
        </is>
      </c>
      <c r="B5" s="4" t="inlineStr">
        <is>
          <t>Compass General Construction I, LLC</t>
        </is>
      </c>
    </row>
    <row r="6">
      <c r="A6" s="10" t="inlineStr">
        <is>
          <t>Owner</t>
        </is>
      </c>
      <c r="B6" s="4" t="inlineStr">
        <is>
          <t>Simon Property Group (Indianapolis, IN)</t>
        </is>
      </c>
    </row>
    <row r="7">
      <c r="A7" s="10" t="inlineStr">
        <is>
          <t>Units</t>
        </is>
      </c>
      <c r="B7" s="4" t="n">
        <v>234</v>
      </c>
    </row>
    <row r="8">
      <c r="A8" s="10" t="inlineStr">
        <is>
          <t>Insurance</t>
        </is>
      </c>
      <c r="B8" s="4" t="inlineStr">
        <is>
          <t>OCIP</t>
        </is>
      </c>
    </row>
    <row r="9">
      <c r="A9" s="10" t="inlineStr">
        <is>
          <t>Job start</t>
        </is>
      </c>
      <c r="B9" s="4" t="inlineStr">
        <is>
          <t>Jan 2024</t>
        </is>
      </c>
    </row>
    <row r="10">
      <c r="A10" s="10" t="inlineStr">
        <is>
          <t>Expected completion</t>
        </is>
      </c>
      <c r="B10" s="4" t="inlineStr">
        <is>
          <t>TBD (active)</t>
        </is>
      </c>
    </row>
    <row r="11">
      <c r="A11" s="10" t="inlineStr">
        <is>
          <t>Architect</t>
        </is>
      </c>
      <c r="B11" s="4" t="inlineStr">
        <is>
          <t>GGLO</t>
        </is>
      </c>
    </row>
    <row r="12">
      <c r="A12" s="10" t="inlineStr">
        <is>
          <t>MEP Engineer</t>
        </is>
      </c>
      <c r="B12" s="4" t="inlineStr">
        <is>
          <t>Ecotope</t>
        </is>
      </c>
    </row>
    <row r="13">
      <c r="A13" s="10" t="inlineStr">
        <is>
          <t>Status</t>
        </is>
      </c>
      <c r="B13" s="4" t="inlineStr">
        <is>
          <t>ACTIVE · in-progress</t>
        </is>
      </c>
    </row>
    <row r="14">
      <c r="A14" s="10" t="inlineStr">
        <is>
          <t>JDR report date</t>
        </is>
      </c>
      <c r="B14" s="4" t="inlineStr">
        <is>
          <t>Apr 3,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Contract Summary</t>
        </is>
      </c>
    </row>
    <row r="3">
      <c r="A3" s="11" t="inlineStr">
        <is>
          <t>Item</t>
        </is>
      </c>
      <c r="B3" s="11" t="inlineStr">
        <is>
          <t>Original</t>
        </is>
      </c>
      <c r="C3" s="11" t="inlineStr">
        <is>
          <t>Revised</t>
        </is>
      </c>
      <c r="D3" s="11" t="inlineStr">
        <is>
          <t>Delta</t>
        </is>
      </c>
    </row>
    <row r="4">
      <c r="A4" s="4" t="inlineStr">
        <is>
          <t>Base construction contract</t>
        </is>
      </c>
      <c r="B4" s="5" t="n">
        <v>6030791</v>
      </c>
      <c r="C4" s="5" t="n">
        <v>6625153.34</v>
      </c>
      <c r="D4" s="9">
        <f>C4-B4</f>
        <v/>
      </c>
    </row>
    <row r="5">
      <c r="A5" s="4" t="inlineStr">
        <is>
          <t>Executed change orders (net)</t>
        </is>
      </c>
      <c r="B5" s="5" t="n">
        <v>0</v>
      </c>
      <c r="C5" s="5" t="n">
        <v>594362.3399999999</v>
      </c>
      <c r="D5" s="9">
        <f>C5-B5</f>
        <v/>
      </c>
    </row>
    <row r="6">
      <c r="A6" s="10" t="inlineStr">
        <is>
          <t>Total contract value</t>
        </is>
      </c>
      <c r="B6" s="6">
        <f>SUM(B4:B5)</f>
        <v/>
      </c>
      <c r="C6" s="6">
        <f>SUM(C4:C5)</f>
        <v/>
      </c>
      <c r="D6" s="6">
        <f>SUM(D4:D5)</f>
        <v/>
      </c>
    </row>
    <row r="9">
      <c r="A9" s="3" t="inlineStr">
        <is>
          <t>Executed Change Orders</t>
        </is>
      </c>
    </row>
    <row r="10">
      <c r="A10" s="11" t="inlineStr">
        <is>
          <t>CO #</t>
        </is>
      </c>
      <c r="B10" s="11" t="inlineStr">
        <is>
          <t>Description</t>
        </is>
      </c>
      <c r="C10" s="11" t="inlineStr">
        <is>
          <t>Amount</t>
        </is>
      </c>
    </row>
    <row r="11">
      <c r="A11" s="4" t="n">
        <v>1</v>
      </c>
      <c r="B11" s="4" t="inlineStr">
        <is>
          <t>RFI #94 - Type A/B Toilet Product Change</t>
        </is>
      </c>
      <c r="C11" s="5" t="n">
        <v>1676</v>
      </c>
    </row>
    <row r="12">
      <c r="A12" s="4" t="n">
        <v>2</v>
      </c>
      <c r="B12" s="4" t="inlineStr">
        <is>
          <t>Jobsite Office Bottle Filler</t>
        </is>
      </c>
      <c r="C12" s="5" t="n">
        <v>2167</v>
      </c>
    </row>
    <row r="13">
      <c r="A13" s="4" t="n">
        <v>3</v>
      </c>
      <c r="B13" s="4" t="inlineStr">
        <is>
          <t>RFI #108 - Delete L2 Lounge Sink &amp; Dishwasher</t>
        </is>
      </c>
      <c r="C13" s="5" t="n">
        <v>-3200</v>
      </c>
    </row>
    <row r="14">
      <c r="A14" s="4" t="n">
        <v>4</v>
      </c>
      <c r="B14" s="4" t="inlineStr">
        <is>
          <t>ASI#4 - Plumbing Permit Revisions</t>
        </is>
      </c>
      <c r="C14" s="5" t="n">
        <v>35521</v>
      </c>
    </row>
    <row r="15">
      <c r="A15" s="4" t="n">
        <v>5</v>
      </c>
      <c r="B15" s="4" t="inlineStr">
        <is>
          <t>Foundation Drain Filter Fabric</t>
        </is>
      </c>
      <c r="C15" s="5" t="n">
        <v>2675</v>
      </c>
    </row>
    <row r="16">
      <c r="A16" s="4" t="n">
        <v>6</v>
      </c>
      <c r="B16" s="4" t="inlineStr">
        <is>
          <t>RFI 55 - Water Meter Clarification</t>
        </is>
      </c>
      <c r="C16" s="5" t="n">
        <v>10071</v>
      </c>
    </row>
    <row r="17">
      <c r="A17" s="4" t="n">
        <v>7</v>
      </c>
      <c r="B17" s="4" t="inlineStr">
        <is>
          <t>RFI #89 - Retail MEP Updates</t>
        </is>
      </c>
      <c r="C17" s="5" t="n">
        <v>5878</v>
      </c>
    </row>
    <row r="18">
      <c r="A18" s="4" t="n">
        <v>8</v>
      </c>
      <c r="B18" s="4" t="inlineStr">
        <is>
          <t>RFI 49 - Bike Room 1-A2 Shower</t>
        </is>
      </c>
      <c r="C18" s="5" t="n">
        <v>2329</v>
      </c>
    </row>
    <row r="19">
      <c r="A19" s="4" t="n">
        <v>9</v>
      </c>
      <c r="B19" s="4" t="inlineStr">
        <is>
          <t>RFI 124 - Explosion Proof Sump Pumps</t>
        </is>
      </c>
      <c r="C19" s="5" t="n">
        <v>11295</v>
      </c>
    </row>
    <row r="20">
      <c r="A20" s="4" t="n">
        <v>10</v>
      </c>
      <c r="B20" s="4" t="inlineStr">
        <is>
          <t>L8 Amenity Gas Fire Pit/Fire Place Supply</t>
        </is>
      </c>
      <c r="C20" s="5" t="n">
        <v>7664</v>
      </c>
    </row>
    <row r="21">
      <c r="A21" s="4" t="n">
        <v>11</v>
      </c>
      <c r="B21" s="4" t="inlineStr">
        <is>
          <t>ASI 10 - Plumbing Vent &amp; Waste Routing Revisions</t>
        </is>
      </c>
      <c r="C21" s="5" t="n">
        <v>18764</v>
      </c>
    </row>
    <row r="22">
      <c r="A22" s="4" t="n">
        <v>12</v>
      </c>
      <c r="B22" s="4" t="inlineStr">
        <is>
          <t>ASI 12 - Storm and Plumbing Vent Revisions</t>
        </is>
      </c>
      <c r="C22" s="5" t="n">
        <v>8074</v>
      </c>
    </row>
    <row r="23">
      <c r="A23" s="4" t="n">
        <v>13</v>
      </c>
      <c r="B23" s="4" t="inlineStr">
        <is>
          <t>ASI 14 - King County Plumbing Revisions &amp; Permit Cost</t>
        </is>
      </c>
      <c r="C23" s="5" t="n">
        <v>3506</v>
      </c>
    </row>
    <row r="24">
      <c r="A24" s="4" t="n">
        <v>14</v>
      </c>
      <c r="B24" s="4" t="inlineStr">
        <is>
          <t>Temp Gas Risers</t>
        </is>
      </c>
      <c r="C24" s="5" t="n">
        <v>34604</v>
      </c>
    </row>
    <row r="25">
      <c r="A25" s="4" t="n">
        <v>15</v>
      </c>
      <c r="B25" s="4" t="inlineStr">
        <is>
          <t>RFI #163 - Bioretention 6A Trench Drain</t>
        </is>
      </c>
      <c r="C25" s="5" t="n">
        <v>4535</v>
      </c>
    </row>
    <row r="26">
      <c r="A26" s="4" t="n">
        <v>16</v>
      </c>
      <c r="B26" s="4" t="inlineStr">
        <is>
          <t>RFI #334 - Add Icemakers to All Unit Types</t>
        </is>
      </c>
      <c r="C26" s="5" t="n">
        <v>45869</v>
      </c>
    </row>
    <row r="27">
      <c r="A27" s="4" t="n">
        <v>17</v>
      </c>
      <c r="B27" s="4" t="inlineStr">
        <is>
          <t>ASI 9 - Relocation of HWHP</t>
        </is>
      </c>
      <c r="C27" s="5" t="n">
        <v>18692</v>
      </c>
    </row>
    <row r="28">
      <c r="A28" s="4" t="n">
        <v>18</v>
      </c>
      <c r="B28" s="4" t="inlineStr">
        <is>
          <t>OCIP Credit</t>
        </is>
      </c>
      <c r="C28" s="5" t="n">
        <v>-20453.66</v>
      </c>
    </row>
    <row r="29">
      <c r="A29" s="4" t="n">
        <v>19</v>
      </c>
      <c r="B29" s="4" t="inlineStr">
        <is>
          <t>RFI #238 - Added L4 Roof Drains</t>
        </is>
      </c>
      <c r="C29" s="5" t="n">
        <v>2715</v>
      </c>
    </row>
    <row r="30">
      <c r="A30" s="4" t="n">
        <v>20</v>
      </c>
      <c r="B30" s="4" t="inlineStr">
        <is>
          <t>RFI #266 - Add OHP-COMM Condensate Drain Line</t>
        </is>
      </c>
      <c r="C30" s="5" t="n">
        <v>1175</v>
      </c>
    </row>
    <row r="31">
      <c r="A31" s="4" t="n">
        <v>21</v>
      </c>
      <c r="B31" s="4" t="inlineStr">
        <is>
          <t>RFI #237 - Plumbing Adjustment to Fur Wall</t>
        </is>
      </c>
      <c r="C31" s="5" t="n">
        <v>4322</v>
      </c>
    </row>
    <row r="32">
      <c r="A32" s="4" t="n">
        <v>22</v>
      </c>
      <c r="B32" s="4" t="inlineStr">
        <is>
          <t>Hot and Cold Unit Water Meters - Furnish &amp; Install</t>
        </is>
      </c>
      <c r="C32" s="5" t="n">
        <v>174800</v>
      </c>
    </row>
    <row r="33">
      <c r="A33" s="4" t="n">
        <v>23</v>
      </c>
      <c r="B33" s="4" t="inlineStr">
        <is>
          <t>RFI #278.1 - L2 Landscape North Alcove Ramp Drain</t>
        </is>
      </c>
      <c r="C33" s="5" t="n">
        <v>4109</v>
      </c>
    </row>
    <row r="34">
      <c r="A34" s="4" t="n">
        <v>24</v>
      </c>
      <c r="B34" s="4" t="inlineStr">
        <is>
          <t>Copper Condensates in Retail Area</t>
        </is>
      </c>
      <c r="C34" s="5" t="n">
        <v>44230</v>
      </c>
    </row>
    <row r="35">
      <c r="A35" s="4" t="n">
        <v>25</v>
      </c>
      <c r="B35" s="4" t="inlineStr">
        <is>
          <t>ASI-07 Extend Garage Trench Drain + Civil Storm POC</t>
        </is>
      </c>
      <c r="C35" s="5" t="n">
        <v>6895</v>
      </c>
    </row>
    <row r="36">
      <c r="A36" s="4" t="n">
        <v>26</v>
      </c>
      <c r="B36" s="4" t="inlineStr">
        <is>
          <t>RFI-446 Unit Riser Shutoff Valves</t>
        </is>
      </c>
      <c r="C36" s="5" t="n">
        <v>29700</v>
      </c>
    </row>
    <row r="37">
      <c r="A37" s="4" t="n">
        <v>27</v>
      </c>
      <c r="B37" s="4" t="inlineStr">
        <is>
          <t>RFI-363 Added Hosebib</t>
        </is>
      </c>
      <c r="C37" s="5" t="n">
        <v>1100</v>
      </c>
    </row>
    <row r="38">
      <c r="A38" s="4" t="n">
        <v>28</v>
      </c>
      <c r="B38" s="4" t="inlineStr">
        <is>
          <t>RFI #517 - RPBP-1&amp;2 Pipe Size</t>
        </is>
      </c>
      <c r="C38" s="5" t="n">
        <v>5110</v>
      </c>
    </row>
    <row r="39">
      <c r="A39" s="4" t="n">
        <v>29</v>
      </c>
      <c r="B39" s="4" t="inlineStr">
        <is>
          <t>Flex Connector Changes</t>
        </is>
      </c>
      <c r="C39" s="5" t="n">
        <v>4860</v>
      </c>
    </row>
    <row r="40">
      <c r="A40" s="4" t="n">
        <v>30</v>
      </c>
      <c r="B40" s="4" t="inlineStr">
        <is>
          <t>Remove &amp; Reinstall Tubs &amp; Showers for Framing</t>
        </is>
      </c>
      <c r="C40" s="5" t="n">
        <v>3090</v>
      </c>
    </row>
    <row r="41">
      <c r="A41" s="4" t="n">
        <v>31</v>
      </c>
      <c r="B41" s="4" t="inlineStr">
        <is>
          <t>Temp Roof Drains</t>
        </is>
      </c>
      <c r="C41" s="5" t="n">
        <v>1330</v>
      </c>
    </row>
    <row r="42">
      <c r="A42" s="4" t="n">
        <v>32</v>
      </c>
      <c r="B42" s="4" t="inlineStr">
        <is>
          <t>L9 Temp Roof Drains</t>
        </is>
      </c>
      <c r="C42" s="5" t="n">
        <v>1240</v>
      </c>
    </row>
    <row r="43">
      <c r="A43" s="4" t="n">
        <v>33</v>
      </c>
      <c r="B43" s="4" t="inlineStr">
        <is>
          <t>Leak Sensor Install</t>
        </is>
      </c>
      <c r="C43" s="5" t="n">
        <v>3950</v>
      </c>
    </row>
    <row r="44">
      <c r="A44" s="4" t="n">
        <v>34</v>
      </c>
      <c r="B44" s="4" t="inlineStr">
        <is>
          <t>ASI-19 Retail Revisions - Add POCs, Move Rainleader</t>
        </is>
      </c>
      <c r="C44" s="5" t="n">
        <v>5450</v>
      </c>
    </row>
    <row r="45">
      <c r="A45" s="4" t="n">
        <v>35</v>
      </c>
      <c r="B45" s="4" t="inlineStr">
        <is>
          <t>Additional Control Panel for Water Heating System</t>
        </is>
      </c>
      <c r="C45" s="5" t="n">
        <v>4320</v>
      </c>
    </row>
    <row r="46">
      <c r="A46" s="4" t="n">
        <v>36</v>
      </c>
      <c r="B46" s="4" t="inlineStr">
        <is>
          <t>Casework Revisions @ X25-X41</t>
        </is>
      </c>
      <c r="C46" s="5" t="n">
        <v>10170</v>
      </c>
    </row>
    <row r="47">
      <c r="A47" s="4" t="n">
        <v>37</v>
      </c>
      <c r="B47" s="4" t="inlineStr">
        <is>
          <t>L7 Temp Roof Drains</t>
        </is>
      </c>
      <c r="C47" s="5" t="n">
        <v>1470</v>
      </c>
    </row>
    <row r="48">
      <c r="A48" s="4" t="n">
        <v>38</v>
      </c>
      <c r="B48" s="4" t="inlineStr">
        <is>
          <t>RFI #432.1 - Plumbing Rework</t>
        </is>
      </c>
      <c r="C48" s="5" t="n">
        <v>9600</v>
      </c>
    </row>
    <row r="49">
      <c r="A49" s="4" t="n">
        <v>39</v>
      </c>
      <c r="B49" s="4" t="inlineStr">
        <is>
          <t>Water Stub Out Extensions at Cabinets</t>
        </is>
      </c>
      <c r="C49" s="5" t="n">
        <v>6160</v>
      </c>
    </row>
    <row r="50">
      <c r="A50" s="4" t="n">
        <v>40</v>
      </c>
      <c r="B50" s="4" t="inlineStr">
        <is>
          <t>ASI-028 Dog &amp; Bike Wash</t>
        </is>
      </c>
      <c r="C50" s="5" t="n">
        <v>7520</v>
      </c>
    </row>
    <row r="51">
      <c r="A51" s="4" t="n">
        <v>41</v>
      </c>
      <c r="B51" s="4" t="inlineStr">
        <is>
          <t>Fix Temp Heat Gas Hoses</t>
        </is>
      </c>
      <c r="C51" s="5" t="n">
        <v>5230</v>
      </c>
    </row>
    <row r="52">
      <c r="A52" s="4" t="n">
        <v>42</v>
      </c>
      <c r="B52" s="4" t="inlineStr">
        <is>
          <t>Add GI Stub</t>
        </is>
      </c>
      <c r="C52" s="5" t="n">
        <v>4520</v>
      </c>
    </row>
    <row r="53">
      <c r="A53" s="4" t="n">
        <v>43</v>
      </c>
      <c r="B53" s="4" t="inlineStr">
        <is>
          <t>RFI 673 - Add Drain Fire Pump Room</t>
        </is>
      </c>
      <c r="C53" s="5" t="n">
        <v>950</v>
      </c>
    </row>
    <row r="54">
      <c r="A54" s="4" t="n">
        <v>44</v>
      </c>
      <c r="B54" s="4" t="inlineStr">
        <is>
          <t>Move Plumbing Per RFI 667</t>
        </is>
      </c>
      <c r="C54" s="5" t="n">
        <v>790</v>
      </c>
    </row>
    <row r="55">
      <c r="A55" s="4" t="n">
        <v>45</v>
      </c>
      <c r="B55" s="4" t="inlineStr">
        <is>
          <t>Cap Temp Gas / Move Waste Lines / Move ADA Tub Spouts</t>
        </is>
      </c>
      <c r="C55" s="5" t="n">
        <v>5930</v>
      </c>
    </row>
    <row r="56">
      <c r="A56" s="4" t="n">
        <v>46</v>
      </c>
      <c r="B56" s="4" t="inlineStr">
        <is>
          <t>RFI 519 - Reroute Condensates Units 128-129</t>
        </is>
      </c>
      <c r="C56" s="5" t="n">
        <v>2630</v>
      </c>
    </row>
    <row r="57">
      <c r="A57" s="4" t="n">
        <v>47</v>
      </c>
      <c r="B57" s="4" t="inlineStr">
        <is>
          <t>Add Level 2 Floor Drain</t>
        </is>
      </c>
      <c r="C57" s="5" t="n">
        <v>1630</v>
      </c>
    </row>
    <row r="58">
      <c r="A58" s="4" t="n">
        <v>48</v>
      </c>
      <c r="B58" s="4" t="inlineStr">
        <is>
          <t>Remove Tubs Per RFI 639</t>
        </is>
      </c>
      <c r="C58" s="5" t="n">
        <v>1660</v>
      </c>
    </row>
    <row r="59">
      <c r="A59" s="4" t="n">
        <v>49</v>
      </c>
      <c r="B59" s="4" t="inlineStr">
        <is>
          <t>Disconnect Temp Gas</t>
        </is>
      </c>
      <c r="C59" s="5" t="n">
        <v>880</v>
      </c>
    </row>
    <row r="60">
      <c r="A60" s="4" t="n">
        <v>50</v>
      </c>
      <c r="B60" s="4" t="inlineStr">
        <is>
          <t>ASI 30 - Added Sink</t>
        </is>
      </c>
      <c r="C60" s="5" t="n">
        <v>3860</v>
      </c>
    </row>
    <row r="61">
      <c r="A61" s="4" t="n">
        <v>51</v>
      </c>
      <c r="B61" s="4" t="inlineStr">
        <is>
          <t>ASI 33 - Fitness Room</t>
        </is>
      </c>
      <c r="C61" s="5" t="n">
        <v>34610</v>
      </c>
    </row>
    <row r="62">
      <c r="A62" s="4" t="n">
        <v>52</v>
      </c>
      <c r="B62" s="4" t="inlineStr">
        <is>
          <t>Maintenance Room Sink Replacement</t>
        </is>
      </c>
      <c r="C62" s="5" t="n">
        <v>410</v>
      </c>
    </row>
    <row r="63">
      <c r="A63" s="4" t="n">
        <v>53</v>
      </c>
      <c r="B63" s="4" t="inlineStr">
        <is>
          <t>Permit Revision Fees</t>
        </is>
      </c>
      <c r="C63" s="5" t="n">
        <v>2130</v>
      </c>
    </row>
    <row r="64">
      <c r="A64" s="4" t="n">
        <v>54</v>
      </c>
      <c r="B64" s="4" t="inlineStr">
        <is>
          <t>RFI 694 - Add Grease Stub</t>
        </is>
      </c>
      <c r="C64" s="5" t="n">
        <v>6170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Schedule of Values / Pay Application History</t>
        </is>
      </c>
    </row>
    <row r="3">
      <c r="A3" s="11" t="inlineStr">
        <is>
          <t>Pay App</t>
        </is>
      </c>
      <c r="B3" s="11" t="inlineStr">
        <is>
          <t>Period End</t>
        </is>
      </c>
      <c r="C3" s="11" t="inlineStr">
        <is>
          <t>This Period</t>
        </is>
      </c>
      <c r="D3" s="11" t="inlineStr">
        <is>
          <t>Completed to Date</t>
        </is>
      </c>
      <c r="E3" s="11" t="inlineStr">
        <is>
          <t>Retention Held</t>
        </is>
      </c>
      <c r="F3" s="11" t="inlineStr">
        <is>
          <t>Previous Billed</t>
        </is>
      </c>
      <c r="G3" s="11" t="inlineStr">
        <is>
          <t>Current 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8" customWidth="1" min="4" max="4"/>
    <col width="12" customWidth="1" min="5" max="5"/>
  </cols>
  <sheetData>
    <row r="1">
      <c r="A1" s="1" t="inlineStr">
        <is>
          <t>Change Order Log</t>
        </is>
      </c>
    </row>
    <row r="3">
      <c r="A3" s="11" t="inlineStr">
        <is>
          <t>#</t>
        </is>
      </c>
      <c r="B3" s="11" t="inlineStr">
        <is>
          <t>Type</t>
        </is>
      </c>
      <c r="C3" s="11" t="inlineStr">
        <is>
          <t>Description</t>
        </is>
      </c>
      <c r="D3" s="11" t="inlineStr">
        <is>
          <t>Amount</t>
        </is>
      </c>
      <c r="E3" s="1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Cost Code Detail (Revised Basis)</t>
        </is>
      </c>
    </row>
    <row r="3">
      <c r="A3" s="11" t="inlineStr">
        <is>
          <t>Code</t>
        </is>
      </c>
      <c r="B3" s="11" t="inlineStr">
        <is>
          <t>Description</t>
        </is>
      </c>
      <c r="C3" s="11" t="inlineStr">
        <is>
          <t>Original</t>
        </is>
      </c>
      <c r="D3" s="11" t="inlineStr">
        <is>
          <t>Revised</t>
        </is>
      </c>
      <c r="E3" s="11" t="inlineStr">
        <is>
          <t>Actual</t>
        </is>
      </c>
      <c r="F3" s="11" t="inlineStr">
        <is>
          <t>Variance</t>
        </is>
      </c>
      <c r="G3" s="11" t="inlineStr">
        <is>
          <t>Net Due</t>
        </is>
      </c>
      <c r="H3" s="11" t="inlineStr">
        <is>
          <t>% Complete</t>
        </is>
      </c>
    </row>
    <row r="4">
      <c r="A4" s="4" t="inlineStr">
        <is>
          <t>100</t>
        </is>
      </c>
      <c r="B4" s="4" t="inlineStr">
        <is>
          <t>Supervision</t>
        </is>
      </c>
      <c r="C4" s="5" t="n">
        <v>15210</v>
      </c>
      <c r="D4" s="5" t="n">
        <v>16210</v>
      </c>
      <c r="E4" s="5" t="n">
        <v>11762</v>
      </c>
      <c r="F4" s="9">
        <f>D4-E4</f>
        <v/>
      </c>
      <c r="G4" s="5" t="n">
        <v>0</v>
      </c>
      <c r="H4" s="12">
        <f>IFERROR(E4/D4,0)</f>
        <v/>
      </c>
    </row>
    <row r="5">
      <c r="A5" s="4" t="inlineStr">
        <is>
          <t>101</t>
        </is>
      </c>
      <c r="B5" s="4" t="inlineStr">
        <is>
          <t>Takeoff &amp; Purchase Labor</t>
        </is>
      </c>
      <c r="C5" s="5" t="n">
        <v>40950</v>
      </c>
      <c r="D5" s="5" t="n">
        <v>50300</v>
      </c>
      <c r="E5" s="5" t="n">
        <v>52674</v>
      </c>
      <c r="F5" s="9">
        <f>D5-E5</f>
        <v/>
      </c>
      <c r="G5" s="5" t="n">
        <v>0</v>
      </c>
      <c r="H5" s="12">
        <f>IFERROR(E5/D5,0)</f>
        <v/>
      </c>
    </row>
    <row r="6">
      <c r="A6" s="4" t="inlineStr">
        <is>
          <t>110</t>
        </is>
      </c>
      <c r="B6" s="4" t="inlineStr">
        <is>
          <t>Underground Labor</t>
        </is>
      </c>
      <c r="C6" s="5" t="n">
        <v>53163</v>
      </c>
      <c r="D6" s="5" t="n">
        <v>75888</v>
      </c>
      <c r="E6" s="5" t="n">
        <v>95456</v>
      </c>
      <c r="F6" s="9">
        <f>D6-E6</f>
        <v/>
      </c>
      <c r="G6" s="5" t="n">
        <v>0</v>
      </c>
      <c r="H6" s="12">
        <f>IFERROR(E6/D6,0)</f>
        <v/>
      </c>
    </row>
    <row r="7">
      <c r="A7" s="4" t="inlineStr">
        <is>
          <t>111</t>
        </is>
      </c>
      <c r="B7" s="4" t="inlineStr">
        <is>
          <t>Garage Labor</t>
        </is>
      </c>
      <c r="C7" s="5" t="n">
        <v>109938</v>
      </c>
      <c r="D7" s="5" t="n">
        <v>136288</v>
      </c>
      <c r="E7" s="5" t="n">
        <v>167884.75</v>
      </c>
      <c r="F7" s="9">
        <f>D7-E7</f>
        <v/>
      </c>
      <c r="G7" s="5" t="n">
        <v>0</v>
      </c>
      <c r="H7" s="12">
        <f>IFERROR(E7/D7,0)</f>
        <v/>
      </c>
    </row>
    <row r="8">
      <c r="A8" s="4" t="inlineStr">
        <is>
          <t>112</t>
        </is>
      </c>
      <c r="B8" s="4" t="inlineStr">
        <is>
          <t>Canout Labor</t>
        </is>
      </c>
      <c r="C8" s="5" t="n">
        <v>51050</v>
      </c>
      <c r="D8" s="5" t="n">
        <v>52600</v>
      </c>
      <c r="E8" s="5" t="n">
        <v>41039</v>
      </c>
      <c r="F8" s="9">
        <f>D8-E8</f>
        <v/>
      </c>
      <c r="G8" s="5" t="n">
        <v>0</v>
      </c>
      <c r="H8" s="12">
        <f>IFERROR(E8/D8,0)</f>
        <v/>
      </c>
    </row>
    <row r="9">
      <c r="A9" s="4" t="inlineStr">
        <is>
          <t>120</t>
        </is>
      </c>
      <c r="B9" s="4" t="inlineStr">
        <is>
          <t>Roughin Labor</t>
        </is>
      </c>
      <c r="C9" s="5" t="n">
        <v>890865</v>
      </c>
      <c r="D9" s="5" t="n">
        <v>936025</v>
      </c>
      <c r="E9" s="5" t="n">
        <v>1041296.25</v>
      </c>
      <c r="F9" s="9">
        <f>D9-E9</f>
        <v/>
      </c>
      <c r="G9" s="5" t="n">
        <v>0</v>
      </c>
      <c r="H9" s="12">
        <f>IFERROR(E9/D9,0)</f>
        <v/>
      </c>
    </row>
    <row r="10">
      <c r="A10" s="4" t="inlineStr">
        <is>
          <t>130</t>
        </is>
      </c>
      <c r="B10" s="4" t="inlineStr">
        <is>
          <t>Finish Labor</t>
        </is>
      </c>
      <c r="C10" s="5" t="n">
        <v>136060</v>
      </c>
      <c r="D10" s="5" t="n">
        <v>185910</v>
      </c>
      <c r="E10" s="5" t="n">
        <v>132682.75</v>
      </c>
      <c r="F10" s="9">
        <f>D10-E10</f>
        <v/>
      </c>
      <c r="G10" s="5" t="n">
        <v>0</v>
      </c>
      <c r="H10" s="12">
        <f>IFERROR(E10/D10,0)</f>
        <v/>
      </c>
    </row>
    <row r="11">
      <c r="A11" s="4" t="inlineStr">
        <is>
          <t>140</t>
        </is>
      </c>
      <c r="B11" s="4" t="inlineStr">
        <is>
          <t>Gas Labor</t>
        </is>
      </c>
      <c r="C11" s="5" t="n">
        <v>9550</v>
      </c>
      <c r="D11" s="5" t="n">
        <v>25250</v>
      </c>
      <c r="E11" s="5" t="n">
        <v>21237.25</v>
      </c>
      <c r="F11" s="9">
        <f>D11-E11</f>
        <v/>
      </c>
      <c r="G11" s="5" t="n">
        <v>0</v>
      </c>
      <c r="H11" s="12">
        <f>IFERROR(E11/D11,0)</f>
        <v/>
      </c>
    </row>
    <row r="12">
      <c r="A12" s="4" t="inlineStr">
        <is>
          <t>141</t>
        </is>
      </c>
      <c r="B12" s="4" t="inlineStr">
        <is>
          <t>Water Main/Insulation Lab</t>
        </is>
      </c>
      <c r="C12" s="5" t="n">
        <v>181470</v>
      </c>
      <c r="D12" s="5" t="n">
        <v>193670</v>
      </c>
      <c r="E12" s="5" t="n">
        <v>185051</v>
      </c>
      <c r="F12" s="9">
        <f>D12-E12</f>
        <v/>
      </c>
      <c r="G12" s="5" t="n">
        <v>0</v>
      </c>
      <c r="H12" s="12">
        <f>IFERROR(E12/D12,0)</f>
        <v/>
      </c>
    </row>
    <row r="13">
      <c r="A13" s="4" t="inlineStr">
        <is>
          <t>142</t>
        </is>
      </c>
      <c r="B13" s="4" t="inlineStr">
        <is>
          <t>Mech Room Labor</t>
        </is>
      </c>
      <c r="C13" s="5" t="n">
        <v>99200</v>
      </c>
      <c r="D13" s="5" t="n">
        <v>107100</v>
      </c>
      <c r="E13" s="5" t="n">
        <v>61170.75</v>
      </c>
      <c r="F13" s="9">
        <f>D13-E13</f>
        <v/>
      </c>
      <c r="G13" s="5" t="n">
        <v>0</v>
      </c>
      <c r="H13" s="12">
        <f>IFERROR(E13/D13,0)</f>
        <v/>
      </c>
    </row>
    <row r="14">
      <c r="A14" s="4" t="inlineStr">
        <is>
          <t>151</t>
        </is>
      </c>
      <c r="B14" s="4" t="inlineStr">
        <is>
          <t>T&amp;M Labor</t>
        </is>
      </c>
      <c r="C14" s="5" t="n">
        <v>0</v>
      </c>
      <c r="D14" s="5" t="n">
        <v>0</v>
      </c>
      <c r="E14" s="5" t="n">
        <v>869</v>
      </c>
      <c r="F14" s="9">
        <f>D14-E14</f>
        <v/>
      </c>
      <c r="G14" s="5" t="n">
        <v>0</v>
      </c>
      <c r="H14" s="12">
        <f>IFERROR(E14/D14,0)</f>
        <v/>
      </c>
    </row>
    <row r="15">
      <c r="A15" s="4" t="inlineStr">
        <is>
          <t>210</t>
        </is>
      </c>
      <c r="B15" s="4" t="inlineStr">
        <is>
          <t>Underground Material</t>
        </is>
      </c>
      <c r="C15" s="5" t="n">
        <v>64300</v>
      </c>
      <c r="D15" s="5" t="n">
        <v>75460</v>
      </c>
      <c r="E15" s="5" t="n">
        <v>49664.33</v>
      </c>
      <c r="F15" s="9">
        <f>D15-E15</f>
        <v/>
      </c>
      <c r="G15" s="5" t="n">
        <v>0</v>
      </c>
      <c r="H15" s="12">
        <f>IFERROR(E15/D15,0)</f>
        <v/>
      </c>
    </row>
    <row r="16">
      <c r="A16" s="4" t="inlineStr">
        <is>
          <t>211</t>
        </is>
      </c>
      <c r="B16" s="4" t="inlineStr">
        <is>
          <t>Garage Material</t>
        </is>
      </c>
      <c r="C16" s="5" t="n">
        <v>105025</v>
      </c>
      <c r="D16" s="5" t="n">
        <v>122695</v>
      </c>
      <c r="E16" s="5" t="n">
        <v>169337.63</v>
      </c>
      <c r="F16" s="9">
        <f>D16-E16</f>
        <v/>
      </c>
      <c r="G16" s="5" t="n">
        <v>0</v>
      </c>
      <c r="H16" s="12">
        <f>IFERROR(E16/D16,0)</f>
        <v/>
      </c>
    </row>
    <row r="17">
      <c r="A17" s="4" t="inlineStr">
        <is>
          <t>212</t>
        </is>
      </c>
      <c r="B17" s="4" t="inlineStr">
        <is>
          <t>Canout Material</t>
        </is>
      </c>
      <c r="C17" s="5" t="n">
        <v>51050</v>
      </c>
      <c r="D17" s="5" t="n">
        <v>52900</v>
      </c>
      <c r="E17" s="5" t="n">
        <v>22272.59</v>
      </c>
      <c r="F17" s="9">
        <f>D17-E17</f>
        <v/>
      </c>
      <c r="G17" s="5" t="n">
        <v>0</v>
      </c>
      <c r="H17" s="12">
        <f>IFERROR(E17/D17,0)</f>
        <v/>
      </c>
    </row>
    <row r="18">
      <c r="A18" s="4" t="inlineStr">
        <is>
          <t>220</t>
        </is>
      </c>
      <c r="B18" s="4" t="inlineStr">
        <is>
          <t>Roughin Material</t>
        </is>
      </c>
      <c r="C18" s="5" t="n">
        <v>636571</v>
      </c>
      <c r="D18" s="5" t="n">
        <v>657496</v>
      </c>
      <c r="E18" s="5" t="n">
        <v>429974.35</v>
      </c>
      <c r="F18" s="9">
        <f>D18-E18</f>
        <v/>
      </c>
      <c r="G18" s="5" t="n">
        <v>775.09</v>
      </c>
      <c r="H18" s="12">
        <f>IFERROR(E18/D18,0)</f>
        <v/>
      </c>
    </row>
    <row r="19">
      <c r="A19" s="4" t="inlineStr">
        <is>
          <t>230</t>
        </is>
      </c>
      <c r="B19" s="4" t="inlineStr">
        <is>
          <t>Finish Material</t>
        </is>
      </c>
      <c r="C19" s="5" t="n">
        <v>1011650</v>
      </c>
      <c r="D19" s="5" t="n">
        <v>1140441</v>
      </c>
      <c r="E19" s="5" t="n">
        <v>971188.26</v>
      </c>
      <c r="F19" s="9">
        <f>D19-E19</f>
        <v/>
      </c>
      <c r="G19" s="5" t="n">
        <v>1896.23</v>
      </c>
      <c r="H19" s="12">
        <f>IFERROR(E19/D19,0)</f>
        <v/>
      </c>
    </row>
    <row r="20">
      <c r="A20" s="4" t="inlineStr">
        <is>
          <t>240</t>
        </is>
      </c>
      <c r="B20" s="4" t="inlineStr">
        <is>
          <t>Gas Material</t>
        </is>
      </c>
      <c r="C20" s="5" t="n">
        <v>8463</v>
      </c>
      <c r="D20" s="5" t="n">
        <v>21708</v>
      </c>
      <c r="E20" s="5" t="n">
        <v>14023.31</v>
      </c>
      <c r="F20" s="9">
        <f>D20-E20</f>
        <v/>
      </c>
      <c r="G20" s="5" t="n">
        <v>594.01</v>
      </c>
      <c r="H20" s="12">
        <f>IFERROR(E20/D20,0)</f>
        <v/>
      </c>
    </row>
    <row r="21">
      <c r="A21" s="4" t="inlineStr">
        <is>
          <t>241</t>
        </is>
      </c>
      <c r="B21" s="4" t="inlineStr">
        <is>
          <t>Water Main/Insulation Mat</t>
        </is>
      </c>
      <c r="C21" s="5" t="n">
        <v>192848</v>
      </c>
      <c r="D21" s="5" t="n">
        <v>207528</v>
      </c>
      <c r="E21" s="5" t="n">
        <v>126781.38</v>
      </c>
      <c r="F21" s="9">
        <f>D21-E21</f>
        <v/>
      </c>
      <c r="G21" s="5" t="n">
        <v>1533.67</v>
      </c>
      <c r="H21" s="12">
        <f>IFERROR(E21/D21,0)</f>
        <v/>
      </c>
    </row>
    <row r="22">
      <c r="A22" s="4" t="inlineStr">
        <is>
          <t>242</t>
        </is>
      </c>
      <c r="B22" s="4" t="inlineStr">
        <is>
          <t>Mech Room Material</t>
        </is>
      </c>
      <c r="C22" s="5" t="n">
        <v>102300</v>
      </c>
      <c r="D22" s="5" t="n">
        <v>109400</v>
      </c>
      <c r="E22" s="5" t="n">
        <v>71241.58</v>
      </c>
      <c r="F22" s="9">
        <f>D22-E22</f>
        <v/>
      </c>
      <c r="G22" s="5" t="n">
        <v>704.14</v>
      </c>
      <c r="H22" s="12">
        <f>IFERROR(E22/D22,0)</f>
        <v/>
      </c>
    </row>
    <row r="23">
      <c r="A23" s="4" t="inlineStr">
        <is>
          <t>251</t>
        </is>
      </c>
      <c r="B23" s="4" t="inlineStr">
        <is>
          <t>T&amp;M Material</t>
        </is>
      </c>
      <c r="C23" s="5" t="n">
        <v>0</v>
      </c>
      <c r="D23" s="5" t="n">
        <v>0</v>
      </c>
      <c r="E23" s="5" t="n">
        <v>0</v>
      </c>
      <c r="F23" s="9">
        <f>D23-E23</f>
        <v/>
      </c>
      <c r="G23" s="5" t="n">
        <v>0</v>
      </c>
      <c r="H23" s="12">
        <f>IFERROR(E23/D23,0)</f>
        <v/>
      </c>
    </row>
    <row r="24">
      <c r="A24" s="4" t="inlineStr">
        <is>
          <t>600</t>
        </is>
      </c>
      <c r="B24" s="4" t="inlineStr">
        <is>
          <t>Subcontractor</t>
        </is>
      </c>
      <c r="C24" s="5" t="n">
        <v>30983</v>
      </c>
      <c r="D24" s="5" t="n">
        <v>35083</v>
      </c>
      <c r="E24" s="5" t="n">
        <v>17950</v>
      </c>
      <c r="F24" s="9">
        <f>D24-E24</f>
        <v/>
      </c>
      <c r="G24" s="5" t="n">
        <v>3450</v>
      </c>
      <c r="H24" s="12">
        <f>IFERROR(E24/D24,0)</f>
        <v/>
      </c>
    </row>
    <row r="25">
      <c r="A25" s="4" t="inlineStr">
        <is>
          <t>601</t>
        </is>
      </c>
      <c r="B25" s="4" t="inlineStr">
        <is>
          <t>Engineering/Plans</t>
        </is>
      </c>
      <c r="C25" s="5" t="n">
        <v>99450</v>
      </c>
      <c r="D25" s="5" t="n">
        <v>99450</v>
      </c>
      <c r="E25" s="5" t="n">
        <v>8252.5</v>
      </c>
      <c r="F25" s="9">
        <f>D25-E25</f>
        <v/>
      </c>
      <c r="G25" s="5" t="n">
        <v>0</v>
      </c>
      <c r="H25" s="12">
        <f>IFERROR(E25/D25,0)</f>
        <v/>
      </c>
    </row>
    <row r="26">
      <c r="A26" s="4" t="inlineStr">
        <is>
          <t>602</t>
        </is>
      </c>
      <c r="B26" s="4" t="inlineStr">
        <is>
          <t>Rental Equipment</t>
        </is>
      </c>
      <c r="C26" s="5" t="n">
        <v>15000</v>
      </c>
      <c r="D26" s="5" t="n">
        <v>17990</v>
      </c>
      <c r="E26" s="5" t="n">
        <v>17684.58</v>
      </c>
      <c r="F26" s="9">
        <f>D26-E26</f>
        <v/>
      </c>
      <c r="G26" s="5" t="n">
        <v>0</v>
      </c>
      <c r="H26" s="12">
        <f>IFERROR(E26/D26,0)</f>
        <v/>
      </c>
    </row>
    <row r="27">
      <c r="A27" s="4" t="inlineStr">
        <is>
          <t>603</t>
        </is>
      </c>
      <c r="B27" s="4" t="inlineStr">
        <is>
          <t>Permits &amp; Licenses</t>
        </is>
      </c>
      <c r="C27" s="5" t="n">
        <v>24660</v>
      </c>
      <c r="D27" s="5" t="n">
        <v>31010</v>
      </c>
      <c r="E27" s="5" t="n">
        <v>22521.02</v>
      </c>
      <c r="F27" s="9">
        <f>D27-E27</f>
        <v/>
      </c>
      <c r="G27" s="5" t="n">
        <v>0</v>
      </c>
      <c r="H27" s="12">
        <f>IFERROR(E27/D27,0)</f>
        <v/>
      </c>
    </row>
    <row r="28">
      <c r="A28" s="4" t="inlineStr">
        <is>
          <t>995</t>
        </is>
      </c>
      <c r="B28" s="4" t="inlineStr">
        <is>
          <t>Payroll Burden</t>
        </is>
      </c>
      <c r="C28" s="5" t="n">
        <v>613551.26</v>
      </c>
      <c r="D28" s="5" t="n">
        <v>686429.5600000001</v>
      </c>
      <c r="E28" s="5" t="n">
        <v>809708.0600000001</v>
      </c>
      <c r="F28" s="9">
        <f>D28-E28</f>
        <v/>
      </c>
      <c r="G28" s="5" t="n">
        <v>0</v>
      </c>
      <c r="H28" s="12">
        <f>IFERROR(E28/D28,0)</f>
        <v/>
      </c>
    </row>
    <row r="29">
      <c r="A29" s="4" t="inlineStr">
        <is>
          <t>998</t>
        </is>
      </c>
      <c r="B29" s="4" t="inlineStr">
        <is>
          <t>Payroll Taxes</t>
        </is>
      </c>
      <c r="C29" s="5" t="n">
        <v>121440.29</v>
      </c>
      <c r="D29" s="5" t="n">
        <v>136111.89</v>
      </c>
      <c r="E29" s="5" t="n">
        <v>139063</v>
      </c>
      <c r="F29" s="9">
        <f>D29-E29</f>
        <v/>
      </c>
      <c r="G29" s="5" t="n">
        <v>0</v>
      </c>
      <c r="H29" s="12">
        <f>IFERROR(E29/D29,0)</f>
        <v/>
      </c>
    </row>
    <row r="30">
      <c r="A30" s="10" t="inlineStr">
        <is>
          <t>TOTAL</t>
        </is>
      </c>
      <c r="C30" s="6">
        <f>SUM(C4:C29)</f>
        <v/>
      </c>
      <c r="D30" s="6">
        <f>SUM(D4:D29)</f>
        <v/>
      </c>
      <c r="E30" s="6">
        <f>SUM(E4:E29)</f>
        <v/>
      </c>
      <c r="F30" s="6">
        <f>SUM(F4:F29)</f>
        <v/>
      </c>
      <c r="G30" s="6">
        <f>SUM(G4:G29)</f>
        <v/>
      </c>
      <c r="H30" s="7">
        <f>IFERROR(E30/D30,0)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Cost Category Rollup</t>
        </is>
      </c>
    </row>
    <row r="3">
      <c r="A3" s="11" t="inlineStr">
        <is>
          <t>Category</t>
        </is>
      </c>
      <c r="B3" s="11" t="inlineStr">
        <is>
          <t># Codes</t>
        </is>
      </c>
      <c r="C3" s="11" t="inlineStr">
        <is>
          <t>Revised Budget</t>
        </is>
      </c>
      <c r="D3" s="11" t="inlineStr">
        <is>
          <t>Actual</t>
        </is>
      </c>
      <c r="E3" s="11" t="inlineStr">
        <is>
          <t>Variance</t>
        </is>
      </c>
      <c r="F3" s="11" t="inlineStr">
        <is>
          <t>% Complete</t>
        </is>
      </c>
    </row>
    <row r="4">
      <c r="A4" s="10" t="inlineStr">
        <is>
          <t>Labor</t>
        </is>
      </c>
      <c r="B4" s="4" t="n">
        <v>10</v>
      </c>
      <c r="C4" s="5" t="n">
        <v>1779241</v>
      </c>
      <c r="D4" s="5" t="n">
        <v>1810253.75</v>
      </c>
      <c r="E4" s="9">
        <f>C4-D4</f>
        <v/>
      </c>
      <c r="F4" s="12">
        <f>IFERROR(D4/C4,0)</f>
        <v/>
      </c>
    </row>
    <row r="5">
      <c r="A5" s="10" t="inlineStr">
        <is>
          <t>Material</t>
        </is>
      </c>
      <c r="B5" s="4" t="n">
        <v>9</v>
      </c>
      <c r="C5" s="5" t="n">
        <v>2387628</v>
      </c>
      <c r="D5" s="5" t="n">
        <v>1854483.43</v>
      </c>
      <c r="E5" s="9">
        <f>C5-D5</f>
        <v/>
      </c>
      <c r="F5" s="12">
        <f>IFERROR(D5/C5,0)</f>
        <v/>
      </c>
    </row>
    <row r="6">
      <c r="A6" s="10" t="inlineStr">
        <is>
          <t>Overhead</t>
        </is>
      </c>
      <c r="B6" s="4" t="n">
        <v>4</v>
      </c>
      <c r="C6" s="5" t="n">
        <v>183533</v>
      </c>
      <c r="D6" s="5" t="n">
        <v>66408.10000000001</v>
      </c>
      <c r="E6" s="9">
        <f>C6-D6</f>
        <v/>
      </c>
      <c r="F6" s="12">
        <f>IFERROR(D6/C6,0)</f>
        <v/>
      </c>
    </row>
    <row r="7">
      <c r="A7" s="10" t="inlineStr">
        <is>
          <t>Burden</t>
        </is>
      </c>
      <c r="B7" s="4" t="n">
        <v>2</v>
      </c>
      <c r="C7" s="5" t="n">
        <v>822541.4500000001</v>
      </c>
      <c r="D7" s="5" t="n">
        <v>948771.0600000001</v>
      </c>
      <c r="E7" s="9">
        <f>C7-D7</f>
        <v/>
      </c>
      <c r="F7" s="12">
        <f>IFERROR(D7/C7,0)</f>
        <v/>
      </c>
    </row>
    <row r="8">
      <c r="A8" s="10" t="inlineStr">
        <is>
          <t>TOTAL</t>
        </is>
      </c>
      <c r="B8" s="13">
        <f>SUM(B4:B7)</f>
        <v/>
      </c>
      <c r="C8" s="6">
        <f>SUM(C4:C7)</f>
        <v/>
      </c>
      <c r="D8" s="6">
        <f>SUM(D4:D7)</f>
        <v/>
      </c>
      <c r="E8" s="6">
        <f>SUM(E4:E7)</f>
        <v/>
      </c>
      <c r="F8" s="7">
        <f>IFERROR(D8/C8,0)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14" customWidth="1" min="4" max="4"/>
    <col width="14" customWidth="1" min="5" max="5"/>
    <col width="10" customWidth="1" min="6" max="6"/>
    <col width="14" customWidth="1" min="7" max="7"/>
  </cols>
  <sheetData>
    <row r="1">
      <c r="A1" s="1" t="inlineStr">
        <is>
          <t>Budget vs Actual — Flag list</t>
        </is>
      </c>
    </row>
    <row r="2">
      <c r="A2" s="2" t="inlineStr">
        <is>
          <t>Revised budget is canonical basis. Flags: OVER &gt;10%, CRITICAL &gt;50%, ON ±10%, UNDER &lt;-10%.</t>
        </is>
      </c>
    </row>
    <row r="4">
      <c r="A4" s="11" t="inlineStr">
        <is>
          <t>Code</t>
        </is>
      </c>
      <c r="B4" s="11" t="inlineStr">
        <is>
          <t>Description</t>
        </is>
      </c>
      <c r="C4" s="11" t="inlineStr">
        <is>
          <t>Revised</t>
        </is>
      </c>
      <c r="D4" s="11" t="inlineStr">
        <is>
          <t>Actual</t>
        </is>
      </c>
      <c r="E4" s="11" t="inlineStr">
        <is>
          <t>Variance</t>
        </is>
      </c>
      <c r="F4" s="11" t="inlineStr">
        <is>
          <t>% Var</t>
        </is>
      </c>
      <c r="G4" s="11" t="inlineStr">
        <is>
          <t>Status</t>
        </is>
      </c>
    </row>
    <row r="5">
      <c r="A5" s="4" t="inlineStr">
        <is>
          <t>100</t>
        </is>
      </c>
      <c r="B5" s="4" t="inlineStr">
        <is>
          <t>Supervision</t>
        </is>
      </c>
      <c r="C5" s="5" t="n">
        <v>16210</v>
      </c>
      <c r="D5" s="5" t="n">
        <v>11762</v>
      </c>
      <c r="E5" s="9">
        <f>C5-D5</f>
        <v/>
      </c>
      <c r="F5" s="12">
        <f>IFERROR((D5-C5)/C5,0)</f>
        <v/>
      </c>
      <c r="G5" s="14">
        <f>IF(C5=0,"UNBUDGETED",IF(F5&gt;0.5,"CRITICAL",IF(F5&gt;0.1,"OVER",IF(F5&lt;-0.1,"UNDER","ON"))))</f>
        <v/>
      </c>
    </row>
    <row r="6">
      <c r="A6" s="4" t="inlineStr">
        <is>
          <t>101</t>
        </is>
      </c>
      <c r="B6" s="4" t="inlineStr">
        <is>
          <t>Takeoff &amp; Purchase Labor</t>
        </is>
      </c>
      <c r="C6" s="5" t="n">
        <v>50300</v>
      </c>
      <c r="D6" s="5" t="n">
        <v>52674</v>
      </c>
      <c r="E6" s="9">
        <f>C6-D6</f>
        <v/>
      </c>
      <c r="F6" s="12">
        <f>IFERROR((D6-C6)/C6,0)</f>
        <v/>
      </c>
      <c r="G6" s="14">
        <f>IF(C6=0,"UNBUDGETED",IF(F6&gt;0.5,"CRITICAL",IF(F6&gt;0.1,"OVER",IF(F6&lt;-0.1,"UNDER","ON"))))</f>
        <v/>
      </c>
    </row>
    <row r="7">
      <c r="A7" s="4" t="inlineStr">
        <is>
          <t>110</t>
        </is>
      </c>
      <c r="B7" s="4" t="inlineStr">
        <is>
          <t>Underground Labor</t>
        </is>
      </c>
      <c r="C7" s="5" t="n">
        <v>75888</v>
      </c>
      <c r="D7" s="5" t="n">
        <v>95456</v>
      </c>
      <c r="E7" s="9">
        <f>C7-D7</f>
        <v/>
      </c>
      <c r="F7" s="12">
        <f>IFERROR((D7-C7)/C7,0)</f>
        <v/>
      </c>
      <c r="G7" s="14">
        <f>IF(C7=0,"UNBUDGETED",IF(F7&gt;0.5,"CRITICAL",IF(F7&gt;0.1,"OVER",IF(F7&lt;-0.1,"UNDER","ON"))))</f>
        <v/>
      </c>
    </row>
    <row r="8">
      <c r="A8" s="4" t="inlineStr">
        <is>
          <t>111</t>
        </is>
      </c>
      <c r="B8" s="4" t="inlineStr">
        <is>
          <t>Garage Labor</t>
        </is>
      </c>
      <c r="C8" s="5" t="n">
        <v>136288</v>
      </c>
      <c r="D8" s="5" t="n">
        <v>167884.75</v>
      </c>
      <c r="E8" s="9">
        <f>C8-D8</f>
        <v/>
      </c>
      <c r="F8" s="12">
        <f>IFERROR((D8-C8)/C8,0)</f>
        <v/>
      </c>
      <c r="G8" s="14">
        <f>IF(C8=0,"UNBUDGETED",IF(F8&gt;0.5,"CRITICAL",IF(F8&gt;0.1,"OVER",IF(F8&lt;-0.1,"UNDER","ON"))))</f>
        <v/>
      </c>
    </row>
    <row r="9">
      <c r="A9" s="4" t="inlineStr">
        <is>
          <t>112</t>
        </is>
      </c>
      <c r="B9" s="4" t="inlineStr">
        <is>
          <t>Canout Labor</t>
        </is>
      </c>
      <c r="C9" s="5" t="n">
        <v>52600</v>
      </c>
      <c r="D9" s="5" t="n">
        <v>41039</v>
      </c>
      <c r="E9" s="9">
        <f>C9-D9</f>
        <v/>
      </c>
      <c r="F9" s="12">
        <f>IFERROR((D9-C9)/C9,0)</f>
        <v/>
      </c>
      <c r="G9" s="14">
        <f>IF(C9=0,"UNBUDGETED",IF(F9&gt;0.5,"CRITICAL",IF(F9&gt;0.1,"OVER",IF(F9&lt;-0.1,"UNDER","ON"))))</f>
        <v/>
      </c>
    </row>
    <row r="10">
      <c r="A10" s="4" t="inlineStr">
        <is>
          <t>120</t>
        </is>
      </c>
      <c r="B10" s="4" t="inlineStr">
        <is>
          <t>Roughin Labor</t>
        </is>
      </c>
      <c r="C10" s="5" t="n">
        <v>936025</v>
      </c>
      <c r="D10" s="5" t="n">
        <v>1041296.25</v>
      </c>
      <c r="E10" s="9">
        <f>C10-D10</f>
        <v/>
      </c>
      <c r="F10" s="12">
        <f>IFERROR((D10-C10)/C10,0)</f>
        <v/>
      </c>
      <c r="G10" s="14">
        <f>IF(C10=0,"UNBUDGETED",IF(F10&gt;0.5,"CRITICAL",IF(F10&gt;0.1,"OVER",IF(F10&lt;-0.1,"UNDER","ON"))))</f>
        <v/>
      </c>
    </row>
    <row r="11">
      <c r="A11" s="4" t="inlineStr">
        <is>
          <t>130</t>
        </is>
      </c>
      <c r="B11" s="4" t="inlineStr">
        <is>
          <t>Finish Labor</t>
        </is>
      </c>
      <c r="C11" s="5" t="n">
        <v>185910</v>
      </c>
      <c r="D11" s="5" t="n">
        <v>132682.75</v>
      </c>
      <c r="E11" s="9">
        <f>C11-D11</f>
        <v/>
      </c>
      <c r="F11" s="12">
        <f>IFERROR((D11-C11)/C11,0)</f>
        <v/>
      </c>
      <c r="G11" s="14">
        <f>IF(C11=0,"UNBUDGETED",IF(F11&gt;0.5,"CRITICAL",IF(F11&gt;0.1,"OVER",IF(F11&lt;-0.1,"UNDER","ON"))))</f>
        <v/>
      </c>
    </row>
    <row r="12">
      <c r="A12" s="4" t="inlineStr">
        <is>
          <t>140</t>
        </is>
      </c>
      <c r="B12" s="4" t="inlineStr">
        <is>
          <t>Gas Labor</t>
        </is>
      </c>
      <c r="C12" s="5" t="n">
        <v>25250</v>
      </c>
      <c r="D12" s="5" t="n">
        <v>21237.25</v>
      </c>
      <c r="E12" s="9">
        <f>C12-D12</f>
        <v/>
      </c>
      <c r="F12" s="12">
        <f>IFERROR((D12-C12)/C12,0)</f>
        <v/>
      </c>
      <c r="G12" s="14">
        <f>IF(C12=0,"UNBUDGETED",IF(F12&gt;0.5,"CRITICAL",IF(F12&gt;0.1,"OVER",IF(F12&lt;-0.1,"UNDER","ON"))))</f>
        <v/>
      </c>
    </row>
    <row r="13">
      <c r="A13" s="4" t="inlineStr">
        <is>
          <t>141</t>
        </is>
      </c>
      <c r="B13" s="4" t="inlineStr">
        <is>
          <t>Water Main/Insulation Lab</t>
        </is>
      </c>
      <c r="C13" s="5" t="n">
        <v>193670</v>
      </c>
      <c r="D13" s="5" t="n">
        <v>185051</v>
      </c>
      <c r="E13" s="9">
        <f>C13-D13</f>
        <v/>
      </c>
      <c r="F13" s="12">
        <f>IFERROR((D13-C13)/C13,0)</f>
        <v/>
      </c>
      <c r="G13" s="14">
        <f>IF(C13=0,"UNBUDGETED",IF(F13&gt;0.5,"CRITICAL",IF(F13&gt;0.1,"OVER",IF(F13&lt;-0.1,"UNDER","ON"))))</f>
        <v/>
      </c>
    </row>
    <row r="14">
      <c r="A14" s="4" t="inlineStr">
        <is>
          <t>142</t>
        </is>
      </c>
      <c r="B14" s="4" t="inlineStr">
        <is>
          <t>Mech Room Labor</t>
        </is>
      </c>
      <c r="C14" s="5" t="n">
        <v>107100</v>
      </c>
      <c r="D14" s="5" t="n">
        <v>61170.75</v>
      </c>
      <c r="E14" s="9">
        <f>C14-D14</f>
        <v/>
      </c>
      <c r="F14" s="12">
        <f>IFERROR((D14-C14)/C14,0)</f>
        <v/>
      </c>
      <c r="G14" s="14">
        <f>IF(C14=0,"UNBUDGETED",IF(F14&gt;0.5,"CRITICAL",IF(F14&gt;0.1,"OVER",IF(F14&lt;-0.1,"UNDER","ON"))))</f>
        <v/>
      </c>
    </row>
    <row r="15">
      <c r="A15" s="4" t="inlineStr">
        <is>
          <t>151</t>
        </is>
      </c>
      <c r="B15" s="4" t="inlineStr">
        <is>
          <t>T&amp;M Labor</t>
        </is>
      </c>
      <c r="C15" s="5" t="n">
        <v>0</v>
      </c>
      <c r="D15" s="5" t="n">
        <v>869</v>
      </c>
      <c r="E15" s="9">
        <f>C15-D15</f>
        <v/>
      </c>
      <c r="F15" s="12">
        <f>IFERROR((D15-C15)/C15,0)</f>
        <v/>
      </c>
      <c r="G15" s="14">
        <f>IF(C15=0,"UNBUDGETED",IF(F15&gt;0.5,"CRITICAL",IF(F15&gt;0.1,"OVER",IF(F15&lt;-0.1,"UNDER","ON"))))</f>
        <v/>
      </c>
    </row>
    <row r="16">
      <c r="A16" s="4" t="inlineStr">
        <is>
          <t>210</t>
        </is>
      </c>
      <c r="B16" s="4" t="inlineStr">
        <is>
          <t>Underground Material</t>
        </is>
      </c>
      <c r="C16" s="5" t="n">
        <v>75460</v>
      </c>
      <c r="D16" s="5" t="n">
        <v>49664.33</v>
      </c>
      <c r="E16" s="9">
        <f>C16-D16</f>
        <v/>
      </c>
      <c r="F16" s="12">
        <f>IFERROR((D16-C16)/C16,0)</f>
        <v/>
      </c>
      <c r="G16" s="14">
        <f>IF(C16=0,"UNBUDGETED",IF(F16&gt;0.5,"CRITICAL",IF(F16&gt;0.1,"OVER",IF(F16&lt;-0.1,"UNDER","ON"))))</f>
        <v/>
      </c>
    </row>
    <row r="17">
      <c r="A17" s="4" t="inlineStr">
        <is>
          <t>211</t>
        </is>
      </c>
      <c r="B17" s="4" t="inlineStr">
        <is>
          <t>Garage Material</t>
        </is>
      </c>
      <c r="C17" s="5" t="n">
        <v>122695</v>
      </c>
      <c r="D17" s="5" t="n">
        <v>169337.63</v>
      </c>
      <c r="E17" s="9">
        <f>C17-D17</f>
        <v/>
      </c>
      <c r="F17" s="12">
        <f>IFERROR((D17-C17)/C17,0)</f>
        <v/>
      </c>
      <c r="G17" s="14">
        <f>IF(C17=0,"UNBUDGETED",IF(F17&gt;0.5,"CRITICAL",IF(F17&gt;0.1,"OVER",IF(F17&lt;-0.1,"UNDER","ON"))))</f>
        <v/>
      </c>
    </row>
    <row r="18">
      <c r="A18" s="4" t="inlineStr">
        <is>
          <t>212</t>
        </is>
      </c>
      <c r="B18" s="4" t="inlineStr">
        <is>
          <t>Canout Material</t>
        </is>
      </c>
      <c r="C18" s="5" t="n">
        <v>52900</v>
      </c>
      <c r="D18" s="5" t="n">
        <v>22272.59</v>
      </c>
      <c r="E18" s="9">
        <f>C18-D18</f>
        <v/>
      </c>
      <c r="F18" s="12">
        <f>IFERROR((D18-C18)/C18,0)</f>
        <v/>
      </c>
      <c r="G18" s="14">
        <f>IF(C18=0,"UNBUDGETED",IF(F18&gt;0.5,"CRITICAL",IF(F18&gt;0.1,"OVER",IF(F18&lt;-0.1,"UNDER","ON"))))</f>
        <v/>
      </c>
    </row>
    <row r="19">
      <c r="A19" s="4" t="inlineStr">
        <is>
          <t>220</t>
        </is>
      </c>
      <c r="B19" s="4" t="inlineStr">
        <is>
          <t>Roughin Material</t>
        </is>
      </c>
      <c r="C19" s="5" t="n">
        <v>657496</v>
      </c>
      <c r="D19" s="5" t="n">
        <v>429974.35</v>
      </c>
      <c r="E19" s="9">
        <f>C19-D19</f>
        <v/>
      </c>
      <c r="F19" s="12">
        <f>IFERROR((D19-C19)/C19,0)</f>
        <v/>
      </c>
      <c r="G19" s="14">
        <f>IF(C19=0,"UNBUDGETED",IF(F19&gt;0.5,"CRITICAL",IF(F19&gt;0.1,"OVER",IF(F19&lt;-0.1,"UNDER","ON"))))</f>
        <v/>
      </c>
    </row>
    <row r="20">
      <c r="A20" s="4" t="inlineStr">
        <is>
          <t>230</t>
        </is>
      </c>
      <c r="B20" s="4" t="inlineStr">
        <is>
          <t>Finish Material</t>
        </is>
      </c>
      <c r="C20" s="5" t="n">
        <v>1140441</v>
      </c>
      <c r="D20" s="5" t="n">
        <v>971188.26</v>
      </c>
      <c r="E20" s="9">
        <f>C20-D20</f>
        <v/>
      </c>
      <c r="F20" s="12">
        <f>IFERROR((D20-C20)/C20,0)</f>
        <v/>
      </c>
      <c r="G20" s="14">
        <f>IF(C20=0,"UNBUDGETED",IF(F20&gt;0.5,"CRITICAL",IF(F20&gt;0.1,"OVER",IF(F20&lt;-0.1,"UNDER","ON"))))</f>
        <v/>
      </c>
    </row>
    <row r="21">
      <c r="A21" s="4" t="inlineStr">
        <is>
          <t>240</t>
        </is>
      </c>
      <c r="B21" s="4" t="inlineStr">
        <is>
          <t>Gas Material</t>
        </is>
      </c>
      <c r="C21" s="5" t="n">
        <v>21708</v>
      </c>
      <c r="D21" s="5" t="n">
        <v>14023.31</v>
      </c>
      <c r="E21" s="9">
        <f>C21-D21</f>
        <v/>
      </c>
      <c r="F21" s="12">
        <f>IFERROR((D21-C21)/C21,0)</f>
        <v/>
      </c>
      <c r="G21" s="14">
        <f>IF(C21=0,"UNBUDGETED",IF(F21&gt;0.5,"CRITICAL",IF(F21&gt;0.1,"OVER",IF(F21&lt;-0.1,"UNDER","ON"))))</f>
        <v/>
      </c>
    </row>
    <row r="22">
      <c r="A22" s="4" t="inlineStr">
        <is>
          <t>241</t>
        </is>
      </c>
      <c r="B22" s="4" t="inlineStr">
        <is>
          <t>Water Main/Insulation Mat</t>
        </is>
      </c>
      <c r="C22" s="5" t="n">
        <v>207528</v>
      </c>
      <c r="D22" s="5" t="n">
        <v>126781.38</v>
      </c>
      <c r="E22" s="9">
        <f>C22-D22</f>
        <v/>
      </c>
      <c r="F22" s="12">
        <f>IFERROR((D22-C22)/C22,0)</f>
        <v/>
      </c>
      <c r="G22" s="14">
        <f>IF(C22=0,"UNBUDGETED",IF(F22&gt;0.5,"CRITICAL",IF(F22&gt;0.1,"OVER",IF(F22&lt;-0.1,"UNDER","ON"))))</f>
        <v/>
      </c>
    </row>
    <row r="23">
      <c r="A23" s="4" t="inlineStr">
        <is>
          <t>242</t>
        </is>
      </c>
      <c r="B23" s="4" t="inlineStr">
        <is>
          <t>Mech Room Material</t>
        </is>
      </c>
      <c r="C23" s="5" t="n">
        <v>109400</v>
      </c>
      <c r="D23" s="5" t="n">
        <v>71241.58</v>
      </c>
      <c r="E23" s="9">
        <f>C23-D23</f>
        <v/>
      </c>
      <c r="F23" s="12">
        <f>IFERROR((D23-C23)/C23,0)</f>
        <v/>
      </c>
      <c r="G23" s="14">
        <f>IF(C23=0,"UNBUDGETED",IF(F23&gt;0.5,"CRITICAL",IF(F23&gt;0.1,"OVER",IF(F23&lt;-0.1,"UNDER","ON"))))</f>
        <v/>
      </c>
    </row>
    <row r="24">
      <c r="A24" s="4" t="inlineStr">
        <is>
          <t>600</t>
        </is>
      </c>
      <c r="B24" s="4" t="inlineStr">
        <is>
          <t>Subcontractor</t>
        </is>
      </c>
      <c r="C24" s="5" t="n">
        <v>35083</v>
      </c>
      <c r="D24" s="5" t="n">
        <v>17950</v>
      </c>
      <c r="E24" s="9">
        <f>C24-D24</f>
        <v/>
      </c>
      <c r="F24" s="12">
        <f>IFERROR((D24-C24)/C24,0)</f>
        <v/>
      </c>
      <c r="G24" s="14">
        <f>IF(C24=0,"UNBUDGETED",IF(F24&gt;0.5,"CRITICAL",IF(F24&gt;0.1,"OVER",IF(F24&lt;-0.1,"UNDER","ON"))))</f>
        <v/>
      </c>
    </row>
    <row r="25">
      <c r="A25" s="4" t="inlineStr">
        <is>
          <t>601</t>
        </is>
      </c>
      <c r="B25" s="4" t="inlineStr">
        <is>
          <t>Engineering/Plans</t>
        </is>
      </c>
      <c r="C25" s="5" t="n">
        <v>99450</v>
      </c>
      <c r="D25" s="5" t="n">
        <v>8252.5</v>
      </c>
      <c r="E25" s="9">
        <f>C25-D25</f>
        <v/>
      </c>
      <c r="F25" s="12">
        <f>IFERROR((D25-C25)/C25,0)</f>
        <v/>
      </c>
      <c r="G25" s="14">
        <f>IF(C25=0,"UNBUDGETED",IF(F25&gt;0.5,"CRITICAL",IF(F25&gt;0.1,"OVER",IF(F25&lt;-0.1,"UNDER","ON"))))</f>
        <v/>
      </c>
    </row>
    <row r="26">
      <c r="A26" s="4" t="inlineStr">
        <is>
          <t>602</t>
        </is>
      </c>
      <c r="B26" s="4" t="inlineStr">
        <is>
          <t>Rental Equipment</t>
        </is>
      </c>
      <c r="C26" s="5" t="n">
        <v>17990</v>
      </c>
      <c r="D26" s="5" t="n">
        <v>17684.58</v>
      </c>
      <c r="E26" s="9">
        <f>C26-D26</f>
        <v/>
      </c>
      <c r="F26" s="12">
        <f>IFERROR((D26-C26)/C26,0)</f>
        <v/>
      </c>
      <c r="G26" s="14">
        <f>IF(C26=0,"UNBUDGETED",IF(F26&gt;0.5,"CRITICAL",IF(F26&gt;0.1,"OVER",IF(F26&lt;-0.1,"UNDER","ON"))))</f>
        <v/>
      </c>
    </row>
    <row r="27">
      <c r="A27" s="4" t="inlineStr">
        <is>
          <t>603</t>
        </is>
      </c>
      <c r="B27" s="4" t="inlineStr">
        <is>
          <t>Permits &amp; Licenses</t>
        </is>
      </c>
      <c r="C27" s="5" t="n">
        <v>31010</v>
      </c>
      <c r="D27" s="5" t="n">
        <v>22521.02</v>
      </c>
      <c r="E27" s="9">
        <f>C27-D27</f>
        <v/>
      </c>
      <c r="F27" s="12">
        <f>IFERROR((D27-C27)/C27,0)</f>
        <v/>
      </c>
      <c r="G27" s="14">
        <f>IF(C27=0,"UNBUDGETED",IF(F27&gt;0.5,"CRITICAL",IF(F27&gt;0.1,"OVER",IF(F27&lt;-0.1,"UNDER","ON"))))</f>
        <v/>
      </c>
    </row>
    <row r="28">
      <c r="A28" s="4" t="inlineStr">
        <is>
          <t>995</t>
        </is>
      </c>
      <c r="B28" s="4" t="inlineStr">
        <is>
          <t>Payroll Burden</t>
        </is>
      </c>
      <c r="C28" s="5" t="n">
        <v>686429.5600000001</v>
      </c>
      <c r="D28" s="5" t="n">
        <v>809708.0600000001</v>
      </c>
      <c r="E28" s="9">
        <f>C28-D28</f>
        <v/>
      </c>
      <c r="F28" s="12">
        <f>IFERROR((D28-C28)/C28,0)</f>
        <v/>
      </c>
      <c r="G28" s="14">
        <f>IF(C28=0,"UNBUDGETED",IF(F28&gt;0.5,"CRITICAL",IF(F28&gt;0.1,"OVER",IF(F28&lt;-0.1,"UNDER","ON"))))</f>
        <v/>
      </c>
    </row>
    <row r="29">
      <c r="A29" s="4" t="inlineStr">
        <is>
          <t>998</t>
        </is>
      </c>
      <c r="B29" s="4" t="inlineStr">
        <is>
          <t>Payroll Taxes</t>
        </is>
      </c>
      <c r="C29" s="5" t="n">
        <v>136111.89</v>
      </c>
      <c r="D29" s="5" t="n">
        <v>139063</v>
      </c>
      <c r="E29" s="9">
        <f>C29-D29</f>
        <v/>
      </c>
      <c r="F29" s="12">
        <f>IFERROR((D29-C29)/C29,0)</f>
        <v/>
      </c>
      <c r="G29" s="14">
        <f>IF(C29=0,"UNBUDGETED",IF(F29&gt;0.5,"CRITICAL",IF(F29&gt;0.1,"OVER",IF(F29&lt;-0.1,"UNDER","ON"))))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</cols>
  <sheetData>
    <row r="1">
      <c r="A1" s="1" t="inlineStr">
        <is>
          <t>Vendor Spend (AP source)</t>
        </is>
      </c>
    </row>
    <row r="3">
      <c r="A3" s="11" t="inlineStr">
        <is>
          <t>Vendor</t>
        </is>
      </c>
      <c r="B3" s="11" t="inlineStr">
        <is>
          <t>Spend ($)</t>
        </is>
      </c>
      <c r="C3" s="11" t="inlineStr">
        <is>
          <t>Invoices</t>
        </is>
      </c>
      <c r="D3" s="11" t="inlineStr">
        <is>
          <t>% of Total AP</t>
        </is>
      </c>
    </row>
    <row r="4">
      <c r="A4" s="4" t="inlineStr">
        <is>
          <t>Consolidated Supply Co.</t>
        </is>
      </c>
      <c r="B4" s="5" t="n">
        <v>513807.9700000001</v>
      </c>
      <c r="C4" s="4" t="n">
        <v>202</v>
      </c>
      <c r="D4" s="12">
        <f>IFERROR(B4/SUM(B$4:B$29),0)</f>
        <v/>
      </c>
    </row>
    <row r="5">
      <c r="A5" s="4" t="inlineStr">
        <is>
          <t>Keller Supply Company</t>
        </is>
      </c>
      <c r="B5" s="5" t="n">
        <v>308409.55</v>
      </c>
      <c r="C5" s="4" t="n">
        <v>84</v>
      </c>
      <c r="D5" s="12">
        <f>IFERROR(B5/SUM(B$4:B$29),0)</f>
        <v/>
      </c>
    </row>
    <row r="6">
      <c r="A6" s="4" t="inlineStr">
        <is>
          <t>Trane US, Inc</t>
        </is>
      </c>
      <c r="B6" s="5" t="n">
        <v>293172</v>
      </c>
      <c r="C6" s="4" t="n">
        <v>7</v>
      </c>
      <c r="D6" s="12">
        <f>IFERROR(B6/SUM(B$4:B$29),0)</f>
        <v/>
      </c>
    </row>
    <row r="7">
      <c r="A7" s="4" t="inlineStr">
        <is>
          <t>Pacific Plumbing Supply Co., LLC</t>
        </is>
      </c>
      <c r="B7" s="5" t="n">
        <v>186883.36</v>
      </c>
      <c r="C7" s="4" t="n">
        <v>122</v>
      </c>
      <c r="D7" s="12">
        <f>IFERROR(B7/SUM(B$4:B$29),0)</f>
        <v/>
      </c>
    </row>
    <row r="8">
      <c r="A8" s="4" t="inlineStr">
        <is>
          <t>Rosen Supply Kirkland</t>
        </is>
      </c>
      <c r="B8" s="5" t="n">
        <v>174323.23</v>
      </c>
      <c r="C8" s="4" t="n">
        <v>112</v>
      </c>
      <c r="D8" s="12">
        <f>IFERROR(B8/SUM(B$4:B$29),0)</f>
        <v/>
      </c>
    </row>
    <row r="9">
      <c r="A9" s="4" t="inlineStr">
        <is>
          <t>California Hydronics Corp</t>
        </is>
      </c>
      <c r="B9" s="5" t="n">
        <v>93309.60000000001</v>
      </c>
      <c r="C9" s="4" t="n">
        <v>10</v>
      </c>
      <c r="D9" s="12">
        <f>IFERROR(B9/SUM(B$4:B$29),0)</f>
        <v/>
      </c>
    </row>
    <row r="10">
      <c r="A10" s="4" t="inlineStr">
        <is>
          <t>MacArthur Co. NW 6276</t>
        </is>
      </c>
      <c r="B10" s="5" t="n">
        <v>56828.56</v>
      </c>
      <c r="C10" s="4" t="n">
        <v>12</v>
      </c>
      <c r="D10" s="12">
        <f>IFERROR(B10/SUM(B$4:B$29),0)</f>
        <v/>
      </c>
    </row>
    <row r="11">
      <c r="A11" s="4" t="inlineStr">
        <is>
          <t>Pioneer Energy Management</t>
        </is>
      </c>
      <c r="B11" s="5" t="n">
        <v>53820</v>
      </c>
      <c r="C11" s="4" t="n">
        <v>1</v>
      </c>
      <c r="D11" s="12">
        <f>IFERROR(B11/SUM(B$4:B$29),0)</f>
        <v/>
      </c>
    </row>
    <row r="12">
      <c r="A12" s="4" t="inlineStr">
        <is>
          <t>Bank of America CC</t>
        </is>
      </c>
      <c r="B12" s="5" t="n">
        <v>22578.38</v>
      </c>
      <c r="C12" s="4" t="n">
        <v>12</v>
      </c>
      <c r="D12" s="12">
        <f>IFERROR(B12/SUM(B$4:B$29),0)</f>
        <v/>
      </c>
    </row>
    <row r="13">
      <c r="A13" s="4" t="inlineStr">
        <is>
          <t>Old Castle Infrastructure, Inc.</t>
        </is>
      </c>
      <c r="B13" s="5" t="n">
        <v>15437.21</v>
      </c>
      <c r="C13" s="4" t="n">
        <v>1</v>
      </c>
      <c r="D13" s="12">
        <f>IFERROR(B13/SUM(B$4:B$29),0)</f>
        <v/>
      </c>
    </row>
    <row r="14">
      <c r="A14" s="4" t="inlineStr">
        <is>
          <t>Mechanical Resource Services, Inc.</t>
        </is>
      </c>
      <c r="B14" s="5" t="n">
        <v>14500</v>
      </c>
      <c r="C14" s="4" t="n">
        <v>1</v>
      </c>
      <c r="D14" s="12">
        <f>IFERROR(B14/SUM(B$4:B$29),0)</f>
        <v/>
      </c>
    </row>
    <row r="15">
      <c r="A15" s="4" t="inlineStr">
        <is>
          <t>Herc Rentals, Inc.</t>
        </is>
      </c>
      <c r="B15" s="5" t="n">
        <v>13086</v>
      </c>
      <c r="C15" s="4" t="n">
        <v>26</v>
      </c>
      <c r="D15" s="12">
        <f>IFERROR(B15/SUM(B$4:B$29),0)</f>
        <v/>
      </c>
    </row>
    <row r="16">
      <c r="A16" s="4" t="inlineStr">
        <is>
          <t>Franklin Engineering</t>
        </is>
      </c>
      <c r="B16" s="5" t="n">
        <v>8252.5</v>
      </c>
      <c r="C16" s="4" t="n">
        <v>1</v>
      </c>
      <c r="D16" s="12">
        <f>IFERROR(B16/SUM(B$4:B$29),0)</f>
        <v/>
      </c>
    </row>
    <row r="17">
      <c r="A17" s="4" t="inlineStr">
        <is>
          <t>Submeter Solutions, Inc.</t>
        </is>
      </c>
      <c r="B17" s="5" t="n">
        <v>7032.28</v>
      </c>
      <c r="C17" s="4" t="n">
        <v>1</v>
      </c>
      <c r="D17" s="12">
        <f>IFERROR(B17/SUM(B$4:B$29),0)</f>
        <v/>
      </c>
    </row>
    <row r="18">
      <c r="A18" s="4" t="inlineStr">
        <is>
          <t>Ferguson Enterprises, Inc. #3007</t>
        </is>
      </c>
      <c r="B18" s="5" t="n">
        <v>6986.43</v>
      </c>
      <c r="C18" s="4" t="n">
        <v>13</v>
      </c>
      <c r="D18" s="12">
        <f>IFERROR(B18/SUM(B$4:B$29),0)</f>
        <v/>
      </c>
    </row>
    <row r="19">
      <c r="A19" s="4" t="inlineStr">
        <is>
          <t>Williams Scotsman, Inc. $Mobile Mini</t>
        </is>
      </c>
      <c r="B19" s="5" t="n">
        <v>4299.63</v>
      </c>
      <c r="C19" s="4" t="n">
        <v>16</v>
      </c>
      <c r="D19" s="12">
        <f>IFERROR(B19/SUM(B$4:B$29),0)</f>
        <v/>
      </c>
    </row>
    <row r="20">
      <c r="A20" s="4" t="inlineStr">
        <is>
          <t>Chemical Products Company</t>
        </is>
      </c>
      <c r="B20" s="5" t="n">
        <v>3450</v>
      </c>
      <c r="C20" s="4" t="n">
        <v>1</v>
      </c>
      <c r="D20" s="12">
        <f>IFERROR(B20/SUM(B$4:B$29),0)</f>
        <v/>
      </c>
    </row>
    <row r="21">
      <c r="A21" s="4" t="inlineStr">
        <is>
          <t>Best Bath Systems</t>
        </is>
      </c>
      <c r="B21" s="5" t="n">
        <v>2146.94</v>
      </c>
      <c r="C21" s="4" t="n">
        <v>1</v>
      </c>
      <c r="D21" s="12">
        <f>IFERROR(B21/SUM(B$4:B$29),0)</f>
        <v/>
      </c>
    </row>
    <row r="22">
      <c r="A22" s="4" t="inlineStr">
        <is>
          <t>Core &amp; Main LP $HD Supply Waterworks</t>
        </is>
      </c>
      <c r="B22" s="5" t="n">
        <v>1852.06</v>
      </c>
      <c r="C22" s="4" t="n">
        <v>7</v>
      </c>
      <c r="D22" s="12">
        <f>IFERROR(B22/SUM(B$4:B$29),0)</f>
        <v/>
      </c>
    </row>
    <row r="23">
      <c r="A23" s="4" t="inlineStr">
        <is>
          <t>Pac West Sales</t>
        </is>
      </c>
      <c r="B23" s="5" t="n">
        <v>1754.6</v>
      </c>
      <c r="C23" s="4" t="n">
        <v>4</v>
      </c>
      <c r="D23" s="12">
        <f>IFERROR(B23/SUM(B$4:B$29),0)</f>
        <v/>
      </c>
    </row>
    <row r="24">
      <c r="A24" s="4" t="inlineStr">
        <is>
          <t>Capital One Credit Card</t>
        </is>
      </c>
      <c r="B24" s="5" t="n">
        <v>824.2400000000001</v>
      </c>
      <c r="C24" s="4" t="n">
        <v>18</v>
      </c>
      <c r="D24" s="12">
        <f>IFERROR(B24/SUM(B$4:B$29),0)</f>
        <v/>
      </c>
    </row>
    <row r="25">
      <c r="A25" s="4" t="inlineStr">
        <is>
          <t>Kele, Inc $ MI Controls</t>
        </is>
      </c>
      <c r="B25" s="5" t="n">
        <v>536</v>
      </c>
      <c r="C25" s="4" t="n">
        <v>1</v>
      </c>
      <c r="D25" s="12">
        <f>IFERROR(B25/SUM(B$4:B$29),0)</f>
        <v/>
      </c>
    </row>
    <row r="26">
      <c r="A26" s="4" t="inlineStr">
        <is>
          <t>United Rentals, Inc.</t>
        </is>
      </c>
      <c r="B26" s="5" t="n">
        <v>298.95</v>
      </c>
      <c r="C26" s="4" t="n">
        <v>1</v>
      </c>
      <c r="D26" s="12">
        <f>IFERROR(B26/SUM(B$4:B$29),0)</f>
        <v/>
      </c>
    </row>
    <row r="27">
      <c r="A27" s="4" t="inlineStr">
        <is>
          <t>Mechanical Sales, Inc.</t>
        </is>
      </c>
      <c r="B27" s="5" t="n">
        <v>229.7</v>
      </c>
      <c r="C27" s="4" t="n">
        <v>1</v>
      </c>
      <c r="D27" s="12">
        <f>IFERROR(B27/SUM(B$4:B$29),0)</f>
        <v/>
      </c>
    </row>
    <row r="28">
      <c r="A28" s="4" t="inlineStr">
        <is>
          <t>ACME Corp</t>
        </is>
      </c>
      <c r="B28" s="5" t="n">
        <v>185.6</v>
      </c>
      <c r="C28" s="4" t="n">
        <v>1</v>
      </c>
      <c r="D28" s="12">
        <f>IFERROR(B28/SUM(B$4:B$29),0)</f>
        <v/>
      </c>
    </row>
    <row r="29">
      <c r="A29" s="4" t="inlineStr">
        <is>
          <t>Seton Identification Products</t>
        </is>
      </c>
      <c r="B29" s="5" t="n">
        <v>118.23</v>
      </c>
      <c r="C29" s="4" t="n">
        <v>1</v>
      </c>
      <c r="D29" s="12">
        <f>IFERROR(B29/SUM(B$4:B$29),0)</f>
        <v/>
      </c>
    </row>
    <row r="30">
      <c r="A30" s="10" t="inlineStr">
        <is>
          <t>TOTAL AP</t>
        </is>
      </c>
      <c r="B30" s="6">
        <f>SUM(B4:B29)</f>
        <v/>
      </c>
      <c r="C30" s="15">
        <f>SUM(C4:C29)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Crew Roster (PR source)</t>
        </is>
      </c>
    </row>
    <row r="3">
      <c r="A3" s="11" t="inlineStr">
        <is>
          <t>Worker</t>
        </is>
      </c>
      <c r="B3" s="11" t="inlineStr">
        <is>
          <t>Hours</t>
        </is>
      </c>
      <c r="C3" s="11" t="inlineStr">
        <is>
          <t>Labor $</t>
        </is>
      </c>
      <c r="D3" s="11" t="inlineStr">
        <is>
          <t>Avg $/hr</t>
        </is>
      </c>
      <c r="E3" s="11" t="inlineStr">
        <is>
          <t>Tier</t>
        </is>
      </c>
    </row>
    <row r="4">
      <c r="A4" s="4" t="inlineStr">
        <is>
          <t>Cortes Mendiola, Victor H</t>
        </is>
      </c>
      <c r="B4" s="16" t="n">
        <v>2493</v>
      </c>
      <c r="C4" s="5" t="n">
        <v>159865</v>
      </c>
      <c r="D4" s="17">
        <f>IFERROR(C4/B4,0)</f>
        <v/>
      </c>
      <c r="E4" s="4" t="inlineStr">
        <is>
          <t>LEAD/SUPERVISOR</t>
        </is>
      </c>
    </row>
    <row r="5">
      <c r="A5" s="4" t="inlineStr">
        <is>
          <t>Bautista Quintero, Isidoro</t>
        </is>
      </c>
      <c r="B5" s="16" t="n">
        <v>2392.5</v>
      </c>
      <c r="C5" s="5" t="n">
        <v>52836</v>
      </c>
      <c r="D5" s="17">
        <f>IFERROR(C5/B5,0)</f>
        <v/>
      </c>
      <c r="E5" s="4" t="inlineStr">
        <is>
          <t>JOURNEYMAN</t>
        </is>
      </c>
    </row>
    <row r="6">
      <c r="A6" s="4" t="inlineStr">
        <is>
          <t>Amaya Gonzalez, Edilberto A</t>
        </is>
      </c>
      <c r="B6" s="16" t="n">
        <v>2358.2</v>
      </c>
      <c r="C6" s="5" t="n">
        <v>119093</v>
      </c>
      <c r="D6" s="17">
        <f>IFERROR(C6/B6,0)</f>
        <v/>
      </c>
      <c r="E6" s="4" t="inlineStr">
        <is>
          <t>LEAD/SUPERVISOR</t>
        </is>
      </c>
    </row>
    <row r="7">
      <c r="A7" s="4" t="inlineStr">
        <is>
          <t>Silva Morales, Jair J</t>
        </is>
      </c>
      <c r="B7" s="16" t="n">
        <v>2301</v>
      </c>
      <c r="C7" s="5" t="n">
        <v>78326</v>
      </c>
      <c r="D7" s="17">
        <f>IFERROR(C7/B7,0)</f>
        <v/>
      </c>
      <c r="E7" s="4" t="inlineStr">
        <is>
          <t>JOURNEYMAN</t>
        </is>
      </c>
    </row>
    <row r="8">
      <c r="A8" s="4" t="inlineStr">
        <is>
          <t>Cruz Reyes, Jose</t>
        </is>
      </c>
      <c r="B8" s="16" t="n">
        <v>2035.8</v>
      </c>
      <c r="C8" s="5" t="n">
        <v>81328</v>
      </c>
      <c r="D8" s="17">
        <f>IFERROR(C8/B8,0)</f>
        <v/>
      </c>
      <c r="E8" s="4" t="inlineStr">
        <is>
          <t>LEAD/SUPERVISOR</t>
        </is>
      </c>
    </row>
    <row r="9">
      <c r="A9" s="4" t="inlineStr">
        <is>
          <t>Carmona, Raul O</t>
        </is>
      </c>
      <c r="B9" s="16" t="n">
        <v>1848.5</v>
      </c>
      <c r="C9" s="5" t="n">
        <v>98110</v>
      </c>
      <c r="D9" s="17">
        <f>IFERROR(C9/B9,0)</f>
        <v/>
      </c>
      <c r="E9" s="4" t="inlineStr">
        <is>
          <t>LEAD/SUPERVISOR</t>
        </is>
      </c>
    </row>
    <row r="10">
      <c r="A10" s="4" t="inlineStr">
        <is>
          <t>Gerard, Mitchell J</t>
        </is>
      </c>
      <c r="B10" s="16" t="n">
        <v>1796</v>
      </c>
      <c r="C10" s="5" t="n">
        <v>110429</v>
      </c>
      <c r="D10" s="17">
        <f>IFERROR(C10/B10,0)</f>
        <v/>
      </c>
      <c r="E10" s="4" t="inlineStr">
        <is>
          <t>LEAD/SUPERVISOR</t>
        </is>
      </c>
    </row>
    <row r="11">
      <c r="A11" s="4" t="inlineStr">
        <is>
          <t>Portillo Soriano, Walter A</t>
        </is>
      </c>
      <c r="B11" s="16" t="n">
        <v>1252</v>
      </c>
      <c r="C11" s="5" t="n">
        <v>43820</v>
      </c>
      <c r="D11" s="17">
        <f>IFERROR(C11/B11,0)</f>
        <v/>
      </c>
      <c r="E11" s="4" t="inlineStr">
        <is>
          <t>JOURNEYMAN</t>
        </is>
      </c>
    </row>
    <row r="12">
      <c r="A12" s="4" t="inlineStr">
        <is>
          <t>Cruz Guzman, Joel A</t>
        </is>
      </c>
      <c r="B12" s="16" t="n">
        <v>1236</v>
      </c>
      <c r="C12" s="5" t="n">
        <v>63036</v>
      </c>
      <c r="D12" s="17">
        <f>IFERROR(C12/B12,0)</f>
        <v/>
      </c>
      <c r="E12" s="4" t="inlineStr">
        <is>
          <t>LEAD/SUPERVISOR</t>
        </is>
      </c>
    </row>
    <row r="13">
      <c r="A13" s="4" t="inlineStr">
        <is>
          <t>Draves, Steven W</t>
        </is>
      </c>
      <c r="B13" s="16" t="n">
        <v>1229.5</v>
      </c>
      <c r="C13" s="5" t="n">
        <v>68635</v>
      </c>
      <c r="D13" s="17">
        <f>IFERROR(C13/B13,0)</f>
        <v/>
      </c>
      <c r="E13" s="4" t="inlineStr">
        <is>
          <t>LEAD/SUPERVISOR</t>
        </is>
      </c>
    </row>
    <row r="14">
      <c r="A14" s="4" t="inlineStr">
        <is>
          <t>Mendoza Morales, Jesus A</t>
        </is>
      </c>
      <c r="B14" s="16" t="n">
        <v>1088</v>
      </c>
      <c r="C14" s="5" t="n">
        <v>44726</v>
      </c>
      <c r="D14" s="17">
        <f>IFERROR(C14/B14,0)</f>
        <v/>
      </c>
      <c r="E14" s="4" t="inlineStr">
        <is>
          <t>LEAD/SUPERVISOR</t>
        </is>
      </c>
    </row>
    <row r="15">
      <c r="A15" s="4" t="inlineStr">
        <is>
          <t>McCabe, Thomas C</t>
        </is>
      </c>
      <c r="B15" s="16" t="n">
        <v>1078</v>
      </c>
      <c r="C15" s="5" t="n">
        <v>47432</v>
      </c>
      <c r="D15" s="17">
        <f>IFERROR(C15/B15,0)</f>
        <v/>
      </c>
      <c r="E15" s="4" t="inlineStr">
        <is>
          <t>LEAD/SUPERVISOR</t>
        </is>
      </c>
    </row>
    <row r="16">
      <c r="A16" s="4" t="inlineStr">
        <is>
          <t>Balderas Ortiz, Ricardo I</t>
        </is>
      </c>
      <c r="B16" s="16" t="n">
        <v>1012</v>
      </c>
      <c r="C16" s="5" t="n">
        <v>44528</v>
      </c>
      <c r="D16" s="17">
        <f>IFERROR(C16/B16,0)</f>
        <v/>
      </c>
      <c r="E16" s="4" t="inlineStr">
        <is>
          <t>LEAD/SUPERVISOR</t>
        </is>
      </c>
    </row>
    <row r="17">
      <c r="A17" s="4" t="inlineStr">
        <is>
          <t>Zuniga Avilez, Eduar A</t>
        </is>
      </c>
      <c r="B17" s="16" t="n">
        <v>986</v>
      </c>
      <c r="C17" s="5" t="n">
        <v>22815</v>
      </c>
      <c r="D17" s="17">
        <f>IFERROR(C17/B17,0)</f>
        <v/>
      </c>
      <c r="E17" s="4" t="inlineStr">
        <is>
          <t>JOURNEYMAN</t>
        </is>
      </c>
    </row>
    <row r="18">
      <c r="A18" s="4" t="inlineStr">
        <is>
          <t>Lima Romero, Melvin A</t>
        </is>
      </c>
      <c r="B18" s="16" t="n">
        <v>981</v>
      </c>
      <c r="C18" s="5" t="n">
        <v>43164</v>
      </c>
      <c r="D18" s="17">
        <f>IFERROR(C18/B18,0)</f>
        <v/>
      </c>
      <c r="E18" s="4" t="inlineStr">
        <is>
          <t>LEAD/SUPERVISOR</t>
        </is>
      </c>
    </row>
    <row r="19">
      <c r="A19" s="4" t="inlineStr">
        <is>
          <t>Suniga Aviles, Kelvin A</t>
        </is>
      </c>
      <c r="B19" s="16" t="n">
        <v>980</v>
      </c>
      <c r="C19" s="5" t="n">
        <v>22227</v>
      </c>
      <c r="D19" s="17">
        <f>IFERROR(C19/B19,0)</f>
        <v/>
      </c>
      <c r="E19" s="4" t="inlineStr">
        <is>
          <t>JOURNEYMAN</t>
        </is>
      </c>
    </row>
    <row r="20">
      <c r="A20" s="4" t="inlineStr">
        <is>
          <t>Waites, Thaddeus Z</t>
        </is>
      </c>
      <c r="B20" s="16" t="n">
        <v>964.5</v>
      </c>
      <c r="C20" s="5" t="n">
        <v>54930</v>
      </c>
      <c r="D20" s="17">
        <f>IFERROR(C20/B20,0)</f>
        <v/>
      </c>
      <c r="E20" s="4" t="inlineStr">
        <is>
          <t>LEAD/SUPERVISOR</t>
        </is>
      </c>
    </row>
    <row r="21">
      <c r="A21" s="4" t="inlineStr">
        <is>
          <t>Castro Hernandez, Jose A</t>
        </is>
      </c>
      <c r="B21" s="16" t="n">
        <v>948</v>
      </c>
      <c r="C21" s="5" t="n">
        <v>51192</v>
      </c>
      <c r="D21" s="17">
        <f>IFERROR(C21/B21,0)</f>
        <v/>
      </c>
      <c r="E21" s="4" t="inlineStr">
        <is>
          <t>LEAD/SUPERVISOR</t>
        </is>
      </c>
    </row>
    <row r="22">
      <c r="A22" s="4" t="inlineStr">
        <is>
          <t>Cornejo Orellana, Carlos E</t>
        </is>
      </c>
      <c r="B22" s="16" t="n">
        <v>919</v>
      </c>
      <c r="C22" s="5" t="n">
        <v>32165</v>
      </c>
      <c r="D22" s="17">
        <f>IFERROR(C22/B22,0)</f>
        <v/>
      </c>
      <c r="E22" s="4" t="inlineStr">
        <is>
          <t>JOURNEYMAN</t>
        </is>
      </c>
    </row>
    <row r="23">
      <c r="A23" s="4" t="inlineStr">
        <is>
          <t>Merino Martinez, Humberto</t>
        </is>
      </c>
      <c r="B23" s="16" t="n">
        <v>916</v>
      </c>
      <c r="C23" s="5" t="n">
        <v>25648</v>
      </c>
      <c r="D23" s="17">
        <f>IFERROR(C23/B23,0)</f>
        <v/>
      </c>
      <c r="E23" s="4" t="inlineStr">
        <is>
          <t>JOURNEYMAN</t>
        </is>
      </c>
    </row>
    <row r="24">
      <c r="A24" s="4" t="inlineStr">
        <is>
          <t>Barnhart, Thomas L</t>
        </is>
      </c>
      <c r="B24" s="16" t="n">
        <v>894</v>
      </c>
      <c r="C24" s="5" t="n">
        <v>39152</v>
      </c>
      <c r="D24" s="17">
        <f>IFERROR(C24/B24,0)</f>
        <v/>
      </c>
      <c r="E24" s="4" t="inlineStr">
        <is>
          <t>LEAD/SUPERVISOR</t>
        </is>
      </c>
    </row>
    <row r="25">
      <c r="A25" s="4" t="inlineStr">
        <is>
          <t>Barnhart, Joseph N</t>
        </is>
      </c>
      <c r="B25" s="16" t="n">
        <v>856.5</v>
      </c>
      <c r="C25" s="5" t="n">
        <v>58974</v>
      </c>
      <c r="D25" s="17">
        <f>IFERROR(C25/B25,0)</f>
        <v/>
      </c>
      <c r="E25" s="4" t="inlineStr">
        <is>
          <t>LEAD/SUPERVISOR</t>
        </is>
      </c>
    </row>
    <row r="26">
      <c r="A26" s="4" t="inlineStr">
        <is>
          <t>Gochez Molina, Douglas O</t>
        </is>
      </c>
      <c r="B26" s="16" t="n">
        <v>824</v>
      </c>
      <c r="C26" s="5" t="n">
        <v>21224</v>
      </c>
      <c r="D26" s="17">
        <f>IFERROR(C26/B26,0)</f>
        <v/>
      </c>
      <c r="E26" s="4" t="inlineStr">
        <is>
          <t>JOURNEYMAN</t>
        </is>
      </c>
    </row>
    <row r="27">
      <c r="A27" s="4" t="inlineStr">
        <is>
          <t>Rodriguez Arevalos, Christian</t>
        </is>
      </c>
      <c r="B27" s="16" t="n">
        <v>787.2</v>
      </c>
      <c r="C27" s="5" t="n">
        <v>40264</v>
      </c>
      <c r="D27" s="17">
        <f>IFERROR(C27/B27,0)</f>
        <v/>
      </c>
      <c r="E27" s="4" t="inlineStr">
        <is>
          <t>LEAD/SUPERVISOR</t>
        </is>
      </c>
    </row>
    <row r="28">
      <c r="A28" s="4" t="inlineStr">
        <is>
          <t>Jimenez Alvarenga, Gerson M</t>
        </is>
      </c>
      <c r="B28" s="16" t="n">
        <v>775</v>
      </c>
      <c r="C28" s="5" t="n">
        <v>30225</v>
      </c>
      <c r="D28" s="17">
        <f>IFERROR(C28/B28,0)</f>
        <v/>
      </c>
      <c r="E28" s="4" t="inlineStr">
        <is>
          <t>LEAD/SUPERVISOR</t>
        </is>
      </c>
    </row>
    <row r="29">
      <c r="A29" s="4" t="inlineStr">
        <is>
          <t>Eliassen, Cory H</t>
        </is>
      </c>
      <c r="B29" s="16" t="n">
        <v>737.8</v>
      </c>
      <c r="C29" s="5" t="n">
        <v>27230</v>
      </c>
      <c r="D29" s="17">
        <f>IFERROR(C29/B29,0)</f>
        <v/>
      </c>
      <c r="E29" s="4" t="inlineStr">
        <is>
          <t>LEAD/SUPERVISOR</t>
        </is>
      </c>
    </row>
    <row r="30">
      <c r="A30" s="4" t="inlineStr">
        <is>
          <t>Taylor, Evan R</t>
        </is>
      </c>
      <c r="B30" s="16" t="n">
        <v>701</v>
      </c>
      <c r="C30" s="5" t="n">
        <v>36452</v>
      </c>
      <c r="D30" s="17">
        <f>IFERROR(C30/B30,0)</f>
        <v/>
      </c>
      <c r="E30" s="4" t="inlineStr">
        <is>
          <t>LEAD/SUPERVISOR</t>
        </is>
      </c>
    </row>
    <row r="31">
      <c r="A31" s="4" t="inlineStr">
        <is>
          <t>Lopez, Maslin A</t>
        </is>
      </c>
      <c r="B31" s="16" t="n">
        <v>692</v>
      </c>
      <c r="C31" s="5" t="n">
        <v>22836</v>
      </c>
      <c r="D31" s="17">
        <f>IFERROR(C31/B31,0)</f>
        <v/>
      </c>
      <c r="E31" s="4" t="inlineStr">
        <is>
          <t>JOURNEYMAN</t>
        </is>
      </c>
    </row>
    <row r="32">
      <c r="A32" s="4" t="inlineStr">
        <is>
          <t>Guerrero Espinoza, Mario</t>
        </is>
      </c>
      <c r="B32" s="16" t="n">
        <v>640</v>
      </c>
      <c r="C32" s="5" t="n">
        <v>19200</v>
      </c>
      <c r="D32" s="17">
        <f>IFERROR(C32/B32,0)</f>
        <v/>
      </c>
      <c r="E32" s="4" t="inlineStr">
        <is>
          <t>JOURNEYMAN</t>
        </is>
      </c>
    </row>
    <row r="33">
      <c r="A33" s="4" t="inlineStr">
        <is>
          <t>Hernandez Gonzalez, Osbaldo</t>
        </is>
      </c>
      <c r="B33" s="16" t="n">
        <v>640</v>
      </c>
      <c r="C33" s="5" t="n">
        <v>24864</v>
      </c>
      <c r="D33" s="17">
        <f>IFERROR(C33/B33,0)</f>
        <v/>
      </c>
      <c r="E33" s="4" t="inlineStr">
        <is>
          <t>LEAD/SUPERVISOR</t>
        </is>
      </c>
    </row>
    <row r="34">
      <c r="A34" s="4" t="inlineStr">
        <is>
          <t>Ross, Kelli M</t>
        </is>
      </c>
      <c r="B34" s="16" t="n">
        <v>639</v>
      </c>
      <c r="C34" s="5" t="n">
        <v>32589</v>
      </c>
      <c r="D34" s="17">
        <f>IFERROR(C34/B34,0)</f>
        <v/>
      </c>
      <c r="E34" s="4" t="inlineStr">
        <is>
          <t>LEAD/SUPERVISOR</t>
        </is>
      </c>
    </row>
    <row r="35">
      <c r="A35" s="4" t="inlineStr">
        <is>
          <t>Ascencio, Jose L</t>
        </is>
      </c>
      <c r="B35" s="16" t="n">
        <v>565</v>
      </c>
      <c r="C35" s="5" t="n">
        <v>23842</v>
      </c>
      <c r="D35" s="17">
        <f>IFERROR(C35/B35,0)</f>
        <v/>
      </c>
      <c r="E35" s="4" t="inlineStr">
        <is>
          <t>LEAD/SUPERVISOR</t>
        </is>
      </c>
    </row>
    <row r="36">
      <c r="A36" s="4" t="inlineStr">
        <is>
          <t>Galdamez, Dagoberto A</t>
        </is>
      </c>
      <c r="B36" s="16" t="n">
        <v>544</v>
      </c>
      <c r="C36" s="5" t="n">
        <v>19488</v>
      </c>
      <c r="D36" s="17">
        <f>IFERROR(C36/B36,0)</f>
        <v/>
      </c>
      <c r="E36" s="4" t="inlineStr">
        <is>
          <t>JOURNEYMAN</t>
        </is>
      </c>
    </row>
    <row r="37">
      <c r="A37" s="4" t="inlineStr">
        <is>
          <t>Gerard, Jeffrey S</t>
        </is>
      </c>
      <c r="B37" s="16" t="n">
        <v>495</v>
      </c>
      <c r="C37" s="5" t="n">
        <v>34155</v>
      </c>
      <c r="D37" s="17">
        <f>IFERROR(C37/B37,0)</f>
        <v/>
      </c>
      <c r="E37" s="4" t="inlineStr">
        <is>
          <t>LEAD/SUPERVISOR</t>
        </is>
      </c>
    </row>
    <row r="38">
      <c r="A38" s="4" t="inlineStr">
        <is>
          <t>Ramos Herrera, Franklin J</t>
        </is>
      </c>
      <c r="B38" s="16" t="n">
        <v>485</v>
      </c>
      <c r="C38" s="5" t="n">
        <v>20482</v>
      </c>
      <c r="D38" s="17">
        <f>IFERROR(C38/B38,0)</f>
        <v/>
      </c>
      <c r="E38" s="4" t="inlineStr">
        <is>
          <t>LEAD/SUPERVISOR</t>
        </is>
      </c>
    </row>
    <row r="39">
      <c r="A39" s="4" t="inlineStr">
        <is>
          <t>Perez Araque, Manuel A</t>
        </is>
      </c>
      <c r="B39" s="16" t="n">
        <v>364.2</v>
      </c>
      <c r="C39" s="5" t="n">
        <v>9328</v>
      </c>
      <c r="D39" s="17">
        <f>IFERROR(C39/B39,0)</f>
        <v/>
      </c>
      <c r="E39" s="4" t="inlineStr">
        <is>
          <t>JOURNEYMAN</t>
        </is>
      </c>
    </row>
    <row r="40">
      <c r="A40" s="4" t="inlineStr">
        <is>
          <t>Paco Leyva, Orlando</t>
        </is>
      </c>
      <c r="B40" s="16" t="n">
        <v>339.5</v>
      </c>
      <c r="C40" s="5" t="n">
        <v>20877</v>
      </c>
      <c r="D40" s="17">
        <f>IFERROR(C40/B40,0)</f>
        <v/>
      </c>
      <c r="E40" s="4" t="inlineStr">
        <is>
          <t>LEAD/SUPERVISOR</t>
        </is>
      </c>
    </row>
    <row r="41">
      <c r="A41" s="4" t="inlineStr">
        <is>
          <t>Melgar Moz, Brandon</t>
        </is>
      </c>
      <c r="B41" s="16" t="n">
        <v>297</v>
      </c>
      <c r="C41" s="5" t="n">
        <v>6619</v>
      </c>
      <c r="D41" s="17">
        <f>IFERROR(C41/B41,0)</f>
        <v/>
      </c>
      <c r="E41" s="4" t="inlineStr">
        <is>
          <t>JOURNEYMAN</t>
        </is>
      </c>
    </row>
    <row r="42">
      <c r="A42" s="4" t="inlineStr">
        <is>
          <t>Johnson, Jake E</t>
        </is>
      </c>
      <c r="B42" s="16" t="n">
        <v>264</v>
      </c>
      <c r="C42" s="5" t="n">
        <v>13728</v>
      </c>
      <c r="D42" s="17">
        <f>IFERROR(C42/B42,0)</f>
        <v/>
      </c>
      <c r="E42" s="4" t="inlineStr">
        <is>
          <t>LEAD/SUPERVISOR</t>
        </is>
      </c>
    </row>
    <row r="43">
      <c r="A43" s="4" t="inlineStr">
        <is>
          <t>Gerard, Jordan E</t>
        </is>
      </c>
      <c r="B43" s="16" t="n">
        <v>214.2</v>
      </c>
      <c r="C43" s="5" t="n">
        <v>12821</v>
      </c>
      <c r="D43" s="17">
        <f>IFERROR(C43/B43,0)</f>
        <v/>
      </c>
      <c r="E43" s="4" t="inlineStr">
        <is>
          <t>LEAD/SUPERVISOR</t>
        </is>
      </c>
    </row>
    <row r="44">
      <c r="A44" s="4" t="inlineStr">
        <is>
          <t>Da Cruz, Eduardo E</t>
        </is>
      </c>
      <c r="B44" s="16" t="n">
        <v>183.5</v>
      </c>
      <c r="C44" s="5" t="n">
        <v>3972</v>
      </c>
      <c r="D44" s="17">
        <f>IFERROR(C44/B44,0)</f>
        <v/>
      </c>
      <c r="E44" s="4" t="inlineStr">
        <is>
          <t>JOURNEYMAN</t>
        </is>
      </c>
    </row>
    <row r="45">
      <c r="A45" s="4" t="inlineStr">
        <is>
          <t>Portillo Rivera, Josue N</t>
        </is>
      </c>
      <c r="B45" s="16" t="n">
        <v>168</v>
      </c>
      <c r="C45" s="5" t="n">
        <v>3696</v>
      </c>
      <c r="D45" s="17">
        <f>IFERROR(C45/B45,0)</f>
        <v/>
      </c>
      <c r="E45" s="4" t="inlineStr">
        <is>
          <t>JOURNEYMAN</t>
        </is>
      </c>
    </row>
    <row r="46">
      <c r="A46" s="4" t="inlineStr">
        <is>
          <t>Fox, Tamron P</t>
        </is>
      </c>
      <c r="B46" s="16" t="n">
        <v>143</v>
      </c>
      <c r="C46" s="5" t="n">
        <v>3974</v>
      </c>
      <c r="D46" s="17">
        <f>IFERROR(C46/B46,0)</f>
        <v/>
      </c>
      <c r="E46" s="4" t="inlineStr">
        <is>
          <t>JOURNEYMAN</t>
        </is>
      </c>
    </row>
    <row r="47">
      <c r="A47" s="4" t="inlineStr">
        <is>
          <t>Reed, Reuben H</t>
        </is>
      </c>
      <c r="B47" s="16" t="n">
        <v>138</v>
      </c>
      <c r="C47" s="5" t="n">
        <v>8556</v>
      </c>
      <c r="D47" s="17">
        <f>IFERROR(C47/B47,0)</f>
        <v/>
      </c>
      <c r="E47" s="4" t="inlineStr">
        <is>
          <t>LEAD/SUPERVISOR</t>
        </is>
      </c>
    </row>
    <row r="48">
      <c r="A48" s="4" t="inlineStr">
        <is>
          <t>Del Villar, Flabio</t>
        </is>
      </c>
      <c r="B48" s="16" t="n">
        <v>116</v>
      </c>
      <c r="C48" s="5" t="n">
        <v>4648</v>
      </c>
      <c r="D48" s="17">
        <f>IFERROR(C48/B48,0)</f>
        <v/>
      </c>
      <c r="E48" s="4" t="inlineStr">
        <is>
          <t>LEAD/SUPERVISOR</t>
        </is>
      </c>
    </row>
    <row r="49">
      <c r="A49" s="4" t="inlineStr">
        <is>
          <t>Games, Jordan M</t>
        </is>
      </c>
      <c r="B49" s="16" t="n">
        <v>69.2</v>
      </c>
      <c r="C49" s="5" t="n">
        <v>3670</v>
      </c>
      <c r="D49" s="17">
        <f>IFERROR(C49/B49,0)</f>
        <v/>
      </c>
      <c r="E49" s="4" t="inlineStr">
        <is>
          <t>LEAD/SUPERVISOR</t>
        </is>
      </c>
    </row>
    <row r="50">
      <c r="A50" s="4" t="inlineStr">
        <is>
          <t>Young, Joshua S</t>
        </is>
      </c>
      <c r="B50" s="16" t="n">
        <v>53</v>
      </c>
      <c r="C50" s="5" t="n">
        <v>2230</v>
      </c>
      <c r="D50" s="17">
        <f>IFERROR(C50/B50,0)</f>
        <v/>
      </c>
      <c r="E50" s="4" t="inlineStr">
        <is>
          <t>LEAD/SUPERVISOR</t>
        </is>
      </c>
    </row>
    <row r="51">
      <c r="A51" s="4" t="inlineStr">
        <is>
          <t>Swails, Melanie L</t>
        </is>
      </c>
      <c r="B51" s="16" t="n">
        <v>48</v>
      </c>
      <c r="C51" s="5" t="n">
        <v>0</v>
      </c>
      <c r="D51" s="17">
        <f>IFERROR(C51/B51,0)</f>
        <v/>
      </c>
      <c r="E51" s="4" t="inlineStr">
        <is>
          <t>APPRENTICE/HELPER</t>
        </is>
      </c>
    </row>
    <row r="52">
      <c r="A52" s="4" t="inlineStr">
        <is>
          <t>Castro, Marcus J</t>
        </is>
      </c>
      <c r="B52" s="16" t="n">
        <v>48</v>
      </c>
      <c r="C52" s="5" t="n">
        <v>1088</v>
      </c>
      <c r="D52" s="17">
        <f>IFERROR(C52/B52,0)</f>
        <v/>
      </c>
      <c r="E52" s="4" t="inlineStr">
        <is>
          <t>JOURNEYMAN</t>
        </is>
      </c>
    </row>
    <row r="53">
      <c r="A53" s="4" t="inlineStr">
        <is>
          <t>Anderson, Richard P</t>
        </is>
      </c>
      <c r="B53" s="16" t="n">
        <v>46</v>
      </c>
      <c r="C53" s="5" t="n">
        <v>2990</v>
      </c>
      <c r="D53" s="17">
        <f>IFERROR(C53/B53,0)</f>
        <v/>
      </c>
      <c r="E53" s="4" t="inlineStr">
        <is>
          <t>LEAD/SUPERVISOR</t>
        </is>
      </c>
    </row>
    <row r="54">
      <c r="A54" s="4" t="inlineStr">
        <is>
          <t>Aquino, Juan</t>
        </is>
      </c>
      <c r="B54" s="16" t="n">
        <v>40</v>
      </c>
      <c r="C54" s="5" t="n">
        <v>1298</v>
      </c>
      <c r="D54" s="17">
        <f>IFERROR(C54/B54,0)</f>
        <v/>
      </c>
      <c r="E54" s="4" t="inlineStr">
        <is>
          <t>JOURNEYMAN</t>
        </is>
      </c>
    </row>
    <row r="55">
      <c r="A55" s="4" t="inlineStr">
        <is>
          <t>Eisenhauer, Tommy J</t>
        </is>
      </c>
      <c r="B55" s="16" t="n">
        <v>19</v>
      </c>
      <c r="C55" s="5" t="n">
        <v>1083</v>
      </c>
      <c r="D55" s="17">
        <f>IFERROR(C55/B55,0)</f>
        <v/>
      </c>
      <c r="E55" s="4" t="inlineStr">
        <is>
          <t>LEAD/SUPERVISOR</t>
        </is>
      </c>
    </row>
    <row r="56">
      <c r="A56" s="4" t="inlineStr">
        <is>
          <t>Romero Garza, Jesus I</t>
        </is>
      </c>
      <c r="B56" s="16" t="n">
        <v>11</v>
      </c>
      <c r="C56" s="5" t="n">
        <v>363</v>
      </c>
      <c r="D56" s="17">
        <f>IFERROR(C56/B56,0)</f>
        <v/>
      </c>
      <c r="E56" s="4" t="inlineStr">
        <is>
          <t>JOURNEYMAN</t>
        </is>
      </c>
    </row>
    <row r="57">
      <c r="A57" s="4" t="inlineStr">
        <is>
          <t>Araque, Mario W</t>
        </is>
      </c>
      <c r="B57" s="16" t="n">
        <v>8</v>
      </c>
      <c r="C57" s="5" t="n">
        <v>192</v>
      </c>
      <c r="D57" s="17">
        <f>IFERROR(C57/B57,0)</f>
        <v/>
      </c>
      <c r="E57" s="4" t="inlineStr">
        <is>
          <t>JOURNEYMAN</t>
        </is>
      </c>
    </row>
    <row r="58">
      <c r="A58" s="4" t="inlineStr">
        <is>
          <t>Countryman, Matthew K</t>
        </is>
      </c>
      <c r="B58" s="16" t="n">
        <v>5</v>
      </c>
      <c r="C58" s="5" t="n">
        <v>344</v>
      </c>
      <c r="D58" s="17">
        <f>IFERROR(C58/B58,0)</f>
        <v/>
      </c>
      <c r="E58" s="4" t="inlineStr">
        <is>
          <t>LEAD/SUPERVISOR</t>
        </is>
      </c>
    </row>
    <row r="59">
      <c r="A59" s="4" t="inlineStr">
        <is>
          <t>Chevez, Herson G</t>
        </is>
      </c>
      <c r="B59" s="16" t="n">
        <v>5</v>
      </c>
      <c r="C59" s="5" t="n">
        <v>285</v>
      </c>
      <c r="D59" s="17">
        <f>IFERROR(C59/B59,0)</f>
        <v/>
      </c>
      <c r="E59" s="4" t="inlineStr">
        <is>
          <t>OT-ONLY</t>
        </is>
      </c>
    </row>
    <row r="60">
      <c r="A60" s="4" t="inlineStr">
        <is>
          <t>Gorman, Nathan W</t>
        </is>
      </c>
      <c r="B60" s="16" t="n">
        <v>5</v>
      </c>
      <c r="C60" s="5" t="n">
        <v>195</v>
      </c>
      <c r="D60" s="17">
        <f>IFERROR(C60/B60,0)</f>
        <v/>
      </c>
      <c r="E60" s="4" t="inlineStr">
        <is>
          <t>OT-ONLY</t>
        </is>
      </c>
    </row>
    <row r="61">
      <c r="A61" s="4" t="inlineStr">
        <is>
          <t>Mackey, Cole J</t>
        </is>
      </c>
      <c r="B61" s="16" t="n">
        <v>5</v>
      </c>
      <c r="C61" s="5" t="n">
        <v>390</v>
      </c>
      <c r="D61" s="17">
        <f>IFERROR(C61/B61,0)</f>
        <v/>
      </c>
      <c r="E61" s="4" t="inlineStr">
        <is>
          <t>OT-ONLY</t>
        </is>
      </c>
    </row>
    <row r="62">
      <c r="A62" s="4" t="inlineStr">
        <is>
          <t>Nunez Bravo, Jose L</t>
        </is>
      </c>
      <c r="B62" s="16" t="n">
        <v>5</v>
      </c>
      <c r="C62" s="5" t="n">
        <v>180</v>
      </c>
      <c r="D62" s="17">
        <f>IFERROR(C62/B62,0)</f>
        <v/>
      </c>
      <c r="E62" s="4" t="inlineStr">
        <is>
          <t>OT-ONLY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Wage Tier Distribution</t>
        </is>
      </c>
    </row>
    <row r="3">
      <c r="A3" s="11" t="inlineStr">
        <is>
          <t>Tier</t>
        </is>
      </c>
      <c r="B3" s="11" t="inlineStr">
        <is>
          <t># Workers</t>
        </is>
      </c>
      <c r="C3" s="11" t="inlineStr">
        <is>
          <t>Hours</t>
        </is>
      </c>
      <c r="D3" s="11" t="inlineStr">
        <is>
          <t>Labor $</t>
        </is>
      </c>
      <c r="E3" s="11" t="inlineStr">
        <is>
          <t>% of Hours</t>
        </is>
      </c>
    </row>
    <row r="4">
      <c r="A4" s="10" t="inlineStr">
        <is>
          <t>LEAD/SUPERVISOR</t>
        </is>
      </c>
      <c r="B4" s="4" t="n">
        <v>34</v>
      </c>
      <c r="C4" s="16" t="n">
        <v>27908</v>
      </c>
      <c r="D4" s="5" t="n">
        <v>1425645</v>
      </c>
      <c r="E4" s="12">
        <f>IFERROR(C4/SUM(C$4:C$7),0)</f>
        <v/>
      </c>
    </row>
    <row r="5">
      <c r="A5" s="10" t="inlineStr">
        <is>
          <t>JOURNEYMAN</t>
        </is>
      </c>
      <c r="B5" s="4" t="n">
        <v>20</v>
      </c>
      <c r="C5" s="16" t="n">
        <v>13709.2</v>
      </c>
      <c r="D5" s="5" t="n">
        <v>391116</v>
      </c>
      <c r="E5" s="12">
        <f>IFERROR(C5/SUM(C$4:C$7),0)</f>
        <v/>
      </c>
    </row>
    <row r="6">
      <c r="A6" s="10" t="inlineStr">
        <is>
          <t>APPRENTICE/HELPER</t>
        </is>
      </c>
      <c r="B6" s="4" t="n">
        <v>1</v>
      </c>
      <c r="C6" s="16" t="n">
        <v>48</v>
      </c>
      <c r="D6" s="5" t="n">
        <v>0</v>
      </c>
      <c r="E6" s="12">
        <f>IFERROR(C6/SUM(C$4:C$7),0)</f>
        <v/>
      </c>
    </row>
    <row r="7">
      <c r="A7" s="10" t="inlineStr">
        <is>
          <t>OT-ONLY</t>
        </is>
      </c>
      <c r="B7" s="4" t="n">
        <v>4</v>
      </c>
      <c r="C7" s="16" t="n">
        <v>20</v>
      </c>
      <c r="D7" s="5" t="n">
        <v>1050</v>
      </c>
      <c r="E7" s="12">
        <f>IFERROR(C7/SUM(C$4:C$7),0)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Productivity Metrics</t>
        </is>
      </c>
    </row>
    <row r="3">
      <c r="A3" s="4" t="inlineStr">
        <is>
          <t>Total labor hours (to date)</t>
        </is>
      </c>
      <c r="B3" s="16" t="n">
        <v>41685</v>
      </c>
    </row>
    <row r="4">
      <c r="A4" s="4" t="inlineStr">
        <is>
          <t>Active workers</t>
        </is>
      </c>
      <c r="B4" s="18" t="n">
        <v>59</v>
      </c>
    </row>
    <row r="5">
      <c r="A5" s="4" t="inlineStr">
        <is>
          <t>Hours per unit (to date)</t>
        </is>
      </c>
      <c r="B5" s="16" t="n">
        <v>178.1</v>
      </c>
    </row>
    <row r="6">
      <c r="A6" s="4" t="inlineStr">
        <is>
          <t>Revenue per labor hour (billed)</t>
        </is>
      </c>
      <c r="B6" s="19" t="n">
        <v>158.53</v>
      </c>
    </row>
    <row r="7">
      <c r="A7" s="4" t="inlineStr">
        <is>
          <t>Percent complete</t>
        </is>
      </c>
      <c r="B7" s="20" t="n">
        <v>0.9974563607610024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Portfolio Benchmarks (vs. closed jobs)</t>
        </is>
      </c>
    </row>
    <row r="3">
      <c r="A3" s="11" t="inlineStr">
        <is>
          <t>Metric</t>
        </is>
      </c>
      <c r="B3" s="11" t="inlineStr">
        <is>
          <t>This Job</t>
        </is>
      </c>
      <c r="C3" s="11" t="inlineStr">
        <is>
          <t>Portfolio Median</t>
        </is>
      </c>
      <c r="D3" s="11" t="inlineStr">
        <is>
          <t>Delta</t>
        </is>
      </c>
    </row>
    <row r="4">
      <c r="A4" s="4" t="inlineStr">
        <is>
          <t>Forecast margin %</t>
        </is>
      </c>
      <c r="B4" s="20" t="n">
        <v>0.2191964193843096</v>
      </c>
      <c r="C4" s="20" t="n">
        <v>0.34</v>
      </c>
      <c r="D4" s="12">
        <f>B4-C4</f>
        <v/>
      </c>
    </row>
    <row r="5">
      <c r="A5" s="4" t="inlineStr">
        <is>
          <t>Roughin labor share (code 120)</t>
        </is>
      </c>
      <c r="B5" s="20" t="n">
        <v>0.5260810649035178</v>
      </c>
      <c r="C5" s="20" t="n">
        <v>0.45</v>
      </c>
      <c r="D5" s="12">
        <f>B5-C5</f>
        <v/>
      </c>
    </row>
    <row r="6">
      <c r="A6" s="4" t="inlineStr">
        <is>
          <t>Top vendor concentration</t>
        </is>
      </c>
      <c r="B6" s="20" t="n">
        <v>0.2879890928149115</v>
      </c>
      <c r="C6" s="20" t="n">
        <v>0.38</v>
      </c>
      <c r="D6" s="12">
        <f>B6-C6</f>
        <v/>
      </c>
    </row>
    <row r="7">
      <c r="A7" s="4" t="inlineStr">
        <is>
          <t>Hours per unit</t>
        </is>
      </c>
      <c r="B7" s="16" t="n">
        <v>178.142094017094</v>
      </c>
      <c r="C7" s="16" t="n">
        <v>95</v>
      </c>
      <c r="D7" s="21">
        <f>B7-C7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4" customWidth="1" min="3" max="3"/>
  </cols>
  <sheetData>
    <row r="1">
      <c r="A1" s="1" t="inlineStr">
        <is>
          <t>Predictive Signals (live project)</t>
        </is>
      </c>
    </row>
    <row r="3">
      <c r="A3" s="11" t="inlineStr">
        <is>
          <t>Signal</t>
        </is>
      </c>
      <c r="B3" s="11" t="inlineStr">
        <is>
          <t>Status</t>
        </is>
      </c>
      <c r="C3" s="11" t="inlineStr">
        <is>
          <t>Notes</t>
        </is>
      </c>
    </row>
    <row r="4">
      <c r="A4" s="4" t="inlineStr">
        <is>
          <t>Underground Labor (110) over revised</t>
        </is>
      </c>
      <c r="B4" s="22" t="inlineStr">
        <is>
          <t>⚠ WATCH</t>
        </is>
      </c>
      <c r="C4" s="4" t="inlineStr">
        <is>
          <t>Actual $95,456 vs revised $75,888 (+26%) — monitor</t>
        </is>
      </c>
    </row>
    <row r="5">
      <c r="A5" s="4" t="inlineStr">
        <is>
          <t>Garage Labor (111) over revised</t>
        </is>
      </c>
      <c r="B5" s="22" t="inlineStr">
        <is>
          <t>⚠ WATCH</t>
        </is>
      </c>
      <c r="C5" s="4" t="inlineStr">
        <is>
          <t>Actual $167,885 vs revised $136,288 (+23%) — monitor</t>
        </is>
      </c>
    </row>
    <row r="6">
      <c r="A6" s="4" t="inlineStr">
        <is>
          <t>Roughin Labor (120) over revised</t>
        </is>
      </c>
      <c r="B6" s="22" t="inlineStr">
        <is>
          <t>⚠ WATCH</t>
        </is>
      </c>
      <c r="C6" s="4" t="inlineStr">
        <is>
          <t>Actual $1,041,296 vs revised $936,025 (+11%) — monitor</t>
        </is>
      </c>
    </row>
    <row r="7">
      <c r="A7" s="4" t="inlineStr">
        <is>
          <t>Garage Material (211) over revised</t>
        </is>
      </c>
      <c r="B7" s="22" t="inlineStr">
        <is>
          <t>⚠ WATCH</t>
        </is>
      </c>
      <c r="C7" s="4" t="inlineStr">
        <is>
          <t>Actual $169,338 vs revised $122,695 (+38%) — monitor</t>
        </is>
      </c>
    </row>
    <row r="8">
      <c r="A8" s="4" t="inlineStr">
        <is>
          <t>Payroll Burden (995) over revised</t>
        </is>
      </c>
      <c r="B8" s="22" t="inlineStr">
        <is>
          <t>⚠ WATCH</t>
        </is>
      </c>
      <c r="C8" s="4" t="inlineStr">
        <is>
          <t>Actual $809,708 vs revised $686,430 (+18%) — monitor</t>
        </is>
      </c>
    </row>
    <row r="9">
      <c r="A9" s="4" t="inlineStr">
        <is>
          <t>Top vendor concentration (Consolidated Supply )</t>
        </is>
      </c>
      <c r="B9" s="23" t="inlineStr">
        <is>
          <t>✓ OK</t>
        </is>
      </c>
      <c r="C9" s="4" t="inlineStr">
        <is>
          <t>29% of AP ($513,808) — acceptable</t>
        </is>
      </c>
    </row>
    <row r="10">
      <c r="A10" s="4" t="inlineStr">
        <is>
          <t>Retention aging</t>
        </is>
      </c>
      <c r="B10" s="23" t="inlineStr">
        <is>
          <t>✓ OK</t>
        </is>
      </c>
      <c r="C10" s="4" t="inlineStr">
        <is>
          <t>$305,092 held · 4.6% of billed · standard range</t>
        </is>
      </c>
    </row>
    <row r="11">
      <c r="A11" s="4" t="inlineStr">
        <is>
          <t>Forecast margin</t>
        </is>
      </c>
      <c r="B11" s="22" t="inlineStr">
        <is>
          <t>⚠ WATCH</t>
        </is>
      </c>
      <c r="C11" s="4" t="inlineStr">
        <is>
          <t>21.9% forecast margin — monitor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JDR Reconciliation</t>
        </is>
      </c>
    </row>
    <row r="3">
      <c r="A3" s="11" t="inlineStr">
        <is>
          <t>Source</t>
        </is>
      </c>
      <c r="B3" s="11" t="inlineStr">
        <is>
          <t>Reported</t>
        </is>
      </c>
      <c r="C3" s="11" t="inlineStr">
        <is>
          <t>Calculated</t>
        </is>
      </c>
      <c r="D3" s="11" t="inlineStr">
        <is>
          <t>Delta</t>
        </is>
      </c>
    </row>
    <row r="4">
      <c r="A4" s="4" t="inlineStr">
        <is>
          <t>Total expenses (from code totals)</t>
        </is>
      </c>
      <c r="B4" s="5" t="n">
        <v>4680785.34</v>
      </c>
      <c r="C4" s="5" t="n">
        <v>4680785.34</v>
      </c>
      <c r="D4" s="9">
        <f>IF(ISNUMBER(B4),B4-C4,"—")</f>
        <v/>
      </c>
    </row>
    <row r="5">
      <c r="A5" s="4" t="inlineStr">
        <is>
          <t>Revenue billed (AR ·-1)</t>
        </is>
      </c>
      <c r="B5" s="5" t="n">
        <v>-6608301.34</v>
      </c>
      <c r="C5" s="5" t="n">
        <v>6608301.34</v>
      </c>
      <c r="D5" s="9">
        <f>IF(ISNUMBER(B5),B5-C5,"—")</f>
        <v/>
      </c>
    </row>
    <row r="6">
      <c r="A6" s="4" t="inlineStr">
        <is>
          <t>AP source total</t>
        </is>
      </c>
      <c r="C6" s="5" t="n">
        <v>1784123.02</v>
      </c>
      <c r="D6" s="9">
        <f>IF(ISNUMBER(B6),B6-C6,"—")</f>
        <v/>
      </c>
    </row>
    <row r="7">
      <c r="A7" s="4" t="inlineStr">
        <is>
          <t>PR source total</t>
        </is>
      </c>
      <c r="C7" s="5" t="n">
        <v>2766581.81</v>
      </c>
      <c r="D7" s="9">
        <f>IF(ISNUMBER(B7),B7-C7,"—")</f>
        <v/>
      </c>
    </row>
    <row r="8">
      <c r="A8" s="4" t="inlineStr">
        <is>
          <t>GL source total</t>
        </is>
      </c>
      <c r="C8" s="5" t="n">
        <v>130080.51</v>
      </c>
      <c r="D8" s="9">
        <f>IF(ISNUMBER(B8),B8-C8,"—")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50" customWidth="1" min="3" max="3"/>
  </cols>
  <sheetData>
    <row r="1">
      <c r="A1" s="1" t="inlineStr">
        <is>
          <t>Metric Registry</t>
        </is>
      </c>
    </row>
    <row r="3">
      <c r="A3" s="11" t="inlineStr">
        <is>
          <t>Metric</t>
        </is>
      </c>
      <c r="B3" s="11" t="inlineStr">
        <is>
          <t>Source Tab</t>
        </is>
      </c>
      <c r="C3" s="11" t="inlineStr">
        <is>
          <t>Definition</t>
        </is>
      </c>
    </row>
    <row r="4">
      <c r="A4" s="24" t="inlineStr">
        <is>
          <t>Forecast margin %</t>
        </is>
      </c>
      <c r="B4" s="24" t="inlineStr">
        <is>
          <t>01 Overview</t>
        </is>
      </c>
      <c r="C4" s="24" t="inlineStr">
        <is>
          <t>Forecast net profit / Revised contract value</t>
        </is>
      </c>
    </row>
    <row r="5">
      <c r="A5" s="24" t="inlineStr">
        <is>
          <t>Percent complete</t>
        </is>
      </c>
      <c r="B5" s="24" t="inlineStr">
        <is>
          <t>01 Overview</t>
        </is>
      </c>
      <c r="C5" s="24" t="inlineStr">
        <is>
          <t>Billed to date / Revised contract value</t>
        </is>
      </c>
    </row>
    <row r="6">
      <c r="A6" s="24" t="inlineStr">
        <is>
          <t>Roughin labor share</t>
        </is>
      </c>
      <c r="B6" s="24" t="inlineStr">
        <is>
          <t>06 Cost Codes</t>
        </is>
      </c>
      <c r="C6" s="24" t="inlineStr">
        <is>
          <t>Code 120 revised / Total labor revised budget</t>
        </is>
      </c>
    </row>
    <row r="7">
      <c r="A7" s="24" t="inlineStr">
        <is>
          <t>Top vendor concentration</t>
        </is>
      </c>
      <c r="B7" s="24" t="inlineStr">
        <is>
          <t>09 Vendor Analysis</t>
        </is>
      </c>
      <c r="C7" s="24" t="inlineStr">
        <is>
          <t>Largest single vendor AP spend / Total AP</t>
        </is>
      </c>
    </row>
    <row r="8">
      <c r="A8" s="24" t="inlineStr">
        <is>
          <t>Hours per unit</t>
        </is>
      </c>
      <c r="B8" s="24" t="inlineStr">
        <is>
          <t>12 Productivity</t>
        </is>
      </c>
      <c r="C8" s="24" t="inlineStr">
        <is>
          <t>Total PR hours to date / Unit count</t>
        </is>
      </c>
    </row>
    <row r="9">
      <c r="A9" s="24" t="inlineStr">
        <is>
          <t>BVA status codes</t>
        </is>
      </c>
      <c r="B9" s="24" t="inlineStr">
        <is>
          <t>08 BVA</t>
        </is>
      </c>
      <c r="C9" s="24" t="inlineStr">
        <is>
          <t>OVER / CRITICAL / UNDER / ON / UNBUDGETED on revised basis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50" customWidth="1" min="3" max="3"/>
  </cols>
  <sheetData>
    <row r="1">
      <c r="A1" s="1" t="inlineStr">
        <is>
          <t>Workbook Change Log</t>
        </is>
      </c>
    </row>
    <row r="3">
      <c r="A3" s="11" t="inlineStr">
        <is>
          <t>Date</t>
        </is>
      </c>
      <c r="B3" s="11" t="inlineStr">
        <is>
          <t>Version</t>
        </is>
      </c>
      <c r="C3" s="11" t="inlineStr">
        <is>
          <t>Note</t>
        </is>
      </c>
    </row>
    <row r="4">
      <c r="A4" s="4" t="inlineStr">
        <is>
          <t>2026-04-23</t>
        </is>
      </c>
      <c r="B4" s="4" t="inlineStr">
        <is>
          <t>v1.0 · live</t>
        </is>
      </c>
      <c r="C4" s="4" t="inlineStr">
        <is>
          <t>Initial build for #2103 live project. 17-tab JCR schema on revised budget basis.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2026-04-24T02:16:49Z</dcterms:created>
  <dcterms:modified xmlns:dcterms="http://purl.org/dc/terms/" xmlns:xsi="http://www.w3.org/2001/XMLSchema-instance" xsi:type="dcterms:W3CDTF">2026-04-24T02:16:49Z</dcterms:modified>
</cp:coreProperties>
</file>