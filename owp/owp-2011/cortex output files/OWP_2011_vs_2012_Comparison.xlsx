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Comparison" sheetId="2" state="visible" r:id="rId4"/>
    <sheet name="Insigh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<sst xmlns="http://schemas.openxmlformats.org/spreadsheetml/2006/main" count="140" uniqueCount="130">
  <si>
    <t xml:space="preserve">Inputs — Canonical Job Data</t>
  </si>
  <si>
    <t xml:space="preserve">All values sourced from each job's JCR Summary workbook. Blue = hardcoded input.</t>
  </si>
  <si>
    <t xml:space="preserve">Metric</t>
  </si>
  <si>
    <t xml:space="preserve">Job #2011</t>
  </si>
  <si>
    <t xml:space="preserve">Job #2012</t>
  </si>
  <si>
    <t xml:space="preserve">Source / Notes</t>
  </si>
  <si>
    <t xml:space="preserve">— PROFILE —</t>
  </si>
  <si>
    <t xml:space="preserve">Job Name</t>
  </si>
  <si>
    <t xml:space="preserve">Chinn Barrett Park</t>
  </si>
  <si>
    <t xml:space="preserve">Exxel 8th Ave</t>
  </si>
  <si>
    <t xml:space="preserve">General Contractor</t>
  </si>
  <si>
    <t xml:space="preserve">Chinn Construction, LLC</t>
  </si>
  <si>
    <t xml:space="preserve">Exxel Pacific, Inc.</t>
  </si>
  <si>
    <t xml:space="preserve">Location</t>
  </si>
  <si>
    <t xml:space="preserve">Seattle, WA</t>
  </si>
  <si>
    <t xml:space="preserve">Duration (months)</t>
  </si>
  <si>
    <t xml:space="preserve">Nov 2012–Mar 2014  /  Jan 2013–Jun 2014</t>
  </si>
  <si>
    <t xml:space="preserve">Unit Count</t>
  </si>
  <si>
    <t xml:space="preserve">Residential units</t>
  </si>
  <si>
    <t xml:space="preserve">Total Fixtures</t>
  </si>
  <si>
    <t xml:space="preserve">All in-unit plumbing fixtures</t>
  </si>
  <si>
    <t xml:space="preserve">— FINANCIAL —</t>
  </si>
  <si>
    <t xml:space="preserve">Original Contract</t>
  </si>
  <si>
    <t xml:space="preserve">Final Contract / Revenue</t>
  </si>
  <si>
    <t xml:space="preserve">Incl. change orders</t>
  </si>
  <si>
    <t xml:space="preserve">Change Orders</t>
  </si>
  <si>
    <t xml:space="preserve">2011: 3 COs; 2012: none in JCR</t>
  </si>
  <si>
    <t xml:space="preserve">Net Profit</t>
  </si>
  <si>
    <t xml:space="preserve">Direct Cost</t>
  </si>
  <si>
    <t xml:space="preserve">Labor + Material + OH + Burden</t>
  </si>
  <si>
    <t xml:space="preserve">Retainage</t>
  </si>
  <si>
    <t xml:space="preserve">5% held by GC</t>
  </si>
  <si>
    <t xml:space="preserve">— COST MIX —</t>
  </si>
  <si>
    <t xml:space="preserve">Labor Cost</t>
  </si>
  <si>
    <t xml:space="preserve">2012 labor = avg_rate 18.57 × 14,607h (derived)</t>
  </si>
  <si>
    <t xml:space="preserve">Material Cost</t>
  </si>
  <si>
    <t xml:space="preserve">Overhead Cost</t>
  </si>
  <si>
    <t xml:space="preserve">Burden Cost</t>
  </si>
  <si>
    <t xml:space="preserve">2012: gross×0.51 burden multiplier</t>
  </si>
  <si>
    <t xml:space="preserve">— LABOR —</t>
  </si>
  <si>
    <t xml:space="preserve">Total Labor Hours</t>
  </si>
  <si>
    <t xml:space="preserve">Total Workers</t>
  </si>
  <si>
    <t xml:space="preserve">Unique payroll IDs</t>
  </si>
  <si>
    <t xml:space="preserve">Blended Gross Wage ($/hr)</t>
  </si>
  <si>
    <t xml:space="preserve">Pre-burden</t>
  </si>
  <si>
    <t xml:space="preserve">Fully-Loaded Wage ($/hr)</t>
  </si>
  <si>
    <t xml:space="preserve">Post-burden</t>
  </si>
  <si>
    <t xml:space="preserve">— MATERIAL —</t>
  </si>
  <si>
    <t xml:space="preserve">Total PO Committed</t>
  </si>
  <si>
    <t xml:space="preserve">2012 tracks via AP invoices, not POs</t>
  </si>
  <si>
    <t xml:space="preserve">Total POs</t>
  </si>
  <si>
    <t xml:space="preserve">Material Vendors</t>
  </si>
  <si>
    <t xml:space="preserve">Distinct AP vendors</t>
  </si>
  <si>
    <t xml:space="preserve">Sources: OWP_2011_JCR_Summary.xlsx (Chinn Barrett Park) + OWP_2012_JCR_Summary_Notion.xlsx (Exxel 8th Ave). Both reconcile exactly to their source JCR PDFs.</t>
  </si>
  <si>
    <t xml:space="preserve">Job #2011 vs Job #2012 — Head-to-Head Benchmark</t>
  </si>
  <si>
    <t xml:space="preserve">Chinn Barrett Park (117 units) vs Exxel 8th Ave (163 units)  •  both 17-month Seattle multifamily plumbing jobs</t>
  </si>
  <si>
    <t xml:space="preserve">2011 Barrett</t>
  </si>
  <si>
    <t xml:space="preserve">2012 Exxel</t>
  </si>
  <si>
    <t xml:space="preserve">Δ ($ / #)</t>
  </si>
  <si>
    <t xml:space="preserve">Δ %</t>
  </si>
  <si>
    <t xml:space="preserve">Leader</t>
  </si>
  <si>
    <t xml:space="preserve">A. PROJECT SCALE</t>
  </si>
  <si>
    <t xml:space="preserve">Fixtures / Unit</t>
  </si>
  <si>
    <t xml:space="preserve">B. TOP-LINE FINANCIAL</t>
  </si>
  <si>
    <t xml:space="preserve">Revenue (Final Contract)</t>
  </si>
  <si>
    <t xml:space="preserve">Gross Margin</t>
  </si>
  <si>
    <t xml:space="preserve">Change Orders ($)</t>
  </si>
  <si>
    <t xml:space="preserve">C. PER-UNIT ECONOMICS</t>
  </si>
  <si>
    <t xml:space="preserve">Revenue / Unit</t>
  </si>
  <si>
    <t xml:space="preserve">Profit / Unit</t>
  </si>
  <si>
    <t xml:space="preserve">Direct Cost / Unit</t>
  </si>
  <si>
    <t xml:space="preserve">Labor Cost / Unit</t>
  </si>
  <si>
    <t xml:space="preserve">Material Cost / Unit</t>
  </si>
  <si>
    <t xml:space="preserve">Hours / Unit</t>
  </si>
  <si>
    <t xml:space="preserve">D. PER-FIXTURE ECONOMICS</t>
  </si>
  <si>
    <t xml:space="preserve">Revenue / Fixture</t>
  </si>
  <si>
    <t xml:space="preserve">Profit / Fixture</t>
  </si>
  <si>
    <t xml:space="preserve">Direct Cost / Fixture</t>
  </si>
  <si>
    <t xml:space="preserve">Labor / Fixture</t>
  </si>
  <si>
    <t xml:space="preserve">Material / Fixture</t>
  </si>
  <si>
    <t xml:space="preserve">Hours / Fixture</t>
  </si>
  <si>
    <t xml:space="preserve">E. LABOR &amp; PRODUCTIVITY</t>
  </si>
  <si>
    <t xml:space="preserve">Blended Gross Wage</t>
  </si>
  <si>
    <t xml:space="preserve">Fully-Loaded Wage</t>
  </si>
  <si>
    <t xml:space="preserve">Revenue / Hour</t>
  </si>
  <si>
    <t xml:space="preserve">Profit / Hour</t>
  </si>
  <si>
    <t xml:space="preserve">Hours / Worker (avg)</t>
  </si>
  <si>
    <t xml:space="preserve">F. COST MIX</t>
  </si>
  <si>
    <t xml:space="preserve">Labor % of Revenue</t>
  </si>
  <si>
    <t xml:space="preserve">Material % of Revenue</t>
  </si>
  <si>
    <t xml:space="preserve">Overhead % of Revenue</t>
  </si>
  <si>
    <t xml:space="preserve">Burden % of Revenue</t>
  </si>
  <si>
    <t xml:space="preserve">Labor : Material Ratio</t>
  </si>
  <si>
    <t xml:space="preserve">G. THROUGHPUT (per month)</t>
  </si>
  <si>
    <t xml:space="preserve">Revenue / Month</t>
  </si>
  <si>
    <t xml:space="preserve">Units / Month</t>
  </si>
  <si>
    <t xml:space="preserve">Fixtures / Month</t>
  </si>
  <si>
    <t xml:space="preserve">Hours / Month</t>
  </si>
  <si>
    <t xml:space="preserve">SOURCES</t>
  </si>
  <si>
    <t xml:space="preserve">Job #2011 — OWP_2011_JCR_Summary.xlsx (Benchmark KPIs tab) • 2011 Job Detail Report.pdf</t>
  </si>
  <si>
    <t xml:space="preserve">Job #2012 — OWP_2012_JCR_Summary_Notion.xlsx (Benchmark KPIs tab) • 2012 Job Detail Report.pdf</t>
  </si>
  <si>
    <t xml:space="preserve">Leader column: 'Tie' if within 2% of 2011 value. Higher-is-better vs lower-is-better depends on metric.</t>
  </si>
  <si>
    <t xml:space="preserve">Key Observations — 2011 vs 2012</t>
  </si>
  <si>
    <t xml:space="preserve">IDENTICAL GROSS MARGIN</t>
  </si>
  <si>
    <t xml:space="preserve">Both jobs landed at 38.3% gross margin — near-identical profitability despite 60% scale difference. Strongly suggests OWP has a repeatable bidding formula for Seattle multifamily.</t>
  </si>
  <si>
    <t xml:space="preserve">2012 IS 60% LARGER</t>
  </si>
  <si>
    <t xml:space="preserve">163 units vs 117 (+39%) and 816 fixtures vs 590 (+38%). Both completed in exactly 17 months — meaning 2012 absorbed the extra scale via crew density, not duration.</t>
  </si>
  <si>
    <t xml:space="preserve">2012 BURNED 2.1× MORE HOURS</t>
  </si>
  <si>
    <t xml:space="preserve">14,607 hrs vs 6,944 hrs for only 1.4× the units. Hours/unit jumped from 59 to 90 (+51%). 2011 looks more labor-efficient per unit — possibly simpler unit type, fewer stacks/fixture complexity.</t>
  </si>
  <si>
    <t xml:space="preserve">2011 GENERATED MORE $/HOUR</t>
  </si>
  <si>
    <t xml:space="preserve">Revenue per labor hour: $125 (2011) vs $95 (2012). Profit per hour: $48 vs $37. 2011 extracted 31% more revenue per hour of crew time — consistent with its lower hour intensity.</t>
  </si>
  <si>
    <t xml:space="preserve">IDENTICAL FIXTURES/UNIT (5.0)</t>
  </si>
  <si>
    <t xml:space="preserve">Both projects hit ~5 fixtures/unit, the textbook 1-bath multifamily number. Apples-to-apples on fixture complexity, which makes the hours/fixture gap (11.8 vs 17.9) the single most important efficiency insight.</t>
  </si>
  <si>
    <t xml:space="preserve">HOURS/FIXTURE — 52% GAP</t>
  </si>
  <si>
    <t xml:space="preserve">2011: 11.8 hrs/fixture. 2012: 17.9 hrs/fixture. This is a huge productivity gap on identical fixture density. Worth investigating: was 2012 a harder building (mid-rise vs low-rise), taller stacks, rework, or crew composition?</t>
  </si>
  <si>
    <t xml:space="preserve">SIMILAR WAGE STRUCTURE</t>
  </si>
  <si>
    <t xml:space="preserve">Blended gross wage: $20.58 vs $19.94. Fully-loaded: $31.08 vs $30.12. Near-identical crew economics — the hours gap is NOT explained by wage differences.</t>
  </si>
  <si>
    <t xml:space="preserve">2011 HEAVIER ON MATERIAL</t>
  </si>
  <si>
    <t xml:space="preserve">Material % of revenue: 33.9% (2011) vs 29.4% (2012). 2011 spent more on materials per unit ($2,521 vs $2,397) but less on labor per unit ($1,221 vs $1,664). Different trade-off: more materials, less labor.</t>
  </si>
  <si>
    <t xml:space="preserve">2012 DID NOT TRACK POS</t>
  </si>
  <si>
    <t xml:space="preserve">2011 committed $125K across 26 POs (42% PO coverage of material). 2012 has no PO log in the source folder — tracked material exclusively via 186 AP invoices. Process difference, not a red flag.</t>
  </si>
  <si>
    <t xml:space="preserve">BOTH HAD 38% NET PROFIT</t>
  </si>
  <si>
    <t xml:space="preserve">2011: $332,960 profit on $869,824 revenue. 2012: $533,274 profit on $1,391,455 revenue. Dollar-for-dollar scaling — OWP's margin discipline held across two different GCs (Chinn / Exxel).</t>
  </si>
  <si>
    <t xml:space="preserve">CREW DENSITY DIFFERENCE</t>
  </si>
  <si>
    <t xml:space="preserve">31 workers on 117 units = 1 worker per 3.8 units (2011). 28 workers on 163 units = 1 per 5.8 units (2012). 2012 ran a leaner crew per unit but worked them 2× as many hours each (522 vs 224 avg).</t>
  </si>
  <si>
    <t xml:space="preserve">2011 HAD 3 CHANGE ORDERS</t>
  </si>
  <si>
    <t xml:space="preserve">CO #1 foundation drains ($25.4K), CO #2 trash chute ($1K), CO #3 fixture change ($30.4K) = $56.8K total (+7% of original). 2012 JCR shows no captured COs — either none occurred, or were embedded in original contract revisions.</t>
  </si>
  <si>
    <t xml:space="preserve">BIGGEST QUESTION FOR OWP</t>
  </si>
  <si>
    <t xml:space="preserve">Why did 2012 take 52% more labor hours per fixture than 2011, despite identical fixture density (5/unit), identical margin (38.3%), and identical duration (17 months)? If that gap were closed, 2012's profit could have risen by an estimated $230K+ (5,000 hrs × $46 profit/hr).</t>
  </si>
  <si>
    <t xml:space="preserve">Sources: OWP_2011_JCR_Summary.xlsx and OWP_2012_JCR_Summary_Notion.xlsx (both reconcile exactly to JCR PDFs)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</si>
</sst>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\$#,##0;[RED]&quot;-$&quot;#,##0"/>
    <numFmt numFmtId="167" formatCode="\$#,##0.00"/>
    <numFmt numFmtId="168" formatCode="#,##0;[RED]\-#,##0;\-"/>
    <numFmt numFmtId="169" formatCode="\+0.0%;\-0.0%;\-"/>
    <numFmt numFmtId="170" formatCode="0.00"/>
    <numFmt numFmtId="171" formatCode="\$#,##0;[RED]&quot;-$&quot;#,##0;\-"/>
    <numFmt numFmtId="172" formatCode="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E2E2E"/>
      <name val="Inter"/>
      <family val="0"/>
      <charset val="1"/>
    </font>
    <font>
      <i val="true"/>
      <sz val="10"/>
      <color rgb="FF787878"/>
      <name val="Inter"/>
      <family val="0"/>
      <charset val="1"/>
    </font>
    <font>
      <b val="true"/>
      <sz val="10"/>
      <color rgb="FF2E2E2E"/>
      <name val="Inter"/>
      <family val="0"/>
      <charset val="1"/>
    </font>
    <font>
      <b val="true"/>
      <sz val="10"/>
      <color rgb="FF1E3A8A"/>
      <name val="Inter"/>
      <family val="0"/>
      <charset val="1"/>
    </font>
    <font>
      <sz val="10"/>
      <color rgb="FF2E2E2E"/>
      <name val="Inter"/>
      <family val="0"/>
      <charset val="1"/>
    </font>
    <font>
      <sz val="10"/>
      <color rgb="FF0000FF"/>
      <name val="Inter"/>
      <family val="0"/>
      <charset val="1"/>
    </font>
    <font>
      <i val="true"/>
      <sz val="9"/>
      <color rgb="FF787878"/>
      <name val="Inter"/>
      <family val="0"/>
      <charset val="1"/>
    </font>
    <font>
      <b val="true"/>
      <sz val="10"/>
      <color rgb="FF0000FF"/>
      <name val="Inter"/>
      <family val="0"/>
      <charset val="1"/>
    </font>
    <font>
      <b val="true"/>
      <sz val="11"/>
      <color rgb="FF4A4A4A"/>
      <name val="Inter"/>
      <family val="0"/>
      <charset val="1"/>
    </font>
    <font>
      <b val="true"/>
      <sz val="9"/>
      <color rgb="FF2E2E2E"/>
      <name val="Inter"/>
      <family val="0"/>
      <charset val="1"/>
    </font>
    <font>
      <b val="true"/>
      <sz val="11"/>
      <color rgb="FF14532D"/>
      <name val="Inter"/>
      <family val="0"/>
      <charset val="1"/>
    </font>
    <font>
      <b val="true"/>
      <sz val="11"/>
      <color rgb="FF1E3A8A"/>
      <name val="Inter"/>
      <family val="0"/>
      <charset val="1"/>
    </font>
    <font>
      <b val="true"/>
      <sz val="11"/>
      <color rgb="FF5B21B6"/>
      <name val="Inter"/>
      <family val="0"/>
      <charset val="1"/>
    </font>
    <font>
      <b val="true"/>
      <sz val="11"/>
      <color rgb="FF9D174D"/>
      <name val="Inter"/>
      <family val="0"/>
      <charset val="1"/>
    </font>
    <font>
      <b val="true"/>
      <sz val="11"/>
      <color rgb="FF64473A"/>
      <name val="Inter"/>
      <family val="0"/>
      <charset val="1"/>
    </font>
    <font>
      <b val="true"/>
      <sz val="11"/>
      <color rgb="FF78350F"/>
      <name val="Inter"/>
      <family val="0"/>
      <charset val="1"/>
    </font>
    <font>
      <b val="true"/>
      <sz val="9"/>
      <color rgb="FF787878"/>
      <name val="Inter"/>
      <family val="0"/>
      <charset val="1"/>
    </font>
    <font>
      <b val="true"/>
      <sz val="11"/>
      <color rgb="FF9B2C2C"/>
      <name val="Inter"/>
      <family val="0"/>
      <charset val="1"/>
    </font>
    <font>
      <i val="true"/>
      <sz val="10"/>
      <color rgb="FF2E2E2E"/>
      <name val="Inter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7F6F3"/>
        <bgColor rgb="FFF1F1F0"/>
      </patternFill>
    </fill>
    <fill>
      <patternFill patternType="solid">
        <fgColor rgb="FFDBEAFE"/>
        <bgColor rgb="FFEAEAEA"/>
      </patternFill>
    </fill>
    <fill>
      <patternFill patternType="solid">
        <fgColor rgb="FFF1F1F0"/>
        <bgColor rgb="FFF7F6F3"/>
      </patternFill>
    </fill>
    <fill>
      <patternFill patternType="solid">
        <fgColor rgb="FFDCFCE7"/>
        <bgColor rgb="FFF1F1F0"/>
      </patternFill>
    </fill>
    <fill>
      <patternFill patternType="solid">
        <fgColor rgb="FFE9D5FF"/>
        <bgColor rgb="FFEAEAEA"/>
      </patternFill>
    </fill>
    <fill>
      <patternFill patternType="solid">
        <fgColor rgb="FFFCE7F3"/>
        <bgColor rgb="FFFBE4E4"/>
      </patternFill>
    </fill>
    <fill>
      <patternFill patternType="solid">
        <fgColor rgb="FFF1E8DE"/>
        <bgColor rgb="FFEAEAEA"/>
      </patternFill>
    </fill>
    <fill>
      <patternFill patternType="solid">
        <fgColor rgb="FFFEF3C7"/>
        <bgColor rgb="FFF1E8DE"/>
      </patternFill>
    </fill>
    <fill>
      <patternFill patternType="solid">
        <fgColor rgb="FFFBE4E4"/>
        <bgColor rgb="FFFCE7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6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5B21B6"/>
      <rgbColor rgb="FF008080"/>
      <rgbColor rgb="FFFCE7F3"/>
      <rgbColor rgb="FF787878"/>
      <rgbColor rgb="FF9999FF"/>
      <rgbColor rgb="FF9D174D"/>
      <rgbColor rgb="FFFEF3C7"/>
      <rgbColor rgb="FFDCFCE7"/>
      <rgbColor rgb="FF660066"/>
      <rgbColor rgb="FFFF8080"/>
      <rgbColor rgb="FF0066CC"/>
      <rgbColor rgb="FFE9D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AEAEA"/>
      <rgbColor rgb="FFF1E8DE"/>
      <rgbColor rgb="FFF1F1F0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64473A"/>
      <rgbColor rgb="FF969696"/>
      <rgbColor rgb="FF003366"/>
      <rgbColor rgb="FF339966"/>
      <rgbColor rgb="FF14532D"/>
      <rgbColor rgb="FF4A4A4A"/>
      <rgbColor rgb="FF9B2C2C"/>
      <rgbColor rgb="FF78350F"/>
      <rgbColor rgb="FF1E3A8A"/>
      <rgbColor rgb="FF2E2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4" min="3" style="0" width="22"/>
    <col collapsed="false" customWidth="true" hidden="false" outlineLevel="0" max="5" min="5" style="0" width="40"/>
    <col collapsed="false" customWidth="true" hidden="false" outlineLevel="0" max="6" min="6" style="0" width="2"/>
  </cols>
  <sheetData>
    <row r="2" customFormat="false" ht="25.5" hidden="false" customHeight="true" outlineLevel="0" collapsed="false">
      <c r="B2" s="1" t="s">
        <v>0</v>
      </c>
      <c r="C2" s="1"/>
      <c r="D2" s="1"/>
      <c r="E2" s="1"/>
    </row>
    <row r="3" customFormat="false" ht="15" hidden="false" customHeight="false" outlineLevel="0" collapsed="false">
      <c r="B3" s="2" t="s">
        <v>1</v>
      </c>
      <c r="C3" s="2"/>
      <c r="D3" s="2"/>
      <c r="E3" s="2"/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</row>
    <row r="6" customFormat="false" ht="15" hidden="false" customHeight="false" outlineLevel="0" collapsed="false">
      <c r="B6" s="4" t="s">
        <v>6</v>
      </c>
      <c r="C6" s="4"/>
      <c r="D6" s="4"/>
      <c r="E6" s="4"/>
    </row>
    <row r="7" customFormat="false" ht="15" hidden="false" customHeight="false" outlineLevel="0" collapsed="false">
      <c r="B7" s="5" t="s">
        <v>7</v>
      </c>
      <c r="C7" s="6" t="s">
        <v>8</v>
      </c>
      <c r="D7" s="6" t="s">
        <v>9</v>
      </c>
      <c r="E7" s="7"/>
    </row>
    <row r="8" customFormat="false" ht="15" hidden="false" customHeight="false" outlineLevel="0" collapsed="false">
      <c r="B8" s="5" t="s">
        <v>10</v>
      </c>
      <c r="C8" s="6" t="s">
        <v>11</v>
      </c>
      <c r="D8" s="6" t="s">
        <v>12</v>
      </c>
      <c r="E8" s="7"/>
    </row>
    <row r="9" customFormat="false" ht="15" hidden="false" customHeight="false" outlineLevel="0" collapsed="false">
      <c r="B9" s="5" t="s">
        <v>13</v>
      </c>
      <c r="C9" s="6" t="s">
        <v>14</v>
      </c>
      <c r="D9" s="6" t="s">
        <v>14</v>
      </c>
      <c r="E9" s="7"/>
    </row>
    <row r="10" customFormat="false" ht="15" hidden="false" customHeight="false" outlineLevel="0" collapsed="false">
      <c r="B10" s="5" t="s">
        <v>15</v>
      </c>
      <c r="C10" s="8" t="n">
        <v>17</v>
      </c>
      <c r="D10" s="8" t="n">
        <v>17</v>
      </c>
      <c r="E10" s="7" t="s">
        <v>16</v>
      </c>
    </row>
    <row r="11" customFormat="false" ht="15" hidden="false" customHeight="false" outlineLevel="0" collapsed="false">
      <c r="B11" s="5" t="s">
        <v>17</v>
      </c>
      <c r="C11" s="8" t="n">
        <v>117</v>
      </c>
      <c r="D11" s="8" t="n">
        <v>163</v>
      </c>
      <c r="E11" s="7" t="s">
        <v>18</v>
      </c>
    </row>
    <row r="12" customFormat="false" ht="15" hidden="false" customHeight="false" outlineLevel="0" collapsed="false">
      <c r="B12" s="5" t="s">
        <v>19</v>
      </c>
      <c r="C12" s="8" t="n">
        <v>590</v>
      </c>
      <c r="D12" s="8" t="n">
        <v>816</v>
      </c>
      <c r="E12" s="7" t="s">
        <v>20</v>
      </c>
    </row>
    <row r="13" customFormat="false" ht="15" hidden="false" customHeight="false" outlineLevel="0" collapsed="false">
      <c r="B13" s="4" t="s">
        <v>21</v>
      </c>
      <c r="C13" s="4"/>
      <c r="D13" s="4"/>
      <c r="E13" s="4"/>
    </row>
    <row r="14" customFormat="false" ht="15" hidden="false" customHeight="false" outlineLevel="0" collapsed="false">
      <c r="B14" s="5" t="s">
        <v>22</v>
      </c>
      <c r="C14" s="9" t="n">
        <v>813050</v>
      </c>
      <c r="D14" s="9" t="n">
        <v>1394655</v>
      </c>
      <c r="E14" s="7"/>
    </row>
    <row r="15" customFormat="false" ht="15" hidden="false" customHeight="false" outlineLevel="0" collapsed="false">
      <c r="B15" s="5" t="s">
        <v>23</v>
      </c>
      <c r="C15" s="9" t="n">
        <v>869824</v>
      </c>
      <c r="D15" s="9" t="n">
        <v>1391455</v>
      </c>
      <c r="E15" s="7" t="s">
        <v>24</v>
      </c>
    </row>
    <row r="16" customFormat="false" ht="15" hidden="false" customHeight="false" outlineLevel="0" collapsed="false">
      <c r="B16" s="5" t="s">
        <v>25</v>
      </c>
      <c r="C16" s="9" t="n">
        <v>56774</v>
      </c>
      <c r="D16" s="9" t="n">
        <v>0</v>
      </c>
      <c r="E16" s="7" t="s">
        <v>26</v>
      </c>
    </row>
    <row r="17" customFormat="false" ht="15" hidden="false" customHeight="false" outlineLevel="0" collapsed="false">
      <c r="B17" s="5" t="s">
        <v>27</v>
      </c>
      <c r="C17" s="9" t="n">
        <v>332960</v>
      </c>
      <c r="D17" s="9" t="n">
        <v>533274</v>
      </c>
      <c r="E17" s="7"/>
    </row>
    <row r="18" customFormat="false" ht="15" hidden="false" customHeight="false" outlineLevel="0" collapsed="false">
      <c r="B18" s="5" t="s">
        <v>28</v>
      </c>
      <c r="C18" s="9" t="n">
        <v>536863</v>
      </c>
      <c r="D18" s="9" t="n">
        <v>858181</v>
      </c>
      <c r="E18" s="7" t="s">
        <v>29</v>
      </c>
    </row>
    <row r="19" customFormat="false" ht="15" hidden="false" customHeight="false" outlineLevel="0" collapsed="false">
      <c r="B19" s="5" t="s">
        <v>30</v>
      </c>
      <c r="C19" s="9" t="n">
        <v>43491</v>
      </c>
      <c r="D19" s="9" t="n">
        <v>69573</v>
      </c>
      <c r="E19" s="7" t="s">
        <v>31</v>
      </c>
    </row>
    <row r="20" customFormat="false" ht="15" hidden="false" customHeight="false" outlineLevel="0" collapsed="false">
      <c r="B20" s="4" t="s">
        <v>32</v>
      </c>
      <c r="C20" s="4"/>
      <c r="D20" s="4"/>
      <c r="E20" s="4"/>
    </row>
    <row r="21" customFormat="false" ht="15" hidden="false" customHeight="false" outlineLevel="0" collapsed="false">
      <c r="B21" s="5" t="s">
        <v>33</v>
      </c>
      <c r="C21" s="9" t="n">
        <v>142883</v>
      </c>
      <c r="D21" s="9" t="n">
        <v>271219</v>
      </c>
      <c r="E21" s="7" t="s">
        <v>34</v>
      </c>
    </row>
    <row r="22" customFormat="false" ht="15" hidden="false" customHeight="false" outlineLevel="0" collapsed="false">
      <c r="B22" s="5" t="s">
        <v>35</v>
      </c>
      <c r="C22" s="9" t="n">
        <v>295006</v>
      </c>
      <c r="D22" s="9" t="n">
        <v>408537</v>
      </c>
      <c r="E22" s="7"/>
    </row>
    <row r="23" customFormat="false" ht="15" hidden="false" customHeight="false" outlineLevel="0" collapsed="false">
      <c r="B23" s="5" t="s">
        <v>36</v>
      </c>
      <c r="C23" s="9" t="n">
        <v>26210</v>
      </c>
      <c r="D23" s="9" t="n">
        <v>9697</v>
      </c>
      <c r="E23" s="7"/>
    </row>
    <row r="24" customFormat="false" ht="15" hidden="false" customHeight="false" outlineLevel="0" collapsed="false">
      <c r="B24" s="5" t="s">
        <v>37</v>
      </c>
      <c r="C24" s="9" t="n">
        <v>72765</v>
      </c>
      <c r="D24" s="9" t="n">
        <v>168728</v>
      </c>
      <c r="E24" s="7" t="s">
        <v>38</v>
      </c>
    </row>
    <row r="25" customFormat="false" ht="15" hidden="false" customHeight="false" outlineLevel="0" collapsed="false">
      <c r="B25" s="4" t="s">
        <v>39</v>
      </c>
      <c r="C25" s="4"/>
      <c r="D25" s="4"/>
      <c r="E25" s="4"/>
    </row>
    <row r="26" customFormat="false" ht="15" hidden="false" customHeight="false" outlineLevel="0" collapsed="false">
      <c r="B26" s="5" t="s">
        <v>40</v>
      </c>
      <c r="C26" s="8" t="n">
        <v>6944</v>
      </c>
      <c r="D26" s="8" t="n">
        <v>14607</v>
      </c>
      <c r="E26" s="7"/>
    </row>
    <row r="27" customFormat="false" ht="15" hidden="false" customHeight="false" outlineLevel="0" collapsed="false">
      <c r="B27" s="5" t="s">
        <v>41</v>
      </c>
      <c r="C27" s="8" t="n">
        <v>31</v>
      </c>
      <c r="D27" s="8" t="n">
        <v>28</v>
      </c>
      <c r="E27" s="7" t="s">
        <v>42</v>
      </c>
    </row>
    <row r="28" customFormat="false" ht="15" hidden="false" customHeight="false" outlineLevel="0" collapsed="false">
      <c r="B28" s="5" t="s">
        <v>43</v>
      </c>
      <c r="C28" s="10" t="n">
        <v>20.58</v>
      </c>
      <c r="D28" s="10" t="n">
        <v>19.94</v>
      </c>
      <c r="E28" s="7" t="s">
        <v>44</v>
      </c>
    </row>
    <row r="29" customFormat="false" ht="15" hidden="false" customHeight="false" outlineLevel="0" collapsed="false">
      <c r="B29" s="5" t="s">
        <v>45</v>
      </c>
      <c r="C29" s="10" t="n">
        <v>31.08</v>
      </c>
      <c r="D29" s="10" t="n">
        <v>30.12</v>
      </c>
      <c r="E29" s="7" t="s">
        <v>46</v>
      </c>
    </row>
    <row r="30" customFormat="false" ht="15" hidden="false" customHeight="false" outlineLevel="0" collapsed="false">
      <c r="B30" s="4" t="s">
        <v>47</v>
      </c>
      <c r="C30" s="4"/>
      <c r="D30" s="4"/>
      <c r="E30" s="4"/>
    </row>
    <row r="31" customFormat="false" ht="15" hidden="false" customHeight="false" outlineLevel="0" collapsed="false">
      <c r="B31" s="5" t="s">
        <v>48</v>
      </c>
      <c r="C31" s="9" t="n">
        <v>124908</v>
      </c>
      <c r="D31" s="9" t="n">
        <v>0</v>
      </c>
      <c r="E31" s="7" t="s">
        <v>49</v>
      </c>
    </row>
    <row r="32" customFormat="false" ht="15" hidden="false" customHeight="false" outlineLevel="0" collapsed="false">
      <c r="B32" s="5" t="s">
        <v>50</v>
      </c>
      <c r="C32" s="8" t="n">
        <v>26</v>
      </c>
      <c r="D32" s="8" t="n">
        <v>0</v>
      </c>
      <c r="E32" s="7"/>
    </row>
    <row r="33" customFormat="false" ht="15" hidden="false" customHeight="false" outlineLevel="0" collapsed="false">
      <c r="B33" s="5" t="s">
        <v>51</v>
      </c>
      <c r="C33" s="8" t="n">
        <v>14</v>
      </c>
      <c r="D33" s="8" t="n">
        <v>17</v>
      </c>
      <c r="E33" s="7" t="s">
        <v>52</v>
      </c>
    </row>
    <row r="36" customFormat="false" ht="15" hidden="false" customHeight="false" outlineLevel="0" collapsed="false">
      <c r="B36" s="11" t="s">
        <v>53</v>
      </c>
      <c r="C36" s="11"/>
      <c r="D36" s="11"/>
      <c r="E36" s="11"/>
    </row>
  </sheetData>
  <mergeCells count="8">
    <mergeCell ref="B2:E2"/>
    <mergeCell ref="B3:E3"/>
    <mergeCell ref="B6:E6"/>
    <mergeCell ref="B13:E13"/>
    <mergeCell ref="B20:E20"/>
    <mergeCell ref="B25:E25"/>
    <mergeCell ref="B30:E30"/>
    <mergeCell ref="B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"/>
  </cols>
  <sheetData>
    <row r="2" customFormat="false" ht="25.5" hidden="false" customHeight="true" outlineLevel="0" collapsed="false">
      <c r="B2" s="1" t="s">
        <v>54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55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12" t="s">
        <v>2</v>
      </c>
      <c r="C5" s="12" t="s">
        <v>56</v>
      </c>
      <c r="D5" s="12" t="s">
        <v>57</v>
      </c>
      <c r="E5" s="12" t="s">
        <v>58</v>
      </c>
      <c r="F5" s="12" t="s">
        <v>59</v>
      </c>
      <c r="G5" s="12" t="s">
        <v>60</v>
      </c>
    </row>
    <row r="6" customFormat="false" ht="15" hidden="false" customHeight="false" outlineLevel="0" collapsed="false">
      <c r="B6" s="13" t="s">
        <v>61</v>
      </c>
      <c r="C6" s="13"/>
      <c r="D6" s="13"/>
      <c r="E6" s="13"/>
      <c r="F6" s="13"/>
      <c r="G6" s="13"/>
    </row>
    <row r="7" customFormat="false" ht="15" hidden="false" customHeight="false" outlineLevel="0" collapsed="false">
      <c r="B7" s="5" t="s">
        <v>17</v>
      </c>
      <c r="C7" s="14" t="n">
        <f aca="false">Inputs!C11</f>
        <v>117</v>
      </c>
      <c r="D7" s="14" t="n">
        <f aca="false">Inputs!D11</f>
        <v>163</v>
      </c>
      <c r="E7" s="14" t="n">
        <f aca="false">D7-C7</f>
        <v>46</v>
      </c>
      <c r="F7" s="15" t="n">
        <f aca="false">IF(C7=0,0,(D7-C7)/ABS(C7))</f>
        <v>0.393162393162393</v>
      </c>
      <c r="G7" s="16" t="str">
        <f aca="false">IF(ABS(D7-C7)/MAX(ABS(C7),0.0001)&lt;0.02,"Tie",IF(D7&gt;C7,"2012","2011"))</f>
        <v>2012</v>
      </c>
    </row>
    <row r="8" customFormat="false" ht="15" hidden="false" customHeight="false" outlineLevel="0" collapsed="false">
      <c r="B8" s="5" t="s">
        <v>19</v>
      </c>
      <c r="C8" s="14" t="n">
        <f aca="false">Inputs!C12</f>
        <v>590</v>
      </c>
      <c r="D8" s="14" t="n">
        <f aca="false">Inputs!D12</f>
        <v>816</v>
      </c>
      <c r="E8" s="14" t="n">
        <f aca="false">D8-C8</f>
        <v>226</v>
      </c>
      <c r="F8" s="15" t="n">
        <f aca="false">IF(C8=0,0,(D8-C8)/ABS(C8))</f>
        <v>0.383050847457627</v>
      </c>
      <c r="G8" s="16" t="str">
        <f aca="false">IF(ABS(D8-C8)/MAX(ABS(C8),0.0001)&lt;0.02,"Tie",IF(D8&gt;C8,"2012","2011"))</f>
        <v>2012</v>
      </c>
    </row>
    <row r="9" customFormat="false" ht="15" hidden="false" customHeight="false" outlineLevel="0" collapsed="false">
      <c r="B9" s="5" t="s">
        <v>15</v>
      </c>
      <c r="C9" s="14" t="n">
        <f aca="false">Inputs!C10</f>
        <v>17</v>
      </c>
      <c r="D9" s="14" t="n">
        <f aca="false">Inputs!D10</f>
        <v>17</v>
      </c>
      <c r="E9" s="14" t="n">
        <f aca="false">D9-C9</f>
        <v>0</v>
      </c>
      <c r="F9" s="15" t="n">
        <f aca="false">IF(C9=0,0,(D9-C9)/ABS(C9))</f>
        <v>0</v>
      </c>
      <c r="G9" s="16" t="str">
        <f aca="false">IF(ABS(D9-C9)/MAX(ABS(C9),0.0001)&lt;0.02,"Tie",IF(D9&lt;C9,"2012","2011"))</f>
        <v>Tie</v>
      </c>
    </row>
    <row r="10" customFormat="false" ht="15" hidden="false" customHeight="false" outlineLevel="0" collapsed="false">
      <c r="B10" s="5" t="s">
        <v>62</v>
      </c>
      <c r="C10" s="17" t="n">
        <f aca="false">Inputs!C12/Inputs!C11</f>
        <v>5.04273504273504</v>
      </c>
      <c r="D10" s="17" t="n">
        <f aca="false">Inputs!D12/Inputs!D11</f>
        <v>5.00613496932515</v>
      </c>
      <c r="E10" s="17" t="n">
        <f aca="false">D10-C10</f>
        <v>-0.0366000734098888</v>
      </c>
      <c r="F10" s="15" t="n">
        <f aca="false">IF(C10=0,0,(D10-C10)/ABS(C10))</f>
        <v>-0.00725798065924914</v>
      </c>
      <c r="G10" s="16" t="str">
        <f aca="false">IF(ABS(D10-C10)/MAX(ABS(C10),0.0001)&lt;0.02,"Tie",IF(D10&gt;C10,"2012","2011"))</f>
        <v>Tie</v>
      </c>
    </row>
    <row r="11" customFormat="false" ht="15" hidden="false" customHeight="false" outlineLevel="0" collapsed="false">
      <c r="B11" s="18" t="s">
        <v>63</v>
      </c>
      <c r="C11" s="18"/>
      <c r="D11" s="18"/>
      <c r="E11" s="18"/>
      <c r="F11" s="18"/>
      <c r="G11" s="18"/>
    </row>
    <row r="12" customFormat="false" ht="15" hidden="false" customHeight="false" outlineLevel="0" collapsed="false">
      <c r="B12" s="5" t="s">
        <v>64</v>
      </c>
      <c r="C12" s="19" t="n">
        <f aca="false">Inputs!C15</f>
        <v>869824</v>
      </c>
      <c r="D12" s="19" t="n">
        <f aca="false">Inputs!D15</f>
        <v>1391455</v>
      </c>
      <c r="E12" s="19" t="n">
        <f aca="false">D12-C12</f>
        <v>521631</v>
      </c>
      <c r="F12" s="15" t="n">
        <f aca="false">IF(C12=0,0,(D12-C12)/ABS(C12))</f>
        <v>0.599697180119197</v>
      </c>
      <c r="G12" s="16" t="str">
        <f aca="false">IF(ABS(D12-C12)/MAX(ABS(C12),0.0001)&lt;0.02,"Tie",IF(D12&gt;C12,"2012","2011"))</f>
        <v>2012</v>
      </c>
    </row>
    <row r="13" customFormat="false" ht="15" hidden="false" customHeight="false" outlineLevel="0" collapsed="false">
      <c r="B13" s="5" t="s">
        <v>27</v>
      </c>
      <c r="C13" s="19" t="n">
        <f aca="false">Inputs!C17</f>
        <v>332960</v>
      </c>
      <c r="D13" s="19" t="n">
        <f aca="false">Inputs!D17</f>
        <v>533274</v>
      </c>
      <c r="E13" s="19" t="n">
        <f aca="false">D13-C13</f>
        <v>200314</v>
      </c>
      <c r="F13" s="15" t="n">
        <f aca="false">IF(C13=0,0,(D13-C13)/ABS(C13))</f>
        <v>0.601615809706872</v>
      </c>
      <c r="G13" s="16" t="str">
        <f aca="false">IF(ABS(D13-C13)/MAX(ABS(C13),0.0001)&lt;0.02,"Tie",IF(D13&gt;C13,"2012","2011"))</f>
        <v>2012</v>
      </c>
    </row>
    <row r="14" customFormat="false" ht="15" hidden="false" customHeight="false" outlineLevel="0" collapsed="false">
      <c r="B14" s="5" t="s">
        <v>28</v>
      </c>
      <c r="C14" s="19" t="n">
        <f aca="false">Inputs!C18</f>
        <v>536863</v>
      </c>
      <c r="D14" s="19" t="n">
        <f aca="false">Inputs!D18</f>
        <v>858181</v>
      </c>
      <c r="E14" s="19" t="n">
        <f aca="false">D14-C14</f>
        <v>321318</v>
      </c>
      <c r="F14" s="15" t="n">
        <f aca="false">IF(C14=0,0,(D14-C14)/ABS(C14))</f>
        <v>0.5985102344546</v>
      </c>
      <c r="G14" s="16" t="str">
        <f aca="false">IF(ABS(D14-C14)/MAX(ABS(C14),0.0001)&lt;0.02,"Tie",IF(D14&lt;C14,"2012","2011"))</f>
        <v>2011</v>
      </c>
    </row>
    <row r="15" customFormat="false" ht="15" hidden="false" customHeight="false" outlineLevel="0" collapsed="false">
      <c r="B15" s="5" t="s">
        <v>65</v>
      </c>
      <c r="C15" s="20" t="n">
        <f aca="false">Inputs!C17/Inputs!C15</f>
        <v>0.382790081671695</v>
      </c>
      <c r="D15" s="20" t="n">
        <f aca="false">Inputs!D17/Inputs!D15</f>
        <v>0.383249188798775</v>
      </c>
      <c r="E15" s="20" t="n">
        <f aca="false">D15-C15</f>
        <v>0.000459107127080916</v>
      </c>
      <c r="F15" s="15" t="n">
        <f aca="false">IF(C15=0,0,(D15-C15)/ABS(C15))</f>
        <v>0.00119937048806472</v>
      </c>
      <c r="G15" s="16" t="str">
        <f aca="false">IF(ABS(D15-C15)/MAX(ABS(C15),0.0001)&lt;0.02,"Tie",IF(D15&gt;C15,"2012","2011"))</f>
        <v>Tie</v>
      </c>
    </row>
    <row r="16" customFormat="false" ht="15" hidden="false" customHeight="false" outlineLevel="0" collapsed="false">
      <c r="B16" s="5" t="s">
        <v>66</v>
      </c>
      <c r="C16" s="19" t="n">
        <f aca="false">Inputs!C16</f>
        <v>56774</v>
      </c>
      <c r="D16" s="19" t="n">
        <f aca="false">Inputs!D16</f>
        <v>0</v>
      </c>
      <c r="E16" s="19" t="n">
        <f aca="false">D16-C16</f>
        <v>-56774</v>
      </c>
      <c r="F16" s="15" t="n">
        <f aca="false">IF(C16=0,0,(D16-C16)/ABS(C16))</f>
        <v>-1</v>
      </c>
      <c r="G16" s="16" t="str">
        <f aca="false">IF(ABS(D16-C16)/MAX(ABS(C16),0.0001)&lt;0.02,"Tie",IF(D16&gt;C16,"2012","2011"))</f>
        <v>2011</v>
      </c>
    </row>
    <row r="17" customFormat="false" ht="15" hidden="false" customHeight="false" outlineLevel="0" collapsed="false">
      <c r="B17" s="5" t="s">
        <v>30</v>
      </c>
      <c r="C17" s="19" t="n">
        <f aca="false">Inputs!C19</f>
        <v>43491</v>
      </c>
      <c r="D17" s="19" t="n">
        <f aca="false">Inputs!D19</f>
        <v>69573</v>
      </c>
      <c r="E17" s="19" t="n">
        <f aca="false">D17-C17</f>
        <v>26082</v>
      </c>
      <c r="F17" s="15" t="n">
        <f aca="false">IF(C17=0,0,(D17-C17)/ABS(C17))</f>
        <v>0.599710284886528</v>
      </c>
      <c r="G17" s="16" t="str">
        <f aca="false">IF(ABS(D17-C17)/MAX(ABS(C17),0.0001)&lt;0.02,"Tie",IF(D17&lt;C17,"2012","2011"))</f>
        <v>2011</v>
      </c>
    </row>
    <row r="18" customFormat="false" ht="15" hidden="false" customHeight="false" outlineLevel="0" collapsed="false">
      <c r="B18" s="21" t="s">
        <v>67</v>
      </c>
      <c r="C18" s="21"/>
      <c r="D18" s="21"/>
      <c r="E18" s="21"/>
      <c r="F18" s="21"/>
      <c r="G18" s="21"/>
    </row>
    <row r="19" customFormat="false" ht="15" hidden="false" customHeight="false" outlineLevel="0" collapsed="false">
      <c r="B19" s="5" t="s">
        <v>68</v>
      </c>
      <c r="C19" s="19" t="n">
        <f aca="false">Inputs!C15/Inputs!C11</f>
        <v>7434.39316239316</v>
      </c>
      <c r="D19" s="19" t="n">
        <f aca="false">Inputs!D15/Inputs!D11</f>
        <v>8536.53374233129</v>
      </c>
      <c r="E19" s="19" t="n">
        <f aca="false">D19-C19</f>
        <v>1102.14057993813</v>
      </c>
      <c r="F19" s="15" t="n">
        <f aca="false">IF(C19=0,0,(D19-C19)/ABS(C19))</f>
        <v>0.148248896159178</v>
      </c>
      <c r="G19" s="16" t="str">
        <f aca="false">IF(ABS(D19-C19)/MAX(ABS(C19),0.0001)&lt;0.02,"Tie",IF(D19&gt;C19,"2012","2011"))</f>
        <v>2012</v>
      </c>
    </row>
    <row r="20" customFormat="false" ht="15" hidden="false" customHeight="false" outlineLevel="0" collapsed="false">
      <c r="B20" s="5" t="s">
        <v>69</v>
      </c>
      <c r="C20" s="19" t="n">
        <f aca="false">Inputs!C17/Inputs!C11</f>
        <v>2845.81196581197</v>
      </c>
      <c r="D20" s="19" t="n">
        <f aca="false">Inputs!D17/Inputs!D11</f>
        <v>3271.61963190184</v>
      </c>
      <c r="E20" s="19" t="n">
        <f aca="false">D20-C20</f>
        <v>425.807666089875</v>
      </c>
      <c r="F20" s="15" t="n">
        <f aca="false">IF(C20=0,0,(D20-C20)/ABS(C20))</f>
        <v>0.149626071998184</v>
      </c>
      <c r="G20" s="16" t="str">
        <f aca="false">IF(ABS(D20-C20)/MAX(ABS(C20),0.0001)&lt;0.02,"Tie",IF(D20&gt;C20,"2012","2011"))</f>
        <v>2012</v>
      </c>
    </row>
    <row r="21" customFormat="false" ht="15" hidden="false" customHeight="false" outlineLevel="0" collapsed="false">
      <c r="B21" s="5" t="s">
        <v>70</v>
      </c>
      <c r="C21" s="19" t="n">
        <f aca="false">Inputs!C18/Inputs!C11</f>
        <v>4588.57264957265</v>
      </c>
      <c r="D21" s="19" t="n">
        <f aca="false">Inputs!D18/Inputs!D11</f>
        <v>5264.91411042945</v>
      </c>
      <c r="E21" s="19" t="n">
        <f aca="false">D21-C21</f>
        <v>676.341460856798</v>
      </c>
      <c r="F21" s="15" t="n">
        <f aca="false">IF(C21=0,0,(D21-C21)/ABS(C21))</f>
        <v>0.147396916755756</v>
      </c>
      <c r="G21" s="16" t="str">
        <f aca="false">IF(ABS(D21-C21)/MAX(ABS(C21),0.0001)&lt;0.02,"Tie",IF(D21&lt;C21,"2012","2011"))</f>
        <v>2011</v>
      </c>
    </row>
    <row r="22" customFormat="false" ht="15" hidden="false" customHeight="false" outlineLevel="0" collapsed="false">
      <c r="B22" s="5" t="s">
        <v>71</v>
      </c>
      <c r="C22" s="19" t="n">
        <f aca="false">Inputs!C21/Inputs!C11</f>
        <v>1221.22222222222</v>
      </c>
      <c r="D22" s="19" t="n">
        <f aca="false">Inputs!D21/Inputs!D11</f>
        <v>1663.92024539877</v>
      </c>
      <c r="E22" s="19" t="n">
        <f aca="false">D22-C22</f>
        <v>442.698023176551</v>
      </c>
      <c r="F22" s="15" t="n">
        <f aca="false">IF(C22=0,0,(D22-C22)/ABS(C22))</f>
        <v>0.362504067745333</v>
      </c>
      <c r="G22" s="16" t="str">
        <f aca="false">IF(ABS(D22-C22)/MAX(ABS(C22),0.0001)&lt;0.02,"Tie",IF(D22&lt;C22,"2012","2011"))</f>
        <v>2011</v>
      </c>
    </row>
    <row r="23" customFormat="false" ht="15" hidden="false" customHeight="false" outlineLevel="0" collapsed="false">
      <c r="B23" s="5" t="s">
        <v>72</v>
      </c>
      <c r="C23" s="19" t="n">
        <f aca="false">Inputs!C22/Inputs!C11</f>
        <v>2521.4188034188</v>
      </c>
      <c r="D23" s="19" t="n">
        <f aca="false">Inputs!D22/Inputs!D11</f>
        <v>2506.36196319018</v>
      </c>
      <c r="E23" s="19" t="n">
        <f aca="false">D23-C23</f>
        <v>-15.056840228619</v>
      </c>
      <c r="F23" s="15" t="n">
        <f aca="false">IF(C23=0,0,(D23-C23)/ABS(C23))</f>
        <v>-0.00597157449932686</v>
      </c>
      <c r="G23" s="16" t="str">
        <f aca="false">IF(ABS(D23-C23)/MAX(ABS(C23),0.0001)&lt;0.02,"Tie",IF(D23&lt;C23,"2012","2011"))</f>
        <v>Tie</v>
      </c>
    </row>
    <row r="24" customFormat="false" ht="15" hidden="false" customHeight="false" outlineLevel="0" collapsed="false">
      <c r="B24" s="5" t="s">
        <v>73</v>
      </c>
      <c r="C24" s="17" t="n">
        <f aca="false">Inputs!C26/Inputs!C11</f>
        <v>59.3504273504274</v>
      </c>
      <c r="D24" s="17" t="n">
        <f aca="false">Inputs!D26/Inputs!D11</f>
        <v>89.6134969325153</v>
      </c>
      <c r="E24" s="17" t="n">
        <f aca="false">D24-C24</f>
        <v>30.263069582088</v>
      </c>
      <c r="F24" s="15" t="n">
        <f aca="false">IF(C24=0,0,(D24-C24)/ABS(C24))</f>
        <v>0.509904830228153</v>
      </c>
      <c r="G24" s="16" t="str">
        <f aca="false">IF(ABS(D24-C24)/MAX(ABS(C24),0.0001)&lt;0.02,"Tie",IF(D24&lt;C24,"2012","2011"))</f>
        <v>2011</v>
      </c>
    </row>
    <row r="25" customFormat="false" ht="15" hidden="false" customHeight="false" outlineLevel="0" collapsed="false">
      <c r="B25" s="22" t="s">
        <v>74</v>
      </c>
      <c r="C25" s="22"/>
      <c r="D25" s="22"/>
      <c r="E25" s="22"/>
      <c r="F25" s="22"/>
      <c r="G25" s="22"/>
    </row>
    <row r="26" customFormat="false" ht="15" hidden="false" customHeight="false" outlineLevel="0" collapsed="false">
      <c r="B26" s="5" t="s">
        <v>75</v>
      </c>
      <c r="C26" s="19" t="n">
        <f aca="false">Inputs!C15/Inputs!C12</f>
        <v>1474.2779661017</v>
      </c>
      <c r="D26" s="19" t="n">
        <f aca="false">Inputs!D15/Inputs!D12</f>
        <v>1705.21446078431</v>
      </c>
      <c r="E26" s="19" t="n">
        <f aca="false">D26-C26</f>
        <v>230.936494682619</v>
      </c>
      <c r="F26" s="15" t="n">
        <f aca="false">IF(C26=0,0,(D26-C26)/ABS(C26))</f>
        <v>0.156643794448929</v>
      </c>
      <c r="G26" s="16" t="str">
        <f aca="false">IF(ABS(D26-C26)/MAX(ABS(C26),0.0001)&lt;0.02,"Tie",IF(D26&gt;C26,"2012","2011"))</f>
        <v>2012</v>
      </c>
    </row>
    <row r="27" customFormat="false" ht="15" hidden="false" customHeight="false" outlineLevel="0" collapsed="false">
      <c r="B27" s="5" t="s">
        <v>76</v>
      </c>
      <c r="C27" s="19" t="n">
        <f aca="false">Inputs!C17/Inputs!C12</f>
        <v>564.338983050847</v>
      </c>
      <c r="D27" s="19" t="n">
        <f aca="false">Inputs!D17/Inputs!D12</f>
        <v>653.522058823529</v>
      </c>
      <c r="E27" s="19" t="n">
        <f aca="false">D27-C27</f>
        <v>89.183075772682</v>
      </c>
      <c r="F27" s="15" t="n">
        <f aca="false">IF(C27=0,0,(D27-C27)/ABS(C27))</f>
        <v>0.158031038881194</v>
      </c>
      <c r="G27" s="16" t="str">
        <f aca="false">IF(ABS(D27-C27)/MAX(ABS(C27),0.0001)&lt;0.02,"Tie",IF(D27&gt;C27,"2012","2011"))</f>
        <v>2012</v>
      </c>
    </row>
    <row r="28" customFormat="false" ht="15" hidden="false" customHeight="false" outlineLevel="0" collapsed="false">
      <c r="B28" s="5" t="s">
        <v>77</v>
      </c>
      <c r="C28" s="19" t="n">
        <f aca="false">Inputs!C18/Inputs!C12</f>
        <v>909.937288135593</v>
      </c>
      <c r="D28" s="19" t="n">
        <f aca="false">Inputs!D18/Inputs!D12</f>
        <v>1051.69240196078</v>
      </c>
      <c r="E28" s="19" t="n">
        <f aca="false">D28-C28</f>
        <v>141.755113825191</v>
      </c>
      <c r="F28" s="15" t="n">
        <f aca="false">IF(C28=0,0,(D28-C28)/ABS(C28))</f>
        <v>0.155785586186537</v>
      </c>
      <c r="G28" s="16" t="str">
        <f aca="false">IF(ABS(D28-C28)/MAX(ABS(C28),0.0001)&lt;0.02,"Tie",IF(D28&lt;C28,"2012","2011"))</f>
        <v>2011</v>
      </c>
    </row>
    <row r="29" customFormat="false" ht="15" hidden="false" customHeight="false" outlineLevel="0" collapsed="false">
      <c r="B29" s="5" t="s">
        <v>78</v>
      </c>
      <c r="C29" s="19" t="n">
        <f aca="false">Inputs!C21/Inputs!C12</f>
        <v>242.174576271186</v>
      </c>
      <c r="D29" s="19" t="n">
        <f aca="false">Inputs!D21/Inputs!D12</f>
        <v>332.376225490196</v>
      </c>
      <c r="E29" s="19" t="n">
        <f aca="false">D29-C29</f>
        <v>90.2016492190096</v>
      </c>
      <c r="F29" s="15" t="n">
        <f aca="false">IF(C29=0,0,(D29-C29)/ABS(C29))</f>
        <v>0.372465395038008</v>
      </c>
      <c r="G29" s="16" t="str">
        <f aca="false">IF(ABS(D29-C29)/MAX(ABS(C29),0.0001)&lt;0.02,"Tie",IF(D29&lt;C29,"2012","2011"))</f>
        <v>2011</v>
      </c>
    </row>
    <row r="30" customFormat="false" ht="15" hidden="false" customHeight="false" outlineLevel="0" collapsed="false">
      <c r="B30" s="5" t="s">
        <v>79</v>
      </c>
      <c r="C30" s="19" t="n">
        <f aca="false">Inputs!C22/Inputs!C12</f>
        <v>500.010169491525</v>
      </c>
      <c r="D30" s="19" t="n">
        <f aca="false">Inputs!D22/Inputs!D12</f>
        <v>500.658088235294</v>
      </c>
      <c r="E30" s="19" t="n">
        <f aca="false">D30-C30</f>
        <v>0.647918743768742</v>
      </c>
      <c r="F30" s="15" t="n">
        <f aca="false">IF(C30=0,0,(D30-C30)/ABS(C30))</f>
        <v>0.00129581113205683</v>
      </c>
      <c r="G30" s="16" t="str">
        <f aca="false">IF(ABS(D30-C30)/MAX(ABS(C30),0.0001)&lt;0.02,"Tie",IF(D30&lt;C30,"2012","2011"))</f>
        <v>Tie</v>
      </c>
    </row>
    <row r="31" customFormat="false" ht="15" hidden="false" customHeight="false" outlineLevel="0" collapsed="false">
      <c r="B31" s="5" t="s">
        <v>80</v>
      </c>
      <c r="C31" s="17" t="n">
        <f aca="false">Inputs!C26/Inputs!C12</f>
        <v>11.7694915254237</v>
      </c>
      <c r="D31" s="17" t="n">
        <f aca="false">Inputs!D26/Inputs!D12</f>
        <v>17.9007352941177</v>
      </c>
      <c r="E31" s="17" t="n">
        <f aca="false">D31-C31</f>
        <v>6.13124376869392</v>
      </c>
      <c r="F31" s="15" t="n">
        <f aca="false">IF(C31=0,0,(D31-C31)/ABS(C31))</f>
        <v>0.520943810992139</v>
      </c>
      <c r="G31" s="16" t="str">
        <f aca="false">IF(ABS(D31-C31)/MAX(ABS(C31),0.0001)&lt;0.02,"Tie",IF(D31&lt;C31,"2012","2011"))</f>
        <v>2011</v>
      </c>
    </row>
    <row r="32" customFormat="false" ht="15" hidden="false" customHeight="false" outlineLevel="0" collapsed="false">
      <c r="B32" s="23" t="s">
        <v>81</v>
      </c>
      <c r="C32" s="23"/>
      <c r="D32" s="23"/>
      <c r="E32" s="23"/>
      <c r="F32" s="23"/>
      <c r="G32" s="23"/>
    </row>
    <row r="33" customFormat="false" ht="15" hidden="false" customHeight="false" outlineLevel="0" collapsed="false">
      <c r="B33" s="5" t="s">
        <v>40</v>
      </c>
      <c r="C33" s="14" t="n">
        <f aca="false">Inputs!C26</f>
        <v>6944</v>
      </c>
      <c r="D33" s="14" t="n">
        <f aca="false">Inputs!D26</f>
        <v>14607</v>
      </c>
      <c r="E33" s="14" t="n">
        <f aca="false">D33-C33</f>
        <v>7663</v>
      </c>
      <c r="F33" s="15" t="n">
        <f aca="false">IF(C33=0,0,(D33-C33)/ABS(C33))</f>
        <v>1.10354262672811</v>
      </c>
      <c r="G33" s="16" t="str">
        <f aca="false">IF(ABS(D33-C33)/MAX(ABS(C33),0.0001)&lt;0.02,"Tie",IF(D33&lt;C33,"2012","2011"))</f>
        <v>2011</v>
      </c>
    </row>
    <row r="34" customFormat="false" ht="15" hidden="false" customHeight="false" outlineLevel="0" collapsed="false">
      <c r="B34" s="5" t="s">
        <v>41</v>
      </c>
      <c r="C34" s="14" t="n">
        <f aca="false">Inputs!C27</f>
        <v>31</v>
      </c>
      <c r="D34" s="14" t="n">
        <f aca="false">Inputs!D27</f>
        <v>28</v>
      </c>
      <c r="E34" s="14" t="n">
        <f aca="false">D34-C34</f>
        <v>-3</v>
      </c>
      <c r="F34" s="15" t="n">
        <f aca="false">IF(C34=0,0,(D34-C34)/ABS(C34))</f>
        <v>-0.0967741935483871</v>
      </c>
      <c r="G34" s="16" t="str">
        <f aca="false">IF(ABS(D34-C34)/MAX(ABS(C34),0.0001)&lt;0.02,"Tie",IF(D34&lt;C34,"2012","2011"))</f>
        <v>2012</v>
      </c>
    </row>
    <row r="35" customFormat="false" ht="15" hidden="false" customHeight="false" outlineLevel="0" collapsed="false">
      <c r="B35" s="5" t="s">
        <v>82</v>
      </c>
      <c r="C35" s="24" t="n">
        <f aca="false">Inputs!C28</f>
        <v>20.58</v>
      </c>
      <c r="D35" s="24" t="n">
        <f aca="false">Inputs!D28</f>
        <v>19.94</v>
      </c>
      <c r="E35" s="24" t="n">
        <f aca="false">D35-C35</f>
        <v>-0.639999999999997</v>
      </c>
      <c r="F35" s="15" t="n">
        <f aca="false">IF(C35=0,0,(D35-C35)/ABS(C35))</f>
        <v>-0.031098153547133</v>
      </c>
      <c r="G35" s="16" t="str">
        <f aca="false">IF(ABS(D35-C35)/MAX(ABS(C35),0.0001)&lt;0.02,"Tie",IF(D35&lt;C35,"2012","2011"))</f>
        <v>2012</v>
      </c>
    </row>
    <row r="36" customFormat="false" ht="15" hidden="false" customHeight="false" outlineLevel="0" collapsed="false">
      <c r="B36" s="5" t="s">
        <v>83</v>
      </c>
      <c r="C36" s="24" t="n">
        <f aca="false">Inputs!C29</f>
        <v>31.08</v>
      </c>
      <c r="D36" s="24" t="n">
        <f aca="false">Inputs!D29</f>
        <v>30.12</v>
      </c>
      <c r="E36" s="24" t="n">
        <f aca="false">D36-C36</f>
        <v>-0.959999999999997</v>
      </c>
      <c r="F36" s="15" t="n">
        <f aca="false">IF(C36=0,0,(D36-C36)/ABS(C36))</f>
        <v>-0.0308880308880308</v>
      </c>
      <c r="G36" s="16" t="str">
        <f aca="false">IF(ABS(D36-C36)/MAX(ABS(C36),0.0001)&lt;0.02,"Tie",IF(D36&lt;C36,"2012","2011"))</f>
        <v>2012</v>
      </c>
    </row>
    <row r="37" customFormat="false" ht="15" hidden="false" customHeight="false" outlineLevel="0" collapsed="false">
      <c r="B37" s="5" t="s">
        <v>84</v>
      </c>
      <c r="C37" s="24" t="n">
        <f aca="false">Inputs!C15/Inputs!C26</f>
        <v>125.26267281106</v>
      </c>
      <c r="D37" s="24" t="n">
        <f aca="false">Inputs!D15/Inputs!D26</f>
        <v>95.259464640241</v>
      </c>
      <c r="E37" s="24" t="n">
        <f aca="false">D37-C37</f>
        <v>-30.0032081708189</v>
      </c>
      <c r="F37" s="15" t="n">
        <f aca="false">IF(C37=0,0,(D37-C37)/ABS(C37))</f>
        <v>-0.239522337321305</v>
      </c>
      <c r="G37" s="16" t="str">
        <f aca="false">IF(ABS(D37-C37)/MAX(ABS(C37),0.0001)&lt;0.02,"Tie",IF(D37&gt;C37,"2012","2011"))</f>
        <v>2011</v>
      </c>
    </row>
    <row r="38" customFormat="false" ht="15" hidden="false" customHeight="false" outlineLevel="0" collapsed="false">
      <c r="B38" s="5" t="s">
        <v>85</v>
      </c>
      <c r="C38" s="24" t="n">
        <f aca="false">Inputs!C17/Inputs!C26</f>
        <v>47.9493087557604</v>
      </c>
      <c r="D38" s="24" t="n">
        <f aca="false">Inputs!D17/Inputs!D26</f>
        <v>36.508112548778</v>
      </c>
      <c r="E38" s="24" t="n">
        <f aca="false">D38-C38</f>
        <v>-11.4411962069824</v>
      </c>
      <c r="F38" s="15" t="n">
        <f aca="false">IF(C38=0,0,(D38-C38)/ABS(C38))</f>
        <v>-0.238610242855856</v>
      </c>
      <c r="G38" s="16" t="str">
        <f aca="false">IF(ABS(D38-C38)/MAX(ABS(C38),0.0001)&lt;0.02,"Tie",IF(D38&gt;C38,"2012","2011"))</f>
        <v>2011</v>
      </c>
    </row>
    <row r="39" customFormat="false" ht="15" hidden="false" customHeight="false" outlineLevel="0" collapsed="false">
      <c r="B39" s="5" t="s">
        <v>86</v>
      </c>
      <c r="C39" s="14" t="n">
        <f aca="false">Inputs!C26/Inputs!C27</f>
        <v>224</v>
      </c>
      <c r="D39" s="14" t="n">
        <f aca="false">Inputs!D26/Inputs!D27</f>
        <v>521.678571428571</v>
      </c>
      <c r="E39" s="14" t="n">
        <f aca="false">D39-C39</f>
        <v>297.678571428571</v>
      </c>
      <c r="F39" s="15" t="n">
        <f aca="false">IF(C39=0,0,(D39-C39)/ABS(C39))</f>
        <v>1.32892219387755</v>
      </c>
      <c r="G39" s="16" t="str">
        <f aca="false">IF(ABS(D39-C39)/MAX(ABS(C39),0.0001)&lt;0.02,"Tie",IF(D39&gt;C39,"2012","2011"))</f>
        <v>2012</v>
      </c>
    </row>
    <row r="40" customFormat="false" ht="15" hidden="false" customHeight="false" outlineLevel="0" collapsed="false">
      <c r="B40" s="25" t="s">
        <v>87</v>
      </c>
      <c r="C40" s="25"/>
      <c r="D40" s="25"/>
      <c r="E40" s="25"/>
      <c r="F40" s="25"/>
      <c r="G40" s="25"/>
    </row>
    <row r="41" customFormat="false" ht="15" hidden="false" customHeight="false" outlineLevel="0" collapsed="false">
      <c r="B41" s="5" t="s">
        <v>88</v>
      </c>
      <c r="C41" s="20" t="n">
        <f aca="false">Inputs!C21/Inputs!C15</f>
        <v>0.164266564270473</v>
      </c>
      <c r="D41" s="20" t="n">
        <f aca="false">Inputs!D21/Inputs!D15</f>
        <v>0.194917550334003</v>
      </c>
      <c r="E41" s="20" t="n">
        <f aca="false">D41-C41</f>
        <v>0.0306509860635298</v>
      </c>
      <c r="F41" s="15" t="n">
        <f aca="false">IF(C41=0,0,(D41-C41)/ABS(C41))</f>
        <v>0.186592969784535</v>
      </c>
      <c r="G41" s="16" t="str">
        <f aca="false">IF(ABS(D41-C41)/MAX(ABS(C41),0.0001)&lt;0.02,"Tie",IF(D41&lt;C41,"2012","2011"))</f>
        <v>2011</v>
      </c>
    </row>
    <row r="42" customFormat="false" ht="15" hidden="false" customHeight="false" outlineLevel="0" collapsed="false">
      <c r="B42" s="5" t="s">
        <v>89</v>
      </c>
      <c r="C42" s="20" t="n">
        <f aca="false">Inputs!C22/Inputs!C15</f>
        <v>0.339155967184166</v>
      </c>
      <c r="D42" s="20" t="n">
        <f aca="false">Inputs!D22/Inputs!D15</f>
        <v>0.293604176922718</v>
      </c>
      <c r="E42" s="20" t="n">
        <f aca="false">D42-C42</f>
        <v>-0.0455517902614485</v>
      </c>
      <c r="F42" s="15" t="n">
        <f aca="false">IF(C42=0,0,(D42-C42)/ABS(C42))</f>
        <v>-0.134309269683919</v>
      </c>
      <c r="G42" s="16" t="str">
        <f aca="false">IF(ABS(D42-C42)/MAX(ABS(C42),0.0001)&lt;0.02,"Tie",IF(D42&lt;C42,"2012","2011"))</f>
        <v>2012</v>
      </c>
    </row>
    <row r="43" customFormat="false" ht="15" hidden="false" customHeight="false" outlineLevel="0" collapsed="false">
      <c r="B43" s="5" t="s">
        <v>90</v>
      </c>
      <c r="C43" s="20" t="n">
        <f aca="false">Inputs!C23/Inputs!C15</f>
        <v>0.0301325325583106</v>
      </c>
      <c r="D43" s="20" t="n">
        <f aca="false">Inputs!D23/Inputs!D15</f>
        <v>0.00696896414185152</v>
      </c>
      <c r="E43" s="20" t="n">
        <f aca="false">D43-C43</f>
        <v>-0.0231635684164591</v>
      </c>
      <c r="F43" s="15" t="n">
        <f aca="false">IF(C43=0,0,(D43-C43)/ABS(C43))</f>
        <v>-0.768722920041135</v>
      </c>
      <c r="G43" s="16" t="str">
        <f aca="false">IF(ABS(D43-C43)/MAX(ABS(C43),0.0001)&lt;0.02,"Tie",IF(D43&lt;C43,"2012","2011"))</f>
        <v>2012</v>
      </c>
    </row>
    <row r="44" customFormat="false" ht="15" hidden="false" customHeight="false" outlineLevel="0" collapsed="false">
      <c r="B44" s="5" t="s">
        <v>91</v>
      </c>
      <c r="C44" s="20" t="n">
        <f aca="false">Inputs!C24/Inputs!C15</f>
        <v>0.0836548543153558</v>
      </c>
      <c r="D44" s="20" t="n">
        <f aca="false">Inputs!D24/Inputs!D15</f>
        <v>0.121260119802653</v>
      </c>
      <c r="E44" s="20" t="n">
        <f aca="false">D44-C44</f>
        <v>0.0376052654872969</v>
      </c>
      <c r="F44" s="15" t="n">
        <f aca="false">IF(C44=0,0,(D44-C44)/ABS(C44))</f>
        <v>0.449528790589191</v>
      </c>
      <c r="G44" s="16" t="str">
        <f aca="false">IF(ABS(D44-C44)/MAX(ABS(C44),0.0001)&lt;0.02,"Tie",IF(D44&lt;C44,"2012","2011"))</f>
        <v>2011</v>
      </c>
    </row>
    <row r="45" customFormat="false" ht="15" hidden="false" customHeight="false" outlineLevel="0" collapsed="false">
      <c r="B45" s="5" t="s">
        <v>92</v>
      </c>
      <c r="C45" s="17" t="n">
        <f aca="false">Inputs!C21/Inputs!C22</f>
        <v>0.484339301573527</v>
      </c>
      <c r="D45" s="17" t="n">
        <f aca="false">Inputs!D21/Inputs!D22</f>
        <v>0.663878669496276</v>
      </c>
      <c r="E45" s="17" t="n">
        <f aca="false">D45-C45</f>
        <v>0.179539367922748</v>
      </c>
      <c r="F45" s="15" t="n">
        <f aca="false">IF(C45=0,0,(D45-C45)/ABS(C45))</f>
        <v>0.370689240661368</v>
      </c>
      <c r="G45" s="16" t="str">
        <f aca="false">IF(ABS(D45-C45)/MAX(ABS(C45),0.0001)&lt;0.02,"Tie",IF(D45&gt;C45,"2012","2011"))</f>
        <v>2012</v>
      </c>
    </row>
    <row r="46" customFormat="false" ht="15" hidden="false" customHeight="false" outlineLevel="0" collapsed="false">
      <c r="B46" s="26" t="s">
        <v>93</v>
      </c>
      <c r="C46" s="26"/>
      <c r="D46" s="26"/>
      <c r="E46" s="26"/>
      <c r="F46" s="26"/>
      <c r="G46" s="26"/>
    </row>
    <row r="47" customFormat="false" ht="15" hidden="false" customHeight="false" outlineLevel="0" collapsed="false">
      <c r="B47" s="5" t="s">
        <v>94</v>
      </c>
      <c r="C47" s="19" t="n">
        <f aca="false">Inputs!C15/Inputs!C10</f>
        <v>51166.1176470588</v>
      </c>
      <c r="D47" s="19" t="n">
        <f aca="false">Inputs!D15/Inputs!D10</f>
        <v>81850.2941176471</v>
      </c>
      <c r="E47" s="19" t="n">
        <f aca="false">D47-C47</f>
        <v>30684.1764705882</v>
      </c>
      <c r="F47" s="15" t="n">
        <f aca="false">IF(C47=0,0,(D47-C47)/ABS(C47))</f>
        <v>0.599697180119197</v>
      </c>
      <c r="G47" s="16" t="str">
        <f aca="false">IF(ABS(D47-C47)/MAX(ABS(C47),0.0001)&lt;0.02,"Tie",IF(D47&gt;C47,"2012","2011"))</f>
        <v>2012</v>
      </c>
    </row>
    <row r="48" customFormat="false" ht="15" hidden="false" customHeight="false" outlineLevel="0" collapsed="false">
      <c r="B48" s="5" t="s">
        <v>95</v>
      </c>
      <c r="C48" s="17" t="n">
        <f aca="false">Inputs!C11/Inputs!C10</f>
        <v>6.88235294117647</v>
      </c>
      <c r="D48" s="17" t="n">
        <f aca="false">Inputs!D11/Inputs!D10</f>
        <v>9.58823529411765</v>
      </c>
      <c r="E48" s="17" t="n">
        <f aca="false">D48-C48</f>
        <v>2.70588235294118</v>
      </c>
      <c r="F48" s="15" t="n">
        <f aca="false">IF(C48=0,0,(D48-C48)/ABS(C48))</f>
        <v>0.393162393162393</v>
      </c>
      <c r="G48" s="16" t="str">
        <f aca="false">IF(ABS(D48-C48)/MAX(ABS(C48),0.0001)&lt;0.02,"Tie",IF(D48&gt;C48,"2012","2011"))</f>
        <v>2012</v>
      </c>
    </row>
    <row r="49" customFormat="false" ht="15" hidden="false" customHeight="false" outlineLevel="0" collapsed="false">
      <c r="B49" s="5" t="s">
        <v>96</v>
      </c>
      <c r="C49" s="17" t="n">
        <f aca="false">Inputs!C12/Inputs!C10</f>
        <v>34.7058823529412</v>
      </c>
      <c r="D49" s="17" t="n">
        <f aca="false">Inputs!D12/Inputs!D10</f>
        <v>48</v>
      </c>
      <c r="E49" s="17" t="n">
        <f aca="false">D49-C49</f>
        <v>13.2941176470588</v>
      </c>
      <c r="F49" s="15" t="n">
        <f aca="false">IF(C49=0,0,(D49-C49)/ABS(C49))</f>
        <v>0.383050847457627</v>
      </c>
      <c r="G49" s="16" t="str">
        <f aca="false">IF(ABS(D49-C49)/MAX(ABS(C49),0.0001)&lt;0.02,"Tie",IF(D49&gt;C49,"2012","2011"))</f>
        <v>2012</v>
      </c>
    </row>
    <row r="50" customFormat="false" ht="15" hidden="false" customHeight="false" outlineLevel="0" collapsed="false">
      <c r="B50" s="5" t="s">
        <v>97</v>
      </c>
      <c r="C50" s="17" t="n">
        <f aca="false">Inputs!C26/Inputs!C10</f>
        <v>408.470588235294</v>
      </c>
      <c r="D50" s="17" t="n">
        <f aca="false">Inputs!D26/Inputs!D10</f>
        <v>859.235294117647</v>
      </c>
      <c r="E50" s="17" t="n">
        <f aca="false">D50-C50</f>
        <v>450.764705882353</v>
      </c>
      <c r="F50" s="15" t="n">
        <f aca="false">IF(C50=0,0,(D50-C50)/ABS(C50))</f>
        <v>1.10354262672811</v>
      </c>
      <c r="G50" s="16" t="str">
        <f aca="false">IF(ABS(D50-C50)/MAX(ABS(C50),0.0001)&lt;0.02,"Tie",IF(D50&lt;C50,"2012","2011"))</f>
        <v>2011</v>
      </c>
    </row>
    <row r="53" customFormat="false" ht="15" hidden="false" customHeight="false" outlineLevel="0" collapsed="false">
      <c r="B53" s="27" t="s">
        <v>98</v>
      </c>
      <c r="C53" s="27"/>
      <c r="D53" s="27"/>
      <c r="E53" s="27"/>
      <c r="F53" s="27"/>
      <c r="G53" s="27"/>
    </row>
    <row r="54" customFormat="false" ht="15" hidden="false" customHeight="false" outlineLevel="0" collapsed="false">
      <c r="B54" s="11" t="s">
        <v>99</v>
      </c>
      <c r="C54" s="11"/>
      <c r="D54" s="11"/>
      <c r="E54" s="11"/>
      <c r="F54" s="11"/>
      <c r="G54" s="11"/>
    </row>
    <row r="55" customFormat="false" ht="15" hidden="false" customHeight="false" outlineLevel="0" collapsed="false">
      <c r="B55" s="11" t="s">
        <v>100</v>
      </c>
      <c r="C55" s="11"/>
      <c r="D55" s="11"/>
      <c r="E55" s="11"/>
      <c r="F55" s="11"/>
      <c r="G55" s="11"/>
    </row>
    <row r="56" customFormat="false" ht="15" hidden="false" customHeight="false" outlineLevel="0" collapsed="false">
      <c r="B56" s="11" t="s">
        <v>101</v>
      </c>
      <c r="C56" s="11"/>
      <c r="D56" s="11"/>
      <c r="E56" s="11"/>
      <c r="F56" s="11"/>
      <c r="G56" s="11"/>
    </row>
  </sheetData>
  <mergeCells count="13">
    <mergeCell ref="B2:G2"/>
    <mergeCell ref="B3:G3"/>
    <mergeCell ref="B6:G6"/>
    <mergeCell ref="B11:G11"/>
    <mergeCell ref="B18:G18"/>
    <mergeCell ref="B25:G25"/>
    <mergeCell ref="B32:G32"/>
    <mergeCell ref="B40:G40"/>
    <mergeCell ref="B46:G46"/>
    <mergeCell ref="B53:G53"/>
    <mergeCell ref="B54:G54"/>
    <mergeCell ref="B55:G55"/>
    <mergeCell ref="B56:G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00"/>
    <col collapsed="false" customWidth="true" hidden="false" outlineLevel="0" max="4" min="4" style="0" width="2"/>
  </cols>
  <sheetData>
    <row r="2" customFormat="false" ht="25.5" hidden="false" customHeight="true" outlineLevel="0" collapsed="false">
      <c r="B2" s="1" t="s">
        <v>102</v>
      </c>
      <c r="C2" s="1"/>
    </row>
    <row r="4" customFormat="false" ht="48" hidden="false" customHeight="true" outlineLevel="0" collapsed="false">
      <c r="B4" s="28" t="s">
        <v>103</v>
      </c>
      <c r="C4" s="29" t="s">
        <v>104</v>
      </c>
    </row>
    <row r="5" customFormat="false" ht="48" hidden="false" customHeight="true" outlineLevel="0" collapsed="false">
      <c r="B5" s="28" t="s">
        <v>105</v>
      </c>
      <c r="C5" s="29" t="s">
        <v>106</v>
      </c>
    </row>
    <row r="6" customFormat="false" ht="48" hidden="false" customHeight="true" outlineLevel="0" collapsed="false">
      <c r="B6" s="28" t="s">
        <v>107</v>
      </c>
      <c r="C6" s="29" t="s">
        <v>108</v>
      </c>
    </row>
    <row r="7" customFormat="false" ht="48" hidden="false" customHeight="true" outlineLevel="0" collapsed="false">
      <c r="B7" s="28" t="s">
        <v>109</v>
      </c>
      <c r="C7" s="29" t="s">
        <v>110</v>
      </c>
    </row>
    <row r="8" customFormat="false" ht="48" hidden="false" customHeight="true" outlineLevel="0" collapsed="false">
      <c r="B8" s="28" t="s">
        <v>111</v>
      </c>
      <c r="C8" s="29" t="s">
        <v>112</v>
      </c>
    </row>
    <row r="9" customFormat="false" ht="48" hidden="false" customHeight="true" outlineLevel="0" collapsed="false">
      <c r="B9" s="28" t="s">
        <v>113</v>
      </c>
      <c r="C9" s="29" t="s">
        <v>114</v>
      </c>
    </row>
    <row r="10" customFormat="false" ht="48" hidden="false" customHeight="true" outlineLevel="0" collapsed="false">
      <c r="B10" s="28" t="s">
        <v>115</v>
      </c>
      <c r="C10" s="29" t="s">
        <v>116</v>
      </c>
    </row>
    <row r="11" customFormat="false" ht="48" hidden="false" customHeight="true" outlineLevel="0" collapsed="false">
      <c r="B11" s="28" t="s">
        <v>117</v>
      </c>
      <c r="C11" s="29" t="s">
        <v>118</v>
      </c>
    </row>
    <row r="12" customFormat="false" ht="48" hidden="false" customHeight="true" outlineLevel="0" collapsed="false">
      <c r="B12" s="28" t="s">
        <v>119</v>
      </c>
      <c r="C12" s="29" t="s">
        <v>120</v>
      </c>
    </row>
    <row r="13" customFormat="false" ht="48" hidden="false" customHeight="true" outlineLevel="0" collapsed="false">
      <c r="B13" s="28" t="s">
        <v>121</v>
      </c>
      <c r="C13" s="29" t="s">
        <v>122</v>
      </c>
    </row>
    <row r="14" customFormat="false" ht="48" hidden="false" customHeight="true" outlineLevel="0" collapsed="false">
      <c r="B14" s="28" t="s">
        <v>123</v>
      </c>
      <c r="C14" s="29" t="s">
        <v>124</v>
      </c>
    </row>
    <row r="15" customFormat="false" ht="48" hidden="false" customHeight="true" outlineLevel="0" collapsed="false">
      <c r="B15" s="28" t="s">
        <v>125</v>
      </c>
      <c r="C15" s="29" t="s">
        <v>126</v>
      </c>
    </row>
    <row r="17" customFormat="false" ht="15" hidden="false" customHeight="false" outlineLevel="0" collapsed="false">
      <c r="B17" s="30" t="s">
        <v>127</v>
      </c>
      <c r="C17" s="30"/>
    </row>
    <row r="18" customFormat="false" ht="49.5" hidden="false" customHeight="true" outlineLevel="0" collapsed="false">
      <c r="B18" s="31" t="s">
        <v>128</v>
      </c>
      <c r="C18" s="31"/>
    </row>
    <row r="20" customFormat="false" ht="15" hidden="false" customHeight="false" outlineLevel="0" collapsed="false">
      <c r="B20" s="11" t="s">
        <v>129</v>
      </c>
      <c r="C20" s="11"/>
    </row>
  </sheetData>
  <mergeCells count="4">
    <mergeCell ref="B2:C2"/>
    <mergeCell ref="B17:C17"/>
    <mergeCell ref="B18:C18"/>
    <mergeCell ref="B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2026-04-07T22:38:54Z</dcterms:created>
  <dc:creator>openpyxl</dc:creator>
  <dc:description/>
  <dc:language>en-US</dc:language>
  <cp:lastModifiedBy/>
  <dcterms:modified xsi:type="dcterms:W3CDTF">2026-04-07T22:38:54Z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