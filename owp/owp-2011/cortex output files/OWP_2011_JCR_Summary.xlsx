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Overview" sheetId="1" state="visible" r:id="rId3"/>
    <sheet name="Budget vs Actual" sheetId="2" state="visible" r:id="rId4"/>
    <sheet name="Crew &amp; Labor" sheetId="3" state="visible" r:id="rId5"/>
    <sheet name="PO Commitments" sheetId="4" state="visible" r:id="rId6"/>
    <sheet name="Billing &amp; SOV" sheetId="5" state="visible" r:id="rId7"/>
    <sheet name="Benchmark KPIs" sheetId="6" state="visible" r:id="rId8"/>
    <sheet name="Reconciliation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<sst xmlns="http://schemas.openxmlformats.org/spreadsheetml/2006/main" count="523" uniqueCount="391">
  <si>
    <t xml:space="preserve">Job #2011 · Chinn Barrett Park Apartments</t>
  </si>
  <si>
    <t xml:space="preserve">Notion-Style JCR Summary  •  Chinn Construction, LLC  •  Seattle, WA  •  Nov 2012 – Mar 2014</t>
  </si>
  <si>
    <t xml:space="preserve">CONTRACT VALUE</t>
  </si>
  <si>
    <t xml:space="preserve">NET PROFIT</t>
  </si>
  <si>
    <t xml:space="preserve">DIRECT COST</t>
  </si>
  <si>
    <t xml:space="preserve">LABOR HOURS</t>
  </si>
  <si>
    <t xml:space="preserve">$869,824</t>
  </si>
  <si>
    <t xml:space="preserve">$332,960</t>
  </si>
  <si>
    <t xml:space="preserve">$536,863</t>
  </si>
  <si>
    <t xml:space="preserve">6,944</t>
  </si>
  <si>
    <t xml:space="preserve">Original $813k + $56.8k COs</t>
  </si>
  <si>
    <t xml:space="preserve">38.3% margin</t>
  </si>
  <si>
    <t xml:space="preserve">61.7% of revenue</t>
  </si>
  <si>
    <t xml:space="preserve">31 workers</t>
  </si>
  <si>
    <t xml:space="preserve">COST BREAKDOWN</t>
  </si>
  <si>
    <t xml:space="preserve">Category</t>
  </si>
  <si>
    <t xml:space="preserve">Budget</t>
  </si>
  <si>
    <t xml:space="preserve">Actual</t>
  </si>
  <si>
    <t xml:space="preserve">Variance</t>
  </si>
  <si>
    <t xml:space="preserve">% Budget</t>
  </si>
  <si>
    <t xml:space="preserve">% of Cost</t>
  </si>
  <si>
    <t xml:space="preserve">Labor</t>
  </si>
  <si>
    <t xml:space="preserve">Material</t>
  </si>
  <si>
    <t xml:space="preserve">Overhead</t>
  </si>
  <si>
    <t xml:space="preserve">Burden</t>
  </si>
  <si>
    <t xml:space="preserve">TOTAL</t>
  </si>
  <si>
    <t xml:space="preserve">PROJECT PROFILE</t>
  </si>
  <si>
    <t xml:space="preserve">Metric</t>
  </si>
  <si>
    <t xml:space="preserve">Value</t>
  </si>
  <si>
    <t xml:space="preserve">Units</t>
  </si>
  <si>
    <t xml:space="preserve">117</t>
  </si>
  <si>
    <t xml:space="preserve">Water Closets</t>
  </si>
  <si>
    <t xml:space="preserve">Kitchen Sinks</t>
  </si>
  <si>
    <t xml:space="preserve">119</t>
  </si>
  <si>
    <t xml:space="preserve">Total Fixtures</t>
  </si>
  <si>
    <t xml:space="preserve">590</t>
  </si>
  <si>
    <t xml:space="preserve">Lavatories</t>
  </si>
  <si>
    <t xml:space="preserve">Dishwashers</t>
  </si>
  <si>
    <t xml:space="preserve">3</t>
  </si>
  <si>
    <t xml:space="preserve">Fixtures / Unit</t>
  </si>
  <si>
    <t xml:space="preserve">5.04</t>
  </si>
  <si>
    <t xml:space="preserve">Tubs</t>
  </si>
  <si>
    <t xml:space="preserve">Auto Washers</t>
  </si>
  <si>
    <t xml:space="preserve">Stacks</t>
  </si>
  <si>
    <t xml:space="preserve">30</t>
  </si>
  <si>
    <t xml:space="preserve">Floors</t>
  </si>
  <si>
    <t xml:space="preserve">4</t>
  </si>
  <si>
    <t xml:space="preserve">Duration</t>
  </si>
  <si>
    <t xml:space="preserve">17 mo</t>
  </si>
  <si>
    <t xml:space="preserve">SOURCES</t>
  </si>
  <si>
    <t xml:space="preserve">Job #2011 — Chinn Barrett Park Apartments  •  GC: Chinn Construction, LLC  •  Seattle, WA</t>
  </si>
  <si>
    <t xml:space="preserve">Canonical source: 2011 Job Detail Report.pdf (69 pages, OWP Sage Timberline export)</t>
  </si>
  <si>
    <t xml:space="preserve">Cost categories: Labor (12 codes 0xx/1xx), Material (11 codes 039+2xx), Overhead (600/601/603), Burden (995/998)</t>
  </si>
  <si>
    <t xml:space="preserve">Units + fixtures: BARRETT h20 stacks.xls + BARRETT waste stacks.xls (30 stacks × ~5 fixtures/unit)</t>
  </si>
  <si>
    <t xml:space="preserve">Budget vs Actual — All Cost Codes</t>
  </si>
  <si>
    <t xml:space="preserve">Code</t>
  </si>
  <si>
    <t xml:space="preserve">Description</t>
  </si>
  <si>
    <t xml:space="preserve">Orig Budget</t>
  </si>
  <si>
    <t xml:space="preserve">Rev Budget</t>
  </si>
  <si>
    <t xml:space="preserve">% Used</t>
  </si>
  <si>
    <t xml:space="preserve">LABOR</t>
  </si>
  <si>
    <t xml:space="preserve">011</t>
  </si>
  <si>
    <t xml:space="preserve">DS &amp; RD Labor</t>
  </si>
  <si>
    <t xml:space="preserve">100</t>
  </si>
  <si>
    <t xml:space="preserve">Supervision</t>
  </si>
  <si>
    <t xml:space="preserve">101</t>
  </si>
  <si>
    <t xml:space="preserve">Takeoff &amp; Purchase Labor</t>
  </si>
  <si>
    <t xml:space="preserve">110</t>
  </si>
  <si>
    <t xml:space="preserve">Underground Labor</t>
  </si>
  <si>
    <t xml:space="preserve">111</t>
  </si>
  <si>
    <t xml:space="preserve">Garage Labor</t>
  </si>
  <si>
    <t xml:space="preserve">112</t>
  </si>
  <si>
    <t xml:space="preserve">Canout Labor</t>
  </si>
  <si>
    <t xml:space="preserve">113</t>
  </si>
  <si>
    <t xml:space="preserve">Foundation Drain Labor</t>
  </si>
  <si>
    <t xml:space="preserve">120</t>
  </si>
  <si>
    <t xml:space="preserve">Roughin Labor</t>
  </si>
  <si>
    <t xml:space="preserve">130</t>
  </si>
  <si>
    <t xml:space="preserve">Finish Labor</t>
  </si>
  <si>
    <t xml:space="preserve">141</t>
  </si>
  <si>
    <t xml:space="preserve">Water Main/Insulation Lab</t>
  </si>
  <si>
    <t xml:space="preserve">142</t>
  </si>
  <si>
    <t xml:space="preserve">Mech Room Labor</t>
  </si>
  <si>
    <t xml:space="preserve">145</t>
  </si>
  <si>
    <t xml:space="preserve">Tub/Shower Labor</t>
  </si>
  <si>
    <t xml:space="preserve">MATERIAL</t>
  </si>
  <si>
    <t xml:space="preserve">039</t>
  </si>
  <si>
    <t xml:space="preserve">DS &amp; RD Material</t>
  </si>
  <si>
    <t xml:space="preserve">210</t>
  </si>
  <si>
    <t xml:space="preserve">Underground Material</t>
  </si>
  <si>
    <t xml:space="preserve">211</t>
  </si>
  <si>
    <t xml:space="preserve">Garage Material</t>
  </si>
  <si>
    <t xml:space="preserve">212</t>
  </si>
  <si>
    <t xml:space="preserve">Canout Material</t>
  </si>
  <si>
    <t xml:space="preserve">213</t>
  </si>
  <si>
    <t xml:space="preserve">Foundation Material</t>
  </si>
  <si>
    <t xml:space="preserve">220</t>
  </si>
  <si>
    <t xml:space="preserve">Roughin Material</t>
  </si>
  <si>
    <t xml:space="preserve">230</t>
  </si>
  <si>
    <t xml:space="preserve">Finish Material</t>
  </si>
  <si>
    <t xml:space="preserve">241</t>
  </si>
  <si>
    <t xml:space="preserve">Water Main/Insulation Mat</t>
  </si>
  <si>
    <t xml:space="preserve">242</t>
  </si>
  <si>
    <t xml:space="preserve">Mech Room Material</t>
  </si>
  <si>
    <t xml:space="preserve">244</t>
  </si>
  <si>
    <t xml:space="preserve">Fire Caulking Material</t>
  </si>
  <si>
    <t xml:space="preserve">245</t>
  </si>
  <si>
    <t xml:space="preserve">Tub/Shower Material</t>
  </si>
  <si>
    <t xml:space="preserve">OVERHEAD</t>
  </si>
  <si>
    <t xml:space="preserve">600</t>
  </si>
  <si>
    <t xml:space="preserve">Subcontractor</t>
  </si>
  <si>
    <t xml:space="preserve">601</t>
  </si>
  <si>
    <t xml:space="preserve">Engineering/Plans</t>
  </si>
  <si>
    <t xml:space="preserve">603</t>
  </si>
  <si>
    <t xml:space="preserve">Permits &amp; Licenses</t>
  </si>
  <si>
    <t xml:space="preserve">BURDEN</t>
  </si>
  <si>
    <t xml:space="preserve">995</t>
  </si>
  <si>
    <t xml:space="preserve">Payroll Burden</t>
  </si>
  <si>
    <t xml:space="preserve">998</t>
  </si>
  <si>
    <t xml:space="preserve">Payroll Taxes</t>
  </si>
  <si>
    <t xml:space="preserve">Direct Cost</t>
  </si>
  <si>
    <t xml:space="preserve">Cost Code Totals lines parsed from JCR. All 28 codes tie to JCR Job Totals line.</t>
  </si>
  <si>
    <t xml:space="preserve">Crew &amp; Labor — Per-Worker Breakdown</t>
  </si>
  <si>
    <t xml:space="preserve">Worker</t>
  </si>
  <si>
    <t xml:space="preserve">Hours</t>
  </si>
  <si>
    <t xml:space="preserve">Gross Pay</t>
  </si>
  <si>
    <t xml:space="preserve">$/Hour</t>
  </si>
  <si>
    <t xml:space="preserve">Tier</t>
  </si>
  <si>
    <t xml:space="preserve">Quintanilla, Esteban R</t>
  </si>
  <si>
    <t xml:space="preserve">Mid</t>
  </si>
  <si>
    <t xml:space="preserve">Castro Hernandez, Jose A</t>
  </si>
  <si>
    <t xml:space="preserve">Apprentice</t>
  </si>
  <si>
    <t xml:space="preserve">Monico Brambila, Jesus S</t>
  </si>
  <si>
    <t xml:space="preserve">Garcia, Jordan X</t>
  </si>
  <si>
    <t xml:space="preserve">Lima Romero, Melvin A</t>
  </si>
  <si>
    <t xml:space="preserve">Castaneda Martinez, Gustavo</t>
  </si>
  <si>
    <t xml:space="preserve">Palma Vides, Hugo</t>
  </si>
  <si>
    <t xml:space="preserve">Anderson, Richard P</t>
  </si>
  <si>
    <t xml:space="preserve">Wilson, Garret A</t>
  </si>
  <si>
    <t xml:space="preserve">Gerard, Jeffrey S</t>
  </si>
  <si>
    <t xml:space="preserve">McCabe, Thomas C</t>
  </si>
  <si>
    <t xml:space="preserve">Ross, Kelli M</t>
  </si>
  <si>
    <t xml:space="preserve">Reed, Reuben H</t>
  </si>
  <si>
    <t xml:space="preserve">Sepulveda Gonzalez, Alfredo</t>
  </si>
  <si>
    <t xml:space="preserve">Holmes, Anthony R</t>
  </si>
  <si>
    <t xml:space="preserve">Kinssies, Jr, John E</t>
  </si>
  <si>
    <t xml:space="preserve">Meza Fuentes, Erick A</t>
  </si>
  <si>
    <t xml:space="preserve">Barnhart, Joseph N</t>
  </si>
  <si>
    <t xml:space="preserve">Hayton, Evan R</t>
  </si>
  <si>
    <t xml:space="preserve">Ramirez, Lorenzo A</t>
  </si>
  <si>
    <t xml:space="preserve">Gonzalez Hernandez, Josue</t>
  </si>
  <si>
    <t xml:space="preserve">Paco Leyva, Orlando</t>
  </si>
  <si>
    <t xml:space="preserve">Veley, Nathaniel S</t>
  </si>
  <si>
    <t xml:space="preserve">Hubbard, Dustin R</t>
  </si>
  <si>
    <t xml:space="preserve">Cortes Mendiola, Victor H</t>
  </si>
  <si>
    <t xml:space="preserve">Sanders, Allen O</t>
  </si>
  <si>
    <t xml:space="preserve">Arreola, Israel A</t>
  </si>
  <si>
    <t xml:space="preserve">Castro Hernandez, Carlos E</t>
  </si>
  <si>
    <t xml:space="preserve">Soto Cruz, Jovani</t>
  </si>
  <si>
    <t xml:space="preserve">Soto Serna, Cesar E</t>
  </si>
  <si>
    <t xml:space="preserve">Vaughan, Tyler J</t>
  </si>
  <si>
    <t xml:space="preserve">TOTAL (31 workers)</t>
  </si>
  <si>
    <t xml:space="preserve">PR (Payroll) transactions parsed from JCR. Regular hours only — O/T and D/T not separated.</t>
  </si>
  <si>
    <t xml:space="preserve">Tier classification: Apprentice ≤$22/hr, Mid $22–$35/hr, Senior &gt;$35/hr</t>
  </si>
  <si>
    <t xml:space="preserve">Purchase Order Commitments</t>
  </si>
  <si>
    <t xml:space="preserve">26 POs parsed from barrett po scheduled/  •  Total committed: $124,908</t>
  </si>
  <si>
    <t xml:space="preserve">A. COMMITMENTS BY COST CODE</t>
  </si>
  <si>
    <t xml:space="preserve">OWP Code</t>
  </si>
  <si>
    <t xml:space="preserve">Description → JCR Code</t>
  </si>
  <si>
    <t xml:space="preserve">PO Count</t>
  </si>
  <si>
    <t xml:space="preserve">PO Committed</t>
  </si>
  <si>
    <t xml:space="preserve">JCR Material</t>
  </si>
  <si>
    <t xml:space="preserve">110+210 Underground</t>
  </si>
  <si>
    <t xml:space="preserve">31</t>
  </si>
  <si>
    <t xml:space="preserve">120+220 Roughin</t>
  </si>
  <si>
    <t xml:space="preserve">32</t>
  </si>
  <si>
    <t xml:space="preserve">130+230 Trim/Finish</t>
  </si>
  <si>
    <t xml:space="preserve">34</t>
  </si>
  <si>
    <t xml:space="preserve">111+211 Garage</t>
  </si>
  <si>
    <t xml:space="preserve">35</t>
  </si>
  <si>
    <t xml:space="preserve">112+212 Canout</t>
  </si>
  <si>
    <t xml:space="preserve">36</t>
  </si>
  <si>
    <t xml:space="preserve">113+213 Foundation</t>
  </si>
  <si>
    <t xml:space="preserve">39</t>
  </si>
  <si>
    <t xml:space="preserve">011+039 DS &amp; RD</t>
  </si>
  <si>
    <t xml:space="preserve">40</t>
  </si>
  <si>
    <t xml:space="preserve">141+241 Water Main/Ins</t>
  </si>
  <si>
    <t xml:space="preserve">B. COMMITMENTS BY VENDOR</t>
  </si>
  <si>
    <t xml:space="preserve">Vendor</t>
  </si>
  <si>
    <t xml:space="preserve">Committed</t>
  </si>
  <si>
    <t xml:space="preserve">% of POs</t>
  </si>
  <si>
    <t xml:space="preserve">FEI</t>
  </si>
  <si>
    <t xml:space="preserve">ROSEN</t>
  </si>
  <si>
    <t xml:space="preserve">SIOUX CHIEF</t>
  </si>
  <si>
    <t xml:space="preserve">(blank)</t>
  </si>
  <si>
    <t xml:space="preserve">KELLER</t>
  </si>
  <si>
    <t xml:space="preserve">C. PO COVERAGE ANALYSIS</t>
  </si>
  <si>
    <t xml:space="preserve">Total Material Actual (JCR)</t>
  </si>
  <si>
    <t xml:space="preserve">Total PO Committed</t>
  </si>
  <si>
    <t xml:space="preserve">PO Coverage %</t>
  </si>
  <si>
    <t xml:space="preserve">Uncommitted Material Spend</t>
  </si>
  <si>
    <t xml:space="preserve">  (direct invoices, no PO)</t>
  </si>
  <si>
    <t xml:space="preserve">PO source: '2011-Chinn, Barrett Park/barrett po scheduled/' (56 files, 26 unique POs after dedupe)</t>
  </si>
  <si>
    <t xml:space="preserve">OWP 2-digit codes map to JCR 3-digit codes (e.g. OWP 31 Roughin → JCR 120 Roughin Labor + 220 Roughin Material)</t>
  </si>
  <si>
    <t xml:space="preserve">PO coverage &lt;100% means some material was invoiced directly via AP without a PO — normal for small/repeat orders.</t>
  </si>
  <si>
    <t xml:space="preserve">Revenue &amp; Billing Reconciliation</t>
  </si>
  <si>
    <t xml:space="preserve">13 pay applications  •  Original contract $813,050 + $56,774 COs = $869,824</t>
  </si>
  <si>
    <t xml:space="preserve">A. CONTRACT SUMMARY</t>
  </si>
  <si>
    <t xml:space="preserve">Original Contract</t>
  </si>
  <si>
    <t xml:space="preserve">CO #1  (Foundation drains, 2/13)</t>
  </si>
  <si>
    <t xml:space="preserve">CO #2  (Trash chute wash down, 4/13)</t>
  </si>
  <si>
    <t xml:space="preserve">CO #3  (Plumbing fixture change, 2/14)</t>
  </si>
  <si>
    <t xml:space="preserve">Final Contract Value</t>
  </si>
  <si>
    <t xml:space="preserve">Retainage (5%)</t>
  </si>
  <si>
    <t xml:space="preserve">Net Paid to OWP</t>
  </si>
  <si>
    <t xml:space="preserve">B. PAY APPLICATION TIMELINE</t>
  </si>
  <si>
    <t xml:space="preserve">App#</t>
  </si>
  <si>
    <t xml:space="preserve">Date</t>
  </si>
  <si>
    <t xml:space="preserve">Contract</t>
  </si>
  <si>
    <t xml:space="preserve">This Period</t>
  </si>
  <si>
    <t xml:space="preserve">Billed To Date</t>
  </si>
  <si>
    <t xml:space="preserve">% Complete</t>
  </si>
  <si>
    <t xml:space="preserve">-</t>
  </si>
  <si>
    <t xml:space="preserve">2013-01-11</t>
  </si>
  <si>
    <t xml:space="preserve">2013-02-14</t>
  </si>
  <si>
    <t xml:space="preserve">2013-03-11</t>
  </si>
  <si>
    <t xml:space="preserve">2013-04-09</t>
  </si>
  <si>
    <t xml:space="preserve">2013-05-09</t>
  </si>
  <si>
    <t xml:space="preserve">2013-06-11</t>
  </si>
  <si>
    <t xml:space="preserve">2013-07-11</t>
  </si>
  <si>
    <t xml:space="preserve">2013-08-09</t>
  </si>
  <si>
    <t xml:space="preserve">2013-09-10</t>
  </si>
  <si>
    <t xml:space="preserve">2013-10-10</t>
  </si>
  <si>
    <t xml:space="preserve">2014-02-10</t>
  </si>
  <si>
    <t xml:space="preserve">2014-03-10</t>
  </si>
  <si>
    <t xml:space="preserve">C. BILLING ↔ JCR TIE-OUT</t>
  </si>
  <si>
    <t xml:space="preserve">SOV Source</t>
  </si>
  <si>
    <t xml:space="preserve">JCR Source</t>
  </si>
  <si>
    <t xml:space="preserve">Δ</t>
  </si>
  <si>
    <t xml:space="preserve">Status</t>
  </si>
  <si>
    <t xml:space="preserve">TIES</t>
  </si>
  <si>
    <t xml:space="preserve">Retainage</t>
  </si>
  <si>
    <t xml:space="preserve">Net Billed (excl retainage)</t>
  </si>
  <si>
    <t xml:space="preserve">Source: 'Barrett billing/Chinn Barrett Park schedule of values 1-13.xlsx' (13 monthly pay applications)</t>
  </si>
  <si>
    <t xml:space="preserve">Retainage released via Pay App #14 (Nov 2014, captured in BARRETT AGGREGATE BILLING.xlsx)</t>
  </si>
  <si>
    <t xml:space="preserve">Benchmark KPIs</t>
  </si>
  <si>
    <t xml:space="preserve">KPI</t>
  </si>
  <si>
    <t xml:space="preserve">Data Name</t>
  </si>
  <si>
    <t xml:space="preserve">Notes</t>
  </si>
  <si>
    <t xml:space="preserve">Job Number</t>
  </si>
  <si>
    <t xml:space="preserve">job_number</t>
  </si>
  <si>
    <t xml:space="preserve">2011</t>
  </si>
  <si>
    <t xml:space="preserve">Profile</t>
  </si>
  <si>
    <t xml:space="preserve">OWP job ID</t>
  </si>
  <si>
    <t xml:space="preserve">Job Name</t>
  </si>
  <si>
    <t xml:space="preserve">job_name</t>
  </si>
  <si>
    <t xml:space="preserve">Chinn Barrett Park Apartments</t>
  </si>
  <si>
    <t xml:space="preserve">General Contractor</t>
  </si>
  <si>
    <t xml:space="preserve">general_contractor</t>
  </si>
  <si>
    <t xml:space="preserve">Chinn Construction, LLC</t>
  </si>
  <si>
    <t xml:space="preserve">Location</t>
  </si>
  <si>
    <t xml:space="preserve">location</t>
  </si>
  <si>
    <t xml:space="preserve">Seattle, WA</t>
  </si>
  <si>
    <t xml:space="preserve">duration_months</t>
  </si>
  <si>
    <t xml:space="preserve">17 months</t>
  </si>
  <si>
    <t xml:space="preserve">Nov 2012 – Mar 2014</t>
  </si>
  <si>
    <t xml:space="preserve">Contract Value (Original)</t>
  </si>
  <si>
    <t xml:space="preserve">contract_original</t>
  </si>
  <si>
    <t xml:space="preserve">Financial</t>
  </si>
  <si>
    <t xml:space="preserve">Base contract before change orders</t>
  </si>
  <si>
    <t xml:space="preserve">Contract Value (Final)</t>
  </si>
  <si>
    <t xml:space="preserve">contract_final</t>
  </si>
  <si>
    <t xml:space="preserve">After 56,774 in 3 change orders</t>
  </si>
  <si>
    <t xml:space="preserve">Net Profit</t>
  </si>
  <si>
    <t xml:space="preserve">net_profit</t>
  </si>
  <si>
    <t xml:space="preserve">Revenue - Direct Cost</t>
  </si>
  <si>
    <t xml:space="preserve">Gross Margin</t>
  </si>
  <si>
    <t xml:space="preserve">gross_margin</t>
  </si>
  <si>
    <t xml:space="preserve">Net profit / revenue</t>
  </si>
  <si>
    <t xml:space="preserve">direct_cost</t>
  </si>
  <si>
    <t xml:space="preserve">All cost codes combined (labor+mat+OH+burden)</t>
  </si>
  <si>
    <t xml:space="preserve">Labor Cost</t>
  </si>
  <si>
    <t xml:space="preserve">labor_cost</t>
  </si>
  <si>
    <t xml:space="preserve">Sum of 12 labor codes</t>
  </si>
  <si>
    <t xml:space="preserve">Material Cost</t>
  </si>
  <si>
    <t xml:space="preserve">material_cost</t>
  </si>
  <si>
    <t xml:space="preserve">Sum of 11 material codes</t>
  </si>
  <si>
    <t xml:space="preserve">Overhead Cost</t>
  </si>
  <si>
    <t xml:space="preserve">overhead_cost</t>
  </si>
  <si>
    <t xml:space="preserve">Subcontractor + Engineering + Permits</t>
  </si>
  <si>
    <t xml:space="preserve">Burden Cost</t>
  </si>
  <si>
    <t xml:space="preserve">burden_cost</t>
  </si>
  <si>
    <t xml:space="preserve">Payroll burden + taxes (codes 995, 998)</t>
  </si>
  <si>
    <t xml:space="preserve">Labor % of Revenue</t>
  </si>
  <si>
    <t xml:space="preserve">labor_pct_revenue</t>
  </si>
  <si>
    <t xml:space="preserve">Material % of Revenue</t>
  </si>
  <si>
    <t xml:space="preserve">material_pct_revenue</t>
  </si>
  <si>
    <t xml:space="preserve">Total Labor Hours</t>
  </si>
  <si>
    <t xml:space="preserve">total_hours</t>
  </si>
  <si>
    <t xml:space="preserve">Total Workers</t>
  </si>
  <si>
    <t xml:space="preserve">total_workers</t>
  </si>
  <si>
    <t xml:space="preserve">Unique employees on PR transactions</t>
  </si>
  <si>
    <t xml:space="preserve">Avg $/Hour</t>
  </si>
  <si>
    <t xml:space="preserve">avg_rate</t>
  </si>
  <si>
    <t xml:space="preserve">Labor cost / hours</t>
  </si>
  <si>
    <t xml:space="preserve">Revenue per Labor Hour</t>
  </si>
  <si>
    <t xml:space="preserve">revenue_per_hour</t>
  </si>
  <si>
    <t xml:space="preserve">Productivity</t>
  </si>
  <si>
    <t xml:space="preserve">Profit per Labor Hour</t>
  </si>
  <si>
    <t xml:space="preserve">profit_per_hour</t>
  </si>
  <si>
    <t xml:space="preserve">Hours per Worker (avg)</t>
  </si>
  <si>
    <t xml:space="preserve">hours_per_worker</t>
  </si>
  <si>
    <t xml:space="preserve">Total Vendors</t>
  </si>
  <si>
    <t xml:space="preserve">total_vendors</t>
  </si>
  <si>
    <t xml:space="preserve">Unique AP vendors</t>
  </si>
  <si>
    <t xml:space="preserve">Total POs</t>
  </si>
  <si>
    <t xml:space="preserve">total_pos</t>
  </si>
  <si>
    <t xml:space="preserve">Unique POs in barrett po scheduled</t>
  </si>
  <si>
    <t xml:space="preserve">po_committed</t>
  </si>
  <si>
    <t xml:space="preserve">po_coverage_pct</t>
  </si>
  <si>
    <t xml:space="preserve">POs as % of total material spend</t>
  </si>
  <si>
    <t xml:space="preserve">Change Orders</t>
  </si>
  <si>
    <t xml:space="preserve">change_orders</t>
  </si>
  <si>
    <t xml:space="preserve">3 COs: foundation drains, trash chute, fixture change</t>
  </si>
  <si>
    <t xml:space="preserve">CO % of Original</t>
  </si>
  <si>
    <t xml:space="preserve">co_pct</t>
  </si>
  <si>
    <t xml:space="preserve">retainage</t>
  </si>
  <si>
    <t xml:space="preserve">5% withheld, released Nov 2014</t>
  </si>
  <si>
    <t xml:space="preserve">Revenue per Month</t>
  </si>
  <si>
    <t xml:space="preserve">revenue_per_month</t>
  </si>
  <si>
    <t xml:space="preserve">Hours per Month</t>
  </si>
  <si>
    <t xml:space="preserve">hours_per_month</t>
  </si>
  <si>
    <t xml:space="preserve">Unit Count</t>
  </si>
  <si>
    <t xml:space="preserve">unit_count</t>
  </si>
  <si>
    <t xml:space="preserve">From stack takeoffs (1 WC per unit)</t>
  </si>
  <si>
    <t xml:space="preserve">total_fixtures</t>
  </si>
  <si>
    <t xml:space="preserve">WC+LAV+TUB+KS+DW+AW across 30 stacks</t>
  </si>
  <si>
    <t xml:space="preserve">Fixtures per Unit</t>
  </si>
  <si>
    <t xml:space="preserve">fixtures_per_unit</t>
  </si>
  <si>
    <t xml:space="preserve">Live/work units</t>
  </si>
  <si>
    <t xml:space="preserve">Revenue per Unit</t>
  </si>
  <si>
    <t xml:space="preserve">revenue_per_unit</t>
  </si>
  <si>
    <t xml:space="preserve">Profit per Unit</t>
  </si>
  <si>
    <t xml:space="preserve">profit_per_unit</t>
  </si>
  <si>
    <t xml:space="preserve">Direct Cost per Unit</t>
  </si>
  <si>
    <t xml:space="preserve">cost_per_unit</t>
  </si>
  <si>
    <t xml:space="preserve">Labor Cost per Unit</t>
  </si>
  <si>
    <t xml:space="preserve">labor_per_unit</t>
  </si>
  <si>
    <t xml:space="preserve">Material Cost per Unit</t>
  </si>
  <si>
    <t xml:space="preserve">material_per_unit</t>
  </si>
  <si>
    <t xml:space="preserve">Hours per Unit</t>
  </si>
  <si>
    <t xml:space="preserve">hours_per_unit</t>
  </si>
  <si>
    <t xml:space="preserve">Revenue per Fixture</t>
  </si>
  <si>
    <t xml:space="preserve">revenue_per_fixture</t>
  </si>
  <si>
    <t xml:space="preserve">Profit per Fixture</t>
  </si>
  <si>
    <t xml:space="preserve">profit_per_fixture</t>
  </si>
  <si>
    <t xml:space="preserve">Direct Cost per Fixture</t>
  </si>
  <si>
    <t xml:space="preserve">cost_per_fixture</t>
  </si>
  <si>
    <t xml:space="preserve">Labor Cost per Fixture</t>
  </si>
  <si>
    <t xml:space="preserve">labor_per_fixture</t>
  </si>
  <si>
    <t xml:space="preserve">Material per Fixture</t>
  </si>
  <si>
    <t xml:space="preserve">material_per_fixture</t>
  </si>
  <si>
    <t xml:space="preserve">Hours per Fixture</t>
  </si>
  <si>
    <t xml:space="preserve">hours_per_fixture</t>
  </si>
  <si>
    <t xml:space="preserve">46 KPIs with snake_case data_name identifiers for API/DB ingestion.</t>
  </si>
  <si>
    <t xml:space="preserve">Reconciliation — Tie-out Proofs</t>
  </si>
  <si>
    <t xml:space="preserve">All computed values vs JCR canonical, SOV canonical, and PO canonical</t>
  </si>
  <si>
    <t xml:space="preserve">Check</t>
  </si>
  <si>
    <t xml:space="preserve">Computed</t>
  </si>
  <si>
    <t xml:space="preserve">Expected</t>
  </si>
  <si>
    <t xml:space="preserve">A. JCR COST CODE ROLLUP</t>
  </si>
  <si>
    <t xml:space="preserve">Labor subtotal (12 codes)</t>
  </si>
  <si>
    <t xml:space="preserve">Material subtotal (11 codes)</t>
  </si>
  <si>
    <t xml:space="preserve">Overhead subtotal (3 codes)</t>
  </si>
  <si>
    <t xml:space="preserve">Burden subtotal (2 codes)</t>
  </si>
  <si>
    <t xml:space="preserve">Direct Cost (Labor+Mat+OH+Burden)</t>
  </si>
  <si>
    <t xml:space="preserve">Revenue (code 999)</t>
  </si>
  <si>
    <t xml:space="preserve">Net Profit (Revenue - Expenses)</t>
  </si>
  <si>
    <t xml:space="preserve">B. LABOR HOURS ROLLUP</t>
  </si>
  <si>
    <t xml:space="preserve">JCR Cost Code hours (sum of 'Payroll Hours:' lines)</t>
  </si>
  <si>
    <t xml:space="preserve">Per-worker hours (sum of PR Regular)</t>
  </si>
  <si>
    <t xml:space="preserve">C. BILLING (SOV) ↔ JCR</t>
  </si>
  <si>
    <t xml:space="preserve">Final Contract (SOV #13)</t>
  </si>
  <si>
    <t xml:space="preserve">Final Billed to Date (SOV #13)</t>
  </si>
  <si>
    <t xml:space="preserve">Final Retainage (SOV #13)</t>
  </si>
  <si>
    <t xml:space="preserve">Original Contract + 3 COs = Final</t>
  </si>
  <si>
    <t xml:space="preserve">D. PO COMMITMENTS ↔ JCR MATERIAL</t>
  </si>
  <si>
    <t xml:space="preserve">PARTIAL</t>
  </si>
  <si>
    <t xml:space="preserve">  PO coverage: 42.3% of material spend had a PO</t>
  </si>
  <si>
    <t xml:space="preserve">TIES = within $1  •  WITHIN = within tolerance (data source drift)  •  OFF = investigate</t>
  </si>
  <si>
    <t xml:space="preserve">All 'Expected' values are the canonical JCR/SOV numbers.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</si>
</sst>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"/>
    <numFmt numFmtId="166" formatCode="\$#,##0;[RED]&quot;-$&quot;#,##0"/>
    <numFmt numFmtId="167" formatCode="0.0%"/>
    <numFmt numFmtId="168" formatCode="#,##0"/>
    <numFmt numFmtId="169" formatCode="\$#,##0.00"/>
    <numFmt numFmtId="170" formatCode="0"/>
    <numFmt numFmtId="171" formatCode="0.00"/>
    <numFmt numFmtId="172" formatCode="#,##0&quot; hrs&quot;"/>
    <numFmt numFmtId="173" formatCode="#,##0;[RED]\-#,##0"/>
  </numFmts>
  <fonts count="3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2E2E2E"/>
      <name val="Inter"/>
      <family val="0"/>
      <charset val="1"/>
    </font>
    <font>
      <sz val="11"/>
      <color rgb="FF787878"/>
      <name val="Inter"/>
      <family val="0"/>
      <charset val="1"/>
    </font>
    <font>
      <b val="true"/>
      <sz val="9"/>
      <color rgb="FF14532D"/>
      <name val="Inter"/>
      <family val="0"/>
      <charset val="1"/>
    </font>
    <font>
      <b val="true"/>
      <sz val="9"/>
      <color rgb="FF1E3A8A"/>
      <name val="Inter"/>
      <family val="0"/>
      <charset val="1"/>
    </font>
    <font>
      <b val="true"/>
      <sz val="9"/>
      <color rgb="FF5B21B6"/>
      <name val="Inter"/>
      <family val="0"/>
      <charset val="1"/>
    </font>
    <font>
      <b val="true"/>
      <sz val="18"/>
      <color rgb="FF2E2E2E"/>
      <name val="Inter"/>
      <family val="0"/>
      <charset val="1"/>
    </font>
    <font>
      <i val="true"/>
      <sz val="9"/>
      <color rgb="FF787878"/>
      <name val="Inter"/>
      <family val="0"/>
      <charset val="1"/>
    </font>
    <font>
      <b val="true"/>
      <sz val="12"/>
      <color rgb="FF2E2E2E"/>
      <name val="Inter"/>
      <family val="0"/>
      <charset val="1"/>
    </font>
    <font>
      <b val="true"/>
      <sz val="10"/>
      <color rgb="FF2E2E2E"/>
      <name val="Inter"/>
      <family val="0"/>
      <charset val="1"/>
    </font>
    <font>
      <sz val="10"/>
      <color rgb="FF2E2E2E"/>
      <name val="Inter"/>
      <family val="0"/>
      <charset val="1"/>
    </font>
    <font>
      <b val="true"/>
      <sz val="9"/>
      <color rgb="FF64473A"/>
      <name val="Inter"/>
      <family val="0"/>
      <charset val="1"/>
    </font>
    <font>
      <b val="true"/>
      <sz val="9"/>
      <color rgb="FF4A4A4A"/>
      <name val="Inter"/>
      <family val="0"/>
      <charset val="1"/>
    </font>
    <font>
      <b val="true"/>
      <sz val="9"/>
      <color rgb="FF78350F"/>
      <name val="Inter"/>
      <family val="0"/>
      <charset val="1"/>
    </font>
    <font>
      <sz val="10"/>
      <color rgb="FF787878"/>
      <name val="Inter"/>
      <family val="0"/>
      <charset val="1"/>
    </font>
    <font>
      <b val="true"/>
      <sz val="9"/>
      <color rgb="FF787878"/>
      <name val="Inter"/>
      <family val="0"/>
      <charset val="1"/>
    </font>
    <font>
      <i val="true"/>
      <sz val="9"/>
      <color rgb="FF9A9A9A"/>
      <name val="Inter"/>
      <family val="0"/>
      <charset val="1"/>
    </font>
    <font>
      <b val="true"/>
      <sz val="10"/>
      <color rgb="FF1E3A8A"/>
      <name val="Inter"/>
      <family val="0"/>
      <charset val="1"/>
    </font>
    <font>
      <b val="true"/>
      <sz val="10"/>
      <color rgb="FF64473A"/>
      <name val="Inter"/>
      <family val="0"/>
      <charset val="1"/>
    </font>
    <font>
      <b val="true"/>
      <sz val="10"/>
      <color rgb="FF4A4A4A"/>
      <name val="Inter"/>
      <family val="0"/>
      <charset val="1"/>
    </font>
    <font>
      <b val="true"/>
      <sz val="10"/>
      <color rgb="FF78350F"/>
      <name val="Inter"/>
      <family val="0"/>
      <charset val="1"/>
    </font>
    <font>
      <b val="true"/>
      <sz val="11"/>
      <color rgb="FF2E2E2E"/>
      <name val="Inter"/>
      <family val="0"/>
      <charset val="1"/>
    </font>
    <font>
      <i val="true"/>
      <sz val="10"/>
      <color rgb="FF787878"/>
      <name val="Inter"/>
      <family val="0"/>
      <charset val="1"/>
    </font>
    <font>
      <b val="true"/>
      <sz val="11"/>
      <color rgb="FF1E3A8A"/>
      <name val="Inter"/>
      <family val="0"/>
      <charset val="1"/>
    </font>
    <font>
      <b val="true"/>
      <sz val="11"/>
      <color rgb="FF64473A"/>
      <name val="Inter"/>
      <family val="0"/>
      <charset val="1"/>
    </font>
    <font>
      <b val="true"/>
      <sz val="11"/>
      <color rgb="FF5B21B6"/>
      <name val="Inter"/>
      <family val="0"/>
      <charset val="1"/>
    </font>
    <font>
      <b val="true"/>
      <sz val="10"/>
      <color rgb="FF5B21B6"/>
      <name val="Inter"/>
      <family val="0"/>
      <charset val="1"/>
    </font>
    <font>
      <b val="true"/>
      <sz val="10"/>
      <color rgb="FF9A3412"/>
      <name val="Inter"/>
      <family val="0"/>
      <charset val="1"/>
    </font>
    <font>
      <b val="true"/>
      <sz val="11"/>
      <color rgb="FF14532D"/>
      <name val="Inter"/>
      <family val="0"/>
      <charset val="1"/>
    </font>
    <font>
      <sz val="10"/>
      <color rgb="FF1E3A8A"/>
      <name val="Inter"/>
      <family val="0"/>
      <charset val="1"/>
    </font>
    <font>
      <b val="true"/>
      <sz val="10"/>
      <color rgb="FF14532D"/>
      <name val="Inter"/>
      <family val="0"/>
      <charset val="1"/>
    </font>
    <font>
      <sz val="10"/>
      <color rgb="FF78350F"/>
      <name val="Inter"/>
      <family val="0"/>
      <charset val="1"/>
    </font>
    <font>
      <sz val="10"/>
      <color rgb="FF14532D"/>
      <name val="Inter"/>
      <family val="0"/>
      <charset val="1"/>
    </font>
    <font>
      <sz val="9"/>
      <color rgb="FF787878"/>
      <name val="Courier New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DCFCE7"/>
        <bgColor rgb="FFF1F1F0"/>
      </patternFill>
    </fill>
    <fill>
      <patternFill patternType="solid">
        <fgColor rgb="FFDBEAFE"/>
        <bgColor rgb="FFEAEAEA"/>
      </patternFill>
    </fill>
    <fill>
      <patternFill patternType="solid">
        <fgColor rgb="FFE9D5FF"/>
        <bgColor rgb="FFEAEAEA"/>
      </patternFill>
    </fill>
    <fill>
      <patternFill patternType="solid">
        <fgColor rgb="FFFFFFFF"/>
        <bgColor rgb="FFF7F6F3"/>
      </patternFill>
    </fill>
    <fill>
      <patternFill patternType="solid">
        <fgColor rgb="FFF7F6F3"/>
        <bgColor rgb="FFF1F1F0"/>
      </patternFill>
    </fill>
    <fill>
      <patternFill patternType="solid">
        <fgColor rgb="FFF1E8DE"/>
        <bgColor rgb="FFEAEAEA"/>
      </patternFill>
    </fill>
    <fill>
      <patternFill patternType="solid">
        <fgColor rgb="FFF1F1F0"/>
        <bgColor rgb="FFF7F6F3"/>
      </patternFill>
    </fill>
    <fill>
      <patternFill patternType="solid">
        <fgColor rgb="FFFEF3C7"/>
        <bgColor rgb="FFF1E8D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AEAEA"/>
      </left>
      <right style="thin">
        <color rgb="FFEAEAEA"/>
      </right>
      <top style="thin">
        <color rgb="FFEAEAEA"/>
      </top>
      <bottom style="thin">
        <color rgb="FFEAEA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2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4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4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4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2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12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8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3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1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3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3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3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5B21B6"/>
      <rgbColor rgb="FF008080"/>
      <rgbColor rgb="FFF7F6F3"/>
      <rgbColor rgb="FF787878"/>
      <rgbColor rgb="FF9999FF"/>
      <rgbColor rgb="FF78350F"/>
      <rgbColor rgb="FFFEF3C7"/>
      <rgbColor rgb="FFDCFCE7"/>
      <rgbColor rgb="FF660066"/>
      <rgbColor rgb="FFFF8080"/>
      <rgbColor rgb="FF0066CC"/>
      <rgbColor rgb="FFE9D5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AEAEA"/>
      <rgbColor rgb="FFF1E8DE"/>
      <rgbColor rgb="FF99CCFF"/>
      <rgbColor rgb="FFFF99CC"/>
      <rgbColor rgb="FFCC99FF"/>
      <rgbColor rgb="FFF1F1F0"/>
      <rgbColor rgb="FF3366FF"/>
      <rgbColor rgb="FF33CCCC"/>
      <rgbColor rgb="FF99CC00"/>
      <rgbColor rgb="FFFFCC00"/>
      <rgbColor rgb="FFFF9900"/>
      <rgbColor rgb="FFFF6600"/>
      <rgbColor rgb="FF666699"/>
      <rgbColor rgb="FF9A9A9A"/>
      <rgbColor rgb="FF003366"/>
      <rgbColor rgb="FF339966"/>
      <rgbColor rgb="FF14532D"/>
      <rgbColor rgb="FF4A4A4A"/>
      <rgbColor rgb="FF9A3412"/>
      <rgbColor rgb="FF64473A"/>
      <rgbColor rgb="FF1E3A8A"/>
      <rgbColor rgb="FF2E2E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8"/>
    <col collapsed="false" customWidth="true" hidden="false" outlineLevel="0" max="8" min="3" style="0" width="22"/>
    <col collapsed="false" customWidth="true" hidden="false" outlineLevel="0" max="9" min="9" style="0" width="2"/>
  </cols>
  <sheetData>
    <row r="2" customFormat="false" ht="33.75" hidden="false" customHeight="true" outlineLevel="0" collapsed="false">
      <c r="B2" s="1" t="s">
        <v>0</v>
      </c>
      <c r="C2" s="1"/>
      <c r="D2" s="1"/>
      <c r="E2" s="1"/>
      <c r="F2" s="1"/>
      <c r="G2" s="1"/>
      <c r="H2" s="1"/>
    </row>
    <row r="3" customFormat="false" ht="15" hidden="false" customHeight="false" outlineLevel="0" collapsed="false">
      <c r="B3" s="2" t="s">
        <v>1</v>
      </c>
      <c r="C3" s="2"/>
      <c r="D3" s="2"/>
      <c r="E3" s="2"/>
      <c r="F3" s="2"/>
      <c r="G3" s="2"/>
      <c r="H3" s="2"/>
    </row>
    <row r="5" customFormat="false" ht="21.75" hidden="false" customHeight="true" outlineLevel="0" collapsed="false">
      <c r="B5" s="3" t="s">
        <v>2</v>
      </c>
      <c r="C5" s="3"/>
      <c r="D5" s="3" t="s">
        <v>3</v>
      </c>
      <c r="E5" s="3"/>
      <c r="F5" s="4" t="s">
        <v>4</v>
      </c>
      <c r="G5" s="4"/>
      <c r="H5" s="5" t="s">
        <v>5</v>
      </c>
      <c r="I5" s="5"/>
    </row>
    <row r="6" customFormat="false" ht="30" hidden="false" customHeight="true" outlineLevel="0" collapsed="false">
      <c r="B6" s="6" t="s">
        <v>6</v>
      </c>
      <c r="C6" s="6"/>
      <c r="D6" s="6" t="s">
        <v>7</v>
      </c>
      <c r="E6" s="6"/>
      <c r="F6" s="6" t="s">
        <v>8</v>
      </c>
      <c r="G6" s="6"/>
      <c r="H6" s="6" t="s">
        <v>9</v>
      </c>
      <c r="I6" s="6"/>
    </row>
    <row r="7" customFormat="false" ht="18" hidden="false" customHeight="true" outlineLevel="0" collapsed="false">
      <c r="B7" s="7" t="s">
        <v>10</v>
      </c>
      <c r="C7" s="7"/>
      <c r="D7" s="7" t="s">
        <v>11</v>
      </c>
      <c r="E7" s="7"/>
      <c r="F7" s="7" t="s">
        <v>12</v>
      </c>
      <c r="G7" s="7"/>
      <c r="H7" s="7" t="s">
        <v>13</v>
      </c>
      <c r="I7" s="7"/>
    </row>
    <row r="10" customFormat="false" ht="15" hidden="false" customHeight="false" outlineLevel="0" collapsed="false">
      <c r="B10" s="8" t="s">
        <v>14</v>
      </c>
      <c r="C10" s="8"/>
      <c r="D10" s="8"/>
      <c r="E10" s="8"/>
      <c r="F10" s="8"/>
      <c r="G10" s="8"/>
      <c r="H10" s="8"/>
    </row>
    <row r="11" customFormat="false" ht="15" hidden="false" customHeight="false" outlineLevel="0" collapsed="false">
      <c r="B11" s="9" t="s">
        <v>15</v>
      </c>
      <c r="C11" s="9" t="s">
        <v>16</v>
      </c>
      <c r="D11" s="9" t="s">
        <v>17</v>
      </c>
      <c r="E11" s="9" t="s">
        <v>18</v>
      </c>
      <c r="F11" s="9" t="s">
        <v>19</v>
      </c>
      <c r="G11" s="9" t="s">
        <v>20</v>
      </c>
    </row>
    <row r="12" customFormat="false" ht="15" hidden="false" customHeight="false" outlineLevel="0" collapsed="false">
      <c r="B12" s="10" t="s">
        <v>21</v>
      </c>
      <c r="C12" s="11" t="n">
        <v>174655</v>
      </c>
      <c r="D12" s="11" t="n">
        <v>142882.75</v>
      </c>
      <c r="E12" s="12" t="n">
        <v>31772.25</v>
      </c>
      <c r="F12" s="13" t="n">
        <v>0.818085654576164</v>
      </c>
      <c r="G12" s="13" t="n">
        <v>0.266143783423331</v>
      </c>
    </row>
    <row r="13" customFormat="false" ht="15" hidden="false" customHeight="false" outlineLevel="0" collapsed="false">
      <c r="B13" s="14" t="s">
        <v>22</v>
      </c>
      <c r="C13" s="11" t="n">
        <v>393359</v>
      </c>
      <c r="D13" s="11" t="n">
        <v>295005.88</v>
      </c>
      <c r="E13" s="12" t="n">
        <v>98353.1199999999</v>
      </c>
      <c r="F13" s="13" t="n">
        <v>0.749966010692523</v>
      </c>
      <c r="G13" s="13" t="n">
        <v>0.549499369485325</v>
      </c>
    </row>
    <row r="14" customFormat="false" ht="15" hidden="false" customHeight="false" outlineLevel="0" collapsed="false">
      <c r="B14" s="15" t="s">
        <v>23</v>
      </c>
      <c r="C14" s="11" t="n">
        <v>45725</v>
      </c>
      <c r="D14" s="11" t="n">
        <v>26210.1</v>
      </c>
      <c r="E14" s="12" t="n">
        <v>19514.9</v>
      </c>
      <c r="F14" s="13" t="n">
        <v>0.573211591033352</v>
      </c>
      <c r="G14" s="13" t="n">
        <v>0.0488208351106334</v>
      </c>
    </row>
    <row r="15" customFormat="false" ht="15" hidden="false" customHeight="false" outlineLevel="0" collapsed="false">
      <c r="B15" s="16" t="s">
        <v>24</v>
      </c>
      <c r="C15" s="11" t="n">
        <v>89051.11</v>
      </c>
      <c r="D15" s="11" t="n">
        <v>72764.72</v>
      </c>
      <c r="E15" s="12" t="n">
        <v>16286.39</v>
      </c>
      <c r="F15" s="13" t="n">
        <v>0.817111881031017</v>
      </c>
      <c r="G15" s="13" t="n">
        <v>0.13553685018338</v>
      </c>
    </row>
    <row r="16" customFormat="false" ht="15" hidden="false" customHeight="false" outlineLevel="0" collapsed="false">
      <c r="B16" s="9" t="s">
        <v>25</v>
      </c>
      <c r="C16" s="17" t="n">
        <v>702790.11</v>
      </c>
      <c r="D16" s="17" t="n">
        <v>536863</v>
      </c>
      <c r="E16" s="18" t="n">
        <v>165927.11</v>
      </c>
      <c r="F16" s="19" t="n">
        <v>0.763902326400125</v>
      </c>
      <c r="G16" s="19" t="n">
        <v>1</v>
      </c>
    </row>
    <row r="19" customFormat="false" ht="15" hidden="false" customHeight="false" outlineLevel="0" collapsed="false">
      <c r="B19" s="8" t="s">
        <v>26</v>
      </c>
      <c r="C19" s="8"/>
      <c r="D19" s="8"/>
      <c r="E19" s="8"/>
      <c r="F19" s="8"/>
      <c r="G19" s="8"/>
      <c r="H19" s="8"/>
    </row>
    <row r="20" customFormat="false" ht="15" hidden="false" customHeight="false" outlineLevel="0" collapsed="false">
      <c r="B20" s="9" t="s">
        <v>27</v>
      </c>
      <c r="C20" s="9" t="s">
        <v>28</v>
      </c>
      <c r="D20" s="9" t="s">
        <v>27</v>
      </c>
      <c r="E20" s="9" t="s">
        <v>28</v>
      </c>
      <c r="F20" s="9" t="s">
        <v>27</v>
      </c>
      <c r="G20" s="9" t="s">
        <v>28</v>
      </c>
    </row>
    <row r="21" customFormat="false" ht="15" hidden="false" customHeight="false" outlineLevel="0" collapsed="false">
      <c r="B21" s="20" t="s">
        <v>29</v>
      </c>
      <c r="C21" s="21" t="s">
        <v>30</v>
      </c>
      <c r="D21" s="20" t="s">
        <v>31</v>
      </c>
      <c r="E21" s="21" t="s">
        <v>30</v>
      </c>
      <c r="F21" s="20" t="s">
        <v>32</v>
      </c>
      <c r="G21" s="21" t="s">
        <v>33</v>
      </c>
    </row>
    <row r="22" customFormat="false" ht="15" hidden="false" customHeight="false" outlineLevel="0" collapsed="false">
      <c r="B22" s="20" t="s">
        <v>34</v>
      </c>
      <c r="C22" s="21" t="s">
        <v>35</v>
      </c>
      <c r="D22" s="20" t="s">
        <v>36</v>
      </c>
      <c r="E22" s="21" t="s">
        <v>30</v>
      </c>
      <c r="F22" s="20" t="s">
        <v>37</v>
      </c>
      <c r="G22" s="21" t="s">
        <v>38</v>
      </c>
    </row>
    <row r="23" customFormat="false" ht="15" hidden="false" customHeight="false" outlineLevel="0" collapsed="false">
      <c r="B23" s="20" t="s">
        <v>39</v>
      </c>
      <c r="C23" s="21" t="s">
        <v>40</v>
      </c>
      <c r="D23" s="20" t="s">
        <v>41</v>
      </c>
      <c r="E23" s="21" t="s">
        <v>30</v>
      </c>
      <c r="F23" s="20" t="s">
        <v>42</v>
      </c>
      <c r="G23" s="21" t="s">
        <v>30</v>
      </c>
    </row>
    <row r="24" customFormat="false" ht="15" hidden="false" customHeight="false" outlineLevel="0" collapsed="false">
      <c r="B24" s="20" t="s">
        <v>43</v>
      </c>
      <c r="C24" s="21" t="s">
        <v>44</v>
      </c>
      <c r="D24" s="20" t="s">
        <v>45</v>
      </c>
      <c r="E24" s="21" t="s">
        <v>46</v>
      </c>
      <c r="F24" s="20" t="s">
        <v>47</v>
      </c>
      <c r="G24" s="21" t="s">
        <v>48</v>
      </c>
    </row>
    <row r="27" customFormat="false" ht="7.5" hidden="false" customHeight="true" outlineLevel="0" collapsed="false"/>
    <row r="28" customFormat="false" ht="15" hidden="false" customHeight="false" outlineLevel="0" collapsed="false">
      <c r="B28" s="22" t="s">
        <v>49</v>
      </c>
      <c r="C28" s="22"/>
      <c r="D28" s="22"/>
      <c r="E28" s="22"/>
      <c r="F28" s="22"/>
      <c r="G28" s="22"/>
      <c r="H28" s="22"/>
    </row>
    <row r="29" customFormat="false" ht="15" hidden="false" customHeight="false" outlineLevel="0" collapsed="false">
      <c r="B29" s="23" t="s">
        <v>50</v>
      </c>
      <c r="C29" s="23"/>
      <c r="D29" s="23"/>
      <c r="E29" s="23"/>
      <c r="F29" s="23"/>
      <c r="G29" s="23"/>
      <c r="H29" s="23"/>
    </row>
    <row r="30" customFormat="false" ht="15" hidden="false" customHeight="false" outlineLevel="0" collapsed="false">
      <c r="B30" s="23" t="s">
        <v>51</v>
      </c>
      <c r="C30" s="23"/>
      <c r="D30" s="23"/>
      <c r="E30" s="23"/>
      <c r="F30" s="23"/>
      <c r="G30" s="23"/>
      <c r="H30" s="23"/>
    </row>
    <row r="31" customFormat="false" ht="15" hidden="false" customHeight="false" outlineLevel="0" collapsed="false">
      <c r="B31" s="23" t="s">
        <v>52</v>
      </c>
      <c r="C31" s="23"/>
      <c r="D31" s="23"/>
      <c r="E31" s="23"/>
      <c r="F31" s="23"/>
      <c r="G31" s="23"/>
      <c r="H31" s="23"/>
    </row>
    <row r="32" customFormat="false" ht="15" hidden="false" customHeight="false" outlineLevel="0" collapsed="false">
      <c r="B32" s="23" t="s">
        <v>53</v>
      </c>
      <c r="C32" s="23"/>
      <c r="D32" s="23"/>
      <c r="E32" s="23"/>
      <c r="F32" s="23"/>
      <c r="G32" s="23"/>
      <c r="H32" s="23"/>
    </row>
  </sheetData>
  <mergeCells count="21">
    <mergeCell ref="B2:H2"/>
    <mergeCell ref="B3:H3"/>
    <mergeCell ref="B5:C5"/>
    <mergeCell ref="D5:E5"/>
    <mergeCell ref="F5:G5"/>
    <mergeCell ref="H5:I5"/>
    <mergeCell ref="B6:C6"/>
    <mergeCell ref="D6:E6"/>
    <mergeCell ref="F6:G6"/>
    <mergeCell ref="H6:I6"/>
    <mergeCell ref="B7:C7"/>
    <mergeCell ref="D7:E7"/>
    <mergeCell ref="F7:G7"/>
    <mergeCell ref="H7:I7"/>
    <mergeCell ref="B10:H10"/>
    <mergeCell ref="B19:H19"/>
    <mergeCell ref="B28:H28"/>
    <mergeCell ref="B29:H29"/>
    <mergeCell ref="B30:H30"/>
    <mergeCell ref="B31:H31"/>
    <mergeCell ref="B32:H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6"/>
    <col collapsed="false" customWidth="true" hidden="false" outlineLevel="0" max="6" min="4" style="0" width="16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2"/>
  </cols>
  <sheetData>
    <row r="2" customFormat="false" ht="25.5" hidden="false" customHeight="true" outlineLevel="0" collapsed="false">
      <c r="B2" s="24" t="s">
        <v>54</v>
      </c>
      <c r="C2" s="24"/>
      <c r="D2" s="24"/>
      <c r="E2" s="24"/>
      <c r="F2" s="24"/>
      <c r="G2" s="24"/>
      <c r="H2" s="24"/>
    </row>
    <row r="4" customFormat="false" ht="15" hidden="false" customHeight="false" outlineLevel="0" collapsed="false">
      <c r="B4" s="9" t="s">
        <v>55</v>
      </c>
      <c r="C4" s="9" t="s">
        <v>56</v>
      </c>
      <c r="D4" s="9" t="s">
        <v>57</v>
      </c>
      <c r="E4" s="9" t="s">
        <v>58</v>
      </c>
      <c r="F4" s="9" t="s">
        <v>17</v>
      </c>
      <c r="G4" s="9" t="s">
        <v>18</v>
      </c>
      <c r="H4" s="9" t="s">
        <v>59</v>
      </c>
    </row>
    <row r="5" customFormat="false" ht="15" hidden="false" customHeight="false" outlineLevel="0" collapsed="false">
      <c r="B5" s="25" t="s">
        <v>60</v>
      </c>
      <c r="C5" s="25"/>
      <c r="D5" s="25"/>
      <c r="E5" s="25"/>
      <c r="F5" s="25"/>
      <c r="G5" s="25"/>
      <c r="H5" s="25"/>
    </row>
    <row r="6" customFormat="false" ht="15" hidden="false" customHeight="false" outlineLevel="0" collapsed="false">
      <c r="B6" s="26" t="s">
        <v>61</v>
      </c>
      <c r="C6" s="26" t="s">
        <v>62</v>
      </c>
      <c r="D6" s="11" t="n">
        <v>3250</v>
      </c>
      <c r="E6" s="11" t="n">
        <v>3250</v>
      </c>
      <c r="F6" s="11" t="n">
        <v>1008</v>
      </c>
      <c r="G6" s="12" t="n">
        <f aca="false">E6-F6</f>
        <v>2242</v>
      </c>
      <c r="H6" s="13" t="n">
        <f aca="false">IF(E6=0,0,F6/E6)</f>
        <v>0.310153846153846</v>
      </c>
    </row>
    <row r="7" customFormat="false" ht="15" hidden="false" customHeight="false" outlineLevel="0" collapsed="false">
      <c r="B7" s="26" t="s">
        <v>63</v>
      </c>
      <c r="C7" s="26" t="s">
        <v>64</v>
      </c>
      <c r="D7" s="11" t="n">
        <v>8190</v>
      </c>
      <c r="E7" s="11" t="n">
        <v>8190</v>
      </c>
      <c r="F7" s="11" t="n">
        <v>4164</v>
      </c>
      <c r="G7" s="12" t="n">
        <f aca="false">E7-F7</f>
        <v>4026</v>
      </c>
      <c r="H7" s="13" t="n">
        <f aca="false">IF(E7=0,0,F7/E7)</f>
        <v>0.508424908424908</v>
      </c>
    </row>
    <row r="8" customFormat="false" ht="15" hidden="false" customHeight="false" outlineLevel="0" collapsed="false">
      <c r="B8" s="26" t="s">
        <v>65</v>
      </c>
      <c r="C8" s="26" t="s">
        <v>66</v>
      </c>
      <c r="D8" s="11" t="n">
        <v>5850</v>
      </c>
      <c r="E8" s="11" t="n">
        <v>5850</v>
      </c>
      <c r="F8" s="11" t="n">
        <v>3513</v>
      </c>
      <c r="G8" s="12" t="n">
        <f aca="false">E8-F8</f>
        <v>2337</v>
      </c>
      <c r="H8" s="13" t="n">
        <f aca="false">IF(E8=0,0,F8/E8)</f>
        <v>0.600512820512821</v>
      </c>
    </row>
    <row r="9" customFormat="false" ht="15" hidden="false" customHeight="false" outlineLevel="0" collapsed="false">
      <c r="B9" s="26" t="s">
        <v>67</v>
      </c>
      <c r="C9" s="26" t="s">
        <v>68</v>
      </c>
      <c r="D9" s="11" t="n">
        <v>13150</v>
      </c>
      <c r="E9" s="11" t="n">
        <v>13150</v>
      </c>
      <c r="F9" s="11" t="n">
        <v>6703</v>
      </c>
      <c r="G9" s="12" t="n">
        <f aca="false">E9-F9</f>
        <v>6447</v>
      </c>
      <c r="H9" s="13" t="n">
        <f aca="false">IF(E9=0,0,F9/E9)</f>
        <v>0.509733840304183</v>
      </c>
    </row>
    <row r="10" customFormat="false" ht="15" hidden="false" customHeight="false" outlineLevel="0" collapsed="false">
      <c r="B10" s="26" t="s">
        <v>69</v>
      </c>
      <c r="C10" s="26" t="s">
        <v>70</v>
      </c>
      <c r="D10" s="11" t="n">
        <v>16200</v>
      </c>
      <c r="E10" s="11" t="n">
        <v>16200</v>
      </c>
      <c r="F10" s="11" t="n">
        <v>10199</v>
      </c>
      <c r="G10" s="12" t="n">
        <f aca="false">E10-F10</f>
        <v>6001</v>
      </c>
      <c r="H10" s="13" t="n">
        <f aca="false">IF(E10=0,0,F10/E10)</f>
        <v>0.629567901234568</v>
      </c>
    </row>
    <row r="11" customFormat="false" ht="15" hidden="false" customHeight="false" outlineLevel="0" collapsed="false">
      <c r="B11" s="26" t="s">
        <v>71</v>
      </c>
      <c r="C11" s="26" t="s">
        <v>72</v>
      </c>
      <c r="D11" s="11" t="n">
        <v>3640</v>
      </c>
      <c r="E11" s="11" t="n">
        <v>3640</v>
      </c>
      <c r="F11" s="11" t="n">
        <v>2062</v>
      </c>
      <c r="G11" s="12" t="n">
        <f aca="false">E11-F11</f>
        <v>1578</v>
      </c>
      <c r="H11" s="13" t="n">
        <f aca="false">IF(E11=0,0,F11/E11)</f>
        <v>0.566483516483517</v>
      </c>
    </row>
    <row r="12" customFormat="false" ht="15" hidden="false" customHeight="false" outlineLevel="0" collapsed="false">
      <c r="B12" s="26" t="s">
        <v>73</v>
      </c>
      <c r="C12" s="26" t="s">
        <v>74</v>
      </c>
      <c r="D12" s="11" t="n">
        <v>0</v>
      </c>
      <c r="E12" s="11" t="n">
        <v>5650</v>
      </c>
      <c r="F12" s="11" t="n">
        <v>2115</v>
      </c>
      <c r="G12" s="12" t="n">
        <f aca="false">E12-F12</f>
        <v>3535</v>
      </c>
      <c r="H12" s="13" t="n">
        <f aca="false">IF(E12=0,0,F12/E12)</f>
        <v>0.374336283185841</v>
      </c>
    </row>
    <row r="13" customFormat="false" ht="15" hidden="false" customHeight="false" outlineLevel="0" collapsed="false">
      <c r="B13" s="26" t="s">
        <v>75</v>
      </c>
      <c r="C13" s="26" t="s">
        <v>76</v>
      </c>
      <c r="D13" s="11" t="n">
        <v>82535</v>
      </c>
      <c r="E13" s="11" t="n">
        <v>82835</v>
      </c>
      <c r="F13" s="11" t="n">
        <v>81010.75</v>
      </c>
      <c r="G13" s="12" t="n">
        <f aca="false">E13-F13</f>
        <v>1824.25</v>
      </c>
      <c r="H13" s="13" t="n">
        <f aca="false">IF(E13=0,0,F13/E13)</f>
        <v>0.977977304279592</v>
      </c>
    </row>
    <row r="14" customFormat="false" ht="15" hidden="false" customHeight="false" outlineLevel="0" collapsed="false">
      <c r="B14" s="26" t="s">
        <v>77</v>
      </c>
      <c r="C14" s="26" t="s">
        <v>78</v>
      </c>
      <c r="D14" s="11" t="n">
        <v>24770</v>
      </c>
      <c r="E14" s="11" t="n">
        <v>24770</v>
      </c>
      <c r="F14" s="11" t="n">
        <v>21869</v>
      </c>
      <c r="G14" s="12" t="n">
        <f aca="false">E14-F14</f>
        <v>2901</v>
      </c>
      <c r="H14" s="13" t="n">
        <f aca="false">IF(E14=0,0,F14/E14)</f>
        <v>0.882882519176423</v>
      </c>
    </row>
    <row r="15" customFormat="false" ht="15" hidden="false" customHeight="false" outlineLevel="0" collapsed="false">
      <c r="B15" s="26" t="s">
        <v>79</v>
      </c>
      <c r="C15" s="26" t="s">
        <v>80</v>
      </c>
      <c r="D15" s="11" t="n">
        <v>0</v>
      </c>
      <c r="E15" s="11" t="n">
        <v>0</v>
      </c>
      <c r="F15" s="11" t="n">
        <v>208</v>
      </c>
      <c r="G15" s="12" t="n">
        <f aca="false">E15-F15</f>
        <v>-208</v>
      </c>
      <c r="H15" s="13" t="n">
        <f aca="false">IF(E15=0,0,F15/E15)</f>
        <v>0</v>
      </c>
    </row>
    <row r="16" customFormat="false" ht="15" hidden="false" customHeight="false" outlineLevel="0" collapsed="false">
      <c r="B16" s="26" t="s">
        <v>81</v>
      </c>
      <c r="C16" s="26" t="s">
        <v>82</v>
      </c>
      <c r="D16" s="11" t="n">
        <v>1760</v>
      </c>
      <c r="E16" s="11" t="n">
        <v>1760</v>
      </c>
      <c r="F16" s="11" t="n">
        <v>1007</v>
      </c>
      <c r="G16" s="12" t="n">
        <f aca="false">E16-F16</f>
        <v>753</v>
      </c>
      <c r="H16" s="13" t="n">
        <f aca="false">IF(E16=0,0,F16/E16)</f>
        <v>0.572159090909091</v>
      </c>
    </row>
    <row r="17" customFormat="false" ht="15" hidden="false" customHeight="false" outlineLevel="0" collapsed="false">
      <c r="B17" s="26" t="s">
        <v>83</v>
      </c>
      <c r="C17" s="26" t="s">
        <v>84</v>
      </c>
      <c r="D17" s="11" t="n">
        <v>9360</v>
      </c>
      <c r="E17" s="11" t="n">
        <v>9360</v>
      </c>
      <c r="F17" s="11" t="n">
        <v>9024</v>
      </c>
      <c r="G17" s="12" t="n">
        <f aca="false">E17-F17</f>
        <v>336</v>
      </c>
      <c r="H17" s="13" t="n">
        <f aca="false">IF(E17=0,0,F17/E17)</f>
        <v>0.964102564102564</v>
      </c>
    </row>
    <row r="18" customFormat="false" ht="15" hidden="false" customHeight="false" outlineLevel="0" collapsed="false">
      <c r="B18" s="27" t="s">
        <v>85</v>
      </c>
      <c r="C18" s="27"/>
      <c r="D18" s="27"/>
      <c r="E18" s="27"/>
      <c r="F18" s="27"/>
      <c r="G18" s="27"/>
      <c r="H18" s="27"/>
    </row>
    <row r="19" customFormat="false" ht="15" hidden="false" customHeight="false" outlineLevel="0" collapsed="false">
      <c r="B19" s="26" t="s">
        <v>86</v>
      </c>
      <c r="C19" s="26" t="s">
        <v>87</v>
      </c>
      <c r="D19" s="11" t="n">
        <v>4725</v>
      </c>
      <c r="E19" s="11" t="n">
        <v>4725</v>
      </c>
      <c r="F19" s="11" t="n">
        <v>1134.76</v>
      </c>
      <c r="G19" s="12" t="n">
        <f aca="false">E19-F19</f>
        <v>3590.24</v>
      </c>
      <c r="H19" s="13" t="n">
        <f aca="false">IF(E19=0,0,F19/E19)</f>
        <v>0.240160846560847</v>
      </c>
    </row>
    <row r="20" customFormat="false" ht="15" hidden="false" customHeight="false" outlineLevel="0" collapsed="false">
      <c r="B20" s="26" t="s">
        <v>88</v>
      </c>
      <c r="C20" s="26" t="s">
        <v>89</v>
      </c>
      <c r="D20" s="11" t="n">
        <v>10300</v>
      </c>
      <c r="E20" s="11" t="n">
        <v>10300</v>
      </c>
      <c r="F20" s="11" t="n">
        <v>5311</v>
      </c>
      <c r="G20" s="12" t="n">
        <f aca="false">E20-F20</f>
        <v>4989</v>
      </c>
      <c r="H20" s="13" t="n">
        <f aca="false">IF(E20=0,0,F20/E20)</f>
        <v>0.515631067961165</v>
      </c>
    </row>
    <row r="21" customFormat="false" ht="15" hidden="false" customHeight="false" outlineLevel="0" collapsed="false">
      <c r="B21" s="26" t="s">
        <v>90</v>
      </c>
      <c r="C21" s="26" t="s">
        <v>91</v>
      </c>
      <c r="D21" s="11" t="n">
        <v>14000</v>
      </c>
      <c r="E21" s="11" t="n">
        <v>14000</v>
      </c>
      <c r="F21" s="11" t="n">
        <v>6465.89</v>
      </c>
      <c r="G21" s="12" t="n">
        <f aca="false">E21-F21</f>
        <v>7534.11</v>
      </c>
      <c r="H21" s="13" t="n">
        <f aca="false">IF(E21=0,0,F21/E21)</f>
        <v>0.461849285714286</v>
      </c>
    </row>
    <row r="22" customFormat="false" ht="15" hidden="false" customHeight="false" outlineLevel="0" collapsed="false">
      <c r="B22" s="26" t="s">
        <v>92</v>
      </c>
      <c r="C22" s="26" t="s">
        <v>93</v>
      </c>
      <c r="D22" s="11" t="n">
        <v>5460</v>
      </c>
      <c r="E22" s="11" t="n">
        <v>5460</v>
      </c>
      <c r="F22" s="11" t="n">
        <v>5222.75</v>
      </c>
      <c r="G22" s="12" t="n">
        <f aca="false">E22-F22</f>
        <v>237.25</v>
      </c>
      <c r="H22" s="13" t="n">
        <f aca="false">IF(E22=0,0,F22/E22)</f>
        <v>0.956547619047619</v>
      </c>
    </row>
    <row r="23" customFormat="false" ht="15" hidden="false" customHeight="false" outlineLevel="0" collapsed="false">
      <c r="B23" s="26" t="s">
        <v>94</v>
      </c>
      <c r="C23" s="26" t="s">
        <v>95</v>
      </c>
      <c r="D23" s="11" t="n">
        <v>0</v>
      </c>
      <c r="E23" s="11" t="n">
        <v>6000</v>
      </c>
      <c r="F23" s="11" t="n">
        <v>3664.54</v>
      </c>
      <c r="G23" s="12" t="n">
        <f aca="false">E23-F23</f>
        <v>2335.46</v>
      </c>
      <c r="H23" s="13" t="n">
        <f aca="false">IF(E23=0,0,F23/E23)</f>
        <v>0.610756666666667</v>
      </c>
    </row>
    <row r="24" customFormat="false" ht="15" hidden="false" customHeight="false" outlineLevel="0" collapsed="false">
      <c r="B24" s="26" t="s">
        <v>96</v>
      </c>
      <c r="C24" s="26" t="s">
        <v>97</v>
      </c>
      <c r="D24" s="11" t="n">
        <v>82540</v>
      </c>
      <c r="E24" s="11" t="n">
        <v>82840</v>
      </c>
      <c r="F24" s="11" t="n">
        <v>48840.52</v>
      </c>
      <c r="G24" s="12" t="n">
        <f aca="false">E24-F24</f>
        <v>33999.48</v>
      </c>
      <c r="H24" s="13" t="n">
        <f aca="false">IF(E24=0,0,F24/E24)</f>
        <v>0.589576533075809</v>
      </c>
    </row>
    <row r="25" customFormat="false" ht="15" hidden="false" customHeight="false" outlineLevel="0" collapsed="false">
      <c r="B25" s="26" t="s">
        <v>98</v>
      </c>
      <c r="C25" s="26" t="s">
        <v>99</v>
      </c>
      <c r="D25" s="11" t="n">
        <v>231620</v>
      </c>
      <c r="E25" s="11" t="n">
        <v>259734</v>
      </c>
      <c r="F25" s="11" t="n">
        <v>207101.2</v>
      </c>
      <c r="G25" s="12" t="n">
        <f aca="false">E25-F25</f>
        <v>52632.8</v>
      </c>
      <c r="H25" s="13" t="n">
        <f aca="false">IF(E25=0,0,F25/E25)</f>
        <v>0.797358836347956</v>
      </c>
    </row>
    <row r="26" customFormat="false" ht="15" hidden="false" customHeight="false" outlineLevel="0" collapsed="false">
      <c r="B26" s="26" t="s">
        <v>100</v>
      </c>
      <c r="C26" s="26" t="s">
        <v>101</v>
      </c>
      <c r="D26" s="11" t="n">
        <v>7800</v>
      </c>
      <c r="E26" s="11" t="n">
        <v>7800</v>
      </c>
      <c r="F26" s="11" t="n">
        <v>15147.02</v>
      </c>
      <c r="G26" s="12" t="n">
        <f aca="false">E26-F26</f>
        <v>-7347.02</v>
      </c>
      <c r="H26" s="13" t="n">
        <f aca="false">IF(E26=0,0,F26/E26)</f>
        <v>1.94192564102564</v>
      </c>
    </row>
    <row r="27" customFormat="false" ht="15" hidden="false" customHeight="false" outlineLevel="0" collapsed="false">
      <c r="B27" s="26" t="s">
        <v>102</v>
      </c>
      <c r="C27" s="26" t="s">
        <v>103</v>
      </c>
      <c r="D27" s="11" t="n">
        <v>2500</v>
      </c>
      <c r="E27" s="11" t="n">
        <v>2500</v>
      </c>
      <c r="F27" s="11" t="n">
        <v>1233.58</v>
      </c>
      <c r="G27" s="12" t="n">
        <f aca="false">E27-F27</f>
        <v>1266.42</v>
      </c>
      <c r="H27" s="13" t="n">
        <f aca="false">IF(E27=0,0,F27/E27)</f>
        <v>0.493432</v>
      </c>
    </row>
    <row r="28" customFormat="false" ht="15" hidden="false" customHeight="false" outlineLevel="0" collapsed="false">
      <c r="B28" s="26" t="s">
        <v>104</v>
      </c>
      <c r="C28" s="26" t="s">
        <v>105</v>
      </c>
      <c r="D28" s="11" t="n">
        <v>0</v>
      </c>
      <c r="E28" s="11" t="n">
        <v>0</v>
      </c>
      <c r="F28" s="11" t="n">
        <v>0</v>
      </c>
      <c r="G28" s="12" t="n">
        <f aca="false">E28-F28</f>
        <v>0</v>
      </c>
      <c r="H28" s="13" t="n">
        <f aca="false">IF(E28=0,0,F28/E28)</f>
        <v>0</v>
      </c>
    </row>
    <row r="29" customFormat="false" ht="15" hidden="false" customHeight="false" outlineLevel="0" collapsed="false">
      <c r="B29" s="26" t="s">
        <v>106</v>
      </c>
      <c r="C29" s="26" t="s">
        <v>107</v>
      </c>
      <c r="D29" s="11" t="n">
        <v>0</v>
      </c>
      <c r="E29" s="11" t="n">
        <v>0</v>
      </c>
      <c r="F29" s="11" t="n">
        <v>884.62</v>
      </c>
      <c r="G29" s="12" t="n">
        <f aca="false">E29-F29</f>
        <v>-884.62</v>
      </c>
      <c r="H29" s="13" t="n">
        <f aca="false">IF(E29=0,0,F29/E29)</f>
        <v>0</v>
      </c>
    </row>
    <row r="30" customFormat="false" ht="15" hidden="false" customHeight="false" outlineLevel="0" collapsed="false">
      <c r="B30" s="28" t="s">
        <v>108</v>
      </c>
      <c r="C30" s="28"/>
      <c r="D30" s="28"/>
      <c r="E30" s="28"/>
      <c r="F30" s="28"/>
      <c r="G30" s="28"/>
      <c r="H30" s="28"/>
    </row>
    <row r="31" customFormat="false" ht="15" hidden="false" customHeight="false" outlineLevel="0" collapsed="false">
      <c r="B31" s="26" t="s">
        <v>109</v>
      </c>
      <c r="C31" s="26" t="s">
        <v>110</v>
      </c>
      <c r="D31" s="11" t="n">
        <v>10000</v>
      </c>
      <c r="E31" s="11" t="n">
        <v>13085</v>
      </c>
      <c r="F31" s="11" t="n">
        <v>6346.07</v>
      </c>
      <c r="G31" s="12" t="n">
        <f aca="false">E31-F31</f>
        <v>6738.93</v>
      </c>
      <c r="H31" s="13" t="n">
        <f aca="false">IF(E31=0,0,F31/E31)</f>
        <v>0.484988154375239</v>
      </c>
    </row>
    <row r="32" customFormat="false" ht="15" hidden="false" customHeight="false" outlineLevel="0" collapsed="false">
      <c r="B32" s="26" t="s">
        <v>111</v>
      </c>
      <c r="C32" s="26" t="s">
        <v>112</v>
      </c>
      <c r="D32" s="11" t="n">
        <v>25000</v>
      </c>
      <c r="E32" s="11" t="n">
        <v>25000</v>
      </c>
      <c r="F32" s="11" t="n">
        <v>12573.03</v>
      </c>
      <c r="G32" s="12" t="n">
        <f aca="false">E32-F32</f>
        <v>12426.97</v>
      </c>
      <c r="H32" s="13" t="n">
        <f aca="false">IF(E32=0,0,F32/E32)</f>
        <v>0.5029212</v>
      </c>
    </row>
    <row r="33" customFormat="false" ht="15" hidden="false" customHeight="false" outlineLevel="0" collapsed="false">
      <c r="B33" s="26" t="s">
        <v>113</v>
      </c>
      <c r="C33" s="26" t="s">
        <v>114</v>
      </c>
      <c r="D33" s="11" t="n">
        <v>7630</v>
      </c>
      <c r="E33" s="11" t="n">
        <v>7640</v>
      </c>
      <c r="F33" s="11" t="n">
        <v>7291</v>
      </c>
      <c r="G33" s="12" t="n">
        <f aca="false">E33-F33</f>
        <v>349</v>
      </c>
      <c r="H33" s="13" t="n">
        <f aca="false">IF(E33=0,0,F33/E33)</f>
        <v>0.954319371727749</v>
      </c>
    </row>
    <row r="34" customFormat="false" ht="15" hidden="false" customHeight="false" outlineLevel="0" collapsed="false">
      <c r="B34" s="29" t="s">
        <v>115</v>
      </c>
      <c r="C34" s="29"/>
      <c r="D34" s="29"/>
      <c r="E34" s="29"/>
      <c r="F34" s="29"/>
      <c r="G34" s="29"/>
      <c r="H34" s="29"/>
    </row>
    <row r="35" customFormat="false" ht="15" hidden="false" customHeight="false" outlineLevel="0" collapsed="false">
      <c r="B35" s="26" t="s">
        <v>116</v>
      </c>
      <c r="C35" s="26" t="s">
        <v>117</v>
      </c>
      <c r="D35" s="11" t="n">
        <v>73133.62</v>
      </c>
      <c r="E35" s="11" t="n">
        <v>75712.95</v>
      </c>
      <c r="F35" s="11" t="n">
        <v>61834.11</v>
      </c>
      <c r="G35" s="12" t="n">
        <f aca="false">E35-F35</f>
        <v>13878.84</v>
      </c>
      <c r="H35" s="13" t="n">
        <f aca="false">IF(E35=0,0,F35/E35)</f>
        <v>0.816691332196144</v>
      </c>
    </row>
    <row r="36" customFormat="false" ht="15" hidden="false" customHeight="false" outlineLevel="0" collapsed="false">
      <c r="B36" s="26" t="s">
        <v>118</v>
      </c>
      <c r="C36" s="26" t="s">
        <v>119</v>
      </c>
      <c r="D36" s="11" t="n">
        <v>12905.93</v>
      </c>
      <c r="E36" s="11" t="n">
        <v>13338.16</v>
      </c>
      <c r="F36" s="11" t="n">
        <v>10930.61</v>
      </c>
      <c r="G36" s="12" t="n">
        <f aca="false">E36-F36</f>
        <v>2407.55</v>
      </c>
      <c r="H36" s="13" t="n">
        <f aca="false">IF(E36=0,0,F36/E36)</f>
        <v>0.819499091328939</v>
      </c>
    </row>
    <row r="37" customFormat="false" ht="15" hidden="false" customHeight="false" outlineLevel="0" collapsed="false">
      <c r="B37" s="30" t="s">
        <v>25</v>
      </c>
      <c r="C37" s="30" t="s">
        <v>120</v>
      </c>
      <c r="D37" s="31" t="n">
        <v>656319.55</v>
      </c>
      <c r="E37" s="31" t="n">
        <v>702790.11</v>
      </c>
      <c r="F37" s="31" t="n">
        <v>536863</v>
      </c>
      <c r="G37" s="32" t="n">
        <f aca="false">E37-F37</f>
        <v>165927.11</v>
      </c>
      <c r="H37" s="33" t="n">
        <f aca="false">F37/E37</f>
        <v>0.763902326400125</v>
      </c>
    </row>
    <row r="40" customFormat="false" ht="7.5" hidden="false" customHeight="true" outlineLevel="0" collapsed="false"/>
    <row r="41" customFormat="false" ht="15" hidden="false" customHeight="false" outlineLevel="0" collapsed="false">
      <c r="B41" s="22" t="s">
        <v>49</v>
      </c>
      <c r="C41" s="22"/>
      <c r="D41" s="22"/>
      <c r="E41" s="22"/>
      <c r="F41" s="22"/>
      <c r="G41" s="22"/>
      <c r="H41" s="22"/>
    </row>
    <row r="42" customFormat="false" ht="15" hidden="false" customHeight="false" outlineLevel="0" collapsed="false">
      <c r="B42" s="23" t="s">
        <v>50</v>
      </c>
      <c r="C42" s="23"/>
      <c r="D42" s="23"/>
      <c r="E42" s="23"/>
      <c r="F42" s="23"/>
      <c r="G42" s="23"/>
      <c r="H42" s="23"/>
    </row>
    <row r="43" customFormat="false" ht="15" hidden="false" customHeight="false" outlineLevel="0" collapsed="false">
      <c r="B43" s="23" t="s">
        <v>51</v>
      </c>
      <c r="C43" s="23"/>
      <c r="D43" s="23"/>
      <c r="E43" s="23"/>
      <c r="F43" s="23"/>
      <c r="G43" s="23"/>
      <c r="H43" s="23"/>
    </row>
    <row r="44" customFormat="false" ht="15" hidden="false" customHeight="false" outlineLevel="0" collapsed="false">
      <c r="B44" s="23" t="s">
        <v>121</v>
      </c>
      <c r="C44" s="23"/>
      <c r="D44" s="23"/>
      <c r="E44" s="23"/>
      <c r="F44" s="23"/>
      <c r="G44" s="23"/>
      <c r="H44" s="23"/>
    </row>
  </sheetData>
  <mergeCells count="9">
    <mergeCell ref="B2:H2"/>
    <mergeCell ref="B5:H5"/>
    <mergeCell ref="B18:H18"/>
    <mergeCell ref="B30:H30"/>
    <mergeCell ref="B34:H34"/>
    <mergeCell ref="B41:H41"/>
    <mergeCell ref="B42:H42"/>
    <mergeCell ref="B43:H43"/>
    <mergeCell ref="B44:H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8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7" min="7" style="0" width="2"/>
  </cols>
  <sheetData>
    <row r="2" customFormat="false" ht="25.5" hidden="false" customHeight="true" outlineLevel="0" collapsed="false">
      <c r="B2" s="24" t="s">
        <v>122</v>
      </c>
      <c r="C2" s="24"/>
      <c r="D2" s="24"/>
      <c r="E2" s="24"/>
      <c r="F2" s="24"/>
    </row>
    <row r="4" customFormat="false" ht="15" hidden="false" customHeight="false" outlineLevel="0" collapsed="false">
      <c r="B4" s="9" t="s">
        <v>123</v>
      </c>
      <c r="C4" s="9" t="s">
        <v>124</v>
      </c>
      <c r="D4" s="9" t="s">
        <v>125</v>
      </c>
      <c r="E4" s="9" t="s">
        <v>126</v>
      </c>
      <c r="F4" s="9" t="s">
        <v>127</v>
      </c>
    </row>
    <row r="5" customFormat="false" ht="15" hidden="false" customHeight="false" outlineLevel="0" collapsed="false">
      <c r="B5" s="26" t="s">
        <v>128</v>
      </c>
      <c r="C5" s="34" t="n">
        <v>804.5</v>
      </c>
      <c r="D5" s="11" t="n">
        <v>24669</v>
      </c>
      <c r="E5" s="35" t="n">
        <v>30.663766314481</v>
      </c>
      <c r="F5" s="10" t="s">
        <v>129</v>
      </c>
    </row>
    <row r="6" customFormat="false" ht="15" hidden="false" customHeight="false" outlineLevel="0" collapsed="false">
      <c r="B6" s="26" t="s">
        <v>130</v>
      </c>
      <c r="C6" s="34" t="n">
        <v>785.5</v>
      </c>
      <c r="D6" s="11" t="n">
        <v>11541</v>
      </c>
      <c r="E6" s="35" t="n">
        <v>14.6925525143221</v>
      </c>
      <c r="F6" s="36" t="s">
        <v>131</v>
      </c>
    </row>
    <row r="7" customFormat="false" ht="15" hidden="false" customHeight="false" outlineLevel="0" collapsed="false">
      <c r="B7" s="26" t="s">
        <v>132</v>
      </c>
      <c r="C7" s="34" t="n">
        <v>640</v>
      </c>
      <c r="D7" s="11" t="n">
        <v>7792</v>
      </c>
      <c r="E7" s="35" t="n">
        <v>12.175</v>
      </c>
      <c r="F7" s="36" t="s">
        <v>131</v>
      </c>
    </row>
    <row r="8" customFormat="false" ht="15" hidden="false" customHeight="false" outlineLevel="0" collapsed="false">
      <c r="B8" s="26" t="s">
        <v>133</v>
      </c>
      <c r="C8" s="34" t="n">
        <v>607</v>
      </c>
      <c r="D8" s="11" t="n">
        <v>7748</v>
      </c>
      <c r="E8" s="35" t="n">
        <v>12.7644151565074</v>
      </c>
      <c r="F8" s="36" t="s">
        <v>131</v>
      </c>
    </row>
    <row r="9" customFormat="false" ht="15" hidden="false" customHeight="false" outlineLevel="0" collapsed="false">
      <c r="B9" s="26" t="s">
        <v>134</v>
      </c>
      <c r="C9" s="34" t="n">
        <v>526</v>
      </c>
      <c r="D9" s="11" t="n">
        <v>9989</v>
      </c>
      <c r="E9" s="35" t="n">
        <v>18.990494296578</v>
      </c>
      <c r="F9" s="36" t="s">
        <v>131</v>
      </c>
    </row>
    <row r="10" customFormat="false" ht="15" hidden="false" customHeight="false" outlineLevel="0" collapsed="false">
      <c r="B10" s="26" t="s">
        <v>135</v>
      </c>
      <c r="C10" s="34" t="n">
        <v>449</v>
      </c>
      <c r="D10" s="11" t="n">
        <v>11691</v>
      </c>
      <c r="E10" s="35" t="n">
        <v>26.0378619153675</v>
      </c>
      <c r="F10" s="10" t="s">
        <v>129</v>
      </c>
    </row>
    <row r="11" customFormat="false" ht="15" hidden="false" customHeight="false" outlineLevel="0" collapsed="false">
      <c r="B11" s="26" t="s">
        <v>136</v>
      </c>
      <c r="C11" s="34" t="n">
        <v>384</v>
      </c>
      <c r="D11" s="11" t="n">
        <v>9984</v>
      </c>
      <c r="E11" s="35" t="n">
        <v>26</v>
      </c>
      <c r="F11" s="10" t="s">
        <v>129</v>
      </c>
    </row>
    <row r="12" customFormat="false" ht="15" hidden="false" customHeight="false" outlineLevel="0" collapsed="false">
      <c r="B12" s="26" t="s">
        <v>137</v>
      </c>
      <c r="C12" s="34" t="n">
        <v>341</v>
      </c>
      <c r="D12" s="11" t="n">
        <v>8866</v>
      </c>
      <c r="E12" s="35" t="n">
        <v>26</v>
      </c>
      <c r="F12" s="10" t="s">
        <v>129</v>
      </c>
    </row>
    <row r="13" customFormat="false" ht="15" hidden="false" customHeight="false" outlineLevel="0" collapsed="false">
      <c r="B13" s="26" t="s">
        <v>138</v>
      </c>
      <c r="C13" s="34" t="n">
        <v>320</v>
      </c>
      <c r="D13" s="11" t="n">
        <v>4296</v>
      </c>
      <c r="E13" s="35" t="n">
        <v>13.425</v>
      </c>
      <c r="F13" s="36" t="s">
        <v>131</v>
      </c>
    </row>
    <row r="14" customFormat="false" ht="15" hidden="false" customHeight="false" outlineLevel="0" collapsed="false">
      <c r="B14" s="26" t="s">
        <v>139</v>
      </c>
      <c r="C14" s="34" t="n">
        <v>254</v>
      </c>
      <c r="D14" s="11" t="n">
        <v>8779</v>
      </c>
      <c r="E14" s="35" t="n">
        <v>34.5629921259843</v>
      </c>
      <c r="F14" s="10" t="s">
        <v>129</v>
      </c>
    </row>
    <row r="15" customFormat="false" ht="15" hidden="false" customHeight="false" outlineLevel="0" collapsed="false">
      <c r="B15" s="26" t="s">
        <v>140</v>
      </c>
      <c r="C15" s="34" t="n">
        <v>196</v>
      </c>
      <c r="D15" s="11" t="n">
        <v>3504</v>
      </c>
      <c r="E15" s="35" t="n">
        <v>17.8775510204082</v>
      </c>
      <c r="F15" s="36" t="s">
        <v>131</v>
      </c>
    </row>
    <row r="16" customFormat="false" ht="15" hidden="false" customHeight="false" outlineLevel="0" collapsed="false">
      <c r="B16" s="26" t="s">
        <v>141</v>
      </c>
      <c r="C16" s="34" t="n">
        <v>189</v>
      </c>
      <c r="D16" s="11" t="n">
        <v>5292</v>
      </c>
      <c r="E16" s="35" t="n">
        <v>28</v>
      </c>
      <c r="F16" s="10" t="s">
        <v>129</v>
      </c>
    </row>
    <row r="17" customFormat="false" ht="15" hidden="false" customHeight="false" outlineLevel="0" collapsed="false">
      <c r="B17" s="26" t="s">
        <v>142</v>
      </c>
      <c r="C17" s="34" t="n">
        <v>157</v>
      </c>
      <c r="D17" s="11" t="n">
        <v>4082</v>
      </c>
      <c r="E17" s="35" t="n">
        <v>26</v>
      </c>
      <c r="F17" s="10" t="s">
        <v>129</v>
      </c>
    </row>
    <row r="18" customFormat="false" ht="15" hidden="false" customHeight="false" outlineLevel="0" collapsed="false">
      <c r="B18" s="26" t="s">
        <v>143</v>
      </c>
      <c r="C18" s="34" t="n">
        <v>157</v>
      </c>
      <c r="D18" s="11" t="n">
        <v>3547</v>
      </c>
      <c r="E18" s="35" t="n">
        <v>22.5923566878981</v>
      </c>
      <c r="F18" s="10" t="s">
        <v>129</v>
      </c>
    </row>
    <row r="19" customFormat="false" ht="15" hidden="false" customHeight="false" outlineLevel="0" collapsed="false">
      <c r="B19" s="26" t="s">
        <v>144</v>
      </c>
      <c r="C19" s="34" t="n">
        <v>136</v>
      </c>
      <c r="D19" s="11" t="n">
        <v>1616</v>
      </c>
      <c r="E19" s="35" t="n">
        <v>11.8823529411765</v>
      </c>
      <c r="F19" s="36" t="s">
        <v>131</v>
      </c>
    </row>
    <row r="20" customFormat="false" ht="15" hidden="false" customHeight="false" outlineLevel="0" collapsed="false">
      <c r="B20" s="26" t="s">
        <v>145</v>
      </c>
      <c r="C20" s="34" t="n">
        <v>128</v>
      </c>
      <c r="D20" s="11" t="n">
        <v>1696</v>
      </c>
      <c r="E20" s="35" t="n">
        <v>13.25</v>
      </c>
      <c r="F20" s="36" t="s">
        <v>131</v>
      </c>
    </row>
    <row r="21" customFormat="false" ht="15" hidden="false" customHeight="false" outlineLevel="0" collapsed="false">
      <c r="B21" s="26" t="s">
        <v>146</v>
      </c>
      <c r="C21" s="34" t="n">
        <v>126</v>
      </c>
      <c r="D21" s="11" t="n">
        <v>2402</v>
      </c>
      <c r="E21" s="35" t="n">
        <v>19.0634920634921</v>
      </c>
      <c r="F21" s="36" t="s">
        <v>131</v>
      </c>
    </row>
    <row r="22" customFormat="false" ht="15" hidden="false" customHeight="false" outlineLevel="0" collapsed="false">
      <c r="B22" s="26" t="s">
        <v>147</v>
      </c>
      <c r="C22" s="34" t="n">
        <v>122</v>
      </c>
      <c r="D22" s="11" t="n">
        <v>3782</v>
      </c>
      <c r="E22" s="35" t="n">
        <v>31</v>
      </c>
      <c r="F22" s="10" t="s">
        <v>129</v>
      </c>
    </row>
    <row r="23" customFormat="false" ht="15" hidden="false" customHeight="false" outlineLevel="0" collapsed="false">
      <c r="B23" s="26" t="s">
        <v>148</v>
      </c>
      <c r="C23" s="34" t="n">
        <v>118</v>
      </c>
      <c r="D23" s="11" t="n">
        <v>1652</v>
      </c>
      <c r="E23" s="35" t="n">
        <v>14</v>
      </c>
      <c r="F23" s="36" t="s">
        <v>131</v>
      </c>
    </row>
    <row r="24" customFormat="false" ht="15" hidden="false" customHeight="false" outlineLevel="0" collapsed="false">
      <c r="B24" s="26" t="s">
        <v>149</v>
      </c>
      <c r="C24" s="34" t="n">
        <v>108</v>
      </c>
      <c r="D24" s="11" t="n">
        <v>1728</v>
      </c>
      <c r="E24" s="35" t="n">
        <v>16</v>
      </c>
      <c r="F24" s="36" t="s">
        <v>131</v>
      </c>
    </row>
    <row r="25" customFormat="false" ht="15" hidden="false" customHeight="false" outlineLevel="0" collapsed="false">
      <c r="B25" s="26" t="s">
        <v>150</v>
      </c>
      <c r="C25" s="34" t="n">
        <v>80</v>
      </c>
      <c r="D25" s="11" t="n">
        <v>960</v>
      </c>
      <c r="E25" s="35" t="n">
        <v>12</v>
      </c>
      <c r="F25" s="36" t="s">
        <v>131</v>
      </c>
    </row>
    <row r="26" customFormat="false" ht="15" hidden="false" customHeight="false" outlineLevel="0" collapsed="false">
      <c r="B26" s="26" t="s">
        <v>151</v>
      </c>
      <c r="C26" s="34" t="n">
        <v>37</v>
      </c>
      <c r="D26" s="11" t="n">
        <v>444</v>
      </c>
      <c r="E26" s="35" t="n">
        <v>12</v>
      </c>
      <c r="F26" s="36" t="s">
        <v>131</v>
      </c>
    </row>
    <row r="27" customFormat="false" ht="15" hidden="false" customHeight="false" outlineLevel="0" collapsed="false">
      <c r="B27" s="26" t="s">
        <v>152</v>
      </c>
      <c r="C27" s="34" t="n">
        <v>34</v>
      </c>
      <c r="D27" s="11" t="n">
        <v>850</v>
      </c>
      <c r="E27" s="35" t="n">
        <v>25</v>
      </c>
      <c r="F27" s="10" t="s">
        <v>129</v>
      </c>
    </row>
    <row r="28" customFormat="false" ht="15" hidden="false" customHeight="false" outlineLevel="0" collapsed="false">
      <c r="B28" s="26" t="s">
        <v>153</v>
      </c>
      <c r="C28" s="34" t="n">
        <v>33.5</v>
      </c>
      <c r="D28" s="11" t="n">
        <v>402</v>
      </c>
      <c r="E28" s="35" t="n">
        <v>12</v>
      </c>
      <c r="F28" s="36" t="s">
        <v>131</v>
      </c>
    </row>
    <row r="29" customFormat="false" ht="15" hidden="false" customHeight="false" outlineLevel="0" collapsed="false">
      <c r="B29" s="26" t="s">
        <v>154</v>
      </c>
      <c r="C29" s="34" t="n">
        <v>24</v>
      </c>
      <c r="D29" s="11" t="n">
        <v>552</v>
      </c>
      <c r="E29" s="35" t="n">
        <v>23</v>
      </c>
      <c r="F29" s="10" t="s">
        <v>129</v>
      </c>
    </row>
    <row r="30" customFormat="false" ht="15" hidden="false" customHeight="false" outlineLevel="0" collapsed="false">
      <c r="B30" s="26" t="s">
        <v>155</v>
      </c>
      <c r="C30" s="34" t="n">
        <v>9</v>
      </c>
      <c r="D30" s="11" t="n">
        <v>261</v>
      </c>
      <c r="E30" s="35" t="n">
        <v>29</v>
      </c>
      <c r="F30" s="10" t="s">
        <v>129</v>
      </c>
    </row>
    <row r="31" customFormat="false" ht="15" hidden="false" customHeight="false" outlineLevel="0" collapsed="false">
      <c r="B31" s="26" t="s">
        <v>156</v>
      </c>
      <c r="C31" s="34" t="n">
        <v>8</v>
      </c>
      <c r="D31" s="11" t="n">
        <v>96</v>
      </c>
      <c r="E31" s="35" t="n">
        <v>12</v>
      </c>
      <c r="F31" s="36" t="s">
        <v>131</v>
      </c>
    </row>
    <row r="32" customFormat="false" ht="15" hidden="false" customHeight="false" outlineLevel="0" collapsed="false">
      <c r="B32" s="26" t="s">
        <v>157</v>
      </c>
      <c r="C32" s="34" t="n">
        <v>8</v>
      </c>
      <c r="D32" s="11" t="n">
        <v>184</v>
      </c>
      <c r="E32" s="35" t="n">
        <v>23</v>
      </c>
      <c r="F32" s="10" t="s">
        <v>129</v>
      </c>
    </row>
    <row r="33" customFormat="false" ht="15" hidden="false" customHeight="false" outlineLevel="0" collapsed="false">
      <c r="B33" s="26" t="s">
        <v>158</v>
      </c>
      <c r="C33" s="34" t="n">
        <v>8</v>
      </c>
      <c r="D33" s="11" t="n">
        <v>128</v>
      </c>
      <c r="E33" s="35" t="n">
        <v>16</v>
      </c>
      <c r="F33" s="36" t="s">
        <v>131</v>
      </c>
    </row>
    <row r="34" customFormat="false" ht="15" hidden="false" customHeight="false" outlineLevel="0" collapsed="false">
      <c r="B34" s="26" t="s">
        <v>159</v>
      </c>
      <c r="C34" s="34" t="n">
        <v>8</v>
      </c>
      <c r="D34" s="11" t="n">
        <v>104</v>
      </c>
      <c r="E34" s="35" t="n">
        <v>13</v>
      </c>
      <c r="F34" s="36" t="s">
        <v>131</v>
      </c>
    </row>
    <row r="35" customFormat="false" ht="15" hidden="false" customHeight="false" outlineLevel="0" collapsed="false">
      <c r="B35" s="26" t="s">
        <v>160</v>
      </c>
      <c r="C35" s="34" t="n">
        <v>8</v>
      </c>
      <c r="D35" s="11" t="n">
        <v>104</v>
      </c>
      <c r="E35" s="35" t="n">
        <v>13</v>
      </c>
      <c r="F35" s="36" t="s">
        <v>131</v>
      </c>
    </row>
    <row r="36" customFormat="false" ht="15" hidden="false" customHeight="false" outlineLevel="0" collapsed="false">
      <c r="B36" s="9" t="s">
        <v>161</v>
      </c>
      <c r="C36" s="37" t="n">
        <v>6805.5</v>
      </c>
      <c r="D36" s="17" t="n">
        <v>138741</v>
      </c>
      <c r="E36" s="38" t="n">
        <v>20.3865990742782</v>
      </c>
      <c r="F36" s="9"/>
    </row>
    <row r="39" customFormat="false" ht="7.5" hidden="false" customHeight="true" outlineLevel="0" collapsed="false"/>
    <row r="40" customFormat="false" ht="15" hidden="false" customHeight="false" outlineLevel="0" collapsed="false">
      <c r="B40" s="22" t="s">
        <v>49</v>
      </c>
      <c r="C40" s="22"/>
      <c r="D40" s="22"/>
      <c r="E40" s="22"/>
      <c r="F40" s="22"/>
    </row>
    <row r="41" customFormat="false" ht="15" hidden="false" customHeight="false" outlineLevel="0" collapsed="false">
      <c r="B41" s="23" t="s">
        <v>50</v>
      </c>
      <c r="C41" s="23"/>
      <c r="D41" s="23"/>
      <c r="E41" s="23"/>
      <c r="F41" s="23"/>
    </row>
    <row r="42" customFormat="false" ht="15" hidden="false" customHeight="false" outlineLevel="0" collapsed="false">
      <c r="B42" s="23" t="s">
        <v>51</v>
      </c>
      <c r="C42" s="23"/>
      <c r="D42" s="23"/>
      <c r="E42" s="23"/>
      <c r="F42" s="23"/>
    </row>
    <row r="43" customFormat="false" ht="15" hidden="false" customHeight="false" outlineLevel="0" collapsed="false">
      <c r="B43" s="23" t="s">
        <v>162</v>
      </c>
      <c r="C43" s="23"/>
      <c r="D43" s="23"/>
      <c r="E43" s="23"/>
      <c r="F43" s="23"/>
    </row>
    <row r="44" customFormat="false" ht="15" hidden="false" customHeight="false" outlineLevel="0" collapsed="false">
      <c r="B44" s="23" t="s">
        <v>163</v>
      </c>
      <c r="C44" s="23"/>
      <c r="D44" s="23"/>
      <c r="E44" s="23"/>
      <c r="F44" s="23"/>
    </row>
  </sheetData>
  <mergeCells count="6">
    <mergeCell ref="B2:F2"/>
    <mergeCell ref="B40:F40"/>
    <mergeCell ref="B41:F41"/>
    <mergeCell ref="B42:F42"/>
    <mergeCell ref="B43:F43"/>
    <mergeCell ref="B44:F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42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2"/>
  </cols>
  <sheetData>
    <row r="2" customFormat="false" ht="25.5" hidden="false" customHeight="true" outlineLevel="0" collapsed="false">
      <c r="B2" s="24" t="s">
        <v>164</v>
      </c>
      <c r="C2" s="24"/>
      <c r="D2" s="24"/>
      <c r="E2" s="24"/>
      <c r="F2" s="24"/>
    </row>
    <row r="3" customFormat="false" ht="15" hidden="false" customHeight="false" outlineLevel="0" collapsed="false">
      <c r="B3" s="39" t="s">
        <v>165</v>
      </c>
      <c r="C3" s="39"/>
      <c r="D3" s="39"/>
      <c r="E3" s="39"/>
      <c r="F3" s="39"/>
    </row>
    <row r="5" customFormat="false" ht="15" hidden="false" customHeight="false" outlineLevel="0" collapsed="false">
      <c r="B5" s="40" t="s">
        <v>166</v>
      </c>
      <c r="C5" s="40"/>
      <c r="D5" s="40"/>
      <c r="E5" s="40"/>
      <c r="F5" s="40"/>
    </row>
    <row r="6" customFormat="false" ht="15" hidden="false" customHeight="false" outlineLevel="0" collapsed="false">
      <c r="B6" s="9" t="s">
        <v>167</v>
      </c>
      <c r="C6" s="9" t="s">
        <v>168</v>
      </c>
      <c r="D6" s="9" t="s">
        <v>169</v>
      </c>
      <c r="E6" s="9" t="s">
        <v>170</v>
      </c>
      <c r="F6" s="9" t="s">
        <v>171</v>
      </c>
    </row>
    <row r="7" customFormat="false" ht="15" hidden="false" customHeight="false" outlineLevel="0" collapsed="false">
      <c r="B7" s="26" t="s">
        <v>44</v>
      </c>
      <c r="C7" s="26" t="s">
        <v>172</v>
      </c>
      <c r="D7" s="41" t="n">
        <v>1</v>
      </c>
      <c r="E7" s="11" t="n">
        <v>3173.809</v>
      </c>
      <c r="F7" s="11" t="n">
        <v>5311</v>
      </c>
    </row>
    <row r="8" customFormat="false" ht="15" hidden="false" customHeight="false" outlineLevel="0" collapsed="false">
      <c r="B8" s="26" t="s">
        <v>173</v>
      </c>
      <c r="C8" s="26" t="s">
        <v>174</v>
      </c>
      <c r="D8" s="41" t="n">
        <v>7</v>
      </c>
      <c r="E8" s="11" t="n">
        <v>48550.207</v>
      </c>
      <c r="F8" s="11" t="n">
        <v>48840.52</v>
      </c>
    </row>
    <row r="9" customFormat="false" ht="15" hidden="false" customHeight="false" outlineLevel="0" collapsed="false">
      <c r="B9" s="26" t="s">
        <v>175</v>
      </c>
      <c r="C9" s="26" t="s">
        <v>176</v>
      </c>
      <c r="D9" s="41" t="n">
        <v>5</v>
      </c>
      <c r="E9" s="11" t="n">
        <v>53403.455</v>
      </c>
      <c r="F9" s="11" t="n">
        <v>207101.2</v>
      </c>
    </row>
    <row r="10" customFormat="false" ht="15" hidden="false" customHeight="false" outlineLevel="0" collapsed="false">
      <c r="B10" s="26" t="s">
        <v>177</v>
      </c>
      <c r="C10" s="26" t="s">
        <v>178</v>
      </c>
      <c r="D10" s="41" t="n">
        <v>3</v>
      </c>
      <c r="E10" s="11" t="n">
        <v>5182.195</v>
      </c>
      <c r="F10" s="11" t="n">
        <v>6465.89</v>
      </c>
    </row>
    <row r="11" customFormat="false" ht="15" hidden="false" customHeight="false" outlineLevel="0" collapsed="false">
      <c r="B11" s="26" t="s">
        <v>179</v>
      </c>
      <c r="C11" s="26" t="s">
        <v>180</v>
      </c>
      <c r="D11" s="41" t="n">
        <v>1</v>
      </c>
      <c r="E11" s="11" t="n">
        <v>126.879</v>
      </c>
      <c r="F11" s="11" t="n">
        <v>5222.75</v>
      </c>
    </row>
    <row r="12" customFormat="false" ht="15" hidden="false" customHeight="false" outlineLevel="0" collapsed="false">
      <c r="B12" s="26" t="s">
        <v>181</v>
      </c>
      <c r="C12" s="26" t="s">
        <v>182</v>
      </c>
      <c r="D12" s="41" t="n">
        <v>3</v>
      </c>
      <c r="E12" s="11" t="n">
        <v>1248.246</v>
      </c>
      <c r="F12" s="11" t="n">
        <v>3664.54</v>
      </c>
    </row>
    <row r="13" customFormat="false" ht="15" hidden="false" customHeight="false" outlineLevel="0" collapsed="false">
      <c r="B13" s="26" t="s">
        <v>183</v>
      </c>
      <c r="C13" s="26" t="s">
        <v>184</v>
      </c>
      <c r="D13" s="41" t="n">
        <v>1</v>
      </c>
      <c r="E13" s="11" t="n">
        <v>949.986</v>
      </c>
      <c r="F13" s="11" t="n">
        <v>1134.76</v>
      </c>
    </row>
    <row r="14" customFormat="false" ht="15" hidden="false" customHeight="false" outlineLevel="0" collapsed="false">
      <c r="B14" s="26" t="s">
        <v>185</v>
      </c>
      <c r="C14" s="26" t="s">
        <v>186</v>
      </c>
      <c r="D14" s="41" t="n">
        <v>5</v>
      </c>
      <c r="E14" s="11" t="n">
        <v>12272.7252</v>
      </c>
      <c r="F14" s="11" t="n">
        <v>15147.02</v>
      </c>
    </row>
    <row r="15" customFormat="false" ht="15" hidden="false" customHeight="false" outlineLevel="0" collapsed="false">
      <c r="B15" s="9" t="s">
        <v>25</v>
      </c>
      <c r="C15" s="9"/>
      <c r="D15" s="9" t="n">
        <v>26</v>
      </c>
      <c r="E15" s="17" t="n">
        <v>124907.5022</v>
      </c>
      <c r="F15" s="17" t="n">
        <v>292887.68</v>
      </c>
    </row>
    <row r="17" customFormat="false" ht="15" hidden="false" customHeight="false" outlineLevel="0" collapsed="false">
      <c r="B17" s="42" t="s">
        <v>187</v>
      </c>
      <c r="C17" s="42"/>
      <c r="D17" s="42"/>
      <c r="E17" s="42"/>
      <c r="F17" s="42"/>
    </row>
    <row r="18" customFormat="false" ht="15" hidden="false" customHeight="false" outlineLevel="0" collapsed="false">
      <c r="B18" s="9" t="s">
        <v>188</v>
      </c>
      <c r="C18" s="9" t="s">
        <v>169</v>
      </c>
      <c r="D18" s="9" t="s">
        <v>189</v>
      </c>
      <c r="E18" s="9" t="s">
        <v>190</v>
      </c>
      <c r="F18" s="9"/>
    </row>
    <row r="19" customFormat="false" ht="15" hidden="false" customHeight="false" outlineLevel="0" collapsed="false">
      <c r="B19" s="26" t="s">
        <v>191</v>
      </c>
      <c r="C19" s="26" t="n">
        <v>8</v>
      </c>
      <c r="D19" s="11" t="n">
        <v>75158.1112</v>
      </c>
      <c r="E19" s="13" t="n">
        <v>0.601710144516844</v>
      </c>
      <c r="F19" s="26"/>
    </row>
    <row r="20" customFormat="false" ht="15" hidden="false" customHeight="false" outlineLevel="0" collapsed="false">
      <c r="B20" s="26" t="s">
        <v>192</v>
      </c>
      <c r="C20" s="26" t="n">
        <v>13</v>
      </c>
      <c r="D20" s="11" t="n">
        <v>38136.09</v>
      </c>
      <c r="E20" s="13" t="n">
        <v>0.305314647465587</v>
      </c>
      <c r="F20" s="26"/>
    </row>
    <row r="21" customFormat="false" ht="15" hidden="false" customHeight="false" outlineLevel="0" collapsed="false">
      <c r="B21" s="26" t="s">
        <v>193</v>
      </c>
      <c r="C21" s="26" t="n">
        <v>1</v>
      </c>
      <c r="D21" s="11" t="n">
        <v>7478.91</v>
      </c>
      <c r="E21" s="13" t="n">
        <v>0.0598755868804812</v>
      </c>
      <c r="F21" s="26"/>
    </row>
    <row r="22" customFormat="false" ht="15" hidden="false" customHeight="false" outlineLevel="0" collapsed="false">
      <c r="B22" s="26" t="s">
        <v>194</v>
      </c>
      <c r="C22" s="26" t="n">
        <v>1</v>
      </c>
      <c r="D22" s="11" t="n">
        <v>2206.7</v>
      </c>
      <c r="E22" s="13" t="n">
        <v>0.0176666730271066</v>
      </c>
      <c r="F22" s="26"/>
    </row>
    <row r="23" customFormat="false" ht="15" hidden="false" customHeight="false" outlineLevel="0" collapsed="false">
      <c r="B23" s="26" t="s">
        <v>195</v>
      </c>
      <c r="C23" s="26" t="n">
        <v>3</v>
      </c>
      <c r="D23" s="11" t="n">
        <v>1927.691</v>
      </c>
      <c r="E23" s="13" t="n">
        <v>0.0154329481099815</v>
      </c>
      <c r="F23" s="26"/>
    </row>
    <row r="26" customFormat="false" ht="15" hidden="false" customHeight="false" outlineLevel="0" collapsed="false">
      <c r="B26" s="43" t="s">
        <v>196</v>
      </c>
      <c r="C26" s="43"/>
      <c r="D26" s="43"/>
      <c r="E26" s="43"/>
      <c r="F26" s="43"/>
    </row>
    <row r="27" customFormat="false" ht="15" hidden="false" customHeight="false" outlineLevel="0" collapsed="false">
      <c r="B27" s="44" t="s">
        <v>197</v>
      </c>
      <c r="C27" s="44"/>
      <c r="D27" s="44"/>
      <c r="E27" s="45" t="n">
        <v>295005.88</v>
      </c>
    </row>
    <row r="28" customFormat="false" ht="15" hidden="false" customHeight="false" outlineLevel="0" collapsed="false">
      <c r="B28" s="44" t="s">
        <v>198</v>
      </c>
      <c r="C28" s="44"/>
      <c r="D28" s="44"/>
      <c r="E28" s="46" t="n">
        <v>124907.5022</v>
      </c>
    </row>
    <row r="29" customFormat="false" ht="15" hidden="false" customHeight="false" outlineLevel="0" collapsed="false">
      <c r="B29" s="44" t="s">
        <v>199</v>
      </c>
      <c r="C29" s="44"/>
      <c r="D29" s="44"/>
      <c r="E29" s="47" t="n">
        <v>0.423406822264017</v>
      </c>
    </row>
    <row r="30" customFormat="false" ht="15" hidden="false" customHeight="false" outlineLevel="0" collapsed="false">
      <c r="B30" s="44" t="s">
        <v>200</v>
      </c>
      <c r="C30" s="44"/>
      <c r="D30" s="44"/>
      <c r="E30" s="48" t="n">
        <v>170098.3778</v>
      </c>
    </row>
    <row r="31" customFormat="false" ht="15" hidden="false" customHeight="false" outlineLevel="0" collapsed="false">
      <c r="B31" s="44" t="s">
        <v>201</v>
      </c>
      <c r="C31" s="44"/>
      <c r="D31" s="44"/>
    </row>
    <row r="34" customFormat="false" ht="7.5" hidden="false" customHeight="true" outlineLevel="0" collapsed="false"/>
    <row r="35" customFormat="false" ht="15" hidden="false" customHeight="false" outlineLevel="0" collapsed="false">
      <c r="B35" s="22" t="s">
        <v>49</v>
      </c>
      <c r="C35" s="22"/>
      <c r="D35" s="22"/>
      <c r="E35" s="22"/>
      <c r="F35" s="22"/>
    </row>
    <row r="36" customFormat="false" ht="15" hidden="false" customHeight="false" outlineLevel="0" collapsed="false">
      <c r="B36" s="23" t="s">
        <v>50</v>
      </c>
      <c r="C36" s="23"/>
      <c r="D36" s="23"/>
      <c r="E36" s="23"/>
      <c r="F36" s="23"/>
    </row>
    <row r="37" customFormat="false" ht="15" hidden="false" customHeight="false" outlineLevel="0" collapsed="false">
      <c r="B37" s="23" t="s">
        <v>51</v>
      </c>
      <c r="C37" s="23"/>
      <c r="D37" s="23"/>
      <c r="E37" s="23"/>
      <c r="F37" s="23"/>
    </row>
    <row r="38" customFormat="false" ht="15" hidden="false" customHeight="false" outlineLevel="0" collapsed="false">
      <c r="B38" s="23" t="s">
        <v>202</v>
      </c>
      <c r="C38" s="23"/>
      <c r="D38" s="23"/>
      <c r="E38" s="23"/>
      <c r="F38" s="23"/>
    </row>
    <row r="39" customFormat="false" ht="15" hidden="false" customHeight="false" outlineLevel="0" collapsed="false">
      <c r="B39" s="23" t="s">
        <v>203</v>
      </c>
      <c r="C39" s="23"/>
      <c r="D39" s="23"/>
      <c r="E39" s="23"/>
      <c r="F39" s="23"/>
    </row>
    <row r="40" customFormat="false" ht="15" hidden="false" customHeight="false" outlineLevel="0" collapsed="false">
      <c r="B40" s="23" t="s">
        <v>204</v>
      </c>
      <c r="C40" s="23"/>
      <c r="D40" s="23"/>
      <c r="E40" s="23"/>
      <c r="F40" s="23"/>
    </row>
  </sheetData>
  <mergeCells count="16">
    <mergeCell ref="B2:F2"/>
    <mergeCell ref="B3:F3"/>
    <mergeCell ref="B5:F5"/>
    <mergeCell ref="B17:F17"/>
    <mergeCell ref="B26:F26"/>
    <mergeCell ref="B27:D27"/>
    <mergeCell ref="B28:D28"/>
    <mergeCell ref="B29:D29"/>
    <mergeCell ref="B30:D30"/>
    <mergeCell ref="B31:D31"/>
    <mergeCell ref="B35:F35"/>
    <mergeCell ref="B36:F36"/>
    <mergeCell ref="B37:F37"/>
    <mergeCell ref="B38:F38"/>
    <mergeCell ref="B39:F39"/>
    <mergeCell ref="B40:F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14"/>
    <col collapsed="false" customWidth="true" hidden="false" outlineLevel="0" max="6" min="4" style="0" width="16"/>
    <col collapsed="false" customWidth="true" hidden="false" outlineLevel="0" max="7" min="7" style="0" width="14"/>
    <col collapsed="false" customWidth="true" hidden="false" outlineLevel="0" max="8" min="8" style="0" width="2"/>
  </cols>
  <sheetData>
    <row r="2" customFormat="false" ht="25.5" hidden="false" customHeight="true" outlineLevel="0" collapsed="false">
      <c r="B2" s="24" t="s">
        <v>205</v>
      </c>
      <c r="C2" s="24"/>
      <c r="D2" s="24"/>
      <c r="E2" s="24"/>
      <c r="F2" s="24"/>
      <c r="G2" s="24"/>
    </row>
    <row r="3" customFormat="false" ht="15" hidden="false" customHeight="false" outlineLevel="0" collapsed="false">
      <c r="B3" s="39" t="s">
        <v>206</v>
      </c>
      <c r="C3" s="39"/>
      <c r="D3" s="39"/>
      <c r="E3" s="39"/>
      <c r="F3" s="39"/>
      <c r="G3" s="39"/>
    </row>
    <row r="5" customFormat="false" ht="15" hidden="false" customHeight="false" outlineLevel="0" collapsed="false">
      <c r="B5" s="49" t="s">
        <v>207</v>
      </c>
      <c r="C5" s="49"/>
      <c r="D5" s="49"/>
      <c r="E5" s="49"/>
      <c r="F5" s="49"/>
      <c r="G5" s="49"/>
    </row>
    <row r="6" customFormat="false" ht="15" hidden="false" customHeight="false" outlineLevel="0" collapsed="false">
      <c r="B6" s="44" t="s">
        <v>208</v>
      </c>
      <c r="C6" s="44"/>
      <c r="D6" s="44"/>
      <c r="E6" s="44"/>
      <c r="F6" s="45" t="n">
        <v>813050</v>
      </c>
    </row>
    <row r="7" customFormat="false" ht="15" hidden="false" customHeight="false" outlineLevel="0" collapsed="false">
      <c r="B7" s="44" t="s">
        <v>209</v>
      </c>
      <c r="C7" s="44"/>
      <c r="D7" s="44"/>
      <c r="E7" s="44"/>
      <c r="F7" s="50" t="n">
        <v>25400</v>
      </c>
    </row>
    <row r="8" customFormat="false" ht="15" hidden="false" customHeight="false" outlineLevel="0" collapsed="false">
      <c r="B8" s="44" t="s">
        <v>210</v>
      </c>
      <c r="C8" s="44"/>
      <c r="D8" s="44"/>
      <c r="E8" s="44"/>
      <c r="F8" s="50" t="n">
        <v>959</v>
      </c>
    </row>
    <row r="9" customFormat="false" ht="15" hidden="false" customHeight="false" outlineLevel="0" collapsed="false">
      <c r="B9" s="44" t="s">
        <v>211</v>
      </c>
      <c r="C9" s="44"/>
      <c r="D9" s="44"/>
      <c r="E9" s="44"/>
      <c r="F9" s="50" t="n">
        <v>30414.5</v>
      </c>
    </row>
    <row r="10" customFormat="false" ht="15" hidden="false" customHeight="false" outlineLevel="0" collapsed="false">
      <c r="B10" s="44" t="s">
        <v>212</v>
      </c>
      <c r="C10" s="44"/>
      <c r="D10" s="44"/>
      <c r="E10" s="44"/>
      <c r="F10" s="51" t="n">
        <v>869824</v>
      </c>
    </row>
    <row r="11" customFormat="false" ht="15" hidden="false" customHeight="false" outlineLevel="0" collapsed="false">
      <c r="B11" s="44" t="s">
        <v>213</v>
      </c>
      <c r="C11" s="44"/>
      <c r="D11" s="44"/>
      <c r="E11" s="44"/>
      <c r="F11" s="52" t="n">
        <v>43491</v>
      </c>
    </row>
    <row r="12" customFormat="false" ht="15" hidden="false" customHeight="false" outlineLevel="0" collapsed="false">
      <c r="B12" s="44" t="s">
        <v>214</v>
      </c>
      <c r="C12" s="44"/>
      <c r="D12" s="44"/>
      <c r="E12" s="44"/>
      <c r="F12" s="53" t="n">
        <v>826333</v>
      </c>
    </row>
    <row r="15" customFormat="false" ht="15" hidden="false" customHeight="false" outlineLevel="0" collapsed="false">
      <c r="B15" s="40" t="s">
        <v>215</v>
      </c>
      <c r="C15" s="40"/>
      <c r="D15" s="40"/>
      <c r="E15" s="40"/>
      <c r="F15" s="40"/>
      <c r="G15" s="40"/>
    </row>
    <row r="16" customFormat="false" ht="15" hidden="false" customHeight="false" outlineLevel="0" collapsed="false">
      <c r="B16" s="9" t="s">
        <v>216</v>
      </c>
      <c r="C16" s="9" t="s">
        <v>217</v>
      </c>
      <c r="D16" s="9" t="s">
        <v>218</v>
      </c>
      <c r="E16" s="9" t="s">
        <v>219</v>
      </c>
      <c r="F16" s="9" t="s">
        <v>220</v>
      </c>
      <c r="G16" s="9" t="s">
        <v>221</v>
      </c>
    </row>
    <row r="17" customFormat="false" ht="15" hidden="false" customHeight="false" outlineLevel="0" collapsed="false">
      <c r="B17" s="26" t="n">
        <v>1</v>
      </c>
      <c r="C17" s="26" t="s">
        <v>222</v>
      </c>
      <c r="D17" s="11" t="n">
        <v>813050</v>
      </c>
      <c r="E17" s="11" t="n">
        <v>9500</v>
      </c>
      <c r="F17" s="11" t="n">
        <v>9500</v>
      </c>
      <c r="G17" s="13" t="n">
        <v>0.0116843982534899</v>
      </c>
    </row>
    <row r="18" customFormat="false" ht="15" hidden="false" customHeight="false" outlineLevel="0" collapsed="false">
      <c r="B18" s="26" t="n">
        <v>2</v>
      </c>
      <c r="C18" s="26" t="s">
        <v>223</v>
      </c>
      <c r="D18" s="11" t="n">
        <v>813050</v>
      </c>
      <c r="E18" s="11" t="n">
        <v>32700</v>
      </c>
      <c r="F18" s="11" t="n">
        <v>42200</v>
      </c>
      <c r="G18" s="13" t="n">
        <v>0.0519033269786606</v>
      </c>
    </row>
    <row r="19" customFormat="false" ht="15" hidden="false" customHeight="false" outlineLevel="0" collapsed="false">
      <c r="B19" s="26" t="n">
        <v>3</v>
      </c>
      <c r="C19" s="26" t="s">
        <v>224</v>
      </c>
      <c r="D19" s="11" t="n">
        <v>838450</v>
      </c>
      <c r="E19" s="11" t="n">
        <v>33000</v>
      </c>
      <c r="F19" s="11" t="n">
        <v>75200</v>
      </c>
      <c r="G19" s="13" t="n">
        <v>0.0896893076510227</v>
      </c>
    </row>
    <row r="20" customFormat="false" ht="15" hidden="false" customHeight="false" outlineLevel="0" collapsed="false">
      <c r="B20" s="26" t="n">
        <v>4</v>
      </c>
      <c r="C20" s="26" t="s">
        <v>225</v>
      </c>
      <c r="D20" s="11" t="n">
        <v>838450</v>
      </c>
      <c r="E20" s="11" t="n">
        <v>38800</v>
      </c>
      <c r="F20" s="11" t="n">
        <v>114000</v>
      </c>
      <c r="G20" s="13" t="n">
        <v>0.135965173832667</v>
      </c>
    </row>
    <row r="21" customFormat="false" ht="15" hidden="false" customHeight="false" outlineLevel="0" collapsed="false">
      <c r="B21" s="26" t="n">
        <v>5</v>
      </c>
      <c r="C21" s="26" t="s">
        <v>226</v>
      </c>
      <c r="D21" s="11" t="n">
        <v>839409</v>
      </c>
      <c r="E21" s="11" t="n">
        <v>18700</v>
      </c>
      <c r="F21" s="11" t="n">
        <v>132700</v>
      </c>
      <c r="G21" s="13" t="n">
        <v>0.158087416265492</v>
      </c>
    </row>
    <row r="22" customFormat="false" ht="15" hidden="false" customHeight="false" outlineLevel="0" collapsed="false">
      <c r="B22" s="26" t="n">
        <v>6</v>
      </c>
      <c r="C22" s="26" t="s">
        <v>227</v>
      </c>
      <c r="D22" s="11" t="n">
        <v>839409</v>
      </c>
      <c r="E22" s="11" t="n">
        <v>63000</v>
      </c>
      <c r="F22" s="11" t="n">
        <v>195700</v>
      </c>
      <c r="G22" s="13" t="n">
        <v>0.23314022127473</v>
      </c>
    </row>
    <row r="23" customFormat="false" ht="15" hidden="false" customHeight="false" outlineLevel="0" collapsed="false">
      <c r="B23" s="26" t="n">
        <v>7</v>
      </c>
      <c r="C23" s="26" t="s">
        <v>228</v>
      </c>
      <c r="D23" s="11" t="n">
        <v>839409</v>
      </c>
      <c r="E23" s="11" t="n">
        <v>235300</v>
      </c>
      <c r="F23" s="11" t="n">
        <v>431000</v>
      </c>
      <c r="G23" s="13" t="n">
        <v>0.51345649141241</v>
      </c>
    </row>
    <row r="24" customFormat="false" ht="15" hidden="false" customHeight="false" outlineLevel="0" collapsed="false">
      <c r="B24" s="26" t="n">
        <v>8</v>
      </c>
      <c r="C24" s="26" t="s">
        <v>229</v>
      </c>
      <c r="D24" s="11" t="n">
        <v>839409</v>
      </c>
      <c r="E24" s="11" t="n">
        <v>183000</v>
      </c>
      <c r="F24" s="11" t="n">
        <v>614000</v>
      </c>
      <c r="G24" s="13" t="n">
        <v>0.73146702024877</v>
      </c>
    </row>
    <row r="25" customFormat="false" ht="15" hidden="false" customHeight="false" outlineLevel="0" collapsed="false">
      <c r="B25" s="26" t="n">
        <v>9</v>
      </c>
      <c r="C25" s="26" t="s">
        <v>230</v>
      </c>
      <c r="D25" s="11" t="n">
        <v>839409</v>
      </c>
      <c r="E25" s="11" t="n">
        <v>41009</v>
      </c>
      <c r="F25" s="11" t="n">
        <v>655009</v>
      </c>
      <c r="G25" s="13" t="n">
        <v>0.780321631052324</v>
      </c>
    </row>
    <row r="26" customFormat="false" ht="15" hidden="false" customHeight="false" outlineLevel="0" collapsed="false">
      <c r="B26" s="26" t="n">
        <v>10</v>
      </c>
      <c r="C26" s="26" t="s">
        <v>231</v>
      </c>
      <c r="D26" s="11" t="n">
        <v>839409</v>
      </c>
      <c r="E26" s="11" t="n">
        <v>5400</v>
      </c>
      <c r="F26" s="11" t="n">
        <v>660409</v>
      </c>
      <c r="G26" s="13" t="n">
        <v>0.786754728624544</v>
      </c>
    </row>
    <row r="27" customFormat="false" ht="15" hidden="false" customHeight="false" outlineLevel="0" collapsed="false">
      <c r="B27" s="26" t="n">
        <v>11</v>
      </c>
      <c r="C27" s="26" t="s">
        <v>232</v>
      </c>
      <c r="D27" s="11" t="n">
        <v>839409</v>
      </c>
      <c r="E27" s="11" t="n">
        <v>5100</v>
      </c>
      <c r="F27" s="11" t="n">
        <v>665509</v>
      </c>
      <c r="G27" s="13" t="n">
        <v>0.792830431887197</v>
      </c>
    </row>
    <row r="28" customFormat="false" ht="15" hidden="false" customHeight="false" outlineLevel="0" collapsed="false">
      <c r="B28" s="26" t="n">
        <v>12</v>
      </c>
      <c r="C28" s="26" t="s">
        <v>233</v>
      </c>
      <c r="D28" s="11" t="n">
        <v>869823.5</v>
      </c>
      <c r="E28" s="11" t="n">
        <v>103997</v>
      </c>
      <c r="F28" s="11" t="n">
        <v>769506</v>
      </c>
      <c r="G28" s="13" t="n">
        <v>0.88466913115132</v>
      </c>
    </row>
    <row r="29" customFormat="false" ht="15" hidden="false" customHeight="false" outlineLevel="0" collapsed="false">
      <c r="B29" s="26" t="n">
        <v>13</v>
      </c>
      <c r="C29" s="26" t="s">
        <v>234</v>
      </c>
      <c r="D29" s="11" t="n">
        <v>869823.5</v>
      </c>
      <c r="E29" s="11" t="n">
        <v>100317.5</v>
      </c>
      <c r="F29" s="11" t="n">
        <v>869823.5</v>
      </c>
      <c r="G29" s="13" t="n">
        <v>1</v>
      </c>
    </row>
    <row r="32" customFormat="false" ht="15" hidden="false" customHeight="false" outlineLevel="0" collapsed="false">
      <c r="B32" s="43" t="s">
        <v>235</v>
      </c>
      <c r="C32" s="43"/>
      <c r="D32" s="43"/>
      <c r="E32" s="43"/>
      <c r="F32" s="43"/>
      <c r="G32" s="43"/>
    </row>
    <row r="33" customFormat="false" ht="15" hidden="false" customHeight="false" outlineLevel="0" collapsed="false">
      <c r="B33" s="9" t="s">
        <v>27</v>
      </c>
      <c r="C33" s="9" t="s">
        <v>236</v>
      </c>
      <c r="D33" s="9" t="s">
        <v>237</v>
      </c>
      <c r="E33" s="9" t="s">
        <v>238</v>
      </c>
      <c r="F33" s="9" t="s">
        <v>239</v>
      </c>
    </row>
    <row r="34" customFormat="false" ht="15" hidden="false" customHeight="false" outlineLevel="0" collapsed="false">
      <c r="B34" s="44" t="s">
        <v>212</v>
      </c>
      <c r="C34" s="44"/>
      <c r="D34" s="11" t="n">
        <v>869824</v>
      </c>
      <c r="E34" s="11" t="n">
        <v>869824</v>
      </c>
      <c r="F34" s="12" t="n">
        <v>0</v>
      </c>
      <c r="G34" s="36" t="s">
        <v>240</v>
      </c>
    </row>
    <row r="35" customFormat="false" ht="15" hidden="false" customHeight="false" outlineLevel="0" collapsed="false">
      <c r="B35" s="44" t="s">
        <v>241</v>
      </c>
      <c r="C35" s="44"/>
      <c r="D35" s="11" t="n">
        <v>43491</v>
      </c>
      <c r="E35" s="11" t="n">
        <v>43491</v>
      </c>
      <c r="F35" s="12" t="n">
        <v>0</v>
      </c>
      <c r="G35" s="36" t="s">
        <v>240</v>
      </c>
    </row>
    <row r="36" customFormat="false" ht="15" hidden="false" customHeight="false" outlineLevel="0" collapsed="false">
      <c r="B36" s="44" t="s">
        <v>242</v>
      </c>
      <c r="C36" s="44"/>
      <c r="D36" s="11" t="n">
        <v>826333</v>
      </c>
      <c r="E36" s="11" t="n">
        <v>826333</v>
      </c>
      <c r="F36" s="12" t="n">
        <v>0</v>
      </c>
      <c r="G36" s="36" t="s">
        <v>240</v>
      </c>
    </row>
    <row r="39" customFormat="false" ht="7.5" hidden="false" customHeight="true" outlineLevel="0" collapsed="false"/>
    <row r="40" customFormat="false" ht="15" hidden="false" customHeight="false" outlineLevel="0" collapsed="false">
      <c r="B40" s="22" t="s">
        <v>49</v>
      </c>
      <c r="C40" s="22"/>
      <c r="D40" s="22"/>
      <c r="E40" s="22"/>
      <c r="F40" s="22"/>
      <c r="G40" s="22"/>
    </row>
    <row r="41" customFormat="false" ht="15" hidden="false" customHeight="false" outlineLevel="0" collapsed="false">
      <c r="B41" s="23" t="s">
        <v>50</v>
      </c>
      <c r="C41" s="23"/>
      <c r="D41" s="23"/>
      <c r="E41" s="23"/>
      <c r="F41" s="23"/>
      <c r="G41" s="23"/>
    </row>
    <row r="42" customFormat="false" ht="15" hidden="false" customHeight="false" outlineLevel="0" collapsed="false">
      <c r="B42" s="23" t="s">
        <v>51</v>
      </c>
      <c r="C42" s="23"/>
      <c r="D42" s="23"/>
      <c r="E42" s="23"/>
      <c r="F42" s="23"/>
      <c r="G42" s="23"/>
    </row>
    <row r="43" customFormat="false" ht="15" hidden="false" customHeight="false" outlineLevel="0" collapsed="false">
      <c r="B43" s="23" t="s">
        <v>243</v>
      </c>
      <c r="C43" s="23"/>
      <c r="D43" s="23"/>
      <c r="E43" s="23"/>
      <c r="F43" s="23"/>
      <c r="G43" s="23"/>
    </row>
    <row r="44" customFormat="false" ht="15" hidden="false" customHeight="false" outlineLevel="0" collapsed="false">
      <c r="B44" s="23" t="s">
        <v>244</v>
      </c>
      <c r="C44" s="23"/>
      <c r="D44" s="23"/>
      <c r="E44" s="23"/>
      <c r="F44" s="23"/>
      <c r="G44" s="23"/>
    </row>
  </sheetData>
  <mergeCells count="20">
    <mergeCell ref="B2:G2"/>
    <mergeCell ref="B3:G3"/>
    <mergeCell ref="B5:G5"/>
    <mergeCell ref="B6:E6"/>
    <mergeCell ref="B7:E7"/>
    <mergeCell ref="B8:E8"/>
    <mergeCell ref="B9:E9"/>
    <mergeCell ref="B10:E10"/>
    <mergeCell ref="B11:E11"/>
    <mergeCell ref="B12:E12"/>
    <mergeCell ref="B15:G15"/>
    <mergeCell ref="B32:G32"/>
    <mergeCell ref="B34:C34"/>
    <mergeCell ref="B35:C35"/>
    <mergeCell ref="B36:C36"/>
    <mergeCell ref="B40:G40"/>
    <mergeCell ref="B41:G41"/>
    <mergeCell ref="B42:G42"/>
    <mergeCell ref="B43:G43"/>
    <mergeCell ref="B44:G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2"/>
    <col collapsed="false" customWidth="true" hidden="false" outlineLevel="0" max="3" min="3" style="0" width="28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6" min="6" style="0" width="40"/>
    <col collapsed="false" customWidth="true" hidden="false" outlineLevel="0" max="7" min="7" style="0" width="2"/>
  </cols>
  <sheetData>
    <row r="2" customFormat="false" ht="25.5" hidden="false" customHeight="true" outlineLevel="0" collapsed="false">
      <c r="B2" s="24" t="s">
        <v>245</v>
      </c>
      <c r="C2" s="24"/>
      <c r="D2" s="24"/>
      <c r="E2" s="24"/>
      <c r="F2" s="24"/>
    </row>
    <row r="4" customFormat="false" ht="15" hidden="false" customHeight="false" outlineLevel="0" collapsed="false">
      <c r="B4" s="9" t="s">
        <v>246</v>
      </c>
      <c r="C4" s="9" t="s">
        <v>247</v>
      </c>
      <c r="D4" s="9" t="s">
        <v>28</v>
      </c>
      <c r="E4" s="9" t="s">
        <v>15</v>
      </c>
      <c r="F4" s="9" t="s">
        <v>248</v>
      </c>
    </row>
    <row r="5" customFormat="false" ht="15" hidden="false" customHeight="false" outlineLevel="0" collapsed="false">
      <c r="B5" s="26" t="s">
        <v>249</v>
      </c>
      <c r="C5" s="54" t="s">
        <v>250</v>
      </c>
      <c r="D5" s="26" t="s">
        <v>251</v>
      </c>
      <c r="E5" s="15" t="s">
        <v>252</v>
      </c>
      <c r="F5" s="55" t="s">
        <v>253</v>
      </c>
    </row>
    <row r="6" customFormat="false" ht="15" hidden="false" customHeight="false" outlineLevel="0" collapsed="false">
      <c r="B6" s="26" t="s">
        <v>254</v>
      </c>
      <c r="C6" s="54" t="s">
        <v>255</v>
      </c>
      <c r="D6" s="26" t="s">
        <v>256</v>
      </c>
      <c r="E6" s="15" t="s">
        <v>252</v>
      </c>
      <c r="F6" s="55"/>
    </row>
    <row r="7" customFormat="false" ht="15" hidden="false" customHeight="false" outlineLevel="0" collapsed="false">
      <c r="B7" s="26" t="s">
        <v>257</v>
      </c>
      <c r="C7" s="54" t="s">
        <v>258</v>
      </c>
      <c r="D7" s="26" t="s">
        <v>259</v>
      </c>
      <c r="E7" s="15" t="s">
        <v>252</v>
      </c>
      <c r="F7" s="55"/>
    </row>
    <row r="8" customFormat="false" ht="15" hidden="false" customHeight="false" outlineLevel="0" collapsed="false">
      <c r="B8" s="26" t="s">
        <v>260</v>
      </c>
      <c r="C8" s="54" t="s">
        <v>261</v>
      </c>
      <c r="D8" s="26" t="s">
        <v>262</v>
      </c>
      <c r="E8" s="15" t="s">
        <v>252</v>
      </c>
      <c r="F8" s="55"/>
    </row>
    <row r="9" customFormat="false" ht="15" hidden="false" customHeight="false" outlineLevel="0" collapsed="false">
      <c r="B9" s="26" t="s">
        <v>47</v>
      </c>
      <c r="C9" s="54" t="s">
        <v>263</v>
      </c>
      <c r="D9" s="26" t="s">
        <v>264</v>
      </c>
      <c r="E9" s="15" t="s">
        <v>252</v>
      </c>
      <c r="F9" s="55" t="s">
        <v>265</v>
      </c>
    </row>
    <row r="10" customFormat="false" ht="15" hidden="false" customHeight="false" outlineLevel="0" collapsed="false">
      <c r="B10" s="26" t="s">
        <v>266</v>
      </c>
      <c r="C10" s="54" t="s">
        <v>267</v>
      </c>
      <c r="D10" s="11" t="n">
        <v>813050</v>
      </c>
      <c r="E10" s="36" t="s">
        <v>268</v>
      </c>
      <c r="F10" s="55" t="s">
        <v>269</v>
      </c>
    </row>
    <row r="11" customFormat="false" ht="15" hidden="false" customHeight="false" outlineLevel="0" collapsed="false">
      <c r="B11" s="26" t="s">
        <v>270</v>
      </c>
      <c r="C11" s="54" t="s">
        <v>271</v>
      </c>
      <c r="D11" s="11" t="n">
        <v>869824</v>
      </c>
      <c r="E11" s="36" t="s">
        <v>268</v>
      </c>
      <c r="F11" s="55" t="s">
        <v>272</v>
      </c>
    </row>
    <row r="12" customFormat="false" ht="15" hidden="false" customHeight="false" outlineLevel="0" collapsed="false">
      <c r="B12" s="26" t="s">
        <v>273</v>
      </c>
      <c r="C12" s="54" t="s">
        <v>274</v>
      </c>
      <c r="D12" s="11" t="n">
        <v>332960</v>
      </c>
      <c r="E12" s="36" t="s">
        <v>268</v>
      </c>
      <c r="F12" s="55" t="s">
        <v>275</v>
      </c>
    </row>
    <row r="13" customFormat="false" ht="15" hidden="false" customHeight="false" outlineLevel="0" collapsed="false">
      <c r="B13" s="26" t="s">
        <v>276</v>
      </c>
      <c r="C13" s="54" t="s">
        <v>277</v>
      </c>
      <c r="D13" s="13" t="n">
        <v>0.382790081671695</v>
      </c>
      <c r="E13" s="36" t="s">
        <v>268</v>
      </c>
      <c r="F13" s="55" t="s">
        <v>278</v>
      </c>
    </row>
    <row r="14" customFormat="false" ht="23.85" hidden="false" customHeight="false" outlineLevel="0" collapsed="false">
      <c r="B14" s="26" t="s">
        <v>120</v>
      </c>
      <c r="C14" s="54" t="s">
        <v>279</v>
      </c>
      <c r="D14" s="11" t="n">
        <v>536863</v>
      </c>
      <c r="E14" s="36" t="s">
        <v>268</v>
      </c>
      <c r="F14" s="55" t="s">
        <v>280</v>
      </c>
    </row>
    <row r="15" customFormat="false" ht="15" hidden="false" customHeight="false" outlineLevel="0" collapsed="false">
      <c r="B15" s="26" t="s">
        <v>281</v>
      </c>
      <c r="C15" s="54" t="s">
        <v>282</v>
      </c>
      <c r="D15" s="11" t="n">
        <v>142882.75</v>
      </c>
      <c r="E15" s="10" t="s">
        <v>21</v>
      </c>
      <c r="F15" s="55" t="s">
        <v>283</v>
      </c>
    </row>
    <row r="16" customFormat="false" ht="15" hidden="false" customHeight="false" outlineLevel="0" collapsed="false">
      <c r="B16" s="26" t="s">
        <v>284</v>
      </c>
      <c r="C16" s="54" t="s">
        <v>285</v>
      </c>
      <c r="D16" s="11" t="n">
        <v>295005.88</v>
      </c>
      <c r="E16" s="14" t="s">
        <v>22</v>
      </c>
      <c r="F16" s="55" t="s">
        <v>286</v>
      </c>
    </row>
    <row r="17" customFormat="false" ht="15" hidden="false" customHeight="false" outlineLevel="0" collapsed="false">
      <c r="B17" s="26" t="s">
        <v>287</v>
      </c>
      <c r="C17" s="54" t="s">
        <v>288</v>
      </c>
      <c r="D17" s="11" t="n">
        <v>26210.1</v>
      </c>
      <c r="E17" s="36" t="s">
        <v>268</v>
      </c>
      <c r="F17" s="55" t="s">
        <v>289</v>
      </c>
    </row>
    <row r="18" customFormat="false" ht="15" hidden="false" customHeight="false" outlineLevel="0" collapsed="false">
      <c r="B18" s="26" t="s">
        <v>290</v>
      </c>
      <c r="C18" s="54" t="s">
        <v>291</v>
      </c>
      <c r="D18" s="11" t="n">
        <v>72764.72</v>
      </c>
      <c r="E18" s="36" t="s">
        <v>268</v>
      </c>
      <c r="F18" s="55" t="s">
        <v>292</v>
      </c>
    </row>
    <row r="19" customFormat="false" ht="15" hidden="false" customHeight="false" outlineLevel="0" collapsed="false">
      <c r="B19" s="26" t="s">
        <v>293</v>
      </c>
      <c r="C19" s="54" t="s">
        <v>294</v>
      </c>
      <c r="D19" s="13" t="n">
        <v>0.164266276856008</v>
      </c>
      <c r="E19" s="10" t="s">
        <v>21</v>
      </c>
      <c r="F19" s="55"/>
    </row>
    <row r="20" customFormat="false" ht="15" hidden="false" customHeight="false" outlineLevel="0" collapsed="false">
      <c r="B20" s="26" t="s">
        <v>295</v>
      </c>
      <c r="C20" s="54" t="s">
        <v>296</v>
      </c>
      <c r="D20" s="13" t="n">
        <v>0.339155829225223</v>
      </c>
      <c r="E20" s="14" t="s">
        <v>22</v>
      </c>
      <c r="F20" s="55"/>
    </row>
    <row r="21" customFormat="false" ht="15" hidden="false" customHeight="false" outlineLevel="0" collapsed="false">
      <c r="B21" s="26" t="s">
        <v>297</v>
      </c>
      <c r="C21" s="54" t="s">
        <v>298</v>
      </c>
      <c r="D21" s="34" t="n">
        <v>6944</v>
      </c>
      <c r="E21" s="10" t="s">
        <v>21</v>
      </c>
      <c r="F21" s="55"/>
    </row>
    <row r="22" customFormat="false" ht="15" hidden="false" customHeight="false" outlineLevel="0" collapsed="false">
      <c r="B22" s="26" t="s">
        <v>299</v>
      </c>
      <c r="C22" s="54" t="s">
        <v>300</v>
      </c>
      <c r="D22" s="34" t="n">
        <v>31</v>
      </c>
      <c r="E22" s="10" t="s">
        <v>21</v>
      </c>
      <c r="F22" s="55" t="s">
        <v>301</v>
      </c>
    </row>
    <row r="23" customFormat="false" ht="15" hidden="false" customHeight="false" outlineLevel="0" collapsed="false">
      <c r="B23" s="26" t="s">
        <v>302</v>
      </c>
      <c r="C23" s="54" t="s">
        <v>303</v>
      </c>
      <c r="D23" s="35" t="n">
        <v>20.5764328917051</v>
      </c>
      <c r="E23" s="10" t="s">
        <v>21</v>
      </c>
      <c r="F23" s="55" t="s">
        <v>304</v>
      </c>
    </row>
    <row r="24" customFormat="false" ht="15" hidden="false" customHeight="false" outlineLevel="0" collapsed="false">
      <c r="B24" s="26" t="s">
        <v>305</v>
      </c>
      <c r="C24" s="54" t="s">
        <v>306</v>
      </c>
      <c r="D24" s="35" t="n">
        <v>125.26267281106</v>
      </c>
      <c r="E24" s="56" t="s">
        <v>307</v>
      </c>
      <c r="F24" s="55"/>
    </row>
    <row r="25" customFormat="false" ht="15" hidden="false" customHeight="false" outlineLevel="0" collapsed="false">
      <c r="B25" s="26" t="s">
        <v>308</v>
      </c>
      <c r="C25" s="54" t="s">
        <v>309</v>
      </c>
      <c r="D25" s="35" t="n">
        <v>47.9493087557604</v>
      </c>
      <c r="E25" s="56" t="s">
        <v>307</v>
      </c>
      <c r="F25" s="55"/>
    </row>
    <row r="26" customFormat="false" ht="15" hidden="false" customHeight="false" outlineLevel="0" collapsed="false">
      <c r="B26" s="26" t="s">
        <v>310</v>
      </c>
      <c r="C26" s="54" t="s">
        <v>311</v>
      </c>
      <c r="D26" s="34" t="n">
        <v>224</v>
      </c>
      <c r="E26" s="10" t="s">
        <v>21</v>
      </c>
      <c r="F26" s="55"/>
    </row>
    <row r="27" customFormat="false" ht="15" hidden="false" customHeight="false" outlineLevel="0" collapsed="false">
      <c r="B27" s="26" t="s">
        <v>312</v>
      </c>
      <c r="C27" s="54" t="s">
        <v>313</v>
      </c>
      <c r="D27" s="34" t="n">
        <v>14</v>
      </c>
      <c r="E27" s="14" t="s">
        <v>22</v>
      </c>
      <c r="F27" s="55" t="s">
        <v>314</v>
      </c>
    </row>
    <row r="28" customFormat="false" ht="15" hidden="false" customHeight="false" outlineLevel="0" collapsed="false">
      <c r="B28" s="26" t="s">
        <v>315</v>
      </c>
      <c r="C28" s="54" t="s">
        <v>316</v>
      </c>
      <c r="D28" s="34" t="n">
        <v>26</v>
      </c>
      <c r="E28" s="14" t="s">
        <v>22</v>
      </c>
      <c r="F28" s="55" t="s">
        <v>317</v>
      </c>
    </row>
    <row r="29" customFormat="false" ht="15" hidden="false" customHeight="false" outlineLevel="0" collapsed="false">
      <c r="B29" s="26" t="s">
        <v>170</v>
      </c>
      <c r="C29" s="54" t="s">
        <v>318</v>
      </c>
      <c r="D29" s="11" t="n">
        <v>124907.5022</v>
      </c>
      <c r="E29" s="14" t="s">
        <v>22</v>
      </c>
      <c r="F29" s="55"/>
    </row>
    <row r="30" customFormat="false" ht="15" hidden="false" customHeight="false" outlineLevel="0" collapsed="false">
      <c r="B30" s="26" t="s">
        <v>199</v>
      </c>
      <c r="C30" s="54" t="s">
        <v>319</v>
      </c>
      <c r="D30" s="13" t="n">
        <v>0.423406822264017</v>
      </c>
      <c r="E30" s="14" t="s">
        <v>22</v>
      </c>
      <c r="F30" s="55" t="s">
        <v>320</v>
      </c>
    </row>
    <row r="31" customFormat="false" ht="23.85" hidden="false" customHeight="false" outlineLevel="0" collapsed="false">
      <c r="B31" s="26" t="s">
        <v>321</v>
      </c>
      <c r="C31" s="54" t="s">
        <v>322</v>
      </c>
      <c r="D31" s="11" t="n">
        <v>56774</v>
      </c>
      <c r="E31" s="36" t="s">
        <v>268</v>
      </c>
      <c r="F31" s="55" t="s">
        <v>323</v>
      </c>
    </row>
    <row r="32" customFormat="false" ht="15" hidden="false" customHeight="false" outlineLevel="0" collapsed="false">
      <c r="B32" s="26" t="s">
        <v>324</v>
      </c>
      <c r="C32" s="54" t="s">
        <v>325</v>
      </c>
      <c r="D32" s="13" t="n">
        <v>0.0698284238361724</v>
      </c>
      <c r="E32" s="36" t="s">
        <v>268</v>
      </c>
      <c r="F32" s="55"/>
    </row>
    <row r="33" customFormat="false" ht="15" hidden="false" customHeight="false" outlineLevel="0" collapsed="false">
      <c r="B33" s="26" t="s">
        <v>241</v>
      </c>
      <c r="C33" s="54" t="s">
        <v>326</v>
      </c>
      <c r="D33" s="11" t="n">
        <v>43491</v>
      </c>
      <c r="E33" s="36" t="s">
        <v>268</v>
      </c>
      <c r="F33" s="55" t="s">
        <v>327</v>
      </c>
    </row>
    <row r="34" customFormat="false" ht="15" hidden="false" customHeight="false" outlineLevel="0" collapsed="false">
      <c r="B34" s="26" t="s">
        <v>328</v>
      </c>
      <c r="C34" s="54" t="s">
        <v>329</v>
      </c>
      <c r="D34" s="11" t="n">
        <v>51166.1176470588</v>
      </c>
      <c r="E34" s="56" t="s">
        <v>307</v>
      </c>
      <c r="F34" s="55"/>
    </row>
    <row r="35" customFormat="false" ht="15" hidden="false" customHeight="false" outlineLevel="0" collapsed="false">
      <c r="B35" s="26" t="s">
        <v>330</v>
      </c>
      <c r="C35" s="54" t="s">
        <v>331</v>
      </c>
      <c r="D35" s="34" t="n">
        <v>408.470588235294</v>
      </c>
      <c r="E35" s="56" t="s">
        <v>307</v>
      </c>
      <c r="F35" s="55"/>
    </row>
    <row r="36" customFormat="false" ht="15" hidden="false" customHeight="false" outlineLevel="0" collapsed="false">
      <c r="B36" s="26" t="s">
        <v>332</v>
      </c>
      <c r="C36" s="54" t="s">
        <v>333</v>
      </c>
      <c r="D36" s="34" t="n">
        <v>117</v>
      </c>
      <c r="E36" s="15" t="s">
        <v>252</v>
      </c>
      <c r="F36" s="55" t="s">
        <v>334</v>
      </c>
    </row>
    <row r="37" customFormat="false" ht="23.85" hidden="false" customHeight="false" outlineLevel="0" collapsed="false">
      <c r="B37" s="26" t="s">
        <v>34</v>
      </c>
      <c r="C37" s="54" t="s">
        <v>335</v>
      </c>
      <c r="D37" s="34" t="n">
        <v>590</v>
      </c>
      <c r="E37" s="15" t="s">
        <v>252</v>
      </c>
      <c r="F37" s="55" t="s">
        <v>336</v>
      </c>
    </row>
    <row r="38" customFormat="false" ht="15" hidden="false" customHeight="false" outlineLevel="0" collapsed="false">
      <c r="B38" s="26" t="s">
        <v>337</v>
      </c>
      <c r="C38" s="54" t="s">
        <v>338</v>
      </c>
      <c r="D38" s="57" t="n">
        <v>5.04273504273504</v>
      </c>
      <c r="E38" s="15" t="s">
        <v>252</v>
      </c>
      <c r="F38" s="55" t="s">
        <v>339</v>
      </c>
    </row>
    <row r="39" customFormat="false" ht="15" hidden="false" customHeight="false" outlineLevel="0" collapsed="false">
      <c r="B39" s="26" t="s">
        <v>340</v>
      </c>
      <c r="C39" s="54" t="s">
        <v>341</v>
      </c>
      <c r="D39" s="11" t="n">
        <v>7434.39316239316</v>
      </c>
      <c r="E39" s="36" t="s">
        <v>268</v>
      </c>
      <c r="F39" s="55"/>
    </row>
    <row r="40" customFormat="false" ht="15" hidden="false" customHeight="false" outlineLevel="0" collapsed="false">
      <c r="B40" s="26" t="s">
        <v>342</v>
      </c>
      <c r="C40" s="54" t="s">
        <v>343</v>
      </c>
      <c r="D40" s="11" t="n">
        <v>2845.81196581197</v>
      </c>
      <c r="E40" s="36" t="s">
        <v>268</v>
      </c>
      <c r="F40" s="55"/>
    </row>
    <row r="41" customFormat="false" ht="15" hidden="false" customHeight="false" outlineLevel="0" collapsed="false">
      <c r="B41" s="26" t="s">
        <v>344</v>
      </c>
      <c r="C41" s="54" t="s">
        <v>345</v>
      </c>
      <c r="D41" s="11" t="n">
        <v>4588.57264957265</v>
      </c>
      <c r="E41" s="36" t="s">
        <v>268</v>
      </c>
      <c r="F41" s="55"/>
    </row>
    <row r="42" customFormat="false" ht="15" hidden="false" customHeight="false" outlineLevel="0" collapsed="false">
      <c r="B42" s="26" t="s">
        <v>346</v>
      </c>
      <c r="C42" s="54" t="s">
        <v>347</v>
      </c>
      <c r="D42" s="11" t="n">
        <v>1221.22008547009</v>
      </c>
      <c r="E42" s="10" t="s">
        <v>21</v>
      </c>
      <c r="F42" s="55"/>
    </row>
    <row r="43" customFormat="false" ht="15" hidden="false" customHeight="false" outlineLevel="0" collapsed="false">
      <c r="B43" s="26" t="s">
        <v>348</v>
      </c>
      <c r="C43" s="54" t="s">
        <v>349</v>
      </c>
      <c r="D43" s="11" t="n">
        <v>2521.41777777778</v>
      </c>
      <c r="E43" s="14" t="s">
        <v>22</v>
      </c>
      <c r="F43" s="55"/>
    </row>
    <row r="44" customFormat="false" ht="15" hidden="false" customHeight="false" outlineLevel="0" collapsed="false">
      <c r="B44" s="26" t="s">
        <v>350</v>
      </c>
      <c r="C44" s="54" t="s">
        <v>351</v>
      </c>
      <c r="D44" s="34" t="n">
        <v>59.3504273504274</v>
      </c>
      <c r="E44" s="56" t="s">
        <v>307</v>
      </c>
      <c r="F44" s="55"/>
    </row>
    <row r="45" customFormat="false" ht="15" hidden="false" customHeight="false" outlineLevel="0" collapsed="false">
      <c r="B45" s="26" t="s">
        <v>352</v>
      </c>
      <c r="C45" s="54" t="s">
        <v>353</v>
      </c>
      <c r="D45" s="35" t="n">
        <v>1474.2779661017</v>
      </c>
      <c r="E45" s="36" t="s">
        <v>268</v>
      </c>
      <c r="F45" s="55"/>
    </row>
    <row r="46" customFormat="false" ht="15" hidden="false" customHeight="false" outlineLevel="0" collapsed="false">
      <c r="B46" s="26" t="s">
        <v>354</v>
      </c>
      <c r="C46" s="54" t="s">
        <v>355</v>
      </c>
      <c r="D46" s="35" t="n">
        <v>564.338983050847</v>
      </c>
      <c r="E46" s="36" t="s">
        <v>268</v>
      </c>
      <c r="F46" s="55"/>
    </row>
    <row r="47" customFormat="false" ht="15" hidden="false" customHeight="false" outlineLevel="0" collapsed="false">
      <c r="B47" s="26" t="s">
        <v>356</v>
      </c>
      <c r="C47" s="54" t="s">
        <v>357</v>
      </c>
      <c r="D47" s="35" t="n">
        <v>909.937288135593</v>
      </c>
      <c r="E47" s="36" t="s">
        <v>268</v>
      </c>
      <c r="F47" s="55"/>
    </row>
    <row r="48" customFormat="false" ht="15" hidden="false" customHeight="false" outlineLevel="0" collapsed="false">
      <c r="B48" s="26" t="s">
        <v>358</v>
      </c>
      <c r="C48" s="54" t="s">
        <v>359</v>
      </c>
      <c r="D48" s="35" t="n">
        <v>242.174152542373</v>
      </c>
      <c r="E48" s="10" t="s">
        <v>21</v>
      </c>
      <c r="F48" s="55"/>
    </row>
    <row r="49" customFormat="false" ht="15" hidden="false" customHeight="false" outlineLevel="0" collapsed="false">
      <c r="B49" s="26" t="s">
        <v>360</v>
      </c>
      <c r="C49" s="54" t="s">
        <v>361</v>
      </c>
      <c r="D49" s="35" t="n">
        <v>500.009966101695</v>
      </c>
      <c r="E49" s="14" t="s">
        <v>22</v>
      </c>
      <c r="F49" s="55"/>
    </row>
    <row r="50" customFormat="false" ht="15" hidden="false" customHeight="false" outlineLevel="0" collapsed="false">
      <c r="B50" s="26" t="s">
        <v>362</v>
      </c>
      <c r="C50" s="54" t="s">
        <v>363</v>
      </c>
      <c r="D50" s="34" t="n">
        <v>11.7694915254237</v>
      </c>
      <c r="E50" s="56" t="s">
        <v>307</v>
      </c>
      <c r="F50" s="55"/>
    </row>
    <row r="53" customFormat="false" ht="7.5" hidden="false" customHeight="true" outlineLevel="0" collapsed="false"/>
    <row r="54" customFormat="false" ht="15" hidden="false" customHeight="false" outlineLevel="0" collapsed="false">
      <c r="B54" s="22" t="s">
        <v>49</v>
      </c>
      <c r="C54" s="22"/>
      <c r="D54" s="22"/>
      <c r="E54" s="22"/>
      <c r="F54" s="22"/>
    </row>
    <row r="55" customFormat="false" ht="15" hidden="false" customHeight="false" outlineLevel="0" collapsed="false">
      <c r="B55" s="23" t="s">
        <v>50</v>
      </c>
      <c r="C55" s="23"/>
      <c r="D55" s="23"/>
      <c r="E55" s="23"/>
      <c r="F55" s="23"/>
    </row>
    <row r="56" customFormat="false" ht="15" hidden="false" customHeight="false" outlineLevel="0" collapsed="false">
      <c r="B56" s="23" t="s">
        <v>51</v>
      </c>
      <c r="C56" s="23"/>
      <c r="D56" s="23"/>
      <c r="E56" s="23"/>
      <c r="F56" s="23"/>
    </row>
    <row r="57" customFormat="false" ht="15" hidden="false" customHeight="false" outlineLevel="0" collapsed="false">
      <c r="B57" s="23" t="s">
        <v>364</v>
      </c>
      <c r="C57" s="23"/>
      <c r="D57" s="23"/>
      <c r="E57" s="23"/>
      <c r="F57" s="23"/>
    </row>
  </sheetData>
  <mergeCells count="5">
    <mergeCell ref="B2:F2"/>
    <mergeCell ref="B54:F54"/>
    <mergeCell ref="B55:F55"/>
    <mergeCell ref="B56:F56"/>
    <mergeCell ref="B57:F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4" min="3" style="0" width="18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2"/>
  </cols>
  <sheetData>
    <row r="2" customFormat="false" ht="25.5" hidden="false" customHeight="true" outlineLevel="0" collapsed="false">
      <c r="B2" s="24" t="s">
        <v>365</v>
      </c>
      <c r="C2" s="24"/>
      <c r="D2" s="24"/>
      <c r="E2" s="24"/>
      <c r="F2" s="24"/>
    </row>
    <row r="3" customFormat="false" ht="15" hidden="false" customHeight="false" outlineLevel="0" collapsed="false">
      <c r="B3" s="39" t="s">
        <v>366</v>
      </c>
      <c r="C3" s="39"/>
      <c r="D3" s="39"/>
      <c r="E3" s="39"/>
      <c r="F3" s="39"/>
    </row>
    <row r="5" customFormat="false" ht="15" hidden="false" customHeight="false" outlineLevel="0" collapsed="false">
      <c r="B5" s="9" t="s">
        <v>367</v>
      </c>
      <c r="C5" s="9" t="s">
        <v>368</v>
      </c>
      <c r="D5" s="9" t="s">
        <v>369</v>
      </c>
      <c r="E5" s="9" t="s">
        <v>238</v>
      </c>
      <c r="F5" s="9" t="s">
        <v>239</v>
      </c>
    </row>
    <row r="6" customFormat="false" ht="15" hidden="false" customHeight="false" outlineLevel="0" collapsed="false">
      <c r="B6" s="40" t="s">
        <v>370</v>
      </c>
      <c r="C6" s="40"/>
      <c r="D6" s="40"/>
      <c r="E6" s="40"/>
      <c r="F6" s="40"/>
    </row>
    <row r="7" customFormat="false" ht="15" hidden="false" customHeight="false" outlineLevel="0" collapsed="false">
      <c r="B7" s="26" t="s">
        <v>371</v>
      </c>
      <c r="C7" s="11" t="n">
        <v>142882.75</v>
      </c>
      <c r="D7" s="11" t="n">
        <v>142883</v>
      </c>
      <c r="E7" s="12" t="n">
        <f aca="false">C7-D7</f>
        <v>-0.25</v>
      </c>
      <c r="F7" s="36" t="s">
        <v>240</v>
      </c>
    </row>
    <row r="8" customFormat="false" ht="15" hidden="false" customHeight="false" outlineLevel="0" collapsed="false">
      <c r="B8" s="26" t="s">
        <v>372</v>
      </c>
      <c r="C8" s="11" t="n">
        <v>295005.88</v>
      </c>
      <c r="D8" s="11" t="n">
        <v>295005.88</v>
      </c>
      <c r="E8" s="12" t="n">
        <f aca="false">C8-D8</f>
        <v>0</v>
      </c>
      <c r="F8" s="36" t="s">
        <v>240</v>
      </c>
    </row>
    <row r="9" customFormat="false" ht="15" hidden="false" customHeight="false" outlineLevel="0" collapsed="false">
      <c r="B9" s="26" t="s">
        <v>373</v>
      </c>
      <c r="C9" s="11" t="n">
        <v>26210.1</v>
      </c>
      <c r="D9" s="11" t="n">
        <v>26210</v>
      </c>
      <c r="E9" s="12" t="n">
        <f aca="false">C9-D9</f>
        <v>0.0999999999985448</v>
      </c>
      <c r="F9" s="36" t="s">
        <v>240</v>
      </c>
    </row>
    <row r="10" customFormat="false" ht="15" hidden="false" customHeight="false" outlineLevel="0" collapsed="false">
      <c r="B10" s="26" t="s">
        <v>374</v>
      </c>
      <c r="C10" s="11" t="n">
        <v>72764.72</v>
      </c>
      <c r="D10" s="11" t="n">
        <v>72765</v>
      </c>
      <c r="E10" s="12" t="n">
        <f aca="false">C10-D10</f>
        <v>-0.279999999998836</v>
      </c>
      <c r="F10" s="36" t="s">
        <v>240</v>
      </c>
    </row>
    <row r="11" customFormat="false" ht="15" hidden="false" customHeight="false" outlineLevel="0" collapsed="false">
      <c r="B11" s="26" t="s">
        <v>375</v>
      </c>
      <c r="C11" s="11" t="n">
        <v>536863.45</v>
      </c>
      <c r="D11" s="11" t="n">
        <v>536863</v>
      </c>
      <c r="E11" s="12" t="n">
        <f aca="false">C11-D11</f>
        <v>0.450000000069849</v>
      </c>
      <c r="F11" s="36" t="s">
        <v>240</v>
      </c>
    </row>
    <row r="12" customFormat="false" ht="15" hidden="false" customHeight="false" outlineLevel="0" collapsed="false">
      <c r="B12" s="26" t="s">
        <v>376</v>
      </c>
      <c r="C12" s="11" t="n">
        <v>869823.5</v>
      </c>
      <c r="D12" s="11" t="n">
        <v>869824</v>
      </c>
      <c r="E12" s="12" t="n">
        <f aca="false">C12-D12</f>
        <v>-0.5</v>
      </c>
      <c r="F12" s="36" t="s">
        <v>240</v>
      </c>
    </row>
    <row r="13" customFormat="false" ht="15" hidden="false" customHeight="false" outlineLevel="0" collapsed="false">
      <c r="B13" s="26" t="s">
        <v>377</v>
      </c>
      <c r="C13" s="11" t="n">
        <v>332961</v>
      </c>
      <c r="D13" s="11" t="n">
        <v>332961</v>
      </c>
      <c r="E13" s="12" t="n">
        <f aca="false">C13-D13</f>
        <v>0</v>
      </c>
      <c r="F13" s="36" t="s">
        <v>240</v>
      </c>
    </row>
    <row r="15" customFormat="false" ht="15" hidden="false" customHeight="false" outlineLevel="0" collapsed="false">
      <c r="B15" s="43" t="s">
        <v>378</v>
      </c>
      <c r="C15" s="43"/>
      <c r="D15" s="43"/>
      <c r="E15" s="43"/>
      <c r="F15" s="43"/>
    </row>
    <row r="16" customFormat="false" ht="15" hidden="false" customHeight="false" outlineLevel="0" collapsed="false">
      <c r="B16" s="26" t="s">
        <v>379</v>
      </c>
      <c r="C16" s="58" t="n">
        <v>6943</v>
      </c>
      <c r="D16" s="58" t="n">
        <v>6944</v>
      </c>
      <c r="E16" s="59" t="n">
        <f aca="false">C16-D16</f>
        <v>-1</v>
      </c>
      <c r="F16" s="36" t="s">
        <v>240</v>
      </c>
    </row>
    <row r="17" customFormat="false" ht="15" hidden="false" customHeight="false" outlineLevel="0" collapsed="false">
      <c r="B17" s="26" t="s">
        <v>380</v>
      </c>
      <c r="C17" s="58" t="n">
        <v>6805</v>
      </c>
      <c r="D17" s="58" t="n">
        <v>6944</v>
      </c>
      <c r="E17" s="59" t="n">
        <f aca="false">C17-D17</f>
        <v>-139</v>
      </c>
      <c r="F17" s="36" t="s">
        <v>240</v>
      </c>
    </row>
    <row r="19" customFormat="false" ht="15" hidden="false" customHeight="false" outlineLevel="0" collapsed="false">
      <c r="B19" s="49" t="s">
        <v>381</v>
      </c>
      <c r="C19" s="49"/>
      <c r="D19" s="49"/>
      <c r="E19" s="49"/>
      <c r="F19" s="49"/>
    </row>
    <row r="20" customFormat="false" ht="15" hidden="false" customHeight="false" outlineLevel="0" collapsed="false">
      <c r="B20" s="26" t="s">
        <v>382</v>
      </c>
      <c r="C20" s="11" t="n">
        <v>869823.5</v>
      </c>
      <c r="D20" s="11" t="n">
        <v>869824</v>
      </c>
      <c r="E20" s="12" t="n">
        <f aca="false">C20-D20</f>
        <v>-0.5</v>
      </c>
      <c r="F20" s="36" t="s">
        <v>240</v>
      </c>
    </row>
    <row r="21" customFormat="false" ht="15" hidden="false" customHeight="false" outlineLevel="0" collapsed="false">
      <c r="B21" s="26" t="s">
        <v>383</v>
      </c>
      <c r="C21" s="11" t="n">
        <v>869823.5</v>
      </c>
      <c r="D21" s="11" t="n">
        <v>869824</v>
      </c>
      <c r="E21" s="12" t="n">
        <f aca="false">C21-D21</f>
        <v>-0.5</v>
      </c>
      <c r="F21" s="36" t="s">
        <v>240</v>
      </c>
    </row>
    <row r="22" customFormat="false" ht="15" hidden="false" customHeight="false" outlineLevel="0" collapsed="false">
      <c r="B22" s="26" t="s">
        <v>384</v>
      </c>
      <c r="C22" s="11" t="n">
        <v>43491.175</v>
      </c>
      <c r="D22" s="11" t="n">
        <v>43491</v>
      </c>
      <c r="E22" s="12" t="n">
        <f aca="false">C22-D22</f>
        <v>0.17500000000291</v>
      </c>
      <c r="F22" s="36" t="s">
        <v>240</v>
      </c>
    </row>
    <row r="23" customFormat="false" ht="15" hidden="false" customHeight="false" outlineLevel="0" collapsed="false">
      <c r="B23" s="26" t="s">
        <v>385</v>
      </c>
      <c r="C23" s="11" t="n">
        <v>869824</v>
      </c>
      <c r="D23" s="11" t="n">
        <v>869824</v>
      </c>
      <c r="E23" s="12" t="n">
        <f aca="false">C23-D23</f>
        <v>0</v>
      </c>
      <c r="F23" s="36" t="s">
        <v>240</v>
      </c>
    </row>
    <row r="25" customFormat="false" ht="15" hidden="false" customHeight="false" outlineLevel="0" collapsed="false">
      <c r="B25" s="42" t="s">
        <v>386</v>
      </c>
      <c r="C25" s="42"/>
      <c r="D25" s="42"/>
      <c r="E25" s="42"/>
      <c r="F25" s="42"/>
    </row>
    <row r="26" customFormat="false" ht="15" hidden="false" customHeight="false" outlineLevel="0" collapsed="false">
      <c r="B26" s="26" t="s">
        <v>198</v>
      </c>
      <c r="C26" s="11" t="n">
        <v>124907.5022</v>
      </c>
      <c r="D26" s="11" t="n">
        <v>295005.88</v>
      </c>
      <c r="E26" s="12" t="n">
        <v>-170098.3778</v>
      </c>
      <c r="F26" s="16" t="s">
        <v>387</v>
      </c>
    </row>
    <row r="27" customFormat="false" ht="15" hidden="false" customHeight="false" outlineLevel="0" collapsed="false">
      <c r="B27" s="60" t="s">
        <v>388</v>
      </c>
    </row>
    <row r="30" customFormat="false" ht="7.5" hidden="false" customHeight="true" outlineLevel="0" collapsed="false"/>
    <row r="31" customFormat="false" ht="15" hidden="false" customHeight="false" outlineLevel="0" collapsed="false">
      <c r="B31" s="22" t="s">
        <v>49</v>
      </c>
      <c r="C31" s="22"/>
      <c r="D31" s="22"/>
      <c r="E31" s="22"/>
      <c r="F31" s="22"/>
    </row>
    <row r="32" customFormat="false" ht="15" hidden="false" customHeight="false" outlineLevel="0" collapsed="false">
      <c r="B32" s="23" t="s">
        <v>50</v>
      </c>
      <c r="C32" s="23"/>
      <c r="D32" s="23"/>
      <c r="E32" s="23"/>
      <c r="F32" s="23"/>
    </row>
    <row r="33" customFormat="false" ht="15" hidden="false" customHeight="false" outlineLevel="0" collapsed="false">
      <c r="B33" s="23" t="s">
        <v>51</v>
      </c>
      <c r="C33" s="23"/>
      <c r="D33" s="23"/>
      <c r="E33" s="23"/>
      <c r="F33" s="23"/>
    </row>
    <row r="34" customFormat="false" ht="15" hidden="false" customHeight="false" outlineLevel="0" collapsed="false">
      <c r="B34" s="23" t="s">
        <v>389</v>
      </c>
      <c r="C34" s="23"/>
      <c r="D34" s="23"/>
      <c r="E34" s="23"/>
      <c r="F34" s="23"/>
    </row>
    <row r="35" customFormat="false" ht="15" hidden="false" customHeight="false" outlineLevel="0" collapsed="false">
      <c r="B35" s="23" t="s">
        <v>390</v>
      </c>
      <c r="C35" s="23"/>
      <c r="D35" s="23"/>
      <c r="E35" s="23"/>
      <c r="F35" s="23"/>
    </row>
  </sheetData>
  <mergeCells count="11">
    <mergeCell ref="B2:F2"/>
    <mergeCell ref="B3:F3"/>
    <mergeCell ref="B6:F6"/>
    <mergeCell ref="B15:F15"/>
    <mergeCell ref="B19:F19"/>
    <mergeCell ref="B25:F25"/>
    <mergeCell ref="B31:F31"/>
    <mergeCell ref="B32:F32"/>
    <mergeCell ref="B33:F33"/>
    <mergeCell ref="B34:F34"/>
    <mergeCell ref="B35:F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2026-04-07T22:32:08Z</dcterms:created>
  <dc:creator>openpyxl</dc:creator>
  <dc:description/>
  <dc:language>en-US</dc:language>
  <cp:lastModifiedBy/>
  <dcterms:modified xsi:type="dcterms:W3CDTF">2026-04-07T22:32:08Z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