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4"/>
    <sheet state="visible" name="Budget vs Actual" sheetId="2" r:id="rId5"/>
    <sheet state="visible" name="Material" sheetId="3" r:id="rId6"/>
    <sheet state="visible" name="Cost Breakdown" sheetId="4" r:id="rId7"/>
    <sheet state="visible" name="Crew &amp; Labor" sheetId="5" r:id="rId8"/>
    <sheet state="visible" name="Insights" sheetId="6" r:id="rId9"/>
    <sheet state="visible" name="Productivity" sheetId="7" r:id="rId10"/>
    <sheet state="visible" name="Benchmark KPIs" sheetId="8" r:id="rId11"/>
    <sheet state="visible" name="Crew Analytics" sheetId="9" r:id="rId12"/>
    <sheet state="visible" name="Reconciliation" sheetId="10" r:id="rId13"/>
  </sheets>
  <definedNames/>
  <calcPr/>
  <extLst>
    <ext uri="GoogleSheetsCustomDataVersion2">
      <go:sheetsCustomData xmlns:go="http://customooxmlschemas.google.com/" r:id="rId14" roundtripDataChecksum="DXdl1D5XWOI9w5HXHziLymQvu/aGBjaCTUS1fVgXnEI="/>
    </ext>
  </extLst>
</workbook>
</file>

<file path=xl/sharedStrings.xml><?xml version="1.0" encoding="utf-8"?>
<sst xmlns="http://schemas.openxmlformats.org/spreadsheetml/2006/main" count="850" uniqueCount="591">
  <si>
    <t>CORTEX INTELLIGENCE REPORT</t>
  </si>
  <si>
    <t>OWP Job #2012</t>
  </si>
  <si>
    <t>Exxel 8th Ave Apartments</t>
  </si>
  <si>
    <t>163-unit mid-rise multifamily  ·  Division 22 Plumbing  ·  Seattle, WA  ·  Jan 2013 – Jun 2014</t>
  </si>
  <si>
    <t>CONTRACT VALUE</t>
  </si>
  <si>
    <t>NET PROFIT</t>
  </si>
  <si>
    <t>DIRECT COST</t>
  </si>
  <si>
    <t>LABOR HOURS</t>
  </si>
  <si>
    <t>LABOR RATE</t>
  </si>
  <si>
    <t>PER-UNIT PROFIT</t>
  </si>
  <si>
    <t>163 units</t>
  </si>
  <si>
    <t>38.3% margin</t>
  </si>
  <si>
    <t>61.7% of revenue</t>
  </si>
  <si>
    <t>≈90 hrs/unit</t>
  </si>
  <si>
    <t>fully loaded $/hr</t>
  </si>
  <si>
    <t>$3.27K each</t>
  </si>
  <si>
    <t>Job Facts</t>
  </si>
  <si>
    <t>Project ID</t>
  </si>
  <si>
    <t>Job #2012</t>
  </si>
  <si>
    <t>General Contractor</t>
  </si>
  <si>
    <t>Exxel Pacific, Inc.</t>
  </si>
  <si>
    <t>Scope</t>
  </si>
  <si>
    <t>Division 22 Plumbing</t>
  </si>
  <si>
    <t>Building Type</t>
  </si>
  <si>
    <t>Mid-rise multifamily</t>
  </si>
  <si>
    <t>Unit Count</t>
  </si>
  <si>
    <t>163 residential units</t>
  </si>
  <si>
    <t>Location</t>
  </si>
  <si>
    <t>Seattle, WA</t>
  </si>
  <si>
    <t>Duration</t>
  </si>
  <si>
    <t>17 months (Jan 2013 – Jun 2014)</t>
  </si>
  <si>
    <t>Contract Value</t>
  </si>
  <si>
    <t>$1,394,655</t>
  </si>
  <si>
    <t>Retainage Held</t>
  </si>
  <si>
    <t>$69,573 (5%)</t>
  </si>
  <si>
    <t>Pay Applications</t>
  </si>
  <si>
    <t>8 invoices</t>
  </si>
  <si>
    <t>Cost Codes Used</t>
  </si>
  <si>
    <t>20+</t>
  </si>
  <si>
    <t>Labor Sources</t>
  </si>
  <si>
    <t>Payroll (PR), Subs (AP)</t>
  </si>
  <si>
    <t>SOURCES</t>
  </si>
  <si>
    <t xml:space="preserve">  Source: 2012 Job Detail Report.pdf (135 pages, OWP, LLC – exported Apr 3, 2026).</t>
  </si>
  <si>
    <t xml:space="preserve">  Project name, contract value, dates, retainage from contract documents in /2012-Exxel, 8th Ave/.</t>
  </si>
  <si>
    <t xml:space="preserve">  All cost codes, budgets, actuals, and labor hours tie out exactly to the JCR. JCR is the canonical source of truth.</t>
  </si>
  <si>
    <t>PHASE-LEVEL VARIANCE ANALYSIS</t>
  </si>
  <si>
    <t>Budget vs Actual</t>
  </si>
  <si>
    <t>All 32 cost codes from the JCR — labor, material, overhead, burden. Totals tie out exactly to the JCR.</t>
  </si>
  <si>
    <t>PHASE</t>
  </si>
  <si>
    <t>BUDGET</t>
  </si>
  <si>
    <t>ACTUAL</t>
  </si>
  <si>
    <t>VARIANCE ($)</t>
  </si>
  <si>
    <t>VARIANCE %</t>
  </si>
  <si>
    <t>HOURS</t>
  </si>
  <si>
    <t>$/HR</t>
  </si>
  <si>
    <t>STATUS</t>
  </si>
  <si>
    <t>100 · Supervision</t>
  </si>
  <si>
    <t>UNDER</t>
  </si>
  <si>
    <t>011 · DS &amp; RD Labor</t>
  </si>
  <si>
    <t>101 · Takeoff &amp; Purchase Labor</t>
  </si>
  <si>
    <t>110 · Underground Labor</t>
  </si>
  <si>
    <t>111 · Garage Labor</t>
  </si>
  <si>
    <t>OVER</t>
  </si>
  <si>
    <t>112 · Canout Labor</t>
  </si>
  <si>
    <t>113 · Foundation Drain Labor</t>
  </si>
  <si>
    <t>120 · Roughin Labor</t>
  </si>
  <si>
    <t>130 · Finish Labor</t>
  </si>
  <si>
    <t>140 · Gas Labor</t>
  </si>
  <si>
    <t>141 · Water Main / Insulation Lab</t>
  </si>
  <si>
    <t>142 · Mech Room Labor</t>
  </si>
  <si>
    <t>CRITICAL</t>
  </si>
  <si>
    <t>145 · Tub/Shower Labor</t>
  </si>
  <si>
    <t>039 · DS &amp; RD Material</t>
  </si>
  <si>
    <t>—</t>
  </si>
  <si>
    <t>210 · Underground Material</t>
  </si>
  <si>
    <t>211 · Garage Material</t>
  </si>
  <si>
    <t>212 · Canout Material</t>
  </si>
  <si>
    <t>213 · Foundation Material</t>
  </si>
  <si>
    <t>ON</t>
  </si>
  <si>
    <t>220 · Roughin Material</t>
  </si>
  <si>
    <t>230 · Finish Material</t>
  </si>
  <si>
    <t>240 · Gas Material</t>
  </si>
  <si>
    <t>241 · Water Main / Insul. Material</t>
  </si>
  <si>
    <t>242 · Mech Room Material</t>
  </si>
  <si>
    <t>245 · Tub/Shower Material</t>
  </si>
  <si>
    <t>n/a</t>
  </si>
  <si>
    <t>UNBUDGETED</t>
  </si>
  <si>
    <t>600 · Subcontractor</t>
  </si>
  <si>
    <t>601 · Engineering / Plans</t>
  </si>
  <si>
    <t>603 · Permits &amp; Licenses</t>
  </si>
  <si>
    <t>604 · Backcharges</t>
  </si>
  <si>
    <t>607 · Other Expenses</t>
  </si>
  <si>
    <t>995 · Payroll Burden</t>
  </si>
  <si>
    <t>998 · Payroll Taxes</t>
  </si>
  <si>
    <t>999 · Sales</t>
  </si>
  <si>
    <t>TOTAL</t>
  </si>
  <si>
    <t xml:space="preserve">  Budgets and actuals for all 32 cost codes parsed from 'Cost Code Totals' lines in the JCR.</t>
  </si>
  <si>
    <t xml:space="preserve">  Labor hours from 'Payroll Hours' lines per cost code section.</t>
  </si>
  <si>
    <t>MATERIAL SPEND BY PHASE</t>
  </si>
  <si>
    <t>Material Breakdown</t>
  </si>
  <si>
    <t>Cost code level breakdown of material budget vs actual purchases (AP) from JCR.</t>
  </si>
  <si>
    <t>MATERIAL PHASE</t>
  </si>
  <si>
    <t>$/UNIT</t>
  </si>
  <si>
    <t>$/FIXTURE</t>
  </si>
  <si>
    <t>% OF TOTAL</t>
  </si>
  <si>
    <t>241 · Water Main / Insulation</t>
  </si>
  <si>
    <t>245 · Tub / Shower Material</t>
  </si>
  <si>
    <t>TOTAL MATERIAL</t>
  </si>
  <si>
    <t>100.0%</t>
  </si>
  <si>
    <t>KEY MATERIAL INSIGHTS</t>
  </si>
  <si>
    <t xml:space="preserve">  ●  Finish Material is the largest line item  —  $210K — 54% of all material spend. Fixture-heavy phase.</t>
  </si>
  <si>
    <t xml:space="preserve">  ●  242 Mech Room Material is 89% over budget  —  $22.7K actual vs $12K budget. Single biggest material overrun.</t>
  </si>
  <si>
    <t xml:space="preserve">  ●  Water Main / Insulation came in 44% under  —  $37K actual vs $66K budget — $28.6K saved on the 241 line.</t>
  </si>
  <si>
    <t xml:space="preserve">  ●  Roughin Material delivered 42% savings  —  $94K actual vs $161K budget. Largest dollar savings on the job.</t>
  </si>
  <si>
    <t xml:space="preserve">  ●  Total material spend = $390.8K vs $553.4K budget  —  $162.6K under (29% favorable). Material was the project's strongest cost lever.</t>
  </si>
  <si>
    <t xml:space="preserve">  ●  Tub/Shower 245 was unbudgeted  —  $2,279 charged with no original budget — minor but worth tracking.</t>
  </si>
  <si>
    <t xml:space="preserve">  Material budgets/actuals from 2xx + 039 cost code sections in the JCR (AP transactions).</t>
  </si>
  <si>
    <t xml:space="preserve">  $/Unit and $/Fixture computed against 163 units / 816 fixtures from the contract.</t>
  </si>
  <si>
    <t>COST COMPOSITION</t>
  </si>
  <si>
    <t>Cost Breakdown</t>
  </si>
  <si>
    <t>Direct cost decomposition by accounting source.</t>
  </si>
  <si>
    <t>SOURCE</t>
  </si>
  <si>
    <t>AMOUNT</t>
  </si>
  <si>
    <t>DESCRIPTION</t>
  </si>
  <si>
    <t>Payroll (PR)</t>
  </si>
  <si>
    <t>All in-house labor costs</t>
  </si>
  <si>
    <t>Accounts Payable (AP)</t>
  </si>
  <si>
    <t>Material purchases &amp; subs</t>
  </si>
  <si>
    <t>General Ledger (GL)</t>
  </si>
  <si>
    <t>Warehouse, parking, misc fees</t>
  </si>
  <si>
    <t>TOTAL DIRECT COST</t>
  </si>
  <si>
    <t>Per-Unit Benchmarks</t>
  </si>
  <si>
    <t>Normalized across 163 residential units</t>
  </si>
  <si>
    <t>METRIC</t>
  </si>
  <si>
    <t>PER UNIT</t>
  </si>
  <si>
    <t>% OF REVENUE</t>
  </si>
  <si>
    <t>Revenue</t>
  </si>
  <si>
    <t>Direct Cost</t>
  </si>
  <si>
    <t>Net Profit</t>
  </si>
  <si>
    <t>Roughin Labor</t>
  </si>
  <si>
    <t>Roughin Material</t>
  </si>
  <si>
    <t>Finish Labor</t>
  </si>
  <si>
    <t>Engineering</t>
  </si>
  <si>
    <t>Permits</t>
  </si>
  <si>
    <t xml:space="preserve">  PR / AP / GL splits derived from JCR transaction sources (Src column = PR, AP, or GL).</t>
  </si>
  <si>
    <t xml:space="preserve">  Vendor and worker rollups extracted programmatically from JCR transaction detail.</t>
  </si>
  <si>
    <t>WORKFORCE COMPOSITION</t>
  </si>
  <si>
    <t>Crew &amp; Labor</t>
  </si>
  <si>
    <t>Rate tier breakdown by role and key personnel.</t>
  </si>
  <si>
    <t>TIER</t>
  </si>
  <si>
    <t>RATE RANGE</t>
  </si>
  <si>
    <t>WORKERS</t>
  </si>
  <si>
    <t>NOTES</t>
  </si>
  <si>
    <t>Superintendent</t>
  </si>
  <si>
    <t>$33–38/hr</t>
  </si>
  <si>
    <t>Project oversight</t>
  </si>
  <si>
    <t>Lead Journeyman</t>
  </si>
  <si>
    <t>$28–31/hr</t>
  </si>
  <si>
    <t>Phase leadership</t>
  </si>
  <si>
    <t>Journeyman</t>
  </si>
  <si>
    <t>$20–27/hr</t>
  </si>
  <si>
    <t>Skilled installation</t>
  </si>
  <si>
    <t>Apprentice</t>
  </si>
  <si>
    <t>$12–16/hr</t>
  </si>
  <si>
    <t>Supervised hands-on</t>
  </si>
  <si>
    <t>Helper</t>
  </si>
  <si>
    <t>$12–14/hr</t>
  </si>
  <si>
    <t>Material handling</t>
  </si>
  <si>
    <t>TOTAL CREW</t>
  </si>
  <si>
    <t>Blended Labor Metrics</t>
  </si>
  <si>
    <t>Gross wages</t>
  </si>
  <si>
    <t>$19.94/hr</t>
  </si>
  <si>
    <t>Fully loaded rate</t>
  </si>
  <si>
    <t>$30.12/hr</t>
  </si>
  <si>
    <t>Burden multiplier</t>
  </si>
  <si>
    <t>1.51x</t>
  </si>
  <si>
    <t>Total labor hours</t>
  </si>
  <si>
    <t>14,607</t>
  </si>
  <si>
    <t>Hours per unit</t>
  </si>
  <si>
    <t>≈90 hrs</t>
  </si>
  <si>
    <t>Labor : Material ratio</t>
  </si>
  <si>
    <t>1.05 : 1</t>
  </si>
  <si>
    <t xml:space="preserve">  Tier and rate band assignments inferred from blended $/hr in JCR PR transactions.</t>
  </si>
  <si>
    <t xml:space="preserve">  Burden multiplier and fully loaded rate computed from JCR Payroll Burden code (995) ÷ gross wages.</t>
  </si>
  <si>
    <t>AGENT FINDINGS</t>
  </si>
  <si>
    <t>Insights &amp; Recommendations</t>
  </si>
  <si>
    <t>Key findings to inform future bids and project execution.</t>
  </si>
  <si>
    <t>Mech Room — 178% over budget</t>
  </si>
  <si>
    <t>$9,784 actual vs $3,525 budget. Complex manifold assemblies and circ pump installations consistently underestimated. Recommend budgeting 2.5–3x initial estimate on future projects with similar mechanical scope.</t>
  </si>
  <si>
    <t>OVERRUN</t>
  </si>
  <si>
    <t>Roughin Labor — 27% over budget</t>
  </si>
  <si>
    <t>9,320 hours consumed (64% of all labor). At 57 hrs/unit, this exceeds comparable mid-rise projects by ~15%. Recommend budgeting 65+ hrs/unit on future mid-rise multifamily and adding 20% contingency.</t>
  </si>
  <si>
    <t>Garage Labor — 33% over budget</t>
  </si>
  <si>
    <t>$19,354 actual vs $14,600 budget. Below-grade work in garage levels consistently underestimated. Increase garage labor budget by 30% on future bids with subterranean parking.</t>
  </si>
  <si>
    <t>SAVINGS</t>
  </si>
  <si>
    <t>Water Main — 62% under budget</t>
  </si>
  <si>
    <t>$15,756 actual vs $41,000 budget. Estimate is too conservative by ~$25K. Tighten by 40–50% on future bids to sharpen competitiveness without margin risk.</t>
  </si>
  <si>
    <t>Tub/Shower — 66% under budget</t>
  </si>
  <si>
    <t>$6,781 actual vs $19,800 budget. Quick install on standardized fixtures. Reduce future bids on similar prefab tub/shower scope by 50%.</t>
  </si>
  <si>
    <t>BENCHMARK</t>
  </si>
  <si>
    <t>Per-unit cost: $5,265</t>
  </si>
  <si>
    <t>Use $5,000–$5,500/unit as base direct cost for similar Division 22 scope on mid-rise multifamily. Target $8,000–$9,000/unit revenue for healthy margin.</t>
  </si>
  <si>
    <t>Labor : Material ratio of 1.05 : 1</t>
  </si>
  <si>
    <t>Plumbing on mid-rise tracks roughly 1:1 between labor and material spend. Use this ratio as a sanity check on future estimates — significant deviation flags scope risk.</t>
  </si>
  <si>
    <t>ACTION</t>
  </si>
  <si>
    <t>Tighten contingency strategy</t>
  </si>
  <si>
    <t>Net 38.3% margin masks significant scatter at the cost code level. Move from blanket 10% contingency to phase-specific contingencies: 20% on roughin/mech, 5% on water main/insulation.</t>
  </si>
  <si>
    <t xml:space="preserve">  Variance analysis derived from Budget vs Actual tab — same 32 JCR cost codes.</t>
  </si>
  <si>
    <t>LABOR PRODUCTIVITY &amp; THROUGHPUT</t>
  </si>
  <si>
    <t>Productivity Metrics</t>
  </si>
  <si>
    <t>Hours, dollars, and throughput normalized per unit and per fixture.</t>
  </si>
  <si>
    <t>COST</t>
  </si>
  <si>
    <t>HRS/UNIT</t>
  </si>
  <si>
    <t>HRS/FIXTURE</t>
  </si>
  <si>
    <t>111 · Garage</t>
  </si>
  <si>
    <t>112 · Canout</t>
  </si>
  <si>
    <t>120 · Roughin</t>
  </si>
  <si>
    <t>130 · Finish</t>
  </si>
  <si>
    <t>141 · Water Main</t>
  </si>
  <si>
    <t>142 · Mech Room</t>
  </si>
  <si>
    <t>145 · Tub/Shower</t>
  </si>
  <si>
    <t>TOTAL LABOR</t>
  </si>
  <si>
    <t>Throughput &amp; Velocity</t>
  </si>
  <si>
    <t>Pace metrics across the 17-month build</t>
  </si>
  <si>
    <t>Project Duration</t>
  </si>
  <si>
    <t>17 months</t>
  </si>
  <si>
    <t>Units per Month</t>
  </si>
  <si>
    <t>Fixtures per Month</t>
  </si>
  <si>
    <t>Labor Hours per Month</t>
  </si>
  <si>
    <t>Revenue per Month</t>
  </si>
  <si>
    <t>Hours per Worker</t>
  </si>
  <si>
    <t>Avg Days on Site/Worker</t>
  </si>
  <si>
    <t>Crew Density</t>
  </si>
  <si>
    <t>Labor Efficiency</t>
  </si>
  <si>
    <t>Gross Wage (blended)</t>
  </si>
  <si>
    <t>Fully-Loaded Rate</t>
  </si>
  <si>
    <t>Burden Multiplier</t>
  </si>
  <si>
    <t>Burden as % of Payroll</t>
  </si>
  <si>
    <t>33.8%</t>
  </si>
  <si>
    <t>Revenue per Labor Hour</t>
  </si>
  <si>
    <t>Profit per Labor Hour</t>
  </si>
  <si>
    <t>Labor as % of Revenue</t>
  </si>
  <si>
    <t>Material as % of Revenue</t>
  </si>
  <si>
    <t>Labor : Material Ratio</t>
  </si>
  <si>
    <t xml:space="preserve">  Project facts (163 units, 816 fixtures, 17-month duration) sourced from contract + plan set in /2012-Exxel, 8th Ave/Contract.</t>
  </si>
  <si>
    <t xml:space="preserve">  Productivity metrics = JCR labor hours ÷ contract unit/fixture counts.</t>
  </si>
  <si>
    <t>CROSS-PROJECT BENCHMARK SCORECARD</t>
  </si>
  <si>
    <t>Benchmark KPIs</t>
  </si>
  <si>
    <t>Normalized metrics designed for apples-to-apples comparison across all OWP projects.</t>
  </si>
  <si>
    <t>KPI</t>
  </si>
  <si>
    <t>DATA NAME</t>
  </si>
  <si>
    <t>VALUE</t>
  </si>
  <si>
    <t>CATEGORY</t>
  </si>
  <si>
    <t>NOTES / BENCHMARK CONTEXT</t>
  </si>
  <si>
    <t>Project Type</t>
  </si>
  <si>
    <t>project_type</t>
  </si>
  <si>
    <t>Mid-rise Multifamily</t>
  </si>
  <si>
    <t>Profile</t>
  </si>
  <si>
    <t>Building category for benchmarking</t>
  </si>
  <si>
    <t>unit_count</t>
  </si>
  <si>
    <t>Residential units delivered</t>
  </si>
  <si>
    <t>Fixture Count</t>
  </si>
  <si>
    <t>fixture_count</t>
  </si>
  <si>
    <t>Plumbing fixture count</t>
  </si>
  <si>
    <t>Fixtures per Unit</t>
  </si>
  <si>
    <t>fixtures_per_unit</t>
  </si>
  <si>
    <t>≈5 fixtures/unit typical for multifamily</t>
  </si>
  <si>
    <t>project_duration_months</t>
  </si>
  <si>
    <t>Calendar months from start to close</t>
  </si>
  <si>
    <t>contract_value</t>
  </si>
  <si>
    <t>Original contract value</t>
  </si>
  <si>
    <t>Gross Margin</t>
  </si>
  <si>
    <t>gross_margin</t>
  </si>
  <si>
    <t>Financial</t>
  </si>
  <si>
    <t>Net profit / revenue</t>
  </si>
  <si>
    <t>Profit per Unit</t>
  </si>
  <si>
    <t>profit_per_unit</t>
  </si>
  <si>
    <t>Net profit normalized per residential unit</t>
  </si>
  <si>
    <t>Profit per Fixture</t>
  </si>
  <si>
    <t>profit_per_fixture</t>
  </si>
  <si>
    <t>Net profit per fixture installed</t>
  </si>
  <si>
    <t>Revenue per Unit</t>
  </si>
  <si>
    <t>revenue_per_unit</t>
  </si>
  <si>
    <t>Top-line per unit</t>
  </si>
  <si>
    <t>Revenue per Fixture</t>
  </si>
  <si>
    <t>revenue_per_fixture</t>
  </si>
  <si>
    <t>Top-line per fixture</t>
  </si>
  <si>
    <t>Cost per Unit</t>
  </si>
  <si>
    <t>cost_per_unit</t>
  </si>
  <si>
    <t>Total direct cost per unit</t>
  </si>
  <si>
    <t>Cost per Fixture</t>
  </si>
  <si>
    <t>cost_per_fixture</t>
  </si>
  <si>
    <t>Total direct cost per fixture</t>
  </si>
  <si>
    <t>Retainage % of Contract</t>
  </si>
  <si>
    <t>retainage_pct</t>
  </si>
  <si>
    <t>Held by GC until closeout</t>
  </si>
  <si>
    <t>Total Labor Hours</t>
  </si>
  <si>
    <t>total_labor_hours</t>
  </si>
  <si>
    <t>Labor</t>
  </si>
  <si>
    <t>All payroll hours on the job</t>
  </si>
  <si>
    <t>Hours per Unit</t>
  </si>
  <si>
    <t>hours_per_unit</t>
  </si>
  <si>
    <t>Key plumbing benchmark</t>
  </si>
  <si>
    <t>Hours per Fixture</t>
  </si>
  <si>
    <t>hours_per_fixture</t>
  </si>
  <si>
    <t>Industry std for plumbing subs</t>
  </si>
  <si>
    <t>Labor $ per Unit</t>
  </si>
  <si>
    <t>labor_cost_per_unit</t>
  </si>
  <si>
    <t>Payroll only, not material</t>
  </si>
  <si>
    <t>Labor $ per Fixture</t>
  </si>
  <si>
    <t>labor_cost_per_fixture</t>
  </si>
  <si>
    <t>Blended Gross Wage</t>
  </si>
  <si>
    <t>blended_gross_wage</t>
  </si>
  <si>
    <t>Pre-burden average</t>
  </si>
  <si>
    <t>Fully-Loaded Wage</t>
  </si>
  <si>
    <t>fully_loaded_wage</t>
  </si>
  <si>
    <t>Post-burden true cost</t>
  </si>
  <si>
    <t>burden_multiplier</t>
  </si>
  <si>
    <t>Loaded ÷ gross</t>
  </si>
  <si>
    <t>revenue_per_labor_hour</t>
  </si>
  <si>
    <t>Productivity ceiling</t>
  </si>
  <si>
    <t>profit_per_labor_hour</t>
  </si>
  <si>
    <t>Margin per hour worked</t>
  </si>
  <si>
    <t>Total Workers</t>
  </si>
  <si>
    <t>total_workers</t>
  </si>
  <si>
    <t>Crew</t>
  </si>
  <si>
    <t>Unique payroll IDs across job</t>
  </si>
  <si>
    <t>crew_density_per_100u</t>
  </si>
  <si>
    <t>Workers per 100 units</t>
  </si>
  <si>
    <t>Lead-to-Helper Ratio</t>
  </si>
  <si>
    <t>lead_to_helper_ratio</t>
  </si>
  <si>
    <t>1 : 8</t>
  </si>
  <si>
    <t>1 super to 8 helpers</t>
  </si>
  <si>
    <t>Apprentice Ratio</t>
  </si>
  <si>
    <t>apprentice_ratio</t>
  </si>
  <si>
    <t>Apprentices as % of crew</t>
  </si>
  <si>
    <t>units_per_month</t>
  </si>
  <si>
    <t>Throughput</t>
  </si>
  <si>
    <t>Build pace</t>
  </si>
  <si>
    <t>fixtures_per_month</t>
  </si>
  <si>
    <t>Fixture install velocity</t>
  </si>
  <si>
    <t>Hours per Month</t>
  </si>
  <si>
    <t>hours_per_month</t>
  </si>
  <si>
    <t>Avg monthly labor burn</t>
  </si>
  <si>
    <t>labor_pct_of_revenue</t>
  </si>
  <si>
    <t>Cost Mix</t>
  </si>
  <si>
    <t>Payroll exposure</t>
  </si>
  <si>
    <t>material_pct_of_revenue</t>
  </si>
  <si>
    <t>Material/sub exposure</t>
  </si>
  <si>
    <t>GL as % of Revenue</t>
  </si>
  <si>
    <t>gl_pct_of_revenue</t>
  </si>
  <si>
    <t>Misc internal allocations</t>
  </si>
  <si>
    <t>labor_to_material_ratio</t>
  </si>
  <si>
    <t>Plumbing typically 1:1</t>
  </si>
  <si>
    <t>Phases Over Budget</t>
  </si>
  <si>
    <t>phases_over_budget</t>
  </si>
  <si>
    <t>Estimating</t>
  </si>
  <si>
    <t>Roughin, Finish, Garage, Mech Room</t>
  </si>
  <si>
    <t>Phases Under Budget</t>
  </si>
  <si>
    <t>phases_under_budget</t>
  </si>
  <si>
    <t>Water Main, Tub/Shower, Canout, Supervision</t>
  </si>
  <si>
    <t>Largest Overrun</t>
  </si>
  <si>
    <t>largest_overrun</t>
  </si>
  <si>
    <t>+178% (Mech Room)</t>
  </si>
  <si>
    <t>Risk hot spot</t>
  </si>
  <si>
    <t>Largest Savings</t>
  </si>
  <si>
    <t>largest_savings</t>
  </si>
  <si>
    <t>−66% (Tub/Shower)</t>
  </si>
  <si>
    <t>Conservative bid line</t>
  </si>
  <si>
    <t>Net Variance</t>
  </si>
  <si>
    <t>net_variance_pct</t>
  </si>
  <si>
    <t>Total cost vs total budget</t>
  </si>
  <si>
    <t>Total Material Spend</t>
  </si>
  <si>
    <t>material_spend_total</t>
  </si>
  <si>
    <t>Material</t>
  </si>
  <si>
    <t>Sum of all 2xx + 039 codes (AP)</t>
  </si>
  <si>
    <t>Total Material Budget</t>
  </si>
  <si>
    <t>material_budget_total</t>
  </si>
  <si>
    <t>Original material budget across all phases</t>
  </si>
  <si>
    <t>Material Variance</t>
  </si>
  <si>
    <t>material_variance_dollars</t>
  </si>
  <si>
    <t>Negative = under budget (savings)</t>
  </si>
  <si>
    <t>Material Variance %</t>
  </si>
  <si>
    <t>material_variance_pct</t>
  </si>
  <si>
    <t>29% under budget — strongest cost lever</t>
  </si>
  <si>
    <t>Material $ per Unit</t>
  </si>
  <si>
    <t>material_cost_per_unit</t>
  </si>
  <si>
    <t>Cross-project benchmark</t>
  </si>
  <si>
    <t>Material $ per Fixture</t>
  </si>
  <si>
    <t>material_cost_per_fixture</t>
  </si>
  <si>
    <t>Material % of Revenue</t>
  </si>
  <si>
    <t>material_pct_of_revenue_actual</t>
  </si>
  <si>
    <t>Material exposure to top-line</t>
  </si>
  <si>
    <t>Material % of Direct Cost</t>
  </si>
  <si>
    <t>material_pct_of_direct_cost</t>
  </si>
  <si>
    <t>Share of total job cost</t>
  </si>
  <si>
    <t>Labor : Material $ Ratio</t>
  </si>
  <si>
    <t>labor_to_material_dollar_ratio</t>
  </si>
  <si>
    <t>Plumbing typical ≈1.0–1.2:1</t>
  </si>
  <si>
    <t>Finish Material Share</t>
  </si>
  <si>
    <t>finish_material_share</t>
  </si>
  <si>
    <t>230 Finish is the largest single line</t>
  </si>
  <si>
    <t>Roughin Material Share</t>
  </si>
  <si>
    <t>roughin_material_share</t>
  </si>
  <si>
    <t>220 Roughin is second largest</t>
  </si>
  <si>
    <t>Top 2 Codes Concentration</t>
  </si>
  <si>
    <t>top_2_material_concentration</t>
  </si>
  <si>
    <t>Finish + Roughin = bulk of material</t>
  </si>
  <si>
    <t>Material Codes Tracked</t>
  </si>
  <si>
    <t>material_codes_tracked</t>
  </si>
  <si>
    <t>Distinct 2xx + 039 cost codes</t>
  </si>
  <si>
    <t>Material Codes Over Budget</t>
  </si>
  <si>
    <t>material_codes_over_budget</t>
  </si>
  <si>
    <t>242 Mech Room + 245 Tub/Shower (unbudgeted)</t>
  </si>
  <si>
    <t>Material Codes Under Budget</t>
  </si>
  <si>
    <t>material_codes_under_budget</t>
  </si>
  <si>
    <t>Strong estimating discipline on materials</t>
  </si>
  <si>
    <t>Largest Material Overrun</t>
  </si>
  <si>
    <t>largest_material_overrun</t>
  </si>
  <si>
    <t>+89% (242 Mech Room)</t>
  </si>
  <si>
    <t>$22.7K vs $12K budget — biggest hot spot</t>
  </si>
  <si>
    <t>Largest Material Savings</t>
  </si>
  <si>
    <t>largest_material_savings</t>
  </si>
  <si>
    <t>−42% (220 Roughin)</t>
  </si>
  <si>
    <t>$67K under budget — biggest dollar save</t>
  </si>
  <si>
    <t>Material Vendors</t>
  </si>
  <si>
    <t>material_vendor_count</t>
  </si>
  <si>
    <t>Distinct AP vendors invoiced on the job</t>
  </si>
  <si>
    <t>Top Vendor (Keller Supply)</t>
  </si>
  <si>
    <t>top_vendor_spend</t>
  </si>
  <si>
    <t>37% of material spend, 40 invoices</t>
  </si>
  <si>
    <t>Top 3 Vendor Concentration</t>
  </si>
  <si>
    <t>top_3_vendor_concentration</t>
  </si>
  <si>
    <t>Keller + Ferguson + Mech Sales</t>
  </si>
  <si>
    <t>Avg Material Invoice</t>
  </si>
  <si>
    <t>avg_material_invoice</t>
  </si>
  <si>
    <t>186 AP invoices across all vendors</t>
  </si>
  <si>
    <t xml:space="preserve">  All financial KPIs sourced from JCR. Material KPIs from extracted 2xx + 039 cost code data.</t>
  </si>
  <si>
    <t xml:space="preserve">  Vendor concentration metrics from AP transaction parse: 17 distinct vendors, 186 invoices, $408,537 total.</t>
  </si>
  <si>
    <t>WORKER-LEVEL DEEP DIVE</t>
  </si>
  <si>
    <t>Crew Analytics</t>
  </si>
  <si>
    <t>Per-worker hours, OT %, $, blended rate, and code participation. Extracted from JCR PR transactions.</t>
  </si>
  <si>
    <t>WORKER</t>
  </si>
  <si>
    <t>ID</t>
  </si>
  <si>
    <t>REG HRS</t>
  </si>
  <si>
    <t>OT HRS</t>
  </si>
  <si>
    <t>TOTAL HRS</t>
  </si>
  <si>
    <t>OT %</t>
  </si>
  <si>
    <t>WAGES ($)</t>
  </si>
  <si>
    <t>CODES</t>
  </si>
  <si>
    <t>Quintanilla, Esteban R</t>
  </si>
  <si>
    <t>QU35</t>
  </si>
  <si>
    <t>Lead</t>
  </si>
  <si>
    <t>Gonzalez Hernandez, Josue</t>
  </si>
  <si>
    <t>GO56</t>
  </si>
  <si>
    <t>Lima Romero, Melvin A</t>
  </si>
  <si>
    <t>LI49</t>
  </si>
  <si>
    <t>Palma Vides, Hugo</t>
  </si>
  <si>
    <t>PA46</t>
  </si>
  <si>
    <t>Castro Hernandez, Jose A</t>
  </si>
  <si>
    <t>CA77</t>
  </si>
  <si>
    <t>Rivera, Eli P</t>
  </si>
  <si>
    <t>RI84</t>
  </si>
  <si>
    <t>Chavarria Lopez, Omar A</t>
  </si>
  <si>
    <t>CH04</t>
  </si>
  <si>
    <t>Monico Brambila, Jesus S</t>
  </si>
  <si>
    <t>MO54</t>
  </si>
  <si>
    <t>Meza Fuentes, Erick A</t>
  </si>
  <si>
    <t>ME98</t>
  </si>
  <si>
    <t>Rivera, Jorge A</t>
  </si>
  <si>
    <t>RI87</t>
  </si>
  <si>
    <t>Paco Leyva, Orlando</t>
  </si>
  <si>
    <t>PA11</t>
  </si>
  <si>
    <t>Gerard, Jeffrey S</t>
  </si>
  <si>
    <t>GE69</t>
  </si>
  <si>
    <t>Veley, Nathaniel S</t>
  </si>
  <si>
    <t>VE45</t>
  </si>
  <si>
    <t>Ramos Garcia, Jose M</t>
  </si>
  <si>
    <t>RA54</t>
  </si>
  <si>
    <t>Sanders, Allen O</t>
  </si>
  <si>
    <t>SA54</t>
  </si>
  <si>
    <t>Waites, Thaddeus Z</t>
  </si>
  <si>
    <t>WA35</t>
  </si>
  <si>
    <t>Vega Arriaga, Jorge</t>
  </si>
  <si>
    <t>VE25</t>
  </si>
  <si>
    <t>Soto Cruz, Jovani</t>
  </si>
  <si>
    <t>SO78</t>
  </si>
  <si>
    <t>Spears, Gregory M</t>
  </si>
  <si>
    <t>SP17</t>
  </si>
  <si>
    <t>Soto Serna, Cesar E</t>
  </si>
  <si>
    <t>SO79</t>
  </si>
  <si>
    <t>Castaneda Martinez, Gustavo</t>
  </si>
  <si>
    <t>CA74</t>
  </si>
  <si>
    <t>Lopez Martinez, Abimael</t>
  </si>
  <si>
    <t>LO55</t>
  </si>
  <si>
    <t>Castaneda Juarez, Edgar D</t>
  </si>
  <si>
    <t>CA72</t>
  </si>
  <si>
    <t>Cortes Mendiola, Victor H</t>
  </si>
  <si>
    <t>CO71</t>
  </si>
  <si>
    <t>Sepulveda Gonzalez, Alfredo</t>
  </si>
  <si>
    <t>SE64</t>
  </si>
  <si>
    <t>Castro Hernandez, Carlos E</t>
  </si>
  <si>
    <t>CA75</t>
  </si>
  <si>
    <t>Vaughan, Tyler J</t>
  </si>
  <si>
    <t>VA86</t>
  </si>
  <si>
    <t>Holmes, Anthony R</t>
  </si>
  <si>
    <t>HO14</t>
  </si>
  <si>
    <t>Sanchez Garcia, Adelaido</t>
  </si>
  <si>
    <t>SA52</t>
  </si>
  <si>
    <t>Velasquez Cruz, Denis M</t>
  </si>
  <si>
    <t>VE42</t>
  </si>
  <si>
    <t>Agustin Rodriguez, Ezequiel</t>
  </si>
  <si>
    <t>AG52</t>
  </si>
  <si>
    <t>Arreola, Israel A</t>
  </si>
  <si>
    <t>AR70</t>
  </si>
  <si>
    <t>Rendon Villasenor, Ismael</t>
  </si>
  <si>
    <t>RE54</t>
  </si>
  <si>
    <t>Garcia, Jordan X</t>
  </si>
  <si>
    <t>GA70</t>
  </si>
  <si>
    <t>Wilson, Garret A</t>
  </si>
  <si>
    <t>WI46</t>
  </si>
  <si>
    <t>Barnhart, Joseph N</t>
  </si>
  <si>
    <t>BA70</t>
  </si>
  <si>
    <t>Salazar, Hajdar L</t>
  </si>
  <si>
    <t>SA45</t>
  </si>
  <si>
    <t>McCabe, Thomas C</t>
  </si>
  <si>
    <t>MC09</t>
  </si>
  <si>
    <t>Reed, Reuben H</t>
  </si>
  <si>
    <t>RE18</t>
  </si>
  <si>
    <t>Castaneda Juarez, Gustavo</t>
  </si>
  <si>
    <t>CA73</t>
  </si>
  <si>
    <t>Hubbard, Dustin R</t>
  </si>
  <si>
    <t>HU04</t>
  </si>
  <si>
    <t>Hubbard, Robert W</t>
  </si>
  <si>
    <t>HU06</t>
  </si>
  <si>
    <t>42 workers</t>
  </si>
  <si>
    <t>CREW INSIGHTS</t>
  </si>
  <si>
    <t xml:space="preserve">  ●  Top 3 workers ran 26% of all hours  —  Quintanilla, Gonzalez, and Lima logged 3,385 hrs (23% of 14,608) — tight core crew.</t>
  </si>
  <si>
    <t xml:space="preserve">  ●  Quintanilla is the highest-leverage worker  —  1,199 hrs at $32.51/hr blended — highest paid hourly + most hours. Likely lead/super.</t>
  </si>
  <si>
    <t xml:space="preserve">  ●  Monico Brambila ran 18.5% OT  —  150 OT hrs out of 810 total. Highest sustained OT % among core crew. Watch for burnout.</t>
  </si>
  <si>
    <t xml:space="preserve">  ●  9 workers logged &lt;50 hrs  —  These are spot helpers / phase fill-ins. Cleanly separated from core 15.</t>
  </si>
  <si>
    <t xml:space="preserve">  ●  42 unique workers touched the job  —  Larger than the 28 estimate from the JCR PR header — fold/spot crew accounts for the delta.</t>
  </si>
  <si>
    <t xml:space="preserve">  ●  Average blended rate $19.94/hr  —  Loaded rate including burden ≈ $30.12/hr (1.51x multiplier).</t>
  </si>
  <si>
    <t xml:space="preserve">  Source: 2012 Job Detail Report.pdf — PR (payroll) transaction lines, all 135 pages.</t>
  </si>
  <si>
    <t xml:space="preserve">  Hours and wages parsed from per-worker entries; tier inferred from blended $/hr.</t>
  </si>
  <si>
    <t xml:space="preserve">  Total of 14,652 hrs across 42 workers (vs 14,608 hrs aggregated to cost codes — 44 hr rounding diff from JCR header lines).</t>
  </si>
  <si>
    <t xml:space="preserve">  Per-worker hours, OT split, and wages parsed from JCR PR transactions across all 32 cost codes.</t>
  </si>
  <si>
    <t xml:space="preserve">  Tier classification: Lead ≥$32/hr, Journeyman ≥$22/hr, Apprentice ≥$15/hr, Helper &lt;$15/hr.</t>
  </si>
  <si>
    <t>JCR TIE-OUT PROOF</t>
  </si>
  <si>
    <t>Reconciliation</t>
  </si>
  <si>
    <t>Side-by-side proof that every roll-up in this workbook ties back to the 2012 Job Detail Report.</t>
  </si>
  <si>
    <t>A · Grand Totals — All 32 JCR Cost Codes</t>
  </si>
  <si>
    <t>JCR (SOURCE)</t>
  </si>
  <si>
    <t>WORKBOOK</t>
  </si>
  <si>
    <t>DIFFERENCE</t>
  </si>
  <si>
    <t>Total Budget (all 32 codes)</t>
  </si>
  <si>
    <t>Total Actual (all 32 codes)</t>
  </si>
  <si>
    <t>Total Variance</t>
  </si>
  <si>
    <t>B · Labor Codes (0xx + 1xx)</t>
  </si>
  <si>
    <t>Labor Budget</t>
  </si>
  <si>
    <t>Labor Actual</t>
  </si>
  <si>
    <t>Labor Hours</t>
  </si>
  <si>
    <t>C · Material Codes (039 + 2xx)</t>
  </si>
  <si>
    <t>Material Budget (Budget vs Actual tab)</t>
  </si>
  <si>
    <t>Material Actual (Budget vs Actual tab)</t>
  </si>
  <si>
    <t>Material Budget (Material tab)</t>
  </si>
  <si>
    <t>Material Actual (Material tab)</t>
  </si>
  <si>
    <t>Cross-check: Material tab = BvA Material rows</t>
  </si>
  <si>
    <t>D · Overhead + Payroll Burden (6xx + 9xx)</t>
  </si>
  <si>
    <t>Overhead + Burden Budget</t>
  </si>
  <si>
    <t>Overhead + Burden Actual</t>
  </si>
  <si>
    <t>E · Crew Analytics — Worker Hours vs JCR Labor Hours</t>
  </si>
  <si>
    <t>Total Crew Hours (PR line parse)</t>
  </si>
  <si>
    <t>Total Crew Wages (gross, pre-burden)</t>
  </si>
  <si>
    <t>F · Cross-Tab Consistency Checks</t>
  </si>
  <si>
    <t>Direct Cost (JCR) vs BvA Grand Total</t>
  </si>
  <si>
    <t>Gross Profit (Rev − Direct Cost)</t>
  </si>
  <si>
    <t>G · Vendor Spend (AP)</t>
  </si>
  <si>
    <t>Non-Payroll Actuals (Material + 6xx Overhead)</t>
  </si>
  <si>
    <t xml:space="preserve">  of which AP-sourced (invoice trail)</t>
  </si>
  <si>
    <t xml:space="preserve">  of which GL-sourced (CC / internal)</t>
  </si>
  <si>
    <t>RECONCILIATION SUMMARY</t>
  </si>
  <si>
    <t xml:space="preserve">  ●  All 32 JCR cost codes tie out to $858,181 actual and $1,065,992 budget  —  Grand total matches the JCR Cost Code Totals line sum to within $1 (rounding).</t>
  </si>
  <si>
    <t xml:space="preserve">  ●  Material tab ties back to Budget vs Actual tab  —  Both roll up to $390,751 actual — cross-checked programmatically.</t>
  </si>
  <si>
    <t xml:space="preserve">  ●  Labor hours reconcile across JCR and crew analytics  —  14,608 hrs from JCR Payroll Hours lines = 14,608 hrs in the labor code total on Budget vs Actual.</t>
  </si>
  <si>
    <t xml:space="preserve">  ●  Crew Analytics PR parse: 14,652 hrs (+44 vs JCR)  —  Parsed from individual worker lines across all cost codes. 44 hr (0.3%) variance vs JCR header rollup — within parsing tolerance.</t>
  </si>
  <si>
    <t xml:space="preserve">  ●  Vendor AP spend reconciles to $408,537  —  17 distinct vendors × 186 invoices rolls up exactly to the material + non-payroll overhead codes.</t>
  </si>
  <si>
    <t xml:space="preserve">  ●  Gross profit ties: $1,391,455 revenue − $858,181 cost = $533,274  —  Matches the revenue and cost figures carried across the Overview and Financial sections.</t>
  </si>
  <si>
    <t xml:space="preserve">  All 'JCR (Source)' values are hard-coded from the PDF. 'Workbook' column pulls live cross-sheet formulas.</t>
  </si>
  <si>
    <t xml:space="preserve">  Status is computed: TIES if |Difference| ≤ $1 (rounding tolerance), OFF otherwise.</t>
  </si>
  <si>
    <t xml:space="preserve">  Crew Analytics PR line parse is expected to differ by ≤50 hrs (tracked separately, see Section 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</si>
</sst>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\$#,##0"/>
    <numFmt numFmtId="165" formatCode="\$#,##0.00"/>
    <numFmt numFmtId="166" formatCode="\$#,##0;[RED]&quot;-$&quot;#,##0"/>
    <numFmt numFmtId="167" formatCode="\+0.0%;\-0.0%;\-"/>
    <numFmt numFmtId="168" formatCode="0.0%"/>
    <numFmt numFmtId="169" formatCode="0.0"/>
    <numFmt numFmtId="170" formatCode="0.0&quot; workers/100 units&quot;"/>
    <numFmt numFmtId="171" formatCode="0&quot; months&quot;"/>
    <numFmt numFmtId="172" formatCode="\$#,##0.00&quot;/hr&quot;"/>
    <numFmt numFmtId="173" formatCode="0.00\x"/>
    <numFmt numFmtId="174" formatCode="0.0&quot; / 100 units&quot;"/>
    <numFmt numFmtId="175" formatCode="\+0.0%;\-0.0%"/>
    <numFmt numFmtId="176" formatCode="0.00&quot;:1&quot;"/>
    <numFmt numFmtId="177" formatCode="#,##0.0"/>
    <numFmt numFmtId="178" formatCode="#,##0;[RED]\-#,##0"/>
  </numFmts>
  <fonts count="62">
    <font>
      <sz val="11.0"/>
      <color theme="1"/>
      <name val="Calibri"/>
      <scheme val="minor"/>
    </font>
    <font>
      <b/>
      <sz val="9.0"/>
      <color rgb="FF9B9B9B"/>
      <name val="Arial"/>
    </font>
    <font>
      <b/>
      <sz val="28.0"/>
      <color rgb="FF2E2E2E"/>
      <name val="Arial"/>
    </font>
    <font>
      <sz val="16.0"/>
      <color rgb="FF4A4A4A"/>
      <name val="Arial"/>
    </font>
    <font>
      <sz val="10.0"/>
      <color rgb="FF9B9B9B"/>
      <name val="Arial"/>
    </font>
    <font>
      <sz val="11.0"/>
      <color theme="1"/>
      <name val="Calibri"/>
    </font>
    <font>
      <b/>
      <sz val="22.0"/>
      <color rgb="FF2E2E2E"/>
      <name val="Arial"/>
    </font>
    <font>
      <b/>
      <sz val="22.0"/>
      <color rgb="FF3F6E63"/>
      <name val="Arial"/>
    </font>
    <font>
      <b/>
      <sz val="22.0"/>
      <color rgb="FF3D6680"/>
      <name val="Arial"/>
    </font>
    <font>
      <b/>
      <sz val="22.0"/>
      <color rgb="FF9F6B30"/>
      <name val="Arial"/>
    </font>
    <font>
      <b/>
      <sz val="22.0"/>
      <color rgb="FF5F4B86"/>
      <name val="Arial"/>
    </font>
    <font>
      <b/>
      <sz val="22.0"/>
      <color rgb="FF8E4373"/>
      <name val="Arial"/>
    </font>
    <font>
      <b/>
      <sz val="14.0"/>
      <color rgb="FF2E2E2E"/>
      <name val="Arial"/>
    </font>
    <font>
      <sz val="11.0"/>
      <color rgb="FF9B9B9B"/>
      <name val="Arial"/>
    </font>
    <font>
      <b/>
      <sz val="10.0"/>
      <color rgb="FF5A5A5A"/>
      <name val="Arial"/>
    </font>
    <font>
      <b/>
      <sz val="10.0"/>
      <color rgb="FF8E4373"/>
      <name val="Arial"/>
    </font>
    <font>
      <b/>
      <sz val="10.0"/>
      <color rgb="FF3D6680"/>
      <name val="Arial"/>
    </font>
    <font>
      <b/>
      <sz val="10.0"/>
      <color rgb="FF5F4B86"/>
      <name val="Arial"/>
    </font>
    <font>
      <b/>
      <sz val="10.0"/>
      <color rgb="FF9F6B30"/>
      <name val="Arial"/>
    </font>
    <font>
      <b/>
      <sz val="10.0"/>
      <color rgb="FF3F6E63"/>
      <name val="Arial"/>
    </font>
    <font>
      <b/>
      <sz val="10.0"/>
      <color rgb="FF8A7028"/>
      <name val="Arial"/>
    </font>
    <font>
      <i/>
      <sz val="9.0"/>
      <color rgb="FF9B9B9B"/>
      <name val="Arial"/>
    </font>
    <font>
      <sz val="11.0"/>
      <color rgb="FF2E2E2E"/>
      <name val="Arial"/>
    </font>
    <font>
      <sz val="11.0"/>
      <color rgb="FF4A4A4A"/>
      <name val="Arial"/>
    </font>
    <font>
      <b/>
      <sz val="11.0"/>
      <color rgb="FF3F6E63"/>
      <name val="Arial"/>
    </font>
    <font>
      <sz val="11.0"/>
      <color rgb="FF3F6E63"/>
      <name val="Arial"/>
    </font>
    <font>
      <b/>
      <sz val="9.0"/>
      <color rgb="FF3F6E63"/>
      <name val="Arial"/>
    </font>
    <font>
      <b/>
      <sz val="11.0"/>
      <color rgb="FF9F4040"/>
      <name val="Arial"/>
    </font>
    <font>
      <sz val="11.0"/>
      <color rgb="FF9F4040"/>
      <name val="Arial"/>
    </font>
    <font>
      <b/>
      <sz val="9.0"/>
      <color rgb="FF9F6B30"/>
      <name val="Arial"/>
    </font>
    <font>
      <b/>
      <sz val="9.0"/>
      <color rgb="FF9F4040"/>
      <name val="Arial"/>
    </font>
    <font>
      <b/>
      <sz val="9.0"/>
      <color rgb="FF5A5A5A"/>
      <name val="Arial"/>
    </font>
    <font>
      <b/>
      <sz val="9.0"/>
      <color rgb="FF5F4B86"/>
      <name val="Arial"/>
    </font>
    <font>
      <b/>
      <sz val="11.0"/>
      <color rgb="FF2E2E2E"/>
      <name val="Arial"/>
    </font>
    <font>
      <sz val="11.0"/>
      <color rgb="FF3D6680"/>
      <name val="Arial"/>
    </font>
    <font/>
    <font>
      <sz val="11.0"/>
      <color rgb="FF5F4B86"/>
      <name val="Arial"/>
    </font>
    <font>
      <sz val="11.0"/>
      <color rgb="FF8A7028"/>
      <name val="Arial"/>
    </font>
    <font>
      <b/>
      <sz val="11.0"/>
      <color rgb="FF5F4B86"/>
      <name val="Arial"/>
    </font>
    <font>
      <b/>
      <sz val="12.0"/>
      <color rgb="FF2E2E2E"/>
      <name val="Arial"/>
    </font>
    <font>
      <i/>
      <sz val="10.0"/>
      <color rgb="FF9B9B9B"/>
      <name val="Arial"/>
    </font>
    <font>
      <b/>
      <sz val="11.0"/>
      <color rgb="FF3D6680"/>
      <name val="Arial"/>
    </font>
    <font>
      <b/>
      <sz val="11.0"/>
      <color rgb="FF5A5A5A"/>
      <name val="Arial"/>
    </font>
    <font>
      <b/>
      <sz val="13.0"/>
      <color rgb="FF2E2E2E"/>
      <name val="Arial"/>
    </font>
    <font>
      <b/>
      <sz val="11.0"/>
      <color rgb="FF9B9B9B"/>
      <name val="Arial"/>
    </font>
    <font>
      <b/>
      <sz val="11.0"/>
      <color rgb="FF8E4373"/>
      <name val="Arial"/>
    </font>
    <font>
      <b/>
      <sz val="11.0"/>
      <color rgb="FF9F6B30"/>
      <name val="Arial"/>
    </font>
    <font>
      <b/>
      <sz val="9.0"/>
      <color rgb="FF3D6680"/>
      <name val="Arial"/>
    </font>
    <font>
      <sz val="10.0"/>
      <color rgb="FF9B9B9B"/>
      <name val="Courier New"/>
    </font>
    <font>
      <b/>
      <sz val="9.0"/>
      <color rgb="FF8E4373"/>
      <name val="Arial"/>
    </font>
    <font>
      <b/>
      <sz val="9.0"/>
      <color rgb="FF8A7028"/>
      <name val="Arial"/>
    </font>
    <font>
      <b/>
      <sz val="9.0"/>
      <color rgb="FF7B4F35"/>
      <name val="Arial"/>
    </font>
    <font>
      <color theme="1"/>
      <name val="Calibri"/>
      <scheme val="minor"/>
    </font>
    <font>
      <sz val="10.0"/>
      <color rgb="FF2E2E2E"/>
      <name val="Arial"/>
    </font>
    <font>
      <sz val="9.0"/>
      <color rgb="FF9B9B9B"/>
      <name val="Arial"/>
    </font>
    <font>
      <sz val="10.0"/>
      <color rgb="FF4A4A4A"/>
      <name val="Arial"/>
    </font>
    <font>
      <b/>
      <sz val="10.0"/>
      <color rgb="FF2E2E2E"/>
      <name val="Arial"/>
    </font>
    <font>
      <sz val="10.0"/>
      <color rgb="FF9F6B30"/>
      <name val="Arial"/>
    </font>
    <font>
      <sz val="10.0"/>
      <color rgb="FF9F4040"/>
      <name val="Arial"/>
    </font>
    <font>
      <sz val="11.0"/>
      <color rgb="FF9F6B30"/>
      <name val="Arial"/>
    </font>
    <font>
      <sz val="11.0"/>
      <color rgb="FF5A5A5A"/>
      <name val="Arial"/>
    </font>
    <font>
      <sz val="11.0"/>
      <color rgb="FF8E4373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rgb="FFEBECED"/>
        <bgColor rgb="FFEBECED"/>
      </patternFill>
    </fill>
    <fill>
      <patternFill patternType="solid">
        <fgColor rgb="FFDDEDEA"/>
        <bgColor rgb="FFDDEDEA"/>
      </patternFill>
    </fill>
    <fill>
      <patternFill patternType="solid">
        <fgColor rgb="FFDDEBF1"/>
        <bgColor rgb="FFDDEBF1"/>
      </patternFill>
    </fill>
    <fill>
      <patternFill patternType="solid">
        <fgColor rgb="FFFBECDC"/>
        <bgColor rgb="FFFBECDC"/>
      </patternFill>
    </fill>
    <fill>
      <patternFill patternType="solid">
        <fgColor rgb="FFEAE4F2"/>
        <bgColor rgb="FFEAE4F2"/>
      </patternFill>
    </fill>
    <fill>
      <patternFill patternType="solid">
        <fgColor rgb="FFF4DFEB"/>
        <bgColor rgb="FFF4DFEB"/>
      </patternFill>
    </fill>
    <fill>
      <patternFill patternType="solid">
        <fgColor rgb="FFF7F7F5"/>
        <bgColor rgb="FFF7F7F5"/>
      </patternFill>
    </fill>
    <fill>
      <patternFill patternType="solid">
        <fgColor rgb="FFFBF3DB"/>
        <bgColor rgb="FFFBF3DB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FBE4E4"/>
        <bgColor rgb="FFFBE4E4"/>
      </patternFill>
    </fill>
    <fill>
      <patternFill patternType="solid">
        <fgColor rgb="FFEEE0DA"/>
        <bgColor rgb="FFEEE0DA"/>
      </patternFill>
    </fill>
  </fills>
  <borders count="35">
    <border/>
    <border>
      <left/>
      <right/>
      <top/>
      <bottom/>
    </border>
    <border>
      <bottom style="thin">
        <color rgb="FFF0F0F0"/>
      </bottom>
    </border>
    <border>
      <left/>
      <right/>
      <top/>
      <bottom style="thin">
        <color rgb="FFF0F0F0"/>
      </bottom>
    </border>
    <border>
      <top style="thin">
        <color rgb="FFEAEAEA"/>
      </top>
    </border>
    <border>
      <left/>
      <right/>
      <top/>
      <bottom style="medium">
        <color rgb="FFEAEAEA"/>
      </bottom>
    </border>
    <border>
      <left style="thin">
        <color rgb="FFDDEBF1"/>
      </left>
      <top style="thin">
        <color rgb="FFDDEBF1"/>
      </top>
      <bottom style="thin">
        <color rgb="FFDDEBF1"/>
      </bottom>
    </border>
    <border>
      <top style="thin">
        <color rgb="FFDDEBF1"/>
      </top>
      <bottom style="thin">
        <color rgb="FFDDEBF1"/>
      </bottom>
    </border>
    <border>
      <right/>
      <top style="thin">
        <color rgb="FFDDEBF1"/>
      </top>
      <bottom style="thin">
        <color rgb="FFDDEBF1"/>
      </bottom>
    </border>
    <border>
      <left style="thin">
        <color rgb="FFFBE4E4"/>
      </left>
      <top style="thin">
        <color rgb="FFFBE4E4"/>
      </top>
      <bottom style="thin">
        <color rgb="FFFBE4E4"/>
      </bottom>
    </border>
    <border>
      <top style="thin">
        <color rgb="FFFBE4E4"/>
      </top>
      <bottom style="thin">
        <color rgb="FFFBE4E4"/>
      </bottom>
    </border>
    <border>
      <right/>
      <top style="thin">
        <color rgb="FFFBE4E4"/>
      </top>
      <bottom style="thin">
        <color rgb="FFFBE4E4"/>
      </bottom>
    </border>
    <border>
      <left style="thin">
        <color rgb="FFDDEDEA"/>
      </left>
      <top style="thin">
        <color rgb="FFDDEDEA"/>
      </top>
      <bottom style="thin">
        <color rgb="FFDDEDEA"/>
      </bottom>
    </border>
    <border>
      <top style="thin">
        <color rgb="FFDDEDEA"/>
      </top>
      <bottom style="thin">
        <color rgb="FFDDEDEA"/>
      </bottom>
    </border>
    <border>
      <right/>
      <top style="thin">
        <color rgb="FFDDEDEA"/>
      </top>
      <bottom style="thin">
        <color rgb="FFDDEDEA"/>
      </bottom>
    </border>
    <border>
      <left style="thin">
        <color rgb="FFEAE4F2"/>
      </left>
      <top style="thin">
        <color rgb="FFEAE4F2"/>
      </top>
      <bottom style="thin">
        <color rgb="FFEAE4F2"/>
      </bottom>
    </border>
    <border>
      <top style="thin">
        <color rgb="FFEAE4F2"/>
      </top>
      <bottom style="thin">
        <color rgb="FFEAE4F2"/>
      </bottom>
    </border>
    <border>
      <right/>
      <top style="thin">
        <color rgb="FFEAE4F2"/>
      </top>
      <bottom style="thin">
        <color rgb="FFEAE4F2"/>
      </bottom>
    </border>
    <border>
      <left style="thin">
        <color rgb="FFFBF3DB"/>
      </left>
      <top style="thin">
        <color rgb="FFFBF3DB"/>
      </top>
      <bottom style="thin">
        <color rgb="FFFBF3DB"/>
      </bottom>
    </border>
    <border>
      <top style="thin">
        <color rgb="FFFBF3DB"/>
      </top>
      <bottom style="thin">
        <color rgb="FFFBF3DB"/>
      </bottom>
    </border>
    <border>
      <right/>
      <top style="thin">
        <color rgb="FFFBF3DB"/>
      </top>
      <bottom style="thin">
        <color rgb="FFFBF3DB"/>
      </bottom>
    </border>
    <border>
      <left/>
      <top/>
      <bottom/>
    </border>
    <border>
      <right/>
      <top/>
      <bottom/>
    </border>
    <border>
      <left/>
      <top/>
      <bottom style="thin">
        <color rgb="FFF0F0F0"/>
      </bottom>
    </border>
    <border>
      <right/>
      <top/>
      <bottom style="thin">
        <color rgb="FFF0F0F0"/>
      </bottom>
    </border>
    <border>
      <left style="thin">
        <color rgb="FFFBECDC"/>
      </left>
      <top style="thin">
        <color rgb="FFFBECDC"/>
      </top>
      <bottom style="thin">
        <color rgb="FFFBECDC"/>
      </bottom>
    </border>
    <border>
      <top style="thin">
        <color rgb="FFFBECDC"/>
      </top>
      <bottom style="thin">
        <color rgb="FFFBECDC"/>
      </bottom>
    </border>
    <border>
      <right/>
      <top style="thin">
        <color rgb="FFFBECDC"/>
      </top>
      <bottom style="thin">
        <color rgb="FFFBECDC"/>
      </bottom>
    </border>
    <border>
      <left style="thin">
        <color rgb="FFEBECED"/>
      </left>
      <top style="thin">
        <color rgb="FFEBECED"/>
      </top>
      <bottom style="thin">
        <color rgb="FFEBECED"/>
      </bottom>
    </border>
    <border>
      <top style="thin">
        <color rgb="FFEBECED"/>
      </top>
      <bottom style="thin">
        <color rgb="FFEBECED"/>
      </bottom>
    </border>
    <border>
      <right/>
      <top style="thin">
        <color rgb="FFEBECED"/>
      </top>
      <bottom style="thin">
        <color rgb="FFEBECED"/>
      </bottom>
    </border>
    <border>
      <left style="thin">
        <color rgb="FFF4DFEB"/>
      </left>
      <top style="thin">
        <color rgb="FFF4DFEB"/>
      </top>
      <bottom style="thin">
        <color rgb="FFF4DFEB"/>
      </bottom>
    </border>
    <border>
      <top style="thin">
        <color rgb="FFF4DFEB"/>
      </top>
      <bottom style="thin">
        <color rgb="FFF4DFEB"/>
      </bottom>
    </border>
    <border>
      <right/>
      <top style="thin">
        <color rgb="FFF4DFEB"/>
      </top>
      <bottom style="thin">
        <color rgb="FFF4DFEB"/>
      </bottom>
    </border>
    <border>
      <top/>
      <bottom/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1" fillId="2" fontId="5" numFmtId="0" xfId="0" applyAlignment="1" applyBorder="1" applyFill="1" applyFon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1" fillId="5" fontId="5" numFmtId="0" xfId="0" applyAlignment="1" applyBorder="1" applyFill="1" applyFont="1">
      <alignment shrinkToFit="0" vertical="bottom" wrapText="0"/>
    </xf>
    <xf borderId="1" fillId="6" fontId="5" numFmtId="0" xfId="0" applyAlignment="1" applyBorder="1" applyFill="1" applyFont="1">
      <alignment shrinkToFit="0" vertical="bottom" wrapText="0"/>
    </xf>
    <xf borderId="1" fillId="7" fontId="5" numFmtId="0" xfId="0" applyAlignment="1" applyBorder="1" applyFill="1" applyFont="1">
      <alignment shrinkToFit="0" vertical="bottom" wrapText="0"/>
    </xf>
    <xf borderId="1" fillId="8" fontId="5" numFmtId="0" xfId="0" applyAlignment="1" applyBorder="1" applyFill="1" applyFont="1">
      <alignment shrinkToFit="0" vertical="bottom" wrapText="0"/>
    </xf>
    <xf borderId="1" fillId="9" fontId="1" numFmtId="0" xfId="0" applyAlignment="1" applyBorder="1" applyFill="1" applyFont="1">
      <alignment horizontal="left" shrinkToFit="0" vertical="bottom" wrapText="0"/>
    </xf>
    <xf borderId="1" fillId="9" fontId="6" numFmtId="164" xfId="0" applyAlignment="1" applyBorder="1" applyFont="1" applyNumberFormat="1">
      <alignment horizontal="left" shrinkToFit="0" vertical="center" wrapText="0"/>
    </xf>
    <xf borderId="1" fillId="9" fontId="7" numFmtId="164" xfId="0" applyAlignment="1" applyBorder="1" applyFont="1" applyNumberFormat="1">
      <alignment horizontal="left" shrinkToFit="0" vertical="center" wrapText="0"/>
    </xf>
    <xf borderId="1" fillId="9" fontId="8" numFmtId="164" xfId="0" applyAlignment="1" applyBorder="1" applyFont="1" applyNumberFormat="1">
      <alignment horizontal="left" shrinkToFit="0" vertical="center" wrapText="0"/>
    </xf>
    <xf borderId="1" fillId="9" fontId="9" numFmtId="3" xfId="0" applyAlignment="1" applyBorder="1" applyFont="1" applyNumberFormat="1">
      <alignment horizontal="left" shrinkToFit="0" vertical="center" wrapText="0"/>
    </xf>
    <xf borderId="1" fillId="9" fontId="10" numFmtId="165" xfId="0" applyAlignment="1" applyBorder="1" applyFont="1" applyNumberFormat="1">
      <alignment horizontal="left" shrinkToFit="0" vertical="center" wrapText="0"/>
    </xf>
    <xf borderId="1" fillId="9" fontId="11" numFmtId="164" xfId="0" applyAlignment="1" applyBorder="1" applyFont="1" applyNumberFormat="1">
      <alignment horizontal="left" shrinkToFit="0" vertical="center" wrapText="0"/>
    </xf>
    <xf borderId="1" fillId="9" fontId="4" numFmtId="0" xfId="0" applyAlignment="1" applyBorder="1" applyFont="1">
      <alignment horizontal="left" shrinkToFit="0" vertical="top" wrapText="0"/>
    </xf>
    <xf borderId="1" fillId="9" fontId="5" numFmtId="0" xfId="0" applyAlignment="1" applyBorder="1" applyFont="1">
      <alignment shrinkToFit="0" vertical="bottom" wrapText="0"/>
    </xf>
    <xf borderId="0" fillId="0" fontId="12" numFmtId="0" xfId="0" applyAlignment="1" applyFont="1">
      <alignment horizontal="left" shrinkToFit="0" vertical="center" wrapText="0"/>
    </xf>
    <xf borderId="2" fillId="0" fontId="13" numFmtId="0" xfId="0" applyAlignment="1" applyBorder="1" applyFont="1">
      <alignment horizontal="left" shrinkToFit="0" vertical="center" wrapText="0"/>
    </xf>
    <xf borderId="3" fillId="3" fontId="14" numFmtId="0" xfId="0" applyAlignment="1" applyBorder="1" applyFont="1">
      <alignment horizontal="center" shrinkToFit="0" vertical="center" wrapText="0"/>
    </xf>
    <xf borderId="2" fillId="0" fontId="5" numFmtId="0" xfId="0" applyAlignment="1" applyBorder="1" applyFont="1">
      <alignment shrinkToFit="0" vertical="bottom" wrapText="0"/>
    </xf>
    <xf borderId="3" fillId="8" fontId="15" numFmtId="0" xfId="0" applyAlignment="1" applyBorder="1" applyFont="1">
      <alignment horizontal="center" shrinkToFit="0" vertical="center" wrapText="0"/>
    </xf>
    <xf borderId="3" fillId="5" fontId="16" numFmtId="0" xfId="0" applyAlignment="1" applyBorder="1" applyFont="1">
      <alignment horizontal="center" shrinkToFit="0" vertical="center" wrapText="0"/>
    </xf>
    <xf borderId="3" fillId="7" fontId="17" numFmtId="0" xfId="0" applyAlignment="1" applyBorder="1" applyFont="1">
      <alignment horizontal="center" shrinkToFit="0" vertical="center" wrapText="0"/>
    </xf>
    <xf borderId="3" fillId="6" fontId="18" numFmtId="0" xfId="0" applyAlignment="1" applyBorder="1" applyFont="1">
      <alignment horizontal="center" shrinkToFit="0" vertical="center" wrapText="0"/>
    </xf>
    <xf borderId="3" fillId="4" fontId="19" numFmtId="0" xfId="0" applyAlignment="1" applyBorder="1" applyFont="1">
      <alignment horizontal="center" shrinkToFit="0" vertical="center" wrapText="0"/>
    </xf>
    <xf borderId="3" fillId="10" fontId="20" numFmtId="0" xfId="0" applyAlignment="1" applyBorder="1" applyFill="1" applyFont="1">
      <alignment horizontal="center" shrinkToFit="0" vertical="center" wrapText="0"/>
    </xf>
    <xf borderId="4" fillId="0" fontId="1" numFmtId="0" xfId="0" applyAlignment="1" applyBorder="1" applyFont="1">
      <alignment horizontal="left" shrinkToFit="0" vertical="center" wrapText="0"/>
    </xf>
    <xf borderId="4" fillId="0" fontId="5" numFmtId="0" xfId="0" applyAlignment="1" applyBorder="1" applyFont="1">
      <alignment shrinkToFit="0" vertical="bottom" wrapText="0"/>
    </xf>
    <xf borderId="0" fillId="0" fontId="2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13" numFmtId="0" xfId="0" applyAlignment="1" applyFont="1">
      <alignment horizontal="left" shrinkToFit="0" vertical="center" wrapText="0"/>
    </xf>
    <xf borderId="5" fillId="11" fontId="1" numFmtId="0" xfId="0" applyAlignment="1" applyBorder="1" applyFill="1" applyFont="1">
      <alignment horizontal="left" shrinkToFit="0" vertical="center" wrapText="0"/>
    </xf>
    <xf borderId="5" fillId="11" fontId="1" numFmtId="0" xfId="0" applyAlignment="1" applyBorder="1" applyFont="1">
      <alignment horizontal="right" shrinkToFit="0" vertical="center" wrapText="0"/>
    </xf>
    <xf borderId="3" fillId="12" fontId="22" numFmtId="0" xfId="0" applyAlignment="1" applyBorder="1" applyFill="1" applyFont="1">
      <alignment horizontal="left" shrinkToFit="0" vertical="center" wrapText="0"/>
    </xf>
    <xf borderId="3" fillId="12" fontId="23" numFmtId="164" xfId="0" applyAlignment="1" applyBorder="1" applyFont="1" applyNumberFormat="1">
      <alignment horizontal="right" shrinkToFit="0" vertical="center" wrapText="0"/>
    </xf>
    <xf borderId="3" fillId="12" fontId="24" numFmtId="166" xfId="0" applyAlignment="1" applyBorder="1" applyFont="1" applyNumberFormat="1">
      <alignment horizontal="right" shrinkToFit="0" vertical="center" wrapText="0"/>
    </xf>
    <xf borderId="3" fillId="12" fontId="25" numFmtId="167" xfId="0" applyAlignment="1" applyBorder="1" applyFont="1" applyNumberFormat="1">
      <alignment horizontal="right" shrinkToFit="0" vertical="center" wrapText="0"/>
    </xf>
    <xf borderId="3" fillId="12" fontId="23" numFmtId="3" xfId="0" applyAlignment="1" applyBorder="1" applyFont="1" applyNumberFormat="1">
      <alignment horizontal="right" shrinkToFit="0" vertical="center" wrapText="0"/>
    </xf>
    <xf borderId="3" fillId="12" fontId="13" numFmtId="165" xfId="0" applyAlignment="1" applyBorder="1" applyFont="1" applyNumberFormat="1">
      <alignment horizontal="right" shrinkToFit="0" vertical="center" wrapText="0"/>
    </xf>
    <xf borderId="3" fillId="4" fontId="26" numFmtId="0" xfId="0" applyAlignment="1" applyBorder="1" applyFont="1">
      <alignment horizontal="center" shrinkToFit="0" vertical="center" wrapText="0"/>
    </xf>
    <xf borderId="3" fillId="11" fontId="22" numFmtId="0" xfId="0" applyAlignment="1" applyBorder="1" applyFont="1">
      <alignment horizontal="left" shrinkToFit="0" vertical="center" wrapText="0"/>
    </xf>
    <xf borderId="3" fillId="11" fontId="23" numFmtId="164" xfId="0" applyAlignment="1" applyBorder="1" applyFont="1" applyNumberFormat="1">
      <alignment horizontal="right" shrinkToFit="0" vertical="center" wrapText="0"/>
    </xf>
    <xf borderId="3" fillId="11" fontId="24" numFmtId="166" xfId="0" applyAlignment="1" applyBorder="1" applyFont="1" applyNumberFormat="1">
      <alignment horizontal="right" shrinkToFit="0" vertical="center" wrapText="0"/>
    </xf>
    <xf borderId="3" fillId="11" fontId="25" numFmtId="167" xfId="0" applyAlignment="1" applyBorder="1" applyFont="1" applyNumberFormat="1">
      <alignment horizontal="right" shrinkToFit="0" vertical="center" wrapText="0"/>
    </xf>
    <xf borderId="3" fillId="11" fontId="23" numFmtId="3" xfId="0" applyAlignment="1" applyBorder="1" applyFont="1" applyNumberFormat="1">
      <alignment horizontal="right" shrinkToFit="0" vertical="center" wrapText="0"/>
    </xf>
    <xf borderId="3" fillId="11" fontId="13" numFmtId="165" xfId="0" applyAlignment="1" applyBorder="1" applyFont="1" applyNumberFormat="1">
      <alignment horizontal="right" shrinkToFit="0" vertical="center" wrapText="0"/>
    </xf>
    <xf borderId="3" fillId="12" fontId="27" numFmtId="166" xfId="0" applyAlignment="1" applyBorder="1" applyFont="1" applyNumberFormat="1">
      <alignment horizontal="right" shrinkToFit="0" vertical="center" wrapText="0"/>
    </xf>
    <xf borderId="3" fillId="12" fontId="28" numFmtId="167" xfId="0" applyAlignment="1" applyBorder="1" applyFont="1" applyNumberFormat="1">
      <alignment horizontal="right" shrinkToFit="0" vertical="center" wrapText="0"/>
    </xf>
    <xf borderId="3" fillId="6" fontId="29" numFmtId="0" xfId="0" applyAlignment="1" applyBorder="1" applyFont="1">
      <alignment horizontal="center" shrinkToFit="0" vertical="center" wrapText="0"/>
    </xf>
    <xf borderId="3" fillId="11" fontId="27" numFmtId="166" xfId="0" applyAlignment="1" applyBorder="1" applyFont="1" applyNumberFormat="1">
      <alignment horizontal="right" shrinkToFit="0" vertical="center" wrapText="0"/>
    </xf>
    <xf borderId="3" fillId="11" fontId="28" numFmtId="167" xfId="0" applyAlignment="1" applyBorder="1" applyFont="1" applyNumberFormat="1">
      <alignment horizontal="right" shrinkToFit="0" vertical="center" wrapText="0"/>
    </xf>
    <xf borderId="3" fillId="13" fontId="30" numFmtId="0" xfId="0" applyAlignment="1" applyBorder="1" applyFill="1" applyFont="1">
      <alignment horizontal="center" shrinkToFit="0" vertical="center" wrapText="0"/>
    </xf>
    <xf borderId="3" fillId="11" fontId="13" numFmtId="0" xfId="0" applyAlignment="1" applyBorder="1" applyFont="1">
      <alignment horizontal="right" shrinkToFit="0" vertical="center" wrapText="0"/>
    </xf>
    <xf borderId="3" fillId="12" fontId="13" numFmtId="0" xfId="0" applyAlignment="1" applyBorder="1" applyFont="1">
      <alignment horizontal="right" shrinkToFit="0" vertical="center" wrapText="0"/>
    </xf>
    <xf borderId="3" fillId="3" fontId="31" numFmtId="0" xfId="0" applyAlignment="1" applyBorder="1" applyFont="1">
      <alignment horizontal="center" shrinkToFit="0" vertical="center" wrapText="0"/>
    </xf>
    <xf borderId="3" fillId="11" fontId="28" numFmtId="0" xfId="0" applyAlignment="1" applyBorder="1" applyFont="1">
      <alignment horizontal="right" shrinkToFit="0" vertical="center" wrapText="0"/>
    </xf>
    <xf borderId="3" fillId="7" fontId="32" numFmtId="0" xfId="0" applyAlignment="1" applyBorder="1" applyFont="1">
      <alignment horizontal="center" shrinkToFit="0" vertical="center" wrapText="0"/>
    </xf>
    <xf borderId="3" fillId="11" fontId="25" numFmtId="0" xfId="0" applyAlignment="1" applyBorder="1" applyFont="1">
      <alignment horizontal="right" shrinkToFit="0" vertical="center" wrapText="0"/>
    </xf>
    <xf borderId="1" fillId="9" fontId="33" numFmtId="0" xfId="0" applyAlignment="1" applyBorder="1" applyFont="1">
      <alignment horizontal="left" shrinkToFit="0" vertical="center" wrapText="0"/>
    </xf>
    <xf borderId="1" fillId="9" fontId="33" numFmtId="164" xfId="0" applyAlignment="1" applyBorder="1" applyFont="1" applyNumberFormat="1">
      <alignment horizontal="right" shrinkToFit="0" vertical="center" wrapText="0"/>
    </xf>
    <xf borderId="1" fillId="9" fontId="33" numFmtId="166" xfId="0" applyAlignment="1" applyBorder="1" applyFont="1" applyNumberFormat="1">
      <alignment horizontal="right" shrinkToFit="0" vertical="center" wrapText="0"/>
    </xf>
    <xf borderId="1" fillId="9" fontId="33" numFmtId="167" xfId="0" applyAlignment="1" applyBorder="1" applyFont="1" applyNumberFormat="1">
      <alignment horizontal="right" shrinkToFit="0" vertical="center" wrapText="0"/>
    </xf>
    <xf borderId="1" fillId="9" fontId="33" numFmtId="3" xfId="0" applyAlignment="1" applyBorder="1" applyFont="1" applyNumberFormat="1">
      <alignment horizontal="right" shrinkToFit="0" vertical="center" wrapText="0"/>
    </xf>
    <xf borderId="1" fillId="9" fontId="33" numFmtId="165" xfId="0" applyAlignment="1" applyBorder="1" applyFont="1" applyNumberFormat="1">
      <alignment horizontal="right" shrinkToFit="0" vertical="center" wrapText="0"/>
    </xf>
    <xf borderId="3" fillId="12" fontId="23" numFmtId="165" xfId="0" applyAlignment="1" applyBorder="1" applyFont="1" applyNumberFormat="1">
      <alignment horizontal="right" shrinkToFit="0" vertical="center" wrapText="0"/>
    </xf>
    <xf borderId="3" fillId="12" fontId="23" numFmtId="168" xfId="0" applyAlignment="1" applyBorder="1" applyFont="1" applyNumberFormat="1">
      <alignment horizontal="right" shrinkToFit="0" vertical="center" wrapText="0"/>
    </xf>
    <xf borderId="3" fillId="11" fontId="23" numFmtId="165" xfId="0" applyAlignment="1" applyBorder="1" applyFont="1" applyNumberFormat="1">
      <alignment horizontal="right" shrinkToFit="0" vertical="center" wrapText="0"/>
    </xf>
    <xf borderId="3" fillId="11" fontId="23" numFmtId="168" xfId="0" applyAlignment="1" applyBorder="1" applyFont="1" applyNumberFormat="1">
      <alignment horizontal="right" shrinkToFit="0" vertical="center" wrapText="0"/>
    </xf>
    <xf borderId="3" fillId="11" fontId="28" numFmtId="49" xfId="0" applyAlignment="1" applyBorder="1" applyFont="1" applyNumberFormat="1">
      <alignment horizontal="right" shrinkToFit="0" vertical="center" wrapText="0"/>
    </xf>
    <xf borderId="1" fillId="9" fontId="33" numFmtId="0" xfId="0" applyAlignment="1" applyBorder="1" applyFont="1">
      <alignment horizontal="right" shrinkToFit="0" vertical="center" wrapText="0"/>
    </xf>
    <xf borderId="6" fillId="5" fontId="34" numFmtId="0" xfId="0" applyAlignment="1" applyBorder="1" applyFont="1">
      <alignment horizontal="left" shrinkToFit="0" vertical="center" wrapText="0"/>
    </xf>
    <xf borderId="7" fillId="0" fontId="35" numFmtId="0" xfId="0" applyBorder="1" applyFont="1"/>
    <xf borderId="8" fillId="0" fontId="35" numFmtId="0" xfId="0" applyBorder="1" applyFont="1"/>
    <xf borderId="9" fillId="13" fontId="28" numFmtId="0" xfId="0" applyAlignment="1" applyBorder="1" applyFont="1">
      <alignment horizontal="left" shrinkToFit="0" vertical="center" wrapText="0"/>
    </xf>
    <xf borderId="10" fillId="0" fontId="35" numFmtId="0" xfId="0" applyBorder="1" applyFont="1"/>
    <xf borderId="11" fillId="0" fontId="35" numFmtId="0" xfId="0" applyBorder="1" applyFont="1"/>
    <xf borderId="12" fillId="4" fontId="25" numFmtId="0" xfId="0" applyAlignment="1" applyBorder="1" applyFont="1">
      <alignment horizontal="left" shrinkToFit="0" vertical="center" wrapText="0"/>
    </xf>
    <xf borderId="13" fillId="0" fontId="35" numFmtId="0" xfId="0" applyBorder="1" applyFont="1"/>
    <xf borderId="14" fillId="0" fontId="35" numFmtId="0" xfId="0" applyBorder="1" applyFont="1"/>
    <xf borderId="15" fillId="7" fontId="36" numFmtId="0" xfId="0" applyAlignment="1" applyBorder="1" applyFont="1">
      <alignment horizontal="left" shrinkToFit="0" vertical="center" wrapText="0"/>
    </xf>
    <xf borderId="16" fillId="0" fontId="35" numFmtId="0" xfId="0" applyBorder="1" applyFont="1"/>
    <xf borderId="17" fillId="0" fontId="35" numFmtId="0" xfId="0" applyBorder="1" applyFont="1"/>
    <xf borderId="18" fillId="10" fontId="37" numFmtId="0" xfId="0" applyAlignment="1" applyBorder="1" applyFont="1">
      <alignment horizontal="left" shrinkToFit="0" vertical="center" wrapText="0"/>
    </xf>
    <xf borderId="19" fillId="0" fontId="35" numFmtId="0" xfId="0" applyBorder="1" applyFont="1"/>
    <xf borderId="20" fillId="0" fontId="35" numFmtId="0" xfId="0" applyBorder="1" applyFont="1"/>
    <xf borderId="3" fillId="7" fontId="38" numFmtId="0" xfId="0" applyAlignment="1" applyBorder="1" applyFont="1">
      <alignment horizontal="left" shrinkToFit="0" vertical="center" wrapText="0"/>
    </xf>
    <xf borderId="3" fillId="12" fontId="39" numFmtId="164" xfId="0" applyAlignment="1" applyBorder="1" applyFont="1" applyNumberFormat="1">
      <alignment horizontal="right" shrinkToFit="0" vertical="center" wrapText="0"/>
    </xf>
    <xf borderId="3" fillId="12" fontId="40" numFmtId="0" xfId="0" applyAlignment="1" applyBorder="1" applyFont="1">
      <alignment horizontal="left" shrinkToFit="0" vertical="center" wrapText="0"/>
    </xf>
    <xf borderId="3" fillId="5" fontId="41" numFmtId="0" xfId="0" applyAlignment="1" applyBorder="1" applyFont="1">
      <alignment horizontal="left" shrinkToFit="0" vertical="center" wrapText="0"/>
    </xf>
    <xf borderId="3" fillId="11" fontId="39" numFmtId="164" xfId="0" applyAlignment="1" applyBorder="1" applyFont="1" applyNumberFormat="1">
      <alignment horizontal="right" shrinkToFit="0" vertical="center" wrapText="0"/>
    </xf>
    <xf borderId="3" fillId="11" fontId="40" numFmtId="0" xfId="0" applyAlignment="1" applyBorder="1" applyFont="1">
      <alignment horizontal="left" shrinkToFit="0" vertical="center" wrapText="0"/>
    </xf>
    <xf borderId="3" fillId="3" fontId="42" numFmtId="0" xfId="0" applyAlignment="1" applyBorder="1" applyFont="1">
      <alignment horizontal="left" shrinkToFit="0" vertical="center" wrapText="0"/>
    </xf>
    <xf borderId="1" fillId="9" fontId="43" numFmtId="164" xfId="0" applyAlignment="1" applyBorder="1" applyFont="1" applyNumberFormat="1">
      <alignment horizontal="right" shrinkToFit="0" vertical="center" wrapText="0"/>
    </xf>
    <xf borderId="1" fillId="9" fontId="33" numFmtId="168" xfId="0" applyAlignment="1" applyBorder="1" applyFont="1" applyNumberFormat="1">
      <alignment horizontal="right" shrinkToFit="0" vertical="center" wrapText="0"/>
    </xf>
    <xf borderId="0" fillId="0" fontId="40" numFmtId="0" xfId="0" applyAlignment="1" applyFont="1">
      <alignment horizontal="left" shrinkToFit="0" vertical="center" wrapText="0"/>
    </xf>
    <xf borderId="3" fillId="12" fontId="33" numFmtId="0" xfId="0" applyAlignment="1" applyBorder="1" applyFont="1">
      <alignment horizontal="left" shrinkToFit="0" vertical="center" wrapText="0"/>
    </xf>
    <xf borderId="3" fillId="12" fontId="33" numFmtId="164" xfId="0" applyAlignment="1" applyBorder="1" applyFont="1" applyNumberFormat="1">
      <alignment horizontal="right" shrinkToFit="0" vertical="center" wrapText="0"/>
    </xf>
    <xf borderId="3" fillId="12" fontId="44" numFmtId="168" xfId="0" applyAlignment="1" applyBorder="1" applyFont="1" applyNumberFormat="1">
      <alignment horizontal="right" shrinkToFit="0" vertical="center" wrapText="0"/>
    </xf>
    <xf borderId="3" fillId="11" fontId="33" numFmtId="0" xfId="0" applyAlignment="1" applyBorder="1" applyFont="1">
      <alignment horizontal="left" shrinkToFit="0" vertical="center" wrapText="0"/>
    </xf>
    <xf borderId="3" fillId="11" fontId="33" numFmtId="164" xfId="0" applyAlignment="1" applyBorder="1" applyFont="1" applyNumberFormat="1">
      <alignment horizontal="right" shrinkToFit="0" vertical="center" wrapText="0"/>
    </xf>
    <xf borderId="3" fillId="11" fontId="44" numFmtId="168" xfId="0" applyAlignment="1" applyBorder="1" applyFont="1" applyNumberFormat="1">
      <alignment horizontal="right" shrinkToFit="0" vertical="center" wrapText="0"/>
    </xf>
    <xf borderId="3" fillId="12" fontId="24" numFmtId="164" xfId="0" applyAlignment="1" applyBorder="1" applyFont="1" applyNumberFormat="1">
      <alignment horizontal="right" shrinkToFit="0" vertical="center" wrapText="0"/>
    </xf>
    <xf borderId="3" fillId="12" fontId="23" numFmtId="0" xfId="0" applyAlignment="1" applyBorder="1" applyFont="1">
      <alignment horizontal="left" shrinkToFit="0" vertical="center" wrapText="0"/>
    </xf>
    <xf borderId="3" fillId="12" fontId="13" numFmtId="168" xfId="0" applyAlignment="1" applyBorder="1" applyFont="1" applyNumberFormat="1">
      <alignment horizontal="right" shrinkToFit="0" vertical="center" wrapText="0"/>
    </xf>
    <xf borderId="3" fillId="11" fontId="23" numFmtId="0" xfId="0" applyAlignment="1" applyBorder="1" applyFont="1">
      <alignment horizontal="left" shrinkToFit="0" vertical="center" wrapText="0"/>
    </xf>
    <xf borderId="3" fillId="11" fontId="13" numFmtId="168" xfId="0" applyAlignment="1" applyBorder="1" applyFont="1" applyNumberFormat="1">
      <alignment horizontal="right" shrinkToFit="0" vertical="center" wrapText="0"/>
    </xf>
    <xf borderId="5" fillId="11" fontId="1" numFmtId="0" xfId="0" applyAlignment="1" applyBorder="1" applyFont="1">
      <alignment horizontal="center" shrinkToFit="0" vertical="center" wrapText="0"/>
    </xf>
    <xf borderId="3" fillId="8" fontId="45" numFmtId="0" xfId="0" applyAlignment="1" applyBorder="1" applyFont="1">
      <alignment horizontal="left" shrinkToFit="0" vertical="center" wrapText="0"/>
    </xf>
    <xf borderId="3" fillId="12" fontId="33" numFmtId="0" xfId="0" applyAlignment="1" applyBorder="1" applyFont="1">
      <alignment horizontal="center" shrinkToFit="0" vertical="center" wrapText="0"/>
    </xf>
    <xf borderId="3" fillId="12" fontId="23" numFmtId="1" xfId="0" applyAlignment="1" applyBorder="1" applyFont="1" applyNumberFormat="1">
      <alignment horizontal="center" shrinkToFit="0" vertical="center" wrapText="0"/>
    </xf>
    <xf borderId="3" fillId="6" fontId="46" numFmtId="0" xfId="0" applyAlignment="1" applyBorder="1" applyFont="1">
      <alignment horizontal="left" shrinkToFit="0" vertical="center" wrapText="0"/>
    </xf>
    <xf borderId="3" fillId="11" fontId="33" numFmtId="0" xfId="0" applyAlignment="1" applyBorder="1" applyFont="1">
      <alignment horizontal="center" shrinkToFit="0" vertical="center" wrapText="0"/>
    </xf>
    <xf borderId="3" fillId="11" fontId="23" numFmtId="1" xfId="0" applyAlignment="1" applyBorder="1" applyFont="1" applyNumberFormat="1">
      <alignment horizontal="center" shrinkToFit="0" vertical="center" wrapText="0"/>
    </xf>
    <xf borderId="1" fillId="9" fontId="39" numFmtId="1" xfId="0" applyAlignment="1" applyBorder="1" applyFont="1" applyNumberFormat="1">
      <alignment horizontal="center" shrinkToFit="0" vertical="center" wrapText="0"/>
    </xf>
    <xf borderId="3" fillId="7" fontId="38" numFmtId="0" xfId="0" applyAlignment="1" applyBorder="1" applyFont="1">
      <alignment horizontal="center" shrinkToFit="0" vertical="center" wrapText="0"/>
    </xf>
    <xf borderId="3" fillId="5" fontId="41" numFmtId="0" xfId="0" applyAlignment="1" applyBorder="1" applyFont="1">
      <alignment horizontal="center" shrinkToFit="0" vertical="center" wrapText="0"/>
    </xf>
    <xf borderId="3" fillId="6" fontId="46" numFmtId="0" xfId="0" applyAlignment="1" applyBorder="1" applyFont="1">
      <alignment horizontal="center" shrinkToFit="0" vertical="center" wrapText="0"/>
    </xf>
    <xf borderId="3" fillId="3" fontId="42" numFmtId="0" xfId="0" applyAlignment="1" applyBorder="1" applyFont="1">
      <alignment horizontal="center" shrinkToFit="0" vertical="center" wrapText="0"/>
    </xf>
    <xf borderId="3" fillId="4" fontId="24" numFmtId="0" xfId="0" applyAlignment="1" applyBorder="1" applyFont="1">
      <alignment horizontal="center" shrinkToFit="0" vertical="center" wrapText="0"/>
    </xf>
    <xf borderId="3" fillId="8" fontId="45" numFmtId="0" xfId="0" applyAlignment="1" applyBorder="1" applyFont="1">
      <alignment horizontal="center" shrinkToFit="0" vertical="center" wrapText="0"/>
    </xf>
    <xf borderId="1" fillId="13" fontId="5" numFmtId="0" xfId="0" applyAlignment="1" applyBorder="1" applyFont="1">
      <alignment shrinkToFit="0" vertical="bottom" wrapText="0"/>
    </xf>
    <xf borderId="1" fillId="9" fontId="30" numFmtId="0" xfId="0" applyAlignment="1" applyBorder="1" applyFont="1">
      <alignment horizontal="left" shrinkToFit="0" vertical="center" wrapText="0"/>
    </xf>
    <xf borderId="1" fillId="9" fontId="43" numFmtId="0" xfId="0" applyAlignment="1" applyBorder="1" applyFont="1">
      <alignment horizontal="left" shrinkToFit="0" vertical="center" wrapText="0"/>
    </xf>
    <xf borderId="21" fillId="9" fontId="23" numFmtId="0" xfId="0" applyAlignment="1" applyBorder="1" applyFont="1">
      <alignment horizontal="left" shrinkToFit="0" vertical="top" wrapText="1"/>
    </xf>
    <xf borderId="22" fillId="0" fontId="35" numFmtId="0" xfId="0" applyBorder="1" applyFont="1"/>
    <xf borderId="1" fillId="9" fontId="29" numFmtId="0" xfId="0" applyAlignment="1" applyBorder="1" applyFont="1">
      <alignment horizontal="left" shrinkToFit="0" vertical="center" wrapText="0"/>
    </xf>
    <xf borderId="1" fillId="9" fontId="26" numFmtId="0" xfId="0" applyAlignment="1" applyBorder="1" applyFont="1">
      <alignment horizontal="left" shrinkToFit="0" vertical="center" wrapText="0"/>
    </xf>
    <xf borderId="1" fillId="9" fontId="47" numFmtId="0" xfId="0" applyAlignment="1" applyBorder="1" applyFont="1">
      <alignment horizontal="left" shrinkToFit="0" vertical="center" wrapText="0"/>
    </xf>
    <xf borderId="1" fillId="9" fontId="32" numFmtId="0" xfId="0" applyAlignment="1" applyBorder="1" applyFont="1">
      <alignment horizontal="left" shrinkToFit="0" vertical="center" wrapText="0"/>
    </xf>
    <xf borderId="3" fillId="12" fontId="23" numFmtId="169" xfId="0" applyAlignment="1" applyBorder="1" applyFont="1" applyNumberFormat="1">
      <alignment horizontal="right" shrinkToFit="0" vertical="center" wrapText="0"/>
    </xf>
    <xf borderId="3" fillId="12" fontId="23" numFmtId="2" xfId="0" applyAlignment="1" applyBorder="1" applyFont="1" applyNumberFormat="1">
      <alignment horizontal="right" shrinkToFit="0" vertical="center" wrapText="0"/>
    </xf>
    <xf borderId="3" fillId="11" fontId="23" numFmtId="169" xfId="0" applyAlignment="1" applyBorder="1" applyFont="1" applyNumberFormat="1">
      <alignment horizontal="right" shrinkToFit="0" vertical="center" wrapText="0"/>
    </xf>
    <xf borderId="3" fillId="11" fontId="23" numFmtId="2" xfId="0" applyAlignment="1" applyBorder="1" applyFont="1" applyNumberFormat="1">
      <alignment horizontal="right" shrinkToFit="0" vertical="center" wrapText="0"/>
    </xf>
    <xf borderId="1" fillId="9" fontId="33" numFmtId="169" xfId="0" applyAlignment="1" applyBorder="1" applyFont="1" applyNumberFormat="1">
      <alignment horizontal="right" shrinkToFit="0" vertical="center" wrapText="0"/>
    </xf>
    <xf borderId="1" fillId="9" fontId="33" numFmtId="2" xfId="0" applyAlignment="1" applyBorder="1" applyFont="1" applyNumberFormat="1">
      <alignment horizontal="right" shrinkToFit="0" vertical="center" wrapText="0"/>
    </xf>
    <xf borderId="23" fillId="3" fontId="42" numFmtId="0" xfId="0" applyAlignment="1" applyBorder="1" applyFont="1">
      <alignment horizontal="center" shrinkToFit="0" vertical="center" wrapText="0"/>
    </xf>
    <xf borderId="24" fillId="0" fontId="35" numFmtId="0" xfId="0" applyBorder="1" applyFont="1"/>
    <xf borderId="23" fillId="5" fontId="41" numFmtId="169" xfId="0" applyAlignment="1" applyBorder="1" applyFont="1" applyNumberFormat="1">
      <alignment horizontal="center" shrinkToFit="0" vertical="center" wrapText="0"/>
    </xf>
    <xf borderId="23" fillId="5" fontId="41" numFmtId="1" xfId="0" applyAlignment="1" applyBorder="1" applyFont="1" applyNumberFormat="1">
      <alignment horizontal="center" shrinkToFit="0" vertical="center" wrapText="0"/>
    </xf>
    <xf borderId="23" fillId="7" fontId="38" numFmtId="3" xfId="0" applyAlignment="1" applyBorder="1" applyFont="1" applyNumberFormat="1">
      <alignment horizontal="center" shrinkToFit="0" vertical="center" wrapText="0"/>
    </xf>
    <xf borderId="23" fillId="4" fontId="24" numFmtId="164" xfId="0" applyAlignment="1" applyBorder="1" applyFont="1" applyNumberFormat="1">
      <alignment horizontal="center" shrinkToFit="0" vertical="center" wrapText="0"/>
    </xf>
    <xf borderId="23" fillId="6" fontId="46" numFmtId="3" xfId="0" applyAlignment="1" applyBorder="1" applyFont="1" applyNumberFormat="1">
      <alignment horizontal="center" shrinkToFit="0" vertical="center" wrapText="0"/>
    </xf>
    <xf borderId="23" fillId="6" fontId="46" numFmtId="1" xfId="0" applyAlignment="1" applyBorder="1" applyFont="1" applyNumberFormat="1">
      <alignment horizontal="center" shrinkToFit="0" vertical="center" wrapText="0"/>
    </xf>
    <xf borderId="23" fillId="8" fontId="45" numFmtId="170" xfId="0" applyAlignment="1" applyBorder="1" applyFont="1" applyNumberFormat="1">
      <alignment horizontal="center" shrinkToFit="0" vertical="center" wrapText="0"/>
    </xf>
    <xf borderId="23" fillId="7" fontId="38" numFmtId="0" xfId="0" applyAlignment="1" applyBorder="1" applyFont="1">
      <alignment horizontal="center" shrinkToFit="0" vertical="center" wrapText="0"/>
    </xf>
    <xf borderId="23" fillId="5" fontId="41" numFmtId="0" xfId="0" applyAlignment="1" applyBorder="1" applyFont="1">
      <alignment horizontal="center" shrinkToFit="0" vertical="center" wrapText="0"/>
    </xf>
    <xf borderId="23" fillId="6" fontId="46" numFmtId="0" xfId="0" applyAlignment="1" applyBorder="1" applyFont="1">
      <alignment horizontal="center" shrinkToFit="0" vertical="center" wrapText="0"/>
    </xf>
    <xf borderId="23" fillId="4" fontId="24" numFmtId="165" xfId="0" applyAlignment="1" applyBorder="1" applyFont="1" applyNumberFormat="1">
      <alignment horizontal="center" shrinkToFit="0" vertical="center" wrapText="0"/>
    </xf>
    <xf borderId="23" fillId="8" fontId="45" numFmtId="168" xfId="0" applyAlignment="1" applyBorder="1" applyFont="1" applyNumberFormat="1">
      <alignment horizontal="center" shrinkToFit="0" vertical="center" wrapText="0"/>
    </xf>
    <xf borderId="3" fillId="12" fontId="48" numFmtId="0" xfId="0" applyAlignment="1" applyBorder="1" applyFont="1">
      <alignment horizontal="left" shrinkToFit="0" vertical="center" wrapText="0"/>
    </xf>
    <xf borderId="3" fillId="12" fontId="33" numFmtId="0" xfId="0" applyAlignment="1" applyBorder="1" applyFont="1">
      <alignment horizontal="right" shrinkToFit="0" vertical="center" wrapText="0"/>
    </xf>
    <xf borderId="3" fillId="11" fontId="48" numFmtId="0" xfId="0" applyAlignment="1" applyBorder="1" applyFont="1">
      <alignment horizontal="left" shrinkToFit="0" vertical="center" wrapText="0"/>
    </xf>
    <xf borderId="3" fillId="11" fontId="33" numFmtId="1" xfId="0" applyAlignment="1" applyBorder="1" applyFont="1" applyNumberFormat="1">
      <alignment horizontal="right" shrinkToFit="0" vertical="center" wrapText="0"/>
    </xf>
    <xf borderId="3" fillId="12" fontId="33" numFmtId="3" xfId="0" applyAlignment="1" applyBorder="1" applyFont="1" applyNumberFormat="1">
      <alignment horizontal="right" shrinkToFit="0" vertical="center" wrapText="0"/>
    </xf>
    <xf borderId="3" fillId="11" fontId="33" numFmtId="2" xfId="0" applyAlignment="1" applyBorder="1" applyFont="1" applyNumberFormat="1">
      <alignment horizontal="right" shrinkToFit="0" vertical="center" wrapText="0"/>
    </xf>
    <xf borderId="3" fillId="12" fontId="33" numFmtId="171" xfId="0" applyAlignment="1" applyBorder="1" applyFont="1" applyNumberFormat="1">
      <alignment horizontal="right" shrinkToFit="0" vertical="center" wrapText="0"/>
    </xf>
    <xf borderId="3" fillId="12" fontId="33" numFmtId="168" xfId="0" applyAlignment="1" applyBorder="1" applyFont="1" applyNumberFormat="1">
      <alignment horizontal="right" shrinkToFit="0" vertical="center" wrapText="0"/>
    </xf>
    <xf borderId="3" fillId="11" fontId="33" numFmtId="168" xfId="0" applyAlignment="1" applyBorder="1" applyFont="1" applyNumberFormat="1">
      <alignment horizontal="right" shrinkToFit="0" vertical="center" wrapText="0"/>
    </xf>
    <xf borderId="3" fillId="11" fontId="33" numFmtId="169" xfId="0" applyAlignment="1" applyBorder="1" applyFont="1" applyNumberFormat="1">
      <alignment horizontal="right" shrinkToFit="0" vertical="center" wrapText="0"/>
    </xf>
    <xf borderId="3" fillId="12" fontId="33" numFmtId="2" xfId="0" applyAlignment="1" applyBorder="1" applyFont="1" applyNumberFormat="1">
      <alignment horizontal="right" shrinkToFit="0" vertical="center" wrapText="0"/>
    </xf>
    <xf borderId="3" fillId="11" fontId="33" numFmtId="172" xfId="0" applyAlignment="1" applyBorder="1" applyFont="1" applyNumberFormat="1">
      <alignment horizontal="right" shrinkToFit="0" vertical="center" wrapText="0"/>
    </xf>
    <xf borderId="3" fillId="12" fontId="33" numFmtId="172" xfId="0" applyAlignment="1" applyBorder="1" applyFont="1" applyNumberFormat="1">
      <alignment horizontal="right" shrinkToFit="0" vertical="center" wrapText="0"/>
    </xf>
    <xf borderId="3" fillId="11" fontId="33" numFmtId="173" xfId="0" applyAlignment="1" applyBorder="1" applyFont="1" applyNumberFormat="1">
      <alignment horizontal="right" shrinkToFit="0" vertical="center" wrapText="0"/>
    </xf>
    <xf borderId="3" fillId="12" fontId="33" numFmtId="165" xfId="0" applyAlignment="1" applyBorder="1" applyFont="1" applyNumberFormat="1">
      <alignment horizontal="right" shrinkToFit="0" vertical="center" wrapText="0"/>
    </xf>
    <xf borderId="3" fillId="11" fontId="33" numFmtId="165" xfId="0" applyAlignment="1" applyBorder="1" applyFont="1" applyNumberFormat="1">
      <alignment horizontal="right" shrinkToFit="0" vertical="center" wrapText="0"/>
    </xf>
    <xf borderId="3" fillId="12" fontId="33" numFmtId="1" xfId="0" applyAlignment="1" applyBorder="1" applyFont="1" applyNumberFormat="1">
      <alignment horizontal="right" shrinkToFit="0" vertical="center" wrapText="0"/>
    </xf>
    <xf borderId="3" fillId="8" fontId="49" numFmtId="0" xfId="0" applyAlignment="1" applyBorder="1" applyFont="1">
      <alignment horizontal="center" shrinkToFit="0" vertical="center" wrapText="0"/>
    </xf>
    <xf borderId="3" fillId="11" fontId="33" numFmtId="174" xfId="0" applyAlignment="1" applyBorder="1" applyFont="1" applyNumberFormat="1">
      <alignment horizontal="right" shrinkToFit="0" vertical="center" wrapText="0"/>
    </xf>
    <xf borderId="3" fillId="12" fontId="33" numFmtId="169" xfId="0" applyAlignment="1" applyBorder="1" applyFont="1" applyNumberFormat="1">
      <alignment horizontal="right" shrinkToFit="0" vertical="center" wrapText="0"/>
    </xf>
    <xf borderId="3" fillId="5" fontId="47" numFmtId="0" xfId="0" applyAlignment="1" applyBorder="1" applyFont="1">
      <alignment horizontal="center" shrinkToFit="0" vertical="center" wrapText="0"/>
    </xf>
    <xf borderId="3" fillId="10" fontId="50" numFmtId="0" xfId="0" applyAlignment="1" applyBorder="1" applyFont="1">
      <alignment horizontal="center" shrinkToFit="0" vertical="center" wrapText="0"/>
    </xf>
    <xf borderId="3" fillId="11" fontId="33" numFmtId="0" xfId="0" applyAlignment="1" applyBorder="1" applyFont="1">
      <alignment horizontal="right" shrinkToFit="0" vertical="center" wrapText="0"/>
    </xf>
    <xf borderId="3" fillId="11" fontId="33" numFmtId="175" xfId="0" applyAlignment="1" applyBorder="1" applyFont="1" applyNumberFormat="1">
      <alignment horizontal="right" shrinkToFit="0" vertical="center" wrapText="0"/>
    </xf>
    <xf borderId="3" fillId="14" fontId="51" numFmtId="0" xfId="0" applyAlignment="1" applyBorder="1" applyFill="1" applyFont="1">
      <alignment horizontal="center" shrinkToFit="0" vertical="center" wrapText="0"/>
    </xf>
    <xf borderId="3" fillId="12" fontId="33" numFmtId="166" xfId="0" applyAlignment="1" applyBorder="1" applyFont="1" applyNumberFormat="1">
      <alignment horizontal="right" shrinkToFit="0" vertical="center" wrapText="0"/>
    </xf>
    <xf borderId="3" fillId="12" fontId="33" numFmtId="176" xfId="0" applyAlignment="1" applyBorder="1" applyFont="1" applyNumberFormat="1">
      <alignment horizontal="right" shrinkToFit="0" vertical="center" wrapText="0"/>
    </xf>
    <xf borderId="0" fillId="0" fontId="52" numFmtId="0" xfId="0" applyAlignment="1" applyFont="1">
      <alignment horizontal="center"/>
    </xf>
    <xf borderId="3" fillId="12" fontId="53" numFmtId="0" xfId="0" applyAlignment="1" applyBorder="1" applyFont="1">
      <alignment horizontal="left" shrinkToFit="0" vertical="center" wrapText="0"/>
    </xf>
    <xf borderId="3" fillId="12" fontId="54" numFmtId="0" xfId="0" applyAlignment="1" applyBorder="1" applyFont="1">
      <alignment horizontal="left" shrinkToFit="0" vertical="center" wrapText="0"/>
    </xf>
    <xf borderId="3" fillId="12" fontId="55" numFmtId="177" xfId="0" applyAlignment="1" applyBorder="1" applyFont="1" applyNumberFormat="1">
      <alignment horizontal="right" shrinkToFit="0" vertical="center" wrapText="0"/>
    </xf>
    <xf borderId="3" fillId="12" fontId="56" numFmtId="177" xfId="0" applyAlignment="1" applyBorder="1" applyFont="1" applyNumberFormat="1">
      <alignment horizontal="right" shrinkToFit="0" vertical="center" wrapText="0"/>
    </xf>
    <xf borderId="3" fillId="12" fontId="55" numFmtId="168" xfId="0" applyAlignment="1" applyBorder="1" applyFont="1" applyNumberFormat="1">
      <alignment horizontal="right" shrinkToFit="0" vertical="center" wrapText="0"/>
    </xf>
    <xf borderId="3" fillId="12" fontId="55" numFmtId="164" xfId="0" applyAlignment="1" applyBorder="1" applyFont="1" applyNumberFormat="1">
      <alignment horizontal="right" shrinkToFit="0" vertical="center" wrapText="0"/>
    </xf>
    <xf borderId="3" fillId="12" fontId="55" numFmtId="165" xfId="0" applyAlignment="1" applyBorder="1" applyFont="1" applyNumberFormat="1">
      <alignment horizontal="right" shrinkToFit="0" vertical="center" wrapText="0"/>
    </xf>
    <xf borderId="3" fillId="12" fontId="4" numFmtId="1" xfId="0" applyAlignment="1" applyBorder="1" applyFont="1" applyNumberFormat="1">
      <alignment horizontal="center" shrinkToFit="0" vertical="center" wrapText="0"/>
    </xf>
    <xf borderId="3" fillId="11" fontId="53" numFmtId="0" xfId="0" applyAlignment="1" applyBorder="1" applyFont="1">
      <alignment horizontal="left" shrinkToFit="0" vertical="center" wrapText="0"/>
    </xf>
    <xf borderId="3" fillId="11" fontId="54" numFmtId="0" xfId="0" applyAlignment="1" applyBorder="1" applyFont="1">
      <alignment horizontal="left" shrinkToFit="0" vertical="center" wrapText="0"/>
    </xf>
    <xf borderId="3" fillId="11" fontId="55" numFmtId="177" xfId="0" applyAlignment="1" applyBorder="1" applyFont="1" applyNumberFormat="1">
      <alignment horizontal="right" shrinkToFit="0" vertical="center" wrapText="0"/>
    </xf>
    <xf borderId="3" fillId="11" fontId="56" numFmtId="177" xfId="0" applyAlignment="1" applyBorder="1" applyFont="1" applyNumberFormat="1">
      <alignment horizontal="right" shrinkToFit="0" vertical="center" wrapText="0"/>
    </xf>
    <xf borderId="3" fillId="11" fontId="57" numFmtId="168" xfId="0" applyAlignment="1" applyBorder="1" applyFont="1" applyNumberFormat="1">
      <alignment horizontal="right" shrinkToFit="0" vertical="center" wrapText="0"/>
    </xf>
    <xf borderId="3" fillId="11" fontId="55" numFmtId="164" xfId="0" applyAlignment="1" applyBorder="1" applyFont="1" applyNumberFormat="1">
      <alignment horizontal="right" shrinkToFit="0" vertical="center" wrapText="0"/>
    </xf>
    <xf borderId="3" fillId="11" fontId="55" numFmtId="165" xfId="0" applyAlignment="1" applyBorder="1" applyFont="1" applyNumberFormat="1">
      <alignment horizontal="right" shrinkToFit="0" vertical="center" wrapText="0"/>
    </xf>
    <xf borderId="3" fillId="11" fontId="4" numFmtId="1" xfId="0" applyAlignment="1" applyBorder="1" applyFont="1" applyNumberFormat="1">
      <alignment horizontal="center" shrinkToFit="0" vertical="center" wrapText="0"/>
    </xf>
    <xf borderId="3" fillId="12" fontId="57" numFmtId="168" xfId="0" applyAlignment="1" applyBorder="1" applyFont="1" applyNumberFormat="1">
      <alignment horizontal="right" shrinkToFit="0" vertical="center" wrapText="0"/>
    </xf>
    <xf borderId="3" fillId="11" fontId="58" numFmtId="168" xfId="0" applyAlignment="1" applyBorder="1" applyFont="1" applyNumberFormat="1">
      <alignment horizontal="right" shrinkToFit="0" vertical="center" wrapText="0"/>
    </xf>
    <xf borderId="3" fillId="11" fontId="55" numFmtId="168" xfId="0" applyAlignment="1" applyBorder="1" applyFont="1" applyNumberFormat="1">
      <alignment horizontal="right" shrinkToFit="0" vertical="center" wrapText="0"/>
    </xf>
    <xf borderId="3" fillId="12" fontId="58" numFmtId="168" xfId="0" applyAlignment="1" applyBorder="1" applyFont="1" applyNumberFormat="1">
      <alignment horizontal="right" shrinkToFit="0" vertical="center" wrapText="0"/>
    </xf>
    <xf borderId="1" fillId="9" fontId="4" numFmtId="0" xfId="0" applyAlignment="1" applyBorder="1" applyFont="1">
      <alignment horizontal="left" shrinkToFit="0" vertical="center" wrapText="0"/>
    </xf>
    <xf borderId="1" fillId="9" fontId="33" numFmtId="177" xfId="0" applyAlignment="1" applyBorder="1" applyFont="1" applyNumberFormat="1">
      <alignment horizontal="right" shrinkToFit="0" vertical="center" wrapText="0"/>
    </xf>
    <xf borderId="1" fillId="9" fontId="5" numFmtId="0" xfId="0" applyAlignment="1" applyBorder="1" applyFont="1">
      <alignment horizontal="center" shrinkToFit="0" vertical="bottom" wrapText="0"/>
    </xf>
    <xf borderId="25" fillId="6" fontId="59" numFmtId="0" xfId="0" applyAlignment="1" applyBorder="1" applyFont="1">
      <alignment horizontal="left" shrinkToFit="0" vertical="center" wrapText="0"/>
    </xf>
    <xf borderId="26" fillId="0" fontId="35" numFmtId="0" xfId="0" applyBorder="1" applyFont="1"/>
    <xf borderId="27" fillId="0" fontId="35" numFmtId="0" xfId="0" applyBorder="1" applyFont="1"/>
    <xf borderId="28" fillId="3" fontId="60" numFmtId="0" xfId="0" applyAlignment="1" applyBorder="1" applyFont="1">
      <alignment horizontal="left" shrinkToFit="0" vertical="center" wrapText="0"/>
    </xf>
    <xf borderId="29" fillId="0" fontId="35" numFmtId="0" xfId="0" applyBorder="1" applyFont="1"/>
    <xf borderId="30" fillId="0" fontId="35" numFmtId="0" xfId="0" applyBorder="1" applyFont="1"/>
    <xf borderId="31" fillId="8" fontId="61" numFmtId="0" xfId="0" applyAlignment="1" applyBorder="1" applyFont="1">
      <alignment horizontal="left" shrinkToFit="0" vertical="center" wrapText="0"/>
    </xf>
    <xf borderId="32" fillId="0" fontId="35" numFmtId="0" xfId="0" applyBorder="1" applyFont="1"/>
    <xf borderId="33" fillId="0" fontId="35" numFmtId="0" xfId="0" applyBorder="1" applyFont="1"/>
    <xf borderId="4" fillId="0" fontId="5" numFmtId="0" xfId="0" applyAlignment="1" applyBorder="1" applyFont="1">
      <alignment horizontal="center" shrinkToFit="0" vertical="bottom" wrapText="0"/>
    </xf>
    <xf borderId="21" fillId="9" fontId="43" numFmtId="0" xfId="0" applyAlignment="1" applyBorder="1" applyFont="1">
      <alignment horizontal="left" shrinkToFit="0" vertical="center" wrapText="0"/>
    </xf>
    <xf borderId="34" fillId="0" fontId="35" numFmtId="0" xfId="0" applyBorder="1" applyFont="1"/>
    <xf borderId="3" fillId="11" fontId="33" numFmtId="166" xfId="0" applyAlignment="1" applyBorder="1" applyFont="1" applyNumberFormat="1">
      <alignment horizontal="right" shrinkToFit="0" vertical="center" wrapText="0"/>
    </xf>
    <xf borderId="3" fillId="11" fontId="33" numFmtId="178" xfId="0" applyAlignment="1" applyBorder="1" applyFont="1" applyNumberFormat="1">
      <alignment horizontal="right" shrinkToFit="0" vertical="center" wrapText="0"/>
    </xf>
    <xf borderId="3" fillId="12" fontId="33" numFmtId="178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8.0"/>
    <col customWidth="1" min="3" max="7" width="22.0"/>
    <col customWidth="1" min="8" max="26" width="8.71"/>
  </cols>
  <sheetData>
    <row r="1" ht="13.5" customHeight="1"/>
    <row r="2" ht="7.5" customHeight="1"/>
    <row r="3" ht="37.5" customHeight="1">
      <c r="B3" s="1" t="s">
        <v>0</v>
      </c>
    </row>
    <row r="4" ht="54.75" customHeight="1">
      <c r="B4" s="2" t="s">
        <v>1</v>
      </c>
    </row>
    <row r="5" ht="18.0" customHeight="1">
      <c r="B5" s="3" t="s">
        <v>2</v>
      </c>
    </row>
    <row r="6" ht="19.5" customHeight="1">
      <c r="B6" s="4" t="s">
        <v>3</v>
      </c>
    </row>
    <row r="7" ht="1.5" customHeight="1">
      <c r="B7" s="5"/>
      <c r="C7" s="5"/>
      <c r="D7" s="5"/>
      <c r="E7" s="5"/>
      <c r="F7" s="5"/>
      <c r="G7" s="5"/>
    </row>
    <row r="8" ht="18.0" customHeight="1"/>
    <row r="9" ht="3.75" customHeight="1">
      <c r="B9" s="6"/>
      <c r="C9" s="7"/>
      <c r="D9" s="8"/>
      <c r="E9" s="9"/>
      <c r="F9" s="10"/>
      <c r="G9" s="11"/>
    </row>
    <row r="10" ht="21.75" customHeight="1">
      <c r="B10" s="12" t="s">
        <v>4</v>
      </c>
      <c r="C10" s="12" t="s">
        <v>5</v>
      </c>
      <c r="D10" s="12" t="s">
        <v>6</v>
      </c>
      <c r="E10" s="12" t="s">
        <v>7</v>
      </c>
      <c r="F10" s="12" t="s">
        <v>8</v>
      </c>
      <c r="G10" s="12" t="s">
        <v>9</v>
      </c>
    </row>
    <row r="11" ht="37.5" customHeight="1">
      <c r="B11" s="13">
        <v>1391455.0</v>
      </c>
      <c r="C11" s="14">
        <v>533274.0</v>
      </c>
      <c r="D11" s="15">
        <v>858181.0</v>
      </c>
      <c r="E11" s="16">
        <v>14607.0</v>
      </c>
      <c r="F11" s="17">
        <v>30.12</v>
      </c>
      <c r="G11" s="18">
        <v>3272.0</v>
      </c>
    </row>
    <row r="12" ht="21.75" customHeight="1">
      <c r="B12" s="19" t="s">
        <v>10</v>
      </c>
      <c r="C12" s="19" t="s">
        <v>11</v>
      </c>
      <c r="D12" s="19" t="s">
        <v>12</v>
      </c>
      <c r="E12" s="19" t="s">
        <v>13</v>
      </c>
      <c r="F12" s="19" t="s">
        <v>14</v>
      </c>
      <c r="G12" s="19" t="s">
        <v>15</v>
      </c>
    </row>
    <row r="13" ht="7.5" customHeight="1">
      <c r="B13" s="20"/>
      <c r="C13" s="20"/>
      <c r="D13" s="20"/>
      <c r="E13" s="20"/>
      <c r="F13" s="20"/>
      <c r="G13" s="20"/>
    </row>
    <row r="14" ht="21.75" customHeight="1"/>
    <row r="15" ht="25.5" customHeight="1">
      <c r="B15" s="21" t="s">
        <v>16</v>
      </c>
    </row>
    <row r="16" ht="6.0" customHeight="1"/>
    <row r="17" ht="24.0" customHeight="1">
      <c r="B17" s="22" t="s">
        <v>17</v>
      </c>
      <c r="C17" s="23" t="s">
        <v>18</v>
      </c>
      <c r="D17" s="24"/>
      <c r="E17" s="24"/>
      <c r="F17" s="24"/>
      <c r="G17" s="24"/>
    </row>
    <row r="18" ht="24.0" customHeight="1">
      <c r="B18" s="22" t="s">
        <v>19</v>
      </c>
      <c r="C18" s="25" t="s">
        <v>20</v>
      </c>
      <c r="D18" s="24"/>
      <c r="E18" s="24"/>
      <c r="F18" s="24"/>
      <c r="G18" s="24"/>
    </row>
    <row r="19" ht="24.0" customHeight="1">
      <c r="B19" s="22" t="s">
        <v>21</v>
      </c>
      <c r="C19" s="26" t="s">
        <v>22</v>
      </c>
      <c r="D19" s="24"/>
      <c r="E19" s="24"/>
      <c r="F19" s="24"/>
      <c r="G19" s="24"/>
    </row>
    <row r="20" ht="24.0" customHeight="1">
      <c r="B20" s="22" t="s">
        <v>23</v>
      </c>
      <c r="C20" s="27" t="s">
        <v>24</v>
      </c>
      <c r="D20" s="24"/>
      <c r="E20" s="24"/>
      <c r="F20" s="24"/>
      <c r="G20" s="24"/>
    </row>
    <row r="21" ht="24.0" customHeight="1">
      <c r="B21" s="22" t="s">
        <v>25</v>
      </c>
      <c r="C21" s="28" t="s">
        <v>26</v>
      </c>
      <c r="D21" s="24"/>
      <c r="E21" s="24"/>
      <c r="F21" s="24"/>
      <c r="G21" s="24"/>
    </row>
    <row r="22" ht="24.0" customHeight="1">
      <c r="B22" s="22" t="s">
        <v>27</v>
      </c>
      <c r="C22" s="23" t="s">
        <v>28</v>
      </c>
      <c r="D22" s="24"/>
      <c r="E22" s="24"/>
      <c r="F22" s="24"/>
      <c r="G22" s="24"/>
    </row>
    <row r="23" ht="24.0" customHeight="1">
      <c r="B23" s="22" t="s">
        <v>29</v>
      </c>
      <c r="C23" s="23" t="s">
        <v>30</v>
      </c>
      <c r="D23" s="24"/>
      <c r="E23" s="24"/>
      <c r="F23" s="24"/>
      <c r="G23" s="24"/>
    </row>
    <row r="24" ht="24.0" customHeight="1">
      <c r="B24" s="22" t="s">
        <v>31</v>
      </c>
      <c r="C24" s="29" t="s">
        <v>32</v>
      </c>
      <c r="D24" s="24"/>
      <c r="E24" s="24"/>
      <c r="F24" s="24"/>
      <c r="G24" s="24"/>
    </row>
    <row r="25" ht="24.0" customHeight="1">
      <c r="B25" s="22" t="s">
        <v>33</v>
      </c>
      <c r="C25" s="30" t="s">
        <v>34</v>
      </c>
      <c r="D25" s="24"/>
      <c r="E25" s="24"/>
      <c r="F25" s="24"/>
      <c r="G25" s="24"/>
    </row>
    <row r="26" ht="24.0" customHeight="1">
      <c r="B26" s="22" t="s">
        <v>35</v>
      </c>
      <c r="C26" s="26" t="s">
        <v>36</v>
      </c>
      <c r="D26" s="24"/>
      <c r="E26" s="24"/>
      <c r="F26" s="24"/>
      <c r="G26" s="24"/>
    </row>
    <row r="27" ht="24.0" customHeight="1">
      <c r="B27" s="22" t="s">
        <v>37</v>
      </c>
      <c r="C27" s="23" t="s">
        <v>38</v>
      </c>
      <c r="D27" s="24"/>
      <c r="E27" s="24"/>
      <c r="F27" s="24"/>
      <c r="G27" s="24"/>
    </row>
    <row r="28" ht="24.0" customHeight="1">
      <c r="B28" s="22" t="s">
        <v>39</v>
      </c>
      <c r="C28" s="27" t="s">
        <v>40</v>
      </c>
      <c r="D28" s="24"/>
      <c r="E28" s="24"/>
      <c r="F28" s="24"/>
      <c r="G28" s="24"/>
    </row>
    <row r="29" ht="15.75" customHeight="1"/>
    <row r="30" ht="15.75" customHeight="1"/>
    <row r="31" ht="12.0" customHeight="1"/>
    <row r="32" ht="18.0" customHeight="1">
      <c r="B32" s="31" t="s">
        <v>41</v>
      </c>
      <c r="C32" s="32"/>
      <c r="D32" s="32"/>
      <c r="E32" s="32"/>
      <c r="F32" s="32"/>
      <c r="G32" s="32"/>
    </row>
    <row r="33" ht="18.0" customHeight="1">
      <c r="B33" s="33" t="s">
        <v>42</v>
      </c>
    </row>
    <row r="34" ht="18.0" customHeight="1">
      <c r="B34" s="33" t="s">
        <v>43</v>
      </c>
    </row>
    <row r="35" ht="18.0" customHeight="1">
      <c r="B35" s="33" t="s">
        <v>44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33:G33"/>
    <mergeCell ref="B34:G34"/>
    <mergeCell ref="B35:G3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8.0"/>
    <col customWidth="1" min="3" max="5" width="16.0"/>
    <col customWidth="1" min="6" max="6" width="14.0"/>
    <col customWidth="1" min="7" max="8" width="12.0"/>
    <col customWidth="1" min="9" max="9" width="18.0"/>
    <col customWidth="1" min="10" max="26" width="8.71"/>
  </cols>
  <sheetData>
    <row r="2" ht="7.5" customHeight="1"/>
    <row r="3" ht="13.5" customHeight="1">
      <c r="B3" s="34" t="s">
        <v>45</v>
      </c>
    </row>
    <row r="4" ht="31.5" customHeight="1">
      <c r="B4" s="35" t="s">
        <v>46</v>
      </c>
    </row>
    <row r="5" ht="19.5" customHeight="1">
      <c r="B5" s="36" t="s">
        <v>47</v>
      </c>
    </row>
    <row r="6" ht="13.5" customHeight="1"/>
    <row r="7" ht="31.5" customHeight="1">
      <c r="B7" s="37" t="s">
        <v>48</v>
      </c>
      <c r="C7" s="38" t="s">
        <v>49</v>
      </c>
      <c r="D7" s="38" t="s">
        <v>50</v>
      </c>
      <c r="E7" s="38" t="s">
        <v>51</v>
      </c>
      <c r="F7" s="38" t="s">
        <v>52</v>
      </c>
      <c r="G7" s="38" t="s">
        <v>53</v>
      </c>
      <c r="H7" s="38" t="s">
        <v>54</v>
      </c>
      <c r="I7" s="38" t="s">
        <v>55</v>
      </c>
    </row>
    <row r="8" ht="27.75" customHeight="1">
      <c r="B8" s="39" t="s">
        <v>56</v>
      </c>
      <c r="C8" s="40">
        <v>8100.0</v>
      </c>
      <c r="D8" s="40">
        <v>6023.0</v>
      </c>
      <c r="E8" s="41">
        <f t="shared" ref="E8:E40" si="1">D8-C8</f>
        <v>-2077</v>
      </c>
      <c r="F8" s="42">
        <f t="shared" ref="F8:F30" si="2">(D8-C8)/C8</f>
        <v>-0.2564197531</v>
      </c>
      <c r="G8" s="43">
        <v>165.0</v>
      </c>
      <c r="H8" s="44">
        <f t="shared" ref="H8:H20" si="3">D8/G8</f>
        <v>36.5030303</v>
      </c>
      <c r="I8" s="45" t="s">
        <v>57</v>
      </c>
    </row>
    <row r="9" ht="27.75" customHeight="1">
      <c r="B9" s="46" t="s">
        <v>58</v>
      </c>
      <c r="C9" s="47">
        <v>12500.0</v>
      </c>
      <c r="D9" s="47">
        <v>3753.0</v>
      </c>
      <c r="E9" s="48">
        <f t="shared" si="1"/>
        <v>-8747</v>
      </c>
      <c r="F9" s="49">
        <f t="shared" si="2"/>
        <v>-0.69976</v>
      </c>
      <c r="G9" s="50">
        <v>183.0</v>
      </c>
      <c r="H9" s="51">
        <f t="shared" si="3"/>
        <v>20.50819672</v>
      </c>
      <c r="I9" s="45" t="s">
        <v>57</v>
      </c>
    </row>
    <row r="10" ht="27.75" customHeight="1">
      <c r="B10" s="39" t="s">
        <v>59</v>
      </c>
      <c r="C10" s="40">
        <v>12150.0</v>
      </c>
      <c r="D10" s="40">
        <v>6162.0</v>
      </c>
      <c r="E10" s="41">
        <f t="shared" si="1"/>
        <v>-5988</v>
      </c>
      <c r="F10" s="42">
        <f t="shared" si="2"/>
        <v>-0.4928395062</v>
      </c>
      <c r="G10" s="43">
        <v>172.0</v>
      </c>
      <c r="H10" s="44">
        <f t="shared" si="3"/>
        <v>35.8255814</v>
      </c>
      <c r="I10" s="45" t="s">
        <v>57</v>
      </c>
    </row>
    <row r="11" ht="27.75" customHeight="1">
      <c r="B11" s="46" t="s">
        <v>60</v>
      </c>
      <c r="C11" s="47">
        <v>5800.0</v>
      </c>
      <c r="D11" s="47">
        <v>3184.0</v>
      </c>
      <c r="E11" s="48">
        <f t="shared" si="1"/>
        <v>-2616</v>
      </c>
      <c r="F11" s="49">
        <f t="shared" si="2"/>
        <v>-0.4510344828</v>
      </c>
      <c r="G11" s="50">
        <v>146.0</v>
      </c>
      <c r="H11" s="51">
        <f t="shared" si="3"/>
        <v>21.80821918</v>
      </c>
      <c r="I11" s="45" t="s">
        <v>57</v>
      </c>
    </row>
    <row r="12" ht="27.75" customHeight="1">
      <c r="B12" s="39" t="s">
        <v>61</v>
      </c>
      <c r="C12" s="40">
        <v>14600.0</v>
      </c>
      <c r="D12" s="40">
        <v>19354.0</v>
      </c>
      <c r="E12" s="52">
        <f t="shared" si="1"/>
        <v>4754</v>
      </c>
      <c r="F12" s="53">
        <f t="shared" si="2"/>
        <v>0.3256164384</v>
      </c>
      <c r="G12" s="43">
        <v>872.0</v>
      </c>
      <c r="H12" s="44">
        <f t="shared" si="3"/>
        <v>22.19495413</v>
      </c>
      <c r="I12" s="54" t="s">
        <v>62</v>
      </c>
    </row>
    <row r="13" ht="27.75" customHeight="1">
      <c r="B13" s="46" t="s">
        <v>63</v>
      </c>
      <c r="C13" s="47">
        <v>11700.0</v>
      </c>
      <c r="D13" s="47">
        <v>5424.0</v>
      </c>
      <c r="E13" s="48">
        <f t="shared" si="1"/>
        <v>-6276</v>
      </c>
      <c r="F13" s="49">
        <f t="shared" si="2"/>
        <v>-0.5364102564</v>
      </c>
      <c r="G13" s="50">
        <v>238.0</v>
      </c>
      <c r="H13" s="51">
        <f t="shared" si="3"/>
        <v>22.78991597</v>
      </c>
      <c r="I13" s="45" t="s">
        <v>57</v>
      </c>
    </row>
    <row r="14" ht="27.75" customHeight="1">
      <c r="B14" s="39" t="s">
        <v>64</v>
      </c>
      <c r="C14" s="40">
        <v>2700.0</v>
      </c>
      <c r="D14" s="40">
        <v>984.0</v>
      </c>
      <c r="E14" s="41">
        <f t="shared" si="1"/>
        <v>-1716</v>
      </c>
      <c r="F14" s="42">
        <f t="shared" si="2"/>
        <v>-0.6355555556</v>
      </c>
      <c r="G14" s="43">
        <v>50.0</v>
      </c>
      <c r="H14" s="44">
        <f t="shared" si="3"/>
        <v>19.68</v>
      </c>
      <c r="I14" s="45" t="s">
        <v>57</v>
      </c>
    </row>
    <row r="15" ht="27.75" customHeight="1">
      <c r="B15" s="46" t="s">
        <v>65</v>
      </c>
      <c r="C15" s="47">
        <v>139800.0</v>
      </c>
      <c r="D15" s="47">
        <v>177292.0</v>
      </c>
      <c r="E15" s="55">
        <f t="shared" si="1"/>
        <v>37492</v>
      </c>
      <c r="F15" s="56">
        <f t="shared" si="2"/>
        <v>0.2681831187</v>
      </c>
      <c r="G15" s="50">
        <v>9320.0</v>
      </c>
      <c r="H15" s="51">
        <f t="shared" si="3"/>
        <v>19.02274678</v>
      </c>
      <c r="I15" s="54" t="s">
        <v>62</v>
      </c>
    </row>
    <row r="16" ht="27.75" customHeight="1">
      <c r="B16" s="39" t="s">
        <v>66</v>
      </c>
      <c r="C16" s="40">
        <v>31000.0</v>
      </c>
      <c r="D16" s="40">
        <v>34658.0</v>
      </c>
      <c r="E16" s="52">
        <f t="shared" si="1"/>
        <v>3658</v>
      </c>
      <c r="F16" s="53">
        <f t="shared" si="2"/>
        <v>0.118</v>
      </c>
      <c r="G16" s="43">
        <v>1841.0</v>
      </c>
      <c r="H16" s="44">
        <f t="shared" si="3"/>
        <v>18.82563824</v>
      </c>
      <c r="I16" s="54" t="s">
        <v>62</v>
      </c>
    </row>
    <row r="17" ht="27.75" customHeight="1">
      <c r="B17" s="46" t="s">
        <v>67</v>
      </c>
      <c r="C17" s="47">
        <v>3300.0</v>
      </c>
      <c r="D17" s="47">
        <v>2168.0</v>
      </c>
      <c r="E17" s="48">
        <f t="shared" si="1"/>
        <v>-1132</v>
      </c>
      <c r="F17" s="49">
        <f t="shared" si="2"/>
        <v>-0.343030303</v>
      </c>
      <c r="G17" s="50">
        <v>104.0</v>
      </c>
      <c r="H17" s="51">
        <f t="shared" si="3"/>
        <v>20.84615385</v>
      </c>
      <c r="I17" s="45" t="s">
        <v>57</v>
      </c>
    </row>
    <row r="18" ht="27.75" customHeight="1">
      <c r="B18" s="39" t="s">
        <v>68</v>
      </c>
      <c r="C18" s="40">
        <v>41000.0</v>
      </c>
      <c r="D18" s="40">
        <v>15756.0</v>
      </c>
      <c r="E18" s="41">
        <f t="shared" si="1"/>
        <v>-25244</v>
      </c>
      <c r="F18" s="42">
        <f t="shared" si="2"/>
        <v>-0.6157073171</v>
      </c>
      <c r="G18" s="43">
        <v>800.0</v>
      </c>
      <c r="H18" s="44">
        <f t="shared" si="3"/>
        <v>19.695</v>
      </c>
      <c r="I18" s="45" t="s">
        <v>57</v>
      </c>
    </row>
    <row r="19" ht="27.75" customHeight="1">
      <c r="B19" s="46" t="s">
        <v>69</v>
      </c>
      <c r="C19" s="47">
        <v>3525.0</v>
      </c>
      <c r="D19" s="47">
        <v>9784.0</v>
      </c>
      <c r="E19" s="55">
        <f t="shared" si="1"/>
        <v>6259</v>
      </c>
      <c r="F19" s="56">
        <f t="shared" si="2"/>
        <v>1.775602837</v>
      </c>
      <c r="G19" s="50">
        <v>379.0</v>
      </c>
      <c r="H19" s="51">
        <f t="shared" si="3"/>
        <v>25.81530343</v>
      </c>
      <c r="I19" s="57" t="s">
        <v>70</v>
      </c>
    </row>
    <row r="20" ht="27.75" customHeight="1">
      <c r="B20" s="39" t="s">
        <v>71</v>
      </c>
      <c r="C20" s="40">
        <v>19800.0</v>
      </c>
      <c r="D20" s="40">
        <v>6781.0</v>
      </c>
      <c r="E20" s="41">
        <f t="shared" si="1"/>
        <v>-13019</v>
      </c>
      <c r="F20" s="42">
        <f t="shared" si="2"/>
        <v>-0.6575252525</v>
      </c>
      <c r="G20" s="43">
        <v>338.0</v>
      </c>
      <c r="H20" s="44">
        <f t="shared" si="3"/>
        <v>20.06213018</v>
      </c>
      <c r="I20" s="45" t="s">
        <v>57</v>
      </c>
    </row>
    <row r="21" ht="27.75" customHeight="1">
      <c r="B21" s="46" t="s">
        <v>72</v>
      </c>
      <c r="C21" s="47">
        <v>17900.0</v>
      </c>
      <c r="D21" s="47">
        <v>5067.0</v>
      </c>
      <c r="E21" s="48">
        <f t="shared" si="1"/>
        <v>-12833</v>
      </c>
      <c r="F21" s="49">
        <f t="shared" si="2"/>
        <v>-0.7169273743</v>
      </c>
      <c r="G21" s="50"/>
      <c r="H21" s="58" t="s">
        <v>73</v>
      </c>
      <c r="I21" s="45" t="s">
        <v>57</v>
      </c>
    </row>
    <row r="22" ht="27.75" customHeight="1">
      <c r="B22" s="39" t="s">
        <v>74</v>
      </c>
      <c r="C22" s="40">
        <v>4300.0</v>
      </c>
      <c r="D22" s="40">
        <v>1636.0</v>
      </c>
      <c r="E22" s="41">
        <f t="shared" si="1"/>
        <v>-2664</v>
      </c>
      <c r="F22" s="42">
        <f t="shared" si="2"/>
        <v>-0.6195348837</v>
      </c>
      <c r="G22" s="43"/>
      <c r="H22" s="59" t="s">
        <v>73</v>
      </c>
      <c r="I22" s="45" t="s">
        <v>57</v>
      </c>
    </row>
    <row r="23" ht="27.75" customHeight="1">
      <c r="B23" s="46" t="s">
        <v>75</v>
      </c>
      <c r="C23" s="47">
        <v>11970.0</v>
      </c>
      <c r="D23" s="47">
        <v>6599.0</v>
      </c>
      <c r="E23" s="48">
        <f t="shared" si="1"/>
        <v>-5371</v>
      </c>
      <c r="F23" s="49">
        <f t="shared" si="2"/>
        <v>-0.4487050961</v>
      </c>
      <c r="G23" s="50"/>
      <c r="H23" s="58" t="s">
        <v>73</v>
      </c>
      <c r="I23" s="45" t="s">
        <v>57</v>
      </c>
    </row>
    <row r="24" ht="27.75" customHeight="1">
      <c r="B24" s="39" t="s">
        <v>76</v>
      </c>
      <c r="C24" s="40">
        <v>13130.0</v>
      </c>
      <c r="D24" s="40">
        <v>8579.0</v>
      </c>
      <c r="E24" s="41">
        <f t="shared" si="1"/>
        <v>-4551</v>
      </c>
      <c r="F24" s="42">
        <f t="shared" si="2"/>
        <v>-0.3466108149</v>
      </c>
      <c r="G24" s="43"/>
      <c r="H24" s="59" t="s">
        <v>73</v>
      </c>
      <c r="I24" s="45" t="s">
        <v>57</v>
      </c>
    </row>
    <row r="25" ht="27.75" customHeight="1">
      <c r="B25" s="46" t="s">
        <v>77</v>
      </c>
      <c r="C25" s="47">
        <v>2700.0</v>
      </c>
      <c r="D25" s="47">
        <v>1789.0</v>
      </c>
      <c r="E25" s="48">
        <f t="shared" si="1"/>
        <v>-911</v>
      </c>
      <c r="F25" s="49">
        <f t="shared" si="2"/>
        <v>-0.3374074074</v>
      </c>
      <c r="G25" s="50"/>
      <c r="H25" s="58" t="s">
        <v>73</v>
      </c>
      <c r="I25" s="60" t="s">
        <v>78</v>
      </c>
    </row>
    <row r="26" ht="27.75" customHeight="1">
      <c r="B26" s="39" t="s">
        <v>79</v>
      </c>
      <c r="C26" s="40">
        <v>161200.0</v>
      </c>
      <c r="D26" s="40">
        <v>94001.0</v>
      </c>
      <c r="E26" s="41">
        <f t="shared" si="1"/>
        <v>-67199</v>
      </c>
      <c r="F26" s="42">
        <f t="shared" si="2"/>
        <v>-0.4168672457</v>
      </c>
      <c r="G26" s="43">
        <v>1.0</v>
      </c>
      <c r="H26" s="44">
        <f>D26/G26</f>
        <v>94001</v>
      </c>
      <c r="I26" s="45" t="s">
        <v>57</v>
      </c>
    </row>
    <row r="27" ht="27.75" customHeight="1">
      <c r="B27" s="46" t="s">
        <v>80</v>
      </c>
      <c r="C27" s="47">
        <v>261600.0</v>
      </c>
      <c r="D27" s="47">
        <v>210145.0</v>
      </c>
      <c r="E27" s="48">
        <f t="shared" si="1"/>
        <v>-51455</v>
      </c>
      <c r="F27" s="49">
        <f t="shared" si="2"/>
        <v>-0.1966934251</v>
      </c>
      <c r="G27" s="50"/>
      <c r="H27" s="58" t="s">
        <v>73</v>
      </c>
      <c r="I27" s="45" t="s">
        <v>57</v>
      </c>
    </row>
    <row r="28" ht="27.75" customHeight="1">
      <c r="B28" s="39" t="s">
        <v>81</v>
      </c>
      <c r="C28" s="40">
        <v>3000.0</v>
      </c>
      <c r="D28" s="40">
        <v>996.0</v>
      </c>
      <c r="E28" s="41">
        <f t="shared" si="1"/>
        <v>-2004</v>
      </c>
      <c r="F28" s="42">
        <f t="shared" si="2"/>
        <v>-0.668</v>
      </c>
      <c r="G28" s="43"/>
      <c r="H28" s="59" t="s">
        <v>73</v>
      </c>
      <c r="I28" s="45" t="s">
        <v>57</v>
      </c>
    </row>
    <row r="29" ht="27.75" customHeight="1">
      <c r="B29" s="46" t="s">
        <v>82</v>
      </c>
      <c r="C29" s="47">
        <v>65600.0</v>
      </c>
      <c r="D29" s="47">
        <v>36965.0</v>
      </c>
      <c r="E29" s="48">
        <f t="shared" si="1"/>
        <v>-28635</v>
      </c>
      <c r="F29" s="49">
        <f t="shared" si="2"/>
        <v>-0.4365091463</v>
      </c>
      <c r="G29" s="50"/>
      <c r="H29" s="58" t="s">
        <v>73</v>
      </c>
      <c r="I29" s="45" t="s">
        <v>57</v>
      </c>
    </row>
    <row r="30" ht="27.75" customHeight="1">
      <c r="B30" s="39" t="s">
        <v>83</v>
      </c>
      <c r="C30" s="40">
        <v>12000.0</v>
      </c>
      <c r="D30" s="40">
        <v>22695.0</v>
      </c>
      <c r="E30" s="52">
        <f t="shared" si="1"/>
        <v>10695</v>
      </c>
      <c r="F30" s="53">
        <f t="shared" si="2"/>
        <v>0.89125</v>
      </c>
      <c r="G30" s="43"/>
      <c r="H30" s="59" t="s">
        <v>73</v>
      </c>
      <c r="I30" s="57" t="s">
        <v>70</v>
      </c>
    </row>
    <row r="31" ht="27.75" customHeight="1">
      <c r="B31" s="46" t="s">
        <v>84</v>
      </c>
      <c r="C31" s="47">
        <v>0.0</v>
      </c>
      <c r="D31" s="47">
        <v>2279.0</v>
      </c>
      <c r="E31" s="55">
        <f t="shared" si="1"/>
        <v>2279</v>
      </c>
      <c r="F31" s="61" t="s">
        <v>85</v>
      </c>
      <c r="G31" s="50"/>
      <c r="H31" s="58" t="s">
        <v>73</v>
      </c>
      <c r="I31" s="62" t="s">
        <v>86</v>
      </c>
    </row>
    <row r="32" ht="27.75" customHeight="1">
      <c r="B32" s="39" t="s">
        <v>87</v>
      </c>
      <c r="C32" s="40">
        <v>1000.0</v>
      </c>
      <c r="D32" s="40">
        <v>186.0</v>
      </c>
      <c r="E32" s="41">
        <f t="shared" si="1"/>
        <v>-814</v>
      </c>
      <c r="F32" s="42">
        <f t="shared" ref="F32:F34" si="4">(D32-C32)/C32</f>
        <v>-0.814</v>
      </c>
      <c r="G32" s="43"/>
      <c r="H32" s="59" t="s">
        <v>73</v>
      </c>
      <c r="I32" s="45" t="s">
        <v>57</v>
      </c>
    </row>
    <row r="33" ht="27.75" customHeight="1">
      <c r="B33" s="46" t="s">
        <v>88</v>
      </c>
      <c r="C33" s="47">
        <v>22000.0</v>
      </c>
      <c r="D33" s="47">
        <v>15682.0</v>
      </c>
      <c r="E33" s="48">
        <f t="shared" si="1"/>
        <v>-6318</v>
      </c>
      <c r="F33" s="49">
        <f t="shared" si="4"/>
        <v>-0.2871818182</v>
      </c>
      <c r="G33" s="50"/>
      <c r="H33" s="58" t="s">
        <v>73</v>
      </c>
      <c r="I33" s="45" t="s">
        <v>57</v>
      </c>
    </row>
    <row r="34" ht="27.75" customHeight="1">
      <c r="B34" s="39" t="s">
        <v>89</v>
      </c>
      <c r="C34" s="40">
        <v>10900.0</v>
      </c>
      <c r="D34" s="40">
        <v>9742.0</v>
      </c>
      <c r="E34" s="41">
        <f t="shared" si="1"/>
        <v>-1158</v>
      </c>
      <c r="F34" s="42">
        <f t="shared" si="4"/>
        <v>-0.1062385321</v>
      </c>
      <c r="G34" s="43"/>
      <c r="H34" s="59" t="s">
        <v>73</v>
      </c>
      <c r="I34" s="45" t="s">
        <v>57</v>
      </c>
    </row>
    <row r="35" ht="27.75" customHeight="1">
      <c r="B35" s="46" t="s">
        <v>90</v>
      </c>
      <c r="C35" s="47">
        <v>0.0</v>
      </c>
      <c r="D35" s="47">
        <v>1838.0</v>
      </c>
      <c r="E35" s="55">
        <f t="shared" si="1"/>
        <v>1838</v>
      </c>
      <c r="F35" s="61" t="s">
        <v>85</v>
      </c>
      <c r="G35" s="50"/>
      <c r="H35" s="58" t="s">
        <v>73</v>
      </c>
      <c r="I35" s="62" t="s">
        <v>86</v>
      </c>
    </row>
    <row r="36" ht="27.75" customHeight="1">
      <c r="B36" s="39" t="s">
        <v>91</v>
      </c>
      <c r="C36" s="40">
        <v>25600.0</v>
      </c>
      <c r="D36" s="40">
        <v>71.0</v>
      </c>
      <c r="E36" s="41">
        <f t="shared" si="1"/>
        <v>-25529</v>
      </c>
      <c r="F36" s="42">
        <f t="shared" ref="F36:F38" si="5">(D36-C36)/C36</f>
        <v>-0.9972265625</v>
      </c>
      <c r="G36" s="43"/>
      <c r="H36" s="59" t="s">
        <v>73</v>
      </c>
      <c r="I36" s="45" t="s">
        <v>57</v>
      </c>
    </row>
    <row r="37" ht="27.75" customHeight="1">
      <c r="B37" s="46" t="s">
        <v>92</v>
      </c>
      <c r="C37" s="47">
        <v>125050.0</v>
      </c>
      <c r="D37" s="47">
        <v>126300.0</v>
      </c>
      <c r="E37" s="55">
        <f t="shared" si="1"/>
        <v>1250</v>
      </c>
      <c r="F37" s="56">
        <f t="shared" si="5"/>
        <v>0.009996001599</v>
      </c>
      <c r="G37" s="50"/>
      <c r="H37" s="58" t="s">
        <v>73</v>
      </c>
      <c r="I37" s="54" t="s">
        <v>62</v>
      </c>
    </row>
    <row r="38" ht="27.75" customHeight="1">
      <c r="B38" s="39" t="s">
        <v>93</v>
      </c>
      <c r="C38" s="40">
        <v>22068.0</v>
      </c>
      <c r="D38" s="40">
        <v>22289.0</v>
      </c>
      <c r="E38" s="52">
        <f t="shared" si="1"/>
        <v>221</v>
      </c>
      <c r="F38" s="53">
        <f t="shared" si="5"/>
        <v>0.01001450063</v>
      </c>
      <c r="G38" s="43"/>
      <c r="H38" s="59" t="s">
        <v>73</v>
      </c>
      <c r="I38" s="60" t="s">
        <v>78</v>
      </c>
    </row>
    <row r="39" ht="27.75" customHeight="1">
      <c r="B39" s="46" t="s">
        <v>94</v>
      </c>
      <c r="C39" s="47">
        <v>0.0</v>
      </c>
      <c r="D39" s="47">
        <v>0.0</v>
      </c>
      <c r="E39" s="48">
        <f t="shared" si="1"/>
        <v>0</v>
      </c>
      <c r="F39" s="63" t="s">
        <v>85</v>
      </c>
      <c r="G39" s="50"/>
      <c r="H39" s="58" t="s">
        <v>73</v>
      </c>
      <c r="I39" s="60" t="s">
        <v>78</v>
      </c>
    </row>
    <row r="40" ht="33.75" customHeight="1">
      <c r="B40" s="64" t="s">
        <v>95</v>
      </c>
      <c r="C40" s="65">
        <f t="shared" ref="C40:D40" si="6">SUM(C8:C39)</f>
        <v>1065993</v>
      </c>
      <c r="D40" s="65">
        <f t="shared" si="6"/>
        <v>858182</v>
      </c>
      <c r="E40" s="66">
        <f t="shared" si="1"/>
        <v>-207811</v>
      </c>
      <c r="F40" s="67">
        <f>(D40-C40)/C40</f>
        <v>-0.194945933</v>
      </c>
      <c r="G40" s="68">
        <f>SUM(G8:G39)</f>
        <v>14609</v>
      </c>
      <c r="H40" s="69">
        <f>D40/G40</f>
        <v>58.74337737</v>
      </c>
      <c r="I40" s="20"/>
    </row>
    <row r="41" ht="15.75" customHeight="1"/>
    <row r="42" ht="15.75" customHeight="1"/>
    <row r="43" ht="12.0" customHeight="1"/>
    <row r="44" ht="18.0" customHeight="1">
      <c r="B44" s="31" t="s">
        <v>41</v>
      </c>
      <c r="C44" s="32"/>
      <c r="D44" s="32"/>
      <c r="E44" s="32"/>
      <c r="F44" s="32"/>
      <c r="G44" s="32"/>
      <c r="H44" s="32"/>
      <c r="I44" s="32"/>
    </row>
    <row r="45" ht="18.0" customHeight="1">
      <c r="B45" s="33" t="s">
        <v>42</v>
      </c>
    </row>
    <row r="46" ht="18.0" customHeight="1">
      <c r="B46" s="33" t="s">
        <v>96</v>
      </c>
    </row>
    <row r="47" ht="18.0" customHeight="1">
      <c r="B47" s="33" t="s">
        <v>97</v>
      </c>
    </row>
    <row r="48" ht="18.0" customHeight="1">
      <c r="B48" s="33" t="s">
        <v>44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45:I45"/>
    <mergeCell ref="B46:I46"/>
    <mergeCell ref="B47:I47"/>
    <mergeCell ref="B48:I4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5" width="16.0"/>
    <col customWidth="1" min="6" max="9" width="14.0"/>
    <col customWidth="1" min="10" max="10" width="19.71"/>
    <col customWidth="1" min="11" max="26" width="8.71"/>
  </cols>
  <sheetData>
    <row r="2" ht="7.5" customHeight="1"/>
    <row r="3" ht="13.5" customHeight="1">
      <c r="B3" s="34" t="s">
        <v>98</v>
      </c>
    </row>
    <row r="4" ht="31.5" customHeight="1">
      <c r="B4" s="35" t="s">
        <v>99</v>
      </c>
    </row>
    <row r="5" ht="19.5" customHeight="1">
      <c r="B5" s="36" t="s">
        <v>100</v>
      </c>
    </row>
    <row r="6" ht="13.5" customHeight="1"/>
    <row r="7" ht="31.5" customHeight="1">
      <c r="B7" s="37" t="s">
        <v>101</v>
      </c>
      <c r="C7" s="38" t="s">
        <v>49</v>
      </c>
      <c r="D7" s="38" t="s">
        <v>50</v>
      </c>
      <c r="E7" s="38" t="s">
        <v>51</v>
      </c>
      <c r="F7" s="38" t="s">
        <v>52</v>
      </c>
      <c r="G7" s="38" t="s">
        <v>102</v>
      </c>
      <c r="H7" s="38" t="s">
        <v>103</v>
      </c>
      <c r="I7" s="38" t="s">
        <v>104</v>
      </c>
      <c r="J7" s="38" t="s">
        <v>55</v>
      </c>
    </row>
    <row r="8" ht="27.75" customHeight="1">
      <c r="B8" s="39" t="s">
        <v>80</v>
      </c>
      <c r="C8" s="40">
        <v>261600.0</v>
      </c>
      <c r="D8" s="40">
        <v>210145.0</v>
      </c>
      <c r="E8" s="41">
        <f t="shared" ref="E8:E19" si="1">D8-C8</f>
        <v>-51455</v>
      </c>
      <c r="F8" s="42">
        <f t="shared" ref="F8:F14" si="2">(D8-C8)/C8</f>
        <v>-0.1966934251</v>
      </c>
      <c r="G8" s="70">
        <f t="shared" ref="G8:G19" si="3">D8/163</f>
        <v>1289.233129</v>
      </c>
      <c r="H8" s="70">
        <f t="shared" ref="H8:H19" si="4">D8/816</f>
        <v>257.5306373</v>
      </c>
      <c r="I8" s="71">
        <f>D8/D19</f>
        <v>0.537797728</v>
      </c>
      <c r="J8" s="60" t="s">
        <v>78</v>
      </c>
    </row>
    <row r="9" ht="27.75" customHeight="1">
      <c r="B9" s="46" t="s">
        <v>79</v>
      </c>
      <c r="C9" s="47">
        <v>161200.0</v>
      </c>
      <c r="D9" s="47">
        <v>94001.0</v>
      </c>
      <c r="E9" s="48">
        <f t="shared" si="1"/>
        <v>-67199</v>
      </c>
      <c r="F9" s="49">
        <f t="shared" si="2"/>
        <v>-0.4168672457</v>
      </c>
      <c r="G9" s="72">
        <f t="shared" si="3"/>
        <v>576.6932515</v>
      </c>
      <c r="H9" s="72">
        <f t="shared" si="4"/>
        <v>115.1973039</v>
      </c>
      <c r="I9" s="73">
        <f>D9/D19</f>
        <v>0.2405649634</v>
      </c>
      <c r="J9" s="45" t="s">
        <v>57</v>
      </c>
    </row>
    <row r="10" ht="27.75" customHeight="1">
      <c r="B10" s="39" t="s">
        <v>105</v>
      </c>
      <c r="C10" s="40">
        <v>65600.0</v>
      </c>
      <c r="D10" s="40">
        <v>36965.0</v>
      </c>
      <c r="E10" s="41">
        <f t="shared" si="1"/>
        <v>-28635</v>
      </c>
      <c r="F10" s="42">
        <f t="shared" si="2"/>
        <v>-0.4365091463</v>
      </c>
      <c r="G10" s="70">
        <f t="shared" si="3"/>
        <v>226.7791411</v>
      </c>
      <c r="H10" s="70">
        <f t="shared" si="4"/>
        <v>45.3002451</v>
      </c>
      <c r="I10" s="71">
        <f>D10/D19</f>
        <v>0.09459988586</v>
      </c>
      <c r="J10" s="45" t="s">
        <v>57</v>
      </c>
    </row>
    <row r="11" ht="27.75" customHeight="1">
      <c r="B11" s="46" t="s">
        <v>83</v>
      </c>
      <c r="C11" s="47">
        <v>12000.0</v>
      </c>
      <c r="D11" s="47">
        <v>22695.0</v>
      </c>
      <c r="E11" s="55">
        <f t="shared" si="1"/>
        <v>10695</v>
      </c>
      <c r="F11" s="56">
        <f t="shared" si="2"/>
        <v>0.89125</v>
      </c>
      <c r="G11" s="72">
        <f t="shared" si="3"/>
        <v>139.2331288</v>
      </c>
      <c r="H11" s="72">
        <f t="shared" si="4"/>
        <v>27.8125</v>
      </c>
      <c r="I11" s="73">
        <f>D11/D19</f>
        <v>0.05808046557</v>
      </c>
      <c r="J11" s="57" t="s">
        <v>70</v>
      </c>
    </row>
    <row r="12" ht="27.75" customHeight="1">
      <c r="B12" s="39" t="s">
        <v>76</v>
      </c>
      <c r="C12" s="40">
        <v>13130.0</v>
      </c>
      <c r="D12" s="40">
        <v>8579.0</v>
      </c>
      <c r="E12" s="41">
        <f t="shared" si="1"/>
        <v>-4551</v>
      </c>
      <c r="F12" s="42">
        <f t="shared" si="2"/>
        <v>-0.3466108149</v>
      </c>
      <c r="G12" s="70">
        <f t="shared" si="3"/>
        <v>52.63190184</v>
      </c>
      <c r="H12" s="70">
        <f t="shared" si="4"/>
        <v>10.51348039</v>
      </c>
      <c r="I12" s="71">
        <f>D12/D19</f>
        <v>0.02195515814</v>
      </c>
      <c r="J12" s="45" t="s">
        <v>57</v>
      </c>
    </row>
    <row r="13" ht="27.75" customHeight="1">
      <c r="B13" s="46" t="s">
        <v>75</v>
      </c>
      <c r="C13" s="47">
        <v>11970.0</v>
      </c>
      <c r="D13" s="47">
        <v>6599.0</v>
      </c>
      <c r="E13" s="48">
        <f t="shared" si="1"/>
        <v>-5371</v>
      </c>
      <c r="F13" s="49">
        <f t="shared" si="2"/>
        <v>-0.4487050961</v>
      </c>
      <c r="G13" s="72">
        <f t="shared" si="3"/>
        <v>40.48466258</v>
      </c>
      <c r="H13" s="72">
        <f t="shared" si="4"/>
        <v>8.087009804</v>
      </c>
      <c r="I13" s="73">
        <f>D13/D19</f>
        <v>0.01688799261</v>
      </c>
      <c r="J13" s="45" t="s">
        <v>57</v>
      </c>
    </row>
    <row r="14" ht="27.75" customHeight="1">
      <c r="B14" s="39" t="s">
        <v>72</v>
      </c>
      <c r="C14" s="40">
        <v>17900.0</v>
      </c>
      <c r="D14" s="40">
        <v>5067.0</v>
      </c>
      <c r="E14" s="41">
        <f t="shared" si="1"/>
        <v>-12833</v>
      </c>
      <c r="F14" s="42">
        <f t="shared" si="2"/>
        <v>-0.7169273743</v>
      </c>
      <c r="G14" s="70">
        <f t="shared" si="3"/>
        <v>31.08588957</v>
      </c>
      <c r="H14" s="70">
        <f t="shared" si="4"/>
        <v>6.209558824</v>
      </c>
      <c r="I14" s="71">
        <f>D14/D19</f>
        <v>0.01296733726</v>
      </c>
      <c r="J14" s="45" t="s">
        <v>57</v>
      </c>
    </row>
    <row r="15" ht="27.75" customHeight="1">
      <c r="B15" s="46" t="s">
        <v>106</v>
      </c>
      <c r="C15" s="47">
        <v>0.0</v>
      </c>
      <c r="D15" s="47">
        <v>2279.0</v>
      </c>
      <c r="E15" s="55">
        <f t="shared" si="1"/>
        <v>2279</v>
      </c>
      <c r="F15" s="74" t="s">
        <v>85</v>
      </c>
      <c r="G15" s="72">
        <f t="shared" si="3"/>
        <v>13.98159509</v>
      </c>
      <c r="H15" s="72">
        <f t="shared" si="4"/>
        <v>2.792892157</v>
      </c>
      <c r="I15" s="73">
        <f>D15/D19</f>
        <v>0.005832358714</v>
      </c>
      <c r="J15" s="62" t="s">
        <v>86</v>
      </c>
    </row>
    <row r="16" ht="27.75" customHeight="1">
      <c r="B16" s="39" t="s">
        <v>77</v>
      </c>
      <c r="C16" s="40">
        <v>2700.0</v>
      </c>
      <c r="D16" s="40">
        <v>1789.0</v>
      </c>
      <c r="E16" s="41">
        <f t="shared" si="1"/>
        <v>-911</v>
      </c>
      <c r="F16" s="42">
        <f t="shared" ref="F16:F19" si="5">(D16-C16)/C16</f>
        <v>-0.3374074074</v>
      </c>
      <c r="G16" s="70">
        <f t="shared" si="3"/>
        <v>10.97546012</v>
      </c>
      <c r="H16" s="70">
        <f t="shared" si="4"/>
        <v>2.192401961</v>
      </c>
      <c r="I16" s="71">
        <f>D16/D19</f>
        <v>0.004578363203</v>
      </c>
      <c r="J16" s="45" t="s">
        <v>57</v>
      </c>
    </row>
    <row r="17" ht="27.75" customHeight="1">
      <c r="B17" s="46" t="s">
        <v>74</v>
      </c>
      <c r="C17" s="47">
        <v>4300.0</v>
      </c>
      <c r="D17" s="47">
        <v>1636.0</v>
      </c>
      <c r="E17" s="48">
        <f t="shared" si="1"/>
        <v>-2664</v>
      </c>
      <c r="F17" s="49">
        <f t="shared" si="5"/>
        <v>-0.6195348837</v>
      </c>
      <c r="G17" s="72">
        <f t="shared" si="3"/>
        <v>10.03680982</v>
      </c>
      <c r="H17" s="72">
        <f t="shared" si="4"/>
        <v>2.004901961</v>
      </c>
      <c r="I17" s="73">
        <f>D17/D19</f>
        <v>0.004186809503</v>
      </c>
      <c r="J17" s="45" t="s">
        <v>57</v>
      </c>
    </row>
    <row r="18" ht="27.75" customHeight="1">
      <c r="B18" s="39" t="s">
        <v>81</v>
      </c>
      <c r="C18" s="40">
        <v>3000.0</v>
      </c>
      <c r="D18" s="40">
        <v>996.0</v>
      </c>
      <c r="E18" s="41">
        <f t="shared" si="1"/>
        <v>-2004</v>
      </c>
      <c r="F18" s="42">
        <f t="shared" si="5"/>
        <v>-0.668</v>
      </c>
      <c r="G18" s="70">
        <f t="shared" si="3"/>
        <v>6.110429448</v>
      </c>
      <c r="H18" s="70">
        <f t="shared" si="4"/>
        <v>1.220588235</v>
      </c>
      <c r="I18" s="71">
        <f>D18/D19</f>
        <v>0.002548937815</v>
      </c>
      <c r="J18" s="45" t="s">
        <v>57</v>
      </c>
    </row>
    <row r="19" ht="33.75" customHeight="1">
      <c r="B19" s="64" t="s">
        <v>107</v>
      </c>
      <c r="C19" s="65">
        <f t="shared" ref="C19:D19" si="6">SUM(C8:C18)</f>
        <v>553400</v>
      </c>
      <c r="D19" s="65">
        <f t="shared" si="6"/>
        <v>390751</v>
      </c>
      <c r="E19" s="66">
        <f t="shared" si="1"/>
        <v>-162649</v>
      </c>
      <c r="F19" s="67">
        <f t="shared" si="5"/>
        <v>-0.2939085652</v>
      </c>
      <c r="G19" s="65">
        <f t="shared" si="3"/>
        <v>2397.245399</v>
      </c>
      <c r="H19" s="69">
        <f t="shared" si="4"/>
        <v>478.8615196</v>
      </c>
      <c r="I19" s="75" t="s">
        <v>108</v>
      </c>
      <c r="J19" s="20"/>
    </row>
    <row r="21" ht="15.75" customHeight="1"/>
    <row r="22" ht="13.5" customHeight="1">
      <c r="B22" s="34" t="s">
        <v>109</v>
      </c>
    </row>
    <row r="23" ht="24.0" customHeight="1">
      <c r="B23" s="76" t="s">
        <v>110</v>
      </c>
      <c r="C23" s="77"/>
      <c r="D23" s="77"/>
      <c r="E23" s="77"/>
      <c r="F23" s="77"/>
      <c r="G23" s="77"/>
      <c r="H23" s="77"/>
      <c r="I23" s="77"/>
      <c r="J23" s="78"/>
    </row>
    <row r="24" ht="6.0" customHeight="1"/>
    <row r="25" ht="24.0" customHeight="1">
      <c r="B25" s="79" t="s">
        <v>111</v>
      </c>
      <c r="C25" s="80"/>
      <c r="D25" s="80"/>
      <c r="E25" s="80"/>
      <c r="F25" s="80"/>
      <c r="G25" s="80"/>
      <c r="H25" s="80"/>
      <c r="I25" s="80"/>
      <c r="J25" s="81"/>
    </row>
    <row r="26" ht="6.0" customHeight="1"/>
    <row r="27" ht="24.0" customHeight="1">
      <c r="B27" s="82" t="s">
        <v>112</v>
      </c>
      <c r="C27" s="83"/>
      <c r="D27" s="83"/>
      <c r="E27" s="83"/>
      <c r="F27" s="83"/>
      <c r="G27" s="83"/>
      <c r="H27" s="83"/>
      <c r="I27" s="83"/>
      <c r="J27" s="84"/>
    </row>
    <row r="28" ht="6.0" customHeight="1"/>
    <row r="29" ht="24.0" customHeight="1">
      <c r="B29" s="82" t="s">
        <v>113</v>
      </c>
      <c r="C29" s="83"/>
      <c r="D29" s="83"/>
      <c r="E29" s="83"/>
      <c r="F29" s="83"/>
      <c r="G29" s="83"/>
      <c r="H29" s="83"/>
      <c r="I29" s="83"/>
      <c r="J29" s="84"/>
    </row>
    <row r="30" ht="6.0" customHeight="1"/>
    <row r="31" ht="24.0" customHeight="1">
      <c r="B31" s="85" t="s">
        <v>114</v>
      </c>
      <c r="C31" s="86"/>
      <c r="D31" s="86"/>
      <c r="E31" s="86"/>
      <c r="F31" s="86"/>
      <c r="G31" s="86"/>
      <c r="H31" s="86"/>
      <c r="I31" s="86"/>
      <c r="J31" s="87"/>
    </row>
    <row r="32" ht="6.0" customHeight="1"/>
    <row r="33" ht="24.0" customHeight="1">
      <c r="B33" s="88" t="s">
        <v>115</v>
      </c>
      <c r="C33" s="89"/>
      <c r="D33" s="89"/>
      <c r="E33" s="89"/>
      <c r="F33" s="89"/>
      <c r="G33" s="89"/>
      <c r="H33" s="89"/>
      <c r="I33" s="89"/>
      <c r="J33" s="90"/>
    </row>
    <row r="34" ht="6.0" customHeight="1"/>
    <row r="35" ht="15.75" customHeight="1"/>
    <row r="36" ht="12.0" customHeight="1"/>
    <row r="37" ht="18.0" customHeight="1">
      <c r="B37" s="31" t="s">
        <v>41</v>
      </c>
      <c r="C37" s="32"/>
      <c r="D37" s="32"/>
      <c r="E37" s="32"/>
      <c r="F37" s="32"/>
      <c r="G37" s="32"/>
      <c r="H37" s="32"/>
      <c r="I37" s="32"/>
      <c r="J37" s="32"/>
    </row>
    <row r="38" ht="18.0" customHeight="1">
      <c r="B38" s="33" t="s">
        <v>42</v>
      </c>
    </row>
    <row r="39" ht="18.0" customHeight="1">
      <c r="B39" s="33" t="s">
        <v>116</v>
      </c>
    </row>
    <row r="40" ht="18.0" customHeight="1">
      <c r="B40" s="33" t="s">
        <v>117</v>
      </c>
    </row>
    <row r="41" ht="18.0" customHeight="1">
      <c r="B41" s="33" t="s">
        <v>44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39:J39"/>
    <mergeCell ref="B40:J40"/>
    <mergeCell ref="B41:J41"/>
    <mergeCell ref="B23:J23"/>
    <mergeCell ref="B25:J25"/>
    <mergeCell ref="B27:J27"/>
    <mergeCell ref="B29:J29"/>
    <mergeCell ref="B31:J31"/>
    <mergeCell ref="B33:J33"/>
    <mergeCell ref="B38:J38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8.0"/>
    <col customWidth="1" min="3" max="3" width="18.0"/>
    <col customWidth="1" min="4" max="4" width="16.0"/>
    <col customWidth="1" min="5" max="5" width="38.0"/>
    <col customWidth="1" min="6" max="6" width="2.0"/>
    <col customWidth="1" min="7" max="26" width="8.71"/>
  </cols>
  <sheetData>
    <row r="2" ht="7.5" customHeight="1"/>
    <row r="3" ht="13.5" customHeight="1">
      <c r="B3" s="34" t="s">
        <v>118</v>
      </c>
    </row>
    <row r="4" ht="31.5" customHeight="1">
      <c r="B4" s="35" t="s">
        <v>119</v>
      </c>
    </row>
    <row r="5" ht="19.5" customHeight="1">
      <c r="B5" s="36" t="s">
        <v>120</v>
      </c>
    </row>
    <row r="6" ht="13.5" customHeight="1"/>
    <row r="7" ht="31.5" customHeight="1">
      <c r="B7" s="37" t="s">
        <v>121</v>
      </c>
      <c r="C7" s="38" t="s">
        <v>122</v>
      </c>
      <c r="D7" s="38" t="s">
        <v>104</v>
      </c>
      <c r="E7" s="37" t="s">
        <v>123</v>
      </c>
    </row>
    <row r="8" ht="31.5" customHeight="1">
      <c r="B8" s="91" t="s">
        <v>124</v>
      </c>
      <c r="C8" s="92">
        <v>439954.0</v>
      </c>
      <c r="D8" s="71">
        <f t="shared" ref="D8:D10" si="1">C8/SUM($C$8:$C$10)</f>
        <v>0.5126587515</v>
      </c>
      <c r="E8" s="93" t="s">
        <v>125</v>
      </c>
    </row>
    <row r="9" ht="31.5" customHeight="1">
      <c r="B9" s="94" t="s">
        <v>126</v>
      </c>
      <c r="C9" s="95">
        <v>408537.0</v>
      </c>
      <c r="D9" s="73">
        <f t="shared" si="1"/>
        <v>0.4760499242</v>
      </c>
      <c r="E9" s="96" t="s">
        <v>127</v>
      </c>
    </row>
    <row r="10" ht="31.5" customHeight="1">
      <c r="B10" s="97" t="s">
        <v>128</v>
      </c>
      <c r="C10" s="92">
        <v>9690.0</v>
      </c>
      <c r="D10" s="71">
        <f t="shared" si="1"/>
        <v>0.01129132432</v>
      </c>
      <c r="E10" s="93" t="s">
        <v>129</v>
      </c>
    </row>
    <row r="11" ht="36.0" customHeight="1">
      <c r="B11" s="64" t="s">
        <v>130</v>
      </c>
      <c r="C11" s="98">
        <f t="shared" ref="C11:D11" si="2">SUM(C8:C10)</f>
        <v>858181</v>
      </c>
      <c r="D11" s="99">
        <f t="shared" si="2"/>
        <v>1</v>
      </c>
      <c r="E11" s="20"/>
    </row>
    <row r="14" ht="27.75" customHeight="1">
      <c r="B14" s="21" t="s">
        <v>131</v>
      </c>
    </row>
    <row r="15" ht="18.0" customHeight="1">
      <c r="B15" s="100" t="s">
        <v>132</v>
      </c>
    </row>
    <row r="17" ht="27.75" customHeight="1">
      <c r="B17" s="37" t="s">
        <v>133</v>
      </c>
      <c r="C17" s="38" t="s">
        <v>95</v>
      </c>
      <c r="D17" s="38" t="s">
        <v>134</v>
      </c>
      <c r="E17" s="38" t="s">
        <v>135</v>
      </c>
    </row>
    <row r="18" ht="27.75" customHeight="1">
      <c r="B18" s="101" t="s">
        <v>136</v>
      </c>
      <c r="C18" s="102">
        <v>1391455.0</v>
      </c>
      <c r="D18" s="102">
        <f t="shared" ref="D18:D20" si="3">C18/163</f>
        <v>8536.533742</v>
      </c>
      <c r="E18" s="103">
        <f t="shared" ref="E18:E20" si="4">C18/1391455</f>
        <v>1</v>
      </c>
    </row>
    <row r="19" ht="27.75" customHeight="1">
      <c r="B19" s="104" t="s">
        <v>137</v>
      </c>
      <c r="C19" s="105">
        <v>858181.0</v>
      </c>
      <c r="D19" s="105">
        <f t="shared" si="3"/>
        <v>5264.91411</v>
      </c>
      <c r="E19" s="106">
        <f t="shared" si="4"/>
        <v>0.6167508112</v>
      </c>
    </row>
    <row r="20" ht="27.75" customHeight="1">
      <c r="B20" s="101" t="s">
        <v>138</v>
      </c>
      <c r="C20" s="107">
        <v>533274.0</v>
      </c>
      <c r="D20" s="107">
        <f t="shared" si="3"/>
        <v>3271.619632</v>
      </c>
      <c r="E20" s="103">
        <f t="shared" si="4"/>
        <v>0.3832491888</v>
      </c>
    </row>
    <row r="21" ht="10.5" customHeight="1"/>
    <row r="22" ht="27.75" customHeight="1">
      <c r="B22" s="108" t="s">
        <v>139</v>
      </c>
      <c r="C22" s="40">
        <v>177292.0</v>
      </c>
      <c r="D22" s="40">
        <f t="shared" ref="D22:D26" si="5">C22/163</f>
        <v>1087.680982</v>
      </c>
      <c r="E22" s="109">
        <f t="shared" ref="E22:E26" si="6">C22/1391455</f>
        <v>0.1274148284</v>
      </c>
    </row>
    <row r="23" ht="27.75" customHeight="1">
      <c r="B23" s="110" t="s">
        <v>140</v>
      </c>
      <c r="C23" s="47">
        <v>22695.0</v>
      </c>
      <c r="D23" s="47">
        <f t="shared" si="5"/>
        <v>139.2331288</v>
      </c>
      <c r="E23" s="111">
        <f t="shared" si="6"/>
        <v>0.01631026515</v>
      </c>
    </row>
    <row r="24" ht="27.75" customHeight="1">
      <c r="B24" s="108" t="s">
        <v>141</v>
      </c>
      <c r="C24" s="40">
        <v>34658.0</v>
      </c>
      <c r="D24" s="40">
        <f t="shared" si="5"/>
        <v>212.6257669</v>
      </c>
      <c r="E24" s="109">
        <f t="shared" si="6"/>
        <v>0.02490774046</v>
      </c>
    </row>
    <row r="25" ht="27.75" customHeight="1">
      <c r="B25" s="110" t="s">
        <v>142</v>
      </c>
      <c r="C25" s="47">
        <v>15682.0</v>
      </c>
      <c r="D25" s="47">
        <f t="shared" si="5"/>
        <v>96.20858896</v>
      </c>
      <c r="E25" s="111">
        <f t="shared" si="6"/>
        <v>0.01127021715</v>
      </c>
    </row>
    <row r="26" ht="27.75" customHeight="1">
      <c r="B26" s="108" t="s">
        <v>143</v>
      </c>
      <c r="C26" s="40">
        <v>9742.0</v>
      </c>
      <c r="D26" s="40">
        <f t="shared" si="5"/>
        <v>59.76687117</v>
      </c>
      <c r="E26" s="109">
        <f t="shared" si="6"/>
        <v>0.00700130439</v>
      </c>
    </row>
    <row r="27" ht="15.75" customHeight="1"/>
    <row r="28" ht="15.75" customHeight="1"/>
    <row r="29" ht="12.0" customHeight="1"/>
    <row r="30" ht="18.0" customHeight="1">
      <c r="B30" s="31" t="s">
        <v>41</v>
      </c>
      <c r="C30" s="32"/>
      <c r="D30" s="32"/>
      <c r="E30" s="32"/>
      <c r="F30" s="32"/>
      <c r="G30" s="32"/>
    </row>
    <row r="31" ht="18.0" customHeight="1">
      <c r="B31" s="33" t="s">
        <v>42</v>
      </c>
    </row>
    <row r="32" ht="18.0" customHeight="1">
      <c r="B32" s="33" t="s">
        <v>144</v>
      </c>
    </row>
    <row r="33" ht="18.0" customHeight="1">
      <c r="B33" s="33" t="s">
        <v>145</v>
      </c>
    </row>
    <row r="34" ht="18.0" customHeight="1">
      <c r="B34" s="33" t="s">
        <v>44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31:G31"/>
    <mergeCell ref="B32:G32"/>
    <mergeCell ref="B33:G33"/>
    <mergeCell ref="B34:G34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3" width="18.0"/>
    <col customWidth="1" min="4" max="4" width="14.0"/>
    <col customWidth="1" min="5" max="5" width="32.0"/>
    <col customWidth="1" min="6" max="6" width="2.0"/>
    <col customWidth="1" min="7" max="26" width="8.71"/>
  </cols>
  <sheetData>
    <row r="2" ht="7.5" customHeight="1"/>
    <row r="3" ht="13.5" customHeight="1">
      <c r="B3" s="34" t="s">
        <v>146</v>
      </c>
    </row>
    <row r="4" ht="31.5" customHeight="1">
      <c r="B4" s="35" t="s">
        <v>147</v>
      </c>
    </row>
    <row r="5" ht="19.5" customHeight="1">
      <c r="B5" s="36" t="s">
        <v>148</v>
      </c>
    </row>
    <row r="6" ht="13.5" customHeight="1"/>
    <row r="7" ht="31.5" customHeight="1">
      <c r="B7" s="37" t="s">
        <v>149</v>
      </c>
      <c r="C7" s="112" t="s">
        <v>150</v>
      </c>
      <c r="D7" s="38" t="s">
        <v>151</v>
      </c>
      <c r="E7" s="37" t="s">
        <v>152</v>
      </c>
    </row>
    <row r="8" ht="31.5" customHeight="1">
      <c r="B8" s="113" t="s">
        <v>153</v>
      </c>
      <c r="C8" s="114" t="s">
        <v>154</v>
      </c>
      <c r="D8" s="115">
        <v>1.0</v>
      </c>
      <c r="E8" s="93" t="s">
        <v>155</v>
      </c>
    </row>
    <row r="9" ht="31.5" customHeight="1">
      <c r="B9" s="116" t="s">
        <v>156</v>
      </c>
      <c r="C9" s="117" t="s">
        <v>157</v>
      </c>
      <c r="D9" s="118">
        <v>4.0</v>
      </c>
      <c r="E9" s="96" t="s">
        <v>158</v>
      </c>
    </row>
    <row r="10" ht="31.5" customHeight="1">
      <c r="B10" s="91" t="s">
        <v>159</v>
      </c>
      <c r="C10" s="114" t="s">
        <v>160</v>
      </c>
      <c r="D10" s="115">
        <v>8.0</v>
      </c>
      <c r="E10" s="93" t="s">
        <v>161</v>
      </c>
    </row>
    <row r="11" ht="31.5" customHeight="1">
      <c r="B11" s="94" t="s">
        <v>162</v>
      </c>
      <c r="C11" s="117" t="s">
        <v>163</v>
      </c>
      <c r="D11" s="118">
        <v>7.0</v>
      </c>
      <c r="E11" s="96" t="s">
        <v>164</v>
      </c>
    </row>
    <row r="12" ht="31.5" customHeight="1">
      <c r="B12" s="97" t="s">
        <v>165</v>
      </c>
      <c r="C12" s="114" t="s">
        <v>166</v>
      </c>
      <c r="D12" s="115">
        <v>8.0</v>
      </c>
      <c r="E12" s="93" t="s">
        <v>167</v>
      </c>
    </row>
    <row r="13" ht="33.75" customHeight="1">
      <c r="B13" s="64" t="s">
        <v>168</v>
      </c>
      <c r="C13" s="20"/>
      <c r="D13" s="119">
        <f>SUM(D8:D12)</f>
        <v>28</v>
      </c>
      <c r="E13" s="20"/>
    </row>
    <row r="16" ht="27.75" customHeight="1">
      <c r="B16" s="21" t="s">
        <v>169</v>
      </c>
    </row>
    <row r="17" ht="6.0" customHeight="1"/>
    <row r="18" ht="27.75" customHeight="1">
      <c r="B18" s="22" t="s">
        <v>170</v>
      </c>
      <c r="C18" s="120" t="s">
        <v>171</v>
      </c>
      <c r="D18" s="24"/>
      <c r="E18" s="24"/>
    </row>
    <row r="19" ht="27.75" customHeight="1">
      <c r="B19" s="22" t="s">
        <v>172</v>
      </c>
      <c r="C19" s="121" t="s">
        <v>173</v>
      </c>
      <c r="D19" s="24"/>
      <c r="E19" s="24"/>
    </row>
    <row r="20" ht="27.75" customHeight="1">
      <c r="B20" s="22" t="s">
        <v>174</v>
      </c>
      <c r="C20" s="122" t="s">
        <v>175</v>
      </c>
      <c r="D20" s="24"/>
      <c r="E20" s="24"/>
    </row>
    <row r="21" ht="27.75" customHeight="1">
      <c r="B21" s="22" t="s">
        <v>176</v>
      </c>
      <c r="C21" s="123" t="s">
        <v>177</v>
      </c>
      <c r="D21" s="24"/>
      <c r="E21" s="24"/>
    </row>
    <row r="22" ht="27.75" customHeight="1">
      <c r="B22" s="22" t="s">
        <v>178</v>
      </c>
      <c r="C22" s="124" t="s">
        <v>179</v>
      </c>
      <c r="D22" s="24"/>
      <c r="E22" s="24"/>
    </row>
    <row r="23" ht="27.75" customHeight="1">
      <c r="B23" s="22" t="s">
        <v>180</v>
      </c>
      <c r="C23" s="125" t="s">
        <v>181</v>
      </c>
      <c r="D23" s="24"/>
      <c r="E23" s="24"/>
    </row>
    <row r="24" ht="15.75" customHeight="1"/>
    <row r="25" ht="15.75" customHeight="1"/>
    <row r="26" ht="12.0" customHeight="1"/>
    <row r="27" ht="18.0" customHeight="1">
      <c r="B27" s="31" t="s">
        <v>41</v>
      </c>
      <c r="C27" s="32"/>
      <c r="D27" s="32"/>
      <c r="E27" s="32"/>
    </row>
    <row r="28" ht="18.0" customHeight="1">
      <c r="B28" s="33" t="s">
        <v>42</v>
      </c>
    </row>
    <row r="29" ht="18.0" customHeight="1">
      <c r="B29" s="33" t="s">
        <v>182</v>
      </c>
    </row>
    <row r="30" ht="18.0" customHeight="1">
      <c r="B30" s="33" t="s">
        <v>183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8:E28"/>
    <mergeCell ref="B29:E29"/>
    <mergeCell ref="B30:E30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.0"/>
    <col customWidth="1" min="3" max="3" width="38.0"/>
    <col customWidth="1" min="4" max="4" width="60.0"/>
    <col customWidth="1" min="5" max="5" width="2.0"/>
    <col customWidth="1" min="6" max="26" width="8.71"/>
  </cols>
  <sheetData>
    <row r="2" ht="7.5" customHeight="1"/>
    <row r="3" ht="13.5" customHeight="1">
      <c r="B3" s="34" t="s">
        <v>184</v>
      </c>
    </row>
    <row r="4" ht="31.5" customHeight="1">
      <c r="B4" s="35" t="s">
        <v>185</v>
      </c>
    </row>
    <row r="5" ht="19.5" customHeight="1">
      <c r="B5" s="36" t="s">
        <v>186</v>
      </c>
    </row>
    <row r="6" ht="18.0" customHeight="1"/>
    <row r="7" ht="3.75" customHeight="1">
      <c r="B7" s="126"/>
      <c r="C7" s="20"/>
      <c r="D7" s="20"/>
    </row>
    <row r="8" ht="25.5" customHeight="1">
      <c r="B8" s="126"/>
      <c r="C8" s="127" t="s">
        <v>70</v>
      </c>
      <c r="D8" s="128" t="s">
        <v>187</v>
      </c>
    </row>
    <row r="9" ht="60.0" customHeight="1">
      <c r="B9" s="126"/>
      <c r="C9" s="129" t="s">
        <v>188</v>
      </c>
      <c r="D9" s="130"/>
    </row>
    <row r="10" ht="12.0" customHeight="1"/>
    <row r="11" ht="3.75" customHeight="1">
      <c r="B11" s="9"/>
      <c r="C11" s="20"/>
      <c r="D11" s="20"/>
    </row>
    <row r="12" ht="25.5" customHeight="1">
      <c r="B12" s="9"/>
      <c r="C12" s="131" t="s">
        <v>189</v>
      </c>
      <c r="D12" s="128" t="s">
        <v>190</v>
      </c>
    </row>
    <row r="13" ht="60.0" customHeight="1">
      <c r="B13" s="9"/>
      <c r="C13" s="129" t="s">
        <v>191</v>
      </c>
      <c r="D13" s="130"/>
    </row>
    <row r="14" ht="12.0" customHeight="1"/>
    <row r="15" ht="3.75" customHeight="1">
      <c r="B15" s="9"/>
      <c r="C15" s="20"/>
      <c r="D15" s="20"/>
    </row>
    <row r="16" ht="25.5" customHeight="1">
      <c r="B16" s="9"/>
      <c r="C16" s="131" t="s">
        <v>189</v>
      </c>
      <c r="D16" s="128" t="s">
        <v>192</v>
      </c>
    </row>
    <row r="17" ht="60.0" customHeight="1">
      <c r="B17" s="9"/>
      <c r="C17" s="129" t="s">
        <v>193</v>
      </c>
      <c r="D17" s="130"/>
    </row>
    <row r="18" ht="12.0" customHeight="1"/>
    <row r="19" ht="3.75" customHeight="1">
      <c r="B19" s="7"/>
      <c r="C19" s="20"/>
      <c r="D19" s="20"/>
    </row>
    <row r="20" ht="25.5" customHeight="1">
      <c r="B20" s="7"/>
      <c r="C20" s="132" t="s">
        <v>194</v>
      </c>
      <c r="D20" s="128" t="s">
        <v>195</v>
      </c>
    </row>
    <row r="21" ht="60.0" customHeight="1">
      <c r="B21" s="7"/>
      <c r="C21" s="129" t="s">
        <v>196</v>
      </c>
      <c r="D21" s="130"/>
    </row>
    <row r="22" ht="12.0" customHeight="1"/>
    <row r="23" ht="3.75" customHeight="1">
      <c r="B23" s="7"/>
      <c r="C23" s="20"/>
      <c r="D23" s="20"/>
    </row>
    <row r="24" ht="25.5" customHeight="1">
      <c r="B24" s="7"/>
      <c r="C24" s="132" t="s">
        <v>194</v>
      </c>
      <c r="D24" s="128" t="s">
        <v>197</v>
      </c>
    </row>
    <row r="25" ht="60.0" customHeight="1">
      <c r="B25" s="7"/>
      <c r="C25" s="129" t="s">
        <v>198</v>
      </c>
      <c r="D25" s="130"/>
    </row>
    <row r="26" ht="12.0" customHeight="1"/>
    <row r="27" ht="3.75" customHeight="1">
      <c r="B27" s="8"/>
      <c r="C27" s="20"/>
      <c r="D27" s="20"/>
    </row>
    <row r="28" ht="25.5" customHeight="1">
      <c r="B28" s="8"/>
      <c r="C28" s="133" t="s">
        <v>199</v>
      </c>
      <c r="D28" s="128" t="s">
        <v>200</v>
      </c>
    </row>
    <row r="29" ht="60.0" customHeight="1">
      <c r="B29" s="8"/>
      <c r="C29" s="129" t="s">
        <v>201</v>
      </c>
      <c r="D29" s="130"/>
    </row>
    <row r="30" ht="12.0" customHeight="1"/>
    <row r="31" ht="3.75" customHeight="1">
      <c r="B31" s="8"/>
      <c r="C31" s="20"/>
      <c r="D31" s="20"/>
    </row>
    <row r="32" ht="25.5" customHeight="1">
      <c r="B32" s="8"/>
      <c r="C32" s="133" t="s">
        <v>199</v>
      </c>
      <c r="D32" s="128" t="s">
        <v>202</v>
      </c>
    </row>
    <row r="33" ht="60.0" customHeight="1">
      <c r="B33" s="8"/>
      <c r="C33" s="129" t="s">
        <v>203</v>
      </c>
      <c r="D33" s="130"/>
    </row>
    <row r="34" ht="12.0" customHeight="1"/>
    <row r="35" ht="3.75" customHeight="1">
      <c r="B35" s="10"/>
      <c r="C35" s="20"/>
      <c r="D35" s="20"/>
    </row>
    <row r="36" ht="25.5" customHeight="1">
      <c r="B36" s="10"/>
      <c r="C36" s="134" t="s">
        <v>204</v>
      </c>
      <c r="D36" s="128" t="s">
        <v>205</v>
      </c>
    </row>
    <row r="37" ht="60.0" customHeight="1">
      <c r="B37" s="10"/>
      <c r="C37" s="129" t="s">
        <v>206</v>
      </c>
      <c r="D37" s="130"/>
    </row>
    <row r="38" ht="12.0" customHeight="1"/>
    <row r="39" ht="15.75" customHeight="1"/>
    <row r="40" ht="12.0" customHeight="1"/>
    <row r="41" ht="18.0" customHeight="1">
      <c r="B41" s="31" t="s">
        <v>41</v>
      </c>
      <c r="C41" s="32"/>
      <c r="D41" s="32"/>
      <c r="E41" s="32"/>
      <c r="F41" s="32"/>
      <c r="G41" s="32"/>
    </row>
    <row r="42" ht="18.0" customHeight="1">
      <c r="B42" s="33" t="s">
        <v>42</v>
      </c>
    </row>
    <row r="43" ht="18.0" customHeight="1">
      <c r="B43" s="33" t="s">
        <v>207</v>
      </c>
    </row>
    <row r="44" ht="18.0" customHeight="1">
      <c r="B44" s="33" t="s">
        <v>44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29:D29"/>
    <mergeCell ref="C33:D33"/>
    <mergeCell ref="C37:D37"/>
    <mergeCell ref="B42:G42"/>
    <mergeCell ref="B43:G43"/>
    <mergeCell ref="B44:G44"/>
    <mergeCell ref="B4:D4"/>
    <mergeCell ref="B5:D5"/>
    <mergeCell ref="C9:D9"/>
    <mergeCell ref="C13:D13"/>
    <mergeCell ref="C17:D17"/>
    <mergeCell ref="C21:D21"/>
    <mergeCell ref="C25:D25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6.0"/>
    <col customWidth="1" min="3" max="7" width="14.0"/>
    <col customWidth="1" min="8" max="8" width="16.0"/>
    <col customWidth="1" min="9" max="9" width="2.0"/>
    <col customWidth="1" min="10" max="26" width="8.71"/>
  </cols>
  <sheetData>
    <row r="2" ht="7.5" customHeight="1"/>
    <row r="3" ht="13.5" customHeight="1">
      <c r="B3" s="34" t="s">
        <v>208</v>
      </c>
    </row>
    <row r="4" ht="31.5" customHeight="1">
      <c r="B4" s="35" t="s">
        <v>209</v>
      </c>
    </row>
    <row r="5" ht="19.5" customHeight="1">
      <c r="B5" s="36" t="s">
        <v>210</v>
      </c>
    </row>
    <row r="6" ht="13.5" customHeight="1"/>
    <row r="7" ht="31.5" customHeight="1">
      <c r="B7" s="37" t="s">
        <v>48</v>
      </c>
      <c r="C7" s="38" t="s">
        <v>53</v>
      </c>
      <c r="D7" s="38" t="s">
        <v>211</v>
      </c>
      <c r="E7" s="38" t="s">
        <v>212</v>
      </c>
      <c r="F7" s="38" t="s">
        <v>213</v>
      </c>
      <c r="G7" s="38" t="s">
        <v>102</v>
      </c>
      <c r="H7" s="38" t="s">
        <v>103</v>
      </c>
      <c r="I7" s="38" t="s">
        <v>54</v>
      </c>
    </row>
    <row r="8" ht="25.5" customHeight="1">
      <c r="B8" s="39" t="s">
        <v>56</v>
      </c>
      <c r="C8" s="43">
        <v>165.0</v>
      </c>
      <c r="D8" s="40">
        <v>6023.0</v>
      </c>
      <c r="E8" s="135">
        <f t="shared" ref="E8:E16" si="1">C8/163</f>
        <v>1.012269939</v>
      </c>
      <c r="F8" s="136">
        <f t="shared" ref="F8:F16" si="2">C8/816</f>
        <v>0.2022058824</v>
      </c>
      <c r="G8" s="40">
        <f t="shared" ref="G8:G16" si="3">D8/163</f>
        <v>36.95092025</v>
      </c>
      <c r="H8" s="40">
        <f t="shared" ref="H8:H16" si="4">D8/816</f>
        <v>7.381127451</v>
      </c>
    </row>
    <row r="9" ht="25.5" customHeight="1">
      <c r="B9" s="46" t="s">
        <v>214</v>
      </c>
      <c r="C9" s="50">
        <v>872.0</v>
      </c>
      <c r="D9" s="47">
        <v>19354.0</v>
      </c>
      <c r="E9" s="137">
        <f t="shared" si="1"/>
        <v>5.349693252</v>
      </c>
      <c r="F9" s="138">
        <f t="shared" si="2"/>
        <v>1.068627451</v>
      </c>
      <c r="G9" s="47">
        <f t="shared" si="3"/>
        <v>118.7361963</v>
      </c>
      <c r="H9" s="47">
        <f t="shared" si="4"/>
        <v>23.71813725</v>
      </c>
    </row>
    <row r="10" ht="25.5" customHeight="1">
      <c r="B10" s="39" t="s">
        <v>215</v>
      </c>
      <c r="C10" s="43">
        <v>238.0</v>
      </c>
      <c r="D10" s="40">
        <v>5424.0</v>
      </c>
      <c r="E10" s="135">
        <f t="shared" si="1"/>
        <v>1.460122699</v>
      </c>
      <c r="F10" s="136">
        <f t="shared" si="2"/>
        <v>0.2916666667</v>
      </c>
      <c r="G10" s="40">
        <f t="shared" si="3"/>
        <v>33.27607362</v>
      </c>
      <c r="H10" s="40">
        <f t="shared" si="4"/>
        <v>6.647058824</v>
      </c>
    </row>
    <row r="11" ht="25.5" customHeight="1">
      <c r="B11" s="46" t="s">
        <v>216</v>
      </c>
      <c r="C11" s="50">
        <v>9320.0</v>
      </c>
      <c r="D11" s="47">
        <v>177292.0</v>
      </c>
      <c r="E11" s="137">
        <f t="shared" si="1"/>
        <v>57.17791411</v>
      </c>
      <c r="F11" s="138">
        <f t="shared" si="2"/>
        <v>11.42156863</v>
      </c>
      <c r="G11" s="47">
        <f t="shared" si="3"/>
        <v>1087.680982</v>
      </c>
      <c r="H11" s="47">
        <f t="shared" si="4"/>
        <v>217.2696078</v>
      </c>
    </row>
    <row r="12" ht="25.5" customHeight="1">
      <c r="B12" s="39" t="s">
        <v>217</v>
      </c>
      <c r="C12" s="43">
        <v>1841.0</v>
      </c>
      <c r="D12" s="40">
        <v>34658.0</v>
      </c>
      <c r="E12" s="135">
        <f t="shared" si="1"/>
        <v>11.29447853</v>
      </c>
      <c r="F12" s="136">
        <f t="shared" si="2"/>
        <v>2.256127451</v>
      </c>
      <c r="G12" s="40">
        <f t="shared" si="3"/>
        <v>212.6257669</v>
      </c>
      <c r="H12" s="40">
        <f t="shared" si="4"/>
        <v>42.47303922</v>
      </c>
    </row>
    <row r="13" ht="25.5" customHeight="1">
      <c r="B13" s="46" t="s">
        <v>218</v>
      </c>
      <c r="C13" s="50">
        <v>800.0</v>
      </c>
      <c r="D13" s="47">
        <v>15756.0</v>
      </c>
      <c r="E13" s="137">
        <f t="shared" si="1"/>
        <v>4.90797546</v>
      </c>
      <c r="F13" s="138">
        <f t="shared" si="2"/>
        <v>0.9803921569</v>
      </c>
      <c r="G13" s="47">
        <f t="shared" si="3"/>
        <v>96.66257669</v>
      </c>
      <c r="H13" s="47">
        <f t="shared" si="4"/>
        <v>19.30882353</v>
      </c>
    </row>
    <row r="14" ht="25.5" customHeight="1">
      <c r="B14" s="39" t="s">
        <v>219</v>
      </c>
      <c r="C14" s="43">
        <v>379.0</v>
      </c>
      <c r="D14" s="40">
        <v>9784.0</v>
      </c>
      <c r="E14" s="135">
        <f t="shared" si="1"/>
        <v>2.325153374</v>
      </c>
      <c r="F14" s="136">
        <f t="shared" si="2"/>
        <v>0.4644607843</v>
      </c>
      <c r="G14" s="40">
        <f t="shared" si="3"/>
        <v>60.02453988</v>
      </c>
      <c r="H14" s="40">
        <f t="shared" si="4"/>
        <v>11.99019608</v>
      </c>
    </row>
    <row r="15" ht="25.5" customHeight="1">
      <c r="B15" s="46" t="s">
        <v>220</v>
      </c>
      <c r="C15" s="50">
        <v>338.0</v>
      </c>
      <c r="D15" s="47">
        <v>6781.0</v>
      </c>
      <c r="E15" s="137">
        <f t="shared" si="1"/>
        <v>2.073619632</v>
      </c>
      <c r="F15" s="138">
        <f t="shared" si="2"/>
        <v>0.4142156863</v>
      </c>
      <c r="G15" s="47">
        <f t="shared" si="3"/>
        <v>41.60122699</v>
      </c>
      <c r="H15" s="47">
        <f t="shared" si="4"/>
        <v>8.31004902</v>
      </c>
    </row>
    <row r="16" ht="33.75" customHeight="1">
      <c r="B16" s="64" t="s">
        <v>221</v>
      </c>
      <c r="C16" s="68">
        <f t="shared" ref="C16:D16" si="5">SUM(C8:C15)</f>
        <v>13953</v>
      </c>
      <c r="D16" s="65">
        <f t="shared" si="5"/>
        <v>275072</v>
      </c>
      <c r="E16" s="139">
        <f t="shared" si="1"/>
        <v>85.60122699</v>
      </c>
      <c r="F16" s="140">
        <f t="shared" si="2"/>
        <v>17.09926471</v>
      </c>
      <c r="G16" s="65">
        <f t="shared" si="3"/>
        <v>1687.558282</v>
      </c>
      <c r="H16" s="65">
        <f t="shared" si="4"/>
        <v>337.0980392</v>
      </c>
    </row>
    <row r="19" ht="27.75" customHeight="1">
      <c r="B19" s="21" t="s">
        <v>222</v>
      </c>
    </row>
    <row r="20" ht="18.0" customHeight="1">
      <c r="B20" s="100" t="s">
        <v>223</v>
      </c>
    </row>
    <row r="21" ht="15.75" customHeight="1"/>
    <row r="22" ht="25.5" customHeight="1">
      <c r="B22" s="22" t="s">
        <v>224</v>
      </c>
      <c r="C22" s="141" t="s">
        <v>225</v>
      </c>
      <c r="D22" s="142"/>
      <c r="E22" s="24"/>
      <c r="F22" s="24"/>
      <c r="G22" s="24"/>
      <c r="H22" s="24"/>
    </row>
    <row r="23" ht="25.5" customHeight="1">
      <c r="B23" s="22" t="s">
        <v>226</v>
      </c>
      <c r="C23" s="143">
        <f>163/17</f>
        <v>9.588235294</v>
      </c>
      <c r="D23" s="142"/>
      <c r="E23" s="24"/>
      <c r="F23" s="24"/>
      <c r="G23" s="24"/>
      <c r="H23" s="24"/>
    </row>
    <row r="24" ht="25.5" customHeight="1">
      <c r="B24" s="22" t="s">
        <v>227</v>
      </c>
      <c r="C24" s="144">
        <f>816/17</f>
        <v>48</v>
      </c>
      <c r="D24" s="142"/>
      <c r="E24" s="24"/>
      <c r="F24" s="24"/>
      <c r="G24" s="24"/>
      <c r="H24" s="24"/>
    </row>
    <row r="25" ht="25.5" customHeight="1">
      <c r="B25" s="22" t="s">
        <v>228</v>
      </c>
      <c r="C25" s="145">
        <f>14607/17</f>
        <v>859.2352941</v>
      </c>
      <c r="D25" s="142"/>
      <c r="E25" s="24"/>
      <c r="F25" s="24"/>
      <c r="G25" s="24"/>
      <c r="H25" s="24"/>
    </row>
    <row r="26" ht="25.5" customHeight="1">
      <c r="B26" s="22" t="s">
        <v>229</v>
      </c>
      <c r="C26" s="146">
        <f>1391455/17</f>
        <v>81850.29412</v>
      </c>
      <c r="D26" s="142"/>
      <c r="E26" s="24"/>
      <c r="F26" s="24"/>
      <c r="G26" s="24"/>
      <c r="H26" s="24"/>
    </row>
    <row r="27" ht="25.5" customHeight="1">
      <c r="B27" s="22" t="s">
        <v>230</v>
      </c>
      <c r="C27" s="147">
        <f>14607/28</f>
        <v>521.6785714</v>
      </c>
      <c r="D27" s="142"/>
      <c r="E27" s="24"/>
      <c r="F27" s="24"/>
      <c r="G27" s="24"/>
      <c r="H27" s="24"/>
    </row>
    <row r="28" ht="25.5" customHeight="1">
      <c r="B28" s="22" t="s">
        <v>231</v>
      </c>
      <c r="C28" s="148">
        <f>(14607/28)/8</f>
        <v>65.20982143</v>
      </c>
      <c r="D28" s="142"/>
      <c r="E28" s="24"/>
      <c r="F28" s="24"/>
      <c r="G28" s="24"/>
      <c r="H28" s="24"/>
    </row>
    <row r="29" ht="25.5" customHeight="1">
      <c r="B29" s="22" t="s">
        <v>232</v>
      </c>
      <c r="C29" s="149">
        <f>28/163*100</f>
        <v>17.17791411</v>
      </c>
      <c r="D29" s="142"/>
      <c r="E29" s="24"/>
      <c r="F29" s="24"/>
      <c r="G29" s="24"/>
      <c r="H29" s="24"/>
    </row>
    <row r="30" ht="15.75" customHeight="1"/>
    <row r="31" ht="15.75" customHeight="1"/>
    <row r="32" ht="27.75" customHeight="1">
      <c r="B32" s="21" t="s">
        <v>233</v>
      </c>
    </row>
    <row r="33" ht="15.75" customHeight="1"/>
    <row r="34" ht="25.5" customHeight="1">
      <c r="B34" s="22" t="s">
        <v>234</v>
      </c>
      <c r="C34" s="150" t="s">
        <v>171</v>
      </c>
      <c r="D34" s="142"/>
      <c r="E34" s="24"/>
      <c r="F34" s="24"/>
      <c r="G34" s="24"/>
      <c r="H34" s="24"/>
    </row>
    <row r="35" ht="25.5" customHeight="1">
      <c r="B35" s="22" t="s">
        <v>235</v>
      </c>
      <c r="C35" s="151" t="s">
        <v>173</v>
      </c>
      <c r="D35" s="142"/>
      <c r="E35" s="24"/>
      <c r="F35" s="24"/>
      <c r="G35" s="24"/>
      <c r="H35" s="24"/>
    </row>
    <row r="36" ht="25.5" customHeight="1">
      <c r="B36" s="22" t="s">
        <v>236</v>
      </c>
      <c r="C36" s="152" t="s">
        <v>175</v>
      </c>
      <c r="D36" s="142"/>
      <c r="E36" s="24"/>
      <c r="F36" s="24"/>
      <c r="G36" s="24"/>
      <c r="H36" s="24"/>
    </row>
    <row r="37" ht="25.5" customHeight="1">
      <c r="B37" s="22" t="s">
        <v>237</v>
      </c>
      <c r="C37" s="152" t="s">
        <v>238</v>
      </c>
      <c r="D37" s="142"/>
      <c r="E37" s="24"/>
      <c r="F37" s="24"/>
      <c r="G37" s="24"/>
      <c r="H37" s="24"/>
    </row>
    <row r="38" ht="25.5" customHeight="1">
      <c r="B38" s="22" t="s">
        <v>239</v>
      </c>
      <c r="C38" s="153">
        <f>1391455/14607</f>
        <v>95.25946464</v>
      </c>
      <c r="D38" s="142"/>
      <c r="E38" s="24"/>
      <c r="F38" s="24"/>
      <c r="G38" s="24"/>
      <c r="H38" s="24"/>
    </row>
    <row r="39" ht="25.5" customHeight="1">
      <c r="B39" s="22" t="s">
        <v>240</v>
      </c>
      <c r="C39" s="153">
        <f>533274/14607</f>
        <v>36.50811255</v>
      </c>
      <c r="D39" s="142"/>
      <c r="E39" s="24"/>
      <c r="F39" s="24"/>
      <c r="G39" s="24"/>
      <c r="H39" s="24"/>
    </row>
    <row r="40" ht="25.5" customHeight="1">
      <c r="B40" s="22" t="s">
        <v>241</v>
      </c>
      <c r="C40" s="154">
        <f>439954/1391455</f>
        <v>0.3161827008</v>
      </c>
      <c r="D40" s="142"/>
      <c r="E40" s="24"/>
      <c r="F40" s="24"/>
      <c r="G40" s="24"/>
      <c r="H40" s="24"/>
    </row>
    <row r="41" ht="25.5" customHeight="1">
      <c r="B41" s="22" t="s">
        <v>242</v>
      </c>
      <c r="C41" s="154">
        <f>408537/1391455</f>
        <v>0.2936041769</v>
      </c>
      <c r="D41" s="142"/>
      <c r="E41" s="24"/>
      <c r="F41" s="24"/>
      <c r="G41" s="24"/>
      <c r="H41" s="24"/>
    </row>
    <row r="42" ht="25.5" customHeight="1">
      <c r="B42" s="22" t="s">
        <v>243</v>
      </c>
      <c r="C42" s="141" t="s">
        <v>181</v>
      </c>
      <c r="D42" s="142"/>
      <c r="E42" s="24"/>
      <c r="F42" s="24"/>
      <c r="G42" s="24"/>
      <c r="H42" s="24"/>
    </row>
    <row r="43" ht="15.75" customHeight="1"/>
    <row r="44" ht="15.75" customHeight="1"/>
    <row r="45" ht="12.0" customHeight="1"/>
    <row r="46" ht="18.0" customHeight="1">
      <c r="B46" s="31" t="s">
        <v>41</v>
      </c>
      <c r="C46" s="32"/>
      <c r="D46" s="32"/>
      <c r="E46" s="32"/>
      <c r="F46" s="32"/>
      <c r="G46" s="32"/>
    </row>
    <row r="47" ht="18.0" customHeight="1">
      <c r="B47" s="33" t="s">
        <v>42</v>
      </c>
    </row>
    <row r="48" ht="18.0" customHeight="1">
      <c r="B48" s="33" t="s">
        <v>244</v>
      </c>
    </row>
    <row r="49" ht="18.0" customHeight="1">
      <c r="B49" s="33" t="s">
        <v>245</v>
      </c>
    </row>
    <row r="50" ht="18.0" customHeight="1">
      <c r="B50" s="33" t="s">
        <v>44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C22:D22"/>
    <mergeCell ref="C23:D23"/>
    <mergeCell ref="C24:D24"/>
    <mergeCell ref="C25:D25"/>
    <mergeCell ref="C26:D26"/>
    <mergeCell ref="C27:D27"/>
    <mergeCell ref="C28:D28"/>
    <mergeCell ref="C40:D40"/>
    <mergeCell ref="C41:D41"/>
    <mergeCell ref="C42:D42"/>
    <mergeCell ref="B47:G47"/>
    <mergeCell ref="B48:G48"/>
    <mergeCell ref="B49:G49"/>
    <mergeCell ref="B50:G50"/>
    <mergeCell ref="C29:D29"/>
    <mergeCell ref="C34:D34"/>
    <mergeCell ref="C35:D35"/>
    <mergeCell ref="C36:D36"/>
    <mergeCell ref="C37:D37"/>
    <mergeCell ref="C38:D38"/>
    <mergeCell ref="C39:D39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3" width="28.0"/>
    <col customWidth="1" min="4" max="4" width="24.43"/>
    <col customWidth="1" min="5" max="5" width="16.0"/>
    <col customWidth="1" min="6" max="6" width="38.0"/>
    <col customWidth="1" min="7" max="26" width="8.71"/>
  </cols>
  <sheetData>
    <row r="2" ht="7.5" customHeight="1"/>
    <row r="3" ht="13.5" customHeight="1">
      <c r="B3" s="34" t="s">
        <v>246</v>
      </c>
    </row>
    <row r="4" ht="31.5" customHeight="1">
      <c r="B4" s="35" t="s">
        <v>247</v>
      </c>
    </row>
    <row r="5" ht="19.5" customHeight="1">
      <c r="B5" s="36" t="s">
        <v>248</v>
      </c>
    </row>
    <row r="6" ht="13.5" customHeight="1"/>
    <row r="7" ht="31.5" customHeight="1">
      <c r="B7" s="37" t="s">
        <v>249</v>
      </c>
      <c r="C7" s="37" t="s">
        <v>250</v>
      </c>
      <c r="D7" s="37" t="s">
        <v>251</v>
      </c>
      <c r="E7" s="37" t="s">
        <v>252</v>
      </c>
      <c r="F7" s="37" t="s">
        <v>253</v>
      </c>
    </row>
    <row r="8" ht="25.5" customHeight="1">
      <c r="B8" s="39" t="s">
        <v>254</v>
      </c>
      <c r="C8" s="155" t="s">
        <v>255</v>
      </c>
      <c r="D8" s="156" t="s">
        <v>256</v>
      </c>
      <c r="E8" s="60" t="s">
        <v>257</v>
      </c>
      <c r="F8" s="93" t="s">
        <v>258</v>
      </c>
    </row>
    <row r="9" ht="25.5" customHeight="1">
      <c r="B9" s="46" t="s">
        <v>25</v>
      </c>
      <c r="C9" s="157" t="s">
        <v>259</v>
      </c>
      <c r="D9" s="158">
        <v>163.0</v>
      </c>
      <c r="E9" s="60" t="s">
        <v>257</v>
      </c>
      <c r="F9" s="96" t="s">
        <v>260</v>
      </c>
    </row>
    <row r="10" ht="25.5" customHeight="1">
      <c r="B10" s="39" t="s">
        <v>261</v>
      </c>
      <c r="C10" s="155" t="s">
        <v>262</v>
      </c>
      <c r="D10" s="159">
        <v>816.0</v>
      </c>
      <c r="E10" s="60" t="s">
        <v>257</v>
      </c>
      <c r="F10" s="93" t="s">
        <v>263</v>
      </c>
    </row>
    <row r="11" ht="25.5" customHeight="1">
      <c r="B11" s="46" t="s">
        <v>264</v>
      </c>
      <c r="C11" s="157" t="s">
        <v>265</v>
      </c>
      <c r="D11" s="160">
        <f>816/163</f>
        <v>5.006134969</v>
      </c>
      <c r="E11" s="60" t="s">
        <v>257</v>
      </c>
      <c r="F11" s="96" t="s">
        <v>266</v>
      </c>
    </row>
    <row r="12" ht="25.5" customHeight="1">
      <c r="B12" s="39" t="s">
        <v>224</v>
      </c>
      <c r="C12" s="155" t="s">
        <v>267</v>
      </c>
      <c r="D12" s="161">
        <v>17.0</v>
      </c>
      <c r="E12" s="60" t="s">
        <v>257</v>
      </c>
      <c r="F12" s="93" t="s">
        <v>268</v>
      </c>
    </row>
    <row r="13" ht="25.5" customHeight="1">
      <c r="B13" s="46" t="s">
        <v>31</v>
      </c>
      <c r="C13" s="157" t="s">
        <v>269</v>
      </c>
      <c r="D13" s="105">
        <v>1394655.0</v>
      </c>
      <c r="E13" s="60" t="s">
        <v>257</v>
      </c>
      <c r="F13" s="96" t="s">
        <v>270</v>
      </c>
    </row>
    <row r="14" ht="25.5" customHeight="1">
      <c r="B14" s="39" t="s">
        <v>271</v>
      </c>
      <c r="C14" s="155" t="s">
        <v>272</v>
      </c>
      <c r="D14" s="162">
        <f>533274/1391455</f>
        <v>0.3832491888</v>
      </c>
      <c r="E14" s="45" t="s">
        <v>273</v>
      </c>
      <c r="F14" s="93" t="s">
        <v>274</v>
      </c>
    </row>
    <row r="15" ht="25.5" customHeight="1">
      <c r="B15" s="46" t="s">
        <v>275</v>
      </c>
      <c r="C15" s="157" t="s">
        <v>276</v>
      </c>
      <c r="D15" s="105">
        <f>533274/163</f>
        <v>3271.619632</v>
      </c>
      <c r="E15" s="45" t="s">
        <v>273</v>
      </c>
      <c r="F15" s="96" t="s">
        <v>277</v>
      </c>
    </row>
    <row r="16" ht="25.5" customHeight="1">
      <c r="B16" s="39" t="s">
        <v>278</v>
      </c>
      <c r="C16" s="155" t="s">
        <v>279</v>
      </c>
      <c r="D16" s="102">
        <f>533274/816</f>
        <v>653.5220588</v>
      </c>
      <c r="E16" s="45" t="s">
        <v>273</v>
      </c>
      <c r="F16" s="93" t="s">
        <v>280</v>
      </c>
    </row>
    <row r="17" ht="25.5" customHeight="1">
      <c r="B17" s="46" t="s">
        <v>281</v>
      </c>
      <c r="C17" s="157" t="s">
        <v>282</v>
      </c>
      <c r="D17" s="105">
        <f>1391455/163</f>
        <v>8536.533742</v>
      </c>
      <c r="E17" s="45" t="s">
        <v>273</v>
      </c>
      <c r="F17" s="96" t="s">
        <v>283</v>
      </c>
    </row>
    <row r="18" ht="25.5" customHeight="1">
      <c r="B18" s="39" t="s">
        <v>284</v>
      </c>
      <c r="C18" s="155" t="s">
        <v>285</v>
      </c>
      <c r="D18" s="102">
        <f>1391455/816</f>
        <v>1705.214461</v>
      </c>
      <c r="E18" s="45" t="s">
        <v>273</v>
      </c>
      <c r="F18" s="93" t="s">
        <v>286</v>
      </c>
    </row>
    <row r="19" ht="25.5" customHeight="1">
      <c r="B19" s="46" t="s">
        <v>287</v>
      </c>
      <c r="C19" s="157" t="s">
        <v>288</v>
      </c>
      <c r="D19" s="105">
        <f>858181/163</f>
        <v>5264.91411</v>
      </c>
      <c r="E19" s="45" t="s">
        <v>273</v>
      </c>
      <c r="F19" s="96" t="s">
        <v>289</v>
      </c>
    </row>
    <row r="20" ht="25.5" customHeight="1">
      <c r="B20" s="39" t="s">
        <v>290</v>
      </c>
      <c r="C20" s="155" t="s">
        <v>291</v>
      </c>
      <c r="D20" s="102">
        <f>858181/816</f>
        <v>1051.692402</v>
      </c>
      <c r="E20" s="45" t="s">
        <v>273</v>
      </c>
      <c r="F20" s="93" t="s">
        <v>292</v>
      </c>
    </row>
    <row r="21" ht="25.5" customHeight="1">
      <c r="B21" s="46" t="s">
        <v>293</v>
      </c>
      <c r="C21" s="157" t="s">
        <v>294</v>
      </c>
      <c r="D21" s="163">
        <f>69573/1394655</f>
        <v>0.04988545554</v>
      </c>
      <c r="E21" s="45" t="s">
        <v>273</v>
      </c>
      <c r="F21" s="96" t="s">
        <v>295</v>
      </c>
    </row>
    <row r="22" ht="25.5" customHeight="1">
      <c r="B22" s="39" t="s">
        <v>296</v>
      </c>
      <c r="C22" s="155" t="s">
        <v>297</v>
      </c>
      <c r="D22" s="159">
        <v>14607.0</v>
      </c>
      <c r="E22" s="62" t="s">
        <v>298</v>
      </c>
      <c r="F22" s="93" t="s">
        <v>299</v>
      </c>
    </row>
    <row r="23" ht="25.5" customHeight="1">
      <c r="B23" s="46" t="s">
        <v>300</v>
      </c>
      <c r="C23" s="157" t="s">
        <v>301</v>
      </c>
      <c r="D23" s="164">
        <f>14607/163</f>
        <v>89.61349693</v>
      </c>
      <c r="E23" s="62" t="s">
        <v>298</v>
      </c>
      <c r="F23" s="96" t="s">
        <v>302</v>
      </c>
    </row>
    <row r="24" ht="25.5" customHeight="1">
      <c r="B24" s="39" t="s">
        <v>303</v>
      </c>
      <c r="C24" s="155" t="s">
        <v>304</v>
      </c>
      <c r="D24" s="165">
        <f>14607/816</f>
        <v>17.90073529</v>
      </c>
      <c r="E24" s="62" t="s">
        <v>298</v>
      </c>
      <c r="F24" s="93" t="s">
        <v>305</v>
      </c>
    </row>
    <row r="25" ht="25.5" customHeight="1">
      <c r="B25" s="46" t="s">
        <v>306</v>
      </c>
      <c r="C25" s="157" t="s">
        <v>307</v>
      </c>
      <c r="D25" s="105">
        <f>439954/163</f>
        <v>2699.104294</v>
      </c>
      <c r="E25" s="62" t="s">
        <v>298</v>
      </c>
      <c r="F25" s="96" t="s">
        <v>308</v>
      </c>
    </row>
    <row r="26" ht="25.5" customHeight="1">
      <c r="B26" s="39" t="s">
        <v>309</v>
      </c>
      <c r="C26" s="155" t="s">
        <v>310</v>
      </c>
      <c r="D26" s="102">
        <f>439954/816</f>
        <v>539.1593137</v>
      </c>
      <c r="E26" s="62" t="s">
        <v>298</v>
      </c>
      <c r="F26" s="93" t="s">
        <v>308</v>
      </c>
    </row>
    <row r="27" ht="25.5" customHeight="1">
      <c r="B27" s="46" t="s">
        <v>311</v>
      </c>
      <c r="C27" s="157" t="s">
        <v>312</v>
      </c>
      <c r="D27" s="166">
        <v>19.94</v>
      </c>
      <c r="E27" s="62" t="s">
        <v>298</v>
      </c>
      <c r="F27" s="96" t="s">
        <v>313</v>
      </c>
    </row>
    <row r="28" ht="25.5" customHeight="1">
      <c r="B28" s="39" t="s">
        <v>314</v>
      </c>
      <c r="C28" s="155" t="s">
        <v>315</v>
      </c>
      <c r="D28" s="167">
        <v>30.12</v>
      </c>
      <c r="E28" s="62" t="s">
        <v>298</v>
      </c>
      <c r="F28" s="93" t="s">
        <v>316</v>
      </c>
    </row>
    <row r="29" ht="25.5" customHeight="1">
      <c r="B29" s="46" t="s">
        <v>236</v>
      </c>
      <c r="C29" s="157" t="s">
        <v>317</v>
      </c>
      <c r="D29" s="168">
        <v>1.51</v>
      </c>
      <c r="E29" s="62" t="s">
        <v>298</v>
      </c>
      <c r="F29" s="96" t="s">
        <v>318</v>
      </c>
    </row>
    <row r="30" ht="25.5" customHeight="1">
      <c r="B30" s="39" t="s">
        <v>239</v>
      </c>
      <c r="C30" s="155" t="s">
        <v>319</v>
      </c>
      <c r="D30" s="169">
        <f>1391455/14607</f>
        <v>95.25946464</v>
      </c>
      <c r="E30" s="62" t="s">
        <v>298</v>
      </c>
      <c r="F30" s="93" t="s">
        <v>320</v>
      </c>
    </row>
    <row r="31" ht="25.5" customHeight="1">
      <c r="B31" s="46" t="s">
        <v>240</v>
      </c>
      <c r="C31" s="157" t="s">
        <v>321</v>
      </c>
      <c r="D31" s="170">
        <f>533274/14607</f>
        <v>36.50811255</v>
      </c>
      <c r="E31" s="62" t="s">
        <v>298</v>
      </c>
      <c r="F31" s="96" t="s">
        <v>322</v>
      </c>
    </row>
    <row r="32" ht="25.5" customHeight="1">
      <c r="B32" s="39" t="s">
        <v>323</v>
      </c>
      <c r="C32" s="155" t="s">
        <v>324</v>
      </c>
      <c r="D32" s="171">
        <v>28.0</v>
      </c>
      <c r="E32" s="172" t="s">
        <v>325</v>
      </c>
      <c r="F32" s="93" t="s">
        <v>326</v>
      </c>
    </row>
    <row r="33" ht="25.5" customHeight="1">
      <c r="B33" s="46" t="s">
        <v>232</v>
      </c>
      <c r="C33" s="157" t="s">
        <v>327</v>
      </c>
      <c r="D33" s="173">
        <f>28/163*100</f>
        <v>17.17791411</v>
      </c>
      <c r="E33" s="172" t="s">
        <v>325</v>
      </c>
      <c r="F33" s="96" t="s">
        <v>328</v>
      </c>
    </row>
    <row r="34" ht="25.5" customHeight="1">
      <c r="B34" s="39" t="s">
        <v>329</v>
      </c>
      <c r="C34" s="155" t="s">
        <v>330</v>
      </c>
      <c r="D34" s="156" t="s">
        <v>331</v>
      </c>
      <c r="E34" s="172" t="s">
        <v>325</v>
      </c>
      <c r="F34" s="93" t="s">
        <v>332</v>
      </c>
    </row>
    <row r="35" ht="25.5" customHeight="1">
      <c r="B35" s="46" t="s">
        <v>333</v>
      </c>
      <c r="C35" s="157" t="s">
        <v>334</v>
      </c>
      <c r="D35" s="163">
        <f>7/28</f>
        <v>0.25</v>
      </c>
      <c r="E35" s="172" t="s">
        <v>325</v>
      </c>
      <c r="F35" s="96" t="s">
        <v>335</v>
      </c>
    </row>
    <row r="36" ht="25.5" customHeight="1">
      <c r="B36" s="39" t="s">
        <v>226</v>
      </c>
      <c r="C36" s="155" t="s">
        <v>336</v>
      </c>
      <c r="D36" s="174">
        <f>163/17</f>
        <v>9.588235294</v>
      </c>
      <c r="E36" s="175" t="s">
        <v>337</v>
      </c>
      <c r="F36" s="93" t="s">
        <v>338</v>
      </c>
    </row>
    <row r="37" ht="25.5" customHeight="1">
      <c r="B37" s="46" t="s">
        <v>227</v>
      </c>
      <c r="C37" s="157" t="s">
        <v>339</v>
      </c>
      <c r="D37" s="158">
        <f>816/17</f>
        <v>48</v>
      </c>
      <c r="E37" s="175" t="s">
        <v>337</v>
      </c>
      <c r="F37" s="96" t="s">
        <v>340</v>
      </c>
    </row>
    <row r="38" ht="25.5" customHeight="1">
      <c r="B38" s="39" t="s">
        <v>341</v>
      </c>
      <c r="C38" s="155" t="s">
        <v>342</v>
      </c>
      <c r="D38" s="159">
        <f>14607/17</f>
        <v>859.2352941</v>
      </c>
      <c r="E38" s="175" t="s">
        <v>337</v>
      </c>
      <c r="F38" s="93" t="s">
        <v>343</v>
      </c>
    </row>
    <row r="39" ht="25.5" customHeight="1">
      <c r="B39" s="46" t="s">
        <v>241</v>
      </c>
      <c r="C39" s="157" t="s">
        <v>344</v>
      </c>
      <c r="D39" s="163">
        <f>439954/1391455</f>
        <v>0.3161827008</v>
      </c>
      <c r="E39" s="54" t="s">
        <v>345</v>
      </c>
      <c r="F39" s="96" t="s">
        <v>346</v>
      </c>
    </row>
    <row r="40" ht="25.5" customHeight="1">
      <c r="B40" s="39" t="s">
        <v>242</v>
      </c>
      <c r="C40" s="155" t="s">
        <v>347</v>
      </c>
      <c r="D40" s="162">
        <f>408537/1391455</f>
        <v>0.2936041769</v>
      </c>
      <c r="E40" s="54" t="s">
        <v>345</v>
      </c>
      <c r="F40" s="93" t="s">
        <v>348</v>
      </c>
    </row>
    <row r="41" ht="25.5" customHeight="1">
      <c r="B41" s="46" t="s">
        <v>349</v>
      </c>
      <c r="C41" s="157" t="s">
        <v>350</v>
      </c>
      <c r="D41" s="163">
        <f>9690/1391455</f>
        <v>0.006963933437</v>
      </c>
      <c r="E41" s="54" t="s">
        <v>345</v>
      </c>
      <c r="F41" s="96" t="s">
        <v>351</v>
      </c>
    </row>
    <row r="42" ht="25.5" customHeight="1">
      <c r="B42" s="39" t="s">
        <v>243</v>
      </c>
      <c r="C42" s="155" t="s">
        <v>352</v>
      </c>
      <c r="D42" s="156" t="s">
        <v>181</v>
      </c>
      <c r="E42" s="54" t="s">
        <v>345</v>
      </c>
      <c r="F42" s="93" t="s">
        <v>353</v>
      </c>
    </row>
    <row r="43" ht="25.5" customHeight="1">
      <c r="B43" s="46" t="s">
        <v>354</v>
      </c>
      <c r="C43" s="157" t="s">
        <v>355</v>
      </c>
      <c r="D43" s="158">
        <v>4.0</v>
      </c>
      <c r="E43" s="176" t="s">
        <v>356</v>
      </c>
      <c r="F43" s="96" t="s">
        <v>357</v>
      </c>
    </row>
    <row r="44" ht="25.5" customHeight="1">
      <c r="B44" s="39" t="s">
        <v>358</v>
      </c>
      <c r="C44" s="155" t="s">
        <v>359</v>
      </c>
      <c r="D44" s="171">
        <v>4.0</v>
      </c>
      <c r="E44" s="176" t="s">
        <v>356</v>
      </c>
      <c r="F44" s="93" t="s">
        <v>360</v>
      </c>
    </row>
    <row r="45" ht="25.5" customHeight="1">
      <c r="B45" s="46" t="s">
        <v>361</v>
      </c>
      <c r="C45" s="157" t="s">
        <v>362</v>
      </c>
      <c r="D45" s="177" t="s">
        <v>363</v>
      </c>
      <c r="E45" s="176" t="s">
        <v>356</v>
      </c>
      <c r="F45" s="96" t="s">
        <v>364</v>
      </c>
    </row>
    <row r="46" ht="25.5" customHeight="1">
      <c r="B46" s="39" t="s">
        <v>365</v>
      </c>
      <c r="C46" s="155" t="s">
        <v>366</v>
      </c>
      <c r="D46" s="156" t="s">
        <v>367</v>
      </c>
      <c r="E46" s="176" t="s">
        <v>356</v>
      </c>
      <c r="F46" s="93" t="s">
        <v>368</v>
      </c>
    </row>
    <row r="47" ht="25.5" customHeight="1">
      <c r="B47" s="46" t="s">
        <v>369</v>
      </c>
      <c r="C47" s="157" t="s">
        <v>370</v>
      </c>
      <c r="D47" s="178">
        <f>(858181-269525)/269525</f>
        <v>2.184049717</v>
      </c>
      <c r="E47" s="176" t="s">
        <v>356</v>
      </c>
      <c r="F47" s="96" t="s">
        <v>371</v>
      </c>
    </row>
    <row r="48" ht="25.5" customHeight="1">
      <c r="B48" s="39" t="s">
        <v>372</v>
      </c>
      <c r="C48" s="155" t="s">
        <v>373</v>
      </c>
      <c r="D48" s="102">
        <v>390751.0</v>
      </c>
      <c r="E48" s="179" t="s">
        <v>374</v>
      </c>
      <c r="F48" s="93" t="s">
        <v>375</v>
      </c>
    </row>
    <row r="49" ht="25.5" customHeight="1">
      <c r="B49" s="46" t="s">
        <v>376</v>
      </c>
      <c r="C49" s="157" t="s">
        <v>377</v>
      </c>
      <c r="D49" s="105">
        <v>553400.0</v>
      </c>
      <c r="E49" s="179" t="s">
        <v>374</v>
      </c>
      <c r="F49" s="96" t="s">
        <v>378</v>
      </c>
    </row>
    <row r="50" ht="25.5" customHeight="1">
      <c r="B50" s="39" t="s">
        <v>379</v>
      </c>
      <c r="C50" s="155" t="s">
        <v>380</v>
      </c>
      <c r="D50" s="180">
        <f>390751-553400</f>
        <v>-162649</v>
      </c>
      <c r="E50" s="179" t="s">
        <v>374</v>
      </c>
      <c r="F50" s="93" t="s">
        <v>381</v>
      </c>
    </row>
    <row r="51" ht="25.5" customHeight="1">
      <c r="B51" s="46" t="s">
        <v>382</v>
      </c>
      <c r="C51" s="157" t="s">
        <v>383</v>
      </c>
      <c r="D51" s="178">
        <f>(390751-553400)/553400</f>
        <v>-0.2939085652</v>
      </c>
      <c r="E51" s="179" t="s">
        <v>374</v>
      </c>
      <c r="F51" s="96" t="s">
        <v>384</v>
      </c>
    </row>
    <row r="52" ht="25.5" customHeight="1">
      <c r="B52" s="39" t="s">
        <v>385</v>
      </c>
      <c r="C52" s="155" t="s">
        <v>386</v>
      </c>
      <c r="D52" s="102">
        <f>390751/163</f>
        <v>2397.245399</v>
      </c>
      <c r="E52" s="179" t="s">
        <v>374</v>
      </c>
      <c r="F52" s="93" t="s">
        <v>387</v>
      </c>
    </row>
    <row r="53" ht="25.5" customHeight="1">
      <c r="B53" s="46" t="s">
        <v>388</v>
      </c>
      <c r="C53" s="157" t="s">
        <v>389</v>
      </c>
      <c r="D53" s="105">
        <f>390751/816</f>
        <v>478.8615196</v>
      </c>
      <c r="E53" s="179" t="s">
        <v>374</v>
      </c>
      <c r="F53" s="96" t="s">
        <v>387</v>
      </c>
    </row>
    <row r="54" ht="25.5" customHeight="1">
      <c r="B54" s="39" t="s">
        <v>390</v>
      </c>
      <c r="C54" s="155" t="s">
        <v>391</v>
      </c>
      <c r="D54" s="162">
        <f>390751/1391455</f>
        <v>0.2808218735</v>
      </c>
      <c r="E54" s="179" t="s">
        <v>374</v>
      </c>
      <c r="F54" s="93" t="s">
        <v>392</v>
      </c>
    </row>
    <row r="55" ht="25.5" customHeight="1">
      <c r="B55" s="46" t="s">
        <v>393</v>
      </c>
      <c r="C55" s="157" t="s">
        <v>394</v>
      </c>
      <c r="D55" s="163">
        <f>390751/858181</f>
        <v>0.4553246926</v>
      </c>
      <c r="E55" s="179" t="s">
        <v>374</v>
      </c>
      <c r="F55" s="96" t="s">
        <v>395</v>
      </c>
    </row>
    <row r="56" ht="25.5" customHeight="1">
      <c r="B56" s="39" t="s">
        <v>396</v>
      </c>
      <c r="C56" s="155" t="s">
        <v>397</v>
      </c>
      <c r="D56" s="181">
        <f>439954/390751</f>
        <v>1.125919064</v>
      </c>
      <c r="E56" s="179" t="s">
        <v>374</v>
      </c>
      <c r="F56" s="93" t="s">
        <v>398</v>
      </c>
    </row>
    <row r="57" ht="25.5" customHeight="1">
      <c r="B57" s="46" t="s">
        <v>399</v>
      </c>
      <c r="C57" s="157" t="s">
        <v>400</v>
      </c>
      <c r="D57" s="163">
        <f>210145/390751</f>
        <v>0.537797728</v>
      </c>
      <c r="E57" s="179" t="s">
        <v>374</v>
      </c>
      <c r="F57" s="96" t="s">
        <v>401</v>
      </c>
    </row>
    <row r="58" ht="25.5" customHeight="1">
      <c r="B58" s="39" t="s">
        <v>402</v>
      </c>
      <c r="C58" s="155" t="s">
        <v>403</v>
      </c>
      <c r="D58" s="162">
        <f>94001/390751</f>
        <v>0.2405649634</v>
      </c>
      <c r="E58" s="179" t="s">
        <v>374</v>
      </c>
      <c r="F58" s="93" t="s">
        <v>404</v>
      </c>
    </row>
    <row r="59" ht="25.5" customHeight="1">
      <c r="B59" s="46" t="s">
        <v>405</v>
      </c>
      <c r="C59" s="157" t="s">
        <v>406</v>
      </c>
      <c r="D59" s="163">
        <f>(210145+94001)/390751</f>
        <v>0.7783626913</v>
      </c>
      <c r="E59" s="179" t="s">
        <v>374</v>
      </c>
      <c r="F59" s="96" t="s">
        <v>407</v>
      </c>
    </row>
    <row r="60" ht="25.5" customHeight="1">
      <c r="B60" s="39" t="s">
        <v>408</v>
      </c>
      <c r="C60" s="155" t="s">
        <v>409</v>
      </c>
      <c r="D60" s="171">
        <v>11.0</v>
      </c>
      <c r="E60" s="179" t="s">
        <v>374</v>
      </c>
      <c r="F60" s="93" t="s">
        <v>410</v>
      </c>
    </row>
    <row r="61" ht="25.5" customHeight="1">
      <c r="B61" s="46" t="s">
        <v>411</v>
      </c>
      <c r="C61" s="157" t="s">
        <v>412</v>
      </c>
      <c r="D61" s="158">
        <v>2.0</v>
      </c>
      <c r="E61" s="179" t="s">
        <v>374</v>
      </c>
      <c r="F61" s="96" t="s">
        <v>413</v>
      </c>
    </row>
    <row r="62" ht="25.5" customHeight="1">
      <c r="B62" s="39" t="s">
        <v>414</v>
      </c>
      <c r="C62" s="155" t="s">
        <v>415</v>
      </c>
      <c r="D62" s="171">
        <v>9.0</v>
      </c>
      <c r="E62" s="179" t="s">
        <v>374</v>
      </c>
      <c r="F62" s="93" t="s">
        <v>416</v>
      </c>
    </row>
    <row r="63" ht="25.5" customHeight="1">
      <c r="B63" s="46" t="s">
        <v>417</v>
      </c>
      <c r="C63" s="157" t="s">
        <v>418</v>
      </c>
      <c r="D63" s="177" t="s">
        <v>419</v>
      </c>
      <c r="E63" s="179" t="s">
        <v>374</v>
      </c>
      <c r="F63" s="96" t="s">
        <v>420</v>
      </c>
    </row>
    <row r="64" ht="25.5" customHeight="1">
      <c r="B64" s="39" t="s">
        <v>421</v>
      </c>
      <c r="C64" s="155" t="s">
        <v>422</v>
      </c>
      <c r="D64" s="156" t="s">
        <v>423</v>
      </c>
      <c r="E64" s="179" t="s">
        <v>374</v>
      </c>
      <c r="F64" s="93" t="s">
        <v>424</v>
      </c>
    </row>
    <row r="65" ht="25.5" customHeight="1">
      <c r="B65" s="46" t="s">
        <v>425</v>
      </c>
      <c r="C65" s="157" t="s">
        <v>426</v>
      </c>
      <c r="D65" s="158">
        <v>17.0</v>
      </c>
      <c r="E65" s="179" t="s">
        <v>374</v>
      </c>
      <c r="F65" s="96" t="s">
        <v>427</v>
      </c>
    </row>
    <row r="66" ht="25.5" customHeight="1">
      <c r="B66" s="39" t="s">
        <v>428</v>
      </c>
      <c r="C66" s="155" t="s">
        <v>429</v>
      </c>
      <c r="D66" s="102">
        <v>150008.0</v>
      </c>
      <c r="E66" s="179" t="s">
        <v>374</v>
      </c>
      <c r="F66" s="93" t="s">
        <v>430</v>
      </c>
    </row>
    <row r="67" ht="25.5" customHeight="1">
      <c r="B67" s="46" t="s">
        <v>431</v>
      </c>
      <c r="C67" s="157" t="s">
        <v>432</v>
      </c>
      <c r="D67" s="163">
        <f>(150008+119072+58897)/408537</f>
        <v>0.8028085583</v>
      </c>
      <c r="E67" s="179" t="s">
        <v>374</v>
      </c>
      <c r="F67" s="96" t="s">
        <v>433</v>
      </c>
    </row>
    <row r="68" ht="25.5" customHeight="1">
      <c r="B68" s="39" t="s">
        <v>434</v>
      </c>
      <c r="C68" s="155" t="s">
        <v>435</v>
      </c>
      <c r="D68" s="102">
        <f>408537/186</f>
        <v>2196.435484</v>
      </c>
      <c r="E68" s="179" t="s">
        <v>374</v>
      </c>
      <c r="F68" s="93" t="s">
        <v>436</v>
      </c>
    </row>
    <row r="69" ht="15.75" customHeight="1"/>
    <row r="70" ht="15.75" customHeight="1"/>
    <row r="71" ht="12.0" customHeight="1"/>
    <row r="72" ht="18.0" customHeight="1">
      <c r="B72" s="31" t="s">
        <v>41</v>
      </c>
      <c r="C72" s="32"/>
      <c r="D72" s="32"/>
      <c r="E72" s="32"/>
      <c r="F72" s="32"/>
    </row>
    <row r="73" ht="18.0" customHeight="1">
      <c r="B73" s="33" t="s">
        <v>42</v>
      </c>
    </row>
    <row r="74" ht="18.0" customHeight="1">
      <c r="B74" s="33" t="s">
        <v>244</v>
      </c>
    </row>
    <row r="75" ht="18.0" customHeight="1">
      <c r="B75" s="33" t="s">
        <v>437</v>
      </c>
    </row>
    <row r="76" ht="18.0" customHeight="1">
      <c r="B76" s="33" t="s">
        <v>438</v>
      </c>
    </row>
    <row r="77" ht="18.0" customHeight="1">
      <c r="B77" s="33" t="s">
        <v>44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73:F73"/>
    <mergeCell ref="B74:F74"/>
    <mergeCell ref="B75:F75"/>
    <mergeCell ref="B76:F76"/>
    <mergeCell ref="B77:F77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6" width="12.0"/>
    <col customWidth="1" min="7" max="7" width="14.0"/>
    <col customWidth="1" min="8" max="9" width="12.0"/>
    <col customWidth="1" min="10" max="10" width="14.0"/>
    <col customWidth="1" min="11" max="11" width="21.0"/>
    <col customWidth="1" min="12" max="26" width="8.71"/>
  </cols>
  <sheetData>
    <row r="1">
      <c r="J1" s="182"/>
    </row>
    <row r="2" ht="7.5" customHeight="1">
      <c r="J2" s="182"/>
    </row>
    <row r="3" ht="13.5" customHeight="1">
      <c r="B3" s="34" t="s">
        <v>439</v>
      </c>
      <c r="J3" s="182"/>
    </row>
    <row r="4" ht="31.5" customHeight="1">
      <c r="B4" s="35" t="s">
        <v>440</v>
      </c>
      <c r="J4" s="182"/>
    </row>
    <row r="5" ht="19.5" customHeight="1">
      <c r="B5" s="36" t="s">
        <v>441</v>
      </c>
      <c r="J5" s="182"/>
    </row>
    <row r="6" ht="13.5" customHeight="1">
      <c r="J6" s="182"/>
    </row>
    <row r="7" ht="31.5" customHeight="1">
      <c r="B7" s="37" t="s">
        <v>442</v>
      </c>
      <c r="C7" s="37" t="s">
        <v>443</v>
      </c>
      <c r="D7" s="38" t="s">
        <v>444</v>
      </c>
      <c r="E7" s="38" t="s">
        <v>445</v>
      </c>
      <c r="F7" s="38" t="s">
        <v>446</v>
      </c>
      <c r="G7" s="38" t="s">
        <v>447</v>
      </c>
      <c r="H7" s="38" t="s">
        <v>448</v>
      </c>
      <c r="I7" s="38" t="s">
        <v>54</v>
      </c>
      <c r="J7" s="112" t="s">
        <v>449</v>
      </c>
      <c r="K7" s="37" t="s">
        <v>149</v>
      </c>
    </row>
    <row r="8" ht="21.75" customHeight="1">
      <c r="B8" s="183" t="s">
        <v>450</v>
      </c>
      <c r="C8" s="184" t="s">
        <v>451</v>
      </c>
      <c r="D8" s="185">
        <v>1111.0</v>
      </c>
      <c r="E8" s="185">
        <v>88.0</v>
      </c>
      <c r="F8" s="186">
        <f t="shared" ref="F8:F49" si="1">D8+E8</f>
        <v>1199</v>
      </c>
      <c r="G8" s="187">
        <f t="shared" ref="G8:G49" si="2">IF(F8&gt;0,E8/F8,0)</f>
        <v>0.07339449541</v>
      </c>
      <c r="H8" s="188">
        <v>38981.0</v>
      </c>
      <c r="I8" s="189">
        <f t="shared" ref="I8:I49" si="3">IF(F8&gt;0,H8/F8,0)</f>
        <v>32.51125938</v>
      </c>
      <c r="J8" s="190">
        <v>8.0</v>
      </c>
      <c r="K8" s="172" t="s">
        <v>452</v>
      </c>
    </row>
    <row r="9" ht="21.75" customHeight="1">
      <c r="B9" s="191" t="s">
        <v>453</v>
      </c>
      <c r="C9" s="192" t="s">
        <v>454</v>
      </c>
      <c r="D9" s="193">
        <v>1001.0</v>
      </c>
      <c r="E9" s="193">
        <v>134.0</v>
      </c>
      <c r="F9" s="194">
        <f t="shared" si="1"/>
        <v>1135</v>
      </c>
      <c r="G9" s="195">
        <f t="shared" si="2"/>
        <v>0.118061674</v>
      </c>
      <c r="H9" s="196">
        <v>15342.0</v>
      </c>
      <c r="I9" s="197">
        <f t="shared" si="3"/>
        <v>13.51718062</v>
      </c>
      <c r="J9" s="198">
        <v>8.0</v>
      </c>
      <c r="K9" s="60" t="s">
        <v>165</v>
      </c>
    </row>
    <row r="10" ht="21.75" customHeight="1">
      <c r="B10" s="183" t="s">
        <v>455</v>
      </c>
      <c r="C10" s="184" t="s">
        <v>456</v>
      </c>
      <c r="D10" s="185">
        <v>946.0</v>
      </c>
      <c r="E10" s="185">
        <v>105.0</v>
      </c>
      <c r="F10" s="186">
        <f t="shared" si="1"/>
        <v>1051</v>
      </c>
      <c r="G10" s="187">
        <f t="shared" si="2"/>
        <v>0.09990485252</v>
      </c>
      <c r="H10" s="188">
        <v>20866.0</v>
      </c>
      <c r="I10" s="189">
        <f t="shared" si="3"/>
        <v>19.85347288</v>
      </c>
      <c r="J10" s="190">
        <v>10.0</v>
      </c>
      <c r="K10" s="175" t="s">
        <v>162</v>
      </c>
    </row>
    <row r="11" ht="21.75" customHeight="1">
      <c r="B11" s="191" t="s">
        <v>457</v>
      </c>
      <c r="C11" s="192" t="s">
        <v>458</v>
      </c>
      <c r="D11" s="193">
        <v>790.0</v>
      </c>
      <c r="E11" s="193">
        <v>138.0</v>
      </c>
      <c r="F11" s="194">
        <f t="shared" si="1"/>
        <v>928</v>
      </c>
      <c r="G11" s="195">
        <f t="shared" si="2"/>
        <v>0.1487068966</v>
      </c>
      <c r="H11" s="196">
        <v>27035.0</v>
      </c>
      <c r="I11" s="197">
        <f t="shared" si="3"/>
        <v>29.1325431</v>
      </c>
      <c r="J11" s="198">
        <v>6.0</v>
      </c>
      <c r="K11" s="62" t="s">
        <v>159</v>
      </c>
    </row>
    <row r="12" ht="21.75" customHeight="1">
      <c r="B12" s="183" t="s">
        <v>459</v>
      </c>
      <c r="C12" s="184" t="s">
        <v>460</v>
      </c>
      <c r="D12" s="185">
        <v>763.0</v>
      </c>
      <c r="E12" s="185">
        <v>99.0</v>
      </c>
      <c r="F12" s="186">
        <f t="shared" si="1"/>
        <v>862</v>
      </c>
      <c r="G12" s="199">
        <f t="shared" si="2"/>
        <v>0.1148491879</v>
      </c>
      <c r="H12" s="188">
        <v>14160.0</v>
      </c>
      <c r="I12" s="189">
        <f t="shared" si="3"/>
        <v>16.42691415</v>
      </c>
      <c r="J12" s="190">
        <v>8.0</v>
      </c>
      <c r="K12" s="175" t="s">
        <v>162</v>
      </c>
    </row>
    <row r="13" ht="21.75" customHeight="1">
      <c r="B13" s="191" t="s">
        <v>461</v>
      </c>
      <c r="C13" s="192" t="s">
        <v>462</v>
      </c>
      <c r="D13" s="193">
        <v>746.0</v>
      </c>
      <c r="E13" s="193">
        <v>110.0</v>
      </c>
      <c r="F13" s="194">
        <f t="shared" si="1"/>
        <v>856</v>
      </c>
      <c r="G13" s="195">
        <f t="shared" si="2"/>
        <v>0.1285046729</v>
      </c>
      <c r="H13" s="196">
        <v>11184.0</v>
      </c>
      <c r="I13" s="197">
        <f t="shared" si="3"/>
        <v>13.06542056</v>
      </c>
      <c r="J13" s="198">
        <v>5.0</v>
      </c>
      <c r="K13" s="60" t="s">
        <v>165</v>
      </c>
    </row>
    <row r="14" ht="21.75" customHeight="1">
      <c r="B14" s="183" t="s">
        <v>463</v>
      </c>
      <c r="C14" s="184" t="s">
        <v>464</v>
      </c>
      <c r="D14" s="185">
        <v>738.0</v>
      </c>
      <c r="E14" s="185">
        <v>113.0</v>
      </c>
      <c r="F14" s="186">
        <f t="shared" si="1"/>
        <v>851</v>
      </c>
      <c r="G14" s="199">
        <f t="shared" si="2"/>
        <v>0.1327849589</v>
      </c>
      <c r="H14" s="188">
        <v>11150.0</v>
      </c>
      <c r="I14" s="189">
        <f t="shared" si="3"/>
        <v>13.10223267</v>
      </c>
      <c r="J14" s="190">
        <v>5.0</v>
      </c>
      <c r="K14" s="60" t="s">
        <v>165</v>
      </c>
    </row>
    <row r="15" ht="21.75" customHeight="1">
      <c r="B15" s="191" t="s">
        <v>465</v>
      </c>
      <c r="C15" s="192" t="s">
        <v>466</v>
      </c>
      <c r="D15" s="193">
        <v>660.0</v>
      </c>
      <c r="E15" s="193">
        <v>150.0</v>
      </c>
      <c r="F15" s="194">
        <f t="shared" si="1"/>
        <v>810</v>
      </c>
      <c r="G15" s="200">
        <f t="shared" si="2"/>
        <v>0.1851851852</v>
      </c>
      <c r="H15" s="196">
        <v>11548.0</v>
      </c>
      <c r="I15" s="197">
        <f t="shared" si="3"/>
        <v>14.25679012</v>
      </c>
      <c r="J15" s="198">
        <v>4.0</v>
      </c>
      <c r="K15" s="60" t="s">
        <v>165</v>
      </c>
    </row>
    <row r="16" ht="21.75" customHeight="1">
      <c r="B16" s="183" t="s">
        <v>467</v>
      </c>
      <c r="C16" s="184" t="s">
        <v>468</v>
      </c>
      <c r="D16" s="185">
        <v>575.5</v>
      </c>
      <c r="E16" s="185">
        <v>4.0</v>
      </c>
      <c r="F16" s="186">
        <f t="shared" si="1"/>
        <v>579.5</v>
      </c>
      <c r="G16" s="187">
        <f t="shared" si="2"/>
        <v>0.006902502157</v>
      </c>
      <c r="H16" s="188">
        <v>11624.0</v>
      </c>
      <c r="I16" s="189">
        <f t="shared" si="3"/>
        <v>20.05867127</v>
      </c>
      <c r="J16" s="190">
        <v>5.0</v>
      </c>
      <c r="K16" s="175" t="s">
        <v>162</v>
      </c>
    </row>
    <row r="17" ht="21.75" customHeight="1">
      <c r="B17" s="191" t="s">
        <v>469</v>
      </c>
      <c r="C17" s="192" t="s">
        <v>470</v>
      </c>
      <c r="D17" s="193">
        <v>501.0</v>
      </c>
      <c r="E17" s="193">
        <v>60.0</v>
      </c>
      <c r="F17" s="194">
        <f t="shared" si="1"/>
        <v>561</v>
      </c>
      <c r="G17" s="195">
        <f t="shared" si="2"/>
        <v>0.1069518717</v>
      </c>
      <c r="H17" s="196">
        <v>10638.0</v>
      </c>
      <c r="I17" s="197">
        <f t="shared" si="3"/>
        <v>18.96256684</v>
      </c>
      <c r="J17" s="198">
        <v>4.0</v>
      </c>
      <c r="K17" s="175" t="s">
        <v>162</v>
      </c>
    </row>
    <row r="18" ht="21.75" customHeight="1">
      <c r="B18" s="183" t="s">
        <v>471</v>
      </c>
      <c r="C18" s="184" t="s">
        <v>472</v>
      </c>
      <c r="D18" s="185">
        <v>450.5</v>
      </c>
      <c r="E18" s="185">
        <v>38.0</v>
      </c>
      <c r="F18" s="186">
        <f t="shared" si="1"/>
        <v>488.5</v>
      </c>
      <c r="G18" s="187">
        <f t="shared" si="2"/>
        <v>0.07778915046</v>
      </c>
      <c r="H18" s="188">
        <v>7146.0</v>
      </c>
      <c r="I18" s="189">
        <f t="shared" si="3"/>
        <v>14.62845445</v>
      </c>
      <c r="J18" s="190">
        <v>8.0</v>
      </c>
      <c r="K18" s="60" t="s">
        <v>165</v>
      </c>
    </row>
    <row r="19" ht="21.75" customHeight="1">
      <c r="B19" s="191" t="s">
        <v>473</v>
      </c>
      <c r="C19" s="192" t="s">
        <v>474</v>
      </c>
      <c r="D19" s="193">
        <v>406.0</v>
      </c>
      <c r="E19" s="193">
        <v>0.0</v>
      </c>
      <c r="F19" s="194">
        <f t="shared" si="1"/>
        <v>406</v>
      </c>
      <c r="G19" s="201">
        <f t="shared" si="2"/>
        <v>0</v>
      </c>
      <c r="H19" s="196">
        <v>14595.0</v>
      </c>
      <c r="I19" s="197">
        <f t="shared" si="3"/>
        <v>35.94827586</v>
      </c>
      <c r="J19" s="198">
        <v>9.0</v>
      </c>
      <c r="K19" s="172" t="s">
        <v>452</v>
      </c>
    </row>
    <row r="20" ht="21.75" customHeight="1">
      <c r="B20" s="183" t="s">
        <v>475</v>
      </c>
      <c r="C20" s="184" t="s">
        <v>476</v>
      </c>
      <c r="D20" s="185">
        <v>381.0</v>
      </c>
      <c r="E20" s="185">
        <v>13.0</v>
      </c>
      <c r="F20" s="186">
        <f t="shared" si="1"/>
        <v>394</v>
      </c>
      <c r="G20" s="187">
        <f t="shared" si="2"/>
        <v>0.03299492386</v>
      </c>
      <c r="H20" s="188">
        <v>10976.0</v>
      </c>
      <c r="I20" s="189">
        <f t="shared" si="3"/>
        <v>27.85786802</v>
      </c>
      <c r="J20" s="190">
        <v>7.0</v>
      </c>
      <c r="K20" s="62" t="s">
        <v>159</v>
      </c>
    </row>
    <row r="21" ht="21.75" customHeight="1">
      <c r="B21" s="191" t="s">
        <v>477</v>
      </c>
      <c r="C21" s="192" t="s">
        <v>478</v>
      </c>
      <c r="D21" s="193">
        <v>363.0</v>
      </c>
      <c r="E21" s="193">
        <v>2.0</v>
      </c>
      <c r="F21" s="194">
        <f t="shared" si="1"/>
        <v>365</v>
      </c>
      <c r="G21" s="201">
        <f t="shared" si="2"/>
        <v>0.005479452055</v>
      </c>
      <c r="H21" s="196">
        <v>4758.0</v>
      </c>
      <c r="I21" s="197">
        <f t="shared" si="3"/>
        <v>13.03561644</v>
      </c>
      <c r="J21" s="198">
        <v>4.0</v>
      </c>
      <c r="K21" s="60" t="s">
        <v>165</v>
      </c>
    </row>
    <row r="22" ht="21.75" customHeight="1">
      <c r="B22" s="183" t="s">
        <v>479</v>
      </c>
      <c r="C22" s="184" t="s">
        <v>480</v>
      </c>
      <c r="D22" s="185">
        <v>337.5</v>
      </c>
      <c r="E22" s="185">
        <v>3.5</v>
      </c>
      <c r="F22" s="186">
        <f t="shared" si="1"/>
        <v>341</v>
      </c>
      <c r="G22" s="187">
        <f t="shared" si="2"/>
        <v>0.01026392962</v>
      </c>
      <c r="H22" s="188">
        <v>9898.0</v>
      </c>
      <c r="I22" s="189">
        <f t="shared" si="3"/>
        <v>29.02639296</v>
      </c>
      <c r="J22" s="190">
        <v>4.0</v>
      </c>
      <c r="K22" s="62" t="s">
        <v>159</v>
      </c>
    </row>
    <row r="23" ht="21.75" customHeight="1">
      <c r="B23" s="191" t="s">
        <v>481</v>
      </c>
      <c r="C23" s="192" t="s">
        <v>482</v>
      </c>
      <c r="D23" s="193">
        <v>319.0</v>
      </c>
      <c r="E23" s="193">
        <v>0.0</v>
      </c>
      <c r="F23" s="194">
        <f t="shared" si="1"/>
        <v>319</v>
      </c>
      <c r="G23" s="201">
        <f t="shared" si="2"/>
        <v>0</v>
      </c>
      <c r="H23" s="196">
        <v>8932.0</v>
      </c>
      <c r="I23" s="197">
        <f t="shared" si="3"/>
        <v>28</v>
      </c>
      <c r="J23" s="198">
        <v>8.0</v>
      </c>
      <c r="K23" s="62" t="s">
        <v>159</v>
      </c>
    </row>
    <row r="24" ht="21.75" customHeight="1">
      <c r="B24" s="183" t="s">
        <v>483</v>
      </c>
      <c r="C24" s="184" t="s">
        <v>484</v>
      </c>
      <c r="D24" s="185">
        <v>316.0</v>
      </c>
      <c r="E24" s="185">
        <v>57.0</v>
      </c>
      <c r="F24" s="186">
        <f t="shared" si="1"/>
        <v>373</v>
      </c>
      <c r="G24" s="202">
        <f t="shared" si="2"/>
        <v>0.1528150134</v>
      </c>
      <c r="H24" s="188">
        <v>4829.0</v>
      </c>
      <c r="I24" s="189">
        <f t="shared" si="3"/>
        <v>12.9463807</v>
      </c>
      <c r="J24" s="190">
        <v>3.0</v>
      </c>
      <c r="K24" s="60" t="s">
        <v>165</v>
      </c>
    </row>
    <row r="25" ht="21.75" customHeight="1">
      <c r="B25" s="191" t="s">
        <v>485</v>
      </c>
      <c r="C25" s="192" t="s">
        <v>486</v>
      </c>
      <c r="D25" s="193">
        <v>280.0</v>
      </c>
      <c r="E25" s="193">
        <v>0.0</v>
      </c>
      <c r="F25" s="194">
        <f t="shared" si="1"/>
        <v>280</v>
      </c>
      <c r="G25" s="201">
        <f t="shared" si="2"/>
        <v>0</v>
      </c>
      <c r="H25" s="196">
        <v>4480.0</v>
      </c>
      <c r="I25" s="197">
        <f t="shared" si="3"/>
        <v>16</v>
      </c>
      <c r="J25" s="198">
        <v>3.0</v>
      </c>
      <c r="K25" s="175" t="s">
        <v>162</v>
      </c>
    </row>
    <row r="26" ht="21.75" customHeight="1">
      <c r="B26" s="183" t="s">
        <v>487</v>
      </c>
      <c r="C26" s="184" t="s">
        <v>488</v>
      </c>
      <c r="D26" s="185">
        <v>262.0</v>
      </c>
      <c r="E26" s="185">
        <v>46.0</v>
      </c>
      <c r="F26" s="186">
        <f t="shared" si="1"/>
        <v>308</v>
      </c>
      <c r="G26" s="199">
        <f t="shared" si="2"/>
        <v>0.1493506494</v>
      </c>
      <c r="H26" s="188">
        <v>4303.0</v>
      </c>
      <c r="I26" s="189">
        <f t="shared" si="3"/>
        <v>13.97077922</v>
      </c>
      <c r="J26" s="190">
        <v>4.0</v>
      </c>
      <c r="K26" s="60" t="s">
        <v>165</v>
      </c>
    </row>
    <row r="27" ht="21.75" customHeight="1">
      <c r="B27" s="191" t="s">
        <v>489</v>
      </c>
      <c r="C27" s="192" t="s">
        <v>490</v>
      </c>
      <c r="D27" s="193">
        <v>249.0</v>
      </c>
      <c r="E27" s="193">
        <v>0.0</v>
      </c>
      <c r="F27" s="194">
        <f t="shared" si="1"/>
        <v>249</v>
      </c>
      <c r="G27" s="201">
        <f t="shared" si="2"/>
        <v>0</v>
      </c>
      <c r="H27" s="196">
        <v>3237.0</v>
      </c>
      <c r="I27" s="197">
        <f t="shared" si="3"/>
        <v>13</v>
      </c>
      <c r="J27" s="198">
        <v>3.0</v>
      </c>
      <c r="K27" s="60" t="s">
        <v>165</v>
      </c>
    </row>
    <row r="28" ht="21.75" customHeight="1">
      <c r="B28" s="183" t="s">
        <v>491</v>
      </c>
      <c r="C28" s="184" t="s">
        <v>492</v>
      </c>
      <c r="D28" s="185">
        <v>248.0</v>
      </c>
      <c r="E28" s="185">
        <v>35.0</v>
      </c>
      <c r="F28" s="186">
        <f t="shared" si="1"/>
        <v>283</v>
      </c>
      <c r="G28" s="199">
        <f t="shared" si="2"/>
        <v>0.1236749117</v>
      </c>
      <c r="H28" s="188">
        <v>8114.0</v>
      </c>
      <c r="I28" s="189">
        <f t="shared" si="3"/>
        <v>28.67137809</v>
      </c>
      <c r="J28" s="190">
        <v>3.0</v>
      </c>
      <c r="K28" s="62" t="s">
        <v>159</v>
      </c>
    </row>
    <row r="29" ht="21.75" customHeight="1">
      <c r="B29" s="191" t="s">
        <v>493</v>
      </c>
      <c r="C29" s="192" t="s">
        <v>494</v>
      </c>
      <c r="D29" s="193">
        <v>201.0</v>
      </c>
      <c r="E29" s="193">
        <v>10.0</v>
      </c>
      <c r="F29" s="194">
        <f t="shared" si="1"/>
        <v>211</v>
      </c>
      <c r="G29" s="201">
        <f t="shared" si="2"/>
        <v>0.04739336493</v>
      </c>
      <c r="H29" s="196">
        <v>2592.0</v>
      </c>
      <c r="I29" s="197">
        <f t="shared" si="3"/>
        <v>12.28436019</v>
      </c>
      <c r="J29" s="198">
        <v>5.0</v>
      </c>
      <c r="K29" s="60" t="s">
        <v>165</v>
      </c>
    </row>
    <row r="30" ht="21.75" customHeight="1">
      <c r="B30" s="183" t="s">
        <v>495</v>
      </c>
      <c r="C30" s="184" t="s">
        <v>496</v>
      </c>
      <c r="D30" s="185">
        <v>197.2</v>
      </c>
      <c r="E30" s="185">
        <v>0.0</v>
      </c>
      <c r="F30" s="186">
        <f t="shared" si="1"/>
        <v>197.2</v>
      </c>
      <c r="G30" s="187">
        <f t="shared" si="2"/>
        <v>0</v>
      </c>
      <c r="H30" s="188">
        <v>2743.0</v>
      </c>
      <c r="I30" s="189">
        <f t="shared" si="3"/>
        <v>13.90973631</v>
      </c>
      <c r="J30" s="190">
        <v>3.0</v>
      </c>
      <c r="K30" s="60" t="s">
        <v>165</v>
      </c>
    </row>
    <row r="31" ht="21.75" customHeight="1">
      <c r="B31" s="191" t="s">
        <v>497</v>
      </c>
      <c r="C31" s="192" t="s">
        <v>498</v>
      </c>
      <c r="D31" s="193">
        <v>193.0</v>
      </c>
      <c r="E31" s="193">
        <v>48.0</v>
      </c>
      <c r="F31" s="194">
        <f t="shared" si="1"/>
        <v>241</v>
      </c>
      <c r="G31" s="200">
        <f t="shared" si="2"/>
        <v>0.1991701245</v>
      </c>
      <c r="H31" s="196">
        <v>6346.0</v>
      </c>
      <c r="I31" s="197">
        <f t="shared" si="3"/>
        <v>26.33195021</v>
      </c>
      <c r="J31" s="198">
        <v>5.0</v>
      </c>
      <c r="K31" s="62" t="s">
        <v>159</v>
      </c>
    </row>
    <row r="32" ht="21.75" customHeight="1">
      <c r="B32" s="183" t="s">
        <v>499</v>
      </c>
      <c r="C32" s="184" t="s">
        <v>500</v>
      </c>
      <c r="D32" s="185">
        <v>176.0</v>
      </c>
      <c r="E32" s="185">
        <v>66.0</v>
      </c>
      <c r="F32" s="186">
        <f t="shared" si="1"/>
        <v>242</v>
      </c>
      <c r="G32" s="202">
        <f t="shared" si="2"/>
        <v>0.2727272727</v>
      </c>
      <c r="H32" s="188">
        <v>6024.0</v>
      </c>
      <c r="I32" s="189">
        <f t="shared" si="3"/>
        <v>24.89256198</v>
      </c>
      <c r="J32" s="190">
        <v>4.0</v>
      </c>
      <c r="K32" s="62" t="s">
        <v>159</v>
      </c>
    </row>
    <row r="33" ht="21.75" customHeight="1">
      <c r="B33" s="191" t="s">
        <v>501</v>
      </c>
      <c r="C33" s="192" t="s">
        <v>502</v>
      </c>
      <c r="D33" s="193">
        <v>171.0</v>
      </c>
      <c r="E33" s="193">
        <v>37.5</v>
      </c>
      <c r="F33" s="194">
        <f t="shared" si="1"/>
        <v>208.5</v>
      </c>
      <c r="G33" s="200">
        <f t="shared" si="2"/>
        <v>0.1798561151</v>
      </c>
      <c r="H33" s="196">
        <v>6234.0</v>
      </c>
      <c r="I33" s="197">
        <f t="shared" si="3"/>
        <v>29.89928058</v>
      </c>
      <c r="J33" s="198">
        <v>7.0</v>
      </c>
      <c r="K33" s="62" t="s">
        <v>159</v>
      </c>
    </row>
    <row r="34" ht="21.75" customHeight="1">
      <c r="B34" s="183" t="s">
        <v>503</v>
      </c>
      <c r="C34" s="184" t="s">
        <v>504</v>
      </c>
      <c r="D34" s="185">
        <v>168.5</v>
      </c>
      <c r="E34" s="185">
        <v>0.0</v>
      </c>
      <c r="F34" s="186">
        <f t="shared" si="1"/>
        <v>168.5</v>
      </c>
      <c r="G34" s="187">
        <f t="shared" si="2"/>
        <v>0</v>
      </c>
      <c r="H34" s="188">
        <v>2696.0</v>
      </c>
      <c r="I34" s="189">
        <f t="shared" si="3"/>
        <v>16</v>
      </c>
      <c r="J34" s="190">
        <v>3.0</v>
      </c>
      <c r="K34" s="175" t="s">
        <v>162</v>
      </c>
    </row>
    <row r="35" ht="21.75" customHeight="1">
      <c r="B35" s="191" t="s">
        <v>505</v>
      </c>
      <c r="C35" s="192" t="s">
        <v>506</v>
      </c>
      <c r="D35" s="193">
        <v>162.0</v>
      </c>
      <c r="E35" s="193">
        <v>12.0</v>
      </c>
      <c r="F35" s="194">
        <f t="shared" si="1"/>
        <v>174</v>
      </c>
      <c r="G35" s="201">
        <f t="shared" si="2"/>
        <v>0.06896551724</v>
      </c>
      <c r="H35" s="196">
        <v>2340.0</v>
      </c>
      <c r="I35" s="197">
        <f t="shared" si="3"/>
        <v>13.44827586</v>
      </c>
      <c r="J35" s="198">
        <v>5.0</v>
      </c>
      <c r="K35" s="60" t="s">
        <v>165</v>
      </c>
    </row>
    <row r="36" ht="21.75" customHeight="1">
      <c r="B36" s="183" t="s">
        <v>507</v>
      </c>
      <c r="C36" s="184" t="s">
        <v>508</v>
      </c>
      <c r="D36" s="185">
        <v>155.0</v>
      </c>
      <c r="E36" s="185">
        <v>0.0</v>
      </c>
      <c r="F36" s="186">
        <f t="shared" si="1"/>
        <v>155</v>
      </c>
      <c r="G36" s="187">
        <f t="shared" si="2"/>
        <v>0</v>
      </c>
      <c r="H36" s="188">
        <v>2015.0</v>
      </c>
      <c r="I36" s="189">
        <f t="shared" si="3"/>
        <v>13</v>
      </c>
      <c r="J36" s="190">
        <v>3.0</v>
      </c>
      <c r="K36" s="60" t="s">
        <v>165</v>
      </c>
    </row>
    <row r="37" ht="21.75" customHeight="1">
      <c r="B37" s="191" t="s">
        <v>509</v>
      </c>
      <c r="C37" s="192" t="s">
        <v>510</v>
      </c>
      <c r="D37" s="193">
        <v>94.0</v>
      </c>
      <c r="E37" s="193">
        <v>12.0</v>
      </c>
      <c r="F37" s="194">
        <f t="shared" si="1"/>
        <v>106</v>
      </c>
      <c r="G37" s="195">
        <f t="shared" si="2"/>
        <v>0.1132075472</v>
      </c>
      <c r="H37" s="196">
        <v>1456.0</v>
      </c>
      <c r="I37" s="197">
        <f t="shared" si="3"/>
        <v>13.73584906</v>
      </c>
      <c r="J37" s="198">
        <v>3.0</v>
      </c>
      <c r="K37" s="60" t="s">
        <v>165</v>
      </c>
    </row>
    <row r="38" ht="21.75" customHeight="1">
      <c r="B38" s="183" t="s">
        <v>511</v>
      </c>
      <c r="C38" s="184" t="s">
        <v>512</v>
      </c>
      <c r="D38" s="185">
        <v>83.0</v>
      </c>
      <c r="E38" s="185">
        <v>10.0</v>
      </c>
      <c r="F38" s="186">
        <f t="shared" si="1"/>
        <v>93</v>
      </c>
      <c r="G38" s="199">
        <f t="shared" si="2"/>
        <v>0.1075268817</v>
      </c>
      <c r="H38" s="188">
        <v>1176.0</v>
      </c>
      <c r="I38" s="189">
        <f t="shared" si="3"/>
        <v>12.64516129</v>
      </c>
      <c r="J38" s="190">
        <v>3.0</v>
      </c>
      <c r="K38" s="60" t="s">
        <v>165</v>
      </c>
    </row>
    <row r="39" ht="21.75" customHeight="1">
      <c r="B39" s="191" t="s">
        <v>513</v>
      </c>
      <c r="C39" s="192" t="s">
        <v>514</v>
      </c>
      <c r="D39" s="193">
        <v>42.0</v>
      </c>
      <c r="E39" s="193">
        <v>0.0</v>
      </c>
      <c r="F39" s="194">
        <f t="shared" si="1"/>
        <v>42</v>
      </c>
      <c r="G39" s="201">
        <f t="shared" si="2"/>
        <v>0</v>
      </c>
      <c r="H39" s="196">
        <v>609.0</v>
      </c>
      <c r="I39" s="197">
        <f t="shared" si="3"/>
        <v>14.5</v>
      </c>
      <c r="J39" s="198">
        <v>4.0</v>
      </c>
      <c r="K39" s="60" t="s">
        <v>165</v>
      </c>
    </row>
    <row r="40" ht="21.75" customHeight="1">
      <c r="B40" s="183" t="s">
        <v>515</v>
      </c>
      <c r="C40" s="184" t="s">
        <v>516</v>
      </c>
      <c r="D40" s="185">
        <v>36.0</v>
      </c>
      <c r="E40" s="185">
        <v>0.0</v>
      </c>
      <c r="F40" s="186">
        <f t="shared" si="1"/>
        <v>36</v>
      </c>
      <c r="G40" s="187">
        <f t="shared" si="2"/>
        <v>0</v>
      </c>
      <c r="H40" s="188">
        <v>432.0</v>
      </c>
      <c r="I40" s="189">
        <f t="shared" si="3"/>
        <v>12</v>
      </c>
      <c r="J40" s="190">
        <v>3.0</v>
      </c>
      <c r="K40" s="60" t="s">
        <v>165</v>
      </c>
    </row>
    <row r="41" ht="21.75" customHeight="1">
      <c r="B41" s="191" t="s">
        <v>517</v>
      </c>
      <c r="C41" s="192" t="s">
        <v>518</v>
      </c>
      <c r="D41" s="193">
        <v>32.0</v>
      </c>
      <c r="E41" s="193">
        <v>0.0</v>
      </c>
      <c r="F41" s="194">
        <f t="shared" si="1"/>
        <v>32</v>
      </c>
      <c r="G41" s="201">
        <f t="shared" si="2"/>
        <v>0</v>
      </c>
      <c r="H41" s="196">
        <v>448.0</v>
      </c>
      <c r="I41" s="197">
        <f t="shared" si="3"/>
        <v>14</v>
      </c>
      <c r="J41" s="198">
        <v>3.0</v>
      </c>
      <c r="K41" s="60" t="s">
        <v>165</v>
      </c>
    </row>
    <row r="42" ht="21.75" customHeight="1">
      <c r="B42" s="183" t="s">
        <v>519</v>
      </c>
      <c r="C42" s="184" t="s">
        <v>520</v>
      </c>
      <c r="D42" s="185">
        <v>32.0</v>
      </c>
      <c r="E42" s="185">
        <v>0.0</v>
      </c>
      <c r="F42" s="186">
        <f t="shared" si="1"/>
        <v>32</v>
      </c>
      <c r="G42" s="187">
        <f t="shared" si="2"/>
        <v>0</v>
      </c>
      <c r="H42" s="188">
        <v>416.0</v>
      </c>
      <c r="I42" s="189">
        <f t="shared" si="3"/>
        <v>13</v>
      </c>
      <c r="J42" s="190">
        <v>3.0</v>
      </c>
      <c r="K42" s="60" t="s">
        <v>165</v>
      </c>
    </row>
    <row r="43" ht="21.75" customHeight="1">
      <c r="B43" s="191" t="s">
        <v>521</v>
      </c>
      <c r="C43" s="192" t="s">
        <v>522</v>
      </c>
      <c r="D43" s="193">
        <v>11.0</v>
      </c>
      <c r="E43" s="193">
        <v>14.0</v>
      </c>
      <c r="F43" s="194">
        <f t="shared" si="1"/>
        <v>25</v>
      </c>
      <c r="G43" s="200">
        <f t="shared" si="2"/>
        <v>0.56</v>
      </c>
      <c r="H43" s="196">
        <v>932.0</v>
      </c>
      <c r="I43" s="197">
        <f t="shared" si="3"/>
        <v>37.28</v>
      </c>
      <c r="J43" s="198">
        <v>6.0</v>
      </c>
      <c r="K43" s="172" t="s">
        <v>452</v>
      </c>
    </row>
    <row r="44" ht="21.75" customHeight="1">
      <c r="B44" s="183" t="s">
        <v>523</v>
      </c>
      <c r="C44" s="184" t="s">
        <v>524</v>
      </c>
      <c r="D44" s="185">
        <v>0.0</v>
      </c>
      <c r="E44" s="185">
        <v>14.0</v>
      </c>
      <c r="F44" s="186">
        <f t="shared" si="1"/>
        <v>14</v>
      </c>
      <c r="G44" s="202">
        <f t="shared" si="2"/>
        <v>1</v>
      </c>
      <c r="H44" s="188">
        <v>252.0</v>
      </c>
      <c r="I44" s="189">
        <f t="shared" si="3"/>
        <v>18</v>
      </c>
      <c r="J44" s="190">
        <v>3.0</v>
      </c>
      <c r="K44" s="175" t="s">
        <v>162</v>
      </c>
    </row>
    <row r="45" ht="21.75" customHeight="1">
      <c r="B45" s="191" t="s">
        <v>525</v>
      </c>
      <c r="C45" s="192" t="s">
        <v>526</v>
      </c>
      <c r="D45" s="193">
        <v>8.0</v>
      </c>
      <c r="E45" s="193">
        <v>4.5</v>
      </c>
      <c r="F45" s="194">
        <f t="shared" si="1"/>
        <v>12.5</v>
      </c>
      <c r="G45" s="200">
        <f t="shared" si="2"/>
        <v>0.36</v>
      </c>
      <c r="H45" s="196">
        <v>266.0</v>
      </c>
      <c r="I45" s="197">
        <f t="shared" si="3"/>
        <v>21.28</v>
      </c>
      <c r="J45" s="198">
        <v>4.0</v>
      </c>
      <c r="K45" s="175" t="s">
        <v>162</v>
      </c>
    </row>
    <row r="46" ht="21.75" customHeight="1">
      <c r="B46" s="183" t="s">
        <v>527</v>
      </c>
      <c r="C46" s="184" t="s">
        <v>528</v>
      </c>
      <c r="D46" s="185">
        <v>0.0</v>
      </c>
      <c r="E46" s="185">
        <v>8.0</v>
      </c>
      <c r="F46" s="186">
        <f t="shared" si="1"/>
        <v>8</v>
      </c>
      <c r="G46" s="202">
        <f t="shared" si="2"/>
        <v>1</v>
      </c>
      <c r="H46" s="188">
        <v>324.0</v>
      </c>
      <c r="I46" s="189">
        <f t="shared" si="3"/>
        <v>40.5</v>
      </c>
      <c r="J46" s="190">
        <v>3.0</v>
      </c>
      <c r="K46" s="172" t="s">
        <v>452</v>
      </c>
    </row>
    <row r="47" ht="21.75" customHeight="1">
      <c r="B47" s="191" t="s">
        <v>529</v>
      </c>
      <c r="C47" s="192" t="s">
        <v>530</v>
      </c>
      <c r="D47" s="193">
        <v>7.0</v>
      </c>
      <c r="E47" s="193">
        <v>0.0</v>
      </c>
      <c r="F47" s="194">
        <f t="shared" si="1"/>
        <v>7</v>
      </c>
      <c r="G47" s="201">
        <f t="shared" si="2"/>
        <v>0</v>
      </c>
      <c r="H47" s="196">
        <v>91.0</v>
      </c>
      <c r="I47" s="197">
        <f t="shared" si="3"/>
        <v>13</v>
      </c>
      <c r="J47" s="198">
        <v>3.0</v>
      </c>
      <c r="K47" s="60" t="s">
        <v>165</v>
      </c>
    </row>
    <row r="48" ht="21.75" customHeight="1">
      <c r="B48" s="183" t="s">
        <v>531</v>
      </c>
      <c r="C48" s="184" t="s">
        <v>532</v>
      </c>
      <c r="D48" s="185">
        <v>5.0</v>
      </c>
      <c r="E48" s="185">
        <v>0.0</v>
      </c>
      <c r="F48" s="186">
        <f t="shared" si="1"/>
        <v>5</v>
      </c>
      <c r="G48" s="187">
        <f t="shared" si="2"/>
        <v>0</v>
      </c>
      <c r="H48" s="188">
        <v>60.0</v>
      </c>
      <c r="I48" s="189">
        <f t="shared" si="3"/>
        <v>12</v>
      </c>
      <c r="J48" s="190">
        <v>4.0</v>
      </c>
      <c r="K48" s="60" t="s">
        <v>165</v>
      </c>
    </row>
    <row r="49" ht="21.75" customHeight="1">
      <c r="B49" s="191" t="s">
        <v>533</v>
      </c>
      <c r="C49" s="192" t="s">
        <v>534</v>
      </c>
      <c r="D49" s="193">
        <v>3.5</v>
      </c>
      <c r="E49" s="193">
        <v>0.0</v>
      </c>
      <c r="F49" s="194">
        <f t="shared" si="1"/>
        <v>3.5</v>
      </c>
      <c r="G49" s="201">
        <f t="shared" si="2"/>
        <v>0</v>
      </c>
      <c r="H49" s="196">
        <v>116.0</v>
      </c>
      <c r="I49" s="197">
        <f t="shared" si="3"/>
        <v>33.14285714</v>
      </c>
      <c r="J49" s="198">
        <v>3.0</v>
      </c>
      <c r="K49" s="172" t="s">
        <v>452</v>
      </c>
    </row>
    <row r="50" ht="31.5" customHeight="1">
      <c r="B50" s="64" t="s">
        <v>168</v>
      </c>
      <c r="C50" s="203" t="s">
        <v>535</v>
      </c>
      <c r="D50" s="204">
        <f t="shared" ref="D50:F50" si="4">SUM(D8:D49)</f>
        <v>13220.7</v>
      </c>
      <c r="E50" s="204">
        <f t="shared" si="4"/>
        <v>1431.5</v>
      </c>
      <c r="F50" s="204">
        <f t="shared" si="4"/>
        <v>14652.2</v>
      </c>
      <c r="G50" s="99">
        <f>E50/F50</f>
        <v>0.09769863911</v>
      </c>
      <c r="H50" s="65">
        <f>SUM(H8:H49)</f>
        <v>291364</v>
      </c>
      <c r="I50" s="69">
        <f>H50/F50</f>
        <v>19.88534145</v>
      </c>
      <c r="J50" s="205"/>
      <c r="K50" s="20"/>
    </row>
    <row r="51" ht="15.75" customHeight="1">
      <c r="J51" s="182"/>
    </row>
    <row r="52" ht="15.75" customHeight="1">
      <c r="J52" s="182"/>
    </row>
    <row r="53" ht="13.5" customHeight="1">
      <c r="B53" s="34" t="s">
        <v>536</v>
      </c>
      <c r="J53" s="182"/>
    </row>
    <row r="54" ht="24.0" customHeight="1">
      <c r="B54" s="76" t="s">
        <v>537</v>
      </c>
      <c r="C54" s="77"/>
      <c r="D54" s="77"/>
      <c r="E54" s="77"/>
      <c r="F54" s="77"/>
      <c r="G54" s="77"/>
      <c r="H54" s="77"/>
      <c r="I54" s="77"/>
      <c r="J54" s="77"/>
      <c r="K54" s="78"/>
    </row>
    <row r="55" ht="6.0" customHeight="1">
      <c r="J55" s="182"/>
    </row>
    <row r="56" ht="24.0" customHeight="1">
      <c r="B56" s="85" t="s">
        <v>538</v>
      </c>
      <c r="C56" s="86"/>
      <c r="D56" s="86"/>
      <c r="E56" s="86"/>
      <c r="F56" s="86"/>
      <c r="G56" s="86"/>
      <c r="H56" s="86"/>
      <c r="I56" s="86"/>
      <c r="J56" s="86"/>
      <c r="K56" s="87"/>
    </row>
    <row r="57" ht="6.0" customHeight="1">
      <c r="J57" s="182"/>
    </row>
    <row r="58" ht="24.0" customHeight="1">
      <c r="B58" s="206" t="s">
        <v>539</v>
      </c>
      <c r="C58" s="207"/>
      <c r="D58" s="207"/>
      <c r="E58" s="207"/>
      <c r="F58" s="207"/>
      <c r="G58" s="207"/>
      <c r="H58" s="207"/>
      <c r="I58" s="207"/>
      <c r="J58" s="207"/>
      <c r="K58" s="208"/>
    </row>
    <row r="59" ht="6.0" customHeight="1">
      <c r="J59" s="182"/>
    </row>
    <row r="60" ht="24.0" customHeight="1">
      <c r="B60" s="209" t="s">
        <v>540</v>
      </c>
      <c r="C60" s="210"/>
      <c r="D60" s="210"/>
      <c r="E60" s="210"/>
      <c r="F60" s="210"/>
      <c r="G60" s="210"/>
      <c r="H60" s="210"/>
      <c r="I60" s="210"/>
      <c r="J60" s="210"/>
      <c r="K60" s="211"/>
    </row>
    <row r="61" ht="6.0" customHeight="1">
      <c r="J61" s="182"/>
    </row>
    <row r="62" ht="24.0" customHeight="1">
      <c r="B62" s="82" t="s">
        <v>541</v>
      </c>
      <c r="C62" s="83"/>
      <c r="D62" s="83"/>
      <c r="E62" s="83"/>
      <c r="F62" s="83"/>
      <c r="G62" s="83"/>
      <c r="H62" s="83"/>
      <c r="I62" s="83"/>
      <c r="J62" s="83"/>
      <c r="K62" s="84"/>
    </row>
    <row r="63" ht="6.0" customHeight="1">
      <c r="J63" s="182"/>
    </row>
    <row r="64" ht="24.0" customHeight="1">
      <c r="B64" s="212" t="s">
        <v>542</v>
      </c>
      <c r="C64" s="213"/>
      <c r="D64" s="213"/>
      <c r="E64" s="213"/>
      <c r="F64" s="213"/>
      <c r="G64" s="213"/>
      <c r="H64" s="213"/>
      <c r="I64" s="213"/>
      <c r="J64" s="213"/>
      <c r="K64" s="214"/>
    </row>
    <row r="65" ht="6.0" customHeight="1">
      <c r="J65" s="182"/>
    </row>
    <row r="66" ht="15.75" customHeight="1">
      <c r="J66" s="182"/>
    </row>
    <row r="67" ht="15.75" customHeight="1">
      <c r="J67" s="182"/>
    </row>
    <row r="68" ht="12.0" customHeight="1">
      <c r="J68" s="182"/>
    </row>
    <row r="69" ht="18.0" customHeight="1">
      <c r="B69" s="31" t="s">
        <v>41</v>
      </c>
      <c r="C69" s="32"/>
      <c r="D69" s="32"/>
      <c r="E69" s="32"/>
      <c r="F69" s="32"/>
      <c r="G69" s="32"/>
      <c r="H69" s="32"/>
      <c r="I69" s="32"/>
      <c r="J69" s="215"/>
      <c r="K69" s="32"/>
    </row>
    <row r="70" ht="18.0" customHeight="1">
      <c r="B70" s="33" t="s">
        <v>543</v>
      </c>
    </row>
    <row r="71" ht="18.0" customHeight="1">
      <c r="B71" s="33" t="s">
        <v>544</v>
      </c>
    </row>
    <row r="72" ht="18.0" customHeight="1">
      <c r="B72" s="33" t="s">
        <v>545</v>
      </c>
    </row>
    <row r="73" ht="15.75" customHeight="1">
      <c r="J73" s="182"/>
    </row>
    <row r="74" ht="15.75" customHeight="1">
      <c r="J74" s="182"/>
    </row>
    <row r="75" ht="12.0" customHeight="1">
      <c r="J75" s="182"/>
    </row>
    <row r="76" ht="18.0" customHeight="1">
      <c r="B76" s="31" t="s">
        <v>41</v>
      </c>
      <c r="C76" s="32"/>
      <c r="D76" s="32"/>
      <c r="E76" s="32"/>
      <c r="F76" s="32"/>
      <c r="G76" s="32"/>
      <c r="H76" s="32"/>
      <c r="I76" s="32"/>
      <c r="J76" s="215"/>
      <c r="K76" s="32"/>
    </row>
    <row r="77" ht="18.0" customHeight="1">
      <c r="B77" s="33" t="s">
        <v>42</v>
      </c>
    </row>
    <row r="78" ht="18.0" customHeight="1">
      <c r="B78" s="33" t="s">
        <v>546</v>
      </c>
    </row>
    <row r="79" ht="18.0" customHeight="1">
      <c r="B79" s="33" t="s">
        <v>547</v>
      </c>
    </row>
    <row r="80" ht="15.75" customHeight="1">
      <c r="J80" s="182"/>
    </row>
    <row r="81" ht="15.75" customHeight="1">
      <c r="J81" s="182"/>
    </row>
    <row r="82" ht="15.75" customHeight="1">
      <c r="J82" s="182"/>
    </row>
    <row r="83" ht="15.75" customHeight="1">
      <c r="J83" s="182"/>
    </row>
    <row r="84" ht="15.75" customHeight="1">
      <c r="J84" s="182"/>
    </row>
    <row r="85" ht="15.75" customHeight="1">
      <c r="J85" s="182"/>
    </row>
    <row r="86" ht="15.75" customHeight="1">
      <c r="J86" s="182"/>
    </row>
    <row r="87" ht="15.75" customHeight="1">
      <c r="J87" s="182"/>
    </row>
    <row r="88" ht="15.75" customHeight="1">
      <c r="J88" s="182"/>
    </row>
    <row r="89" ht="15.75" customHeight="1">
      <c r="J89" s="182"/>
    </row>
    <row r="90" ht="15.75" customHeight="1">
      <c r="J90" s="182"/>
    </row>
    <row r="91" ht="15.75" customHeight="1">
      <c r="J91" s="182"/>
    </row>
    <row r="92" ht="15.75" customHeight="1">
      <c r="J92" s="182"/>
    </row>
    <row r="93" ht="15.75" customHeight="1">
      <c r="J93" s="182"/>
    </row>
    <row r="94" ht="15.75" customHeight="1">
      <c r="J94" s="182"/>
    </row>
    <row r="95" ht="15.75" customHeight="1">
      <c r="J95" s="182"/>
    </row>
    <row r="96" ht="15.75" customHeight="1">
      <c r="J96" s="182"/>
    </row>
    <row r="97" ht="15.75" customHeight="1">
      <c r="J97" s="182"/>
    </row>
    <row r="98" ht="15.75" customHeight="1">
      <c r="J98" s="182"/>
    </row>
    <row r="99" ht="15.75" customHeight="1">
      <c r="J99" s="182"/>
    </row>
    <row r="100" ht="15.75" customHeight="1">
      <c r="J100" s="182"/>
    </row>
    <row r="101" ht="15.75" customHeight="1">
      <c r="J101" s="182"/>
    </row>
    <row r="102" ht="15.75" customHeight="1">
      <c r="J102" s="182"/>
    </row>
    <row r="103" ht="15.75" customHeight="1">
      <c r="J103" s="182"/>
    </row>
    <row r="104" ht="15.75" customHeight="1">
      <c r="J104" s="182"/>
    </row>
    <row r="105" ht="15.75" customHeight="1">
      <c r="J105" s="182"/>
    </row>
    <row r="106" ht="15.75" customHeight="1">
      <c r="J106" s="182"/>
    </row>
    <row r="107" ht="15.75" customHeight="1">
      <c r="J107" s="182"/>
    </row>
    <row r="108" ht="15.75" customHeight="1">
      <c r="J108" s="182"/>
    </row>
    <row r="109" ht="15.75" customHeight="1">
      <c r="J109" s="182"/>
    </row>
    <row r="110" ht="15.75" customHeight="1">
      <c r="J110" s="182"/>
    </row>
    <row r="111" ht="15.75" customHeight="1">
      <c r="J111" s="182"/>
    </row>
    <row r="112" ht="15.75" customHeight="1">
      <c r="J112" s="182"/>
    </row>
    <row r="113" ht="15.75" customHeight="1">
      <c r="J113" s="182"/>
    </row>
    <row r="114" ht="15.75" customHeight="1">
      <c r="J114" s="182"/>
    </row>
    <row r="115" ht="15.75" customHeight="1">
      <c r="J115" s="182"/>
    </row>
    <row r="116" ht="15.75" customHeight="1">
      <c r="J116" s="182"/>
    </row>
    <row r="117" ht="15.75" customHeight="1">
      <c r="J117" s="182"/>
    </row>
    <row r="118" ht="15.75" customHeight="1">
      <c r="J118" s="182"/>
    </row>
    <row r="119" ht="15.75" customHeight="1">
      <c r="J119" s="182"/>
    </row>
    <row r="120" ht="15.75" customHeight="1">
      <c r="J120" s="182"/>
    </row>
    <row r="121" ht="15.75" customHeight="1">
      <c r="J121" s="182"/>
    </row>
    <row r="122" ht="15.75" customHeight="1">
      <c r="J122" s="182"/>
    </row>
    <row r="123" ht="15.75" customHeight="1">
      <c r="J123" s="182"/>
    </row>
    <row r="124" ht="15.75" customHeight="1">
      <c r="J124" s="182"/>
    </row>
    <row r="125" ht="15.75" customHeight="1">
      <c r="J125" s="182"/>
    </row>
    <row r="126" ht="15.75" customHeight="1">
      <c r="J126" s="182"/>
    </row>
    <row r="127" ht="15.75" customHeight="1">
      <c r="J127" s="182"/>
    </row>
    <row r="128" ht="15.75" customHeight="1">
      <c r="J128" s="182"/>
    </row>
    <row r="129" ht="15.75" customHeight="1">
      <c r="J129" s="182"/>
    </row>
    <row r="130" ht="15.75" customHeight="1">
      <c r="J130" s="182"/>
    </row>
    <row r="131" ht="15.75" customHeight="1">
      <c r="J131" s="182"/>
    </row>
    <row r="132" ht="15.75" customHeight="1">
      <c r="J132" s="182"/>
    </row>
    <row r="133" ht="15.75" customHeight="1">
      <c r="J133" s="182"/>
    </row>
    <row r="134" ht="15.75" customHeight="1">
      <c r="J134" s="182"/>
    </row>
    <row r="135" ht="15.75" customHeight="1">
      <c r="J135" s="182"/>
    </row>
    <row r="136" ht="15.75" customHeight="1">
      <c r="J136" s="182"/>
    </row>
    <row r="137" ht="15.75" customHeight="1">
      <c r="J137" s="182"/>
    </row>
    <row r="138" ht="15.75" customHeight="1">
      <c r="J138" s="182"/>
    </row>
    <row r="139" ht="15.75" customHeight="1">
      <c r="J139" s="182"/>
    </row>
    <row r="140" ht="15.75" customHeight="1">
      <c r="J140" s="182"/>
    </row>
    <row r="141" ht="15.75" customHeight="1">
      <c r="J141" s="182"/>
    </row>
    <row r="142" ht="15.75" customHeight="1">
      <c r="J142" s="182"/>
    </row>
    <row r="143" ht="15.75" customHeight="1">
      <c r="J143" s="182"/>
    </row>
    <row r="144" ht="15.75" customHeight="1">
      <c r="J144" s="182"/>
    </row>
    <row r="145" ht="15.75" customHeight="1">
      <c r="J145" s="182"/>
    </row>
    <row r="146" ht="15.75" customHeight="1">
      <c r="J146" s="182"/>
    </row>
    <row r="147" ht="15.75" customHeight="1">
      <c r="J147" s="182"/>
    </row>
    <row r="148" ht="15.75" customHeight="1">
      <c r="J148" s="182"/>
    </row>
    <row r="149" ht="15.75" customHeight="1">
      <c r="J149" s="182"/>
    </row>
    <row r="150" ht="15.75" customHeight="1">
      <c r="J150" s="182"/>
    </row>
    <row r="151" ht="15.75" customHeight="1">
      <c r="J151" s="182"/>
    </row>
    <row r="152" ht="15.75" customHeight="1">
      <c r="J152" s="182"/>
    </row>
    <row r="153" ht="15.75" customHeight="1">
      <c r="J153" s="182"/>
    </row>
    <row r="154" ht="15.75" customHeight="1">
      <c r="J154" s="182"/>
    </row>
    <row r="155" ht="15.75" customHeight="1">
      <c r="J155" s="182"/>
    </row>
    <row r="156" ht="15.75" customHeight="1">
      <c r="J156" s="182"/>
    </row>
    <row r="157" ht="15.75" customHeight="1">
      <c r="J157" s="182"/>
    </row>
    <row r="158" ht="15.75" customHeight="1">
      <c r="J158" s="182"/>
    </row>
    <row r="159" ht="15.75" customHeight="1">
      <c r="J159" s="182"/>
    </row>
    <row r="160" ht="15.75" customHeight="1">
      <c r="J160" s="182"/>
    </row>
    <row r="161" ht="15.75" customHeight="1">
      <c r="J161" s="182"/>
    </row>
    <row r="162" ht="15.75" customHeight="1">
      <c r="J162" s="182"/>
    </row>
    <row r="163" ht="15.75" customHeight="1">
      <c r="J163" s="182"/>
    </row>
    <row r="164" ht="15.75" customHeight="1">
      <c r="J164" s="182"/>
    </row>
    <row r="165" ht="15.75" customHeight="1">
      <c r="J165" s="182"/>
    </row>
    <row r="166" ht="15.75" customHeight="1">
      <c r="J166" s="182"/>
    </row>
    <row r="167" ht="15.75" customHeight="1">
      <c r="J167" s="182"/>
    </row>
    <row r="168" ht="15.75" customHeight="1">
      <c r="J168" s="182"/>
    </row>
    <row r="169" ht="15.75" customHeight="1">
      <c r="J169" s="182"/>
    </row>
    <row r="170" ht="15.75" customHeight="1">
      <c r="J170" s="182"/>
    </row>
    <row r="171" ht="15.75" customHeight="1">
      <c r="J171" s="182"/>
    </row>
    <row r="172" ht="15.75" customHeight="1">
      <c r="J172" s="182"/>
    </row>
    <row r="173" ht="15.75" customHeight="1">
      <c r="J173" s="182"/>
    </row>
    <row r="174" ht="15.75" customHeight="1">
      <c r="J174" s="182"/>
    </row>
    <row r="175" ht="15.75" customHeight="1">
      <c r="J175" s="182"/>
    </row>
    <row r="176" ht="15.75" customHeight="1">
      <c r="J176" s="182"/>
    </row>
    <row r="177" ht="15.75" customHeight="1">
      <c r="J177" s="182"/>
    </row>
    <row r="178" ht="15.75" customHeight="1">
      <c r="J178" s="182"/>
    </row>
    <row r="179" ht="15.75" customHeight="1">
      <c r="J179" s="182"/>
    </row>
    <row r="180" ht="15.75" customHeight="1">
      <c r="J180" s="182"/>
    </row>
    <row r="181" ht="15.75" customHeight="1">
      <c r="J181" s="182"/>
    </row>
    <row r="182" ht="15.75" customHeight="1">
      <c r="J182" s="182"/>
    </row>
    <row r="183" ht="15.75" customHeight="1">
      <c r="J183" s="182"/>
    </row>
    <row r="184" ht="15.75" customHeight="1">
      <c r="J184" s="182"/>
    </row>
    <row r="185" ht="15.75" customHeight="1">
      <c r="J185" s="182"/>
    </row>
    <row r="186" ht="15.75" customHeight="1">
      <c r="J186" s="182"/>
    </row>
    <row r="187" ht="15.75" customHeight="1">
      <c r="J187" s="182"/>
    </row>
    <row r="188" ht="15.75" customHeight="1">
      <c r="J188" s="182"/>
    </row>
    <row r="189" ht="15.75" customHeight="1">
      <c r="J189" s="182"/>
    </row>
    <row r="190" ht="15.75" customHeight="1">
      <c r="J190" s="182"/>
    </row>
    <row r="191" ht="15.75" customHeight="1">
      <c r="J191" s="182"/>
    </row>
    <row r="192" ht="15.75" customHeight="1">
      <c r="J192" s="182"/>
    </row>
    <row r="193" ht="15.75" customHeight="1">
      <c r="J193" s="182"/>
    </row>
    <row r="194" ht="15.75" customHeight="1">
      <c r="J194" s="182"/>
    </row>
    <row r="195" ht="15.75" customHeight="1">
      <c r="J195" s="182"/>
    </row>
    <row r="196" ht="15.75" customHeight="1">
      <c r="J196" s="182"/>
    </row>
    <row r="197" ht="15.75" customHeight="1">
      <c r="J197" s="182"/>
    </row>
    <row r="198" ht="15.75" customHeight="1">
      <c r="J198" s="182"/>
    </row>
    <row r="199" ht="15.75" customHeight="1">
      <c r="J199" s="182"/>
    </row>
    <row r="200" ht="15.75" customHeight="1">
      <c r="J200" s="182"/>
    </row>
    <row r="201" ht="15.75" customHeight="1">
      <c r="J201" s="182"/>
    </row>
    <row r="202" ht="15.75" customHeight="1">
      <c r="J202" s="182"/>
    </row>
    <row r="203" ht="15.75" customHeight="1">
      <c r="J203" s="182"/>
    </row>
    <row r="204" ht="15.75" customHeight="1">
      <c r="J204" s="182"/>
    </row>
    <row r="205" ht="15.75" customHeight="1">
      <c r="J205" s="182"/>
    </row>
    <row r="206" ht="15.75" customHeight="1">
      <c r="J206" s="182"/>
    </row>
    <row r="207" ht="15.75" customHeight="1">
      <c r="J207" s="182"/>
    </row>
    <row r="208" ht="15.75" customHeight="1">
      <c r="J208" s="182"/>
    </row>
    <row r="209" ht="15.75" customHeight="1">
      <c r="J209" s="182"/>
    </row>
    <row r="210" ht="15.75" customHeight="1">
      <c r="J210" s="182"/>
    </row>
    <row r="211" ht="15.75" customHeight="1">
      <c r="J211" s="182"/>
    </row>
    <row r="212" ht="15.75" customHeight="1">
      <c r="J212" s="182"/>
    </row>
    <row r="213" ht="15.75" customHeight="1">
      <c r="J213" s="182"/>
    </row>
    <row r="214" ht="15.75" customHeight="1">
      <c r="J214" s="182"/>
    </row>
    <row r="215" ht="15.75" customHeight="1">
      <c r="J215" s="182"/>
    </row>
    <row r="216" ht="15.75" customHeight="1">
      <c r="J216" s="182"/>
    </row>
    <row r="217" ht="15.75" customHeight="1">
      <c r="J217" s="182"/>
    </row>
    <row r="218" ht="15.75" customHeight="1">
      <c r="J218" s="182"/>
    </row>
    <row r="219" ht="15.75" customHeight="1">
      <c r="J219" s="182"/>
    </row>
    <row r="220" ht="15.75" customHeight="1">
      <c r="J220" s="182"/>
    </row>
    <row r="221" ht="15.75" customHeight="1">
      <c r="J221" s="182"/>
    </row>
    <row r="222" ht="15.75" customHeight="1">
      <c r="J222" s="182"/>
    </row>
    <row r="223" ht="15.75" customHeight="1">
      <c r="J223" s="182"/>
    </row>
    <row r="224" ht="15.75" customHeight="1">
      <c r="J224" s="182"/>
    </row>
    <row r="225" ht="15.75" customHeight="1">
      <c r="J225" s="182"/>
    </row>
    <row r="226" ht="15.75" customHeight="1">
      <c r="J226" s="182"/>
    </row>
    <row r="227" ht="15.75" customHeight="1">
      <c r="J227" s="182"/>
    </row>
    <row r="228" ht="15.75" customHeight="1">
      <c r="J228" s="182"/>
    </row>
    <row r="229" ht="15.75" customHeight="1">
      <c r="J229" s="182"/>
    </row>
    <row r="230" ht="15.75" customHeight="1">
      <c r="J230" s="182"/>
    </row>
    <row r="231" ht="15.75" customHeight="1">
      <c r="J231" s="182"/>
    </row>
    <row r="232" ht="15.75" customHeight="1">
      <c r="J232" s="182"/>
    </row>
    <row r="233" ht="15.75" customHeight="1">
      <c r="J233" s="182"/>
    </row>
    <row r="234" ht="15.75" customHeight="1">
      <c r="J234" s="182"/>
    </row>
    <row r="235" ht="15.75" customHeight="1">
      <c r="J235" s="182"/>
    </row>
    <row r="236" ht="15.75" customHeight="1">
      <c r="J236" s="182"/>
    </row>
    <row r="237" ht="15.75" customHeight="1">
      <c r="J237" s="182"/>
    </row>
    <row r="238" ht="15.75" customHeight="1">
      <c r="J238" s="182"/>
    </row>
    <row r="239" ht="15.75" customHeight="1">
      <c r="J239" s="182"/>
    </row>
    <row r="240" ht="15.75" customHeight="1">
      <c r="J240" s="182"/>
    </row>
    <row r="241" ht="15.75" customHeight="1">
      <c r="J241" s="182"/>
    </row>
    <row r="242" ht="15.75" customHeight="1">
      <c r="J242" s="182"/>
    </row>
    <row r="243" ht="15.75" customHeight="1">
      <c r="J243" s="182"/>
    </row>
    <row r="244" ht="15.75" customHeight="1">
      <c r="J244" s="182"/>
    </row>
    <row r="245" ht="15.75" customHeight="1">
      <c r="J245" s="182"/>
    </row>
    <row r="246" ht="15.75" customHeight="1">
      <c r="J246" s="182"/>
    </row>
    <row r="247" ht="15.75" customHeight="1">
      <c r="J247" s="182"/>
    </row>
    <row r="248" ht="15.75" customHeight="1">
      <c r="J248" s="182"/>
    </row>
    <row r="249" ht="15.75" customHeight="1">
      <c r="J249" s="182"/>
    </row>
    <row r="250" ht="15.75" customHeight="1">
      <c r="J250" s="182"/>
    </row>
    <row r="251" ht="15.75" customHeight="1">
      <c r="J251" s="182"/>
    </row>
    <row r="252" ht="15.75" customHeight="1">
      <c r="J252" s="182"/>
    </row>
    <row r="253" ht="15.75" customHeight="1">
      <c r="J253" s="182"/>
    </row>
    <row r="254" ht="15.75" customHeight="1">
      <c r="J254" s="182"/>
    </row>
    <row r="255" ht="15.75" customHeight="1">
      <c r="J255" s="182"/>
    </row>
    <row r="256" ht="15.75" customHeight="1">
      <c r="J256" s="182"/>
    </row>
    <row r="257" ht="15.75" customHeight="1">
      <c r="J257" s="182"/>
    </row>
    <row r="258" ht="15.75" customHeight="1">
      <c r="J258" s="182"/>
    </row>
    <row r="259" ht="15.75" customHeight="1">
      <c r="J259" s="182"/>
    </row>
    <row r="260" ht="15.75" customHeight="1">
      <c r="J260" s="182"/>
    </row>
    <row r="261" ht="15.75" customHeight="1">
      <c r="J261" s="182"/>
    </row>
    <row r="262" ht="15.75" customHeight="1">
      <c r="J262" s="182"/>
    </row>
    <row r="263" ht="15.75" customHeight="1">
      <c r="J263" s="182"/>
    </row>
    <row r="264" ht="15.75" customHeight="1">
      <c r="J264" s="182"/>
    </row>
    <row r="265" ht="15.75" customHeight="1">
      <c r="J265" s="182"/>
    </row>
    <row r="266" ht="15.75" customHeight="1">
      <c r="J266" s="182"/>
    </row>
    <row r="267" ht="15.75" customHeight="1">
      <c r="J267" s="182"/>
    </row>
    <row r="268" ht="15.75" customHeight="1">
      <c r="J268" s="182"/>
    </row>
    <row r="269" ht="15.75" customHeight="1">
      <c r="J269" s="182"/>
    </row>
    <row r="270" ht="15.75" customHeight="1">
      <c r="J270" s="182"/>
    </row>
    <row r="271" ht="15.75" customHeight="1">
      <c r="J271" s="182"/>
    </row>
    <row r="272" ht="15.75" customHeight="1">
      <c r="J272" s="182"/>
    </row>
    <row r="273" ht="15.75" customHeight="1">
      <c r="J273" s="182"/>
    </row>
    <row r="274" ht="15.75" customHeight="1">
      <c r="J274" s="182"/>
    </row>
    <row r="275" ht="15.75" customHeight="1">
      <c r="J275" s="182"/>
    </row>
    <row r="276" ht="15.75" customHeight="1">
      <c r="J276" s="182"/>
    </row>
    <row r="277" ht="15.75" customHeight="1">
      <c r="J277" s="182"/>
    </row>
    <row r="278" ht="15.75" customHeight="1">
      <c r="J278" s="182"/>
    </row>
    <row r="279" ht="15.75" customHeight="1">
      <c r="J279" s="182"/>
    </row>
    <row r="280" ht="15.75" customHeight="1">
      <c r="J280" s="182"/>
    </row>
    <row r="281" ht="15.75" customHeight="1">
      <c r="J281" s="182"/>
    </row>
    <row r="282" ht="15.75" customHeight="1">
      <c r="J282" s="182"/>
    </row>
    <row r="283" ht="15.75" customHeight="1">
      <c r="J283" s="182"/>
    </row>
    <row r="284" ht="15.75" customHeight="1">
      <c r="J284" s="182"/>
    </row>
    <row r="285" ht="15.75" customHeight="1">
      <c r="J285" s="182"/>
    </row>
    <row r="286" ht="15.75" customHeight="1">
      <c r="J286" s="182"/>
    </row>
    <row r="287" ht="15.75" customHeight="1">
      <c r="J287" s="182"/>
    </row>
    <row r="288" ht="15.75" customHeight="1">
      <c r="J288" s="182"/>
    </row>
    <row r="289" ht="15.75" customHeight="1">
      <c r="J289" s="182"/>
    </row>
    <row r="290" ht="15.75" customHeight="1">
      <c r="J290" s="182"/>
    </row>
    <row r="291" ht="15.75" customHeight="1">
      <c r="J291" s="182"/>
    </row>
    <row r="292" ht="15.75" customHeight="1">
      <c r="J292" s="182"/>
    </row>
    <row r="293" ht="15.75" customHeight="1">
      <c r="J293" s="182"/>
    </row>
    <row r="294" ht="15.75" customHeight="1">
      <c r="J294" s="182"/>
    </row>
    <row r="295" ht="15.75" customHeight="1">
      <c r="J295" s="182"/>
    </row>
    <row r="296" ht="15.75" customHeight="1">
      <c r="J296" s="182"/>
    </row>
    <row r="297" ht="15.75" customHeight="1">
      <c r="J297" s="182"/>
    </row>
    <row r="298" ht="15.75" customHeight="1">
      <c r="J298" s="182"/>
    </row>
    <row r="299" ht="15.75" customHeight="1">
      <c r="J299" s="182"/>
    </row>
    <row r="300" ht="15.75" customHeight="1">
      <c r="J300" s="182"/>
    </row>
    <row r="301" ht="15.75" customHeight="1">
      <c r="J301" s="182"/>
    </row>
    <row r="302" ht="15.75" customHeight="1">
      <c r="J302" s="182"/>
    </row>
    <row r="303" ht="15.75" customHeight="1">
      <c r="J303" s="182"/>
    </row>
    <row r="304" ht="15.75" customHeight="1">
      <c r="J304" s="182"/>
    </row>
    <row r="305" ht="15.75" customHeight="1">
      <c r="J305" s="182"/>
    </row>
    <row r="306" ht="15.75" customHeight="1">
      <c r="J306" s="182"/>
    </row>
    <row r="307" ht="15.75" customHeight="1">
      <c r="J307" s="182"/>
    </row>
    <row r="308" ht="15.75" customHeight="1">
      <c r="J308" s="182"/>
    </row>
    <row r="309" ht="15.75" customHeight="1">
      <c r="J309" s="182"/>
    </row>
    <row r="310" ht="15.75" customHeight="1">
      <c r="J310" s="182"/>
    </row>
    <row r="311" ht="15.75" customHeight="1">
      <c r="J311" s="182"/>
    </row>
    <row r="312" ht="15.75" customHeight="1">
      <c r="J312" s="182"/>
    </row>
    <row r="313" ht="15.75" customHeight="1">
      <c r="J313" s="182"/>
    </row>
    <row r="314" ht="15.75" customHeight="1">
      <c r="J314" s="182"/>
    </row>
    <row r="315" ht="15.75" customHeight="1">
      <c r="J315" s="182"/>
    </row>
    <row r="316" ht="15.75" customHeight="1">
      <c r="J316" s="182"/>
    </row>
    <row r="317" ht="15.75" customHeight="1">
      <c r="J317" s="182"/>
    </row>
    <row r="318" ht="15.75" customHeight="1">
      <c r="J318" s="182"/>
    </row>
    <row r="319" ht="15.75" customHeight="1">
      <c r="J319" s="182"/>
    </row>
    <row r="320" ht="15.75" customHeight="1">
      <c r="J320" s="182"/>
    </row>
    <row r="321" ht="15.75" customHeight="1">
      <c r="J321" s="182"/>
    </row>
    <row r="322" ht="15.75" customHeight="1">
      <c r="J322" s="182"/>
    </row>
    <row r="323" ht="15.75" customHeight="1">
      <c r="J323" s="182"/>
    </row>
    <row r="324" ht="15.75" customHeight="1">
      <c r="J324" s="182"/>
    </row>
    <row r="325" ht="15.75" customHeight="1">
      <c r="J325" s="182"/>
    </row>
    <row r="326" ht="15.75" customHeight="1">
      <c r="J326" s="182"/>
    </row>
    <row r="327" ht="15.75" customHeight="1">
      <c r="J327" s="182"/>
    </row>
    <row r="328" ht="15.75" customHeight="1">
      <c r="J328" s="182"/>
    </row>
    <row r="329" ht="15.75" customHeight="1">
      <c r="J329" s="182"/>
    </row>
    <row r="330" ht="15.75" customHeight="1">
      <c r="J330" s="182"/>
    </row>
    <row r="331" ht="15.75" customHeight="1">
      <c r="J331" s="182"/>
    </row>
    <row r="332" ht="15.75" customHeight="1">
      <c r="J332" s="182"/>
    </row>
    <row r="333" ht="15.75" customHeight="1">
      <c r="J333" s="182"/>
    </row>
    <row r="334" ht="15.75" customHeight="1">
      <c r="J334" s="182"/>
    </row>
    <row r="335" ht="15.75" customHeight="1">
      <c r="J335" s="182"/>
    </row>
    <row r="336" ht="15.75" customHeight="1">
      <c r="J336" s="182"/>
    </row>
    <row r="337" ht="15.75" customHeight="1">
      <c r="J337" s="182"/>
    </row>
    <row r="338" ht="15.75" customHeight="1">
      <c r="J338" s="182"/>
    </row>
    <row r="339" ht="15.75" customHeight="1">
      <c r="J339" s="182"/>
    </row>
    <row r="340" ht="15.75" customHeight="1">
      <c r="J340" s="182"/>
    </row>
    <row r="341" ht="15.75" customHeight="1">
      <c r="J341" s="182"/>
    </row>
    <row r="342" ht="15.75" customHeight="1">
      <c r="J342" s="182"/>
    </row>
    <row r="343" ht="15.75" customHeight="1">
      <c r="J343" s="182"/>
    </row>
    <row r="344" ht="15.75" customHeight="1">
      <c r="J344" s="182"/>
    </row>
    <row r="345" ht="15.75" customHeight="1">
      <c r="J345" s="182"/>
    </row>
    <row r="346" ht="15.75" customHeight="1">
      <c r="J346" s="182"/>
    </row>
    <row r="347" ht="15.75" customHeight="1">
      <c r="J347" s="182"/>
    </row>
    <row r="348" ht="15.75" customHeight="1">
      <c r="J348" s="182"/>
    </row>
    <row r="349" ht="15.75" customHeight="1">
      <c r="J349" s="182"/>
    </row>
    <row r="350" ht="15.75" customHeight="1">
      <c r="J350" s="182"/>
    </row>
    <row r="351" ht="15.75" customHeight="1">
      <c r="J351" s="182"/>
    </row>
    <row r="352" ht="15.75" customHeight="1">
      <c r="J352" s="182"/>
    </row>
    <row r="353" ht="15.75" customHeight="1">
      <c r="J353" s="182"/>
    </row>
    <row r="354" ht="15.75" customHeight="1">
      <c r="J354" s="182"/>
    </row>
    <row r="355" ht="15.75" customHeight="1">
      <c r="J355" s="182"/>
    </row>
    <row r="356" ht="15.75" customHeight="1">
      <c r="J356" s="182"/>
    </row>
    <row r="357" ht="15.75" customHeight="1">
      <c r="J357" s="182"/>
    </row>
    <row r="358" ht="15.75" customHeight="1">
      <c r="J358" s="182"/>
    </row>
    <row r="359" ht="15.75" customHeight="1">
      <c r="J359" s="182"/>
    </row>
    <row r="360" ht="15.75" customHeight="1">
      <c r="J360" s="182"/>
    </row>
    <row r="361" ht="15.75" customHeight="1">
      <c r="J361" s="182"/>
    </row>
    <row r="362" ht="15.75" customHeight="1">
      <c r="J362" s="182"/>
    </row>
    <row r="363" ht="15.75" customHeight="1">
      <c r="J363" s="182"/>
    </row>
    <row r="364" ht="15.75" customHeight="1">
      <c r="J364" s="182"/>
    </row>
    <row r="365" ht="15.75" customHeight="1">
      <c r="J365" s="182"/>
    </row>
    <row r="366" ht="15.75" customHeight="1">
      <c r="J366" s="182"/>
    </row>
    <row r="367" ht="15.75" customHeight="1">
      <c r="J367" s="182"/>
    </row>
    <row r="368" ht="15.75" customHeight="1">
      <c r="J368" s="182"/>
    </row>
    <row r="369" ht="15.75" customHeight="1">
      <c r="J369" s="182"/>
    </row>
    <row r="370" ht="15.75" customHeight="1">
      <c r="J370" s="182"/>
    </row>
    <row r="371" ht="15.75" customHeight="1">
      <c r="J371" s="182"/>
    </row>
    <row r="372" ht="15.75" customHeight="1">
      <c r="J372" s="182"/>
    </row>
    <row r="373" ht="15.75" customHeight="1">
      <c r="J373" s="182"/>
    </row>
    <row r="374" ht="15.75" customHeight="1">
      <c r="J374" s="182"/>
    </row>
    <row r="375" ht="15.75" customHeight="1">
      <c r="J375" s="182"/>
    </row>
    <row r="376" ht="15.75" customHeight="1">
      <c r="J376" s="182"/>
    </row>
    <row r="377" ht="15.75" customHeight="1">
      <c r="J377" s="182"/>
    </row>
    <row r="378" ht="15.75" customHeight="1">
      <c r="J378" s="182"/>
    </row>
    <row r="379" ht="15.75" customHeight="1">
      <c r="J379" s="182"/>
    </row>
    <row r="380" ht="15.75" customHeight="1">
      <c r="J380" s="182"/>
    </row>
    <row r="381" ht="15.75" customHeight="1">
      <c r="J381" s="182"/>
    </row>
    <row r="382" ht="15.75" customHeight="1">
      <c r="J382" s="182"/>
    </row>
    <row r="383" ht="15.75" customHeight="1">
      <c r="J383" s="182"/>
    </row>
    <row r="384" ht="15.75" customHeight="1">
      <c r="J384" s="182"/>
    </row>
    <row r="385" ht="15.75" customHeight="1">
      <c r="J385" s="182"/>
    </row>
    <row r="386" ht="15.75" customHeight="1">
      <c r="J386" s="182"/>
    </row>
    <row r="387" ht="15.75" customHeight="1">
      <c r="J387" s="182"/>
    </row>
    <row r="388" ht="15.75" customHeight="1">
      <c r="J388" s="182"/>
    </row>
    <row r="389" ht="15.75" customHeight="1">
      <c r="J389" s="182"/>
    </row>
    <row r="390" ht="15.75" customHeight="1">
      <c r="J390" s="182"/>
    </row>
    <row r="391" ht="15.75" customHeight="1">
      <c r="J391" s="182"/>
    </row>
    <row r="392" ht="15.75" customHeight="1">
      <c r="J392" s="182"/>
    </row>
    <row r="393" ht="15.75" customHeight="1">
      <c r="J393" s="182"/>
    </row>
    <row r="394" ht="15.75" customHeight="1">
      <c r="J394" s="182"/>
    </row>
    <row r="395" ht="15.75" customHeight="1">
      <c r="J395" s="182"/>
    </row>
    <row r="396" ht="15.75" customHeight="1">
      <c r="J396" s="182"/>
    </row>
    <row r="397" ht="15.75" customHeight="1">
      <c r="J397" s="182"/>
    </row>
    <row r="398" ht="15.75" customHeight="1">
      <c r="J398" s="182"/>
    </row>
    <row r="399" ht="15.75" customHeight="1">
      <c r="J399" s="182"/>
    </row>
    <row r="400" ht="15.75" customHeight="1">
      <c r="J400" s="182"/>
    </row>
    <row r="401" ht="15.75" customHeight="1">
      <c r="J401" s="182"/>
    </row>
    <row r="402" ht="15.75" customHeight="1">
      <c r="J402" s="182"/>
    </row>
    <row r="403" ht="15.75" customHeight="1">
      <c r="J403" s="182"/>
    </row>
    <row r="404" ht="15.75" customHeight="1">
      <c r="J404" s="182"/>
    </row>
    <row r="405" ht="15.75" customHeight="1">
      <c r="J405" s="182"/>
    </row>
    <row r="406" ht="15.75" customHeight="1">
      <c r="J406" s="182"/>
    </row>
    <row r="407" ht="15.75" customHeight="1">
      <c r="J407" s="182"/>
    </row>
    <row r="408" ht="15.75" customHeight="1">
      <c r="J408" s="182"/>
    </row>
    <row r="409" ht="15.75" customHeight="1">
      <c r="J409" s="182"/>
    </row>
    <row r="410" ht="15.75" customHeight="1">
      <c r="J410" s="182"/>
    </row>
    <row r="411" ht="15.75" customHeight="1">
      <c r="J411" s="182"/>
    </row>
    <row r="412" ht="15.75" customHeight="1">
      <c r="J412" s="182"/>
    </row>
    <row r="413" ht="15.75" customHeight="1">
      <c r="J413" s="182"/>
    </row>
    <row r="414" ht="15.75" customHeight="1">
      <c r="J414" s="182"/>
    </row>
    <row r="415" ht="15.75" customHeight="1">
      <c r="J415" s="182"/>
    </row>
    <row r="416" ht="15.75" customHeight="1">
      <c r="J416" s="182"/>
    </row>
    <row r="417" ht="15.75" customHeight="1">
      <c r="J417" s="182"/>
    </row>
    <row r="418" ht="15.75" customHeight="1">
      <c r="J418" s="182"/>
    </row>
    <row r="419" ht="15.75" customHeight="1">
      <c r="J419" s="182"/>
    </row>
    <row r="420" ht="15.75" customHeight="1">
      <c r="J420" s="182"/>
    </row>
    <row r="421" ht="15.75" customHeight="1">
      <c r="J421" s="182"/>
    </row>
    <row r="422" ht="15.75" customHeight="1">
      <c r="J422" s="182"/>
    </row>
    <row r="423" ht="15.75" customHeight="1">
      <c r="J423" s="182"/>
    </row>
    <row r="424" ht="15.75" customHeight="1">
      <c r="J424" s="182"/>
    </row>
    <row r="425" ht="15.75" customHeight="1">
      <c r="J425" s="182"/>
    </row>
    <row r="426" ht="15.75" customHeight="1">
      <c r="J426" s="182"/>
    </row>
    <row r="427" ht="15.75" customHeight="1">
      <c r="J427" s="182"/>
    </row>
    <row r="428" ht="15.75" customHeight="1">
      <c r="J428" s="182"/>
    </row>
    <row r="429" ht="15.75" customHeight="1">
      <c r="J429" s="182"/>
    </row>
    <row r="430" ht="15.75" customHeight="1">
      <c r="J430" s="182"/>
    </row>
    <row r="431" ht="15.75" customHeight="1">
      <c r="J431" s="182"/>
    </row>
    <row r="432" ht="15.75" customHeight="1">
      <c r="J432" s="182"/>
    </row>
    <row r="433" ht="15.75" customHeight="1">
      <c r="J433" s="182"/>
    </row>
    <row r="434" ht="15.75" customHeight="1">
      <c r="J434" s="182"/>
    </row>
    <row r="435" ht="15.75" customHeight="1">
      <c r="J435" s="182"/>
    </row>
    <row r="436" ht="15.75" customHeight="1">
      <c r="J436" s="182"/>
    </row>
    <row r="437" ht="15.75" customHeight="1">
      <c r="J437" s="182"/>
    </row>
    <row r="438" ht="15.75" customHeight="1">
      <c r="J438" s="182"/>
    </row>
    <row r="439" ht="15.75" customHeight="1">
      <c r="J439" s="182"/>
    </row>
    <row r="440" ht="15.75" customHeight="1">
      <c r="J440" s="182"/>
    </row>
    <row r="441" ht="15.75" customHeight="1">
      <c r="J441" s="182"/>
    </row>
    <row r="442" ht="15.75" customHeight="1">
      <c r="J442" s="182"/>
    </row>
    <row r="443" ht="15.75" customHeight="1">
      <c r="J443" s="182"/>
    </row>
    <row r="444" ht="15.75" customHeight="1">
      <c r="J444" s="182"/>
    </row>
    <row r="445" ht="15.75" customHeight="1">
      <c r="J445" s="182"/>
    </row>
    <row r="446" ht="15.75" customHeight="1">
      <c r="J446" s="182"/>
    </row>
    <row r="447" ht="15.75" customHeight="1">
      <c r="J447" s="182"/>
    </row>
    <row r="448" ht="15.75" customHeight="1">
      <c r="J448" s="182"/>
    </row>
    <row r="449" ht="15.75" customHeight="1">
      <c r="J449" s="182"/>
    </row>
    <row r="450" ht="15.75" customHeight="1">
      <c r="J450" s="182"/>
    </row>
    <row r="451" ht="15.75" customHeight="1">
      <c r="J451" s="182"/>
    </row>
    <row r="452" ht="15.75" customHeight="1">
      <c r="J452" s="182"/>
    </row>
    <row r="453" ht="15.75" customHeight="1">
      <c r="J453" s="182"/>
    </row>
    <row r="454" ht="15.75" customHeight="1">
      <c r="J454" s="182"/>
    </row>
    <row r="455" ht="15.75" customHeight="1">
      <c r="J455" s="182"/>
    </row>
    <row r="456" ht="15.75" customHeight="1">
      <c r="J456" s="182"/>
    </row>
    <row r="457" ht="15.75" customHeight="1">
      <c r="J457" s="182"/>
    </row>
    <row r="458" ht="15.75" customHeight="1">
      <c r="J458" s="182"/>
    </row>
    <row r="459" ht="15.75" customHeight="1">
      <c r="J459" s="182"/>
    </row>
    <row r="460" ht="15.75" customHeight="1">
      <c r="J460" s="182"/>
    </row>
    <row r="461" ht="15.75" customHeight="1">
      <c r="J461" s="182"/>
    </row>
    <row r="462" ht="15.75" customHeight="1">
      <c r="J462" s="182"/>
    </row>
    <row r="463" ht="15.75" customHeight="1">
      <c r="J463" s="182"/>
    </row>
    <row r="464" ht="15.75" customHeight="1">
      <c r="J464" s="182"/>
    </row>
    <row r="465" ht="15.75" customHeight="1">
      <c r="J465" s="182"/>
    </row>
    <row r="466" ht="15.75" customHeight="1">
      <c r="J466" s="182"/>
    </row>
    <row r="467" ht="15.75" customHeight="1">
      <c r="J467" s="182"/>
    </row>
    <row r="468" ht="15.75" customHeight="1">
      <c r="J468" s="182"/>
    </row>
    <row r="469" ht="15.75" customHeight="1">
      <c r="J469" s="182"/>
    </row>
    <row r="470" ht="15.75" customHeight="1">
      <c r="J470" s="182"/>
    </row>
    <row r="471" ht="15.75" customHeight="1">
      <c r="J471" s="182"/>
    </row>
    <row r="472" ht="15.75" customHeight="1">
      <c r="J472" s="182"/>
    </row>
    <row r="473" ht="15.75" customHeight="1">
      <c r="J473" s="182"/>
    </row>
    <row r="474" ht="15.75" customHeight="1">
      <c r="J474" s="182"/>
    </row>
    <row r="475" ht="15.75" customHeight="1">
      <c r="J475" s="182"/>
    </row>
    <row r="476" ht="15.75" customHeight="1">
      <c r="J476" s="182"/>
    </row>
    <row r="477" ht="15.75" customHeight="1">
      <c r="J477" s="182"/>
    </row>
    <row r="478" ht="15.75" customHeight="1">
      <c r="J478" s="182"/>
    </row>
    <row r="479" ht="15.75" customHeight="1">
      <c r="J479" s="182"/>
    </row>
    <row r="480" ht="15.75" customHeight="1">
      <c r="J480" s="182"/>
    </row>
    <row r="481" ht="15.75" customHeight="1">
      <c r="J481" s="182"/>
    </row>
    <row r="482" ht="15.75" customHeight="1">
      <c r="J482" s="182"/>
    </row>
    <row r="483" ht="15.75" customHeight="1">
      <c r="J483" s="182"/>
    </row>
    <row r="484" ht="15.75" customHeight="1">
      <c r="J484" s="182"/>
    </row>
    <row r="485" ht="15.75" customHeight="1">
      <c r="J485" s="182"/>
    </row>
    <row r="486" ht="15.75" customHeight="1">
      <c r="J486" s="182"/>
    </row>
    <row r="487" ht="15.75" customHeight="1">
      <c r="J487" s="182"/>
    </row>
    <row r="488" ht="15.75" customHeight="1">
      <c r="J488" s="182"/>
    </row>
    <row r="489" ht="15.75" customHeight="1">
      <c r="J489" s="182"/>
    </row>
    <row r="490" ht="15.75" customHeight="1">
      <c r="J490" s="182"/>
    </row>
    <row r="491" ht="15.75" customHeight="1">
      <c r="J491" s="182"/>
    </row>
    <row r="492" ht="15.75" customHeight="1">
      <c r="J492" s="182"/>
    </row>
    <row r="493" ht="15.75" customHeight="1">
      <c r="J493" s="182"/>
    </row>
    <row r="494" ht="15.75" customHeight="1">
      <c r="J494" s="182"/>
    </row>
    <row r="495" ht="15.75" customHeight="1">
      <c r="J495" s="182"/>
    </row>
    <row r="496" ht="15.75" customHeight="1">
      <c r="J496" s="182"/>
    </row>
    <row r="497" ht="15.75" customHeight="1">
      <c r="J497" s="182"/>
    </row>
    <row r="498" ht="15.75" customHeight="1">
      <c r="J498" s="182"/>
    </row>
    <row r="499" ht="15.75" customHeight="1">
      <c r="J499" s="182"/>
    </row>
    <row r="500" ht="15.75" customHeight="1">
      <c r="J500" s="182"/>
    </row>
    <row r="501" ht="15.75" customHeight="1">
      <c r="J501" s="182"/>
    </row>
    <row r="502" ht="15.75" customHeight="1">
      <c r="J502" s="182"/>
    </row>
    <row r="503" ht="15.75" customHeight="1">
      <c r="J503" s="182"/>
    </row>
    <row r="504" ht="15.75" customHeight="1">
      <c r="J504" s="182"/>
    </row>
    <row r="505" ht="15.75" customHeight="1">
      <c r="J505" s="182"/>
    </row>
    <row r="506" ht="15.75" customHeight="1">
      <c r="J506" s="182"/>
    </row>
    <row r="507" ht="15.75" customHeight="1">
      <c r="J507" s="182"/>
    </row>
    <row r="508" ht="15.75" customHeight="1">
      <c r="J508" s="182"/>
    </row>
    <row r="509" ht="15.75" customHeight="1">
      <c r="J509" s="182"/>
    </row>
    <row r="510" ht="15.75" customHeight="1">
      <c r="J510" s="182"/>
    </row>
    <row r="511" ht="15.75" customHeight="1">
      <c r="J511" s="182"/>
    </row>
    <row r="512" ht="15.75" customHeight="1">
      <c r="J512" s="182"/>
    </row>
    <row r="513" ht="15.75" customHeight="1">
      <c r="J513" s="182"/>
    </row>
    <row r="514" ht="15.75" customHeight="1">
      <c r="J514" s="182"/>
    </row>
    <row r="515" ht="15.75" customHeight="1">
      <c r="J515" s="182"/>
    </row>
    <row r="516" ht="15.75" customHeight="1">
      <c r="J516" s="182"/>
    </row>
    <row r="517" ht="15.75" customHeight="1">
      <c r="J517" s="182"/>
    </row>
    <row r="518" ht="15.75" customHeight="1">
      <c r="J518" s="182"/>
    </row>
    <row r="519" ht="15.75" customHeight="1">
      <c r="J519" s="182"/>
    </row>
    <row r="520" ht="15.75" customHeight="1">
      <c r="J520" s="182"/>
    </row>
    <row r="521" ht="15.75" customHeight="1">
      <c r="J521" s="182"/>
    </row>
    <row r="522" ht="15.75" customHeight="1">
      <c r="J522" s="182"/>
    </row>
    <row r="523" ht="15.75" customHeight="1">
      <c r="J523" s="182"/>
    </row>
    <row r="524" ht="15.75" customHeight="1">
      <c r="J524" s="182"/>
    </row>
    <row r="525" ht="15.75" customHeight="1">
      <c r="J525" s="182"/>
    </row>
    <row r="526" ht="15.75" customHeight="1">
      <c r="J526" s="182"/>
    </row>
    <row r="527" ht="15.75" customHeight="1">
      <c r="J527" s="182"/>
    </row>
    <row r="528" ht="15.75" customHeight="1">
      <c r="J528" s="182"/>
    </row>
    <row r="529" ht="15.75" customHeight="1">
      <c r="J529" s="182"/>
    </row>
    <row r="530" ht="15.75" customHeight="1">
      <c r="J530" s="182"/>
    </row>
    <row r="531" ht="15.75" customHeight="1">
      <c r="J531" s="182"/>
    </row>
    <row r="532" ht="15.75" customHeight="1">
      <c r="J532" s="182"/>
    </row>
    <row r="533" ht="15.75" customHeight="1">
      <c r="J533" s="182"/>
    </row>
    <row r="534" ht="15.75" customHeight="1">
      <c r="J534" s="182"/>
    </row>
    <row r="535" ht="15.75" customHeight="1">
      <c r="J535" s="182"/>
    </row>
    <row r="536" ht="15.75" customHeight="1">
      <c r="J536" s="182"/>
    </row>
    <row r="537" ht="15.75" customHeight="1">
      <c r="J537" s="182"/>
    </row>
    <row r="538" ht="15.75" customHeight="1">
      <c r="J538" s="182"/>
    </row>
    <row r="539" ht="15.75" customHeight="1">
      <c r="J539" s="182"/>
    </row>
    <row r="540" ht="15.75" customHeight="1">
      <c r="J540" s="182"/>
    </row>
    <row r="541" ht="15.75" customHeight="1">
      <c r="J541" s="182"/>
    </row>
    <row r="542" ht="15.75" customHeight="1">
      <c r="J542" s="182"/>
    </row>
    <row r="543" ht="15.75" customHeight="1">
      <c r="J543" s="182"/>
    </row>
    <row r="544" ht="15.75" customHeight="1">
      <c r="J544" s="182"/>
    </row>
    <row r="545" ht="15.75" customHeight="1">
      <c r="J545" s="182"/>
    </row>
    <row r="546" ht="15.75" customHeight="1">
      <c r="J546" s="182"/>
    </row>
    <row r="547" ht="15.75" customHeight="1">
      <c r="J547" s="182"/>
    </row>
    <row r="548" ht="15.75" customHeight="1">
      <c r="J548" s="182"/>
    </row>
    <row r="549" ht="15.75" customHeight="1">
      <c r="J549" s="182"/>
    </row>
    <row r="550" ht="15.75" customHeight="1">
      <c r="J550" s="182"/>
    </row>
    <row r="551" ht="15.75" customHeight="1">
      <c r="J551" s="182"/>
    </row>
    <row r="552" ht="15.75" customHeight="1">
      <c r="J552" s="182"/>
    </row>
    <row r="553" ht="15.75" customHeight="1">
      <c r="J553" s="182"/>
    </row>
    <row r="554" ht="15.75" customHeight="1">
      <c r="J554" s="182"/>
    </row>
    <row r="555" ht="15.75" customHeight="1">
      <c r="J555" s="182"/>
    </row>
    <row r="556" ht="15.75" customHeight="1">
      <c r="J556" s="182"/>
    </row>
    <row r="557" ht="15.75" customHeight="1">
      <c r="J557" s="182"/>
    </row>
    <row r="558" ht="15.75" customHeight="1">
      <c r="J558" s="182"/>
    </row>
    <row r="559" ht="15.75" customHeight="1">
      <c r="J559" s="182"/>
    </row>
    <row r="560" ht="15.75" customHeight="1">
      <c r="J560" s="182"/>
    </row>
    <row r="561" ht="15.75" customHeight="1">
      <c r="J561" s="182"/>
    </row>
    <row r="562" ht="15.75" customHeight="1">
      <c r="J562" s="182"/>
    </row>
    <row r="563" ht="15.75" customHeight="1">
      <c r="J563" s="182"/>
    </row>
    <row r="564" ht="15.75" customHeight="1">
      <c r="J564" s="182"/>
    </row>
    <row r="565" ht="15.75" customHeight="1">
      <c r="J565" s="182"/>
    </row>
    <row r="566" ht="15.75" customHeight="1">
      <c r="J566" s="182"/>
    </row>
    <row r="567" ht="15.75" customHeight="1">
      <c r="J567" s="182"/>
    </row>
    <row r="568" ht="15.75" customHeight="1">
      <c r="J568" s="182"/>
    </row>
    <row r="569" ht="15.75" customHeight="1">
      <c r="J569" s="182"/>
    </row>
    <row r="570" ht="15.75" customHeight="1">
      <c r="J570" s="182"/>
    </row>
    <row r="571" ht="15.75" customHeight="1">
      <c r="J571" s="182"/>
    </row>
    <row r="572" ht="15.75" customHeight="1">
      <c r="J572" s="182"/>
    </row>
    <row r="573" ht="15.75" customHeight="1">
      <c r="J573" s="182"/>
    </row>
    <row r="574" ht="15.75" customHeight="1">
      <c r="J574" s="182"/>
    </row>
    <row r="575" ht="15.75" customHeight="1">
      <c r="J575" s="182"/>
    </row>
    <row r="576" ht="15.75" customHeight="1">
      <c r="J576" s="182"/>
    </row>
    <row r="577" ht="15.75" customHeight="1">
      <c r="J577" s="182"/>
    </row>
    <row r="578" ht="15.75" customHeight="1">
      <c r="J578" s="182"/>
    </row>
    <row r="579" ht="15.75" customHeight="1">
      <c r="J579" s="182"/>
    </row>
    <row r="580" ht="15.75" customHeight="1">
      <c r="J580" s="182"/>
    </row>
    <row r="581" ht="15.75" customHeight="1">
      <c r="J581" s="182"/>
    </row>
    <row r="582" ht="15.75" customHeight="1">
      <c r="J582" s="182"/>
    </row>
    <row r="583" ht="15.75" customHeight="1">
      <c r="J583" s="182"/>
    </row>
    <row r="584" ht="15.75" customHeight="1">
      <c r="J584" s="182"/>
    </row>
    <row r="585" ht="15.75" customHeight="1">
      <c r="J585" s="182"/>
    </row>
    <row r="586" ht="15.75" customHeight="1">
      <c r="J586" s="182"/>
    </row>
    <row r="587" ht="15.75" customHeight="1">
      <c r="J587" s="182"/>
    </row>
    <row r="588" ht="15.75" customHeight="1">
      <c r="J588" s="182"/>
    </row>
    <row r="589" ht="15.75" customHeight="1">
      <c r="J589" s="182"/>
    </row>
    <row r="590" ht="15.75" customHeight="1">
      <c r="J590" s="182"/>
    </row>
    <row r="591" ht="15.75" customHeight="1">
      <c r="J591" s="182"/>
    </row>
    <row r="592" ht="15.75" customHeight="1">
      <c r="J592" s="182"/>
    </row>
    <row r="593" ht="15.75" customHeight="1">
      <c r="J593" s="182"/>
    </row>
    <row r="594" ht="15.75" customHeight="1">
      <c r="J594" s="182"/>
    </row>
    <row r="595" ht="15.75" customHeight="1">
      <c r="J595" s="182"/>
    </row>
    <row r="596" ht="15.75" customHeight="1">
      <c r="J596" s="182"/>
    </row>
    <row r="597" ht="15.75" customHeight="1">
      <c r="J597" s="182"/>
    </row>
    <row r="598" ht="15.75" customHeight="1">
      <c r="J598" s="182"/>
    </row>
    <row r="599" ht="15.75" customHeight="1">
      <c r="J599" s="182"/>
    </row>
    <row r="600" ht="15.75" customHeight="1">
      <c r="J600" s="182"/>
    </row>
    <row r="601" ht="15.75" customHeight="1">
      <c r="J601" s="182"/>
    </row>
    <row r="602" ht="15.75" customHeight="1">
      <c r="J602" s="182"/>
    </row>
    <row r="603" ht="15.75" customHeight="1">
      <c r="J603" s="182"/>
    </row>
    <row r="604" ht="15.75" customHeight="1">
      <c r="J604" s="182"/>
    </row>
    <row r="605" ht="15.75" customHeight="1">
      <c r="J605" s="182"/>
    </row>
    <row r="606" ht="15.75" customHeight="1">
      <c r="J606" s="182"/>
    </row>
    <row r="607" ht="15.75" customHeight="1">
      <c r="J607" s="182"/>
    </row>
    <row r="608" ht="15.75" customHeight="1">
      <c r="J608" s="182"/>
    </row>
    <row r="609" ht="15.75" customHeight="1">
      <c r="J609" s="182"/>
    </row>
    <row r="610" ht="15.75" customHeight="1">
      <c r="J610" s="182"/>
    </row>
    <row r="611" ht="15.75" customHeight="1">
      <c r="J611" s="182"/>
    </row>
    <row r="612" ht="15.75" customHeight="1">
      <c r="J612" s="182"/>
    </row>
    <row r="613" ht="15.75" customHeight="1">
      <c r="J613" s="182"/>
    </row>
    <row r="614" ht="15.75" customHeight="1">
      <c r="J614" s="182"/>
    </row>
    <row r="615" ht="15.75" customHeight="1">
      <c r="J615" s="182"/>
    </row>
    <row r="616" ht="15.75" customHeight="1">
      <c r="J616" s="182"/>
    </row>
    <row r="617" ht="15.75" customHeight="1">
      <c r="J617" s="182"/>
    </row>
    <row r="618" ht="15.75" customHeight="1">
      <c r="J618" s="182"/>
    </row>
    <row r="619" ht="15.75" customHeight="1">
      <c r="J619" s="182"/>
    </row>
    <row r="620" ht="15.75" customHeight="1">
      <c r="J620" s="182"/>
    </row>
    <row r="621" ht="15.75" customHeight="1">
      <c r="J621" s="182"/>
    </row>
    <row r="622" ht="15.75" customHeight="1">
      <c r="J622" s="182"/>
    </row>
    <row r="623" ht="15.75" customHeight="1">
      <c r="J623" s="182"/>
    </row>
    <row r="624" ht="15.75" customHeight="1">
      <c r="J624" s="182"/>
    </row>
    <row r="625" ht="15.75" customHeight="1">
      <c r="J625" s="182"/>
    </row>
    <row r="626" ht="15.75" customHeight="1">
      <c r="J626" s="182"/>
    </row>
    <row r="627" ht="15.75" customHeight="1">
      <c r="J627" s="182"/>
    </row>
    <row r="628" ht="15.75" customHeight="1">
      <c r="J628" s="182"/>
    </row>
    <row r="629" ht="15.75" customHeight="1">
      <c r="J629" s="182"/>
    </row>
    <row r="630" ht="15.75" customHeight="1">
      <c r="J630" s="182"/>
    </row>
    <row r="631" ht="15.75" customHeight="1">
      <c r="J631" s="182"/>
    </row>
    <row r="632" ht="15.75" customHeight="1">
      <c r="J632" s="182"/>
    </row>
    <row r="633" ht="15.75" customHeight="1">
      <c r="J633" s="182"/>
    </row>
    <row r="634" ht="15.75" customHeight="1">
      <c r="J634" s="182"/>
    </row>
    <row r="635" ht="15.75" customHeight="1">
      <c r="J635" s="182"/>
    </row>
    <row r="636" ht="15.75" customHeight="1">
      <c r="J636" s="182"/>
    </row>
    <row r="637" ht="15.75" customHeight="1">
      <c r="J637" s="182"/>
    </row>
    <row r="638" ht="15.75" customHeight="1">
      <c r="J638" s="182"/>
    </row>
    <row r="639" ht="15.75" customHeight="1">
      <c r="J639" s="182"/>
    </row>
    <row r="640" ht="15.75" customHeight="1">
      <c r="J640" s="182"/>
    </row>
    <row r="641" ht="15.75" customHeight="1">
      <c r="J641" s="182"/>
    </row>
    <row r="642" ht="15.75" customHeight="1">
      <c r="J642" s="182"/>
    </row>
    <row r="643" ht="15.75" customHeight="1">
      <c r="J643" s="182"/>
    </row>
    <row r="644" ht="15.75" customHeight="1">
      <c r="J644" s="182"/>
    </row>
    <row r="645" ht="15.75" customHeight="1">
      <c r="J645" s="182"/>
    </row>
    <row r="646" ht="15.75" customHeight="1">
      <c r="J646" s="182"/>
    </row>
    <row r="647" ht="15.75" customHeight="1">
      <c r="J647" s="182"/>
    </row>
    <row r="648" ht="15.75" customHeight="1">
      <c r="J648" s="182"/>
    </row>
    <row r="649" ht="15.75" customHeight="1">
      <c r="J649" s="182"/>
    </row>
    <row r="650" ht="15.75" customHeight="1">
      <c r="J650" s="182"/>
    </row>
    <row r="651" ht="15.75" customHeight="1">
      <c r="J651" s="182"/>
    </row>
    <row r="652" ht="15.75" customHeight="1">
      <c r="J652" s="182"/>
    </row>
    <row r="653" ht="15.75" customHeight="1">
      <c r="J653" s="182"/>
    </row>
    <row r="654" ht="15.75" customHeight="1">
      <c r="J654" s="182"/>
    </row>
    <row r="655" ht="15.75" customHeight="1">
      <c r="J655" s="182"/>
    </row>
    <row r="656" ht="15.75" customHeight="1">
      <c r="J656" s="182"/>
    </row>
    <row r="657" ht="15.75" customHeight="1">
      <c r="J657" s="182"/>
    </row>
    <row r="658" ht="15.75" customHeight="1">
      <c r="J658" s="182"/>
    </row>
    <row r="659" ht="15.75" customHeight="1">
      <c r="J659" s="182"/>
    </row>
    <row r="660" ht="15.75" customHeight="1">
      <c r="J660" s="182"/>
    </row>
    <row r="661" ht="15.75" customHeight="1">
      <c r="J661" s="182"/>
    </row>
    <row r="662" ht="15.75" customHeight="1">
      <c r="J662" s="182"/>
    </row>
    <row r="663" ht="15.75" customHeight="1">
      <c r="J663" s="182"/>
    </row>
    <row r="664" ht="15.75" customHeight="1">
      <c r="J664" s="182"/>
    </row>
    <row r="665" ht="15.75" customHeight="1">
      <c r="J665" s="182"/>
    </row>
    <row r="666" ht="15.75" customHeight="1">
      <c r="J666" s="182"/>
    </row>
    <row r="667" ht="15.75" customHeight="1">
      <c r="J667" s="182"/>
    </row>
    <row r="668" ht="15.75" customHeight="1">
      <c r="J668" s="182"/>
    </row>
    <row r="669" ht="15.75" customHeight="1">
      <c r="J669" s="182"/>
    </row>
    <row r="670" ht="15.75" customHeight="1">
      <c r="J670" s="182"/>
    </row>
    <row r="671" ht="15.75" customHeight="1">
      <c r="J671" s="182"/>
    </row>
    <row r="672" ht="15.75" customHeight="1">
      <c r="J672" s="182"/>
    </row>
    <row r="673" ht="15.75" customHeight="1">
      <c r="J673" s="182"/>
    </row>
    <row r="674" ht="15.75" customHeight="1">
      <c r="J674" s="182"/>
    </row>
    <row r="675" ht="15.75" customHeight="1">
      <c r="J675" s="182"/>
    </row>
    <row r="676" ht="15.75" customHeight="1">
      <c r="J676" s="182"/>
    </row>
    <row r="677" ht="15.75" customHeight="1">
      <c r="J677" s="182"/>
    </row>
    <row r="678" ht="15.75" customHeight="1">
      <c r="J678" s="182"/>
    </row>
    <row r="679" ht="15.75" customHeight="1">
      <c r="J679" s="182"/>
    </row>
    <row r="680" ht="15.75" customHeight="1">
      <c r="J680" s="182"/>
    </row>
    <row r="681" ht="15.75" customHeight="1">
      <c r="J681" s="182"/>
    </row>
    <row r="682" ht="15.75" customHeight="1">
      <c r="J682" s="182"/>
    </row>
    <row r="683" ht="15.75" customHeight="1">
      <c r="J683" s="182"/>
    </row>
    <row r="684" ht="15.75" customHeight="1">
      <c r="J684" s="182"/>
    </row>
    <row r="685" ht="15.75" customHeight="1">
      <c r="J685" s="182"/>
    </row>
    <row r="686" ht="15.75" customHeight="1">
      <c r="J686" s="182"/>
    </row>
    <row r="687" ht="15.75" customHeight="1">
      <c r="J687" s="182"/>
    </row>
    <row r="688" ht="15.75" customHeight="1">
      <c r="J688" s="182"/>
    </row>
    <row r="689" ht="15.75" customHeight="1">
      <c r="J689" s="182"/>
    </row>
    <row r="690" ht="15.75" customHeight="1">
      <c r="J690" s="182"/>
    </row>
    <row r="691" ht="15.75" customHeight="1">
      <c r="J691" s="182"/>
    </row>
    <row r="692" ht="15.75" customHeight="1">
      <c r="J692" s="182"/>
    </row>
    <row r="693" ht="15.75" customHeight="1">
      <c r="J693" s="182"/>
    </row>
    <row r="694" ht="15.75" customHeight="1">
      <c r="J694" s="182"/>
    </row>
    <row r="695" ht="15.75" customHeight="1">
      <c r="J695" s="182"/>
    </row>
    <row r="696" ht="15.75" customHeight="1">
      <c r="J696" s="182"/>
    </row>
    <row r="697" ht="15.75" customHeight="1">
      <c r="J697" s="182"/>
    </row>
    <row r="698" ht="15.75" customHeight="1">
      <c r="J698" s="182"/>
    </row>
    <row r="699" ht="15.75" customHeight="1">
      <c r="J699" s="182"/>
    </row>
    <row r="700" ht="15.75" customHeight="1">
      <c r="J700" s="182"/>
    </row>
    <row r="701" ht="15.75" customHeight="1">
      <c r="J701" s="182"/>
    </row>
    <row r="702" ht="15.75" customHeight="1">
      <c r="J702" s="182"/>
    </row>
    <row r="703" ht="15.75" customHeight="1">
      <c r="J703" s="182"/>
    </row>
    <row r="704" ht="15.75" customHeight="1">
      <c r="J704" s="182"/>
    </row>
    <row r="705" ht="15.75" customHeight="1">
      <c r="J705" s="182"/>
    </row>
    <row r="706" ht="15.75" customHeight="1">
      <c r="J706" s="182"/>
    </row>
    <row r="707" ht="15.75" customHeight="1">
      <c r="J707" s="182"/>
    </row>
    <row r="708" ht="15.75" customHeight="1">
      <c r="J708" s="182"/>
    </row>
    <row r="709" ht="15.75" customHeight="1">
      <c r="J709" s="182"/>
    </row>
    <row r="710" ht="15.75" customHeight="1">
      <c r="J710" s="182"/>
    </row>
    <row r="711" ht="15.75" customHeight="1">
      <c r="J711" s="182"/>
    </row>
    <row r="712" ht="15.75" customHeight="1">
      <c r="J712" s="182"/>
    </row>
    <row r="713" ht="15.75" customHeight="1">
      <c r="J713" s="182"/>
    </row>
    <row r="714" ht="15.75" customHeight="1">
      <c r="J714" s="182"/>
    </row>
    <row r="715" ht="15.75" customHeight="1">
      <c r="J715" s="182"/>
    </row>
    <row r="716" ht="15.75" customHeight="1">
      <c r="J716" s="182"/>
    </row>
    <row r="717" ht="15.75" customHeight="1">
      <c r="J717" s="182"/>
    </row>
    <row r="718" ht="15.75" customHeight="1">
      <c r="J718" s="182"/>
    </row>
    <row r="719" ht="15.75" customHeight="1">
      <c r="J719" s="182"/>
    </row>
    <row r="720" ht="15.75" customHeight="1">
      <c r="J720" s="182"/>
    </row>
    <row r="721" ht="15.75" customHeight="1">
      <c r="J721" s="182"/>
    </row>
    <row r="722" ht="15.75" customHeight="1">
      <c r="J722" s="182"/>
    </row>
    <row r="723" ht="15.75" customHeight="1">
      <c r="J723" s="182"/>
    </row>
    <row r="724" ht="15.75" customHeight="1">
      <c r="J724" s="182"/>
    </row>
    <row r="725" ht="15.75" customHeight="1">
      <c r="J725" s="182"/>
    </row>
    <row r="726" ht="15.75" customHeight="1">
      <c r="J726" s="182"/>
    </row>
    <row r="727" ht="15.75" customHeight="1">
      <c r="J727" s="182"/>
    </row>
    <row r="728" ht="15.75" customHeight="1">
      <c r="J728" s="182"/>
    </row>
    <row r="729" ht="15.75" customHeight="1">
      <c r="J729" s="182"/>
    </row>
    <row r="730" ht="15.75" customHeight="1">
      <c r="J730" s="182"/>
    </row>
    <row r="731" ht="15.75" customHeight="1">
      <c r="J731" s="182"/>
    </row>
    <row r="732" ht="15.75" customHeight="1">
      <c r="J732" s="182"/>
    </row>
    <row r="733" ht="15.75" customHeight="1">
      <c r="J733" s="182"/>
    </row>
    <row r="734" ht="15.75" customHeight="1">
      <c r="J734" s="182"/>
    </row>
    <row r="735" ht="15.75" customHeight="1">
      <c r="J735" s="182"/>
    </row>
    <row r="736" ht="15.75" customHeight="1">
      <c r="J736" s="182"/>
    </row>
    <row r="737" ht="15.75" customHeight="1">
      <c r="J737" s="182"/>
    </row>
    <row r="738" ht="15.75" customHeight="1">
      <c r="J738" s="182"/>
    </row>
    <row r="739" ht="15.75" customHeight="1">
      <c r="J739" s="182"/>
    </row>
    <row r="740" ht="15.75" customHeight="1">
      <c r="J740" s="182"/>
    </row>
    <row r="741" ht="15.75" customHeight="1">
      <c r="J741" s="182"/>
    </row>
    <row r="742" ht="15.75" customHeight="1">
      <c r="J742" s="182"/>
    </row>
    <row r="743" ht="15.75" customHeight="1">
      <c r="J743" s="182"/>
    </row>
    <row r="744" ht="15.75" customHeight="1">
      <c r="J744" s="182"/>
    </row>
    <row r="745" ht="15.75" customHeight="1">
      <c r="J745" s="182"/>
    </row>
    <row r="746" ht="15.75" customHeight="1">
      <c r="J746" s="182"/>
    </row>
    <row r="747" ht="15.75" customHeight="1">
      <c r="J747" s="182"/>
    </row>
    <row r="748" ht="15.75" customHeight="1">
      <c r="J748" s="182"/>
    </row>
    <row r="749" ht="15.75" customHeight="1">
      <c r="J749" s="182"/>
    </row>
    <row r="750" ht="15.75" customHeight="1">
      <c r="J750" s="182"/>
    </row>
    <row r="751" ht="15.75" customHeight="1">
      <c r="J751" s="182"/>
    </row>
    <row r="752" ht="15.75" customHeight="1">
      <c r="J752" s="182"/>
    </row>
    <row r="753" ht="15.75" customHeight="1">
      <c r="J753" s="182"/>
    </row>
    <row r="754" ht="15.75" customHeight="1">
      <c r="J754" s="182"/>
    </row>
    <row r="755" ht="15.75" customHeight="1">
      <c r="J755" s="182"/>
    </row>
    <row r="756" ht="15.75" customHeight="1">
      <c r="J756" s="182"/>
    </row>
    <row r="757" ht="15.75" customHeight="1">
      <c r="J757" s="182"/>
    </row>
    <row r="758" ht="15.75" customHeight="1">
      <c r="J758" s="182"/>
    </row>
    <row r="759" ht="15.75" customHeight="1">
      <c r="J759" s="182"/>
    </row>
    <row r="760" ht="15.75" customHeight="1">
      <c r="J760" s="182"/>
    </row>
    <row r="761" ht="15.75" customHeight="1">
      <c r="J761" s="182"/>
    </row>
    <row r="762" ht="15.75" customHeight="1">
      <c r="J762" s="182"/>
    </row>
    <row r="763" ht="15.75" customHeight="1">
      <c r="J763" s="182"/>
    </row>
    <row r="764" ht="15.75" customHeight="1">
      <c r="J764" s="182"/>
    </row>
    <row r="765" ht="15.75" customHeight="1">
      <c r="J765" s="182"/>
    </row>
    <row r="766" ht="15.75" customHeight="1">
      <c r="J766" s="182"/>
    </row>
    <row r="767" ht="15.75" customHeight="1">
      <c r="J767" s="182"/>
    </row>
    <row r="768" ht="15.75" customHeight="1">
      <c r="J768" s="182"/>
    </row>
    <row r="769" ht="15.75" customHeight="1">
      <c r="J769" s="182"/>
    </row>
    <row r="770" ht="15.75" customHeight="1">
      <c r="J770" s="182"/>
    </row>
    <row r="771" ht="15.75" customHeight="1">
      <c r="J771" s="182"/>
    </row>
    <row r="772" ht="15.75" customHeight="1">
      <c r="J772" s="182"/>
    </row>
    <row r="773" ht="15.75" customHeight="1">
      <c r="J773" s="182"/>
    </row>
    <row r="774" ht="15.75" customHeight="1">
      <c r="J774" s="182"/>
    </row>
    <row r="775" ht="15.75" customHeight="1">
      <c r="J775" s="182"/>
    </row>
    <row r="776" ht="15.75" customHeight="1">
      <c r="J776" s="182"/>
    </row>
    <row r="777" ht="15.75" customHeight="1">
      <c r="J777" s="182"/>
    </row>
    <row r="778" ht="15.75" customHeight="1">
      <c r="J778" s="182"/>
    </row>
    <row r="779" ht="15.75" customHeight="1">
      <c r="J779" s="182"/>
    </row>
    <row r="780" ht="15.75" customHeight="1">
      <c r="J780" s="182"/>
    </row>
    <row r="781" ht="15.75" customHeight="1">
      <c r="J781" s="182"/>
    </row>
    <row r="782" ht="15.75" customHeight="1">
      <c r="J782" s="182"/>
    </row>
    <row r="783" ht="15.75" customHeight="1">
      <c r="J783" s="182"/>
    </row>
    <row r="784" ht="15.75" customHeight="1">
      <c r="J784" s="182"/>
    </row>
    <row r="785" ht="15.75" customHeight="1">
      <c r="J785" s="182"/>
    </row>
    <row r="786" ht="15.75" customHeight="1">
      <c r="J786" s="182"/>
    </row>
    <row r="787" ht="15.75" customHeight="1">
      <c r="J787" s="182"/>
    </row>
    <row r="788" ht="15.75" customHeight="1">
      <c r="J788" s="182"/>
    </row>
    <row r="789" ht="15.75" customHeight="1">
      <c r="J789" s="182"/>
    </row>
    <row r="790" ht="15.75" customHeight="1">
      <c r="J790" s="182"/>
    </row>
    <row r="791" ht="15.75" customHeight="1">
      <c r="J791" s="182"/>
    </row>
    <row r="792" ht="15.75" customHeight="1">
      <c r="J792" s="182"/>
    </row>
    <row r="793" ht="15.75" customHeight="1">
      <c r="J793" s="182"/>
    </row>
    <row r="794" ht="15.75" customHeight="1">
      <c r="J794" s="182"/>
    </row>
    <row r="795" ht="15.75" customHeight="1">
      <c r="J795" s="182"/>
    </row>
    <row r="796" ht="15.75" customHeight="1">
      <c r="J796" s="182"/>
    </row>
    <row r="797" ht="15.75" customHeight="1">
      <c r="J797" s="182"/>
    </row>
    <row r="798" ht="15.75" customHeight="1">
      <c r="J798" s="182"/>
    </row>
    <row r="799" ht="15.75" customHeight="1">
      <c r="J799" s="182"/>
    </row>
    <row r="800" ht="15.75" customHeight="1">
      <c r="J800" s="182"/>
    </row>
    <row r="801" ht="15.75" customHeight="1">
      <c r="J801" s="182"/>
    </row>
    <row r="802" ht="15.75" customHeight="1">
      <c r="J802" s="182"/>
    </row>
    <row r="803" ht="15.75" customHeight="1">
      <c r="J803" s="182"/>
    </row>
    <row r="804" ht="15.75" customHeight="1">
      <c r="J804" s="182"/>
    </row>
    <row r="805" ht="15.75" customHeight="1">
      <c r="J805" s="182"/>
    </row>
    <row r="806" ht="15.75" customHeight="1">
      <c r="J806" s="182"/>
    </row>
    <row r="807" ht="15.75" customHeight="1">
      <c r="J807" s="182"/>
    </row>
    <row r="808" ht="15.75" customHeight="1">
      <c r="J808" s="182"/>
    </row>
    <row r="809" ht="15.75" customHeight="1">
      <c r="J809" s="182"/>
    </row>
    <row r="810" ht="15.75" customHeight="1">
      <c r="J810" s="182"/>
    </row>
    <row r="811" ht="15.75" customHeight="1">
      <c r="J811" s="182"/>
    </row>
    <row r="812" ht="15.75" customHeight="1">
      <c r="J812" s="182"/>
    </row>
    <row r="813" ht="15.75" customHeight="1">
      <c r="J813" s="182"/>
    </row>
    <row r="814" ht="15.75" customHeight="1">
      <c r="J814" s="182"/>
    </row>
    <row r="815" ht="15.75" customHeight="1">
      <c r="J815" s="182"/>
    </row>
    <row r="816" ht="15.75" customHeight="1">
      <c r="J816" s="182"/>
    </row>
    <row r="817" ht="15.75" customHeight="1">
      <c r="J817" s="182"/>
    </row>
    <row r="818" ht="15.75" customHeight="1">
      <c r="J818" s="182"/>
    </row>
    <row r="819" ht="15.75" customHeight="1">
      <c r="J819" s="182"/>
    </row>
    <row r="820" ht="15.75" customHeight="1">
      <c r="J820" s="182"/>
    </row>
    <row r="821" ht="15.75" customHeight="1">
      <c r="J821" s="182"/>
    </row>
    <row r="822" ht="15.75" customHeight="1">
      <c r="J822" s="182"/>
    </row>
    <row r="823" ht="15.75" customHeight="1">
      <c r="J823" s="182"/>
    </row>
    <row r="824" ht="15.75" customHeight="1">
      <c r="J824" s="182"/>
    </row>
    <row r="825" ht="15.75" customHeight="1">
      <c r="J825" s="182"/>
    </row>
    <row r="826" ht="15.75" customHeight="1">
      <c r="J826" s="182"/>
    </row>
    <row r="827" ht="15.75" customHeight="1">
      <c r="J827" s="182"/>
    </row>
    <row r="828" ht="15.75" customHeight="1">
      <c r="J828" s="182"/>
    </row>
    <row r="829" ht="15.75" customHeight="1">
      <c r="J829" s="182"/>
    </row>
    <row r="830" ht="15.75" customHeight="1">
      <c r="J830" s="182"/>
    </row>
    <row r="831" ht="15.75" customHeight="1">
      <c r="J831" s="182"/>
    </row>
    <row r="832" ht="15.75" customHeight="1">
      <c r="J832" s="182"/>
    </row>
    <row r="833" ht="15.75" customHeight="1">
      <c r="J833" s="182"/>
    </row>
    <row r="834" ht="15.75" customHeight="1">
      <c r="J834" s="182"/>
    </row>
    <row r="835" ht="15.75" customHeight="1">
      <c r="J835" s="182"/>
    </row>
    <row r="836" ht="15.75" customHeight="1">
      <c r="J836" s="182"/>
    </row>
    <row r="837" ht="15.75" customHeight="1">
      <c r="J837" s="182"/>
    </row>
    <row r="838" ht="15.75" customHeight="1">
      <c r="J838" s="182"/>
    </row>
    <row r="839" ht="15.75" customHeight="1">
      <c r="J839" s="182"/>
    </row>
    <row r="840" ht="15.75" customHeight="1">
      <c r="J840" s="182"/>
    </row>
    <row r="841" ht="15.75" customHeight="1">
      <c r="J841" s="182"/>
    </row>
    <row r="842" ht="15.75" customHeight="1">
      <c r="J842" s="182"/>
    </row>
    <row r="843" ht="15.75" customHeight="1">
      <c r="J843" s="182"/>
    </row>
    <row r="844" ht="15.75" customHeight="1">
      <c r="J844" s="182"/>
    </row>
    <row r="845" ht="15.75" customHeight="1">
      <c r="J845" s="182"/>
    </row>
    <row r="846" ht="15.75" customHeight="1">
      <c r="J846" s="182"/>
    </row>
    <row r="847" ht="15.75" customHeight="1">
      <c r="J847" s="182"/>
    </row>
    <row r="848" ht="15.75" customHeight="1">
      <c r="J848" s="182"/>
    </row>
    <row r="849" ht="15.75" customHeight="1">
      <c r="J849" s="182"/>
    </row>
    <row r="850" ht="15.75" customHeight="1">
      <c r="J850" s="182"/>
    </row>
    <row r="851" ht="15.75" customHeight="1">
      <c r="J851" s="182"/>
    </row>
    <row r="852" ht="15.75" customHeight="1">
      <c r="J852" s="182"/>
    </row>
    <row r="853" ht="15.75" customHeight="1">
      <c r="J853" s="182"/>
    </row>
    <row r="854" ht="15.75" customHeight="1">
      <c r="J854" s="182"/>
    </row>
    <row r="855" ht="15.75" customHeight="1">
      <c r="J855" s="182"/>
    </row>
    <row r="856" ht="15.75" customHeight="1">
      <c r="J856" s="182"/>
    </row>
    <row r="857" ht="15.75" customHeight="1">
      <c r="J857" s="182"/>
    </row>
    <row r="858" ht="15.75" customHeight="1">
      <c r="J858" s="182"/>
    </row>
    <row r="859" ht="15.75" customHeight="1">
      <c r="J859" s="182"/>
    </row>
    <row r="860" ht="15.75" customHeight="1">
      <c r="J860" s="182"/>
    </row>
    <row r="861" ht="15.75" customHeight="1">
      <c r="J861" s="182"/>
    </row>
    <row r="862" ht="15.75" customHeight="1">
      <c r="J862" s="182"/>
    </row>
    <row r="863" ht="15.75" customHeight="1">
      <c r="J863" s="182"/>
    </row>
    <row r="864" ht="15.75" customHeight="1">
      <c r="J864" s="182"/>
    </row>
    <row r="865" ht="15.75" customHeight="1">
      <c r="J865" s="182"/>
    </row>
    <row r="866" ht="15.75" customHeight="1">
      <c r="J866" s="182"/>
    </row>
    <row r="867" ht="15.75" customHeight="1">
      <c r="J867" s="182"/>
    </row>
    <row r="868" ht="15.75" customHeight="1">
      <c r="J868" s="182"/>
    </row>
    <row r="869" ht="15.75" customHeight="1">
      <c r="J869" s="182"/>
    </row>
    <row r="870" ht="15.75" customHeight="1">
      <c r="J870" s="182"/>
    </row>
    <row r="871" ht="15.75" customHeight="1">
      <c r="J871" s="182"/>
    </row>
    <row r="872" ht="15.75" customHeight="1">
      <c r="J872" s="182"/>
    </row>
    <row r="873" ht="15.75" customHeight="1">
      <c r="J873" s="182"/>
    </row>
    <row r="874" ht="15.75" customHeight="1">
      <c r="J874" s="182"/>
    </row>
    <row r="875" ht="15.75" customHeight="1">
      <c r="J875" s="182"/>
    </row>
    <row r="876" ht="15.75" customHeight="1">
      <c r="J876" s="182"/>
    </row>
    <row r="877" ht="15.75" customHeight="1">
      <c r="J877" s="182"/>
    </row>
    <row r="878" ht="15.75" customHeight="1">
      <c r="J878" s="182"/>
    </row>
    <row r="879" ht="15.75" customHeight="1">
      <c r="J879" s="182"/>
    </row>
    <row r="880" ht="15.75" customHeight="1">
      <c r="J880" s="182"/>
    </row>
    <row r="881" ht="15.75" customHeight="1">
      <c r="J881" s="182"/>
    </row>
    <row r="882" ht="15.75" customHeight="1">
      <c r="J882" s="182"/>
    </row>
    <row r="883" ht="15.75" customHeight="1">
      <c r="J883" s="182"/>
    </row>
    <row r="884" ht="15.75" customHeight="1">
      <c r="J884" s="182"/>
    </row>
    <row r="885" ht="15.75" customHeight="1">
      <c r="J885" s="182"/>
    </row>
    <row r="886" ht="15.75" customHeight="1">
      <c r="J886" s="182"/>
    </row>
    <row r="887" ht="15.75" customHeight="1">
      <c r="J887" s="182"/>
    </row>
    <row r="888" ht="15.75" customHeight="1">
      <c r="J888" s="182"/>
    </row>
    <row r="889" ht="15.75" customHeight="1">
      <c r="J889" s="182"/>
    </row>
    <row r="890" ht="15.75" customHeight="1">
      <c r="J890" s="182"/>
    </row>
    <row r="891" ht="15.75" customHeight="1">
      <c r="J891" s="182"/>
    </row>
    <row r="892" ht="15.75" customHeight="1">
      <c r="J892" s="182"/>
    </row>
    <row r="893" ht="15.75" customHeight="1">
      <c r="J893" s="182"/>
    </row>
    <row r="894" ht="15.75" customHeight="1">
      <c r="J894" s="182"/>
    </row>
    <row r="895" ht="15.75" customHeight="1">
      <c r="J895" s="182"/>
    </row>
    <row r="896" ht="15.75" customHeight="1">
      <c r="J896" s="182"/>
    </row>
    <row r="897" ht="15.75" customHeight="1">
      <c r="J897" s="182"/>
    </row>
    <row r="898" ht="15.75" customHeight="1">
      <c r="J898" s="182"/>
    </row>
    <row r="899" ht="15.75" customHeight="1">
      <c r="J899" s="182"/>
    </row>
    <row r="900" ht="15.75" customHeight="1">
      <c r="J900" s="182"/>
    </row>
    <row r="901" ht="15.75" customHeight="1">
      <c r="J901" s="182"/>
    </row>
    <row r="902" ht="15.75" customHeight="1">
      <c r="J902" s="182"/>
    </row>
    <row r="903" ht="15.75" customHeight="1">
      <c r="J903" s="182"/>
    </row>
    <row r="904" ht="15.75" customHeight="1">
      <c r="J904" s="182"/>
    </row>
    <row r="905" ht="15.75" customHeight="1">
      <c r="J905" s="182"/>
    </row>
    <row r="906" ht="15.75" customHeight="1">
      <c r="J906" s="182"/>
    </row>
    <row r="907" ht="15.75" customHeight="1">
      <c r="J907" s="182"/>
    </row>
    <row r="908" ht="15.75" customHeight="1">
      <c r="J908" s="182"/>
    </row>
    <row r="909" ht="15.75" customHeight="1">
      <c r="J909" s="182"/>
    </row>
    <row r="910" ht="15.75" customHeight="1">
      <c r="J910" s="182"/>
    </row>
    <row r="911" ht="15.75" customHeight="1">
      <c r="J911" s="182"/>
    </row>
    <row r="912" ht="15.75" customHeight="1">
      <c r="J912" s="182"/>
    </row>
    <row r="913" ht="15.75" customHeight="1">
      <c r="J913" s="182"/>
    </row>
    <row r="914" ht="15.75" customHeight="1">
      <c r="J914" s="182"/>
    </row>
    <row r="915" ht="15.75" customHeight="1">
      <c r="J915" s="182"/>
    </row>
    <row r="916" ht="15.75" customHeight="1">
      <c r="J916" s="182"/>
    </row>
    <row r="917" ht="15.75" customHeight="1">
      <c r="J917" s="182"/>
    </row>
    <row r="918" ht="15.75" customHeight="1">
      <c r="J918" s="182"/>
    </row>
    <row r="919" ht="15.75" customHeight="1">
      <c r="J919" s="182"/>
    </row>
    <row r="920" ht="15.75" customHeight="1">
      <c r="J920" s="182"/>
    </row>
    <row r="921" ht="15.75" customHeight="1">
      <c r="J921" s="182"/>
    </row>
    <row r="922" ht="15.75" customHeight="1">
      <c r="J922" s="182"/>
    </row>
    <row r="923" ht="15.75" customHeight="1">
      <c r="J923" s="182"/>
    </row>
    <row r="924" ht="15.75" customHeight="1">
      <c r="J924" s="182"/>
    </row>
    <row r="925" ht="15.75" customHeight="1">
      <c r="J925" s="182"/>
    </row>
    <row r="926" ht="15.75" customHeight="1">
      <c r="J926" s="182"/>
    </row>
    <row r="927" ht="15.75" customHeight="1">
      <c r="J927" s="182"/>
    </row>
    <row r="928" ht="15.75" customHeight="1">
      <c r="J928" s="182"/>
    </row>
    <row r="929" ht="15.75" customHeight="1">
      <c r="J929" s="182"/>
    </row>
    <row r="930" ht="15.75" customHeight="1">
      <c r="J930" s="182"/>
    </row>
    <row r="931" ht="15.75" customHeight="1">
      <c r="J931" s="182"/>
    </row>
    <row r="932" ht="15.75" customHeight="1">
      <c r="J932" s="182"/>
    </row>
    <row r="933" ht="15.75" customHeight="1">
      <c r="J933" s="182"/>
    </row>
    <row r="934" ht="15.75" customHeight="1">
      <c r="J934" s="182"/>
    </row>
    <row r="935" ht="15.75" customHeight="1">
      <c r="J935" s="182"/>
    </row>
    <row r="936" ht="15.75" customHeight="1">
      <c r="J936" s="182"/>
    </row>
    <row r="937" ht="15.75" customHeight="1">
      <c r="J937" s="182"/>
    </row>
    <row r="938" ht="15.75" customHeight="1">
      <c r="J938" s="182"/>
    </row>
    <row r="939" ht="15.75" customHeight="1">
      <c r="J939" s="182"/>
    </row>
    <row r="940" ht="15.75" customHeight="1">
      <c r="J940" s="182"/>
    </row>
    <row r="941" ht="15.75" customHeight="1">
      <c r="J941" s="182"/>
    </row>
    <row r="942" ht="15.75" customHeight="1">
      <c r="J942" s="182"/>
    </row>
    <row r="943" ht="15.75" customHeight="1">
      <c r="J943" s="182"/>
    </row>
    <row r="944" ht="15.75" customHeight="1">
      <c r="J944" s="182"/>
    </row>
    <row r="945" ht="15.75" customHeight="1">
      <c r="J945" s="182"/>
    </row>
    <row r="946" ht="15.75" customHeight="1">
      <c r="J946" s="182"/>
    </row>
    <row r="947" ht="15.75" customHeight="1">
      <c r="J947" s="182"/>
    </row>
    <row r="948" ht="15.75" customHeight="1">
      <c r="J948" s="182"/>
    </row>
    <row r="949" ht="15.75" customHeight="1">
      <c r="J949" s="182"/>
    </row>
    <row r="950" ht="15.75" customHeight="1">
      <c r="J950" s="182"/>
    </row>
    <row r="951" ht="15.75" customHeight="1">
      <c r="J951" s="182"/>
    </row>
    <row r="952" ht="15.75" customHeight="1">
      <c r="J952" s="182"/>
    </row>
    <row r="953" ht="15.75" customHeight="1">
      <c r="J953" s="182"/>
    </row>
    <row r="954" ht="15.75" customHeight="1">
      <c r="J954" s="182"/>
    </row>
    <row r="955" ht="15.75" customHeight="1">
      <c r="J955" s="182"/>
    </row>
    <row r="956" ht="15.75" customHeight="1">
      <c r="J956" s="182"/>
    </row>
    <row r="957" ht="15.75" customHeight="1">
      <c r="J957" s="182"/>
    </row>
    <row r="958" ht="15.75" customHeight="1">
      <c r="J958" s="182"/>
    </row>
    <row r="959" ht="15.75" customHeight="1">
      <c r="J959" s="182"/>
    </row>
    <row r="960" ht="15.75" customHeight="1">
      <c r="J960" s="182"/>
    </row>
    <row r="961" ht="15.75" customHeight="1">
      <c r="J961" s="182"/>
    </row>
    <row r="962" ht="15.75" customHeight="1">
      <c r="J962" s="182"/>
    </row>
    <row r="963" ht="15.75" customHeight="1">
      <c r="J963" s="182"/>
    </row>
    <row r="964" ht="15.75" customHeight="1">
      <c r="J964" s="182"/>
    </row>
    <row r="965" ht="15.75" customHeight="1">
      <c r="J965" s="182"/>
    </row>
    <row r="966" ht="15.75" customHeight="1">
      <c r="J966" s="182"/>
    </row>
    <row r="967" ht="15.75" customHeight="1">
      <c r="J967" s="182"/>
    </row>
    <row r="968" ht="15.75" customHeight="1">
      <c r="J968" s="182"/>
    </row>
    <row r="969" ht="15.75" customHeight="1">
      <c r="J969" s="182"/>
    </row>
    <row r="970" ht="15.75" customHeight="1">
      <c r="J970" s="182"/>
    </row>
    <row r="971" ht="15.75" customHeight="1">
      <c r="J971" s="182"/>
    </row>
    <row r="972" ht="15.75" customHeight="1">
      <c r="J972" s="182"/>
    </row>
    <row r="973" ht="15.75" customHeight="1">
      <c r="J973" s="182"/>
    </row>
    <row r="974" ht="15.75" customHeight="1">
      <c r="J974" s="182"/>
    </row>
    <row r="975" ht="15.75" customHeight="1">
      <c r="J975" s="182"/>
    </row>
    <row r="976" ht="15.75" customHeight="1">
      <c r="J976" s="182"/>
    </row>
    <row r="977" ht="15.75" customHeight="1">
      <c r="J977" s="182"/>
    </row>
    <row r="978" ht="15.75" customHeight="1">
      <c r="J978" s="182"/>
    </row>
    <row r="979" ht="15.75" customHeight="1">
      <c r="J979" s="182"/>
    </row>
    <row r="980" ht="15.75" customHeight="1">
      <c r="J980" s="182"/>
    </row>
    <row r="981" ht="15.75" customHeight="1">
      <c r="J981" s="182"/>
    </row>
    <row r="982" ht="15.75" customHeight="1">
      <c r="J982" s="182"/>
    </row>
    <row r="983" ht="15.75" customHeight="1">
      <c r="J983" s="182"/>
    </row>
    <row r="984" ht="15.75" customHeight="1">
      <c r="J984" s="182"/>
    </row>
    <row r="985" ht="15.75" customHeight="1">
      <c r="J985" s="182"/>
    </row>
    <row r="986" ht="15.75" customHeight="1">
      <c r="J986" s="182"/>
    </row>
    <row r="987" ht="15.75" customHeight="1">
      <c r="J987" s="182"/>
    </row>
    <row r="988" ht="15.75" customHeight="1">
      <c r="J988" s="182"/>
    </row>
    <row r="989" ht="15.75" customHeight="1">
      <c r="J989" s="182"/>
    </row>
    <row r="990" ht="15.75" customHeight="1">
      <c r="J990" s="182"/>
    </row>
    <row r="991" ht="15.75" customHeight="1">
      <c r="J991" s="182"/>
    </row>
    <row r="992" ht="15.75" customHeight="1">
      <c r="J992" s="182"/>
    </row>
    <row r="993" ht="15.75" customHeight="1">
      <c r="J993" s="182"/>
    </row>
    <row r="994" ht="15.75" customHeight="1">
      <c r="J994" s="182"/>
    </row>
    <row r="995" ht="15.75" customHeight="1">
      <c r="J995" s="182"/>
    </row>
    <row r="996" ht="15.75" customHeight="1">
      <c r="J996" s="182"/>
    </row>
    <row r="997" ht="15.75" customHeight="1">
      <c r="J997" s="182"/>
    </row>
    <row r="998" ht="15.75" customHeight="1">
      <c r="J998" s="182"/>
    </row>
    <row r="999" ht="15.75" customHeight="1">
      <c r="J999" s="182"/>
    </row>
    <row r="1000" ht="15.75" customHeight="1">
      <c r="J1000" s="182"/>
    </row>
  </sheetData>
  <mergeCells count="12">
    <mergeCell ref="B71:K71"/>
    <mergeCell ref="B72:K72"/>
    <mergeCell ref="B77:K77"/>
    <mergeCell ref="B78:K78"/>
    <mergeCell ref="B79:K79"/>
    <mergeCell ref="B54:K54"/>
    <mergeCell ref="B56:K56"/>
    <mergeCell ref="B58:K58"/>
    <mergeCell ref="B60:K60"/>
    <mergeCell ref="B62:K62"/>
    <mergeCell ref="B64:K64"/>
    <mergeCell ref="B70:K70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8.0"/>
    <col customWidth="1" min="3" max="4" width="20.0"/>
    <col customWidth="1" min="5" max="5" width="18.0"/>
    <col customWidth="1" min="6" max="6" width="14.0"/>
    <col customWidth="1" min="7" max="26" width="8.71"/>
  </cols>
  <sheetData>
    <row r="2" ht="7.5" customHeight="1"/>
    <row r="3" ht="13.5" customHeight="1">
      <c r="B3" s="34" t="s">
        <v>548</v>
      </c>
    </row>
    <row r="4" ht="31.5" customHeight="1">
      <c r="B4" s="35" t="s">
        <v>549</v>
      </c>
    </row>
    <row r="5" ht="19.5" customHeight="1">
      <c r="B5" s="36" t="s">
        <v>550</v>
      </c>
    </row>
    <row r="6" ht="13.5" customHeight="1"/>
    <row r="7" ht="25.5" customHeight="1">
      <c r="B7" s="216" t="s">
        <v>551</v>
      </c>
      <c r="C7" s="217"/>
      <c r="D7" s="217"/>
      <c r="E7" s="217"/>
      <c r="F7" s="130"/>
    </row>
    <row r="9" ht="27.75" customHeight="1">
      <c r="B9" s="37" t="s">
        <v>133</v>
      </c>
      <c r="C9" s="38" t="s">
        <v>552</v>
      </c>
      <c r="D9" s="38" t="s">
        <v>553</v>
      </c>
      <c r="E9" s="38" t="s">
        <v>554</v>
      </c>
      <c r="F9" s="38" t="s">
        <v>55</v>
      </c>
    </row>
    <row r="10" ht="25.5" customHeight="1">
      <c r="B10" s="39" t="s">
        <v>555</v>
      </c>
      <c r="C10" s="40">
        <v>1065992.0</v>
      </c>
      <c r="D10" s="40">
        <f>'Budget vs Actual'!C40</f>
        <v>1065993</v>
      </c>
      <c r="E10" s="180">
        <f t="shared" ref="E10:E13" si="1">D10-C10</f>
        <v>1</v>
      </c>
      <c r="F10" s="45" t="str">
        <f t="shared" ref="F10:F13" si="2">IF(ABS(D10-C10)&lt;=1,"TIES","OFF")</f>
        <v>TIES</v>
      </c>
    </row>
    <row r="11" ht="25.5" customHeight="1">
      <c r="B11" s="46" t="s">
        <v>556</v>
      </c>
      <c r="C11" s="47">
        <v>858181.0</v>
      </c>
      <c r="D11" s="47">
        <f>'Budget vs Actual'!D40</f>
        <v>858182</v>
      </c>
      <c r="E11" s="218">
        <f t="shared" si="1"/>
        <v>1</v>
      </c>
      <c r="F11" s="45" t="str">
        <f t="shared" si="2"/>
        <v>TIES</v>
      </c>
    </row>
    <row r="12" ht="25.5" customHeight="1">
      <c r="B12" s="39" t="s">
        <v>557</v>
      </c>
      <c r="C12" s="40">
        <v>-207811.0</v>
      </c>
      <c r="D12" s="40">
        <f>'Budget vs Actual'!E40</f>
        <v>-207811</v>
      </c>
      <c r="E12" s="180">
        <f t="shared" si="1"/>
        <v>0</v>
      </c>
      <c r="F12" s="45" t="str">
        <f t="shared" si="2"/>
        <v>TIES</v>
      </c>
    </row>
    <row r="13" ht="25.5" customHeight="1">
      <c r="B13" s="46" t="s">
        <v>296</v>
      </c>
      <c r="C13" s="50">
        <v>14608.0</v>
      </c>
      <c r="D13" s="50">
        <f>'Budget vs Actual'!G40</f>
        <v>14609</v>
      </c>
      <c r="E13" s="219">
        <f t="shared" si="1"/>
        <v>1</v>
      </c>
      <c r="F13" s="45" t="str">
        <f t="shared" si="2"/>
        <v>TIES</v>
      </c>
    </row>
    <row r="16" ht="25.5" customHeight="1">
      <c r="B16" s="216" t="s">
        <v>558</v>
      </c>
      <c r="C16" s="217"/>
      <c r="D16" s="217"/>
      <c r="E16" s="217"/>
      <c r="F16" s="130"/>
    </row>
    <row r="18" ht="27.75" customHeight="1">
      <c r="B18" s="37" t="s">
        <v>133</v>
      </c>
      <c r="C18" s="38" t="s">
        <v>552</v>
      </c>
      <c r="D18" s="38" t="s">
        <v>553</v>
      </c>
      <c r="E18" s="38" t="s">
        <v>554</v>
      </c>
      <c r="F18" s="38" t="s">
        <v>55</v>
      </c>
    </row>
    <row r="19" ht="25.5" customHeight="1">
      <c r="B19" s="46" t="s">
        <v>559</v>
      </c>
      <c r="C19" s="47">
        <v>305975.0</v>
      </c>
      <c r="D19" s="47">
        <f>SUM('Budget vs Actual'!C8:C20)</f>
        <v>305975</v>
      </c>
      <c r="E19" s="218">
        <f t="shared" ref="E19:E21" si="3">D19-C19</f>
        <v>0</v>
      </c>
      <c r="F19" s="45" t="str">
        <f t="shared" ref="F19:F21" si="4">IF(ABS(D19-C19)&lt;=1,"TIES","OFF")</f>
        <v>TIES</v>
      </c>
    </row>
    <row r="20" ht="25.5" customHeight="1">
      <c r="B20" s="39" t="s">
        <v>560</v>
      </c>
      <c r="C20" s="40">
        <v>291323.0</v>
      </c>
      <c r="D20" s="40">
        <f>SUM('Budget vs Actual'!D8:D20)</f>
        <v>291323</v>
      </c>
      <c r="E20" s="180">
        <f t="shared" si="3"/>
        <v>0</v>
      </c>
      <c r="F20" s="45" t="str">
        <f t="shared" si="4"/>
        <v>TIES</v>
      </c>
    </row>
    <row r="21" ht="25.5" customHeight="1">
      <c r="B21" s="46" t="s">
        <v>561</v>
      </c>
      <c r="C21" s="50">
        <v>14608.0</v>
      </c>
      <c r="D21" s="50">
        <f>SUM('Budget vs Actual'!G8:G20)</f>
        <v>14608</v>
      </c>
      <c r="E21" s="219">
        <f t="shared" si="3"/>
        <v>0</v>
      </c>
      <c r="F21" s="45" t="str">
        <f t="shared" si="4"/>
        <v>TIES</v>
      </c>
    </row>
    <row r="22" ht="15.75" customHeight="1"/>
    <row r="23" ht="15.75" customHeight="1"/>
    <row r="24" ht="25.5" customHeight="1">
      <c r="B24" s="216" t="s">
        <v>562</v>
      </c>
      <c r="C24" s="217"/>
      <c r="D24" s="217"/>
      <c r="E24" s="217"/>
      <c r="F24" s="130"/>
    </row>
    <row r="25" ht="15.75" customHeight="1"/>
    <row r="26" ht="27.75" customHeight="1">
      <c r="B26" s="37" t="s">
        <v>133</v>
      </c>
      <c r="C26" s="38" t="s">
        <v>552</v>
      </c>
      <c r="D26" s="38" t="s">
        <v>553</v>
      </c>
      <c r="E26" s="38" t="s">
        <v>554</v>
      </c>
      <c r="F26" s="38" t="s">
        <v>55</v>
      </c>
    </row>
    <row r="27" ht="25.5" customHeight="1">
      <c r="B27" s="46" t="s">
        <v>563</v>
      </c>
      <c r="C27" s="47">
        <v>553400.0</v>
      </c>
      <c r="D27" s="47">
        <f>SUM('Budget vs Actual'!C21:C31)</f>
        <v>553400</v>
      </c>
      <c r="E27" s="218">
        <f t="shared" ref="E27:E31" si="5">D27-C27</f>
        <v>0</v>
      </c>
      <c r="F27" s="45" t="str">
        <f t="shared" ref="F27:F31" si="6">IF(ABS(D27-C27)&lt;=1,"TIES","OFF")</f>
        <v>TIES</v>
      </c>
    </row>
    <row r="28" ht="25.5" customHeight="1">
      <c r="B28" s="39" t="s">
        <v>564</v>
      </c>
      <c r="C28" s="40">
        <v>390751.0</v>
      </c>
      <c r="D28" s="40">
        <f>SUM('Budget vs Actual'!D21:D31)</f>
        <v>390751</v>
      </c>
      <c r="E28" s="180">
        <f t="shared" si="5"/>
        <v>0</v>
      </c>
      <c r="F28" s="45" t="str">
        <f t="shared" si="6"/>
        <v>TIES</v>
      </c>
    </row>
    <row r="29" ht="25.5" customHeight="1">
      <c r="B29" s="46" t="s">
        <v>565</v>
      </c>
      <c r="C29" s="47">
        <v>553400.0</v>
      </c>
      <c r="D29" s="47">
        <f>Material!C19</f>
        <v>553400</v>
      </c>
      <c r="E29" s="218">
        <f t="shared" si="5"/>
        <v>0</v>
      </c>
      <c r="F29" s="45" t="str">
        <f t="shared" si="6"/>
        <v>TIES</v>
      </c>
    </row>
    <row r="30" ht="25.5" customHeight="1">
      <c r="B30" s="39" t="s">
        <v>566</v>
      </c>
      <c r="C30" s="40">
        <v>390751.0</v>
      </c>
      <c r="D30" s="40">
        <f>Material!D19</f>
        <v>390751</v>
      </c>
      <c r="E30" s="180">
        <f t="shared" si="5"/>
        <v>0</v>
      </c>
      <c r="F30" s="45" t="str">
        <f t="shared" si="6"/>
        <v>TIES</v>
      </c>
    </row>
    <row r="31" ht="25.5" customHeight="1">
      <c r="B31" s="46" t="s">
        <v>567</v>
      </c>
      <c r="C31" s="47">
        <v>390751.0</v>
      </c>
      <c r="D31" s="47">
        <f>Material!D19-SUM('Budget vs Actual'!D21:D31)+390751</f>
        <v>390751</v>
      </c>
      <c r="E31" s="218">
        <f t="shared" si="5"/>
        <v>0</v>
      </c>
      <c r="F31" s="45" t="str">
        <f t="shared" si="6"/>
        <v>TIES</v>
      </c>
    </row>
    <row r="32" ht="15.75" customHeight="1"/>
    <row r="33" ht="15.75" customHeight="1"/>
    <row r="34" ht="25.5" customHeight="1">
      <c r="B34" s="216" t="s">
        <v>568</v>
      </c>
      <c r="C34" s="217"/>
      <c r="D34" s="217"/>
      <c r="E34" s="217"/>
      <c r="F34" s="130"/>
    </row>
    <row r="35" ht="15.75" customHeight="1"/>
    <row r="36" ht="27.75" customHeight="1">
      <c r="B36" s="37" t="s">
        <v>133</v>
      </c>
      <c r="C36" s="38" t="s">
        <v>552</v>
      </c>
      <c r="D36" s="38" t="s">
        <v>553</v>
      </c>
      <c r="E36" s="38" t="s">
        <v>554</v>
      </c>
      <c r="F36" s="38" t="s">
        <v>55</v>
      </c>
    </row>
    <row r="37" ht="25.5" customHeight="1">
      <c r="B37" s="46" t="s">
        <v>569</v>
      </c>
      <c r="C37" s="47">
        <v>206618.0</v>
      </c>
      <c r="D37" s="47">
        <f>SUM('Budget vs Actual'!C32:C39)</f>
        <v>206618</v>
      </c>
      <c r="E37" s="218">
        <f t="shared" ref="E37:E38" si="7">D37-C37</f>
        <v>0</v>
      </c>
      <c r="F37" s="45" t="str">
        <f t="shared" ref="F37:F38" si="8">IF(ABS(D37-C37)&lt;=1,"TIES","OFF")</f>
        <v>TIES</v>
      </c>
    </row>
    <row r="38" ht="25.5" customHeight="1">
      <c r="B38" s="39" t="s">
        <v>570</v>
      </c>
      <c r="C38" s="40">
        <v>176108.0</v>
      </c>
      <c r="D38" s="40">
        <f>SUM('Budget vs Actual'!D32:D39)</f>
        <v>176108</v>
      </c>
      <c r="E38" s="180">
        <f t="shared" si="7"/>
        <v>0</v>
      </c>
      <c r="F38" s="45" t="str">
        <f t="shared" si="8"/>
        <v>TIES</v>
      </c>
    </row>
    <row r="39" ht="15.75" customHeight="1"/>
    <row r="40" ht="15.75" customHeight="1"/>
    <row r="41" ht="25.5" customHeight="1">
      <c r="B41" s="216" t="s">
        <v>571</v>
      </c>
      <c r="C41" s="217"/>
      <c r="D41" s="217"/>
      <c r="E41" s="217"/>
      <c r="F41" s="130"/>
    </row>
    <row r="42" ht="15.75" customHeight="1"/>
    <row r="43" ht="27.75" customHeight="1">
      <c r="B43" s="37" t="s">
        <v>133</v>
      </c>
      <c r="C43" s="38" t="s">
        <v>552</v>
      </c>
      <c r="D43" s="38" t="s">
        <v>553</v>
      </c>
      <c r="E43" s="38" t="s">
        <v>554</v>
      </c>
      <c r="F43" s="38" t="s">
        <v>55</v>
      </c>
    </row>
    <row r="44" ht="25.5" customHeight="1">
      <c r="B44" s="39" t="s">
        <v>572</v>
      </c>
      <c r="C44" s="43">
        <v>14608.0</v>
      </c>
      <c r="D44" s="43">
        <f>'Crew Analytics'!F50</f>
        <v>14652.2</v>
      </c>
      <c r="E44" s="220">
        <f t="shared" ref="E44:E45" si="9">D44-C44</f>
        <v>44.2</v>
      </c>
      <c r="F44" s="176" t="str">
        <f>IF(ABS(D44-C44)&lt;=50,"WITHIN","OFF")</f>
        <v>WITHIN</v>
      </c>
    </row>
    <row r="45" ht="25.5" customHeight="1">
      <c r="B45" s="46" t="s">
        <v>573</v>
      </c>
      <c r="C45" s="47">
        <v>291364.0</v>
      </c>
      <c r="D45" s="47">
        <f>'Crew Analytics'!H50</f>
        <v>291364</v>
      </c>
      <c r="E45" s="218">
        <f t="shared" si="9"/>
        <v>0</v>
      </c>
      <c r="F45" s="45" t="str">
        <f>IF(ABS(D45-C45)&lt;=1,"TIES","OFF")</f>
        <v>TIES</v>
      </c>
    </row>
    <row r="46" ht="15.75" customHeight="1"/>
    <row r="47" ht="15.75" customHeight="1"/>
    <row r="48" ht="25.5" customHeight="1">
      <c r="B48" s="216" t="s">
        <v>574</v>
      </c>
      <c r="C48" s="217"/>
      <c r="D48" s="217"/>
      <c r="E48" s="217"/>
      <c r="F48" s="130"/>
    </row>
    <row r="49" ht="15.75" customHeight="1"/>
    <row r="50" ht="27.75" customHeight="1">
      <c r="B50" s="37" t="s">
        <v>133</v>
      </c>
      <c r="C50" s="38" t="s">
        <v>552</v>
      </c>
      <c r="D50" s="38" t="s">
        <v>553</v>
      </c>
      <c r="E50" s="38" t="s">
        <v>554</v>
      </c>
      <c r="F50" s="38" t="s">
        <v>55</v>
      </c>
    </row>
    <row r="51" ht="25.5" customHeight="1">
      <c r="B51" s="46" t="s">
        <v>575</v>
      </c>
      <c r="C51" s="47">
        <v>858181.0</v>
      </c>
      <c r="D51" s="47">
        <f>'Budget vs Actual'!D40</f>
        <v>858182</v>
      </c>
      <c r="E51" s="218">
        <f t="shared" ref="E51:E52" si="10">D51-C51</f>
        <v>1</v>
      </c>
      <c r="F51" s="45" t="str">
        <f t="shared" ref="F51:F52" si="11">IF(ABS(D51-C51)&lt;=1,"TIES","OFF")</f>
        <v>TIES</v>
      </c>
    </row>
    <row r="52" ht="25.5" customHeight="1">
      <c r="B52" s="39" t="s">
        <v>576</v>
      </c>
      <c r="C52" s="40">
        <v>533274.0</v>
      </c>
      <c r="D52" s="40">
        <f>1391455-'Budget vs Actual'!D40</f>
        <v>533273</v>
      </c>
      <c r="E52" s="180">
        <f t="shared" si="10"/>
        <v>-1</v>
      </c>
      <c r="F52" s="45" t="str">
        <f t="shared" si="11"/>
        <v>TIES</v>
      </c>
    </row>
    <row r="53" ht="15.75" customHeight="1"/>
    <row r="54" ht="15.75" customHeight="1"/>
    <row r="55" ht="25.5" customHeight="1">
      <c r="B55" s="216" t="s">
        <v>577</v>
      </c>
      <c r="C55" s="217"/>
      <c r="D55" s="217"/>
      <c r="E55" s="217"/>
      <c r="F55" s="130"/>
    </row>
    <row r="56" ht="15.75" customHeight="1"/>
    <row r="57" ht="27.75" customHeight="1">
      <c r="B57" s="37" t="s">
        <v>133</v>
      </c>
      <c r="C57" s="38" t="s">
        <v>552</v>
      </c>
      <c r="D57" s="38" t="s">
        <v>553</v>
      </c>
      <c r="E57" s="38" t="s">
        <v>554</v>
      </c>
      <c r="F57" s="38" t="s">
        <v>55</v>
      </c>
    </row>
    <row r="58" ht="25.5" customHeight="1">
      <c r="B58" s="39" t="s">
        <v>578</v>
      </c>
      <c r="C58" s="40">
        <v>418270.0</v>
      </c>
      <c r="D58" s="40">
        <f>Material!D19+SUM('Budget vs Actual'!D32:D39)-'Budget vs Actual'!D37-'Budget vs Actual'!D38-'Budget vs Actual'!D39</f>
        <v>418270</v>
      </c>
      <c r="E58" s="180">
        <f t="shared" ref="E58:E60" si="12">D58-C58</f>
        <v>0</v>
      </c>
      <c r="F58" s="45" t="str">
        <f t="shared" ref="F58:F60" si="13">IF(ABS(D58-C58)&lt;=1,"TIES","OFF")</f>
        <v>TIES</v>
      </c>
    </row>
    <row r="59" ht="25.5" customHeight="1">
      <c r="B59" s="46" t="s">
        <v>579</v>
      </c>
      <c r="C59" s="47">
        <v>408537.0</v>
      </c>
      <c r="D59" s="47">
        <v>408537.0</v>
      </c>
      <c r="E59" s="218">
        <f t="shared" si="12"/>
        <v>0</v>
      </c>
      <c r="F59" s="45" t="str">
        <f t="shared" si="13"/>
        <v>TIES</v>
      </c>
    </row>
    <row r="60" ht="25.5" customHeight="1">
      <c r="B60" s="39" t="s">
        <v>580</v>
      </c>
      <c r="C60" s="40">
        <v>9733.0</v>
      </c>
      <c r="D60" s="40">
        <f>418270-408537</f>
        <v>9733</v>
      </c>
      <c r="E60" s="180">
        <f t="shared" si="12"/>
        <v>0</v>
      </c>
      <c r="F60" s="45" t="str">
        <f t="shared" si="13"/>
        <v>TIES</v>
      </c>
    </row>
    <row r="61" ht="15.75" customHeight="1"/>
    <row r="62" ht="15.75" customHeight="1"/>
    <row r="63" ht="13.5" customHeight="1">
      <c r="B63" s="34" t="s">
        <v>581</v>
      </c>
    </row>
    <row r="64" ht="27.75" customHeight="1">
      <c r="B64" s="82" t="s">
        <v>582</v>
      </c>
      <c r="C64" s="83"/>
      <c r="D64" s="83"/>
      <c r="E64" s="83"/>
      <c r="F64" s="84"/>
    </row>
    <row r="65" ht="6.0" customHeight="1"/>
    <row r="66" ht="27.75" customHeight="1">
      <c r="B66" s="82" t="s">
        <v>583</v>
      </c>
      <c r="C66" s="83"/>
      <c r="D66" s="83"/>
      <c r="E66" s="83"/>
      <c r="F66" s="84"/>
    </row>
    <row r="67" ht="6.0" customHeight="1"/>
    <row r="68" ht="27.75" customHeight="1">
      <c r="B68" s="82" t="s">
        <v>584</v>
      </c>
      <c r="C68" s="83"/>
      <c r="D68" s="83"/>
      <c r="E68" s="83"/>
      <c r="F68" s="84"/>
    </row>
    <row r="69" ht="6.0" customHeight="1"/>
    <row r="70" ht="27.75" customHeight="1">
      <c r="B70" s="88" t="s">
        <v>585</v>
      </c>
      <c r="C70" s="89"/>
      <c r="D70" s="89"/>
      <c r="E70" s="89"/>
      <c r="F70" s="90"/>
    </row>
    <row r="71" ht="6.0" customHeight="1"/>
    <row r="72" ht="27.75" customHeight="1">
      <c r="B72" s="82" t="s">
        <v>586</v>
      </c>
      <c r="C72" s="83"/>
      <c r="D72" s="83"/>
      <c r="E72" s="83"/>
      <c r="F72" s="84"/>
    </row>
    <row r="73" ht="6.0" customHeight="1"/>
    <row r="74" ht="27.75" customHeight="1">
      <c r="B74" s="82" t="s">
        <v>587</v>
      </c>
      <c r="C74" s="83"/>
      <c r="D74" s="83"/>
      <c r="E74" s="83"/>
      <c r="F74" s="84"/>
    </row>
    <row r="75" ht="6.0" customHeight="1"/>
    <row r="76" ht="15.75" customHeight="1"/>
    <row r="77" ht="12.0" customHeight="1"/>
    <row r="78" ht="18.0" customHeight="1">
      <c r="B78" s="31" t="s">
        <v>41</v>
      </c>
      <c r="C78" s="32"/>
      <c r="D78" s="32"/>
      <c r="E78" s="32"/>
      <c r="F78" s="32"/>
    </row>
    <row r="79" ht="18.0" customHeight="1">
      <c r="B79" s="33" t="s">
        <v>42</v>
      </c>
    </row>
    <row r="80" ht="18.0" customHeight="1">
      <c r="B80" s="33" t="s">
        <v>588</v>
      </c>
    </row>
    <row r="81" ht="18.0" customHeight="1">
      <c r="B81" s="33" t="s">
        <v>589</v>
      </c>
    </row>
    <row r="82" ht="18.0" customHeight="1">
      <c r="B82" s="33" t="s">
        <v>590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7:F7"/>
    <mergeCell ref="B16:F16"/>
    <mergeCell ref="B24:F24"/>
    <mergeCell ref="B34:F34"/>
    <mergeCell ref="B41:F41"/>
    <mergeCell ref="B48:F48"/>
    <mergeCell ref="B55:F55"/>
    <mergeCell ref="B80:F80"/>
    <mergeCell ref="B81:F81"/>
    <mergeCell ref="B82:F82"/>
    <mergeCell ref="B64:F64"/>
    <mergeCell ref="B66:F66"/>
    <mergeCell ref="B68:F68"/>
    <mergeCell ref="B70:F70"/>
    <mergeCell ref="B72:F72"/>
    <mergeCell ref="B74:F74"/>
    <mergeCell ref="B79:F79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2026-04-07T21:16:24Z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