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0" i="1" l="1"/>
  <c r="J27" i="1"/>
  <c r="J24" i="1"/>
  <c r="J38" i="1" l="1"/>
  <c r="J39" i="1"/>
  <c r="J40" i="1"/>
  <c r="J41" i="1"/>
  <c r="J35" i="1" l="1"/>
  <c r="J36" i="1"/>
  <c r="J13" i="1" l="1"/>
  <c r="J14" i="1"/>
  <c r="J15" i="1"/>
  <c r="J16" i="1"/>
  <c r="J17" i="1"/>
  <c r="J19" i="1"/>
  <c r="J20" i="1"/>
  <c r="J21" i="1"/>
  <c r="J22" i="1"/>
  <c r="J23" i="1"/>
  <c r="J25" i="1"/>
  <c r="J26" i="1"/>
  <c r="J28" i="1"/>
  <c r="J29" i="1"/>
  <c r="J30" i="1"/>
  <c r="J31" i="1"/>
  <c r="J32" i="1"/>
  <c r="J33" i="1"/>
  <c r="J34" i="1"/>
  <c r="H43" i="1" l="1"/>
  <c r="K43" i="1"/>
</calcChain>
</file>

<file path=xl/sharedStrings.xml><?xml version="1.0" encoding="utf-8"?>
<sst xmlns="http://schemas.openxmlformats.org/spreadsheetml/2006/main" count="53" uniqueCount="51">
  <si>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</si>
  <si>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</si>
  <si>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</si>
  <si>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</si>
  <si>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</si>
  <si>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</si>
  <si>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</si>
  <si>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</si>
  <si>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</si>
  <si>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</si>
  <si>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</si>
  <si>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</si>
  <si>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</si>
  <si>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</si>
  <si>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</si>
  <si>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</si>
  <si>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</si>
  <si>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</si>
  <si>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</si>
  <si>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3036 16TH AVE WEST SEATTLE, 98119</t>
  </si>
  <si>
    <t>BARRETT PARK</t>
  </si>
  <si>
    <t>SCH 40 PVC</t>
  </si>
  <si>
    <t>1'' PVC PIPE</t>
  </si>
  <si>
    <t>1'' 90</t>
  </si>
  <si>
    <t>1'' COUPLING</t>
  </si>
  <si>
    <t>1'' 45</t>
  </si>
  <si>
    <t>FLOWGUARD CPVC</t>
  </si>
  <si>
    <t>11/2'' CPVC PIPE</t>
  </si>
  <si>
    <t>11/4'' CPVC PIPE</t>
  </si>
  <si>
    <t>1'' CPVC PIPE</t>
  </si>
  <si>
    <t>3/4'' CPVC PIPE</t>
  </si>
  <si>
    <t>3/4'' 90</t>
  </si>
  <si>
    <t>11/2 90</t>
  </si>
  <si>
    <t>11/2 COUPLING</t>
  </si>
  <si>
    <t>11/4 COUPLING</t>
  </si>
  <si>
    <t>3/4 COUPLING</t>
  </si>
  <si>
    <t>11/2'' 45</t>
  </si>
  <si>
    <t>3/4'' 45</t>
  </si>
  <si>
    <t>11/4'' 90</t>
  </si>
  <si>
    <t>SHALLOW UNSTRUT</t>
  </si>
  <si>
    <t>1'' IPS STRUT CLAMP</t>
  </si>
  <si>
    <t>11/2'' CTS SRUT CLAMPS</t>
  </si>
  <si>
    <t>QUART FLOGUARD GOLD GLUE</t>
  </si>
  <si>
    <t>2011-31</t>
  </si>
  <si>
    <t>11/2 X 3/4 TEE</t>
  </si>
  <si>
    <t>11/4 X 3/4 TEE</t>
  </si>
  <si>
    <t>11/2 X 11/4 BUSHING</t>
  </si>
  <si>
    <t>11/4'' X 1'' BUSHING</t>
  </si>
  <si>
    <t>1'' X 3/4'' X 3/4'' TEE</t>
  </si>
  <si>
    <t>ROSEN</t>
  </si>
  <si>
    <t>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</si>
</sst>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view="pageBreakPreview" zoomScaleNormal="75" workbookViewId="0">
      <selection activeCell="E34" sqref="E3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5" t="s">
        <v>14</v>
      </c>
      <c r="B1" s="39"/>
      <c r="C1" s="66"/>
      <c r="D1" s="20"/>
      <c r="E1" s="68" t="s">
        <v>17</v>
      </c>
      <c r="F1" s="6"/>
      <c r="G1" s="6"/>
      <c r="H1" s="78" t="s">
        <v>16</v>
      </c>
      <c r="I1" s="72">
        <v>15696</v>
      </c>
      <c r="J1" s="73"/>
      <c r="K1" s="74"/>
    </row>
    <row r="2" spans="1:13" ht="16.95" customHeight="1" x14ac:dyDescent="0.25">
      <c r="A2" s="39"/>
      <c r="B2" s="39"/>
      <c r="C2" s="67"/>
      <c r="D2" s="21"/>
      <c r="E2" s="69"/>
      <c r="F2" s="6"/>
      <c r="G2" s="6"/>
      <c r="H2" s="79"/>
      <c r="I2" s="75"/>
      <c r="J2" s="76"/>
      <c r="K2" s="77"/>
    </row>
    <row r="3" spans="1:13" ht="13.95" customHeight="1" x14ac:dyDescent="0.25">
      <c r="A3" s="59" t="s">
        <v>4</v>
      </c>
      <c r="B3" s="60"/>
      <c r="C3" s="62" t="s">
        <v>49</v>
      </c>
      <c r="D3" s="39"/>
      <c r="E3" s="39"/>
      <c r="F3" s="13"/>
      <c r="G3" s="13"/>
      <c r="H3" s="42" t="s">
        <v>12</v>
      </c>
      <c r="I3" s="42">
        <v>4179453</v>
      </c>
      <c r="J3" s="39"/>
      <c r="K3" s="39"/>
    </row>
    <row r="4" spans="1:13" ht="7.95" customHeight="1" x14ac:dyDescent="0.25">
      <c r="A4" s="60"/>
      <c r="B4" s="60"/>
      <c r="C4" s="39"/>
      <c r="D4" s="39"/>
      <c r="E4" s="39"/>
      <c r="F4" s="13"/>
      <c r="G4" s="13"/>
      <c r="H4" s="39"/>
      <c r="I4" s="39"/>
      <c r="J4" s="39"/>
      <c r="K4" s="39"/>
    </row>
    <row r="5" spans="1:13" ht="16.2" customHeight="1" outlineLevel="1" x14ac:dyDescent="0.25">
      <c r="A5" s="61" t="s">
        <v>13</v>
      </c>
      <c r="B5" s="60"/>
      <c r="C5" s="47" t="s">
        <v>19</v>
      </c>
      <c r="D5" s="48"/>
      <c r="E5" s="48"/>
      <c r="F5" s="48"/>
      <c r="G5" s="48"/>
      <c r="H5" s="48"/>
      <c r="I5" s="48"/>
      <c r="J5" s="49"/>
      <c r="K5" s="49"/>
    </row>
    <row r="6" spans="1:13" ht="6" customHeight="1" outlineLevel="1" x14ac:dyDescent="0.25">
      <c r="A6" s="60"/>
      <c r="B6" s="60"/>
      <c r="C6" s="48"/>
      <c r="D6" s="48"/>
      <c r="E6" s="48"/>
      <c r="F6" s="48"/>
      <c r="G6" s="48"/>
      <c r="H6" s="48"/>
      <c r="I6" s="48"/>
      <c r="J6" s="49"/>
      <c r="K6" s="49"/>
    </row>
    <row r="7" spans="1:13" ht="10.199999999999999" customHeight="1" x14ac:dyDescent="0.25">
      <c r="A7" s="46" t="s">
        <v>5</v>
      </c>
      <c r="B7" s="46"/>
      <c r="C7" s="46"/>
      <c r="D7" s="14"/>
      <c r="E7" s="12" t="s">
        <v>6</v>
      </c>
      <c r="F7" s="14"/>
      <c r="G7" s="14"/>
      <c r="H7" s="46" t="s">
        <v>7</v>
      </c>
      <c r="I7" s="46"/>
      <c r="J7" s="39"/>
      <c r="K7" s="39"/>
    </row>
    <row r="8" spans="1:13" ht="18.600000000000001" customHeight="1" x14ac:dyDescent="0.3">
      <c r="A8" s="70"/>
      <c r="B8" s="71"/>
      <c r="C8" s="71"/>
      <c r="D8" s="7"/>
      <c r="E8" s="8" t="s">
        <v>43</v>
      </c>
      <c r="F8" s="7"/>
      <c r="G8" s="7"/>
      <c r="H8" s="43">
        <v>41410</v>
      </c>
      <c r="I8" s="44"/>
      <c r="J8" s="45"/>
      <c r="K8" s="45"/>
      <c r="M8" s="2"/>
    </row>
    <row r="9" spans="1:13" ht="10.95" customHeight="1" x14ac:dyDescent="0.25">
      <c r="A9" s="46" t="s">
        <v>9</v>
      </c>
      <c r="B9" s="46"/>
      <c r="C9" s="46"/>
      <c r="D9" s="7" t="s">
        <v>8</v>
      </c>
      <c r="E9" s="12" t="s">
        <v>10</v>
      </c>
      <c r="F9" s="7"/>
      <c r="G9" s="7"/>
      <c r="H9" s="83" t="s">
        <v>18</v>
      </c>
      <c r="I9" s="81"/>
      <c r="J9" s="84" t="s">
        <v>15</v>
      </c>
      <c r="K9" s="81"/>
    </row>
    <row r="10" spans="1:13" ht="26.4" customHeight="1" x14ac:dyDescent="0.25">
      <c r="A10" s="56">
        <v>41414</v>
      </c>
      <c r="B10" s="57"/>
      <c r="C10" s="58"/>
      <c r="D10" s="7"/>
      <c r="E10" s="26" t="s">
        <v>20</v>
      </c>
      <c r="F10" s="19"/>
      <c r="G10" s="19"/>
      <c r="H10" s="82" t="s">
        <v>50</v>
      </c>
      <c r="I10" s="81"/>
      <c r="J10" s="80">
        <f>SUM(J13:K41)</f>
        <v>4822.4380000000019</v>
      </c>
      <c r="K10" s="81"/>
    </row>
    <row r="11" spans="1:13" x14ac:dyDescent="0.25">
      <c r="A11" s="52" t="s">
        <v>0</v>
      </c>
      <c r="B11" s="53"/>
      <c r="C11" s="5" t="s">
        <v>11</v>
      </c>
      <c r="D11" s="9" t="s">
        <v>1</v>
      </c>
      <c r="E11" s="24" t="s">
        <v>2</v>
      </c>
      <c r="F11" s="19"/>
      <c r="G11" s="19"/>
      <c r="H11" s="50" t="s">
        <v>3</v>
      </c>
      <c r="I11" s="51"/>
      <c r="J11" s="50" t="s">
        <v>15</v>
      </c>
      <c r="K11" s="51"/>
    </row>
    <row r="12" spans="1:13" ht="18" customHeight="1" x14ac:dyDescent="0.25">
      <c r="A12" s="3">
        <v>1</v>
      </c>
      <c r="B12" s="17"/>
      <c r="C12" s="10"/>
      <c r="D12" s="10"/>
      <c r="E12" s="28" t="s">
        <v>21</v>
      </c>
      <c r="F12" s="25"/>
      <c r="G12" s="25"/>
      <c r="H12" s="34"/>
      <c r="I12" s="35"/>
      <c r="J12" s="36"/>
      <c r="K12" s="37"/>
    </row>
    <row r="13" spans="1:13" ht="18" customHeight="1" x14ac:dyDescent="0.25">
      <c r="A13" s="3">
        <v>2</v>
      </c>
      <c r="B13" s="17">
        <v>2000</v>
      </c>
      <c r="C13" s="10"/>
      <c r="D13" s="10"/>
      <c r="E13" s="17" t="s">
        <v>22</v>
      </c>
      <c r="F13" s="25"/>
      <c r="G13" s="25"/>
      <c r="H13" s="34">
        <v>0.317</v>
      </c>
      <c r="I13" s="35"/>
      <c r="J13" s="36">
        <f t="shared" ref="J13:J34" si="0">B13*H13</f>
        <v>634</v>
      </c>
      <c r="K13" s="37"/>
    </row>
    <row r="14" spans="1:13" ht="18" customHeight="1" x14ac:dyDescent="0.25">
      <c r="A14" s="3">
        <v>3</v>
      </c>
      <c r="B14" s="17">
        <v>200</v>
      </c>
      <c r="C14" s="10"/>
      <c r="D14" s="10"/>
      <c r="E14" s="17" t="s">
        <v>23</v>
      </c>
      <c r="F14" s="25"/>
      <c r="G14" s="25"/>
      <c r="H14" s="34">
        <v>0.255</v>
      </c>
      <c r="I14" s="35"/>
      <c r="J14" s="36">
        <f t="shared" si="0"/>
        <v>51</v>
      </c>
      <c r="K14" s="37"/>
    </row>
    <row r="15" spans="1:13" ht="18" customHeight="1" x14ac:dyDescent="0.25">
      <c r="A15" s="3">
        <v>4</v>
      </c>
      <c r="B15" s="17">
        <v>50</v>
      </c>
      <c r="C15" s="10"/>
      <c r="D15" s="10"/>
      <c r="E15" s="17" t="s">
        <v>24</v>
      </c>
      <c r="F15" s="25"/>
      <c r="G15" s="25"/>
      <c r="H15" s="34">
        <v>0.19900000000000001</v>
      </c>
      <c r="I15" s="35"/>
      <c r="J15" s="36">
        <f t="shared" si="0"/>
        <v>9.9500000000000011</v>
      </c>
      <c r="K15" s="37"/>
    </row>
    <row r="16" spans="1:13" ht="18" customHeight="1" x14ac:dyDescent="0.25">
      <c r="A16" s="3">
        <v>5</v>
      </c>
      <c r="B16" s="17">
        <v>25</v>
      </c>
      <c r="C16" s="10"/>
      <c r="D16" s="10"/>
      <c r="E16" s="17" t="s">
        <v>25</v>
      </c>
      <c r="F16" s="25"/>
      <c r="G16" s="25"/>
      <c r="H16" s="34">
        <v>0.38500000000000001</v>
      </c>
      <c r="I16" s="35"/>
      <c r="J16" s="36">
        <f t="shared" si="0"/>
        <v>9.625</v>
      </c>
      <c r="K16" s="37"/>
    </row>
    <row r="17" spans="1:11" ht="18" customHeight="1" x14ac:dyDescent="0.25">
      <c r="A17" s="3"/>
      <c r="B17" s="30"/>
      <c r="C17" s="10"/>
      <c r="D17" s="10"/>
      <c r="E17" s="30"/>
      <c r="F17" s="25"/>
      <c r="G17" s="25"/>
      <c r="H17" s="34"/>
      <c r="I17" s="35"/>
      <c r="J17" s="36">
        <f t="shared" si="0"/>
        <v>0</v>
      </c>
      <c r="K17" s="37"/>
    </row>
    <row r="18" spans="1:11" ht="18" customHeight="1" x14ac:dyDescent="0.25">
      <c r="A18" s="3">
        <v>6</v>
      </c>
      <c r="B18" s="17"/>
      <c r="C18" s="10"/>
      <c r="D18" s="10"/>
      <c r="E18" s="28" t="s">
        <v>26</v>
      </c>
      <c r="F18" s="25"/>
      <c r="G18" s="25"/>
      <c r="H18" s="34"/>
      <c r="I18" s="35"/>
      <c r="J18" s="36"/>
      <c r="K18" s="37"/>
    </row>
    <row r="19" spans="1:11" ht="18" customHeight="1" x14ac:dyDescent="0.25">
      <c r="A19" s="3">
        <v>7</v>
      </c>
      <c r="B19" s="17">
        <v>750</v>
      </c>
      <c r="C19" s="10"/>
      <c r="D19" s="10"/>
      <c r="E19" s="17" t="s">
        <v>27</v>
      </c>
      <c r="F19" s="25"/>
      <c r="G19" s="25"/>
      <c r="H19" s="34">
        <v>2.17</v>
      </c>
      <c r="I19" s="35"/>
      <c r="J19" s="36">
        <f t="shared" si="0"/>
        <v>1627.5</v>
      </c>
      <c r="K19" s="37"/>
    </row>
    <row r="20" spans="1:11" ht="18" customHeight="1" x14ac:dyDescent="0.25">
      <c r="A20" s="3">
        <v>8</v>
      </c>
      <c r="B20" s="17">
        <v>300</v>
      </c>
      <c r="C20" s="10"/>
      <c r="D20" s="10"/>
      <c r="E20" s="31" t="s">
        <v>28</v>
      </c>
      <c r="F20" s="25"/>
      <c r="G20" s="25"/>
      <c r="H20" s="34">
        <v>1.62</v>
      </c>
      <c r="I20" s="35"/>
      <c r="J20" s="36">
        <f t="shared" si="0"/>
        <v>486.00000000000006</v>
      </c>
      <c r="K20" s="37"/>
    </row>
    <row r="21" spans="1:11" ht="18" customHeight="1" x14ac:dyDescent="0.25">
      <c r="A21" s="3">
        <v>9</v>
      </c>
      <c r="B21" s="17">
        <v>300</v>
      </c>
      <c r="C21" s="10"/>
      <c r="D21" s="10"/>
      <c r="E21" s="31" t="s">
        <v>29</v>
      </c>
      <c r="F21" s="25"/>
      <c r="G21" s="25"/>
      <c r="H21" s="34">
        <v>0.9</v>
      </c>
      <c r="I21" s="35"/>
      <c r="J21" s="36">
        <f t="shared" si="0"/>
        <v>270</v>
      </c>
      <c r="K21" s="37"/>
    </row>
    <row r="22" spans="1:11" ht="18" customHeight="1" x14ac:dyDescent="0.25">
      <c r="A22" s="3">
        <v>10</v>
      </c>
      <c r="B22" s="17">
        <v>500</v>
      </c>
      <c r="C22" s="10"/>
      <c r="D22" s="10"/>
      <c r="E22" s="31" t="s">
        <v>30</v>
      </c>
      <c r="F22" s="25"/>
      <c r="G22" s="25"/>
      <c r="H22" s="34">
        <v>0.442</v>
      </c>
      <c r="I22" s="35"/>
      <c r="J22" s="36">
        <f t="shared" si="0"/>
        <v>221</v>
      </c>
      <c r="K22" s="37"/>
    </row>
    <row r="23" spans="1:11" ht="18" customHeight="1" x14ac:dyDescent="0.25">
      <c r="A23" s="3">
        <v>11</v>
      </c>
      <c r="B23" s="17">
        <v>30</v>
      </c>
      <c r="C23" s="10"/>
      <c r="D23" s="10"/>
      <c r="E23" s="27" t="s">
        <v>44</v>
      </c>
      <c r="F23" s="25"/>
      <c r="G23" s="25"/>
      <c r="H23" s="34">
        <v>7.008</v>
      </c>
      <c r="I23" s="35"/>
      <c r="J23" s="36">
        <f t="shared" si="0"/>
        <v>210.24</v>
      </c>
      <c r="K23" s="37"/>
    </row>
    <row r="24" spans="1:11" ht="18" customHeight="1" x14ac:dyDescent="0.25">
      <c r="A24" s="3"/>
      <c r="B24" s="32">
        <v>30</v>
      </c>
      <c r="C24" s="10"/>
      <c r="D24" s="10"/>
      <c r="E24" s="32" t="s">
        <v>46</v>
      </c>
      <c r="F24" s="25"/>
      <c r="G24" s="25"/>
      <c r="H24" s="34">
        <v>1.5407999999999999</v>
      </c>
      <c r="I24" s="35"/>
      <c r="J24" s="36">
        <f t="shared" ref="J24" si="1">B24*H24</f>
        <v>46.223999999999997</v>
      </c>
      <c r="K24" s="37"/>
    </row>
    <row r="25" spans="1:11" ht="18" customHeight="1" x14ac:dyDescent="0.25">
      <c r="A25" s="3">
        <v>13</v>
      </c>
      <c r="B25" s="17">
        <v>30</v>
      </c>
      <c r="C25" s="10"/>
      <c r="D25" s="10"/>
      <c r="E25" s="27" t="s">
        <v>45</v>
      </c>
      <c r="F25" s="25"/>
      <c r="G25" s="25"/>
      <c r="H25" s="34">
        <v>6.9488000000000003</v>
      </c>
      <c r="I25" s="35"/>
      <c r="J25" s="36">
        <f t="shared" si="0"/>
        <v>208.464</v>
      </c>
      <c r="K25" s="37"/>
    </row>
    <row r="26" spans="1:11" ht="18" customHeight="1" x14ac:dyDescent="0.25">
      <c r="A26" s="3">
        <v>14</v>
      </c>
      <c r="B26" s="17">
        <v>30</v>
      </c>
      <c r="C26" s="10"/>
      <c r="D26" s="10"/>
      <c r="E26" s="27" t="s">
        <v>47</v>
      </c>
      <c r="F26" s="25"/>
      <c r="G26" s="25"/>
      <c r="H26" s="34">
        <v>1.0911999999999999</v>
      </c>
      <c r="I26" s="35"/>
      <c r="J26" s="36">
        <f t="shared" si="0"/>
        <v>32.735999999999997</v>
      </c>
      <c r="K26" s="37"/>
    </row>
    <row r="27" spans="1:11" ht="18" customHeight="1" x14ac:dyDescent="0.25">
      <c r="A27" s="3"/>
      <c r="B27" s="32">
        <v>30</v>
      </c>
      <c r="C27" s="10"/>
      <c r="D27" s="10"/>
      <c r="E27" s="32" t="s">
        <v>48</v>
      </c>
      <c r="F27" s="25"/>
      <c r="G27" s="25"/>
      <c r="H27" s="34">
        <v>3.4159999999999999</v>
      </c>
      <c r="I27" s="35"/>
      <c r="J27" s="36">
        <f t="shared" ref="J27" si="2">B27*H27</f>
        <v>102.48</v>
      </c>
      <c r="K27" s="37"/>
    </row>
    <row r="28" spans="1:11" ht="18" customHeight="1" x14ac:dyDescent="0.25">
      <c r="A28" s="3">
        <v>15</v>
      </c>
      <c r="B28" s="29">
        <v>100</v>
      </c>
      <c r="C28" s="10"/>
      <c r="D28" s="10"/>
      <c r="E28" s="29" t="s">
        <v>31</v>
      </c>
      <c r="F28" s="25"/>
      <c r="G28" s="25"/>
      <c r="H28" s="34">
        <v>0.36799999999999999</v>
      </c>
      <c r="I28" s="35"/>
      <c r="J28" s="36">
        <f t="shared" si="0"/>
        <v>36.799999999999997</v>
      </c>
      <c r="K28" s="37"/>
    </row>
    <row r="29" spans="1:11" ht="18" customHeight="1" x14ac:dyDescent="0.25">
      <c r="A29" s="3">
        <v>16</v>
      </c>
      <c r="B29" s="29">
        <v>100</v>
      </c>
      <c r="C29" s="10"/>
      <c r="D29" s="10"/>
      <c r="E29" s="29" t="s">
        <v>32</v>
      </c>
      <c r="F29" s="25"/>
      <c r="G29" s="25"/>
      <c r="H29" s="34">
        <v>3.6225000000000001</v>
      </c>
      <c r="I29" s="35"/>
      <c r="J29" s="36">
        <f t="shared" si="0"/>
        <v>362.25</v>
      </c>
      <c r="K29" s="37"/>
    </row>
    <row r="30" spans="1:11" ht="18" customHeight="1" x14ac:dyDescent="0.25">
      <c r="A30" s="3">
        <v>17</v>
      </c>
      <c r="B30" s="29">
        <v>25</v>
      </c>
      <c r="C30" s="10"/>
      <c r="D30" s="10"/>
      <c r="E30" s="29" t="s">
        <v>33</v>
      </c>
      <c r="F30" s="25"/>
      <c r="G30" s="25"/>
      <c r="H30" s="34">
        <v>2.1088</v>
      </c>
      <c r="I30" s="35"/>
      <c r="J30" s="36">
        <f t="shared" si="0"/>
        <v>52.72</v>
      </c>
      <c r="K30" s="37"/>
    </row>
    <row r="31" spans="1:11" ht="18" customHeight="1" x14ac:dyDescent="0.25">
      <c r="A31" s="3">
        <v>18</v>
      </c>
      <c r="B31" s="29">
        <v>10</v>
      </c>
      <c r="C31" s="10"/>
      <c r="D31" s="10"/>
      <c r="E31" s="29" t="s">
        <v>34</v>
      </c>
      <c r="F31" s="25"/>
      <c r="G31" s="25"/>
      <c r="H31" s="34">
        <v>1.4912000000000001</v>
      </c>
      <c r="I31" s="35"/>
      <c r="J31" s="36">
        <f t="shared" si="0"/>
        <v>14.912000000000001</v>
      </c>
      <c r="K31" s="37"/>
    </row>
    <row r="32" spans="1:11" ht="18" customHeight="1" x14ac:dyDescent="0.25">
      <c r="A32" s="3">
        <v>19</v>
      </c>
      <c r="B32" s="29">
        <v>10</v>
      </c>
      <c r="C32" s="10"/>
      <c r="D32" s="10"/>
      <c r="E32" s="29" t="s">
        <v>24</v>
      </c>
      <c r="F32" s="25"/>
      <c r="G32" s="25"/>
      <c r="H32" s="34">
        <v>1.0911999999999999</v>
      </c>
      <c r="I32" s="35"/>
      <c r="J32" s="36">
        <f t="shared" si="0"/>
        <v>10.911999999999999</v>
      </c>
      <c r="K32" s="37"/>
    </row>
    <row r="33" spans="1:11" ht="18" customHeight="1" x14ac:dyDescent="0.25">
      <c r="A33" s="3">
        <v>20</v>
      </c>
      <c r="B33" s="29">
        <v>25</v>
      </c>
      <c r="C33" s="10"/>
      <c r="D33" s="10"/>
      <c r="E33" s="29" t="s">
        <v>35</v>
      </c>
      <c r="F33" s="25"/>
      <c r="G33" s="25"/>
      <c r="H33" s="34">
        <v>0.25319999999999998</v>
      </c>
      <c r="I33" s="35"/>
      <c r="J33" s="36">
        <f t="shared" si="0"/>
        <v>6.3299999999999992</v>
      </c>
      <c r="K33" s="37"/>
    </row>
    <row r="34" spans="1:11" ht="18" customHeight="1" x14ac:dyDescent="0.25">
      <c r="A34" s="3">
        <v>21</v>
      </c>
      <c r="B34" s="17">
        <v>10</v>
      </c>
      <c r="C34" s="10"/>
      <c r="D34" s="10"/>
      <c r="E34" s="33" t="s">
        <v>36</v>
      </c>
      <c r="F34" s="25"/>
      <c r="G34" s="25"/>
      <c r="H34" s="34">
        <v>4.0415999999999999</v>
      </c>
      <c r="I34" s="35"/>
      <c r="J34" s="36">
        <f t="shared" si="0"/>
        <v>40.415999999999997</v>
      </c>
      <c r="K34" s="37"/>
    </row>
    <row r="35" spans="1:11" ht="18" customHeight="1" x14ac:dyDescent="0.25">
      <c r="A35" s="3">
        <v>22</v>
      </c>
      <c r="B35" s="17">
        <v>10</v>
      </c>
      <c r="C35" s="10"/>
      <c r="D35" s="10"/>
      <c r="E35" s="33" t="s">
        <v>37</v>
      </c>
      <c r="F35" s="19"/>
      <c r="G35" s="19"/>
      <c r="H35" s="34">
        <v>0.52839999999999998</v>
      </c>
      <c r="I35" s="35"/>
      <c r="J35" s="36">
        <f t="shared" ref="J35:J36" si="3">B35*H35</f>
        <v>5.2839999999999998</v>
      </c>
      <c r="K35" s="37"/>
    </row>
    <row r="36" spans="1:11" ht="18" customHeight="1" x14ac:dyDescent="0.25">
      <c r="A36" s="3">
        <v>10</v>
      </c>
      <c r="B36" s="17">
        <v>10</v>
      </c>
      <c r="C36" s="10"/>
      <c r="D36" s="10"/>
      <c r="E36" s="17" t="s">
        <v>38</v>
      </c>
      <c r="F36" s="19"/>
      <c r="G36" s="19"/>
      <c r="H36" s="34">
        <v>2.1408</v>
      </c>
      <c r="I36" s="35"/>
      <c r="J36" s="36">
        <f t="shared" si="3"/>
        <v>21.408000000000001</v>
      </c>
      <c r="K36" s="37"/>
    </row>
    <row r="37" spans="1:11" ht="18" customHeight="1" x14ac:dyDescent="0.25">
      <c r="A37" s="3">
        <v>24</v>
      </c>
      <c r="B37" s="17"/>
      <c r="C37" s="10"/>
      <c r="D37" s="10"/>
      <c r="E37" s="17"/>
      <c r="F37" s="19"/>
      <c r="G37" s="19"/>
      <c r="H37" s="34"/>
      <c r="I37" s="35"/>
      <c r="J37" s="36"/>
      <c r="K37" s="37"/>
    </row>
    <row r="38" spans="1:11" ht="18" customHeight="1" x14ac:dyDescent="0.25">
      <c r="A38" s="3">
        <v>25</v>
      </c>
      <c r="B38" s="17">
        <v>120</v>
      </c>
      <c r="C38" s="10"/>
      <c r="D38" s="10"/>
      <c r="E38" s="17" t="s">
        <v>39</v>
      </c>
      <c r="F38" s="19"/>
      <c r="G38" s="19"/>
      <c r="H38" s="34">
        <v>1.28</v>
      </c>
      <c r="I38" s="35"/>
      <c r="J38" s="36">
        <f t="shared" ref="J38:J41" si="4">B38*H38</f>
        <v>153.6</v>
      </c>
      <c r="K38" s="37"/>
    </row>
    <row r="39" spans="1:11" ht="18" customHeight="1" x14ac:dyDescent="0.25">
      <c r="A39" s="3">
        <v>26</v>
      </c>
      <c r="B39" s="17">
        <v>100</v>
      </c>
      <c r="C39" s="10"/>
      <c r="D39" s="10"/>
      <c r="E39" s="17" t="s">
        <v>40</v>
      </c>
      <c r="F39" s="19"/>
      <c r="G39" s="19"/>
      <c r="H39" s="34">
        <v>0.42666999999999999</v>
      </c>
      <c r="I39" s="35"/>
      <c r="J39" s="36">
        <f t="shared" si="4"/>
        <v>42.667000000000002</v>
      </c>
      <c r="K39" s="37"/>
    </row>
    <row r="40" spans="1:11" ht="18" customHeight="1" x14ac:dyDescent="0.25">
      <c r="A40" s="3">
        <v>27</v>
      </c>
      <c r="B40" s="17">
        <v>100</v>
      </c>
      <c r="C40" s="10"/>
      <c r="D40" s="10"/>
      <c r="E40" s="17" t="s">
        <v>41</v>
      </c>
      <c r="F40" s="19"/>
      <c r="G40" s="19"/>
      <c r="H40" s="34">
        <v>0.72499999999999998</v>
      </c>
      <c r="I40" s="35"/>
      <c r="J40" s="36">
        <f t="shared" si="4"/>
        <v>72.5</v>
      </c>
      <c r="K40" s="37"/>
    </row>
    <row r="41" spans="1:11" ht="18" customHeight="1" x14ac:dyDescent="0.25">
      <c r="A41" s="3">
        <v>28</v>
      </c>
      <c r="B41" s="17">
        <v>6</v>
      </c>
      <c r="C41" s="10"/>
      <c r="D41" s="10"/>
      <c r="E41" s="17" t="s">
        <v>42</v>
      </c>
      <c r="F41" s="19"/>
      <c r="G41" s="19"/>
      <c r="H41" s="34">
        <v>15.57</v>
      </c>
      <c r="I41" s="35"/>
      <c r="J41" s="36">
        <f t="shared" si="4"/>
        <v>93.42</v>
      </c>
      <c r="K41" s="37"/>
    </row>
    <row r="42" spans="1:11" ht="18" customHeight="1" x14ac:dyDescent="0.25">
      <c r="A42" s="23">
        <v>29</v>
      </c>
      <c r="B42" s="17"/>
      <c r="C42" s="10"/>
      <c r="D42" s="11"/>
      <c r="E42" s="17"/>
      <c r="F42" s="19"/>
      <c r="G42" s="19"/>
      <c r="H42" s="63"/>
      <c r="I42" s="64"/>
      <c r="J42" s="36"/>
      <c r="K42" s="37"/>
    </row>
    <row r="43" spans="1:11" ht="18" customHeight="1" x14ac:dyDescent="0.25">
      <c r="A43" s="54"/>
      <c r="B43" s="55"/>
      <c r="C43" s="55"/>
      <c r="D43" s="55"/>
      <c r="E43" s="55"/>
      <c r="F43" s="22"/>
      <c r="G43" s="22"/>
      <c r="H43" s="40" t="str">
        <f>H1</f>
        <v>PO#</v>
      </c>
      <c r="I43" s="41"/>
      <c r="J43" s="41"/>
      <c r="K43" s="18">
        <f>K1</f>
        <v>0</v>
      </c>
    </row>
    <row r="44" spans="1:11" ht="18" customHeight="1" x14ac:dyDescent="0.25">
      <c r="A44" s="4">
        <v>30</v>
      </c>
      <c r="B44" s="17"/>
      <c r="C44" s="10"/>
      <c r="D44" s="10"/>
      <c r="E44" s="38"/>
      <c r="F44" s="39"/>
      <c r="G44" s="39"/>
      <c r="H44" s="39"/>
      <c r="I44" s="39"/>
      <c r="J44" s="15"/>
      <c r="K44" s="16"/>
    </row>
    <row r="45" spans="1:11" ht="18" customHeight="1" x14ac:dyDescent="0.25">
      <c r="A45" s="4">
        <v>31</v>
      </c>
      <c r="B45" s="17"/>
      <c r="C45" s="10"/>
      <c r="D45" s="10"/>
      <c r="E45" s="38"/>
      <c r="F45" s="39"/>
      <c r="G45" s="39"/>
      <c r="H45" s="39"/>
      <c r="I45" s="39"/>
      <c r="J45" s="15"/>
      <c r="K45" s="16"/>
    </row>
    <row r="46" spans="1:11" ht="18" customHeight="1" x14ac:dyDescent="0.25">
      <c r="A46" s="4">
        <v>32</v>
      </c>
      <c r="B46" s="17"/>
      <c r="C46" s="10"/>
      <c r="D46" s="10"/>
      <c r="E46" s="38"/>
      <c r="F46" s="39"/>
      <c r="G46" s="39"/>
      <c r="H46" s="39"/>
      <c r="I46" s="39"/>
      <c r="J46" s="15"/>
      <c r="K46" s="16"/>
    </row>
    <row r="47" spans="1:11" ht="18" customHeight="1" x14ac:dyDescent="0.25">
      <c r="A47" s="4">
        <v>33</v>
      </c>
      <c r="B47" s="17"/>
      <c r="C47" s="10"/>
      <c r="D47" s="10"/>
      <c r="E47" s="38"/>
      <c r="F47" s="39"/>
      <c r="G47" s="39"/>
      <c r="H47" s="39"/>
      <c r="I47" s="39"/>
      <c r="J47" s="15"/>
      <c r="K47" s="16"/>
    </row>
    <row r="48" spans="1:11" ht="18" customHeight="1" x14ac:dyDescent="0.25">
      <c r="A48" s="4">
        <v>34</v>
      </c>
      <c r="B48" s="17"/>
      <c r="C48" s="10"/>
      <c r="D48" s="10"/>
      <c r="E48" s="38"/>
      <c r="F48" s="39"/>
      <c r="G48" s="39"/>
      <c r="H48" s="39"/>
      <c r="I48" s="39"/>
      <c r="J48" s="15"/>
      <c r="K48" s="16"/>
    </row>
    <row r="49" spans="1:11" ht="18" customHeight="1" x14ac:dyDescent="0.25">
      <c r="A49" s="4">
        <v>35</v>
      </c>
      <c r="B49" s="17"/>
      <c r="C49" s="10"/>
      <c r="D49" s="10"/>
      <c r="E49" s="38"/>
      <c r="F49" s="39"/>
      <c r="G49" s="39"/>
      <c r="H49" s="39"/>
      <c r="I49" s="39"/>
      <c r="J49" s="15"/>
      <c r="K49" s="16"/>
    </row>
    <row r="50" spans="1:11" ht="18" customHeight="1" x14ac:dyDescent="0.25">
      <c r="A50" s="4">
        <v>36</v>
      </c>
      <c r="B50" s="17"/>
      <c r="C50" s="10"/>
      <c r="D50" s="10"/>
      <c r="E50" s="38"/>
      <c r="F50" s="39"/>
      <c r="G50" s="39"/>
      <c r="H50" s="39"/>
      <c r="I50" s="39"/>
      <c r="J50" s="15"/>
      <c r="K50" s="16"/>
    </row>
    <row r="51" spans="1:11" ht="18" customHeight="1" x14ac:dyDescent="0.25">
      <c r="A51" s="4">
        <v>37</v>
      </c>
      <c r="B51" s="17"/>
      <c r="C51" s="10"/>
      <c r="D51" s="10"/>
      <c r="E51" s="38"/>
      <c r="F51" s="39"/>
      <c r="G51" s="39"/>
      <c r="H51" s="39"/>
      <c r="I51" s="39"/>
      <c r="J51" s="15"/>
      <c r="K51" s="16"/>
    </row>
    <row r="52" spans="1:11" ht="18" customHeight="1" x14ac:dyDescent="0.25">
      <c r="A52" s="4">
        <v>38</v>
      </c>
      <c r="B52" s="17"/>
      <c r="C52" s="10"/>
      <c r="D52" s="10"/>
      <c r="E52" s="38"/>
      <c r="F52" s="39"/>
      <c r="G52" s="39"/>
      <c r="H52" s="39"/>
      <c r="I52" s="39"/>
      <c r="J52" s="15"/>
      <c r="K52" s="16"/>
    </row>
    <row r="53" spans="1:11" ht="18" customHeight="1" x14ac:dyDescent="0.25">
      <c r="A53" s="4">
        <v>39</v>
      </c>
      <c r="B53" s="17"/>
      <c r="C53" s="10"/>
      <c r="D53" s="10"/>
      <c r="E53" s="38"/>
      <c r="F53" s="39"/>
      <c r="G53" s="39"/>
      <c r="H53" s="39"/>
      <c r="I53" s="39"/>
      <c r="J53" s="15"/>
      <c r="K53" s="16"/>
    </row>
    <row r="54" spans="1:11" ht="18" customHeight="1" x14ac:dyDescent="0.25">
      <c r="A54" s="4">
        <v>40</v>
      </c>
      <c r="B54" s="17"/>
      <c r="C54" s="10"/>
      <c r="D54" s="10"/>
      <c r="E54" s="38"/>
      <c r="F54" s="39"/>
      <c r="G54" s="39"/>
      <c r="H54" s="39"/>
      <c r="I54" s="39"/>
      <c r="J54" s="15"/>
      <c r="K54" s="16"/>
    </row>
    <row r="55" spans="1:11" ht="18" customHeight="1" x14ac:dyDescent="0.25">
      <c r="A55" s="4">
        <v>41</v>
      </c>
      <c r="B55" s="17"/>
      <c r="C55" s="10"/>
      <c r="D55" s="10"/>
      <c r="E55" s="38"/>
      <c r="F55" s="39"/>
      <c r="G55" s="39"/>
      <c r="H55" s="39"/>
      <c r="I55" s="39"/>
      <c r="J55" s="15"/>
      <c r="K55" s="16"/>
    </row>
    <row r="56" spans="1:11" ht="18" customHeight="1" x14ac:dyDescent="0.25">
      <c r="A56" s="4">
        <v>42</v>
      </c>
      <c r="B56" s="17"/>
      <c r="C56" s="10"/>
      <c r="D56" s="10"/>
      <c r="E56" s="38"/>
      <c r="F56" s="39"/>
      <c r="G56" s="39"/>
      <c r="H56" s="39"/>
      <c r="I56" s="39"/>
      <c r="J56" s="15"/>
      <c r="K56" s="16"/>
    </row>
    <row r="57" spans="1:11" ht="18" customHeight="1" x14ac:dyDescent="0.25">
      <c r="A57" s="4">
        <v>43</v>
      </c>
      <c r="B57" s="17"/>
      <c r="C57" s="10"/>
      <c r="D57" s="10"/>
      <c r="E57" s="38"/>
      <c r="F57" s="39"/>
      <c r="G57" s="39"/>
      <c r="H57" s="39"/>
      <c r="I57" s="39"/>
      <c r="J57" s="15"/>
      <c r="K57" s="16"/>
    </row>
    <row r="58" spans="1:11" ht="18" customHeight="1" x14ac:dyDescent="0.25">
      <c r="A58" s="4">
        <v>44</v>
      </c>
      <c r="B58" s="17"/>
      <c r="C58" s="10"/>
      <c r="D58" s="10"/>
      <c r="E58" s="38"/>
      <c r="F58" s="39"/>
      <c r="G58" s="39"/>
      <c r="H58" s="39"/>
      <c r="I58" s="39"/>
      <c r="J58" s="15"/>
      <c r="K58" s="16"/>
    </row>
    <row r="59" spans="1:11" ht="18" customHeight="1" x14ac:dyDescent="0.25">
      <c r="A59" s="4">
        <v>45</v>
      </c>
      <c r="B59" s="17"/>
      <c r="C59" s="10"/>
      <c r="D59" s="10"/>
      <c r="E59" s="38"/>
      <c r="F59" s="39"/>
      <c r="G59" s="39"/>
      <c r="H59" s="39"/>
      <c r="I59" s="39"/>
      <c r="J59" s="15"/>
      <c r="K59" s="16"/>
    </row>
    <row r="60" spans="1:11" ht="18" customHeight="1" x14ac:dyDescent="0.25">
      <c r="A60" s="4">
        <v>46</v>
      </c>
      <c r="B60" s="17"/>
      <c r="C60" s="10"/>
      <c r="D60" s="10"/>
      <c r="E60" s="38"/>
      <c r="F60" s="39"/>
      <c r="G60" s="39"/>
      <c r="H60" s="39"/>
      <c r="I60" s="39"/>
      <c r="J60" s="15"/>
      <c r="K60" s="16"/>
    </row>
    <row r="61" spans="1:11" ht="18" customHeight="1" x14ac:dyDescent="0.25">
      <c r="A61" s="4">
        <v>47</v>
      </c>
      <c r="B61" s="17"/>
      <c r="C61" s="10"/>
      <c r="D61" s="10"/>
      <c r="E61" s="38"/>
      <c r="F61" s="39"/>
      <c r="G61" s="39"/>
      <c r="H61" s="39"/>
      <c r="I61" s="39"/>
      <c r="J61" s="15"/>
      <c r="K61" s="16"/>
    </row>
    <row r="62" spans="1:11" ht="18" customHeight="1" x14ac:dyDescent="0.25">
      <c r="A62" s="4">
        <v>48</v>
      </c>
      <c r="B62" s="17"/>
      <c r="C62" s="10"/>
      <c r="D62" s="10"/>
      <c r="E62" s="38"/>
      <c r="F62" s="39"/>
      <c r="G62" s="39"/>
      <c r="H62" s="39"/>
      <c r="I62" s="39"/>
      <c r="J62" s="15"/>
      <c r="K62" s="16"/>
    </row>
    <row r="63" spans="1:11" ht="18" customHeight="1" x14ac:dyDescent="0.25">
      <c r="A63" s="4">
        <v>49</v>
      </c>
      <c r="B63" s="17"/>
      <c r="C63" s="10"/>
      <c r="D63" s="10"/>
      <c r="E63" s="38"/>
      <c r="F63" s="39"/>
      <c r="G63" s="39"/>
      <c r="H63" s="39"/>
      <c r="I63" s="39"/>
      <c r="J63" s="15"/>
      <c r="K63" s="16"/>
    </row>
    <row r="64" spans="1:11" ht="18" customHeight="1" x14ac:dyDescent="0.25">
      <c r="A64" s="4">
        <v>50</v>
      </c>
      <c r="B64" s="17"/>
      <c r="C64" s="10"/>
      <c r="D64" s="10"/>
      <c r="E64" s="38"/>
      <c r="F64" s="39"/>
      <c r="G64" s="39"/>
      <c r="H64" s="39"/>
      <c r="I64" s="39"/>
      <c r="J64" s="15"/>
      <c r="K64" s="16"/>
    </row>
    <row r="65" spans="1:11" ht="18" customHeight="1" x14ac:dyDescent="0.25">
      <c r="A65" s="4">
        <v>51</v>
      </c>
      <c r="B65" s="17"/>
      <c r="C65" s="10"/>
      <c r="D65" s="10"/>
      <c r="E65" s="38"/>
      <c r="F65" s="39"/>
      <c r="G65" s="39"/>
      <c r="H65" s="39"/>
      <c r="I65" s="39"/>
      <c r="J65" s="15"/>
      <c r="K65" s="16"/>
    </row>
    <row r="66" spans="1:11" ht="18" customHeight="1" x14ac:dyDescent="0.25">
      <c r="A66" s="4">
        <v>52</v>
      </c>
      <c r="B66" s="17"/>
      <c r="C66" s="10"/>
      <c r="D66" s="10"/>
      <c r="E66" s="38"/>
      <c r="F66" s="39"/>
      <c r="G66" s="39"/>
      <c r="H66" s="39"/>
      <c r="I66" s="39"/>
      <c r="J66" s="15"/>
      <c r="K66" s="16"/>
    </row>
    <row r="67" spans="1:11" ht="18" customHeight="1" x14ac:dyDescent="0.25">
      <c r="A67" s="4">
        <v>53</v>
      </c>
      <c r="B67" s="17"/>
      <c r="C67" s="10"/>
      <c r="D67" s="10"/>
      <c r="E67" s="38"/>
      <c r="F67" s="39"/>
      <c r="G67" s="39"/>
      <c r="H67" s="39"/>
      <c r="I67" s="39"/>
      <c r="J67" s="15"/>
      <c r="K67" s="16"/>
    </row>
    <row r="68" spans="1:11" ht="18" customHeight="1" x14ac:dyDescent="0.25">
      <c r="A68" s="4">
        <v>54</v>
      </c>
      <c r="B68" s="17"/>
      <c r="C68" s="10"/>
      <c r="D68" s="10"/>
      <c r="E68" s="38"/>
      <c r="F68" s="39"/>
      <c r="G68" s="39"/>
      <c r="H68" s="39"/>
      <c r="I68" s="39"/>
      <c r="J68" s="15"/>
      <c r="K68" s="16"/>
    </row>
    <row r="69" spans="1:11" ht="18" customHeight="1" x14ac:dyDescent="0.25">
      <c r="A69" s="4">
        <v>55</v>
      </c>
      <c r="B69" s="17"/>
      <c r="C69" s="10"/>
      <c r="D69" s="10"/>
      <c r="E69" s="38"/>
      <c r="F69" s="39"/>
      <c r="G69" s="39"/>
      <c r="H69" s="39"/>
      <c r="I69" s="39"/>
      <c r="J69" s="15"/>
      <c r="K69" s="16"/>
    </row>
    <row r="70" spans="1:11" ht="18" customHeight="1" x14ac:dyDescent="0.25">
      <c r="A70" s="4">
        <v>56</v>
      </c>
      <c r="B70" s="17"/>
      <c r="C70" s="10"/>
      <c r="D70" s="10"/>
      <c r="E70" s="38"/>
      <c r="F70" s="39"/>
      <c r="G70" s="39"/>
      <c r="H70" s="39"/>
      <c r="I70" s="39"/>
      <c r="J70" s="15"/>
      <c r="K70" s="16"/>
    </row>
    <row r="71" spans="1:11" ht="18" customHeight="1" x14ac:dyDescent="0.25">
      <c r="A71" s="4">
        <v>57</v>
      </c>
      <c r="B71" s="17"/>
      <c r="C71" s="10"/>
      <c r="D71" s="10"/>
      <c r="E71" s="38"/>
      <c r="F71" s="39"/>
      <c r="G71" s="39"/>
      <c r="H71" s="39"/>
      <c r="I71" s="39"/>
      <c r="J71" s="15"/>
      <c r="K71" s="16"/>
    </row>
    <row r="72" spans="1:11" ht="16.95" customHeight="1" x14ac:dyDescent="0.25">
      <c r="A72" s="4">
        <v>58</v>
      </c>
      <c r="B72" s="17"/>
      <c r="C72" s="10"/>
      <c r="D72" s="10"/>
      <c r="E72" s="38"/>
      <c r="F72" s="39"/>
      <c r="G72" s="39"/>
      <c r="H72" s="39"/>
      <c r="I72" s="39"/>
      <c r="J72" s="15"/>
      <c r="K72" s="16"/>
    </row>
    <row r="73" spans="1:11" ht="16.95" customHeight="1" x14ac:dyDescent="0.25">
      <c r="A73" s="4">
        <v>59</v>
      </c>
      <c r="B73" s="17"/>
      <c r="C73" s="10"/>
      <c r="D73" s="10"/>
      <c r="E73" s="38"/>
      <c r="F73" s="39"/>
      <c r="G73" s="39"/>
      <c r="H73" s="39"/>
      <c r="I73" s="39"/>
      <c r="J73" s="15"/>
      <c r="K73" s="16"/>
    </row>
    <row r="74" spans="1:11" ht="16.95" customHeight="1" x14ac:dyDescent="0.25">
      <c r="A74" s="4">
        <v>60</v>
      </c>
      <c r="B74" s="17"/>
      <c r="C74" s="10"/>
      <c r="D74" s="10"/>
      <c r="E74" s="38"/>
      <c r="F74" s="39"/>
      <c r="G74" s="39"/>
      <c r="H74" s="39"/>
      <c r="I74" s="39"/>
      <c r="J74" s="15"/>
      <c r="K74" s="16"/>
    </row>
    <row r="75" spans="1:11" ht="18" customHeight="1" x14ac:dyDescent="0.25">
      <c r="A75" s="4">
        <v>61</v>
      </c>
      <c r="B75" s="17"/>
      <c r="C75" s="10"/>
      <c r="D75" s="10"/>
      <c r="E75" s="38"/>
      <c r="F75" s="39"/>
      <c r="G75" s="39"/>
      <c r="H75" s="39"/>
      <c r="I75" s="39"/>
      <c r="J75" s="15"/>
      <c r="K75" s="16"/>
    </row>
    <row r="76" spans="1:11" ht="18" customHeight="1" x14ac:dyDescent="0.25">
      <c r="A76" s="4">
        <v>62</v>
      </c>
      <c r="B76" s="17"/>
      <c r="C76" s="10"/>
      <c r="D76" s="10"/>
      <c r="E76" s="38"/>
      <c r="F76" s="39"/>
      <c r="G76" s="39"/>
      <c r="H76" s="39"/>
      <c r="I76" s="39"/>
      <c r="J76" s="15"/>
      <c r="K76" s="16"/>
    </row>
    <row r="77" spans="1:11" ht="18" customHeight="1" x14ac:dyDescent="0.25">
      <c r="A77" s="4">
        <v>63</v>
      </c>
      <c r="B77" s="17"/>
      <c r="C77" s="10"/>
      <c r="D77" s="10"/>
      <c r="E77" s="38"/>
      <c r="F77" s="39"/>
      <c r="G77" s="39"/>
      <c r="H77" s="39"/>
      <c r="I77" s="39"/>
      <c r="J77" s="15"/>
      <c r="K77" s="16"/>
    </row>
    <row r="78" spans="1:11" ht="18" customHeight="1" x14ac:dyDescent="0.25">
      <c r="A78" s="4">
        <v>64</v>
      </c>
      <c r="B78" s="17"/>
      <c r="C78" s="10"/>
      <c r="D78" s="10"/>
      <c r="E78" s="38"/>
      <c r="F78" s="39"/>
      <c r="G78" s="39"/>
      <c r="H78" s="39"/>
      <c r="I78" s="39"/>
      <c r="J78" s="15"/>
      <c r="K78" s="16"/>
    </row>
  </sheetData>
  <mergeCells count="123">
    <mergeCell ref="I1:K2"/>
    <mergeCell ref="H1:H2"/>
    <mergeCell ref="J10:K10"/>
    <mergeCell ref="H10:I10"/>
    <mergeCell ref="H9:I9"/>
    <mergeCell ref="J9:K9"/>
    <mergeCell ref="J36:K36"/>
    <mergeCell ref="J37:K37"/>
    <mergeCell ref="J38:K38"/>
    <mergeCell ref="J30:K30"/>
    <mergeCell ref="J31:K31"/>
    <mergeCell ref="J32:K32"/>
    <mergeCell ref="J33:K33"/>
    <mergeCell ref="J34:K34"/>
    <mergeCell ref="J35:K35"/>
    <mergeCell ref="J22:K22"/>
    <mergeCell ref="J23:K23"/>
    <mergeCell ref="J25:K25"/>
    <mergeCell ref="J26:K26"/>
    <mergeCell ref="A1:B2"/>
    <mergeCell ref="C1:C2"/>
    <mergeCell ref="E1:E2"/>
    <mergeCell ref="E76:I76"/>
    <mergeCell ref="E62:I62"/>
    <mergeCell ref="E63:I63"/>
    <mergeCell ref="E64:I64"/>
    <mergeCell ref="E61:I61"/>
    <mergeCell ref="A8:C8"/>
    <mergeCell ref="A9:C9"/>
    <mergeCell ref="E60:I60"/>
    <mergeCell ref="E53:I53"/>
    <mergeCell ref="E54:I54"/>
    <mergeCell ref="E44:I44"/>
    <mergeCell ref="E57:I57"/>
    <mergeCell ref="E45:I45"/>
    <mergeCell ref="E46:I46"/>
    <mergeCell ref="E47:I47"/>
    <mergeCell ref="E48:I48"/>
    <mergeCell ref="E58:I58"/>
    <mergeCell ref="E59:I59"/>
    <mergeCell ref="E49:I49"/>
    <mergeCell ref="E50:I50"/>
    <mergeCell ref="E51:I51"/>
    <mergeCell ref="A11:B11"/>
    <mergeCell ref="A43:E43"/>
    <mergeCell ref="A10:C10"/>
    <mergeCell ref="H3:H4"/>
    <mergeCell ref="A3:B4"/>
    <mergeCell ref="A5:B6"/>
    <mergeCell ref="A7:C7"/>
    <mergeCell ref="C3:E4"/>
    <mergeCell ref="H12:I12"/>
    <mergeCell ref="H40:I40"/>
    <mergeCell ref="H41:I41"/>
    <mergeCell ref="H20:I20"/>
    <mergeCell ref="H21:I21"/>
    <mergeCell ref="H22:I22"/>
    <mergeCell ref="H23:I23"/>
    <mergeCell ref="H25:I25"/>
    <mergeCell ref="H26:I26"/>
    <mergeCell ref="H13:I13"/>
    <mergeCell ref="H14:I14"/>
    <mergeCell ref="H15:I15"/>
    <mergeCell ref="H16:I16"/>
    <mergeCell ref="H18:I18"/>
    <mergeCell ref="H19:I19"/>
    <mergeCell ref="H42:I42"/>
    <mergeCell ref="E78:I78"/>
    <mergeCell ref="E77:I77"/>
    <mergeCell ref="E65:I65"/>
    <mergeCell ref="E71:I71"/>
    <mergeCell ref="E66:I66"/>
    <mergeCell ref="E67:I67"/>
    <mergeCell ref="E68:I68"/>
    <mergeCell ref="E69:I69"/>
    <mergeCell ref="E75:I75"/>
    <mergeCell ref="E70:I70"/>
    <mergeCell ref="E72:I72"/>
    <mergeCell ref="E73:I73"/>
    <mergeCell ref="E74:I74"/>
    <mergeCell ref="I3:K4"/>
    <mergeCell ref="H8:K8"/>
    <mergeCell ref="H7:K7"/>
    <mergeCell ref="C5:K6"/>
    <mergeCell ref="J11:K11"/>
    <mergeCell ref="J28:K28"/>
    <mergeCell ref="J29:K29"/>
    <mergeCell ref="J12:K12"/>
    <mergeCell ref="J13:K13"/>
    <mergeCell ref="J14:K14"/>
    <mergeCell ref="J15:K15"/>
    <mergeCell ref="J16:K16"/>
    <mergeCell ref="J18:K18"/>
    <mergeCell ref="J19:K19"/>
    <mergeCell ref="J20:K20"/>
    <mergeCell ref="J21:K21"/>
    <mergeCell ref="H28:I28"/>
    <mergeCell ref="H29:I29"/>
    <mergeCell ref="H11:I11"/>
    <mergeCell ref="H24:I24"/>
    <mergeCell ref="J24:K24"/>
    <mergeCell ref="H27:I27"/>
    <mergeCell ref="J27:K27"/>
    <mergeCell ref="H17:I17"/>
    <mergeCell ref="J17:K17"/>
    <mergeCell ref="E52:I52"/>
    <mergeCell ref="E55:I55"/>
    <mergeCell ref="E56:I56"/>
    <mergeCell ref="H43:J43"/>
    <mergeCell ref="H34:I34"/>
    <mergeCell ref="H35:I35"/>
    <mergeCell ref="H36:I36"/>
    <mergeCell ref="H37:I37"/>
    <mergeCell ref="H38:I38"/>
    <mergeCell ref="H39:I39"/>
    <mergeCell ref="H30:I30"/>
    <mergeCell ref="H31:I31"/>
    <mergeCell ref="H32:I32"/>
    <mergeCell ref="H33:I33"/>
    <mergeCell ref="J42:K42"/>
    <mergeCell ref="J39:K39"/>
    <mergeCell ref="J40:K40"/>
    <mergeCell ref="J41:K41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42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2013-05-16T18:52:49Z</dcterms:modified>
</cp:coreProperties>
</file>