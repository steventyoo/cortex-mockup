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-36" yWindow="36" windowWidth="11988" windowHeight="654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Backup'!$A$1:$K$52</definedName>
    <definedName name="_xlnm.Print_Area">#REF!</definedName>
    <definedName name="PRINT_AREA_MI">#REF!</definedName>
    <definedName name="_xlnm.Print_Titles" localSheetId="0">'Schedule of V. Backup'!$1:$13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Backup'!$A$1:$K$50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44525"/>
</workbook>
</file>

<file path=xl/calcChain.xml><?xml version="1.0" encoding="utf-8"?>
<calcChain xmlns="http://schemas.openxmlformats.org/spreadsheetml/2006/main">
  <c r="I41" i="6" l="1"/>
  <c r="A52" i="6" l="1"/>
  <c r="D52" i="6" l="1"/>
  <c r="E39" i="6"/>
  <c r="E52" i="6" s="1"/>
  <c r="D39" i="6"/>
  <c r="K21" i="6"/>
  <c r="J21" i="6"/>
  <c r="I21" i="6"/>
  <c r="F21" i="6"/>
  <c r="F34" i="6"/>
  <c r="I34" i="6"/>
  <c r="J34" i="6"/>
  <c r="K34" i="6"/>
  <c r="D15" i="6"/>
  <c r="E15" i="6"/>
  <c r="H15" i="6"/>
  <c r="F17" i="6"/>
  <c r="I17" i="6"/>
  <c r="J17" i="6"/>
  <c r="K17" i="6"/>
  <c r="F18" i="6"/>
  <c r="I18" i="6"/>
  <c r="J18" i="6"/>
  <c r="K18" i="6"/>
  <c r="F19" i="6"/>
  <c r="I19" i="6"/>
  <c r="J19" i="6"/>
  <c r="K19" i="6"/>
  <c r="F20" i="6"/>
  <c r="I20" i="6"/>
  <c r="J20" i="6"/>
  <c r="K20" i="6"/>
  <c r="F22" i="6"/>
  <c r="I22" i="6"/>
  <c r="J22" i="6"/>
  <c r="K22" i="6"/>
  <c r="F23" i="6"/>
  <c r="I23" i="6"/>
  <c r="J23" i="6"/>
  <c r="K23" i="6"/>
  <c r="F24" i="6"/>
  <c r="I24" i="6"/>
  <c r="J24" i="6"/>
  <c r="K24" i="6"/>
  <c r="F25" i="6"/>
  <c r="I25" i="6"/>
  <c r="J25" i="6"/>
  <c r="K25" i="6"/>
  <c r="F26" i="6"/>
  <c r="I26" i="6"/>
  <c r="J26" i="6"/>
  <c r="K26" i="6"/>
  <c r="F27" i="6"/>
  <c r="I27" i="6"/>
  <c r="J27" i="6"/>
  <c r="K27" i="6"/>
  <c r="F28" i="6"/>
  <c r="I28" i="6"/>
  <c r="J28" i="6"/>
  <c r="K28" i="6"/>
  <c r="F29" i="6"/>
  <c r="I29" i="6"/>
  <c r="J29" i="6"/>
  <c r="K29" i="6"/>
  <c r="F30" i="6"/>
  <c r="I30" i="6"/>
  <c r="J30" i="6"/>
  <c r="K30" i="6"/>
  <c r="F31" i="6"/>
  <c r="I31" i="6"/>
  <c r="J31" i="6"/>
  <c r="K31" i="6"/>
  <c r="F32" i="6"/>
  <c r="I32" i="6"/>
  <c r="J32" i="6"/>
  <c r="K32" i="6"/>
  <c r="F33" i="6"/>
  <c r="I33" i="6"/>
  <c r="J33" i="6"/>
  <c r="K33" i="6"/>
  <c r="F35" i="6"/>
  <c r="I35" i="6"/>
  <c r="J35" i="6"/>
  <c r="K35" i="6"/>
  <c r="F36" i="6"/>
  <c r="I36" i="6"/>
  <c r="J36" i="6"/>
  <c r="K36" i="6"/>
  <c r="F37" i="6"/>
  <c r="I37" i="6"/>
  <c r="J37" i="6"/>
  <c r="K37" i="6"/>
  <c r="G39" i="6"/>
  <c r="G52" i="6"/>
  <c r="H39" i="6"/>
  <c r="H52" i="6" s="1"/>
  <c r="F41" i="6"/>
  <c r="J41" i="6"/>
  <c r="K41" i="6"/>
  <c r="F42" i="6"/>
  <c r="I42" i="6"/>
  <c r="J42" i="6"/>
  <c r="K42" i="6"/>
  <c r="F43" i="6"/>
  <c r="I43" i="6"/>
  <c r="J43" i="6"/>
  <c r="K43" i="6"/>
  <c r="F44" i="6"/>
  <c r="I44" i="6"/>
  <c r="J44" i="6"/>
  <c r="K44" i="6"/>
  <c r="F45" i="6"/>
  <c r="I45" i="6"/>
  <c r="J45" i="6"/>
  <c r="K45" i="6"/>
  <c r="F46" i="6"/>
  <c r="I46" i="6"/>
  <c r="J46" i="6"/>
  <c r="K46" i="6"/>
  <c r="F47" i="6"/>
  <c r="I47" i="6"/>
  <c r="J47" i="6"/>
  <c r="K47" i="6"/>
  <c r="F48" i="6"/>
  <c r="I48" i="6"/>
  <c r="J48" i="6"/>
  <c r="K48" i="6"/>
  <c r="F49" i="6"/>
  <c r="I49" i="6"/>
  <c r="J49" i="6"/>
  <c r="K49" i="6"/>
  <c r="F50" i="6"/>
  <c r="I50" i="6"/>
  <c r="J50" i="6"/>
  <c r="K50" i="6"/>
  <c r="F51" i="6"/>
  <c r="I51" i="6"/>
  <c r="J51" i="6"/>
  <c r="K51" i="6"/>
  <c r="K15" i="6" l="1"/>
  <c r="J39" i="6"/>
  <c r="J52" i="6" s="1"/>
  <c r="K39" i="6"/>
  <c r="K52" i="6" s="1"/>
  <c r="F39" i="6"/>
  <c r="F52" i="6" s="1"/>
  <c r="J15" i="6"/>
  <c r="F15" i="6"/>
</calcChain>
</file>

<file path=xl/sharedStrings.xml><?xml version="1.0" encoding="utf-8"?>
<sst xmlns="http://schemas.openxmlformats.org/spreadsheetml/2006/main" count="111" uniqueCount="87">
  <si>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</si>
  <si>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</si>
  <si>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</si>
  <si>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</si>
  <si>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</si>
  <si>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</si>
  <si>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</si>
  <si>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</si>
  <si>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</si>
  <si>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</si>
  <si>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</si>
  <si>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</si>
  <si>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</si>
  <si>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</si>
  <si>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</si>
  <si>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</si>
  <si>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</si>
  <si>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SWINERTON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</si>
  <si>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</si>
  <si>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</si>
  <si>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</si>
  <si>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</si>
  <si>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</si>
  <si>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</si>
  <si>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</si>
  <si>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</si>
  <si>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</si>
  <si>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</si>
  <si>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</si>
  <si>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</si>
  <si>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</si>
  <si>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</si>
  <si>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</si>
  <si>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</si>
  <si>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</si>
  <si>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</si>
  <si>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</si>
  <si>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</si>
  <si>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floor</t>
  </si>
  <si>
    <t>Area or</t>
  </si>
  <si>
    <t>building or</t>
  </si>
  <si>
    <t>CO#1</t>
  </si>
  <si>
    <t>CO#2</t>
  </si>
  <si>
    <t>CO#3</t>
  </si>
  <si>
    <t>CO #</t>
  </si>
  <si>
    <t>CO#4</t>
  </si>
  <si>
    <t>CO#5</t>
  </si>
  <si>
    <t>CO#6</t>
  </si>
  <si>
    <t>CO#7</t>
  </si>
  <si>
    <t>CO#8</t>
  </si>
  <si>
    <t>CO#9</t>
  </si>
  <si>
    <t>CO#10</t>
  </si>
  <si>
    <t>To be submitted with applications for payment</t>
  </si>
  <si>
    <t>One-Way Plumbing Contract Schedule of Values Work Sheet</t>
  </si>
  <si>
    <t>PREVIOUS</t>
  </si>
  <si>
    <t>level 2</t>
  </si>
  <si>
    <t>level 3</t>
  </si>
  <si>
    <t>level 4</t>
  </si>
  <si>
    <t>roughin plumbing at level 3</t>
  </si>
  <si>
    <t>roughin plumbing at level 4</t>
  </si>
  <si>
    <t>SCHEDULE OF VALUES</t>
  </si>
  <si>
    <t>LOCATION: Seattle, WA</t>
  </si>
  <si>
    <t>underground</t>
  </si>
  <si>
    <t>stock bathtubs at level 1</t>
  </si>
  <si>
    <t>install bathtubs/valves at level 1</t>
  </si>
  <si>
    <t>roughin plumbing at level 2</t>
  </si>
  <si>
    <t>stock bathtubs at level 2</t>
  </si>
  <si>
    <t>install bathtubs/valves at level 2</t>
  </si>
  <si>
    <t>stock bathtubs at level 3</t>
  </si>
  <si>
    <t>install bathtubs/valves at level 3</t>
  </si>
  <si>
    <t>stock bathtubs at level 4</t>
  </si>
  <si>
    <t>install bathtubs/valves at level 4</t>
  </si>
  <si>
    <t>plumbing permit</t>
  </si>
  <si>
    <t>PROJECT:  Barrett Park Apartments</t>
  </si>
  <si>
    <t>garage drains/basins, underground waste and drain piping</t>
  </si>
  <si>
    <t>parking level</t>
  </si>
  <si>
    <t>roughin waste, vent, storm water piping in  garage</t>
  </si>
  <si>
    <t>roughin plumbing at level 1</t>
  </si>
  <si>
    <t>level 1</t>
  </si>
  <si>
    <t>plumbing design, engineered plan set</t>
  </si>
  <si>
    <t>canout/sleeve and deck drains at  PT deck level 1</t>
  </si>
  <si>
    <t>install toilets, lavs, sinks, water heaters at level 1</t>
  </si>
  <si>
    <t>install toilets, lavs, sinks, water heaters at level 2</t>
  </si>
  <si>
    <t>install toilets, lavs, sinks, water heaters at level 3</t>
  </si>
  <si>
    <t>install toilets, lavs, sinks, water heaters at level 4</t>
  </si>
  <si>
    <t>furnish and install footing,sub slab drains</t>
  </si>
  <si>
    <t>add trash chute wash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</si>
</sst>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2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b/>
      <sz val="18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sz val="10"/>
      <color rgb="FF00000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68">
    <xf numFmtId="0" fontId="0" fillId="0" borderId="0" xfId="0"/>
    <xf numFmtId="0" fontId="4" fillId="0" borderId="0" xfId="3" applyFont="1"/>
    <xf numFmtId="169" fontId="4" fillId="0" borderId="0" xfId="3" applyNumberFormat="1" applyFont="1"/>
    <xf numFmtId="0" fontId="4" fillId="0" borderId="0" xfId="3" quotePrefix="1" applyFont="1" applyAlignment="1">
      <alignment horizontal="left"/>
    </xf>
    <xf numFmtId="0" fontId="2" fillId="0" borderId="1" xfId="3" applyFont="1" applyBorder="1" applyAlignment="1">
      <alignment horizontal="center"/>
    </xf>
    <xf numFmtId="0" fontId="5" fillId="0" borderId="1" xfId="3" applyFont="1" applyBorder="1"/>
    <xf numFmtId="0" fontId="4" fillId="0" borderId="1" xfId="3" applyFont="1" applyBorder="1"/>
    <xf numFmtId="0" fontId="4" fillId="0" borderId="1" xfId="3" applyFont="1" applyFill="1" applyBorder="1"/>
    <xf numFmtId="0" fontId="5" fillId="0" borderId="1" xfId="3" quotePrefix="1" applyFont="1" applyBorder="1" applyAlignment="1">
      <alignment horizontal="left"/>
    </xf>
    <xf numFmtId="3" fontId="4" fillId="0" borderId="0" xfId="3" applyNumberFormat="1" applyFont="1"/>
    <xf numFmtId="4" fontId="4" fillId="0" borderId="0" xfId="3" applyNumberFormat="1" applyFont="1"/>
    <xf numFmtId="4" fontId="4" fillId="0" borderId="0" xfId="3" applyNumberFormat="1" applyFont="1" applyAlignment="1">
      <alignment horizontal="right"/>
    </xf>
    <xf numFmtId="4" fontId="4" fillId="0" borderId="0" xfId="3" applyNumberFormat="1" applyFont="1" applyFill="1" applyAlignment="1">
      <alignment horizontal="right"/>
    </xf>
    <xf numFmtId="4" fontId="4" fillId="0" borderId="2" xfId="3" applyNumberFormat="1" applyFont="1" applyBorder="1"/>
    <xf numFmtId="169" fontId="4" fillId="0" borderId="2" xfId="3" applyNumberFormat="1" applyFont="1" applyBorder="1"/>
    <xf numFmtId="0" fontId="4" fillId="0" borderId="3" xfId="3" applyFont="1" applyBorder="1"/>
    <xf numFmtId="0" fontId="5" fillId="0" borderId="3" xfId="3" applyFont="1" applyBorder="1" applyAlignment="1">
      <alignment horizontal="center"/>
    </xf>
    <xf numFmtId="4" fontId="5" fillId="0" borderId="3" xfId="3" applyNumberFormat="1" applyFont="1" applyBorder="1" applyAlignment="1">
      <alignment horizontal="center"/>
    </xf>
    <xf numFmtId="4" fontId="5" fillId="0" borderId="4" xfId="3" applyNumberFormat="1" applyFont="1" applyBorder="1" applyAlignment="1">
      <alignment horizontal="center"/>
    </xf>
    <xf numFmtId="0" fontId="4" fillId="0" borderId="1" xfId="3" applyFont="1" applyFill="1" applyBorder="1" applyAlignment="1">
      <alignment horizontal="left"/>
    </xf>
    <xf numFmtId="0" fontId="4" fillId="0" borderId="1" xfId="3" applyFont="1" applyBorder="1" applyAlignment="1"/>
    <xf numFmtId="0" fontId="9" fillId="0" borderId="1" xfId="3" applyFont="1" applyFill="1" applyBorder="1" applyAlignment="1">
      <alignment horizontal="left"/>
    </xf>
    <xf numFmtId="3" fontId="4" fillId="0" borderId="0" xfId="3" applyNumberFormat="1" applyFont="1" applyAlignment="1">
      <alignment horizontal="center"/>
    </xf>
    <xf numFmtId="14" fontId="4" fillId="0" borderId="0" xfId="3" applyNumberFormat="1" applyFont="1" applyAlignment="1">
      <alignment horizontal="center"/>
    </xf>
    <xf numFmtId="0" fontId="5" fillId="0" borderId="1" xfId="3" applyFont="1" applyBorder="1" applyAlignment="1">
      <alignment horizontal="left"/>
    </xf>
    <xf numFmtId="0" fontId="5" fillId="0" borderId="1" xfId="3" applyFont="1" applyFill="1" applyBorder="1"/>
    <xf numFmtId="0" fontId="4" fillId="0" borderId="5" xfId="3" applyFont="1" applyBorder="1"/>
    <xf numFmtId="4" fontId="4" fillId="0" borderId="5" xfId="3" applyNumberFormat="1" applyFont="1" applyBorder="1"/>
    <xf numFmtId="169" fontId="5" fillId="0" borderId="5" xfId="3" applyNumberFormat="1" applyFont="1" applyBorder="1"/>
    <xf numFmtId="4" fontId="5" fillId="0" borderId="5" xfId="3" applyNumberFormat="1" applyFont="1" applyBorder="1"/>
    <xf numFmtId="0" fontId="5" fillId="0" borderId="6" xfId="3" applyFont="1" applyBorder="1" applyAlignment="1">
      <alignment horizontal="center"/>
    </xf>
    <xf numFmtId="4" fontId="5" fillId="0" borderId="6" xfId="3" applyNumberFormat="1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169" fontId="5" fillId="0" borderId="6" xfId="3" quotePrefix="1" applyNumberFormat="1" applyFont="1" applyBorder="1" applyAlignment="1">
      <alignment horizontal="center"/>
    </xf>
    <xf numFmtId="0" fontId="5" fillId="0" borderId="7" xfId="3" applyFont="1" applyBorder="1" applyAlignment="1">
      <alignment horizontal="center"/>
    </xf>
    <xf numFmtId="4" fontId="5" fillId="0" borderId="7" xfId="3" applyNumberFormat="1" applyFont="1" applyBorder="1" applyAlignment="1">
      <alignment horizontal="center"/>
    </xf>
    <xf numFmtId="169" fontId="5" fillId="0" borderId="7" xfId="3" applyNumberFormat="1" applyFont="1" applyBorder="1" applyAlignment="1">
      <alignment horizontal="center"/>
    </xf>
    <xf numFmtId="9" fontId="5" fillId="0" borderId="7" xfId="3" applyNumberFormat="1" applyFont="1" applyBorder="1" applyAlignment="1">
      <alignment horizontal="center"/>
    </xf>
    <xf numFmtId="0" fontId="5" fillId="0" borderId="8" xfId="3" applyFont="1" applyBorder="1" applyAlignment="1">
      <alignment horizontal="center"/>
    </xf>
    <xf numFmtId="4" fontId="5" fillId="0" borderId="8" xfId="3" applyNumberFormat="1" applyFont="1" applyBorder="1" applyAlignment="1">
      <alignment horizontal="center"/>
    </xf>
    <xf numFmtId="169" fontId="5" fillId="0" borderId="8" xfId="3" applyNumberFormat="1" applyFont="1" applyBorder="1" applyAlignment="1">
      <alignment horizontal="center"/>
    </xf>
    <xf numFmtId="4" fontId="5" fillId="0" borderId="1" xfId="3" applyNumberFormat="1" applyFont="1" applyBorder="1" applyAlignment="1">
      <alignment horizontal="center"/>
    </xf>
    <xf numFmtId="4" fontId="5" fillId="0" borderId="1" xfId="3" applyNumberFormat="1" applyFont="1" applyFill="1" applyBorder="1" applyAlignment="1">
      <alignment horizontal="center"/>
    </xf>
    <xf numFmtId="169" fontId="5" fillId="0" borderId="1" xfId="3" applyNumberFormat="1" applyFont="1" applyBorder="1" applyAlignment="1">
      <alignment horizontal="center"/>
    </xf>
    <xf numFmtId="4" fontId="5" fillId="0" borderId="1" xfId="0" applyNumberFormat="1" applyFont="1" applyFill="1" applyBorder="1" applyAlignment="1">
      <alignment horizontal="center"/>
    </xf>
    <xf numFmtId="4" fontId="4" fillId="0" borderId="1" xfId="3" applyNumberFormat="1" applyFont="1" applyBorder="1" applyAlignment="1">
      <alignment horizontal="center"/>
    </xf>
    <xf numFmtId="4" fontId="4" fillId="0" borderId="1" xfId="3" applyNumberFormat="1" applyFont="1" applyFill="1" applyBorder="1" applyAlignment="1">
      <alignment horizontal="center"/>
    </xf>
    <xf numFmtId="4" fontId="4" fillId="0" borderId="1" xfId="0" applyNumberFormat="1" applyFont="1" applyFill="1" applyBorder="1" applyAlignment="1">
      <alignment horizontal="center"/>
    </xf>
    <xf numFmtId="169" fontId="4" fillId="0" borderId="1" xfId="3" applyNumberFormat="1" applyFont="1" applyBorder="1" applyAlignment="1">
      <alignment horizontal="center"/>
    </xf>
    <xf numFmtId="169" fontId="5" fillId="0" borderId="1" xfId="3" applyNumberFormat="1" applyFont="1" applyFill="1" applyBorder="1" applyAlignment="1">
      <alignment horizontal="center"/>
    </xf>
    <xf numFmtId="0" fontId="9" fillId="0" borderId="1" xfId="3" applyFont="1" applyFill="1" applyBorder="1"/>
    <xf numFmtId="3" fontId="4" fillId="0" borderId="0" xfId="3" applyNumberFormat="1" applyFont="1" applyAlignment="1">
      <alignment horizontal="left" vertical="center"/>
    </xf>
    <xf numFmtId="164" fontId="4" fillId="0" borderId="0" xfId="3" applyNumberFormat="1" applyFont="1" applyAlignment="1">
      <alignment horizontal="left" vertical="center"/>
    </xf>
    <xf numFmtId="0" fontId="2" fillId="0" borderId="1" xfId="3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3" applyFont="1" applyFill="1" applyBorder="1" applyAlignment="1">
      <alignment horizontal="left"/>
    </xf>
    <xf numFmtId="4" fontId="2" fillId="0" borderId="1" xfId="3" applyNumberFormat="1" applyFont="1" applyBorder="1" applyAlignment="1">
      <alignment horizontal="center"/>
    </xf>
    <xf numFmtId="0" fontId="2" fillId="0" borderId="1" xfId="3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4" fontId="10" fillId="0" borderId="0" xfId="3" applyNumberFormat="1" applyFont="1" applyAlignment="1">
      <alignment horizontal="center"/>
    </xf>
    <xf numFmtId="0" fontId="6" fillId="0" borderId="9" xfId="3" applyFont="1" applyBorder="1" applyAlignment="1"/>
    <xf numFmtId="0" fontId="0" fillId="0" borderId="9" xfId="0" applyBorder="1" applyAlignment="1"/>
    <xf numFmtId="0" fontId="8" fillId="0" borderId="2" xfId="3" applyFont="1" applyBorder="1" applyAlignment="1"/>
    <xf numFmtId="0" fontId="0" fillId="0" borderId="2" xfId="0" applyBorder="1" applyAlignment="1"/>
    <xf numFmtId="4" fontId="5" fillId="0" borderId="6" xfId="3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4" fontId="5" fillId="0" borderId="4" xfId="3" applyNumberFormat="1" applyFont="1" applyBorder="1" applyAlignment="1">
      <alignment horizontal="center"/>
    </xf>
    <xf numFmtId="0" fontId="0" fillId="0" borderId="10" xfId="0" applyBorder="1" applyAlignment="1">
      <alignment horizont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1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01"/>
  <sheetViews>
    <sheetView tabSelected="1" zoomScaleNormal="100" zoomScaleSheetLayoutView="100" workbookViewId="0">
      <selection activeCell="H8" sqref="H8"/>
    </sheetView>
  </sheetViews>
  <sheetFormatPr defaultColWidth="9.33203125" defaultRowHeight="13.2" x14ac:dyDescent="0.25"/>
  <cols>
    <col min="1" max="1" width="12.6640625" style="1" customWidth="1"/>
    <col min="2" max="2" width="42.44140625" style="1" customWidth="1"/>
    <col min="3" max="3" width="25.44140625" style="1" hidden="1" customWidth="1"/>
    <col min="4" max="4" width="17.5546875" style="10" customWidth="1"/>
    <col min="5" max="5" width="15" style="10" customWidth="1"/>
    <col min="6" max="6" width="13.44140625" style="10" customWidth="1"/>
    <col min="7" max="7" width="7.5546875" style="10" customWidth="1"/>
    <col min="8" max="8" width="19" style="10" customWidth="1"/>
    <col min="9" max="9" width="14.44140625" style="1" customWidth="1"/>
    <col min="10" max="10" width="20" style="10" customWidth="1"/>
    <col min="11" max="11" width="16.5546875" style="10" customWidth="1"/>
    <col min="12" max="16384" width="9.33203125" style="1"/>
  </cols>
  <sheetData>
    <row r="1" spans="1:11" ht="15" customHeight="1" x14ac:dyDescent="0.25">
      <c r="I1" s="2"/>
    </row>
    <row r="2" spans="1:11" ht="33.75" customHeight="1" x14ac:dyDescent="0.3">
      <c r="D2" s="59" t="s">
        <v>60</v>
      </c>
      <c r="E2" s="59"/>
      <c r="F2" s="59"/>
      <c r="G2" s="59"/>
      <c r="I2" s="2"/>
    </row>
    <row r="3" spans="1:11" ht="34.5" customHeight="1" thickBot="1" x14ac:dyDescent="0.45">
      <c r="A3" s="62" t="s">
        <v>53</v>
      </c>
      <c r="B3" s="63"/>
      <c r="C3" s="63"/>
      <c r="D3" s="63"/>
      <c r="E3" s="63"/>
      <c r="F3" s="63"/>
      <c r="G3" s="63"/>
      <c r="H3" s="63"/>
      <c r="I3" s="14"/>
      <c r="J3" s="13"/>
      <c r="K3" s="13"/>
    </row>
    <row r="4" spans="1:11" ht="22.8" x14ac:dyDescent="0.4">
      <c r="A4" s="60" t="s">
        <v>52</v>
      </c>
      <c r="B4" s="61"/>
      <c r="C4" s="61"/>
      <c r="D4" s="61"/>
      <c r="E4" s="61"/>
      <c r="I4" s="2"/>
    </row>
    <row r="5" spans="1:11" x14ac:dyDescent="0.25">
      <c r="A5" s="3" t="s">
        <v>73</v>
      </c>
      <c r="F5" s="11" t="s">
        <v>7</v>
      </c>
      <c r="G5" s="22"/>
      <c r="H5" s="51">
        <v>9</v>
      </c>
      <c r="I5" s="2"/>
      <c r="J5" s="12"/>
    </row>
    <row r="6" spans="1:11" x14ac:dyDescent="0.25">
      <c r="A6" s="3" t="s">
        <v>61</v>
      </c>
      <c r="F6" s="11" t="s">
        <v>23</v>
      </c>
      <c r="G6" s="23"/>
      <c r="H6" s="52">
        <v>41495</v>
      </c>
      <c r="I6" s="2"/>
      <c r="J6" s="12"/>
    </row>
    <row r="7" spans="1:11" x14ac:dyDescent="0.25">
      <c r="A7" s="3" t="s">
        <v>8</v>
      </c>
      <c r="E7" s="10" t="s">
        <v>9</v>
      </c>
      <c r="F7" s="11" t="s">
        <v>0</v>
      </c>
      <c r="G7" s="23" t="s">
        <v>6</v>
      </c>
      <c r="H7" s="52">
        <v>41501</v>
      </c>
      <c r="I7" s="2"/>
    </row>
    <row r="8" spans="1:11" ht="12" customHeight="1" thickBot="1" x14ac:dyDescent="0.3">
      <c r="A8" s="3"/>
      <c r="F8" s="11"/>
      <c r="G8" s="11"/>
      <c r="I8" s="2"/>
    </row>
    <row r="9" spans="1:11" ht="13.8" hidden="1" thickBot="1" x14ac:dyDescent="0.3">
      <c r="A9" s="3"/>
      <c r="I9" s="2"/>
    </row>
    <row r="10" spans="1:11" ht="14.4" thickTop="1" thickBot="1" x14ac:dyDescent="0.3">
      <c r="A10" s="16" t="s">
        <v>25</v>
      </c>
      <c r="B10" s="16" t="s">
        <v>26</v>
      </c>
      <c r="C10" s="15"/>
      <c r="D10" s="17" t="s">
        <v>24</v>
      </c>
      <c r="E10" s="17" t="s">
        <v>27</v>
      </c>
      <c r="F10" s="17" t="s">
        <v>28</v>
      </c>
      <c r="G10" s="18" t="s">
        <v>29</v>
      </c>
      <c r="H10" s="66" t="s">
        <v>30</v>
      </c>
      <c r="I10" s="67"/>
      <c r="J10" s="17" t="s">
        <v>31</v>
      </c>
      <c r="K10" s="17" t="s">
        <v>32</v>
      </c>
    </row>
    <row r="11" spans="1:11" ht="13.8" thickTop="1" x14ac:dyDescent="0.25">
      <c r="A11" s="30" t="s">
        <v>39</v>
      </c>
      <c r="B11" s="30" t="s">
        <v>10</v>
      </c>
      <c r="C11" s="30" t="s">
        <v>11</v>
      </c>
      <c r="D11" s="31" t="s">
        <v>12</v>
      </c>
      <c r="E11" s="64" t="s">
        <v>33</v>
      </c>
      <c r="F11" s="65"/>
      <c r="G11" s="32"/>
      <c r="H11" s="31" t="s">
        <v>19</v>
      </c>
      <c r="I11" s="33" t="s">
        <v>13</v>
      </c>
      <c r="J11" s="31" t="s">
        <v>2</v>
      </c>
      <c r="K11" s="31" t="s">
        <v>3</v>
      </c>
    </row>
    <row r="12" spans="1:11" x14ac:dyDescent="0.25">
      <c r="A12" s="34" t="s">
        <v>40</v>
      </c>
      <c r="B12" s="34"/>
      <c r="C12" s="34" t="s">
        <v>15</v>
      </c>
      <c r="D12" s="35" t="s">
        <v>20</v>
      </c>
      <c r="E12" s="35" t="s">
        <v>34</v>
      </c>
      <c r="F12" s="35" t="s">
        <v>14</v>
      </c>
      <c r="G12" s="35"/>
      <c r="H12" s="35" t="s">
        <v>1</v>
      </c>
      <c r="I12" s="36" t="s">
        <v>16</v>
      </c>
      <c r="J12" s="35" t="s">
        <v>5</v>
      </c>
      <c r="K12" s="37">
        <v>0.05</v>
      </c>
    </row>
    <row r="13" spans="1:11" ht="13.8" thickBot="1" x14ac:dyDescent="0.3">
      <c r="A13" s="38" t="s">
        <v>38</v>
      </c>
      <c r="B13" s="38"/>
      <c r="C13" s="38"/>
      <c r="D13" s="39"/>
      <c r="E13" s="39" t="s">
        <v>54</v>
      </c>
      <c r="F13" s="39" t="s">
        <v>35</v>
      </c>
      <c r="G13" s="39"/>
      <c r="H13" s="39" t="s">
        <v>4</v>
      </c>
      <c r="I13" s="40"/>
      <c r="J13" s="39"/>
      <c r="K13" s="39"/>
    </row>
    <row r="14" spans="1:11" x14ac:dyDescent="0.25">
      <c r="A14" s="26"/>
      <c r="B14" s="26"/>
      <c r="C14" s="26"/>
      <c r="D14" s="27"/>
      <c r="E14" s="27"/>
      <c r="F14" s="27"/>
      <c r="G14" s="27"/>
      <c r="H14" s="27"/>
      <c r="I14" s="28"/>
      <c r="J14" s="27"/>
      <c r="K14" s="29"/>
    </row>
    <row r="15" spans="1:11" ht="13.8" x14ac:dyDescent="0.25">
      <c r="A15" s="24" t="s">
        <v>36</v>
      </c>
      <c r="B15" s="4" t="s">
        <v>37</v>
      </c>
      <c r="C15" s="5"/>
      <c r="D15" s="41">
        <f>SUM(D17:D38)</f>
        <v>813050</v>
      </c>
      <c r="E15" s="42">
        <f>SUM(E17:E38)</f>
        <v>588600</v>
      </c>
      <c r="F15" s="42">
        <f>SUM(F17:F38)</f>
        <v>40050</v>
      </c>
      <c r="G15" s="42"/>
      <c r="H15" s="42">
        <f>SUM(H17:H38)</f>
        <v>628650</v>
      </c>
      <c r="I15" s="43"/>
      <c r="J15" s="42">
        <f>SUM(J17:J38)</f>
        <v>184400</v>
      </c>
      <c r="K15" s="41">
        <f>SUM(K17:K38)</f>
        <v>31432.5</v>
      </c>
    </row>
    <row r="16" spans="1:11" x14ac:dyDescent="0.25">
      <c r="A16" s="8"/>
      <c r="B16" s="5"/>
      <c r="C16" s="5"/>
      <c r="D16" s="41"/>
      <c r="E16" s="42"/>
      <c r="F16" s="42"/>
      <c r="G16" s="42"/>
      <c r="H16" s="44"/>
      <c r="I16" s="43"/>
      <c r="J16" s="42"/>
      <c r="K16" s="41"/>
    </row>
    <row r="17" spans="1:11" x14ac:dyDescent="0.25">
      <c r="A17" s="7" t="s">
        <v>6</v>
      </c>
      <c r="B17" s="7" t="s">
        <v>79</v>
      </c>
      <c r="C17" s="6" t="s">
        <v>17</v>
      </c>
      <c r="D17" s="45">
        <v>33800</v>
      </c>
      <c r="E17" s="46">
        <v>33800</v>
      </c>
      <c r="F17" s="46">
        <f t="shared" ref="F17:F37" si="0">H17-E17</f>
        <v>0</v>
      </c>
      <c r="G17" s="46"/>
      <c r="H17" s="47">
        <v>33800</v>
      </c>
      <c r="I17" s="48">
        <f t="shared" ref="I17:I37" si="1">H17/D17</f>
        <v>1</v>
      </c>
      <c r="J17" s="46">
        <f t="shared" ref="J17:J35" si="2">D17-H17</f>
        <v>0</v>
      </c>
      <c r="K17" s="45">
        <f t="shared" ref="K17:K24" si="3">0.05*H17</f>
        <v>1690</v>
      </c>
    </row>
    <row r="18" spans="1:11" x14ac:dyDescent="0.25">
      <c r="A18" s="7"/>
      <c r="B18" s="7" t="s">
        <v>72</v>
      </c>
      <c r="C18" s="6"/>
      <c r="D18" s="45">
        <v>8400</v>
      </c>
      <c r="E18" s="46">
        <v>8400</v>
      </c>
      <c r="F18" s="46">
        <f t="shared" si="0"/>
        <v>0</v>
      </c>
      <c r="G18" s="46"/>
      <c r="H18" s="47">
        <v>8400</v>
      </c>
      <c r="I18" s="48">
        <f t="shared" si="1"/>
        <v>1</v>
      </c>
      <c r="J18" s="46">
        <f t="shared" si="2"/>
        <v>0</v>
      </c>
      <c r="K18" s="45">
        <f t="shared" si="3"/>
        <v>420</v>
      </c>
    </row>
    <row r="19" spans="1:11" x14ac:dyDescent="0.25">
      <c r="A19" s="7" t="s">
        <v>62</v>
      </c>
      <c r="B19" s="50" t="s">
        <v>74</v>
      </c>
      <c r="C19" s="6" t="s">
        <v>17</v>
      </c>
      <c r="D19" s="46">
        <v>46400</v>
      </c>
      <c r="E19" s="46">
        <v>46400</v>
      </c>
      <c r="F19" s="46">
        <f t="shared" si="0"/>
        <v>0</v>
      </c>
      <c r="G19" s="46"/>
      <c r="H19" s="47">
        <v>46400</v>
      </c>
      <c r="I19" s="48">
        <f t="shared" si="1"/>
        <v>1</v>
      </c>
      <c r="J19" s="46">
        <f t="shared" si="2"/>
        <v>0</v>
      </c>
      <c r="K19" s="45">
        <f t="shared" si="3"/>
        <v>2320</v>
      </c>
    </row>
    <row r="20" spans="1:11" x14ac:dyDescent="0.25">
      <c r="A20" s="7" t="s">
        <v>78</v>
      </c>
      <c r="B20" s="7" t="s">
        <v>80</v>
      </c>
      <c r="C20" s="6" t="s">
        <v>17</v>
      </c>
      <c r="D20" s="45">
        <v>18700</v>
      </c>
      <c r="E20" s="46">
        <v>18700</v>
      </c>
      <c r="F20" s="46">
        <f t="shared" si="0"/>
        <v>0</v>
      </c>
      <c r="G20" s="46"/>
      <c r="H20" s="47">
        <v>18700</v>
      </c>
      <c r="I20" s="48">
        <f t="shared" si="1"/>
        <v>1</v>
      </c>
      <c r="J20" s="46">
        <f t="shared" si="2"/>
        <v>0</v>
      </c>
      <c r="K20" s="45">
        <f t="shared" si="3"/>
        <v>935</v>
      </c>
    </row>
    <row r="21" spans="1:11" x14ac:dyDescent="0.25">
      <c r="A21" s="7" t="s">
        <v>75</v>
      </c>
      <c r="B21" s="7" t="s">
        <v>76</v>
      </c>
      <c r="C21" s="6"/>
      <c r="D21" s="46">
        <v>87200</v>
      </c>
      <c r="E21" s="46">
        <v>83000</v>
      </c>
      <c r="F21" s="46">
        <f t="shared" si="0"/>
        <v>4200</v>
      </c>
      <c r="G21" s="46"/>
      <c r="H21" s="47">
        <v>87200</v>
      </c>
      <c r="I21" s="48">
        <f t="shared" si="1"/>
        <v>1</v>
      </c>
      <c r="J21" s="46">
        <f t="shared" si="2"/>
        <v>0</v>
      </c>
      <c r="K21" s="45">
        <f t="shared" si="3"/>
        <v>4360</v>
      </c>
    </row>
    <row r="22" spans="1:11" x14ac:dyDescent="0.25">
      <c r="A22" s="7" t="s">
        <v>78</v>
      </c>
      <c r="B22" s="7" t="s">
        <v>77</v>
      </c>
      <c r="C22" s="6"/>
      <c r="D22" s="46">
        <v>98450</v>
      </c>
      <c r="E22" s="46">
        <v>89000</v>
      </c>
      <c r="F22" s="46">
        <f t="shared" si="0"/>
        <v>9450</v>
      </c>
      <c r="G22" s="46"/>
      <c r="H22" s="47">
        <v>98450</v>
      </c>
      <c r="I22" s="48">
        <f t="shared" si="1"/>
        <v>1</v>
      </c>
      <c r="J22" s="46">
        <f t="shared" si="2"/>
        <v>0</v>
      </c>
      <c r="K22" s="45">
        <f t="shared" si="3"/>
        <v>4922.5</v>
      </c>
    </row>
    <row r="23" spans="1:11" x14ac:dyDescent="0.25">
      <c r="A23" s="7" t="s">
        <v>78</v>
      </c>
      <c r="B23" s="7" t="s">
        <v>63</v>
      </c>
      <c r="C23" s="6"/>
      <c r="D23" s="46">
        <v>12600</v>
      </c>
      <c r="E23" s="46">
        <v>12600</v>
      </c>
      <c r="F23" s="46">
        <f t="shared" si="0"/>
        <v>0</v>
      </c>
      <c r="G23" s="46"/>
      <c r="H23" s="47">
        <v>12600</v>
      </c>
      <c r="I23" s="48">
        <f t="shared" si="1"/>
        <v>1</v>
      </c>
      <c r="J23" s="46">
        <f t="shared" si="2"/>
        <v>0</v>
      </c>
      <c r="K23" s="45">
        <f t="shared" si="3"/>
        <v>630</v>
      </c>
    </row>
    <row r="24" spans="1:11" x14ac:dyDescent="0.25">
      <c r="A24" s="7" t="s">
        <v>78</v>
      </c>
      <c r="B24" s="7" t="s">
        <v>64</v>
      </c>
      <c r="C24" s="6"/>
      <c r="D24" s="46">
        <v>2400</v>
      </c>
      <c r="E24" s="46">
        <v>0</v>
      </c>
      <c r="F24" s="46">
        <f t="shared" si="0"/>
        <v>0</v>
      </c>
      <c r="G24" s="46"/>
      <c r="H24" s="47">
        <v>0</v>
      </c>
      <c r="I24" s="48">
        <f t="shared" si="1"/>
        <v>0</v>
      </c>
      <c r="J24" s="46">
        <f t="shared" si="2"/>
        <v>2400</v>
      </c>
      <c r="K24" s="45">
        <f t="shared" si="3"/>
        <v>0</v>
      </c>
    </row>
    <row r="25" spans="1:11" x14ac:dyDescent="0.25">
      <c r="A25" s="7" t="s">
        <v>55</v>
      </c>
      <c r="B25" s="7" t="s">
        <v>65</v>
      </c>
      <c r="C25" s="6"/>
      <c r="D25" s="46">
        <v>93800</v>
      </c>
      <c r="E25" s="46">
        <v>85000</v>
      </c>
      <c r="F25" s="46">
        <f t="shared" si="0"/>
        <v>8800</v>
      </c>
      <c r="G25" s="46"/>
      <c r="H25" s="47">
        <v>93800</v>
      </c>
      <c r="I25" s="48">
        <f t="shared" si="1"/>
        <v>1</v>
      </c>
      <c r="J25" s="46">
        <f t="shared" si="2"/>
        <v>0</v>
      </c>
      <c r="K25" s="45">
        <f t="shared" ref="K25:K33" si="4">0.05*H25</f>
        <v>4690</v>
      </c>
    </row>
    <row r="26" spans="1:11" x14ac:dyDescent="0.25">
      <c r="A26" s="7" t="s">
        <v>55</v>
      </c>
      <c r="B26" s="7" t="s">
        <v>66</v>
      </c>
      <c r="C26" s="6"/>
      <c r="D26" s="46">
        <v>13900</v>
      </c>
      <c r="E26" s="46">
        <v>13900</v>
      </c>
      <c r="F26" s="46">
        <f t="shared" si="0"/>
        <v>0</v>
      </c>
      <c r="G26" s="46"/>
      <c r="H26" s="47">
        <v>13900</v>
      </c>
      <c r="I26" s="48">
        <f t="shared" si="1"/>
        <v>1</v>
      </c>
      <c r="J26" s="46">
        <f t="shared" si="2"/>
        <v>0</v>
      </c>
      <c r="K26" s="45">
        <f t="shared" si="4"/>
        <v>695</v>
      </c>
    </row>
    <row r="27" spans="1:11" x14ac:dyDescent="0.25">
      <c r="A27" s="7" t="s">
        <v>55</v>
      </c>
      <c r="B27" s="7" t="s">
        <v>67</v>
      </c>
      <c r="C27" s="6"/>
      <c r="D27" s="46">
        <v>2700</v>
      </c>
      <c r="E27" s="46">
        <v>0</v>
      </c>
      <c r="F27" s="46">
        <f t="shared" si="0"/>
        <v>0</v>
      </c>
      <c r="G27" s="46"/>
      <c r="H27" s="47">
        <v>0</v>
      </c>
      <c r="I27" s="48">
        <f t="shared" si="1"/>
        <v>0</v>
      </c>
      <c r="J27" s="46">
        <f t="shared" si="2"/>
        <v>2700</v>
      </c>
      <c r="K27" s="45">
        <f t="shared" si="4"/>
        <v>0</v>
      </c>
    </row>
    <row r="28" spans="1:11" x14ac:dyDescent="0.25">
      <c r="A28" s="7" t="s">
        <v>56</v>
      </c>
      <c r="B28" s="7" t="s">
        <v>58</v>
      </c>
      <c r="C28" s="6"/>
      <c r="D28" s="46">
        <v>93800</v>
      </c>
      <c r="E28" s="46">
        <v>85000</v>
      </c>
      <c r="F28" s="46">
        <f t="shared" si="0"/>
        <v>8800</v>
      </c>
      <c r="G28" s="46"/>
      <c r="H28" s="47">
        <v>93800</v>
      </c>
      <c r="I28" s="48">
        <f t="shared" si="1"/>
        <v>1</v>
      </c>
      <c r="J28" s="46">
        <f t="shared" si="2"/>
        <v>0</v>
      </c>
      <c r="K28" s="45">
        <f t="shared" si="4"/>
        <v>4690</v>
      </c>
    </row>
    <row r="29" spans="1:11" x14ac:dyDescent="0.25">
      <c r="A29" s="7" t="s">
        <v>56</v>
      </c>
      <c r="B29" s="7" t="s">
        <v>68</v>
      </c>
      <c r="C29" s="6"/>
      <c r="D29" s="46">
        <v>13900</v>
      </c>
      <c r="E29" s="46">
        <v>13900</v>
      </c>
      <c r="F29" s="46">
        <f t="shared" si="0"/>
        <v>0</v>
      </c>
      <c r="G29" s="46"/>
      <c r="H29" s="47">
        <v>13900</v>
      </c>
      <c r="I29" s="48">
        <f t="shared" si="1"/>
        <v>1</v>
      </c>
      <c r="J29" s="46">
        <f t="shared" si="2"/>
        <v>0</v>
      </c>
      <c r="K29" s="45">
        <f t="shared" si="4"/>
        <v>695</v>
      </c>
    </row>
    <row r="30" spans="1:11" x14ac:dyDescent="0.25">
      <c r="A30" s="7" t="s">
        <v>56</v>
      </c>
      <c r="B30" s="7" t="s">
        <v>69</v>
      </c>
      <c r="C30" s="6"/>
      <c r="D30" s="46">
        <v>2700</v>
      </c>
      <c r="E30" s="46">
        <v>0</v>
      </c>
      <c r="F30" s="46">
        <f t="shared" si="0"/>
        <v>0</v>
      </c>
      <c r="G30" s="46"/>
      <c r="H30" s="47">
        <v>0</v>
      </c>
      <c r="I30" s="48">
        <f t="shared" si="1"/>
        <v>0</v>
      </c>
      <c r="J30" s="46">
        <f t="shared" si="2"/>
        <v>2700</v>
      </c>
      <c r="K30" s="45">
        <f t="shared" si="4"/>
        <v>0</v>
      </c>
    </row>
    <row r="31" spans="1:11" x14ac:dyDescent="0.25">
      <c r="A31" s="7" t="s">
        <v>57</v>
      </c>
      <c r="B31" s="7" t="s">
        <v>59</v>
      </c>
      <c r="C31" s="6"/>
      <c r="D31" s="46">
        <v>93800</v>
      </c>
      <c r="E31" s="46">
        <v>85000</v>
      </c>
      <c r="F31" s="46">
        <f t="shared" si="0"/>
        <v>8800</v>
      </c>
      <c r="G31" s="46"/>
      <c r="H31" s="47">
        <v>93800</v>
      </c>
      <c r="I31" s="48">
        <f t="shared" si="1"/>
        <v>1</v>
      </c>
      <c r="J31" s="46">
        <f t="shared" si="2"/>
        <v>0</v>
      </c>
      <c r="K31" s="45">
        <f t="shared" si="4"/>
        <v>4690</v>
      </c>
    </row>
    <row r="32" spans="1:11" x14ac:dyDescent="0.25">
      <c r="A32" s="7" t="s">
        <v>57</v>
      </c>
      <c r="B32" s="7" t="s">
        <v>70</v>
      </c>
      <c r="C32" s="6"/>
      <c r="D32" s="46">
        <v>13900</v>
      </c>
      <c r="E32" s="46">
        <v>13900</v>
      </c>
      <c r="F32" s="46">
        <f t="shared" si="0"/>
        <v>0</v>
      </c>
      <c r="G32" s="46"/>
      <c r="H32" s="47">
        <v>13900</v>
      </c>
      <c r="I32" s="48">
        <f t="shared" si="1"/>
        <v>1</v>
      </c>
      <c r="J32" s="46">
        <f t="shared" si="2"/>
        <v>0</v>
      </c>
      <c r="K32" s="45">
        <f t="shared" si="4"/>
        <v>695</v>
      </c>
    </row>
    <row r="33" spans="1:11" x14ac:dyDescent="0.25">
      <c r="A33" s="7" t="s">
        <v>57</v>
      </c>
      <c r="B33" s="7" t="s">
        <v>71</v>
      </c>
      <c r="C33" s="6"/>
      <c r="D33" s="46">
        <v>2700</v>
      </c>
      <c r="E33" s="46">
        <v>0</v>
      </c>
      <c r="F33" s="46">
        <f t="shared" si="0"/>
        <v>0</v>
      </c>
      <c r="G33" s="46"/>
      <c r="H33" s="47">
        <v>0</v>
      </c>
      <c r="I33" s="48">
        <f t="shared" si="1"/>
        <v>0</v>
      </c>
      <c r="J33" s="46">
        <f t="shared" si="2"/>
        <v>2700</v>
      </c>
      <c r="K33" s="45">
        <f t="shared" si="4"/>
        <v>0</v>
      </c>
    </row>
    <row r="34" spans="1:11" x14ac:dyDescent="0.25">
      <c r="A34" s="7" t="s">
        <v>78</v>
      </c>
      <c r="B34" s="7" t="s">
        <v>81</v>
      </c>
      <c r="C34" s="6"/>
      <c r="D34" s="46">
        <v>41300</v>
      </c>
      <c r="E34" s="46">
        <v>0</v>
      </c>
      <c r="F34" s="46">
        <f t="shared" si="0"/>
        <v>0</v>
      </c>
      <c r="G34" s="46"/>
      <c r="H34" s="47">
        <v>0</v>
      </c>
      <c r="I34" s="48">
        <f t="shared" si="1"/>
        <v>0</v>
      </c>
      <c r="J34" s="46">
        <f t="shared" si="2"/>
        <v>41300</v>
      </c>
      <c r="K34" s="45">
        <f>0.05*H34</f>
        <v>0</v>
      </c>
    </row>
    <row r="35" spans="1:11" x14ac:dyDescent="0.25">
      <c r="A35" s="7" t="s">
        <v>55</v>
      </c>
      <c r="B35" s="7" t="s">
        <v>82</v>
      </c>
      <c r="C35" s="6"/>
      <c r="D35" s="46">
        <v>44200</v>
      </c>
      <c r="E35" s="46">
        <v>0</v>
      </c>
      <c r="F35" s="46">
        <f t="shared" si="0"/>
        <v>0</v>
      </c>
      <c r="G35" s="46"/>
      <c r="H35" s="47">
        <v>0</v>
      </c>
      <c r="I35" s="48">
        <f t="shared" si="1"/>
        <v>0</v>
      </c>
      <c r="J35" s="46">
        <f t="shared" si="2"/>
        <v>44200</v>
      </c>
      <c r="K35" s="45">
        <f>0.05*H35</f>
        <v>0</v>
      </c>
    </row>
    <row r="36" spans="1:11" x14ac:dyDescent="0.25">
      <c r="A36" s="7" t="s">
        <v>56</v>
      </c>
      <c r="B36" s="7" t="s">
        <v>83</v>
      </c>
      <c r="C36" s="6"/>
      <c r="D36" s="46">
        <v>44200</v>
      </c>
      <c r="E36" s="46">
        <v>0</v>
      </c>
      <c r="F36" s="46">
        <f t="shared" si="0"/>
        <v>0</v>
      </c>
      <c r="G36" s="46"/>
      <c r="H36" s="47">
        <v>0</v>
      </c>
      <c r="I36" s="48">
        <f t="shared" si="1"/>
        <v>0</v>
      </c>
      <c r="J36" s="46">
        <f t="shared" ref="J36:J51" si="5">D36-H36</f>
        <v>44200</v>
      </c>
      <c r="K36" s="45">
        <f t="shared" ref="K36:K51" si="6">0.05*H36</f>
        <v>0</v>
      </c>
    </row>
    <row r="37" spans="1:11" x14ac:dyDescent="0.25">
      <c r="A37" s="7" t="s">
        <v>57</v>
      </c>
      <c r="B37" s="7" t="s">
        <v>84</v>
      </c>
      <c r="C37" s="6"/>
      <c r="D37" s="46">
        <v>44200</v>
      </c>
      <c r="E37" s="46">
        <v>0</v>
      </c>
      <c r="F37" s="46">
        <f t="shared" si="0"/>
        <v>0</v>
      </c>
      <c r="G37" s="46"/>
      <c r="H37" s="47">
        <v>0</v>
      </c>
      <c r="I37" s="48">
        <f t="shared" si="1"/>
        <v>0</v>
      </c>
      <c r="J37" s="46">
        <f t="shared" si="5"/>
        <v>44200</v>
      </c>
      <c r="K37" s="45">
        <f t="shared" si="6"/>
        <v>0</v>
      </c>
    </row>
    <row r="38" spans="1:11" x14ac:dyDescent="0.25">
      <c r="A38" s="7"/>
      <c r="B38" s="7"/>
      <c r="C38" s="6"/>
      <c r="D38" s="46"/>
      <c r="E38" s="46"/>
      <c r="F38" s="46"/>
      <c r="G38" s="46"/>
      <c r="H38" s="47"/>
      <c r="I38" s="48"/>
      <c r="J38" s="46"/>
      <c r="K38" s="45"/>
    </row>
    <row r="39" spans="1:11" ht="13.8" x14ac:dyDescent="0.25">
      <c r="A39" s="57" t="s">
        <v>21</v>
      </c>
      <c r="B39" s="58"/>
      <c r="C39" s="6"/>
      <c r="D39" s="42">
        <f>SUM(D17:D38)</f>
        <v>813050</v>
      </c>
      <c r="E39" s="42">
        <f>SUM(E17:E38)</f>
        <v>588600</v>
      </c>
      <c r="F39" s="42">
        <f>SUM(F17:F38)</f>
        <v>40050</v>
      </c>
      <c r="G39" s="42">
        <f>SUM(G17:G38)</f>
        <v>0</v>
      </c>
      <c r="H39" s="42">
        <f>SUM(H17:H38)</f>
        <v>628650</v>
      </c>
      <c r="I39" s="49"/>
      <c r="J39" s="42">
        <f>SUM(J17:J38)</f>
        <v>184400</v>
      </c>
      <c r="K39" s="42">
        <f>SUM(K17:K38)</f>
        <v>31432.5</v>
      </c>
    </row>
    <row r="40" spans="1:11" x14ac:dyDescent="0.25">
      <c r="A40" s="25" t="s">
        <v>44</v>
      </c>
      <c r="B40" s="5" t="s">
        <v>18</v>
      </c>
      <c r="C40" s="6"/>
      <c r="D40" s="46"/>
      <c r="E40" s="46"/>
      <c r="F40" s="46"/>
      <c r="G40" s="46"/>
      <c r="H40" s="47"/>
      <c r="I40" s="48"/>
      <c r="J40" s="46"/>
      <c r="K40" s="45"/>
    </row>
    <row r="41" spans="1:11" x14ac:dyDescent="0.25">
      <c r="A41" s="19" t="s">
        <v>41</v>
      </c>
      <c r="B41" s="55" t="s">
        <v>85</v>
      </c>
      <c r="C41" s="8"/>
      <c r="D41" s="46">
        <v>25400</v>
      </c>
      <c r="E41" s="46">
        <v>25400</v>
      </c>
      <c r="F41" s="46">
        <f t="shared" ref="F41:F51" si="7">H41-E41</f>
        <v>0</v>
      </c>
      <c r="G41" s="42"/>
      <c r="H41" s="47">
        <v>25400</v>
      </c>
      <c r="I41" s="48">
        <f t="shared" ref="I41:I51" si="8">H41/D41</f>
        <v>1</v>
      </c>
      <c r="J41" s="46">
        <f t="shared" si="5"/>
        <v>0</v>
      </c>
      <c r="K41" s="45">
        <f t="shared" si="6"/>
        <v>1270</v>
      </c>
    </row>
    <row r="42" spans="1:11" x14ac:dyDescent="0.25">
      <c r="A42" s="19" t="s">
        <v>42</v>
      </c>
      <c r="B42" s="21" t="s">
        <v>86</v>
      </c>
      <c r="C42" s="6"/>
      <c r="D42" s="46">
        <v>959</v>
      </c>
      <c r="E42" s="46">
        <v>0</v>
      </c>
      <c r="F42" s="46">
        <f t="shared" si="7"/>
        <v>959</v>
      </c>
      <c r="G42" s="46"/>
      <c r="H42" s="47">
        <v>959</v>
      </c>
      <c r="I42" s="48">
        <f t="shared" si="8"/>
        <v>1</v>
      </c>
      <c r="J42" s="46">
        <f t="shared" si="5"/>
        <v>0</v>
      </c>
      <c r="K42" s="45">
        <f t="shared" si="6"/>
        <v>47.95</v>
      </c>
    </row>
    <row r="43" spans="1:11" x14ac:dyDescent="0.25">
      <c r="A43" s="19" t="s">
        <v>43</v>
      </c>
      <c r="B43" s="21" t="s">
        <v>6</v>
      </c>
      <c r="C43" s="6"/>
      <c r="D43" s="46">
        <v>0</v>
      </c>
      <c r="E43" s="46">
        <v>0</v>
      </c>
      <c r="F43" s="46">
        <f t="shared" si="7"/>
        <v>0</v>
      </c>
      <c r="G43" s="46"/>
      <c r="H43" s="47">
        <v>0</v>
      </c>
      <c r="I43" s="48" t="e">
        <f t="shared" si="8"/>
        <v>#DIV/0!</v>
      </c>
      <c r="J43" s="46">
        <f t="shared" si="5"/>
        <v>0</v>
      </c>
      <c r="K43" s="45">
        <f t="shared" si="6"/>
        <v>0</v>
      </c>
    </row>
    <row r="44" spans="1:11" x14ac:dyDescent="0.25">
      <c r="A44" s="19" t="s">
        <v>45</v>
      </c>
      <c r="B44" s="21" t="s">
        <v>6</v>
      </c>
      <c r="C44" s="6"/>
      <c r="D44" s="46">
        <v>0</v>
      </c>
      <c r="E44" s="46">
        <v>0</v>
      </c>
      <c r="F44" s="46">
        <f t="shared" si="7"/>
        <v>0</v>
      </c>
      <c r="G44" s="46"/>
      <c r="H44" s="47">
        <v>0</v>
      </c>
      <c r="I44" s="48" t="e">
        <f t="shared" si="8"/>
        <v>#DIV/0!</v>
      </c>
      <c r="J44" s="46">
        <f t="shared" si="5"/>
        <v>0</v>
      </c>
      <c r="K44" s="45">
        <f t="shared" si="6"/>
        <v>0</v>
      </c>
    </row>
    <row r="45" spans="1:11" x14ac:dyDescent="0.25">
      <c r="A45" s="19" t="s">
        <v>46</v>
      </c>
      <c r="B45" s="21" t="s">
        <v>6</v>
      </c>
      <c r="C45" s="6"/>
      <c r="D45" s="46">
        <v>0</v>
      </c>
      <c r="E45" s="46">
        <v>0</v>
      </c>
      <c r="F45" s="46">
        <f t="shared" si="7"/>
        <v>0</v>
      </c>
      <c r="G45" s="46"/>
      <c r="H45" s="47">
        <v>0</v>
      </c>
      <c r="I45" s="48" t="e">
        <f t="shared" si="8"/>
        <v>#DIV/0!</v>
      </c>
      <c r="J45" s="46">
        <f t="shared" si="5"/>
        <v>0</v>
      </c>
      <c r="K45" s="45">
        <f t="shared" si="6"/>
        <v>0</v>
      </c>
    </row>
    <row r="46" spans="1:11" x14ac:dyDescent="0.25">
      <c r="A46" s="19" t="s">
        <v>47</v>
      </c>
      <c r="B46" s="19" t="s">
        <v>6</v>
      </c>
      <c r="C46" s="6"/>
      <c r="D46" s="46">
        <v>0</v>
      </c>
      <c r="E46" s="46">
        <v>0</v>
      </c>
      <c r="F46" s="46">
        <f t="shared" si="7"/>
        <v>0</v>
      </c>
      <c r="G46" s="46"/>
      <c r="H46" s="47">
        <v>0</v>
      </c>
      <c r="I46" s="48" t="e">
        <f t="shared" si="8"/>
        <v>#DIV/0!</v>
      </c>
      <c r="J46" s="46">
        <f t="shared" si="5"/>
        <v>0</v>
      </c>
      <c r="K46" s="45">
        <f t="shared" si="6"/>
        <v>0</v>
      </c>
    </row>
    <row r="47" spans="1:11" ht="12" customHeight="1" x14ac:dyDescent="0.25">
      <c r="A47" s="19" t="s">
        <v>48</v>
      </c>
      <c r="B47" s="19" t="s">
        <v>6</v>
      </c>
      <c r="C47" s="6"/>
      <c r="D47" s="46">
        <v>0</v>
      </c>
      <c r="E47" s="46">
        <v>0</v>
      </c>
      <c r="F47" s="46">
        <f t="shared" si="7"/>
        <v>0</v>
      </c>
      <c r="G47" s="46"/>
      <c r="H47" s="47">
        <v>0</v>
      </c>
      <c r="I47" s="48" t="e">
        <f t="shared" si="8"/>
        <v>#DIV/0!</v>
      </c>
      <c r="J47" s="46">
        <f t="shared" si="5"/>
        <v>0</v>
      </c>
      <c r="K47" s="45">
        <f t="shared" si="6"/>
        <v>0</v>
      </c>
    </row>
    <row r="48" spans="1:11" ht="12" customHeight="1" x14ac:dyDescent="0.25">
      <c r="A48" s="19" t="s">
        <v>49</v>
      </c>
      <c r="B48" s="19" t="s">
        <v>6</v>
      </c>
      <c r="C48" s="6"/>
      <c r="D48" s="46">
        <v>0</v>
      </c>
      <c r="E48" s="46">
        <v>0</v>
      </c>
      <c r="F48" s="46">
        <f t="shared" si="7"/>
        <v>0</v>
      </c>
      <c r="G48" s="46"/>
      <c r="H48" s="47">
        <v>0</v>
      </c>
      <c r="I48" s="48" t="e">
        <f t="shared" si="8"/>
        <v>#DIV/0!</v>
      </c>
      <c r="J48" s="46">
        <f t="shared" si="5"/>
        <v>0</v>
      </c>
      <c r="K48" s="45">
        <f t="shared" si="6"/>
        <v>0</v>
      </c>
    </row>
    <row r="49" spans="1:11" ht="12" customHeight="1" x14ac:dyDescent="0.25">
      <c r="A49" s="19" t="s">
        <v>50</v>
      </c>
      <c r="B49" s="19" t="s">
        <v>6</v>
      </c>
      <c r="C49" s="6"/>
      <c r="D49" s="46">
        <v>0</v>
      </c>
      <c r="E49" s="46">
        <v>0</v>
      </c>
      <c r="F49" s="46">
        <f t="shared" si="7"/>
        <v>0</v>
      </c>
      <c r="G49" s="46"/>
      <c r="H49" s="47">
        <v>0</v>
      </c>
      <c r="I49" s="48" t="e">
        <f t="shared" si="8"/>
        <v>#DIV/0!</v>
      </c>
      <c r="J49" s="46">
        <f t="shared" si="5"/>
        <v>0</v>
      </c>
      <c r="K49" s="45">
        <f t="shared" si="6"/>
        <v>0</v>
      </c>
    </row>
    <row r="50" spans="1:11" ht="12" customHeight="1" x14ac:dyDescent="0.25">
      <c r="A50" s="19" t="s">
        <v>51</v>
      </c>
      <c r="B50" s="19" t="s">
        <v>6</v>
      </c>
      <c r="C50" s="6"/>
      <c r="D50" s="46">
        <v>0</v>
      </c>
      <c r="E50" s="46">
        <v>0</v>
      </c>
      <c r="F50" s="46">
        <f t="shared" si="7"/>
        <v>0</v>
      </c>
      <c r="G50" s="46"/>
      <c r="H50" s="47">
        <v>0</v>
      </c>
      <c r="I50" s="48" t="e">
        <f t="shared" si="8"/>
        <v>#DIV/0!</v>
      </c>
      <c r="J50" s="46">
        <f t="shared" si="5"/>
        <v>0</v>
      </c>
      <c r="K50" s="45">
        <f t="shared" si="6"/>
        <v>0</v>
      </c>
    </row>
    <row r="51" spans="1:11" x14ac:dyDescent="0.25">
      <c r="A51" s="20"/>
      <c r="B51" s="20"/>
      <c r="C51" s="20"/>
      <c r="D51" s="46">
        <v>0</v>
      </c>
      <c r="E51" s="46">
        <v>0</v>
      </c>
      <c r="F51" s="46">
        <f t="shared" si="7"/>
        <v>0</v>
      </c>
      <c r="G51" s="45"/>
      <c r="H51" s="47">
        <v>0</v>
      </c>
      <c r="I51" s="48" t="e">
        <f t="shared" si="8"/>
        <v>#DIV/0!</v>
      </c>
      <c r="J51" s="46">
        <f t="shared" si="5"/>
        <v>0</v>
      </c>
      <c r="K51" s="45">
        <f t="shared" si="6"/>
        <v>0</v>
      </c>
    </row>
    <row r="52" spans="1:11" ht="13.8" x14ac:dyDescent="0.25">
      <c r="A52" s="56">
        <f>SUM(D41:D51)</f>
        <v>26359</v>
      </c>
      <c r="B52" s="53" t="s">
        <v>22</v>
      </c>
      <c r="C52" s="54"/>
      <c r="D52" s="42">
        <f>SUM(D39:D51)</f>
        <v>839409</v>
      </c>
      <c r="E52" s="42">
        <f>SUM(E39:E51)</f>
        <v>614000</v>
      </c>
      <c r="F52" s="42">
        <f>SUM(F39:F51)</f>
        <v>41009</v>
      </c>
      <c r="G52" s="42">
        <f>SUM(G39:G51)</f>
        <v>0</v>
      </c>
      <c r="H52" s="42">
        <f>SUM(H39:H51)</f>
        <v>655009</v>
      </c>
      <c r="I52" s="49"/>
      <c r="J52" s="42">
        <f>SUM(J39:J51)</f>
        <v>184400</v>
      </c>
      <c r="K52" s="42">
        <f>SUM(K39:K51)</f>
        <v>32750.45</v>
      </c>
    </row>
    <row r="53" spans="1:11" x14ac:dyDescent="0.25">
      <c r="I53" s="2"/>
    </row>
    <row r="54" spans="1:11" x14ac:dyDescent="0.25">
      <c r="I54" s="2"/>
    </row>
    <row r="55" spans="1:11" x14ac:dyDescent="0.25">
      <c r="C55" s="9"/>
      <c r="I55" s="2"/>
    </row>
    <row r="56" spans="1:11" x14ac:dyDescent="0.25">
      <c r="I56" s="2"/>
    </row>
    <row r="57" spans="1:11" x14ac:dyDescent="0.25">
      <c r="I57" s="2"/>
    </row>
    <row r="58" spans="1:11" x14ac:dyDescent="0.25">
      <c r="I58" s="2"/>
    </row>
    <row r="59" spans="1:11" x14ac:dyDescent="0.25">
      <c r="I59" s="2"/>
    </row>
    <row r="60" spans="1:11" x14ac:dyDescent="0.25">
      <c r="I60" s="2"/>
    </row>
    <row r="61" spans="1:11" x14ac:dyDescent="0.25">
      <c r="I61" s="2"/>
    </row>
    <row r="62" spans="1:11" x14ac:dyDescent="0.25">
      <c r="I62" s="2"/>
    </row>
    <row r="63" spans="1:11" x14ac:dyDescent="0.25">
      <c r="I63" s="2"/>
    </row>
    <row r="64" spans="1:11" x14ac:dyDescent="0.25">
      <c r="I64" s="2"/>
    </row>
    <row r="65" spans="9:9" x14ac:dyDescent="0.25">
      <c r="I65" s="2"/>
    </row>
    <row r="66" spans="9:9" x14ac:dyDescent="0.25">
      <c r="I66" s="2"/>
    </row>
    <row r="67" spans="9:9" x14ac:dyDescent="0.25">
      <c r="I67" s="2"/>
    </row>
    <row r="68" spans="9:9" x14ac:dyDescent="0.25">
      <c r="I68" s="2"/>
    </row>
    <row r="69" spans="9:9" x14ac:dyDescent="0.25">
      <c r="I69" s="2"/>
    </row>
    <row r="70" spans="9:9" x14ac:dyDescent="0.25">
      <c r="I70" s="2"/>
    </row>
    <row r="71" spans="9:9" x14ac:dyDescent="0.25">
      <c r="I71" s="2"/>
    </row>
    <row r="72" spans="9:9" x14ac:dyDescent="0.25">
      <c r="I72" s="2"/>
    </row>
    <row r="73" spans="9:9" x14ac:dyDescent="0.25">
      <c r="I73" s="2"/>
    </row>
    <row r="74" spans="9:9" x14ac:dyDescent="0.25">
      <c r="I74" s="2"/>
    </row>
    <row r="75" spans="9:9" x14ac:dyDescent="0.25">
      <c r="I75" s="2"/>
    </row>
    <row r="76" spans="9:9" x14ac:dyDescent="0.25">
      <c r="I76" s="2"/>
    </row>
    <row r="77" spans="9:9" x14ac:dyDescent="0.25">
      <c r="I77" s="2"/>
    </row>
    <row r="78" spans="9:9" x14ac:dyDescent="0.25">
      <c r="I78" s="2"/>
    </row>
    <row r="79" spans="9:9" x14ac:dyDescent="0.25">
      <c r="I79" s="2"/>
    </row>
    <row r="80" spans="9:9" x14ac:dyDescent="0.25">
      <c r="I80" s="2"/>
    </row>
    <row r="81" spans="9:9" x14ac:dyDescent="0.25">
      <c r="I81" s="2"/>
    </row>
    <row r="82" spans="9:9" x14ac:dyDescent="0.25">
      <c r="I82" s="2"/>
    </row>
    <row r="83" spans="9:9" x14ac:dyDescent="0.25">
      <c r="I83" s="2"/>
    </row>
    <row r="84" spans="9:9" x14ac:dyDescent="0.25">
      <c r="I84" s="2"/>
    </row>
    <row r="85" spans="9:9" x14ac:dyDescent="0.25">
      <c r="I85" s="2"/>
    </row>
    <row r="86" spans="9:9" x14ac:dyDescent="0.25">
      <c r="I86" s="2"/>
    </row>
    <row r="87" spans="9:9" x14ac:dyDescent="0.25">
      <c r="I87" s="2"/>
    </row>
    <row r="88" spans="9:9" x14ac:dyDescent="0.25">
      <c r="I88" s="2"/>
    </row>
    <row r="89" spans="9:9" x14ac:dyDescent="0.25">
      <c r="I89" s="2"/>
    </row>
    <row r="90" spans="9:9" x14ac:dyDescent="0.25">
      <c r="I90" s="2"/>
    </row>
    <row r="91" spans="9:9" x14ac:dyDescent="0.25">
      <c r="I91" s="2"/>
    </row>
    <row r="92" spans="9:9" x14ac:dyDescent="0.25">
      <c r="I92" s="2"/>
    </row>
    <row r="93" spans="9:9" x14ac:dyDescent="0.25">
      <c r="I93" s="2"/>
    </row>
    <row r="94" spans="9:9" x14ac:dyDescent="0.25">
      <c r="I94" s="2"/>
    </row>
    <row r="95" spans="9:9" x14ac:dyDescent="0.25">
      <c r="I95" s="2"/>
    </row>
    <row r="96" spans="9:9" x14ac:dyDescent="0.25">
      <c r="I96" s="2"/>
    </row>
    <row r="97" spans="9:9" x14ac:dyDescent="0.25">
      <c r="I97" s="2"/>
    </row>
    <row r="98" spans="9:9" x14ac:dyDescent="0.25">
      <c r="I98" s="2"/>
    </row>
    <row r="99" spans="9:9" x14ac:dyDescent="0.25">
      <c r="I99" s="2"/>
    </row>
    <row r="100" spans="9:9" x14ac:dyDescent="0.25">
      <c r="I100" s="2"/>
    </row>
    <row r="101" spans="9:9" x14ac:dyDescent="0.25">
      <c r="I101" s="2"/>
    </row>
    <row r="102" spans="9:9" x14ac:dyDescent="0.25">
      <c r="I102" s="2"/>
    </row>
    <row r="103" spans="9:9" x14ac:dyDescent="0.25">
      <c r="I103" s="2"/>
    </row>
    <row r="104" spans="9:9" x14ac:dyDescent="0.25">
      <c r="I104" s="2"/>
    </row>
    <row r="105" spans="9:9" x14ac:dyDescent="0.25">
      <c r="I105" s="2"/>
    </row>
    <row r="106" spans="9:9" x14ac:dyDescent="0.25">
      <c r="I106" s="2"/>
    </row>
    <row r="107" spans="9:9" x14ac:dyDescent="0.25">
      <c r="I107" s="2"/>
    </row>
    <row r="108" spans="9:9" x14ac:dyDescent="0.25">
      <c r="I108" s="2"/>
    </row>
    <row r="109" spans="9:9" x14ac:dyDescent="0.25">
      <c r="I109" s="2"/>
    </row>
    <row r="110" spans="9:9" x14ac:dyDescent="0.25">
      <c r="I110" s="2"/>
    </row>
    <row r="111" spans="9:9" x14ac:dyDescent="0.25">
      <c r="I111" s="2"/>
    </row>
    <row r="112" spans="9:9" x14ac:dyDescent="0.25">
      <c r="I112" s="2"/>
    </row>
    <row r="113" spans="9:9" x14ac:dyDescent="0.25">
      <c r="I113" s="2"/>
    </row>
    <row r="114" spans="9:9" x14ac:dyDescent="0.25">
      <c r="I114" s="2"/>
    </row>
    <row r="115" spans="9:9" x14ac:dyDescent="0.25">
      <c r="I115" s="2"/>
    </row>
    <row r="116" spans="9:9" x14ac:dyDescent="0.25">
      <c r="I116" s="2"/>
    </row>
    <row r="117" spans="9:9" x14ac:dyDescent="0.25">
      <c r="I117" s="2"/>
    </row>
    <row r="118" spans="9:9" x14ac:dyDescent="0.25">
      <c r="I118" s="2"/>
    </row>
    <row r="119" spans="9:9" x14ac:dyDescent="0.25">
      <c r="I119" s="2"/>
    </row>
    <row r="120" spans="9:9" x14ac:dyDescent="0.25">
      <c r="I120" s="2"/>
    </row>
    <row r="121" spans="9:9" x14ac:dyDescent="0.25">
      <c r="I121" s="2"/>
    </row>
    <row r="122" spans="9:9" x14ac:dyDescent="0.25">
      <c r="I122" s="2"/>
    </row>
    <row r="123" spans="9:9" x14ac:dyDescent="0.25">
      <c r="I123" s="2"/>
    </row>
    <row r="124" spans="9:9" x14ac:dyDescent="0.25">
      <c r="I124" s="2"/>
    </row>
    <row r="125" spans="9:9" x14ac:dyDescent="0.25">
      <c r="I125" s="2"/>
    </row>
    <row r="126" spans="9:9" x14ac:dyDescent="0.25">
      <c r="I126" s="2"/>
    </row>
    <row r="127" spans="9:9" x14ac:dyDescent="0.25">
      <c r="I127" s="2"/>
    </row>
    <row r="128" spans="9:9" x14ac:dyDescent="0.25">
      <c r="I128" s="2"/>
    </row>
    <row r="129" spans="9:9" x14ac:dyDescent="0.25">
      <c r="I129" s="2"/>
    </row>
    <row r="130" spans="9:9" x14ac:dyDescent="0.25">
      <c r="I130" s="2"/>
    </row>
    <row r="131" spans="9:9" x14ac:dyDescent="0.25">
      <c r="I131" s="2"/>
    </row>
    <row r="132" spans="9:9" x14ac:dyDescent="0.25">
      <c r="I132" s="2"/>
    </row>
    <row r="133" spans="9:9" x14ac:dyDescent="0.25">
      <c r="I133" s="2"/>
    </row>
    <row r="134" spans="9:9" x14ac:dyDescent="0.25">
      <c r="I134" s="2"/>
    </row>
    <row r="135" spans="9:9" x14ac:dyDescent="0.25">
      <c r="I135" s="2"/>
    </row>
    <row r="136" spans="9:9" x14ac:dyDescent="0.25">
      <c r="I136" s="2"/>
    </row>
    <row r="137" spans="9:9" x14ac:dyDescent="0.25">
      <c r="I137" s="2"/>
    </row>
    <row r="138" spans="9:9" x14ac:dyDescent="0.25">
      <c r="I138" s="2"/>
    </row>
    <row r="139" spans="9:9" x14ac:dyDescent="0.25">
      <c r="I139" s="2"/>
    </row>
    <row r="140" spans="9:9" x14ac:dyDescent="0.25">
      <c r="I140" s="2"/>
    </row>
    <row r="141" spans="9:9" x14ac:dyDescent="0.25">
      <c r="I141" s="2"/>
    </row>
    <row r="142" spans="9:9" x14ac:dyDescent="0.25">
      <c r="I142" s="2"/>
    </row>
    <row r="143" spans="9:9" x14ac:dyDescent="0.25">
      <c r="I143" s="2"/>
    </row>
    <row r="144" spans="9:9" x14ac:dyDescent="0.25">
      <c r="I144" s="2"/>
    </row>
    <row r="145" spans="9:9" x14ac:dyDescent="0.25">
      <c r="I145" s="2"/>
    </row>
    <row r="146" spans="9:9" x14ac:dyDescent="0.25">
      <c r="I146" s="2"/>
    </row>
    <row r="147" spans="9:9" x14ac:dyDescent="0.25">
      <c r="I147" s="2"/>
    </row>
    <row r="148" spans="9:9" x14ac:dyDescent="0.25">
      <c r="I148" s="2"/>
    </row>
    <row r="149" spans="9:9" x14ac:dyDescent="0.25">
      <c r="I149" s="2"/>
    </row>
    <row r="150" spans="9:9" x14ac:dyDescent="0.25">
      <c r="I150" s="2"/>
    </row>
    <row r="151" spans="9:9" x14ac:dyDescent="0.25">
      <c r="I151" s="2"/>
    </row>
    <row r="152" spans="9:9" x14ac:dyDescent="0.25">
      <c r="I152" s="2"/>
    </row>
    <row r="153" spans="9:9" x14ac:dyDescent="0.25">
      <c r="I153" s="2"/>
    </row>
    <row r="154" spans="9:9" x14ac:dyDescent="0.25">
      <c r="I154" s="2"/>
    </row>
    <row r="155" spans="9:9" x14ac:dyDescent="0.25">
      <c r="I155" s="2"/>
    </row>
    <row r="156" spans="9:9" x14ac:dyDescent="0.25">
      <c r="I156" s="2"/>
    </row>
    <row r="157" spans="9:9" x14ac:dyDescent="0.25">
      <c r="I157" s="2"/>
    </row>
    <row r="158" spans="9:9" x14ac:dyDescent="0.25">
      <c r="I158" s="2"/>
    </row>
    <row r="159" spans="9:9" x14ac:dyDescent="0.25">
      <c r="I159" s="2"/>
    </row>
    <row r="160" spans="9:9" x14ac:dyDescent="0.25">
      <c r="I160" s="2"/>
    </row>
    <row r="161" spans="9:9" x14ac:dyDescent="0.25">
      <c r="I161" s="2"/>
    </row>
    <row r="162" spans="9:9" x14ac:dyDescent="0.25">
      <c r="I162" s="2"/>
    </row>
    <row r="163" spans="9:9" x14ac:dyDescent="0.25">
      <c r="I163" s="2"/>
    </row>
    <row r="164" spans="9:9" x14ac:dyDescent="0.25">
      <c r="I164" s="2"/>
    </row>
    <row r="165" spans="9:9" x14ac:dyDescent="0.25">
      <c r="I165" s="2"/>
    </row>
    <row r="166" spans="9:9" x14ac:dyDescent="0.25">
      <c r="I166" s="2"/>
    </row>
    <row r="167" spans="9:9" x14ac:dyDescent="0.25">
      <c r="I167" s="2"/>
    </row>
    <row r="168" spans="9:9" x14ac:dyDescent="0.25">
      <c r="I168" s="2"/>
    </row>
    <row r="169" spans="9:9" x14ac:dyDescent="0.25">
      <c r="I169" s="2"/>
    </row>
    <row r="170" spans="9:9" x14ac:dyDescent="0.25">
      <c r="I170" s="2"/>
    </row>
    <row r="171" spans="9:9" x14ac:dyDescent="0.25">
      <c r="I171" s="2"/>
    </row>
    <row r="172" spans="9:9" x14ac:dyDescent="0.25">
      <c r="I172" s="2"/>
    </row>
    <row r="173" spans="9:9" x14ac:dyDescent="0.25">
      <c r="I173" s="2"/>
    </row>
    <row r="174" spans="9:9" x14ac:dyDescent="0.25">
      <c r="I174" s="2"/>
    </row>
    <row r="175" spans="9:9" x14ac:dyDescent="0.25">
      <c r="I175" s="2"/>
    </row>
    <row r="176" spans="9:9" x14ac:dyDescent="0.25">
      <c r="I176" s="2"/>
    </row>
    <row r="177" spans="9:9" x14ac:dyDescent="0.25">
      <c r="I177" s="2"/>
    </row>
    <row r="178" spans="9:9" x14ac:dyDescent="0.25">
      <c r="I178" s="2"/>
    </row>
    <row r="179" spans="9:9" x14ac:dyDescent="0.25">
      <c r="I179" s="2"/>
    </row>
    <row r="180" spans="9:9" x14ac:dyDescent="0.25">
      <c r="I180" s="2"/>
    </row>
    <row r="181" spans="9:9" x14ac:dyDescent="0.25">
      <c r="I181" s="2"/>
    </row>
    <row r="182" spans="9:9" x14ac:dyDescent="0.25">
      <c r="I182" s="2"/>
    </row>
    <row r="183" spans="9:9" x14ac:dyDescent="0.25">
      <c r="I183" s="2"/>
    </row>
    <row r="184" spans="9:9" x14ac:dyDescent="0.25">
      <c r="I184" s="2"/>
    </row>
    <row r="185" spans="9:9" x14ac:dyDescent="0.25">
      <c r="I185" s="2"/>
    </row>
    <row r="186" spans="9:9" x14ac:dyDescent="0.25">
      <c r="I186" s="2"/>
    </row>
    <row r="187" spans="9:9" x14ac:dyDescent="0.25">
      <c r="I187" s="2"/>
    </row>
    <row r="188" spans="9:9" x14ac:dyDescent="0.25">
      <c r="I188" s="2"/>
    </row>
    <row r="189" spans="9:9" x14ac:dyDescent="0.25">
      <c r="I189" s="2"/>
    </row>
    <row r="190" spans="9:9" x14ac:dyDescent="0.25">
      <c r="I190" s="2"/>
    </row>
    <row r="191" spans="9:9" x14ac:dyDescent="0.25">
      <c r="I191" s="2"/>
    </row>
    <row r="192" spans="9:9" x14ac:dyDescent="0.25">
      <c r="I192" s="2"/>
    </row>
    <row r="193" spans="9:9" x14ac:dyDescent="0.25">
      <c r="I193" s="2"/>
    </row>
    <row r="194" spans="9:9" x14ac:dyDescent="0.25">
      <c r="I194" s="2"/>
    </row>
    <row r="195" spans="9:9" x14ac:dyDescent="0.25">
      <c r="I195" s="2"/>
    </row>
    <row r="196" spans="9:9" x14ac:dyDescent="0.25">
      <c r="I196" s="2"/>
    </row>
    <row r="197" spans="9:9" x14ac:dyDescent="0.25">
      <c r="I197" s="2"/>
    </row>
    <row r="198" spans="9:9" x14ac:dyDescent="0.25">
      <c r="I198" s="2"/>
    </row>
    <row r="199" spans="9:9" x14ac:dyDescent="0.25">
      <c r="I199" s="2"/>
    </row>
    <row r="200" spans="9:9" x14ac:dyDescent="0.25">
      <c r="I200" s="2"/>
    </row>
    <row r="201" spans="9:9" x14ac:dyDescent="0.25">
      <c r="I201" s="2"/>
    </row>
    <row r="202" spans="9:9" x14ac:dyDescent="0.25">
      <c r="I202" s="2"/>
    </row>
    <row r="203" spans="9:9" x14ac:dyDescent="0.25">
      <c r="I203" s="2"/>
    </row>
    <row r="204" spans="9:9" x14ac:dyDescent="0.25">
      <c r="I204" s="2"/>
    </row>
    <row r="205" spans="9:9" x14ac:dyDescent="0.25">
      <c r="I205" s="2"/>
    </row>
    <row r="206" spans="9:9" x14ac:dyDescent="0.25">
      <c r="I206" s="2"/>
    </row>
    <row r="207" spans="9:9" x14ac:dyDescent="0.25">
      <c r="I207" s="2"/>
    </row>
    <row r="208" spans="9:9" x14ac:dyDescent="0.25">
      <c r="I208" s="2"/>
    </row>
    <row r="209" spans="9:9" x14ac:dyDescent="0.25">
      <c r="I209" s="2"/>
    </row>
    <row r="210" spans="9:9" x14ac:dyDescent="0.25">
      <c r="I210" s="2"/>
    </row>
    <row r="211" spans="9:9" x14ac:dyDescent="0.25">
      <c r="I211" s="2"/>
    </row>
    <row r="212" spans="9:9" x14ac:dyDescent="0.25">
      <c r="I212" s="2"/>
    </row>
    <row r="213" spans="9:9" x14ac:dyDescent="0.25">
      <c r="I213" s="2"/>
    </row>
    <row r="214" spans="9:9" x14ac:dyDescent="0.25">
      <c r="I214" s="2"/>
    </row>
    <row r="215" spans="9:9" x14ac:dyDescent="0.25">
      <c r="I215" s="2"/>
    </row>
    <row r="216" spans="9:9" x14ac:dyDescent="0.25">
      <c r="I216" s="2"/>
    </row>
    <row r="217" spans="9:9" x14ac:dyDescent="0.25">
      <c r="I217" s="2"/>
    </row>
    <row r="218" spans="9:9" x14ac:dyDescent="0.25">
      <c r="I218" s="2"/>
    </row>
    <row r="219" spans="9:9" x14ac:dyDescent="0.25">
      <c r="I219" s="2"/>
    </row>
    <row r="220" spans="9:9" x14ac:dyDescent="0.25">
      <c r="I220" s="2"/>
    </row>
    <row r="221" spans="9:9" x14ac:dyDescent="0.25">
      <c r="I221" s="2"/>
    </row>
    <row r="222" spans="9:9" x14ac:dyDescent="0.25">
      <c r="I222" s="2"/>
    </row>
    <row r="223" spans="9:9" x14ac:dyDescent="0.25">
      <c r="I223" s="2"/>
    </row>
    <row r="224" spans="9:9" x14ac:dyDescent="0.25">
      <c r="I224" s="2"/>
    </row>
    <row r="225" spans="9:9" x14ac:dyDescent="0.25">
      <c r="I225" s="2"/>
    </row>
    <row r="226" spans="9:9" x14ac:dyDescent="0.25">
      <c r="I226" s="2"/>
    </row>
    <row r="227" spans="9:9" x14ac:dyDescent="0.25">
      <c r="I227" s="2"/>
    </row>
    <row r="228" spans="9:9" x14ac:dyDescent="0.25">
      <c r="I228" s="2"/>
    </row>
    <row r="229" spans="9:9" x14ac:dyDescent="0.25">
      <c r="I229" s="2"/>
    </row>
    <row r="230" spans="9:9" x14ac:dyDescent="0.25">
      <c r="I230" s="2"/>
    </row>
    <row r="231" spans="9:9" x14ac:dyDescent="0.25">
      <c r="I231" s="2"/>
    </row>
    <row r="232" spans="9:9" x14ac:dyDescent="0.25">
      <c r="I232" s="2"/>
    </row>
    <row r="233" spans="9:9" x14ac:dyDescent="0.25">
      <c r="I233" s="2"/>
    </row>
    <row r="234" spans="9:9" x14ac:dyDescent="0.25">
      <c r="I234" s="2"/>
    </row>
    <row r="235" spans="9:9" x14ac:dyDescent="0.25">
      <c r="I235" s="2"/>
    </row>
    <row r="236" spans="9:9" x14ac:dyDescent="0.25">
      <c r="I236" s="2"/>
    </row>
    <row r="237" spans="9:9" x14ac:dyDescent="0.25">
      <c r="I237" s="2"/>
    </row>
    <row r="238" spans="9:9" x14ac:dyDescent="0.25">
      <c r="I238" s="2"/>
    </row>
    <row r="239" spans="9:9" x14ac:dyDescent="0.25">
      <c r="I239" s="2"/>
    </row>
    <row r="240" spans="9:9" x14ac:dyDescent="0.25">
      <c r="I240" s="2"/>
    </row>
    <row r="241" spans="9:9" x14ac:dyDescent="0.25">
      <c r="I241" s="2"/>
    </row>
    <row r="242" spans="9:9" x14ac:dyDescent="0.25">
      <c r="I242" s="2"/>
    </row>
    <row r="243" spans="9:9" x14ac:dyDescent="0.25">
      <c r="I243" s="2"/>
    </row>
    <row r="244" spans="9:9" x14ac:dyDescent="0.25">
      <c r="I244" s="2"/>
    </row>
    <row r="245" spans="9:9" x14ac:dyDescent="0.25">
      <c r="I245" s="2"/>
    </row>
    <row r="246" spans="9:9" x14ac:dyDescent="0.25">
      <c r="I246" s="2"/>
    </row>
    <row r="247" spans="9:9" x14ac:dyDescent="0.25">
      <c r="I247" s="2"/>
    </row>
    <row r="248" spans="9:9" x14ac:dyDescent="0.25">
      <c r="I248" s="2"/>
    </row>
    <row r="249" spans="9:9" x14ac:dyDescent="0.25">
      <c r="I249" s="2"/>
    </row>
    <row r="250" spans="9:9" x14ac:dyDescent="0.25">
      <c r="I250" s="2"/>
    </row>
    <row r="251" spans="9:9" x14ac:dyDescent="0.25">
      <c r="I251" s="2"/>
    </row>
    <row r="252" spans="9:9" x14ac:dyDescent="0.25">
      <c r="I252" s="2"/>
    </row>
    <row r="253" spans="9:9" x14ac:dyDescent="0.25">
      <c r="I253" s="2"/>
    </row>
    <row r="254" spans="9:9" x14ac:dyDescent="0.25">
      <c r="I254" s="2"/>
    </row>
    <row r="255" spans="9:9" x14ac:dyDescent="0.25">
      <c r="I255" s="2"/>
    </row>
    <row r="256" spans="9:9" x14ac:dyDescent="0.25">
      <c r="I256" s="2"/>
    </row>
    <row r="257" spans="9:9" x14ac:dyDescent="0.25">
      <c r="I257" s="2"/>
    </row>
    <row r="258" spans="9:9" x14ac:dyDescent="0.25">
      <c r="I258" s="2"/>
    </row>
    <row r="259" spans="9:9" x14ac:dyDescent="0.25">
      <c r="I259" s="2"/>
    </row>
    <row r="260" spans="9:9" x14ac:dyDescent="0.25">
      <c r="I260" s="2"/>
    </row>
    <row r="261" spans="9:9" x14ac:dyDescent="0.25">
      <c r="I261" s="2"/>
    </row>
    <row r="262" spans="9:9" x14ac:dyDescent="0.25">
      <c r="I262" s="2"/>
    </row>
    <row r="263" spans="9:9" x14ac:dyDescent="0.25">
      <c r="I263" s="2"/>
    </row>
    <row r="264" spans="9:9" x14ac:dyDescent="0.25">
      <c r="I264" s="2"/>
    </row>
    <row r="265" spans="9:9" x14ac:dyDescent="0.25">
      <c r="I265" s="2"/>
    </row>
    <row r="266" spans="9:9" x14ac:dyDescent="0.25">
      <c r="I266" s="2"/>
    </row>
    <row r="267" spans="9:9" x14ac:dyDescent="0.25">
      <c r="I267" s="2"/>
    </row>
    <row r="268" spans="9:9" x14ac:dyDescent="0.25">
      <c r="I268" s="2"/>
    </row>
    <row r="269" spans="9:9" x14ac:dyDescent="0.25">
      <c r="I269" s="2"/>
    </row>
    <row r="270" spans="9:9" x14ac:dyDescent="0.25">
      <c r="I270" s="2"/>
    </row>
    <row r="271" spans="9:9" x14ac:dyDescent="0.25">
      <c r="I271" s="2"/>
    </row>
    <row r="272" spans="9:9" x14ac:dyDescent="0.25">
      <c r="I272" s="2"/>
    </row>
    <row r="273" spans="9:9" x14ac:dyDescent="0.25">
      <c r="I273" s="2"/>
    </row>
    <row r="274" spans="9:9" x14ac:dyDescent="0.25">
      <c r="I274" s="2"/>
    </row>
    <row r="275" spans="9:9" x14ac:dyDescent="0.25">
      <c r="I275" s="2"/>
    </row>
    <row r="276" spans="9:9" x14ac:dyDescent="0.25">
      <c r="I276" s="2"/>
    </row>
    <row r="277" spans="9:9" x14ac:dyDescent="0.25">
      <c r="I277" s="2"/>
    </row>
    <row r="278" spans="9:9" x14ac:dyDescent="0.25">
      <c r="I278" s="2"/>
    </row>
    <row r="279" spans="9:9" x14ac:dyDescent="0.25">
      <c r="I279" s="2"/>
    </row>
    <row r="280" spans="9:9" x14ac:dyDescent="0.25">
      <c r="I280" s="2"/>
    </row>
    <row r="281" spans="9:9" x14ac:dyDescent="0.25">
      <c r="I281" s="2"/>
    </row>
    <row r="282" spans="9:9" x14ac:dyDescent="0.25">
      <c r="I282" s="2"/>
    </row>
    <row r="283" spans="9:9" x14ac:dyDescent="0.25">
      <c r="I283" s="2"/>
    </row>
    <row r="284" spans="9:9" x14ac:dyDescent="0.25">
      <c r="I284" s="2"/>
    </row>
    <row r="285" spans="9:9" x14ac:dyDescent="0.25">
      <c r="I285" s="2"/>
    </row>
    <row r="286" spans="9:9" x14ac:dyDescent="0.25">
      <c r="I286" s="2"/>
    </row>
    <row r="287" spans="9:9" x14ac:dyDescent="0.25">
      <c r="I287" s="2"/>
    </row>
    <row r="288" spans="9:9" x14ac:dyDescent="0.25">
      <c r="I288" s="2"/>
    </row>
    <row r="289" spans="9:9" x14ac:dyDescent="0.25">
      <c r="I289" s="2"/>
    </row>
    <row r="290" spans="9:9" x14ac:dyDescent="0.25">
      <c r="I290" s="2"/>
    </row>
    <row r="291" spans="9:9" x14ac:dyDescent="0.25">
      <c r="I291" s="2"/>
    </row>
    <row r="292" spans="9:9" x14ac:dyDescent="0.25">
      <c r="I292" s="2"/>
    </row>
    <row r="293" spans="9:9" x14ac:dyDescent="0.25">
      <c r="I293" s="2"/>
    </row>
    <row r="294" spans="9:9" x14ac:dyDescent="0.25">
      <c r="I294" s="2"/>
    </row>
    <row r="295" spans="9:9" x14ac:dyDescent="0.25">
      <c r="I295" s="2"/>
    </row>
    <row r="296" spans="9:9" x14ac:dyDescent="0.25">
      <c r="I296" s="2"/>
    </row>
    <row r="297" spans="9:9" x14ac:dyDescent="0.25">
      <c r="I297" s="2"/>
    </row>
    <row r="298" spans="9:9" x14ac:dyDescent="0.25">
      <c r="I298" s="2"/>
    </row>
    <row r="299" spans="9:9" x14ac:dyDescent="0.25">
      <c r="I299" s="2"/>
    </row>
    <row r="300" spans="9:9" x14ac:dyDescent="0.25">
      <c r="I300" s="2"/>
    </row>
    <row r="301" spans="9:9" x14ac:dyDescent="0.25">
      <c r="I301" s="2"/>
    </row>
    <row r="302" spans="9:9" x14ac:dyDescent="0.25">
      <c r="I302" s="2"/>
    </row>
    <row r="303" spans="9:9" x14ac:dyDescent="0.25">
      <c r="I303" s="2"/>
    </row>
    <row r="304" spans="9:9" x14ac:dyDescent="0.25">
      <c r="I304" s="2"/>
    </row>
    <row r="305" spans="9:9" x14ac:dyDescent="0.25">
      <c r="I305" s="2"/>
    </row>
    <row r="306" spans="9:9" x14ac:dyDescent="0.25">
      <c r="I306" s="2"/>
    </row>
    <row r="307" spans="9:9" x14ac:dyDescent="0.25">
      <c r="I307" s="2"/>
    </row>
    <row r="308" spans="9:9" x14ac:dyDescent="0.25">
      <c r="I308" s="2"/>
    </row>
    <row r="309" spans="9:9" x14ac:dyDescent="0.25">
      <c r="I309" s="2"/>
    </row>
    <row r="310" spans="9:9" x14ac:dyDescent="0.25">
      <c r="I310" s="2"/>
    </row>
    <row r="311" spans="9:9" x14ac:dyDescent="0.25">
      <c r="I311" s="2"/>
    </row>
    <row r="312" spans="9:9" x14ac:dyDescent="0.25">
      <c r="I312" s="2"/>
    </row>
    <row r="313" spans="9:9" x14ac:dyDescent="0.25">
      <c r="I313" s="2"/>
    </row>
    <row r="314" spans="9:9" x14ac:dyDescent="0.25">
      <c r="I314" s="2"/>
    </row>
    <row r="315" spans="9:9" x14ac:dyDescent="0.25">
      <c r="I315" s="2"/>
    </row>
    <row r="316" spans="9:9" x14ac:dyDescent="0.25">
      <c r="I316" s="2"/>
    </row>
    <row r="317" spans="9:9" x14ac:dyDescent="0.25">
      <c r="I317" s="2"/>
    </row>
    <row r="318" spans="9:9" x14ac:dyDescent="0.25">
      <c r="I318" s="2"/>
    </row>
    <row r="319" spans="9:9" x14ac:dyDescent="0.25">
      <c r="I319" s="2"/>
    </row>
    <row r="320" spans="9:9" x14ac:dyDescent="0.25">
      <c r="I320" s="2"/>
    </row>
    <row r="321" spans="9:9" x14ac:dyDescent="0.25">
      <c r="I321" s="2"/>
    </row>
    <row r="322" spans="9:9" x14ac:dyDescent="0.25">
      <c r="I322" s="2"/>
    </row>
    <row r="323" spans="9:9" x14ac:dyDescent="0.25">
      <c r="I323" s="2"/>
    </row>
    <row r="324" spans="9:9" x14ac:dyDescent="0.25">
      <c r="I324" s="2"/>
    </row>
    <row r="325" spans="9:9" x14ac:dyDescent="0.25">
      <c r="I325" s="2"/>
    </row>
    <row r="326" spans="9:9" x14ac:dyDescent="0.25">
      <c r="I326" s="2"/>
    </row>
    <row r="327" spans="9:9" x14ac:dyDescent="0.25">
      <c r="I327" s="2"/>
    </row>
    <row r="328" spans="9:9" x14ac:dyDescent="0.25">
      <c r="I328" s="2"/>
    </row>
    <row r="329" spans="9:9" x14ac:dyDescent="0.25">
      <c r="I329" s="2"/>
    </row>
    <row r="330" spans="9:9" x14ac:dyDescent="0.25">
      <c r="I330" s="2"/>
    </row>
    <row r="331" spans="9:9" x14ac:dyDescent="0.25">
      <c r="I331" s="2"/>
    </row>
    <row r="332" spans="9:9" x14ac:dyDescent="0.25">
      <c r="I332" s="2"/>
    </row>
    <row r="333" spans="9:9" x14ac:dyDescent="0.25">
      <c r="I333" s="2"/>
    </row>
    <row r="334" spans="9:9" x14ac:dyDescent="0.25">
      <c r="I334" s="2"/>
    </row>
    <row r="335" spans="9:9" x14ac:dyDescent="0.25">
      <c r="I335" s="2"/>
    </row>
    <row r="336" spans="9:9" x14ac:dyDescent="0.25">
      <c r="I336" s="2"/>
    </row>
    <row r="337" spans="9:9" x14ac:dyDescent="0.25">
      <c r="I337" s="2"/>
    </row>
    <row r="338" spans="9:9" x14ac:dyDescent="0.25">
      <c r="I338" s="2"/>
    </row>
    <row r="339" spans="9:9" x14ac:dyDescent="0.25">
      <c r="I339" s="2"/>
    </row>
    <row r="340" spans="9:9" x14ac:dyDescent="0.25">
      <c r="I340" s="2"/>
    </row>
    <row r="341" spans="9:9" x14ac:dyDescent="0.25">
      <c r="I341" s="2"/>
    </row>
    <row r="342" spans="9:9" x14ac:dyDescent="0.25">
      <c r="I342" s="2"/>
    </row>
    <row r="343" spans="9:9" x14ac:dyDescent="0.25">
      <c r="I343" s="2"/>
    </row>
    <row r="344" spans="9:9" x14ac:dyDescent="0.25">
      <c r="I344" s="2"/>
    </row>
    <row r="345" spans="9:9" x14ac:dyDescent="0.25">
      <c r="I345" s="2"/>
    </row>
    <row r="346" spans="9:9" x14ac:dyDescent="0.25">
      <c r="I346" s="2"/>
    </row>
    <row r="347" spans="9:9" x14ac:dyDescent="0.25">
      <c r="I347" s="2"/>
    </row>
    <row r="348" spans="9:9" x14ac:dyDescent="0.25">
      <c r="I348" s="2"/>
    </row>
    <row r="349" spans="9:9" x14ac:dyDescent="0.25">
      <c r="I349" s="2"/>
    </row>
    <row r="350" spans="9:9" x14ac:dyDescent="0.25">
      <c r="I350" s="2"/>
    </row>
    <row r="351" spans="9:9" x14ac:dyDescent="0.25">
      <c r="I351" s="2"/>
    </row>
    <row r="352" spans="9:9" x14ac:dyDescent="0.25">
      <c r="I352" s="2"/>
    </row>
    <row r="353" spans="9:9" x14ac:dyDescent="0.25">
      <c r="I353" s="2"/>
    </row>
    <row r="354" spans="9:9" x14ac:dyDescent="0.25">
      <c r="I354" s="2"/>
    </row>
    <row r="355" spans="9:9" x14ac:dyDescent="0.25">
      <c r="I355" s="2"/>
    </row>
    <row r="356" spans="9:9" x14ac:dyDescent="0.25">
      <c r="I356" s="2"/>
    </row>
    <row r="357" spans="9:9" x14ac:dyDescent="0.25">
      <c r="I357" s="2"/>
    </row>
    <row r="358" spans="9:9" x14ac:dyDescent="0.25">
      <c r="I358" s="2"/>
    </row>
    <row r="359" spans="9:9" x14ac:dyDescent="0.25">
      <c r="I359" s="2"/>
    </row>
    <row r="360" spans="9:9" x14ac:dyDescent="0.25">
      <c r="I360" s="2"/>
    </row>
    <row r="361" spans="9:9" x14ac:dyDescent="0.25">
      <c r="I361" s="2"/>
    </row>
    <row r="362" spans="9:9" x14ac:dyDescent="0.25">
      <c r="I362" s="2"/>
    </row>
    <row r="363" spans="9:9" x14ac:dyDescent="0.25">
      <c r="I363" s="2"/>
    </row>
    <row r="364" spans="9:9" x14ac:dyDescent="0.25">
      <c r="I364" s="2"/>
    </row>
    <row r="365" spans="9:9" x14ac:dyDescent="0.25">
      <c r="I365" s="2"/>
    </row>
    <row r="366" spans="9:9" x14ac:dyDescent="0.25">
      <c r="I366" s="2"/>
    </row>
    <row r="367" spans="9:9" x14ac:dyDescent="0.25">
      <c r="I367" s="2"/>
    </row>
    <row r="368" spans="9:9" x14ac:dyDescent="0.25">
      <c r="I368" s="2"/>
    </row>
    <row r="369" spans="9:9" x14ac:dyDescent="0.25">
      <c r="I369" s="2"/>
    </row>
    <row r="370" spans="9:9" x14ac:dyDescent="0.25">
      <c r="I370" s="2"/>
    </row>
    <row r="371" spans="9:9" x14ac:dyDescent="0.25">
      <c r="I371" s="2"/>
    </row>
    <row r="372" spans="9:9" x14ac:dyDescent="0.25">
      <c r="I372" s="2"/>
    </row>
    <row r="373" spans="9:9" x14ac:dyDescent="0.25">
      <c r="I373" s="2"/>
    </row>
    <row r="374" spans="9:9" x14ac:dyDescent="0.25">
      <c r="I374" s="2"/>
    </row>
    <row r="375" spans="9:9" x14ac:dyDescent="0.25">
      <c r="I375" s="2"/>
    </row>
    <row r="376" spans="9:9" x14ac:dyDescent="0.25">
      <c r="I376" s="2"/>
    </row>
    <row r="377" spans="9:9" x14ac:dyDescent="0.25">
      <c r="I377" s="2"/>
    </row>
    <row r="378" spans="9:9" x14ac:dyDescent="0.25">
      <c r="I378" s="2"/>
    </row>
    <row r="379" spans="9:9" x14ac:dyDescent="0.25">
      <c r="I379" s="2"/>
    </row>
    <row r="380" spans="9:9" x14ac:dyDescent="0.25">
      <c r="I380" s="2"/>
    </row>
    <row r="381" spans="9:9" x14ac:dyDescent="0.25">
      <c r="I381" s="2"/>
    </row>
    <row r="382" spans="9:9" x14ac:dyDescent="0.25">
      <c r="I382" s="2"/>
    </row>
    <row r="383" spans="9:9" x14ac:dyDescent="0.25">
      <c r="I383" s="2"/>
    </row>
    <row r="384" spans="9:9" x14ac:dyDescent="0.25">
      <c r="I384" s="2"/>
    </row>
    <row r="385" spans="9:9" x14ac:dyDescent="0.25">
      <c r="I385" s="2"/>
    </row>
    <row r="386" spans="9:9" x14ac:dyDescent="0.25">
      <c r="I386" s="2"/>
    </row>
    <row r="387" spans="9:9" x14ac:dyDescent="0.25">
      <c r="I387" s="2"/>
    </row>
    <row r="388" spans="9:9" x14ac:dyDescent="0.25">
      <c r="I388" s="2"/>
    </row>
    <row r="389" spans="9:9" x14ac:dyDescent="0.25">
      <c r="I389" s="2"/>
    </row>
    <row r="390" spans="9:9" x14ac:dyDescent="0.25">
      <c r="I390" s="2"/>
    </row>
    <row r="391" spans="9:9" x14ac:dyDescent="0.25">
      <c r="I391" s="2"/>
    </row>
    <row r="392" spans="9:9" x14ac:dyDescent="0.25">
      <c r="I392" s="2"/>
    </row>
    <row r="393" spans="9:9" x14ac:dyDescent="0.25">
      <c r="I393" s="2"/>
    </row>
    <row r="394" spans="9:9" x14ac:dyDescent="0.25">
      <c r="I394" s="2"/>
    </row>
    <row r="395" spans="9:9" x14ac:dyDescent="0.25">
      <c r="I395" s="2"/>
    </row>
    <row r="396" spans="9:9" x14ac:dyDescent="0.25">
      <c r="I396" s="2"/>
    </row>
    <row r="397" spans="9:9" x14ac:dyDescent="0.25">
      <c r="I397" s="2"/>
    </row>
    <row r="398" spans="9:9" x14ac:dyDescent="0.25">
      <c r="I398" s="2"/>
    </row>
    <row r="399" spans="9:9" x14ac:dyDescent="0.25">
      <c r="I399" s="2"/>
    </row>
    <row r="400" spans="9:9" x14ac:dyDescent="0.25">
      <c r="I400" s="2"/>
    </row>
    <row r="401" spans="9:9" x14ac:dyDescent="0.25">
      <c r="I401" s="2"/>
    </row>
  </sheetData>
  <mergeCells count="6">
    <mergeCell ref="A39:B39"/>
    <mergeCell ref="D2:G2"/>
    <mergeCell ref="A4:E4"/>
    <mergeCell ref="A3:H3"/>
    <mergeCell ref="E11:F11"/>
    <mergeCell ref="H10:I10"/>
  </mergeCells>
  <phoneticPr fontId="7" type="noConversion"/>
  <printOptions horizontalCentered="1" verticalCentered="1"/>
  <pageMargins left="2.5000000000000001E-2" right="2.5000000000000001E-2" top="0.25" bottom="0" header="0.5" footer="0"/>
  <pageSetup scale="78" fitToHeight="0" orientation="landscape" r:id="rId1"/>
  <headerFooter alignWithMargins="0">
    <oddHeader>&amp;LChinn Construction, LLC&amp;CBarrett Park Apartments</oddHead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Schedule of V. Backup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 Mortimore</cp:lastModifiedBy>
  <cp:lastPrinted>2013-05-09T14:28:07Z</cp:lastPrinted>
  <dcterms:created xsi:type="dcterms:W3CDTF">2001-02-05T15:33:02Z</dcterms:created>
  <dcterms:modified xsi:type="dcterms:W3CDTF">2013-08-08T00:16:57Z</dcterms:modified>
</cp:coreProperties>
</file>