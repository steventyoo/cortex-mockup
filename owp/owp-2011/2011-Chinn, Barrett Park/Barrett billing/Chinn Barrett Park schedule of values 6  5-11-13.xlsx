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<sst xmlns="http://schemas.openxmlformats.org/spreadsheetml/2006/main" count="111" uniqueCount="87">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</sst>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topLeftCell="A7" zoomScaleNormal="100" zoomScaleSheetLayoutView="100" workbookViewId="0">
      <selection activeCell="H23" sqref="H23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6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41403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41409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107300</v>
      </c>
      <c r="F15" s="42">
        <f>SUM(F17:F38)</f>
        <v>63000</v>
      </c>
      <c r="G15" s="42"/>
      <c r="H15" s="42">
        <f>SUM(H17:H38)</f>
        <v>170300</v>
      </c>
      <c r="I15" s="43"/>
      <c r="J15" s="42">
        <f>SUM(J17:J38)</f>
        <v>642750</v>
      </c>
      <c r="K15" s="41">
        <f>SUM(K17:K38)</f>
        <v>8515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0</v>
      </c>
      <c r="F21" s="46">
        <f t="shared" si="0"/>
        <v>43000</v>
      </c>
      <c r="G21" s="46"/>
      <c r="H21" s="47">
        <v>43000</v>
      </c>
      <c r="I21" s="48">
        <f t="shared" si="1"/>
        <v>0.49311926605504586</v>
      </c>
      <c r="J21" s="46">
        <f t="shared" si="2"/>
        <v>44200</v>
      </c>
      <c r="K21" s="45">
        <f t="shared" si="3"/>
        <v>2150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0</v>
      </c>
      <c r="F22" s="46">
        <f t="shared" si="0"/>
        <v>20000</v>
      </c>
      <c r="G22" s="46"/>
      <c r="H22" s="47">
        <v>20000</v>
      </c>
      <c r="I22" s="48">
        <f t="shared" si="1"/>
        <v>0.20314880650076181</v>
      </c>
      <c r="J22" s="46">
        <f t="shared" si="2"/>
        <v>78450</v>
      </c>
      <c r="K22" s="45">
        <f t="shared" si="3"/>
        <v>1000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0</v>
      </c>
      <c r="F23" s="46">
        <f t="shared" si="0"/>
        <v>0</v>
      </c>
      <c r="G23" s="46"/>
      <c r="H23" s="47">
        <v>0</v>
      </c>
      <c r="I23" s="48">
        <f t="shared" si="1"/>
        <v>0</v>
      </c>
      <c r="J23" s="46">
        <f t="shared" si="2"/>
        <v>12600</v>
      </c>
      <c r="K23" s="45">
        <f t="shared" si="3"/>
        <v>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0</v>
      </c>
      <c r="F25" s="46">
        <f t="shared" si="0"/>
        <v>0</v>
      </c>
      <c r="G25" s="46"/>
      <c r="H25" s="47">
        <v>0</v>
      </c>
      <c r="I25" s="48">
        <f t="shared" si="1"/>
        <v>0</v>
      </c>
      <c r="J25" s="46">
        <f t="shared" si="2"/>
        <v>93800</v>
      </c>
      <c r="K25" s="45">
        <f t="shared" ref="K25:K33" si="4">0.05*H25</f>
        <v>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0</v>
      </c>
      <c r="F26" s="46">
        <f t="shared" si="0"/>
        <v>0</v>
      </c>
      <c r="G26" s="46"/>
      <c r="H26" s="47">
        <v>0</v>
      </c>
      <c r="I26" s="48">
        <f t="shared" si="1"/>
        <v>0</v>
      </c>
      <c r="J26" s="46">
        <f t="shared" si="2"/>
        <v>13900</v>
      </c>
      <c r="K26" s="45">
        <f t="shared" si="4"/>
        <v>0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0</v>
      </c>
      <c r="F28" s="46">
        <f t="shared" si="0"/>
        <v>0</v>
      </c>
      <c r="G28" s="46"/>
      <c r="H28" s="47">
        <v>0</v>
      </c>
      <c r="I28" s="48">
        <f t="shared" si="1"/>
        <v>0</v>
      </c>
      <c r="J28" s="46">
        <f t="shared" si="2"/>
        <v>93800</v>
      </c>
      <c r="K28" s="45">
        <f t="shared" si="4"/>
        <v>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0</v>
      </c>
      <c r="F29" s="46">
        <f t="shared" si="0"/>
        <v>0</v>
      </c>
      <c r="G29" s="46"/>
      <c r="H29" s="47">
        <v>0</v>
      </c>
      <c r="I29" s="48">
        <f t="shared" si="1"/>
        <v>0</v>
      </c>
      <c r="J29" s="46">
        <f t="shared" si="2"/>
        <v>13900</v>
      </c>
      <c r="K29" s="45">
        <f t="shared" si="4"/>
        <v>0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0</v>
      </c>
      <c r="F31" s="46">
        <f t="shared" si="0"/>
        <v>0</v>
      </c>
      <c r="G31" s="46"/>
      <c r="H31" s="47">
        <v>0</v>
      </c>
      <c r="I31" s="48">
        <f t="shared" si="1"/>
        <v>0</v>
      </c>
      <c r="J31" s="46">
        <f t="shared" si="2"/>
        <v>93800</v>
      </c>
      <c r="K31" s="45">
        <f t="shared" si="4"/>
        <v>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0</v>
      </c>
      <c r="F32" s="46">
        <f t="shared" si="0"/>
        <v>0</v>
      </c>
      <c r="G32" s="46"/>
      <c r="H32" s="47">
        <v>0</v>
      </c>
      <c r="I32" s="48">
        <f t="shared" si="1"/>
        <v>0</v>
      </c>
      <c r="J32" s="46">
        <f t="shared" si="2"/>
        <v>13900</v>
      </c>
      <c r="K32" s="45">
        <f t="shared" si="4"/>
        <v>0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107300</v>
      </c>
      <c r="F39" s="42">
        <f>SUM(F17:F38)</f>
        <v>63000</v>
      </c>
      <c r="G39" s="42">
        <f>SUM(G17:G38)</f>
        <v>0</v>
      </c>
      <c r="H39" s="42">
        <f>SUM(H17:H38)</f>
        <v>170300</v>
      </c>
      <c r="I39" s="49"/>
      <c r="J39" s="42">
        <f>SUM(J17:J38)</f>
        <v>642750</v>
      </c>
      <c r="K39" s="42">
        <f>SUM(K17:K38)</f>
        <v>8515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0</v>
      </c>
      <c r="F42" s="46">
        <f t="shared" si="7"/>
        <v>0</v>
      </c>
      <c r="G42" s="46"/>
      <c r="H42" s="47">
        <v>0</v>
      </c>
      <c r="I42" s="48">
        <f t="shared" si="8"/>
        <v>0</v>
      </c>
      <c r="J42" s="46">
        <f t="shared" si="5"/>
        <v>959</v>
      </c>
      <c r="K42" s="45">
        <f t="shared" si="6"/>
        <v>0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26359</v>
      </c>
      <c r="B52" s="53" t="s">
        <v>22</v>
      </c>
      <c r="C52" s="54"/>
      <c r="D52" s="42">
        <f>SUM(D39:D51)</f>
        <v>839409</v>
      </c>
      <c r="E52" s="42">
        <f>SUM(E39:E51)</f>
        <v>132700</v>
      </c>
      <c r="F52" s="42">
        <f>SUM(F39:F51)</f>
        <v>63000</v>
      </c>
      <c r="G52" s="42">
        <f>SUM(G39:G51)</f>
        <v>0</v>
      </c>
      <c r="H52" s="42">
        <f>SUM(H39:H51)</f>
        <v>195700</v>
      </c>
      <c r="I52" s="49"/>
      <c r="J52" s="42">
        <f>SUM(J39:J51)</f>
        <v>643709</v>
      </c>
      <c r="K52" s="42">
        <f>SUM(K39:K51)</f>
        <v>9785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2013-05-09T16:38:47Z</dcterms:modified>
</cp:coreProperties>
</file>