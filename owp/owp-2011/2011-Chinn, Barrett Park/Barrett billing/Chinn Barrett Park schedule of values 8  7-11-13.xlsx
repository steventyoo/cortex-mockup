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36" yWindow="36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Backup'!$A$1:$K$52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Backup'!$A$1:$K$50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I41" i="6" l="1"/>
  <c r="A52" i="6" l="1"/>
  <c r="D52" i="6" l="1"/>
  <c r="E39" i="6"/>
  <c r="E52" i="6" s="1"/>
  <c r="D39" i="6"/>
  <c r="K21" i="6"/>
  <c r="J21" i="6"/>
  <c r="I21" i="6"/>
  <c r="F21" i="6"/>
  <c r="F34" i="6"/>
  <c r="I34" i="6"/>
  <c r="J34" i="6"/>
  <c r="K34" i="6"/>
  <c r="D15" i="6"/>
  <c r="E15" i="6"/>
  <c r="H15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5" i="6"/>
  <c r="I35" i="6"/>
  <c r="J35" i="6"/>
  <c r="K35" i="6"/>
  <c r="F36" i="6"/>
  <c r="I36" i="6"/>
  <c r="J36" i="6"/>
  <c r="K36" i="6"/>
  <c r="F37" i="6"/>
  <c r="I37" i="6"/>
  <c r="J37" i="6"/>
  <c r="K37" i="6"/>
  <c r="G39" i="6"/>
  <c r="G52" i="6"/>
  <c r="H39" i="6"/>
  <c r="H52" i="6" s="1"/>
  <c r="F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K15" i="6" l="1"/>
  <c r="J39" i="6"/>
  <c r="J52" i="6" s="1"/>
  <c r="K39" i="6"/>
  <c r="K52" i="6" s="1"/>
  <c r="F39" i="6"/>
  <c r="F52" i="6" s="1"/>
  <c r="J15" i="6"/>
  <c r="F15" i="6"/>
</calcChain>
</file>

<file path=xl/sharedStrings.xml><?xml version="1.0" encoding="utf-8"?>
<sst xmlns="http://schemas.openxmlformats.org/spreadsheetml/2006/main" count="111" uniqueCount="87">
  <si>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</si>
  <si>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</si>
  <si>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</si>
  <si>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</si>
  <si>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</si>
  <si>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</si>
  <si>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</si>
  <si>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</si>
  <si>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</si>
  <si>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</si>
  <si>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</si>
  <si>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</si>
  <si>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</si>
  <si>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</si>
  <si>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</si>
  <si>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</si>
  <si>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</si>
  <si>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</si>
  <si>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</si>
  <si>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</si>
  <si>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</si>
  <si>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</si>
  <si>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</si>
  <si>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</si>
  <si>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</si>
  <si>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</si>
  <si>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</si>
  <si>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</si>
  <si>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</si>
  <si>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</si>
  <si>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</si>
  <si>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</si>
  <si>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</si>
  <si>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</si>
  <si>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</si>
  <si>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</si>
  <si>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</si>
  <si>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</si>
  <si>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</si>
  <si>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</si>
  <si>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</si>
  <si>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</si>
  <si>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</si>
  <si>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</si>
  <si>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</si>
  <si>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</si>
  <si>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</si>
  <si>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</si>
  <si>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CO#7</t>
  </si>
  <si>
    <t>CO#8</t>
  </si>
  <si>
    <t>CO#9</t>
  </si>
  <si>
    <t>CO#10</t>
  </si>
  <si>
    <t>To be submitted with applications for payment</t>
  </si>
  <si>
    <t>One-Way Plumbing Contract Schedule of Values Work Sheet</t>
  </si>
  <si>
    <t>PREVIOUS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</si>
  <si>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</si>
  <si>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</si>
  <si>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</si>
  <si>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</si>
  <si>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</si>
  <si>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</si>
  <si>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LOCATION: Seattle, WA</t>
  </si>
  <si>
    <t>underground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</si>
  <si>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</si>
  <si>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</si>
  <si>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</si>
  <si>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</si>
  <si>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</si>
  <si>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</si>
  <si>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</si>
  <si>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</si>
  <si>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</si>
  <si>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plumbing permit</t>
  </si>
  <si>
    <t>PROJECT:  Barrett Park Apartments</t>
  </si>
  <si>
    <t>garage drains/basins, underground waste and drain piping</t>
  </si>
  <si>
    <t>parking level</t>
  </si>
  <si>
    <t>roughin waste, vent, storm water piping in  garage</t>
  </si>
  <si>
    <t>roughin plumbing at level 1</t>
  </si>
  <si>
    <t>level 1</t>
  </si>
  <si>
    <t>plumbing design, engineered plan set</t>
  </si>
  <si>
    <t>canout/sleeve and deck drains at  PT deck level 1</t>
  </si>
  <si>
    <t>install toilets, lavs, sinks, water heaters at level 1</t>
  </si>
  <si>
    <t>install toilets, lavs, sinks, water heaters at level 2</t>
  </si>
  <si>
    <t>install toilets, lavs, sinks, water heaters at level 3</t>
  </si>
  <si>
    <t>install toilets, lavs, sinks, water heaters at level 4</t>
  </si>
  <si>
    <t>furnish and install footing,sub slab drains</t>
  </si>
  <si>
    <t>add trash chute wash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</si>
</sst>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5" fillId="0" borderId="1" xfId="3" applyFont="1" applyBorder="1"/>
    <xf numFmtId="0" fontId="4" fillId="0" borderId="1" xfId="3" applyFont="1" applyBorder="1"/>
    <xf numFmtId="0" fontId="4" fillId="0" borderId="1" xfId="3" applyFont="1" applyFill="1" applyBorder="1"/>
    <xf numFmtId="0" fontId="5" fillId="0" borderId="1" xfId="3" quotePrefix="1" applyFont="1" applyBorder="1" applyAlignment="1">
      <alignment horizontal="left"/>
    </xf>
    <xf numFmtId="3" fontId="4" fillId="0" borderId="0" xfId="3" applyNumberFormat="1" applyFont="1"/>
    <xf numFmtId="4" fontId="4" fillId="0" borderId="0" xfId="3" applyNumberFormat="1" applyFont="1"/>
    <xf numFmtId="4" fontId="4" fillId="0" borderId="0" xfId="3" applyNumberFormat="1" applyFont="1" applyAlignment="1">
      <alignment horizontal="right"/>
    </xf>
    <xf numFmtId="4" fontId="4" fillId="0" borderId="0" xfId="3" applyNumberFormat="1" applyFont="1" applyFill="1" applyAlignment="1">
      <alignment horizontal="right"/>
    </xf>
    <xf numFmtId="4" fontId="4" fillId="0" borderId="2" xfId="3" applyNumberFormat="1" applyFont="1" applyBorder="1"/>
    <xf numFmtId="169" fontId="4" fillId="0" borderId="2" xfId="3" applyNumberFormat="1" applyFont="1" applyBorder="1"/>
    <xf numFmtId="0" fontId="4" fillId="0" borderId="3" xfId="3" applyFont="1" applyBorder="1"/>
    <xf numFmtId="0" fontId="5" fillId="0" borderId="3" xfId="3" applyFont="1" applyBorder="1" applyAlignment="1">
      <alignment horizontal="center"/>
    </xf>
    <xf numFmtId="4" fontId="5" fillId="0" borderId="3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4" fillId="0" borderId="1" xfId="3" applyFont="1" applyFill="1" applyBorder="1" applyAlignment="1">
      <alignment horizontal="left"/>
    </xf>
    <xf numFmtId="0" fontId="4" fillId="0" borderId="1" xfId="3" applyFont="1" applyBorder="1" applyAlignment="1"/>
    <xf numFmtId="0" fontId="9" fillId="0" borderId="1" xfId="3" applyFont="1" applyFill="1" applyBorder="1" applyAlignment="1">
      <alignment horizontal="left"/>
    </xf>
    <xf numFmtId="3" fontId="4" fillId="0" borderId="0" xfId="3" applyNumberFormat="1" applyFont="1" applyAlignment="1">
      <alignment horizontal="center"/>
    </xf>
    <xf numFmtId="14" fontId="4" fillId="0" borderId="0" xfId="3" applyNumberFormat="1" applyFont="1" applyAlignment="1">
      <alignment horizontal="center"/>
    </xf>
    <xf numFmtId="0" fontId="5" fillId="0" borderId="1" xfId="3" applyFont="1" applyBorder="1" applyAlignment="1">
      <alignment horizontal="left"/>
    </xf>
    <xf numFmtId="0" fontId="5" fillId="0" borderId="1" xfId="3" applyFont="1" applyFill="1" applyBorder="1"/>
    <xf numFmtId="0" fontId="4" fillId="0" borderId="5" xfId="3" applyFont="1" applyBorder="1"/>
    <xf numFmtId="4" fontId="4" fillId="0" borderId="5" xfId="3" applyNumberFormat="1" applyFont="1" applyBorder="1"/>
    <xf numFmtId="169" fontId="5" fillId="0" borderId="5" xfId="3" applyNumberFormat="1" applyFont="1" applyBorder="1"/>
    <xf numFmtId="4" fontId="5" fillId="0" borderId="5" xfId="3" applyNumberFormat="1" applyFont="1" applyBorder="1"/>
    <xf numFmtId="0" fontId="5" fillId="0" borderId="6" xfId="3" applyFont="1" applyBorder="1" applyAlignment="1">
      <alignment horizontal="center"/>
    </xf>
    <xf numFmtId="4" fontId="5" fillId="0" borderId="6" xfId="3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9" fontId="5" fillId="0" borderId="6" xfId="3" quotePrefix="1" applyNumberFormat="1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4" fontId="5" fillId="0" borderId="7" xfId="3" applyNumberFormat="1" applyFont="1" applyBorder="1" applyAlignment="1">
      <alignment horizontal="center"/>
    </xf>
    <xf numFmtId="169" fontId="5" fillId="0" borderId="7" xfId="3" applyNumberFormat="1" applyFont="1" applyBorder="1" applyAlignment="1">
      <alignment horizontal="center"/>
    </xf>
    <xf numFmtId="9" fontId="5" fillId="0" borderId="7" xfId="3" applyNumberFormat="1" applyFont="1" applyBorder="1" applyAlignment="1">
      <alignment horizontal="center"/>
    </xf>
    <xf numFmtId="0" fontId="5" fillId="0" borderId="8" xfId="3" applyFont="1" applyBorder="1" applyAlignment="1">
      <alignment horizontal="center"/>
    </xf>
    <xf numFmtId="4" fontId="5" fillId="0" borderId="8" xfId="3" applyNumberFormat="1" applyFont="1" applyBorder="1" applyAlignment="1">
      <alignment horizontal="center"/>
    </xf>
    <xf numFmtId="169" fontId="5" fillId="0" borderId="8" xfId="3" applyNumberFormat="1" applyFont="1" applyBorder="1" applyAlignment="1">
      <alignment horizontal="center"/>
    </xf>
    <xf numFmtId="4" fontId="5" fillId="0" borderId="1" xfId="3" applyNumberFormat="1" applyFont="1" applyBorder="1" applyAlignment="1">
      <alignment horizontal="center"/>
    </xf>
    <xf numFmtId="4" fontId="5" fillId="0" borderId="1" xfId="3" applyNumberFormat="1" applyFont="1" applyFill="1" applyBorder="1" applyAlignment="1">
      <alignment horizontal="center"/>
    </xf>
    <xf numFmtId="169" fontId="5" fillId="0" borderId="1" xfId="3" applyNumberFormat="1" applyFont="1" applyBorder="1" applyAlignment="1">
      <alignment horizontal="center"/>
    </xf>
    <xf numFmtId="4" fontId="5" fillId="0" borderId="1" xfId="0" applyNumberFormat="1" applyFont="1" applyFill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169" fontId="5" fillId="0" borderId="1" xfId="3" applyNumberFormat="1" applyFont="1" applyFill="1" applyBorder="1" applyAlignment="1">
      <alignment horizontal="center"/>
    </xf>
    <xf numFmtId="0" fontId="9" fillId="0" borderId="1" xfId="3" applyFont="1" applyFill="1" applyBorder="1"/>
    <xf numFmtId="3" fontId="4" fillId="0" borderId="0" xfId="3" applyNumberFormat="1" applyFont="1" applyAlignment="1">
      <alignment horizontal="left" vertical="center"/>
    </xf>
    <xf numFmtId="164" fontId="4" fillId="0" borderId="0" xfId="3" applyNumberFormat="1" applyFont="1" applyAlignment="1">
      <alignment horizontal="left" vertical="center"/>
    </xf>
    <xf numFmtId="0" fontId="2" fillId="0" borderId="1" xfId="3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4" fontId="2" fillId="0" borderId="1" xfId="3" applyNumberFormat="1" applyFont="1" applyBorder="1" applyAlignment="1">
      <alignment horizontal="center"/>
    </xf>
    <xf numFmtId="0" fontId="2" fillId="0" borderId="1" xfId="3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10" fillId="0" borderId="0" xfId="3" applyNumberFormat="1" applyFont="1" applyAlignment="1">
      <alignment horizontal="center"/>
    </xf>
    <xf numFmtId="0" fontId="6" fillId="0" borderId="9" xfId="3" applyFont="1" applyBorder="1" applyAlignment="1"/>
    <xf numFmtId="0" fontId="0" fillId="0" borderId="9" xfId="0" applyBorder="1" applyAlignment="1"/>
    <xf numFmtId="0" fontId="8" fillId="0" borderId="2" xfId="3" applyFont="1" applyBorder="1" applyAlignment="1"/>
    <xf numFmtId="0" fontId="0" fillId="0" borderId="2" xfId="0" applyBorder="1" applyAlignment="1"/>
    <xf numFmtId="4" fontId="5" fillId="0" borderId="6" xfId="3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01"/>
  <sheetViews>
    <sheetView tabSelected="1" zoomScaleNormal="100" zoomScaleSheetLayoutView="100" workbookViewId="0">
      <selection activeCell="H35" sqref="H35"/>
    </sheetView>
  </sheetViews>
  <sheetFormatPr defaultColWidth="9.33203125" defaultRowHeight="13.2" x14ac:dyDescent="0.25"/>
  <cols>
    <col min="1" max="1" width="12.6640625" style="1" customWidth="1"/>
    <col min="2" max="2" width="42.4414062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33203125" style="1"/>
  </cols>
  <sheetData>
    <row r="1" spans="1:11" ht="15" customHeight="1" x14ac:dyDescent="0.25">
      <c r="I1" s="2"/>
    </row>
    <row r="2" spans="1:11" ht="33.75" customHeight="1" x14ac:dyDescent="0.3">
      <c r="D2" s="59" t="s">
        <v>60</v>
      </c>
      <c r="E2" s="59"/>
      <c r="F2" s="59"/>
      <c r="G2" s="59"/>
      <c r="I2" s="2"/>
    </row>
    <row r="3" spans="1:11" ht="34.5" customHeight="1" thickBot="1" x14ac:dyDescent="0.45">
      <c r="A3" s="62" t="s">
        <v>53</v>
      </c>
      <c r="B3" s="63"/>
      <c r="C3" s="63"/>
      <c r="D3" s="63"/>
      <c r="E3" s="63"/>
      <c r="F3" s="63"/>
      <c r="G3" s="63"/>
      <c r="H3" s="63"/>
      <c r="I3" s="14"/>
      <c r="J3" s="13"/>
      <c r="K3" s="13"/>
    </row>
    <row r="4" spans="1:11" ht="22.8" x14ac:dyDescent="0.4">
      <c r="A4" s="60" t="s">
        <v>52</v>
      </c>
      <c r="B4" s="61"/>
      <c r="C4" s="61"/>
      <c r="D4" s="61"/>
      <c r="E4" s="61"/>
      <c r="I4" s="2"/>
    </row>
    <row r="5" spans="1:11" x14ac:dyDescent="0.25">
      <c r="A5" s="3" t="s">
        <v>73</v>
      </c>
      <c r="F5" s="11" t="s">
        <v>7</v>
      </c>
      <c r="G5" s="22"/>
      <c r="H5" s="51">
        <v>8</v>
      </c>
      <c r="I5" s="2"/>
      <c r="J5" s="12"/>
    </row>
    <row r="6" spans="1:11" x14ac:dyDescent="0.25">
      <c r="A6" s="3" t="s">
        <v>61</v>
      </c>
      <c r="F6" s="11" t="s">
        <v>23</v>
      </c>
      <c r="G6" s="23"/>
      <c r="H6" s="52">
        <v>41466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2">
        <v>41470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6" t="s">
        <v>30</v>
      </c>
      <c r="I10" s="67"/>
      <c r="J10" s="17" t="s">
        <v>31</v>
      </c>
      <c r="K10" s="17" t="s">
        <v>32</v>
      </c>
    </row>
    <row r="11" spans="1:11" ht="13.8" thickTop="1" x14ac:dyDescent="0.25">
      <c r="A11" s="30" t="s">
        <v>39</v>
      </c>
      <c r="B11" s="30" t="s">
        <v>10</v>
      </c>
      <c r="C11" s="30" t="s">
        <v>11</v>
      </c>
      <c r="D11" s="31" t="s">
        <v>12</v>
      </c>
      <c r="E11" s="64" t="s">
        <v>33</v>
      </c>
      <c r="F11" s="65"/>
      <c r="G11" s="32"/>
      <c r="H11" s="31" t="s">
        <v>19</v>
      </c>
      <c r="I11" s="33" t="s">
        <v>13</v>
      </c>
      <c r="J11" s="31" t="s">
        <v>2</v>
      </c>
      <c r="K11" s="31" t="s">
        <v>3</v>
      </c>
    </row>
    <row r="12" spans="1:11" x14ac:dyDescent="0.25">
      <c r="A12" s="34" t="s">
        <v>40</v>
      </c>
      <c r="B12" s="34"/>
      <c r="C12" s="34" t="s">
        <v>15</v>
      </c>
      <c r="D12" s="35" t="s">
        <v>20</v>
      </c>
      <c r="E12" s="35" t="s">
        <v>34</v>
      </c>
      <c r="F12" s="35" t="s">
        <v>14</v>
      </c>
      <c r="G12" s="35"/>
      <c r="H12" s="35" t="s">
        <v>1</v>
      </c>
      <c r="I12" s="36" t="s">
        <v>16</v>
      </c>
      <c r="J12" s="35" t="s">
        <v>5</v>
      </c>
      <c r="K12" s="37">
        <v>0.05</v>
      </c>
    </row>
    <row r="13" spans="1:11" ht="13.8" thickBot="1" x14ac:dyDescent="0.3">
      <c r="A13" s="38" t="s">
        <v>38</v>
      </c>
      <c r="B13" s="38"/>
      <c r="C13" s="38"/>
      <c r="D13" s="39"/>
      <c r="E13" s="39" t="s">
        <v>54</v>
      </c>
      <c r="F13" s="39" t="s">
        <v>35</v>
      </c>
      <c r="G13" s="39"/>
      <c r="H13" s="39" t="s">
        <v>4</v>
      </c>
      <c r="I13" s="40"/>
      <c r="J13" s="39"/>
      <c r="K13" s="39"/>
    </row>
    <row r="14" spans="1:11" x14ac:dyDescent="0.25">
      <c r="A14" s="26"/>
      <c r="B14" s="26"/>
      <c r="C14" s="26"/>
      <c r="D14" s="27"/>
      <c r="E14" s="27"/>
      <c r="F14" s="27"/>
      <c r="G14" s="27"/>
      <c r="H14" s="27"/>
      <c r="I14" s="28"/>
      <c r="J14" s="27"/>
      <c r="K14" s="29"/>
    </row>
    <row r="15" spans="1:11" ht="13.8" x14ac:dyDescent="0.25">
      <c r="A15" s="24" t="s">
        <v>36</v>
      </c>
      <c r="B15" s="4" t="s">
        <v>37</v>
      </c>
      <c r="C15" s="5"/>
      <c r="D15" s="41">
        <f>SUM(D17:D38)</f>
        <v>813050</v>
      </c>
      <c r="E15" s="42">
        <f>SUM(E17:E38)</f>
        <v>405600</v>
      </c>
      <c r="F15" s="42">
        <f>SUM(F17:F38)</f>
        <v>183000</v>
      </c>
      <c r="G15" s="42"/>
      <c r="H15" s="42">
        <f>SUM(H17:H38)</f>
        <v>588600</v>
      </c>
      <c r="I15" s="43"/>
      <c r="J15" s="42">
        <f>SUM(J17:J38)</f>
        <v>224450</v>
      </c>
      <c r="K15" s="41">
        <f>SUM(K17:K38)</f>
        <v>29430</v>
      </c>
    </row>
    <row r="16" spans="1:11" x14ac:dyDescent="0.25">
      <c r="A16" s="8"/>
      <c r="B16" s="5"/>
      <c r="C16" s="5"/>
      <c r="D16" s="41"/>
      <c r="E16" s="42"/>
      <c r="F16" s="42"/>
      <c r="G16" s="42"/>
      <c r="H16" s="44"/>
      <c r="I16" s="43"/>
      <c r="J16" s="42"/>
      <c r="K16" s="41"/>
    </row>
    <row r="17" spans="1:11" x14ac:dyDescent="0.25">
      <c r="A17" s="7" t="s">
        <v>6</v>
      </c>
      <c r="B17" s="7" t="s">
        <v>79</v>
      </c>
      <c r="C17" s="6" t="s">
        <v>17</v>
      </c>
      <c r="D17" s="45">
        <v>33800</v>
      </c>
      <c r="E17" s="46">
        <v>33800</v>
      </c>
      <c r="F17" s="46">
        <f t="shared" ref="F17:F37" si="0">H17-E17</f>
        <v>0</v>
      </c>
      <c r="G17" s="46"/>
      <c r="H17" s="47">
        <v>33800</v>
      </c>
      <c r="I17" s="48">
        <f t="shared" ref="I17:I37" si="1">H17/D17</f>
        <v>1</v>
      </c>
      <c r="J17" s="46">
        <f t="shared" ref="J17:J35" si="2">D17-H17</f>
        <v>0</v>
      </c>
      <c r="K17" s="45">
        <f t="shared" ref="K17:K24" si="3">0.05*H17</f>
        <v>1690</v>
      </c>
    </row>
    <row r="18" spans="1:11" x14ac:dyDescent="0.25">
      <c r="A18" s="7"/>
      <c r="B18" s="7" t="s">
        <v>72</v>
      </c>
      <c r="C18" s="6"/>
      <c r="D18" s="45">
        <v>8400</v>
      </c>
      <c r="E18" s="46">
        <v>8400</v>
      </c>
      <c r="F18" s="46">
        <f t="shared" si="0"/>
        <v>0</v>
      </c>
      <c r="G18" s="46"/>
      <c r="H18" s="47">
        <v>8400</v>
      </c>
      <c r="I18" s="48">
        <f t="shared" si="1"/>
        <v>1</v>
      </c>
      <c r="J18" s="46">
        <f t="shared" si="2"/>
        <v>0</v>
      </c>
      <c r="K18" s="45">
        <f t="shared" si="3"/>
        <v>420</v>
      </c>
    </row>
    <row r="19" spans="1:11" x14ac:dyDescent="0.25">
      <c r="A19" s="7" t="s">
        <v>62</v>
      </c>
      <c r="B19" s="50" t="s">
        <v>74</v>
      </c>
      <c r="C19" s="6" t="s">
        <v>17</v>
      </c>
      <c r="D19" s="46">
        <v>46400</v>
      </c>
      <c r="E19" s="46">
        <v>46400</v>
      </c>
      <c r="F19" s="46">
        <f t="shared" si="0"/>
        <v>0</v>
      </c>
      <c r="G19" s="46"/>
      <c r="H19" s="47">
        <v>46400</v>
      </c>
      <c r="I19" s="48">
        <f t="shared" si="1"/>
        <v>1</v>
      </c>
      <c r="J19" s="46">
        <f t="shared" si="2"/>
        <v>0</v>
      </c>
      <c r="K19" s="45">
        <f t="shared" si="3"/>
        <v>2320</v>
      </c>
    </row>
    <row r="20" spans="1:11" x14ac:dyDescent="0.25">
      <c r="A20" s="7" t="s">
        <v>78</v>
      </c>
      <c r="B20" s="7" t="s">
        <v>80</v>
      </c>
      <c r="C20" s="6" t="s">
        <v>17</v>
      </c>
      <c r="D20" s="45">
        <v>18700</v>
      </c>
      <c r="E20" s="46">
        <v>18700</v>
      </c>
      <c r="F20" s="46">
        <f t="shared" si="0"/>
        <v>0</v>
      </c>
      <c r="G20" s="46"/>
      <c r="H20" s="47">
        <v>18700</v>
      </c>
      <c r="I20" s="48">
        <f t="shared" si="1"/>
        <v>1</v>
      </c>
      <c r="J20" s="46">
        <f t="shared" si="2"/>
        <v>0</v>
      </c>
      <c r="K20" s="45">
        <f t="shared" si="3"/>
        <v>935</v>
      </c>
    </row>
    <row r="21" spans="1:11" x14ac:dyDescent="0.25">
      <c r="A21" s="7" t="s">
        <v>75</v>
      </c>
      <c r="B21" s="7" t="s">
        <v>76</v>
      </c>
      <c r="C21" s="6"/>
      <c r="D21" s="46">
        <v>87200</v>
      </c>
      <c r="E21" s="46">
        <v>76000</v>
      </c>
      <c r="F21" s="46">
        <f t="shared" si="0"/>
        <v>7000</v>
      </c>
      <c r="G21" s="46"/>
      <c r="H21" s="47">
        <v>83000</v>
      </c>
      <c r="I21" s="48">
        <f t="shared" si="1"/>
        <v>0.95183486238532111</v>
      </c>
      <c r="J21" s="46">
        <f t="shared" si="2"/>
        <v>4200</v>
      </c>
      <c r="K21" s="45">
        <f t="shared" si="3"/>
        <v>4150</v>
      </c>
    </row>
    <row r="22" spans="1:11" x14ac:dyDescent="0.25">
      <c r="A22" s="7" t="s">
        <v>78</v>
      </c>
      <c r="B22" s="7" t="s">
        <v>77</v>
      </c>
      <c r="C22" s="6"/>
      <c r="D22" s="46">
        <v>98450</v>
      </c>
      <c r="E22" s="46">
        <v>79000</v>
      </c>
      <c r="F22" s="46">
        <f t="shared" si="0"/>
        <v>10000</v>
      </c>
      <c r="G22" s="46"/>
      <c r="H22" s="47">
        <v>89000</v>
      </c>
      <c r="I22" s="48">
        <f t="shared" si="1"/>
        <v>0.90401218892839008</v>
      </c>
      <c r="J22" s="46">
        <f t="shared" si="2"/>
        <v>9450</v>
      </c>
      <c r="K22" s="45">
        <f t="shared" si="3"/>
        <v>4450</v>
      </c>
    </row>
    <row r="23" spans="1:11" x14ac:dyDescent="0.25">
      <c r="A23" s="7" t="s">
        <v>78</v>
      </c>
      <c r="B23" s="7" t="s">
        <v>63</v>
      </c>
      <c r="C23" s="6"/>
      <c r="D23" s="46">
        <v>12600</v>
      </c>
      <c r="E23" s="46">
        <v>12600</v>
      </c>
      <c r="F23" s="46">
        <f t="shared" si="0"/>
        <v>0</v>
      </c>
      <c r="G23" s="46"/>
      <c r="H23" s="47">
        <v>12600</v>
      </c>
      <c r="I23" s="48">
        <f t="shared" si="1"/>
        <v>1</v>
      </c>
      <c r="J23" s="46">
        <f t="shared" si="2"/>
        <v>0</v>
      </c>
      <c r="K23" s="45">
        <f t="shared" si="3"/>
        <v>630</v>
      </c>
    </row>
    <row r="24" spans="1:11" x14ac:dyDescent="0.25">
      <c r="A24" s="7" t="s">
        <v>78</v>
      </c>
      <c r="B24" s="7" t="s">
        <v>64</v>
      </c>
      <c r="C24" s="6"/>
      <c r="D24" s="46">
        <v>2400</v>
      </c>
      <c r="E24" s="46">
        <v>0</v>
      </c>
      <c r="F24" s="46">
        <f t="shared" si="0"/>
        <v>0</v>
      </c>
      <c r="G24" s="46"/>
      <c r="H24" s="47">
        <v>0</v>
      </c>
      <c r="I24" s="48">
        <f t="shared" si="1"/>
        <v>0</v>
      </c>
      <c r="J24" s="46">
        <f t="shared" si="2"/>
        <v>2400</v>
      </c>
      <c r="K24" s="45">
        <f t="shared" si="3"/>
        <v>0</v>
      </c>
    </row>
    <row r="25" spans="1:11" x14ac:dyDescent="0.25">
      <c r="A25" s="7" t="s">
        <v>55</v>
      </c>
      <c r="B25" s="7" t="s">
        <v>65</v>
      </c>
      <c r="C25" s="6"/>
      <c r="D25" s="46">
        <v>93800</v>
      </c>
      <c r="E25" s="46">
        <v>71000</v>
      </c>
      <c r="F25" s="46">
        <f t="shared" si="0"/>
        <v>14000</v>
      </c>
      <c r="G25" s="46"/>
      <c r="H25" s="47">
        <v>85000</v>
      </c>
      <c r="I25" s="48">
        <f t="shared" si="1"/>
        <v>0.906183368869936</v>
      </c>
      <c r="J25" s="46">
        <f t="shared" si="2"/>
        <v>8800</v>
      </c>
      <c r="K25" s="45">
        <f t="shared" ref="K25:K33" si="4">0.05*H25</f>
        <v>4250</v>
      </c>
    </row>
    <row r="26" spans="1:11" x14ac:dyDescent="0.25">
      <c r="A26" s="7" t="s">
        <v>55</v>
      </c>
      <c r="B26" s="7" t="s">
        <v>66</v>
      </c>
      <c r="C26" s="6"/>
      <c r="D26" s="46">
        <v>13900</v>
      </c>
      <c r="E26" s="46">
        <v>13900</v>
      </c>
      <c r="F26" s="46">
        <f t="shared" si="0"/>
        <v>0</v>
      </c>
      <c r="G26" s="46"/>
      <c r="H26" s="47">
        <v>13900</v>
      </c>
      <c r="I26" s="48">
        <f t="shared" si="1"/>
        <v>1</v>
      </c>
      <c r="J26" s="46">
        <f t="shared" si="2"/>
        <v>0</v>
      </c>
      <c r="K26" s="45">
        <f t="shared" si="4"/>
        <v>695</v>
      </c>
    </row>
    <row r="27" spans="1:11" x14ac:dyDescent="0.25">
      <c r="A27" s="7" t="s">
        <v>55</v>
      </c>
      <c r="B27" s="7" t="s">
        <v>67</v>
      </c>
      <c r="C27" s="6"/>
      <c r="D27" s="46">
        <v>2700</v>
      </c>
      <c r="E27" s="46">
        <v>0</v>
      </c>
      <c r="F27" s="46">
        <f t="shared" si="0"/>
        <v>0</v>
      </c>
      <c r="G27" s="46"/>
      <c r="H27" s="47">
        <v>0</v>
      </c>
      <c r="I27" s="48">
        <f t="shared" si="1"/>
        <v>0</v>
      </c>
      <c r="J27" s="46">
        <f t="shared" si="2"/>
        <v>2700</v>
      </c>
      <c r="K27" s="45">
        <f t="shared" si="4"/>
        <v>0</v>
      </c>
    </row>
    <row r="28" spans="1:11" x14ac:dyDescent="0.25">
      <c r="A28" s="7" t="s">
        <v>56</v>
      </c>
      <c r="B28" s="7" t="s">
        <v>58</v>
      </c>
      <c r="C28" s="6"/>
      <c r="D28" s="46">
        <v>93800</v>
      </c>
      <c r="E28" s="46">
        <v>18000</v>
      </c>
      <c r="F28" s="46">
        <f t="shared" si="0"/>
        <v>67000</v>
      </c>
      <c r="G28" s="46"/>
      <c r="H28" s="47">
        <v>85000</v>
      </c>
      <c r="I28" s="48">
        <f t="shared" si="1"/>
        <v>0.906183368869936</v>
      </c>
      <c r="J28" s="46">
        <f t="shared" si="2"/>
        <v>8800</v>
      </c>
      <c r="K28" s="45">
        <f t="shared" si="4"/>
        <v>4250</v>
      </c>
    </row>
    <row r="29" spans="1:11" x14ac:dyDescent="0.25">
      <c r="A29" s="7" t="s">
        <v>56</v>
      </c>
      <c r="B29" s="7" t="s">
        <v>68</v>
      </c>
      <c r="C29" s="6"/>
      <c r="D29" s="46">
        <v>13900</v>
      </c>
      <c r="E29" s="46">
        <v>13900</v>
      </c>
      <c r="F29" s="46">
        <f t="shared" si="0"/>
        <v>0</v>
      </c>
      <c r="G29" s="46"/>
      <c r="H29" s="47">
        <v>13900</v>
      </c>
      <c r="I29" s="48">
        <f t="shared" si="1"/>
        <v>1</v>
      </c>
      <c r="J29" s="46">
        <f t="shared" si="2"/>
        <v>0</v>
      </c>
      <c r="K29" s="45">
        <f t="shared" si="4"/>
        <v>695</v>
      </c>
    </row>
    <row r="30" spans="1:11" x14ac:dyDescent="0.25">
      <c r="A30" s="7" t="s">
        <v>56</v>
      </c>
      <c r="B30" s="7" t="s">
        <v>69</v>
      </c>
      <c r="C30" s="6"/>
      <c r="D30" s="46">
        <v>2700</v>
      </c>
      <c r="E30" s="46">
        <v>0</v>
      </c>
      <c r="F30" s="46">
        <f t="shared" si="0"/>
        <v>0</v>
      </c>
      <c r="G30" s="46"/>
      <c r="H30" s="47">
        <v>0</v>
      </c>
      <c r="I30" s="48">
        <f t="shared" si="1"/>
        <v>0</v>
      </c>
      <c r="J30" s="46">
        <f t="shared" si="2"/>
        <v>2700</v>
      </c>
      <c r="K30" s="45">
        <f t="shared" si="4"/>
        <v>0</v>
      </c>
    </row>
    <row r="31" spans="1:11" x14ac:dyDescent="0.25">
      <c r="A31" s="7" t="s">
        <v>57</v>
      </c>
      <c r="B31" s="7" t="s">
        <v>59</v>
      </c>
      <c r="C31" s="6"/>
      <c r="D31" s="46">
        <v>93800</v>
      </c>
      <c r="E31" s="46">
        <v>0</v>
      </c>
      <c r="F31" s="46">
        <f t="shared" si="0"/>
        <v>85000</v>
      </c>
      <c r="G31" s="46"/>
      <c r="H31" s="47">
        <v>85000</v>
      </c>
      <c r="I31" s="48">
        <f t="shared" si="1"/>
        <v>0.906183368869936</v>
      </c>
      <c r="J31" s="46">
        <f t="shared" si="2"/>
        <v>8800</v>
      </c>
      <c r="K31" s="45">
        <f t="shared" si="4"/>
        <v>4250</v>
      </c>
    </row>
    <row r="32" spans="1:11" x14ac:dyDescent="0.25">
      <c r="A32" s="7" t="s">
        <v>57</v>
      </c>
      <c r="B32" s="7" t="s">
        <v>70</v>
      </c>
      <c r="C32" s="6"/>
      <c r="D32" s="46">
        <v>13900</v>
      </c>
      <c r="E32" s="46">
        <v>13900</v>
      </c>
      <c r="F32" s="46">
        <f t="shared" si="0"/>
        <v>0</v>
      </c>
      <c r="G32" s="46"/>
      <c r="H32" s="47">
        <v>13900</v>
      </c>
      <c r="I32" s="48">
        <f t="shared" si="1"/>
        <v>1</v>
      </c>
      <c r="J32" s="46">
        <f t="shared" si="2"/>
        <v>0</v>
      </c>
      <c r="K32" s="45">
        <f t="shared" si="4"/>
        <v>695</v>
      </c>
    </row>
    <row r="33" spans="1:11" x14ac:dyDescent="0.25">
      <c r="A33" s="7" t="s">
        <v>57</v>
      </c>
      <c r="B33" s="7" t="s">
        <v>71</v>
      </c>
      <c r="C33" s="6"/>
      <c r="D33" s="46">
        <v>2700</v>
      </c>
      <c r="E33" s="46">
        <v>0</v>
      </c>
      <c r="F33" s="46">
        <f t="shared" si="0"/>
        <v>0</v>
      </c>
      <c r="G33" s="46"/>
      <c r="H33" s="47">
        <v>0</v>
      </c>
      <c r="I33" s="48">
        <f t="shared" si="1"/>
        <v>0</v>
      </c>
      <c r="J33" s="46">
        <f t="shared" si="2"/>
        <v>2700</v>
      </c>
      <c r="K33" s="45">
        <f t="shared" si="4"/>
        <v>0</v>
      </c>
    </row>
    <row r="34" spans="1:11" x14ac:dyDescent="0.25">
      <c r="A34" s="7" t="s">
        <v>78</v>
      </c>
      <c r="B34" s="7" t="s">
        <v>81</v>
      </c>
      <c r="C34" s="6"/>
      <c r="D34" s="46">
        <v>41300</v>
      </c>
      <c r="E34" s="46">
        <v>0</v>
      </c>
      <c r="F34" s="46">
        <f t="shared" si="0"/>
        <v>0</v>
      </c>
      <c r="G34" s="46"/>
      <c r="H34" s="47">
        <v>0</v>
      </c>
      <c r="I34" s="48">
        <f t="shared" si="1"/>
        <v>0</v>
      </c>
      <c r="J34" s="46">
        <f t="shared" si="2"/>
        <v>41300</v>
      </c>
      <c r="K34" s="45">
        <f>0.05*H34</f>
        <v>0</v>
      </c>
    </row>
    <row r="35" spans="1:11" x14ac:dyDescent="0.25">
      <c r="A35" s="7" t="s">
        <v>55</v>
      </c>
      <c r="B35" s="7" t="s">
        <v>82</v>
      </c>
      <c r="C35" s="6"/>
      <c r="D35" s="46">
        <v>44200</v>
      </c>
      <c r="E35" s="46">
        <v>0</v>
      </c>
      <c r="F35" s="46">
        <f t="shared" si="0"/>
        <v>0</v>
      </c>
      <c r="G35" s="46"/>
      <c r="H35" s="47">
        <v>0</v>
      </c>
      <c r="I35" s="48">
        <f t="shared" si="1"/>
        <v>0</v>
      </c>
      <c r="J35" s="46">
        <f t="shared" si="2"/>
        <v>44200</v>
      </c>
      <c r="K35" s="45">
        <f>0.05*H35</f>
        <v>0</v>
      </c>
    </row>
    <row r="36" spans="1:11" x14ac:dyDescent="0.25">
      <c r="A36" s="7" t="s">
        <v>56</v>
      </c>
      <c r="B36" s="7" t="s">
        <v>83</v>
      </c>
      <c r="C36" s="6"/>
      <c r="D36" s="46">
        <v>44200</v>
      </c>
      <c r="E36" s="46">
        <v>0</v>
      </c>
      <c r="F36" s="46">
        <f t="shared" si="0"/>
        <v>0</v>
      </c>
      <c r="G36" s="46"/>
      <c r="H36" s="47">
        <v>0</v>
      </c>
      <c r="I36" s="48">
        <f t="shared" si="1"/>
        <v>0</v>
      </c>
      <c r="J36" s="46">
        <f t="shared" ref="J36:J51" si="5">D36-H36</f>
        <v>44200</v>
      </c>
      <c r="K36" s="45">
        <f t="shared" ref="K36:K51" si="6">0.05*H36</f>
        <v>0</v>
      </c>
    </row>
    <row r="37" spans="1:11" x14ac:dyDescent="0.25">
      <c r="A37" s="7" t="s">
        <v>57</v>
      </c>
      <c r="B37" s="7" t="s">
        <v>84</v>
      </c>
      <c r="C37" s="6"/>
      <c r="D37" s="46">
        <v>44200</v>
      </c>
      <c r="E37" s="46">
        <v>0</v>
      </c>
      <c r="F37" s="46">
        <f t="shared" si="0"/>
        <v>0</v>
      </c>
      <c r="G37" s="46"/>
      <c r="H37" s="47">
        <v>0</v>
      </c>
      <c r="I37" s="48">
        <f t="shared" si="1"/>
        <v>0</v>
      </c>
      <c r="J37" s="46">
        <f t="shared" si="5"/>
        <v>44200</v>
      </c>
      <c r="K37" s="45">
        <f t="shared" si="6"/>
        <v>0</v>
      </c>
    </row>
    <row r="38" spans="1:11" x14ac:dyDescent="0.25">
      <c r="A38" s="7"/>
      <c r="B38" s="7"/>
      <c r="C38" s="6"/>
      <c r="D38" s="46"/>
      <c r="E38" s="46"/>
      <c r="F38" s="46"/>
      <c r="G38" s="46"/>
      <c r="H38" s="47"/>
      <c r="I38" s="48"/>
      <c r="J38" s="46"/>
      <c r="K38" s="45"/>
    </row>
    <row r="39" spans="1:11" ht="13.8" x14ac:dyDescent="0.25">
      <c r="A39" s="57" t="s">
        <v>21</v>
      </c>
      <c r="B39" s="58"/>
      <c r="C39" s="6"/>
      <c r="D39" s="42">
        <f>SUM(D17:D38)</f>
        <v>813050</v>
      </c>
      <c r="E39" s="42">
        <f>SUM(E17:E38)</f>
        <v>405600</v>
      </c>
      <c r="F39" s="42">
        <f>SUM(F17:F38)</f>
        <v>183000</v>
      </c>
      <c r="G39" s="42">
        <f>SUM(G17:G38)</f>
        <v>0</v>
      </c>
      <c r="H39" s="42">
        <f>SUM(H17:H38)</f>
        <v>588600</v>
      </c>
      <c r="I39" s="49"/>
      <c r="J39" s="42">
        <f>SUM(J17:J38)</f>
        <v>224450</v>
      </c>
      <c r="K39" s="42">
        <f>SUM(K17:K38)</f>
        <v>29430</v>
      </c>
    </row>
    <row r="40" spans="1:11" x14ac:dyDescent="0.25">
      <c r="A40" s="25" t="s">
        <v>44</v>
      </c>
      <c r="B40" s="5" t="s">
        <v>18</v>
      </c>
      <c r="C40" s="6"/>
      <c r="D40" s="46"/>
      <c r="E40" s="46"/>
      <c r="F40" s="46"/>
      <c r="G40" s="46"/>
      <c r="H40" s="47"/>
      <c r="I40" s="48"/>
      <c r="J40" s="46"/>
      <c r="K40" s="45"/>
    </row>
    <row r="41" spans="1:11" x14ac:dyDescent="0.25">
      <c r="A41" s="19" t="s">
        <v>41</v>
      </c>
      <c r="B41" s="55" t="s">
        <v>85</v>
      </c>
      <c r="C41" s="8"/>
      <c r="D41" s="46">
        <v>25400</v>
      </c>
      <c r="E41" s="46">
        <v>25400</v>
      </c>
      <c r="F41" s="46">
        <f t="shared" ref="F41:F51" si="7">H41-E41</f>
        <v>0</v>
      </c>
      <c r="G41" s="42"/>
      <c r="H41" s="47">
        <v>25400</v>
      </c>
      <c r="I41" s="48">
        <f t="shared" ref="I41:I51" si="8">H41/D41</f>
        <v>1</v>
      </c>
      <c r="J41" s="46">
        <f t="shared" si="5"/>
        <v>0</v>
      </c>
      <c r="K41" s="45">
        <f t="shared" si="6"/>
        <v>1270</v>
      </c>
    </row>
    <row r="42" spans="1:11" x14ac:dyDescent="0.25">
      <c r="A42" s="19" t="s">
        <v>42</v>
      </c>
      <c r="B42" s="21" t="s">
        <v>86</v>
      </c>
      <c r="C42" s="6"/>
      <c r="D42" s="46">
        <v>959</v>
      </c>
      <c r="E42" s="46">
        <v>0</v>
      </c>
      <c r="F42" s="46">
        <f t="shared" si="7"/>
        <v>0</v>
      </c>
      <c r="G42" s="46"/>
      <c r="H42" s="47">
        <v>0</v>
      </c>
      <c r="I42" s="48">
        <f t="shared" si="8"/>
        <v>0</v>
      </c>
      <c r="J42" s="46">
        <f t="shared" si="5"/>
        <v>959</v>
      </c>
      <c r="K42" s="45">
        <f t="shared" si="6"/>
        <v>0</v>
      </c>
    </row>
    <row r="43" spans="1:11" x14ac:dyDescent="0.25">
      <c r="A43" s="19" t="s">
        <v>43</v>
      </c>
      <c r="B43" s="21" t="s">
        <v>6</v>
      </c>
      <c r="C43" s="6"/>
      <c r="D43" s="46">
        <v>0</v>
      </c>
      <c r="E43" s="46">
        <v>0</v>
      </c>
      <c r="F43" s="46">
        <f t="shared" si="7"/>
        <v>0</v>
      </c>
      <c r="G43" s="46"/>
      <c r="H43" s="47">
        <v>0</v>
      </c>
      <c r="I43" s="48" t="e">
        <f t="shared" si="8"/>
        <v>#DIV/0!</v>
      </c>
      <c r="J43" s="46">
        <f t="shared" si="5"/>
        <v>0</v>
      </c>
      <c r="K43" s="45">
        <f t="shared" si="6"/>
        <v>0</v>
      </c>
    </row>
    <row r="44" spans="1:11" x14ac:dyDescent="0.25">
      <c r="A44" s="19" t="s">
        <v>45</v>
      </c>
      <c r="B44" s="21" t="s">
        <v>6</v>
      </c>
      <c r="C44" s="6"/>
      <c r="D44" s="46">
        <v>0</v>
      </c>
      <c r="E44" s="46">
        <v>0</v>
      </c>
      <c r="F44" s="46">
        <f t="shared" si="7"/>
        <v>0</v>
      </c>
      <c r="G44" s="46"/>
      <c r="H44" s="47">
        <v>0</v>
      </c>
      <c r="I44" s="48" t="e">
        <f t="shared" si="8"/>
        <v>#DIV/0!</v>
      </c>
      <c r="J44" s="46">
        <f t="shared" si="5"/>
        <v>0</v>
      </c>
      <c r="K44" s="45">
        <f t="shared" si="6"/>
        <v>0</v>
      </c>
    </row>
    <row r="45" spans="1:11" x14ac:dyDescent="0.25">
      <c r="A45" s="19" t="s">
        <v>46</v>
      </c>
      <c r="B45" s="21" t="s">
        <v>6</v>
      </c>
      <c r="C45" s="6"/>
      <c r="D45" s="46">
        <v>0</v>
      </c>
      <c r="E45" s="46">
        <v>0</v>
      </c>
      <c r="F45" s="46">
        <f t="shared" si="7"/>
        <v>0</v>
      </c>
      <c r="G45" s="46"/>
      <c r="H45" s="47">
        <v>0</v>
      </c>
      <c r="I45" s="48" t="e">
        <f t="shared" si="8"/>
        <v>#DIV/0!</v>
      </c>
      <c r="J45" s="46">
        <f t="shared" si="5"/>
        <v>0</v>
      </c>
      <c r="K45" s="45">
        <f t="shared" si="6"/>
        <v>0</v>
      </c>
    </row>
    <row r="46" spans="1:11" x14ac:dyDescent="0.25">
      <c r="A46" s="19" t="s">
        <v>47</v>
      </c>
      <c r="B46" s="19" t="s">
        <v>6</v>
      </c>
      <c r="C46" s="6"/>
      <c r="D46" s="46">
        <v>0</v>
      </c>
      <c r="E46" s="46">
        <v>0</v>
      </c>
      <c r="F46" s="46">
        <f t="shared" si="7"/>
        <v>0</v>
      </c>
      <c r="G46" s="46"/>
      <c r="H46" s="47">
        <v>0</v>
      </c>
      <c r="I46" s="48" t="e">
        <f t="shared" si="8"/>
        <v>#DIV/0!</v>
      </c>
      <c r="J46" s="46">
        <f t="shared" si="5"/>
        <v>0</v>
      </c>
      <c r="K46" s="45">
        <f t="shared" si="6"/>
        <v>0</v>
      </c>
    </row>
    <row r="47" spans="1:11" ht="12" customHeight="1" x14ac:dyDescent="0.25">
      <c r="A47" s="19" t="s">
        <v>48</v>
      </c>
      <c r="B47" s="19" t="s">
        <v>6</v>
      </c>
      <c r="C47" s="6"/>
      <c r="D47" s="46">
        <v>0</v>
      </c>
      <c r="E47" s="46">
        <v>0</v>
      </c>
      <c r="F47" s="46">
        <f t="shared" si="7"/>
        <v>0</v>
      </c>
      <c r="G47" s="46"/>
      <c r="H47" s="47">
        <v>0</v>
      </c>
      <c r="I47" s="48" t="e">
        <f t="shared" si="8"/>
        <v>#DIV/0!</v>
      </c>
      <c r="J47" s="46">
        <f t="shared" si="5"/>
        <v>0</v>
      </c>
      <c r="K47" s="45">
        <f t="shared" si="6"/>
        <v>0</v>
      </c>
    </row>
    <row r="48" spans="1:11" ht="12" customHeight="1" x14ac:dyDescent="0.25">
      <c r="A48" s="19" t="s">
        <v>49</v>
      </c>
      <c r="B48" s="19" t="s">
        <v>6</v>
      </c>
      <c r="C48" s="6"/>
      <c r="D48" s="46">
        <v>0</v>
      </c>
      <c r="E48" s="46">
        <v>0</v>
      </c>
      <c r="F48" s="46">
        <f t="shared" si="7"/>
        <v>0</v>
      </c>
      <c r="G48" s="46"/>
      <c r="H48" s="47">
        <v>0</v>
      </c>
      <c r="I48" s="48" t="e">
        <f t="shared" si="8"/>
        <v>#DIV/0!</v>
      </c>
      <c r="J48" s="46">
        <f t="shared" si="5"/>
        <v>0</v>
      </c>
      <c r="K48" s="45">
        <f t="shared" si="6"/>
        <v>0</v>
      </c>
    </row>
    <row r="49" spans="1:11" ht="12" customHeight="1" x14ac:dyDescent="0.25">
      <c r="A49" s="19" t="s">
        <v>50</v>
      </c>
      <c r="B49" s="19" t="s">
        <v>6</v>
      </c>
      <c r="C49" s="6"/>
      <c r="D49" s="46">
        <v>0</v>
      </c>
      <c r="E49" s="46">
        <v>0</v>
      </c>
      <c r="F49" s="46">
        <f t="shared" si="7"/>
        <v>0</v>
      </c>
      <c r="G49" s="46"/>
      <c r="H49" s="47">
        <v>0</v>
      </c>
      <c r="I49" s="48" t="e">
        <f t="shared" si="8"/>
        <v>#DIV/0!</v>
      </c>
      <c r="J49" s="46">
        <f t="shared" si="5"/>
        <v>0</v>
      </c>
      <c r="K49" s="45">
        <f t="shared" si="6"/>
        <v>0</v>
      </c>
    </row>
    <row r="50" spans="1:11" ht="12" customHeight="1" x14ac:dyDescent="0.25">
      <c r="A50" s="19" t="s">
        <v>51</v>
      </c>
      <c r="B50" s="19" t="s">
        <v>6</v>
      </c>
      <c r="C50" s="6"/>
      <c r="D50" s="46">
        <v>0</v>
      </c>
      <c r="E50" s="46">
        <v>0</v>
      </c>
      <c r="F50" s="46">
        <f t="shared" si="7"/>
        <v>0</v>
      </c>
      <c r="G50" s="46"/>
      <c r="H50" s="47">
        <v>0</v>
      </c>
      <c r="I50" s="48" t="e">
        <f t="shared" si="8"/>
        <v>#DIV/0!</v>
      </c>
      <c r="J50" s="46">
        <f t="shared" si="5"/>
        <v>0</v>
      </c>
      <c r="K50" s="45">
        <f t="shared" si="6"/>
        <v>0</v>
      </c>
    </row>
    <row r="51" spans="1:11" x14ac:dyDescent="0.25">
      <c r="A51" s="20"/>
      <c r="B51" s="20"/>
      <c r="C51" s="20"/>
      <c r="D51" s="46">
        <v>0</v>
      </c>
      <c r="E51" s="46">
        <v>0</v>
      </c>
      <c r="F51" s="46">
        <f t="shared" si="7"/>
        <v>0</v>
      </c>
      <c r="G51" s="45"/>
      <c r="H51" s="47">
        <v>0</v>
      </c>
      <c r="I51" s="48" t="e">
        <f t="shared" si="8"/>
        <v>#DIV/0!</v>
      </c>
      <c r="J51" s="46">
        <f t="shared" si="5"/>
        <v>0</v>
      </c>
      <c r="K51" s="45">
        <f t="shared" si="6"/>
        <v>0</v>
      </c>
    </row>
    <row r="52" spans="1:11" ht="13.8" x14ac:dyDescent="0.25">
      <c r="A52" s="56">
        <f>SUM(D41:D51)</f>
        <v>26359</v>
      </c>
      <c r="B52" s="53" t="s">
        <v>22</v>
      </c>
      <c r="C52" s="54"/>
      <c r="D52" s="42">
        <f>SUM(D39:D51)</f>
        <v>839409</v>
      </c>
      <c r="E52" s="42">
        <f>SUM(E39:E51)</f>
        <v>431000</v>
      </c>
      <c r="F52" s="42">
        <f>SUM(F39:F51)</f>
        <v>183000</v>
      </c>
      <c r="G52" s="42">
        <f>SUM(G39:G51)</f>
        <v>0</v>
      </c>
      <c r="H52" s="42">
        <f>SUM(H39:H51)</f>
        <v>614000</v>
      </c>
      <c r="I52" s="49"/>
      <c r="J52" s="42">
        <f>SUM(J39:J51)</f>
        <v>225409</v>
      </c>
      <c r="K52" s="42">
        <f>SUM(K39:K51)</f>
        <v>30700</v>
      </c>
    </row>
    <row r="53" spans="1:11" x14ac:dyDescent="0.25">
      <c r="I53" s="2"/>
    </row>
    <row r="54" spans="1:11" x14ac:dyDescent="0.25">
      <c r="I54" s="2"/>
    </row>
    <row r="55" spans="1:11" x14ac:dyDescent="0.25">
      <c r="C55" s="9"/>
      <c r="I55" s="2"/>
    </row>
    <row r="56" spans="1:11" x14ac:dyDescent="0.25">
      <c r="I56" s="2"/>
    </row>
    <row r="57" spans="1:11" x14ac:dyDescent="0.25">
      <c r="I57" s="2"/>
    </row>
    <row r="58" spans="1:11" x14ac:dyDescent="0.25">
      <c r="I58" s="2"/>
    </row>
    <row r="59" spans="1:11" x14ac:dyDescent="0.25">
      <c r="I59" s="2"/>
    </row>
    <row r="60" spans="1:11" x14ac:dyDescent="0.25">
      <c r="I60" s="2"/>
    </row>
    <row r="61" spans="1:11" x14ac:dyDescent="0.25">
      <c r="I61" s="2"/>
    </row>
    <row r="62" spans="1:11" x14ac:dyDescent="0.25">
      <c r="I62" s="2"/>
    </row>
    <row r="63" spans="1:11" x14ac:dyDescent="0.25">
      <c r="I63" s="2"/>
    </row>
    <row r="64" spans="1:11" x14ac:dyDescent="0.25">
      <c r="I64" s="2"/>
    </row>
    <row r="65" spans="9:9" x14ac:dyDescent="0.25">
      <c r="I65" s="2"/>
    </row>
    <row r="66" spans="9:9" x14ac:dyDescent="0.25">
      <c r="I66" s="2"/>
    </row>
    <row r="67" spans="9:9" x14ac:dyDescent="0.25">
      <c r="I67" s="2"/>
    </row>
    <row r="68" spans="9:9" x14ac:dyDescent="0.25">
      <c r="I68" s="2"/>
    </row>
    <row r="69" spans="9:9" x14ac:dyDescent="0.25">
      <c r="I69" s="2"/>
    </row>
    <row r="70" spans="9:9" x14ac:dyDescent="0.25">
      <c r="I70" s="2"/>
    </row>
    <row r="71" spans="9:9" x14ac:dyDescent="0.25">
      <c r="I71" s="2"/>
    </row>
    <row r="72" spans="9:9" x14ac:dyDescent="0.25">
      <c r="I72" s="2"/>
    </row>
    <row r="73" spans="9:9" x14ac:dyDescent="0.25">
      <c r="I73" s="2"/>
    </row>
    <row r="74" spans="9:9" x14ac:dyDescent="0.25">
      <c r="I74" s="2"/>
    </row>
    <row r="75" spans="9:9" x14ac:dyDescent="0.25">
      <c r="I75" s="2"/>
    </row>
    <row r="76" spans="9:9" x14ac:dyDescent="0.25">
      <c r="I76" s="2"/>
    </row>
    <row r="77" spans="9:9" x14ac:dyDescent="0.25">
      <c r="I77" s="2"/>
    </row>
    <row r="78" spans="9:9" x14ac:dyDescent="0.25">
      <c r="I78" s="2"/>
    </row>
    <row r="79" spans="9:9" x14ac:dyDescent="0.25">
      <c r="I79" s="2"/>
    </row>
    <row r="80" spans="9:9" x14ac:dyDescent="0.25">
      <c r="I80" s="2"/>
    </row>
    <row r="81" spans="9:9" x14ac:dyDescent="0.25">
      <c r="I81" s="2"/>
    </row>
    <row r="82" spans="9:9" x14ac:dyDescent="0.25">
      <c r="I82" s="2"/>
    </row>
    <row r="83" spans="9:9" x14ac:dyDescent="0.25">
      <c r="I83" s="2"/>
    </row>
    <row r="84" spans="9:9" x14ac:dyDescent="0.25">
      <c r="I84" s="2"/>
    </row>
    <row r="85" spans="9:9" x14ac:dyDescent="0.25">
      <c r="I85" s="2"/>
    </row>
    <row r="86" spans="9:9" x14ac:dyDescent="0.25">
      <c r="I86" s="2"/>
    </row>
    <row r="87" spans="9:9" x14ac:dyDescent="0.25">
      <c r="I87" s="2"/>
    </row>
    <row r="88" spans="9:9" x14ac:dyDescent="0.25">
      <c r="I88" s="2"/>
    </row>
    <row r="89" spans="9:9" x14ac:dyDescent="0.25">
      <c r="I89" s="2"/>
    </row>
    <row r="90" spans="9:9" x14ac:dyDescent="0.25">
      <c r="I90" s="2"/>
    </row>
    <row r="91" spans="9:9" x14ac:dyDescent="0.25">
      <c r="I91" s="2"/>
    </row>
    <row r="92" spans="9:9" x14ac:dyDescent="0.25">
      <c r="I92" s="2"/>
    </row>
    <row r="93" spans="9:9" x14ac:dyDescent="0.25">
      <c r="I93" s="2"/>
    </row>
    <row r="94" spans="9:9" x14ac:dyDescent="0.25">
      <c r="I94" s="2"/>
    </row>
    <row r="95" spans="9:9" x14ac:dyDescent="0.25">
      <c r="I95" s="2"/>
    </row>
    <row r="96" spans="9:9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</sheetData>
  <mergeCells count="6">
    <mergeCell ref="A39:B39"/>
    <mergeCell ref="D2:G2"/>
    <mergeCell ref="A4:E4"/>
    <mergeCell ref="A3:H3"/>
    <mergeCell ref="E11:F11"/>
    <mergeCell ref="H10:I10"/>
  </mergeCells>
  <phoneticPr fontId="7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&amp;LChinn Construction, LLC&amp;CBarrett Park Apartments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2013-05-09T14:28:07Z</cp:lastPrinted>
  <dcterms:created xsi:type="dcterms:W3CDTF">2001-02-05T15:33:02Z</dcterms:created>
  <dcterms:modified xsi:type="dcterms:W3CDTF">2013-07-11T15:54:21Z</dcterms:modified>
</cp:coreProperties>
</file>