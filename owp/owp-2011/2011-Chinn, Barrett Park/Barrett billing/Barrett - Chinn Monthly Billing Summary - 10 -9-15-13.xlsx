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/>
  <c r="D35" i="1"/>
  <c r="D44" i="1"/>
  <c r="D46" i="1" s="1"/>
</calcChain>
</file>

<file path=xl/sharedStrings.xml><?xml version="1.0" encoding="utf-8"?>
<sst xmlns="http://schemas.openxmlformats.org/spreadsheetml/2006/main" count="42" uniqueCount="41">
  <si>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</si>
  <si>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</si>
  <si>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</si>
  <si>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</si>
  <si>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</si>
  <si>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</si>
  <si>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</si>
  <si>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</si>
  <si>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</si>
  <si>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</si>
  <si>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</si>
  <si>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</si>
  <si>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</si>
  <si>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</si>
  <si>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</si>
  <si>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</si>
  <si>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</si>
  <si>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</si>
  <si>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</si>
  <si>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</si>
  <si>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</si>
  <si>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</si>
  <si>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</si>
  <si>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</si>
  <si>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</si>
  <si>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</si>
  <si>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</si>
  <si>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</si>
  <si>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</si>
  <si>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</si>
  <si>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</si>
  <si>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</si>
  <si>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</si>
  <si>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</si>
  <si>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</si>
  <si>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</si>
  <si>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</si>
  <si>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</si>
  <si>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ONE WAY PLUMBING, LLC</t>
  </si>
  <si>
    <t>Barrett Park Apartments (12-0806)</t>
  </si>
  <si>
    <t>8-15-2013   -   9-15-2013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</si>
</sst>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1" xfId="0" applyFont="1" applyBorder="1" applyAlignment="1"/>
    <xf numFmtId="0" fontId="0" fillId="0" borderId="1" xfId="0" applyBorder="1" applyAlignment="1"/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K35" sqref="K35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43" t="s">
        <v>15</v>
      </c>
      <c r="B2" s="43"/>
      <c r="C2" s="43"/>
      <c r="D2" s="43"/>
      <c r="E2" s="43"/>
      <c r="F2" s="43"/>
      <c r="G2" s="43"/>
      <c r="H2" s="43"/>
      <c r="I2" s="43"/>
      <c r="J2" s="43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6" t="s">
        <v>39</v>
      </c>
      <c r="D6" s="46"/>
      <c r="E6" s="46"/>
      <c r="F6" s="5"/>
      <c r="G6" s="5"/>
      <c r="H6" s="3"/>
      <c r="I6" s="4" t="s">
        <v>1</v>
      </c>
      <c r="J6" s="9">
        <v>41527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38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39" t="s">
        <v>40</v>
      </c>
      <c r="D12" s="40"/>
      <c r="E12" s="2"/>
      <c r="F12" s="5"/>
      <c r="G12" s="5"/>
      <c r="H12" s="3"/>
      <c r="I12" s="4" t="s">
        <v>11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813050</v>
      </c>
      <c r="E15" s="1" t="s">
        <v>22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33</v>
      </c>
      <c r="D17" s="7">
        <v>26359</v>
      </c>
      <c r="E17" s="1" t="s">
        <v>23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34</v>
      </c>
      <c r="D19" s="7">
        <v>0</v>
      </c>
      <c r="E19" s="1" t="s">
        <v>24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839409</v>
      </c>
      <c r="E23" s="1" t="s">
        <v>35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660409</v>
      </c>
      <c r="E25" s="1" t="s">
        <v>29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179000</v>
      </c>
      <c r="E27" s="1" t="s">
        <v>36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51" t="s">
        <v>14</v>
      </c>
      <c r="B31" s="51"/>
      <c r="C31" s="52"/>
      <c r="D31" s="52"/>
      <c r="E31" s="22"/>
      <c r="F31" s="25"/>
      <c r="G31" s="24"/>
      <c r="H31" s="44"/>
      <c r="I31" s="44"/>
      <c r="J31" s="44"/>
    </row>
    <row r="32" spans="1:10" ht="12" customHeight="1" x14ac:dyDescent="0.25">
      <c r="A32" s="42"/>
      <c r="B32" s="42"/>
      <c r="C32" s="42"/>
      <c r="D32" s="42"/>
      <c r="E32" s="47"/>
      <c r="F32" s="48"/>
      <c r="G32" s="1"/>
      <c r="H32" s="34"/>
      <c r="I32" s="41"/>
      <c r="J32" s="41"/>
    </row>
    <row r="33" spans="1:10" ht="18" customHeight="1" x14ac:dyDescent="0.25">
      <c r="C33" s="4" t="s">
        <v>7</v>
      </c>
      <c r="D33" s="7">
        <v>655009</v>
      </c>
      <c r="E33" s="1" t="s">
        <v>37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9"/>
      <c r="F34" s="50"/>
      <c r="G34" s="1"/>
      <c r="H34" s="34"/>
      <c r="I34" s="29"/>
      <c r="J34" s="35"/>
    </row>
    <row r="35" spans="1:10" ht="18" customHeight="1" x14ac:dyDescent="0.25">
      <c r="C35" s="4" t="s">
        <v>18</v>
      </c>
      <c r="D35" s="7">
        <f>D33*5%</f>
        <v>32750.45</v>
      </c>
      <c r="E35" s="1" t="s">
        <v>30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12</v>
      </c>
      <c r="D37" s="33">
        <v>583300</v>
      </c>
      <c r="E37" s="38" t="s">
        <v>32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5" t="s">
        <v>10</v>
      </c>
      <c r="B40" s="45"/>
      <c r="C40" s="45"/>
      <c r="D40" s="45"/>
      <c r="E40" s="36"/>
      <c r="F40" s="23"/>
      <c r="G40" s="23"/>
      <c r="H40" s="23"/>
      <c r="J40" s="31"/>
    </row>
    <row r="41" spans="1:10" ht="18" customHeight="1" x14ac:dyDescent="0.25">
      <c r="A41" s="1"/>
      <c r="B41" s="42"/>
      <c r="C41" s="42"/>
      <c r="D41" s="42"/>
      <c r="F41" s="23"/>
      <c r="G41" s="23"/>
      <c r="H41" s="23"/>
      <c r="J41" s="31"/>
    </row>
    <row r="42" spans="1:10" ht="18" customHeight="1" x14ac:dyDescent="0.25">
      <c r="A42" s="1"/>
      <c r="C42" s="32" t="s">
        <v>21</v>
      </c>
      <c r="D42" s="7">
        <v>5400</v>
      </c>
      <c r="E42" s="1" t="s">
        <v>25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20</v>
      </c>
      <c r="D44" s="7">
        <f>D42*5%</f>
        <v>270</v>
      </c>
      <c r="E44" s="1" t="s">
        <v>28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19</v>
      </c>
      <c r="D46" s="33">
        <f>D42-D44</f>
        <v>5130</v>
      </c>
      <c r="E46" s="1" t="s">
        <v>31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17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13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16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26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27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B41:D41"/>
    <mergeCell ref="A40:D40"/>
    <mergeCell ref="C6:E6"/>
    <mergeCell ref="E32:F32"/>
    <mergeCell ref="E34:F34"/>
    <mergeCell ref="A31:D31"/>
    <mergeCell ref="C12:D12"/>
    <mergeCell ref="I32:J32"/>
    <mergeCell ref="A32:D32"/>
    <mergeCell ref="A2:J2"/>
    <mergeCell ref="H31:J31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2013-09-10T14:39:16Z</dcterms:modified>
</cp:coreProperties>
</file>