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op Vendors" sheetId="2" state="visible" r:id="rId4"/>
    <sheet name="Cross-Job Matrix" sheetId="3" state="visible" r:id="rId5"/>
    <sheet name="2001 Vendors" sheetId="4" state="visible" r:id="rId6"/>
    <sheet name="2008 Vendors" sheetId="5" state="visible" r:id="rId7"/>
    <sheet name="2009 Vendors" sheetId="6" state="visible" r:id="rId8"/>
    <sheet name="2010 Vendors" sheetId="7" state="visible" r:id="rId9"/>
    <sheet name="2011 Vendors" sheetId="8" state="visible" r:id="rId10"/>
    <sheet name="2012 Vendors" sheetId="9" state="visible" r:id="rId11"/>
    <sheet name="2015 Vendors" sheetId="10" state="visible" r:id="rId12"/>
    <sheet name="2016 Vendors" sheetId="11" state="visible" r:id="rId13"/>
    <sheet name="2017 Vendors" sheetId="12" state="visible" r:id="rId14"/>
    <sheet name="2018 Vendors" sheetId="13" state="visible" r:id="rId15"/>
    <sheet name="2019 Vendors" sheetId="14" state="visible" r:id="rId16"/>
    <sheet name="2020 Vendors" sheetId="15" state="visible" r:id="rId17"/>
    <sheet name="2021 Vendors" sheetId="16" state="visible" r:id="rId18"/>
    <sheet name="2022 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<sst xmlns="http://schemas.openxmlformats.org/spreadsheetml/2006/main" count="643" uniqueCount="141">
  <si>
    <t xml:space="preserve">OWP Vendor Analysis — All Projects 2001–2022 (14 Jobs)</t>
  </si>
  <si>
    <t xml:space="preserve">Scope</t>
  </si>
  <si>
    <t xml:space="preserve">14 multifamily plumbing projects, AP vendor data parsed from Sage Timberline JDR exports</t>
  </si>
  <si>
    <t xml:space="preserve">Total AP</t>
  </si>
  <si>
    <t xml:space="preserve">Job #</t>
  </si>
  <si>
    <t xml:space="preserve">Project</t>
  </si>
  <si>
    <t xml:space="preserve">Vendors</t>
  </si>
  <si>
    <t xml:space="preserve">Invoices</t>
  </si>
  <si>
    <t xml:space="preserve">Avg / Inv</t>
  </si>
  <si>
    <t xml:space="preserve">Top Vendor</t>
  </si>
  <si>
    <t xml:space="preserve">Top Vendor %</t>
  </si>
  <si>
    <t xml:space="preserve">2001</t>
  </si>
  <si>
    <t xml:space="preserve">SRM Pike Motorworks Apartments</t>
  </si>
  <si>
    <t xml:space="preserve">Ferguson Enterprises, Inc.</t>
  </si>
  <si>
    <t xml:space="preserve">2008</t>
  </si>
  <si>
    <t xml:space="preserve">SRM 101 Taylor Apartments</t>
  </si>
  <si>
    <t xml:space="preserve">2009</t>
  </si>
  <si>
    <t xml:space="preserve">Chinn Park Greenwood Apartments</t>
  </si>
  <si>
    <t xml:space="preserve">2010</t>
  </si>
  <si>
    <t xml:space="preserve">Chinn Park Old Town Apartments</t>
  </si>
  <si>
    <t xml:space="preserve">Rosen Supply Company, Inc.</t>
  </si>
  <si>
    <t xml:space="preserve">2011</t>
  </si>
  <si>
    <t xml:space="preserve">Exxel Pacific Alley111 Apartments</t>
  </si>
  <si>
    <t xml:space="preserve">2012</t>
  </si>
  <si>
    <t xml:space="preserve">SRM Ravenna Springs Apartments</t>
  </si>
  <si>
    <t xml:space="preserve">Keller Supply Company</t>
  </si>
  <si>
    <t xml:space="preserve">2015</t>
  </si>
  <si>
    <t xml:space="preserve">Exxel Pacific Pine/Minor Apartments</t>
  </si>
  <si>
    <t xml:space="preserve">2016</t>
  </si>
  <si>
    <t xml:space="preserve">Exxel Pacific Alley24 Lofts</t>
  </si>
  <si>
    <t xml:space="preserve">2017</t>
  </si>
  <si>
    <t xml:space="preserve">Exxel Pacific 3636 Stone Way Apartments</t>
  </si>
  <si>
    <t xml:space="preserve">Consolidated Supply Co.</t>
  </si>
  <si>
    <t xml:space="preserve">2018</t>
  </si>
  <si>
    <t xml:space="preserve">SRM Astro Apartments</t>
  </si>
  <si>
    <t xml:space="preserve">2019</t>
  </si>
  <si>
    <t xml:space="preserve">Exxel Pacific 8th &amp; Republican Apartments</t>
  </si>
  <si>
    <t xml:space="preserve">2020</t>
  </si>
  <si>
    <t xml:space="preserve">SRM Bellevue @ Main Apartments</t>
  </si>
  <si>
    <t xml:space="preserve">2021</t>
  </si>
  <si>
    <t xml:space="preserve">Exxel Pacific Admiral East Apartments</t>
  </si>
  <si>
    <t xml:space="preserve">2022</t>
  </si>
  <si>
    <t xml:space="preserve">Exxel Pacific 3651 Interlake Apartments</t>
  </si>
  <si>
    <t xml:space="preserve">TOTAL</t>
  </si>
  <si>
    <t xml:space="preserve">14 Jobs (2001–2022)</t>
  </si>
  <si>
    <t xml:space="preserve">Top Vendors — Combined Across All 14 Projects</t>
  </si>
  <si>
    <t xml:space="preserve">Rank</t>
  </si>
  <si>
    <t xml:space="preserve">Vendor</t>
  </si>
  <si>
    <t xml:space="preserve">Jobs</t>
  </si>
  <si>
    <t xml:space="preserve">Total Spend</t>
  </si>
  <si>
    <t xml:space="preserve">% of Total</t>
  </si>
  <si>
    <t xml:space="preserve">Tenure</t>
  </si>
  <si>
    <t xml:space="preserve">2001–2022</t>
  </si>
  <si>
    <t xml:space="preserve">2008–2022</t>
  </si>
  <si>
    <t xml:space="preserve">Mechanical Sales, Inc.</t>
  </si>
  <si>
    <t xml:space="preserve">2001–2021</t>
  </si>
  <si>
    <t xml:space="preserve">Franklin Engineering</t>
  </si>
  <si>
    <t xml:space="preserve">Rosen Supply Company</t>
  </si>
  <si>
    <t xml:space="preserve">2020–2022</t>
  </si>
  <si>
    <t xml:space="preserve">Bank of America CC</t>
  </si>
  <si>
    <t xml:space="preserve">Quality Concrete Products, Inc.</t>
  </si>
  <si>
    <t xml:space="preserve">Duraseal, Inc.</t>
  </si>
  <si>
    <t xml:space="preserve">2008–2017</t>
  </si>
  <si>
    <t xml:space="preserve">United Rentals, Inc.</t>
  </si>
  <si>
    <t xml:space="preserve">2010–2020</t>
  </si>
  <si>
    <t xml:space="preserve">Lotus United, LLC</t>
  </si>
  <si>
    <t xml:space="preserve">2015–2019</t>
  </si>
  <si>
    <t xml:space="preserve">Capital One Credit Card</t>
  </si>
  <si>
    <t xml:space="preserve">Scan2Core, Inc.</t>
  </si>
  <si>
    <t xml:space="preserve">2015–2021</t>
  </si>
  <si>
    <t xml:space="preserve">Fastenal Company</t>
  </si>
  <si>
    <t xml:space="preserve">2001–2020</t>
  </si>
  <si>
    <t xml:space="preserve">American Express 3-41000</t>
  </si>
  <si>
    <t xml:space="preserve">2008–2020</t>
  </si>
  <si>
    <t xml:space="preserve">Specification Sales, Inc.</t>
  </si>
  <si>
    <t xml:space="preserve">2021–2021</t>
  </si>
  <si>
    <t xml:space="preserve">Hudson Bay Insulation</t>
  </si>
  <si>
    <t xml:space="preserve">2019–2019</t>
  </si>
  <si>
    <t xml:space="preserve">Ferguson Enterprises, Inc. #3007</t>
  </si>
  <si>
    <t xml:space="preserve">Rosen Supply Kirkland</t>
  </si>
  <si>
    <t xml:space="preserve">2010–2022</t>
  </si>
  <si>
    <t xml:space="preserve">Kele, Inc</t>
  </si>
  <si>
    <t xml:space="preserve">2008–2021</t>
  </si>
  <si>
    <t xml:space="preserve">Manor Hardware &amp; Construction Supply</t>
  </si>
  <si>
    <t xml:space="preserve">2010–2021</t>
  </si>
  <si>
    <t xml:space="preserve">MAD Concrete Cutting &amp; Coring, Inc.</t>
  </si>
  <si>
    <t xml:space="preserve">C.M. Hoskins Company</t>
  </si>
  <si>
    <t xml:space="preserve">Mickelo Construction LLC</t>
  </si>
  <si>
    <t xml:space="preserve">2009–2011</t>
  </si>
  <si>
    <t xml:space="preserve">Core &amp; Main LP</t>
  </si>
  <si>
    <t xml:space="preserve">2011–2021</t>
  </si>
  <si>
    <t xml:space="preserve">Evergreen Concrete Cutting, Inc.</t>
  </si>
  <si>
    <t xml:space="preserve">2001–2008</t>
  </si>
  <si>
    <t xml:space="preserve">Balco Inc</t>
  </si>
  <si>
    <t xml:space="preserve">Cascade Restoration Co.</t>
  </si>
  <si>
    <t xml:space="preserve">2017–2022</t>
  </si>
  <si>
    <t xml:space="preserve">MP Industrial</t>
  </si>
  <si>
    <t xml:space="preserve">2001–2001</t>
  </si>
  <si>
    <t xml:space="preserve">Patchworks, Inc.</t>
  </si>
  <si>
    <t xml:space="preserve">2012–2022</t>
  </si>
  <si>
    <t xml:space="preserve">DRSi</t>
  </si>
  <si>
    <t xml:space="preserve">2001–2018</t>
  </si>
  <si>
    <t xml:space="preserve">Herc Rentals, Inc.</t>
  </si>
  <si>
    <t xml:space="preserve">Shirley Dennison</t>
  </si>
  <si>
    <t xml:space="preserve">2020–2020</t>
  </si>
  <si>
    <t xml:space="preserve">R.A. Brown Backflow Testing</t>
  </si>
  <si>
    <t xml:space="preserve">Standard Parking</t>
  </si>
  <si>
    <t xml:space="preserve">Seton Identification Products</t>
  </si>
  <si>
    <t xml:space="preserve">2015–2020</t>
  </si>
  <si>
    <t xml:space="preserve">A.R. Brown Backflow Testing</t>
  </si>
  <si>
    <t xml:space="preserve">Structural Imaging, LLC</t>
  </si>
  <si>
    <t xml:space="preserve">ACME Corp</t>
  </si>
  <si>
    <t xml:space="preserve">2019–2021</t>
  </si>
  <si>
    <t xml:space="preserve">AllWest Underground, Inc.</t>
  </si>
  <si>
    <t xml:space="preserve">Beacon Building Products</t>
  </si>
  <si>
    <t xml:space="preserve">NRP-Meydenbauer</t>
  </si>
  <si>
    <t xml:space="preserve">Platt</t>
  </si>
  <si>
    <t xml:space="preserve">2008–2008</t>
  </si>
  <si>
    <t xml:space="preserve">Hilti, Inc.</t>
  </si>
  <si>
    <t xml:space="preserve">2022–2022</t>
  </si>
  <si>
    <t xml:space="preserve">Pacific Plumbing Supply Co., LLC</t>
  </si>
  <si>
    <t xml:space="preserve">2010–2010</t>
  </si>
  <si>
    <t xml:space="preserve">Airgas USA, LLC</t>
  </si>
  <si>
    <t xml:space="preserve">Vendor Spend by Project — Cross-Job Matrix</t>
  </si>
  <si>
    <t xml:space="preserve">Total</t>
  </si>
  <si>
    <t xml:space="preserve">2001 — SRM Pike Motorworks Apartments — Vendor Detail</t>
  </si>
  <si>
    <t xml:space="preserve">Vendor Code</t>
  </si>
  <si>
    <t xml:space="preserve">% of AP</t>
  </si>
  <si>
    <t xml:space="preserve">2008 — SRM 101 Taylor Apartments — Vendor Detail</t>
  </si>
  <si>
    <t xml:space="preserve">2009 — Chinn Park Greenwood Apartments — Vendor Detail</t>
  </si>
  <si>
    <t xml:space="preserve">2010 — Chinn Park Old Town Apartments — Vendor Detail</t>
  </si>
  <si>
    <t xml:space="preserve">2011 — Exxel Pacific Alley111 Apartments — Vendor Detail</t>
  </si>
  <si>
    <t xml:space="preserve">2012 — SRM Ravenna Springs Apartments — Vendor Detail</t>
  </si>
  <si>
    <t xml:space="preserve">2015 — Exxel Pacific Pine/Minor Apartments — Vendor Detail</t>
  </si>
  <si>
    <t xml:space="preserve">2016 — Exxel Pacific Alley24 Lofts — Vendor Detail</t>
  </si>
  <si>
    <t xml:space="preserve">2017 — Exxel Pacific 3636 Stone Way Apartments — Vendor Detail</t>
  </si>
  <si>
    <t xml:space="preserve">2018 — SRM Astro Apartments — Vendor Detail</t>
  </si>
  <si>
    <t xml:space="preserve">2019 — Exxel Pacific 8th &amp; Republican Apartments — Vendor Detail</t>
  </si>
  <si>
    <t xml:space="preserve">2020 — SRM Bellevue @ Main Apartments — Vendor Detail</t>
  </si>
  <si>
    <t xml:space="preserve">2021 — Exxel Pacific Admiral East Apartments — Vendor Detail</t>
  </si>
  <si>
    <t xml:space="preserve">2022 — Exxel Pacific 3651 Interlake Apartments — Vendor Detail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</si>
</sst>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3" t="n">
        <v>6946572.55</v>
      </c>
    </row>
    <row r="6" customFormat="false" ht="19.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3</v>
      </c>
      <c r="F6" s="4" t="s">
        <v>8</v>
      </c>
      <c r="G6" s="4" t="s">
        <v>9</v>
      </c>
      <c r="H6" s="4" t="s">
        <v>10</v>
      </c>
    </row>
    <row r="7" customFormat="false" ht="15" hidden="false" customHeight="false" outlineLevel="0" collapsed="false">
      <c r="A7" s="5" t="s">
        <v>11</v>
      </c>
      <c r="B7" s="6" t="s">
        <v>12</v>
      </c>
      <c r="C7" s="5" t="n">
        <v>16</v>
      </c>
      <c r="D7" s="5" t="n">
        <v>433</v>
      </c>
      <c r="E7" s="7" t="n">
        <v>739308.9</v>
      </c>
      <c r="F7" s="8" t="n">
        <f aca="false">E7/D7</f>
        <v>1707.41085450346</v>
      </c>
      <c r="G7" s="6" t="s">
        <v>13</v>
      </c>
      <c r="H7" s="9" t="n">
        <v>0.464436597476373</v>
      </c>
    </row>
    <row r="8" customFormat="false" ht="15" hidden="false" customHeight="false" outlineLevel="0" collapsed="false">
      <c r="A8" s="10" t="s">
        <v>14</v>
      </c>
      <c r="B8" s="11" t="s">
        <v>15</v>
      </c>
      <c r="C8" s="10" t="n">
        <v>20</v>
      </c>
      <c r="D8" s="10" t="n">
        <v>585</v>
      </c>
      <c r="E8" s="12" t="n">
        <v>974278.44</v>
      </c>
      <c r="F8" s="13" t="n">
        <f aca="false">E8/D8</f>
        <v>1665.43323076923</v>
      </c>
      <c r="G8" s="11" t="s">
        <v>13</v>
      </c>
      <c r="H8" s="14" t="n">
        <v>0.613362808274809</v>
      </c>
    </row>
    <row r="9" customFormat="false" ht="15" hidden="false" customHeight="false" outlineLevel="0" collapsed="false">
      <c r="A9" s="5" t="s">
        <v>16</v>
      </c>
      <c r="B9" s="6" t="s">
        <v>17</v>
      </c>
      <c r="C9" s="5" t="n">
        <v>13</v>
      </c>
      <c r="D9" s="5" t="n">
        <v>98</v>
      </c>
      <c r="E9" s="7" t="n">
        <v>174470.05</v>
      </c>
      <c r="F9" s="8" t="n">
        <f aca="false">E9/D9</f>
        <v>1780.30663265306</v>
      </c>
      <c r="G9" s="6" t="s">
        <v>13</v>
      </c>
      <c r="H9" s="9" t="n">
        <v>0.673118452135481</v>
      </c>
    </row>
    <row r="10" customFormat="false" ht="15" hidden="false" customHeight="false" outlineLevel="0" collapsed="false">
      <c r="A10" s="10" t="s">
        <v>18</v>
      </c>
      <c r="B10" s="11" t="s">
        <v>19</v>
      </c>
      <c r="C10" s="10" t="n">
        <v>18</v>
      </c>
      <c r="D10" s="10" t="n">
        <v>175</v>
      </c>
      <c r="E10" s="12" t="n">
        <v>362721.85</v>
      </c>
      <c r="F10" s="13" t="n">
        <f aca="false">E10/D10</f>
        <v>2072.69628571429</v>
      </c>
      <c r="G10" s="11" t="s">
        <v>20</v>
      </c>
      <c r="H10" s="14" t="n">
        <v>0.595111488320872</v>
      </c>
    </row>
    <row r="11" customFormat="false" ht="15" hidden="false" customHeight="false" outlineLevel="0" collapsed="false">
      <c r="A11" s="5" t="s">
        <v>21</v>
      </c>
      <c r="B11" s="6" t="s">
        <v>22</v>
      </c>
      <c r="C11" s="5" t="n">
        <v>14</v>
      </c>
      <c r="D11" s="5" t="n">
        <v>123</v>
      </c>
      <c r="E11" s="7" t="n">
        <v>387378.94</v>
      </c>
      <c r="F11" s="8" t="n">
        <f aca="false">E11/D11</f>
        <v>3149.42227642276</v>
      </c>
      <c r="G11" s="6" t="s">
        <v>13</v>
      </c>
      <c r="H11" s="9" t="n">
        <v>0.780144062555388</v>
      </c>
    </row>
    <row r="12" customFormat="false" ht="15" hidden="false" customHeight="false" outlineLevel="0" collapsed="false">
      <c r="A12" s="10" t="s">
        <v>23</v>
      </c>
      <c r="B12" s="11" t="s">
        <v>24</v>
      </c>
      <c r="C12" s="10" t="n">
        <v>16</v>
      </c>
      <c r="D12" s="10" t="n">
        <v>186</v>
      </c>
      <c r="E12" s="12" t="n">
        <v>409754.59</v>
      </c>
      <c r="F12" s="13" t="n">
        <f aca="false">E12/D12</f>
        <v>2202.98166666667</v>
      </c>
      <c r="G12" s="11" t="s">
        <v>25</v>
      </c>
      <c r="H12" s="14" t="n">
        <v>0.376967394068728</v>
      </c>
    </row>
    <row r="13" customFormat="false" ht="15" hidden="false" customHeight="false" outlineLevel="0" collapsed="false">
      <c r="A13" s="5" t="s">
        <v>26</v>
      </c>
      <c r="B13" s="6" t="s">
        <v>27</v>
      </c>
      <c r="C13" s="5" t="n">
        <v>24</v>
      </c>
      <c r="D13" s="5" t="n">
        <v>368</v>
      </c>
      <c r="E13" s="7" t="n">
        <v>741273.37</v>
      </c>
      <c r="F13" s="8" t="n">
        <f aca="false">E13/D13</f>
        <v>2014.32980978261</v>
      </c>
      <c r="G13" s="6" t="s">
        <v>20</v>
      </c>
      <c r="H13" s="9" t="n">
        <v>0.259919265681971</v>
      </c>
    </row>
    <row r="14" customFormat="false" ht="15" hidden="false" customHeight="false" outlineLevel="0" collapsed="false">
      <c r="A14" s="10" t="s">
        <v>28</v>
      </c>
      <c r="B14" s="11" t="s">
        <v>29</v>
      </c>
      <c r="C14" s="10" t="n">
        <v>9</v>
      </c>
      <c r="D14" s="10" t="n">
        <v>85</v>
      </c>
      <c r="E14" s="12" t="n">
        <v>106352.55</v>
      </c>
      <c r="F14" s="13" t="n">
        <f aca="false">E14/D14</f>
        <v>1251.20647058824</v>
      </c>
      <c r="G14" s="11" t="s">
        <v>25</v>
      </c>
      <c r="H14" s="14" t="n">
        <v>0.704720667252454</v>
      </c>
    </row>
    <row r="15" customFormat="false" ht="15" hidden="false" customHeight="false" outlineLevel="0" collapsed="false">
      <c r="A15" s="5" t="s">
        <v>30</v>
      </c>
      <c r="B15" s="6" t="s">
        <v>31</v>
      </c>
      <c r="C15" s="5" t="n">
        <v>20</v>
      </c>
      <c r="D15" s="5" t="n">
        <v>266</v>
      </c>
      <c r="E15" s="7" t="n">
        <v>458376.37</v>
      </c>
      <c r="F15" s="8" t="n">
        <f aca="false">E15/D15</f>
        <v>1723.21943609023</v>
      </c>
      <c r="G15" s="6" t="s">
        <v>32</v>
      </c>
      <c r="H15" s="9" t="n">
        <v>0.385210651238414</v>
      </c>
    </row>
    <row r="16" customFormat="false" ht="15" hidden="false" customHeight="false" outlineLevel="0" collapsed="false">
      <c r="A16" s="10" t="s">
        <v>33</v>
      </c>
      <c r="B16" s="11" t="s">
        <v>34</v>
      </c>
      <c r="C16" s="10" t="n">
        <v>19</v>
      </c>
      <c r="D16" s="10" t="n">
        <v>301</v>
      </c>
      <c r="E16" s="12" t="n">
        <v>535198.25</v>
      </c>
      <c r="F16" s="13" t="n">
        <f aca="false">E16/D16</f>
        <v>1778.06727574751</v>
      </c>
      <c r="G16" s="11" t="s">
        <v>20</v>
      </c>
      <c r="H16" s="14" t="n">
        <v>0.351140666098964</v>
      </c>
    </row>
    <row r="17" customFormat="false" ht="15" hidden="false" customHeight="false" outlineLevel="0" collapsed="false">
      <c r="A17" s="5" t="s">
        <v>35</v>
      </c>
      <c r="B17" s="6" t="s">
        <v>36</v>
      </c>
      <c r="C17" s="5" t="n">
        <v>25</v>
      </c>
      <c r="D17" s="5" t="n">
        <v>402</v>
      </c>
      <c r="E17" s="7" t="n">
        <v>766653.25</v>
      </c>
      <c r="F17" s="8" t="n">
        <f aca="false">E17/D17</f>
        <v>1907.09763681592</v>
      </c>
      <c r="G17" s="6" t="s">
        <v>20</v>
      </c>
      <c r="H17" s="9" t="n">
        <v>0.323501765628725</v>
      </c>
    </row>
    <row r="18" customFormat="false" ht="15" hidden="false" customHeight="false" outlineLevel="0" collapsed="false">
      <c r="A18" s="10" t="s">
        <v>37</v>
      </c>
      <c r="B18" s="11" t="s">
        <v>38</v>
      </c>
      <c r="C18" s="10" t="n">
        <v>21</v>
      </c>
      <c r="D18" s="10" t="n">
        <v>545</v>
      </c>
      <c r="E18" s="12" t="n">
        <v>792734.87</v>
      </c>
      <c r="F18" s="13" t="n">
        <f aca="false">E18/D18</f>
        <v>1454.55939449541</v>
      </c>
      <c r="G18" s="11" t="s">
        <v>13</v>
      </c>
      <c r="H18" s="14" t="n">
        <v>0.272697982870364</v>
      </c>
    </row>
    <row r="19" customFormat="false" ht="15" hidden="false" customHeight="false" outlineLevel="0" collapsed="false">
      <c r="A19" s="5" t="s">
        <v>39</v>
      </c>
      <c r="B19" s="6" t="s">
        <v>40</v>
      </c>
      <c r="C19" s="5" t="n">
        <v>21</v>
      </c>
      <c r="D19" s="5" t="n">
        <v>280</v>
      </c>
      <c r="E19" s="7" t="n">
        <v>436423.47</v>
      </c>
      <c r="F19" s="8" t="n">
        <f aca="false">E19/D19</f>
        <v>1558.65525</v>
      </c>
      <c r="G19" s="6" t="s">
        <v>13</v>
      </c>
      <c r="H19" s="9" t="n">
        <v>0.278409133220998</v>
      </c>
    </row>
    <row r="20" customFormat="false" ht="15" hidden="false" customHeight="false" outlineLevel="0" collapsed="false">
      <c r="A20" s="10" t="s">
        <v>41</v>
      </c>
      <c r="B20" s="11" t="s">
        <v>42</v>
      </c>
      <c r="C20" s="10" t="n">
        <v>13</v>
      </c>
      <c r="D20" s="10" t="n">
        <v>63</v>
      </c>
      <c r="E20" s="12" t="n">
        <v>61647.65</v>
      </c>
      <c r="F20" s="13" t="n">
        <f aca="false">E20/D20</f>
        <v>978.534126984127</v>
      </c>
      <c r="G20" s="11" t="s">
        <v>32</v>
      </c>
      <c r="H20" s="14" t="n">
        <v>0.386723743727458</v>
      </c>
    </row>
    <row r="21" customFormat="false" ht="15" hidden="false" customHeight="false" outlineLevel="0" collapsed="false">
      <c r="A21" s="15" t="s">
        <v>43</v>
      </c>
      <c r="B21" s="15" t="s">
        <v>44</v>
      </c>
      <c r="C21" s="15" t="n">
        <f aca="false">SUM(C7:C20)</f>
        <v>249</v>
      </c>
      <c r="D21" s="15" t="n">
        <f aca="false">SUM(D7:D20)</f>
        <v>3910</v>
      </c>
      <c r="E21" s="16" t="n">
        <f aca="false">SUM(E7:E20)</f>
        <v>6946572.55</v>
      </c>
      <c r="F21" s="16" t="n">
        <f aca="false">E21/D21</f>
        <v>1776.61702046036</v>
      </c>
      <c r="G21" s="17"/>
      <c r="H21" s="1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3" customFormat="false" ht="19.5" hidden="false" customHeight="true" outlineLevel="0" collapsed="false">
      <c r="A3" s="4" t="s">
        <v>46</v>
      </c>
      <c r="B3" s="4" t="s">
        <v>47</v>
      </c>
      <c r="C3" s="4" t="s">
        <v>48</v>
      </c>
      <c r="D3" s="4" t="s">
        <v>7</v>
      </c>
      <c r="E3" s="4" t="s">
        <v>49</v>
      </c>
      <c r="F3" s="4" t="s">
        <v>50</v>
      </c>
      <c r="G3" s="4" t="s">
        <v>8</v>
      </c>
      <c r="H3" s="4" t="s">
        <v>51</v>
      </c>
    </row>
    <row r="4" customFormat="false" ht="15" hidden="false" customHeight="false" outlineLevel="0" collapsed="false">
      <c r="A4" s="18" t="n">
        <v>1</v>
      </c>
      <c r="B4" s="19" t="s">
        <v>13</v>
      </c>
      <c r="C4" s="18" t="n">
        <v>14</v>
      </c>
      <c r="D4" s="18" t="n">
        <v>1072</v>
      </c>
      <c r="E4" s="20" t="n">
        <v>2322514.21</v>
      </c>
      <c r="F4" s="21" t="n">
        <f aca="false">E4/E$51</f>
        <v>0.33433958880916</v>
      </c>
      <c r="G4" s="22" t="n">
        <f aca="false">E4/D4</f>
        <v>2166.52444962687</v>
      </c>
      <c r="H4" s="18" t="s">
        <v>52</v>
      </c>
    </row>
    <row r="5" customFormat="false" ht="15" hidden="false" customHeight="false" outlineLevel="0" collapsed="false">
      <c r="A5" s="18" t="n">
        <v>2</v>
      </c>
      <c r="B5" s="19" t="s">
        <v>25</v>
      </c>
      <c r="C5" s="18" t="n">
        <v>14</v>
      </c>
      <c r="D5" s="18" t="n">
        <v>722</v>
      </c>
      <c r="E5" s="20" t="n">
        <v>1273224.56</v>
      </c>
      <c r="F5" s="21" t="n">
        <f aca="false">E5/E$51</f>
        <v>0.183288168493972</v>
      </c>
      <c r="G5" s="22" t="n">
        <f aca="false">E5/D5</f>
        <v>1763.46891966759</v>
      </c>
      <c r="H5" s="18" t="s">
        <v>52</v>
      </c>
    </row>
    <row r="6" customFormat="false" ht="15" hidden="false" customHeight="false" outlineLevel="0" collapsed="false">
      <c r="A6" s="18" t="n">
        <v>3</v>
      </c>
      <c r="B6" s="19" t="s">
        <v>20</v>
      </c>
      <c r="C6" s="18" t="n">
        <v>13</v>
      </c>
      <c r="D6" s="18" t="n">
        <v>671</v>
      </c>
      <c r="E6" s="20" t="n">
        <v>1164113.52</v>
      </c>
      <c r="F6" s="21" t="n">
        <f aca="false">E6/E$51</f>
        <v>0.167580992154181</v>
      </c>
      <c r="G6" s="22" t="n">
        <f aca="false">E6/D6</f>
        <v>1734.89347242921</v>
      </c>
      <c r="H6" s="18" t="s">
        <v>53</v>
      </c>
    </row>
    <row r="7" customFormat="false" ht="15" hidden="false" customHeight="false" outlineLevel="0" collapsed="false">
      <c r="A7" s="18" t="n">
        <v>4</v>
      </c>
      <c r="B7" s="19" t="s">
        <v>54</v>
      </c>
      <c r="C7" s="18" t="n">
        <v>11</v>
      </c>
      <c r="D7" s="18" t="n">
        <v>42</v>
      </c>
      <c r="E7" s="20" t="n">
        <v>519106.24</v>
      </c>
      <c r="F7" s="21" t="n">
        <f aca="false">E7/E$51</f>
        <v>0.0747283982515953</v>
      </c>
      <c r="G7" s="22" t="n">
        <f aca="false">E7/D7</f>
        <v>12359.6723809524</v>
      </c>
      <c r="H7" s="18" t="s">
        <v>55</v>
      </c>
    </row>
    <row r="8" customFormat="false" ht="15" hidden="false" customHeight="false" outlineLevel="0" collapsed="false">
      <c r="A8" s="18" t="n">
        <v>5</v>
      </c>
      <c r="B8" s="19" t="s">
        <v>32</v>
      </c>
      <c r="C8" s="18" t="n">
        <v>10</v>
      </c>
      <c r="D8" s="18" t="n">
        <v>222</v>
      </c>
      <c r="E8" s="20" t="n">
        <v>366982.17</v>
      </c>
      <c r="F8" s="21" t="n">
        <f aca="false">E8/E$51</f>
        <v>0.0528292431063719</v>
      </c>
      <c r="G8" s="22" t="n">
        <f aca="false">E8/D8</f>
        <v>1653.07283783784</v>
      </c>
      <c r="H8" s="18" t="s">
        <v>53</v>
      </c>
    </row>
    <row r="9" customFormat="false" ht="15" hidden="false" customHeight="false" outlineLevel="0" collapsed="false">
      <c r="A9" s="10" t="n">
        <v>6</v>
      </c>
      <c r="B9" s="11" t="s">
        <v>56</v>
      </c>
      <c r="C9" s="10" t="n">
        <v>12</v>
      </c>
      <c r="D9" s="10" t="n">
        <v>79</v>
      </c>
      <c r="E9" s="12" t="n">
        <v>360601.41</v>
      </c>
      <c r="F9" s="23" t="n">
        <f aca="false">E9/E$51</f>
        <v>0.0519106951528204</v>
      </c>
      <c r="G9" s="13" t="n">
        <f aca="false">E9/D9</f>
        <v>4564.57481012658</v>
      </c>
      <c r="H9" s="10" t="s">
        <v>52</v>
      </c>
    </row>
    <row r="10" customFormat="false" ht="15" hidden="false" customHeight="false" outlineLevel="0" collapsed="false">
      <c r="A10" s="5" t="n">
        <v>7</v>
      </c>
      <c r="B10" s="6" t="s">
        <v>57</v>
      </c>
      <c r="C10" s="5" t="n">
        <v>3</v>
      </c>
      <c r="D10" s="5" t="n">
        <v>262</v>
      </c>
      <c r="E10" s="7" t="n">
        <v>304400.26</v>
      </c>
      <c r="F10" s="24" t="n">
        <f aca="false">E10/E$51</f>
        <v>0.0438202088596915</v>
      </c>
      <c r="G10" s="8" t="n">
        <f aca="false">E10/D10</f>
        <v>1161.83305343511</v>
      </c>
      <c r="H10" s="5" t="s">
        <v>58</v>
      </c>
    </row>
    <row r="11" customFormat="false" ht="15" hidden="false" customHeight="false" outlineLevel="0" collapsed="false">
      <c r="A11" s="10" t="n">
        <v>8</v>
      </c>
      <c r="B11" s="11" t="s">
        <v>59</v>
      </c>
      <c r="C11" s="10" t="n">
        <v>13</v>
      </c>
      <c r="D11" s="10" t="n">
        <v>73</v>
      </c>
      <c r="E11" s="12" t="n">
        <v>145288.54</v>
      </c>
      <c r="F11" s="23" t="n">
        <f aca="false">E11/E$51</f>
        <v>0.0209151403737948</v>
      </c>
      <c r="G11" s="13" t="n">
        <f aca="false">E11/D11</f>
        <v>1990.25397260274</v>
      </c>
      <c r="H11" s="10" t="s">
        <v>52</v>
      </c>
    </row>
    <row r="12" customFormat="false" ht="15" hidden="false" customHeight="false" outlineLevel="0" collapsed="false">
      <c r="A12" s="5" t="n">
        <v>9</v>
      </c>
      <c r="B12" s="6" t="s">
        <v>60</v>
      </c>
      <c r="C12" s="5" t="n">
        <v>13</v>
      </c>
      <c r="D12" s="5" t="n">
        <v>46</v>
      </c>
      <c r="E12" s="7" t="n">
        <v>88997.4</v>
      </c>
      <c r="F12" s="24" t="n">
        <f aca="false">E12/E$51</f>
        <v>0.0128116994905639</v>
      </c>
      <c r="G12" s="8" t="n">
        <f aca="false">E12/D12</f>
        <v>1934.72608695652</v>
      </c>
      <c r="H12" s="5" t="s">
        <v>52</v>
      </c>
    </row>
    <row r="13" customFormat="false" ht="15" hidden="false" customHeight="false" outlineLevel="0" collapsed="false">
      <c r="A13" s="10" t="n">
        <v>10</v>
      </c>
      <c r="B13" s="11" t="s">
        <v>61</v>
      </c>
      <c r="C13" s="10" t="n">
        <v>4</v>
      </c>
      <c r="D13" s="10" t="n">
        <v>10</v>
      </c>
      <c r="E13" s="12" t="n">
        <v>59300</v>
      </c>
      <c r="F13" s="23" t="n">
        <f aca="false">E13/E$51</f>
        <v>0.00853658398773939</v>
      </c>
      <c r="G13" s="13" t="n">
        <f aca="false">E13/D13</f>
        <v>5930</v>
      </c>
      <c r="H13" s="10" t="s">
        <v>62</v>
      </c>
    </row>
    <row r="14" customFormat="false" ht="15" hidden="false" customHeight="false" outlineLevel="0" collapsed="false">
      <c r="A14" s="5" t="n">
        <v>11</v>
      </c>
      <c r="B14" s="6" t="s">
        <v>63</v>
      </c>
      <c r="C14" s="5" t="n">
        <v>5</v>
      </c>
      <c r="D14" s="5" t="n">
        <v>78</v>
      </c>
      <c r="E14" s="7" t="n">
        <v>43677.41</v>
      </c>
      <c r="F14" s="24" t="n">
        <f aca="false">E14/E$51</f>
        <v>0.00628762021639003</v>
      </c>
      <c r="G14" s="8" t="n">
        <f aca="false">E14/D14</f>
        <v>559.966794871795</v>
      </c>
      <c r="H14" s="5" t="s">
        <v>64</v>
      </c>
    </row>
    <row r="15" customFormat="false" ht="15" hidden="false" customHeight="false" outlineLevel="0" collapsed="false">
      <c r="A15" s="10" t="n">
        <v>12</v>
      </c>
      <c r="B15" s="11" t="s">
        <v>65</v>
      </c>
      <c r="C15" s="10" t="n">
        <v>2</v>
      </c>
      <c r="D15" s="10" t="n">
        <v>6</v>
      </c>
      <c r="E15" s="12" t="n">
        <v>31465</v>
      </c>
      <c r="F15" s="23" t="n">
        <f aca="false">E15/E$51</f>
        <v>0.00452957192536627</v>
      </c>
      <c r="G15" s="13" t="n">
        <f aca="false">E15/D15</f>
        <v>5244.16666666667</v>
      </c>
      <c r="H15" s="10" t="s">
        <v>66</v>
      </c>
    </row>
    <row r="16" customFormat="false" ht="15" hidden="false" customHeight="false" outlineLevel="0" collapsed="false">
      <c r="A16" s="5" t="n">
        <v>13</v>
      </c>
      <c r="B16" s="6" t="s">
        <v>67</v>
      </c>
      <c r="C16" s="5" t="n">
        <v>12</v>
      </c>
      <c r="D16" s="5" t="n">
        <v>242</v>
      </c>
      <c r="E16" s="7" t="n">
        <v>27235.21</v>
      </c>
      <c r="F16" s="24" t="n">
        <f aca="false">E16/E$51</f>
        <v>0.00392066876203575</v>
      </c>
      <c r="G16" s="8" t="n">
        <f aca="false">E16/D16</f>
        <v>112.542190082645</v>
      </c>
      <c r="H16" s="5" t="s">
        <v>53</v>
      </c>
    </row>
    <row r="17" customFormat="false" ht="15" hidden="false" customHeight="false" outlineLevel="0" collapsed="false">
      <c r="A17" s="10" t="n">
        <v>14</v>
      </c>
      <c r="B17" s="11" t="s">
        <v>68</v>
      </c>
      <c r="C17" s="10" t="n">
        <v>4</v>
      </c>
      <c r="D17" s="10" t="n">
        <v>28</v>
      </c>
      <c r="E17" s="12" t="n">
        <v>24944</v>
      </c>
      <c r="F17" s="23" t="n">
        <f aca="false">E17/E$51</f>
        <v>0.00359083559848518</v>
      </c>
      <c r="G17" s="13" t="n">
        <f aca="false">E17/D17</f>
        <v>890.857142857143</v>
      </c>
      <c r="H17" s="10" t="s">
        <v>69</v>
      </c>
    </row>
    <row r="18" customFormat="false" ht="15" hidden="false" customHeight="false" outlineLevel="0" collapsed="false">
      <c r="A18" s="5" t="n">
        <v>15</v>
      </c>
      <c r="B18" s="6" t="s">
        <v>70</v>
      </c>
      <c r="C18" s="5" t="n">
        <v>9</v>
      </c>
      <c r="D18" s="5" t="n">
        <v>42</v>
      </c>
      <c r="E18" s="7" t="n">
        <v>24784.52</v>
      </c>
      <c r="F18" s="24" t="n">
        <f aca="false">E18/E$51</f>
        <v>0.00356787751392591</v>
      </c>
      <c r="G18" s="8" t="n">
        <f aca="false">E18/D18</f>
        <v>590.107619047619</v>
      </c>
      <c r="H18" s="5" t="s">
        <v>71</v>
      </c>
    </row>
    <row r="19" customFormat="false" ht="15" hidden="false" customHeight="false" outlineLevel="0" collapsed="false">
      <c r="A19" s="10" t="n">
        <v>16</v>
      </c>
      <c r="B19" s="11" t="s">
        <v>72</v>
      </c>
      <c r="C19" s="10" t="n">
        <v>4</v>
      </c>
      <c r="D19" s="10" t="n">
        <v>12</v>
      </c>
      <c r="E19" s="12" t="n">
        <v>24404.33</v>
      </c>
      <c r="F19" s="23" t="n">
        <f aca="false">E19/E$51</f>
        <v>0.00351314692596135</v>
      </c>
      <c r="G19" s="13" t="n">
        <f aca="false">E19/D19</f>
        <v>2033.69416666667</v>
      </c>
      <c r="H19" s="10" t="s">
        <v>73</v>
      </c>
    </row>
    <row r="20" customFormat="false" ht="15" hidden="false" customHeight="false" outlineLevel="0" collapsed="false">
      <c r="A20" s="5" t="n">
        <v>17</v>
      </c>
      <c r="B20" s="6" t="s">
        <v>74</v>
      </c>
      <c r="C20" s="5" t="n">
        <v>1</v>
      </c>
      <c r="D20" s="5" t="n">
        <v>2</v>
      </c>
      <c r="E20" s="7" t="n">
        <v>21294</v>
      </c>
      <c r="F20" s="24" t="n">
        <f aca="false">E20/E$51</f>
        <v>0.00306539661778959</v>
      </c>
      <c r="G20" s="8" t="n">
        <f aca="false">E20/D20</f>
        <v>10647</v>
      </c>
      <c r="H20" s="5" t="s">
        <v>75</v>
      </c>
    </row>
    <row r="21" customFormat="false" ht="15" hidden="false" customHeight="false" outlineLevel="0" collapsed="false">
      <c r="A21" s="10" t="n">
        <v>18</v>
      </c>
      <c r="B21" s="11" t="s">
        <v>76</v>
      </c>
      <c r="C21" s="10" t="n">
        <v>1</v>
      </c>
      <c r="D21" s="10" t="n">
        <v>1</v>
      </c>
      <c r="E21" s="12" t="n">
        <v>19963</v>
      </c>
      <c r="F21" s="23" t="n">
        <f aca="false">E21/E$51</f>
        <v>0.0028737913346921</v>
      </c>
      <c r="G21" s="13" t="n">
        <f aca="false">E21/D21</f>
        <v>19963</v>
      </c>
      <c r="H21" s="10" t="s">
        <v>77</v>
      </c>
    </row>
    <row r="22" customFormat="false" ht="15" hidden="false" customHeight="false" outlineLevel="0" collapsed="false">
      <c r="A22" s="5" t="n">
        <v>19</v>
      </c>
      <c r="B22" s="6" t="s">
        <v>78</v>
      </c>
      <c r="C22" s="5" t="n">
        <v>11</v>
      </c>
      <c r="D22" s="5" t="n">
        <v>42</v>
      </c>
      <c r="E22" s="7" t="n">
        <v>17603.34</v>
      </c>
      <c r="F22" s="24" t="n">
        <f aca="false">E22/E$51</f>
        <v>0.00253410439080493</v>
      </c>
      <c r="G22" s="8" t="n">
        <f aca="false">E22/D22</f>
        <v>419.127142857143</v>
      </c>
      <c r="H22" s="5" t="s">
        <v>55</v>
      </c>
    </row>
    <row r="23" customFormat="false" ht="15" hidden="false" customHeight="false" outlineLevel="0" collapsed="false">
      <c r="A23" s="10" t="n">
        <v>20</v>
      </c>
      <c r="B23" s="11" t="s">
        <v>79</v>
      </c>
      <c r="C23" s="10" t="n">
        <v>10</v>
      </c>
      <c r="D23" s="10" t="n">
        <v>34</v>
      </c>
      <c r="E23" s="12" t="n">
        <v>17369.23</v>
      </c>
      <c r="F23" s="23" t="n">
        <f aca="false">E23/E$51</f>
        <v>0.002500402878539</v>
      </c>
      <c r="G23" s="13" t="n">
        <f aca="false">E23/D23</f>
        <v>510.859705882353</v>
      </c>
      <c r="H23" s="10" t="s">
        <v>80</v>
      </c>
    </row>
    <row r="24" customFormat="false" ht="15" hidden="false" customHeight="false" outlineLevel="0" collapsed="false">
      <c r="A24" s="5" t="n">
        <v>21</v>
      </c>
      <c r="B24" s="6" t="s">
        <v>81</v>
      </c>
      <c r="C24" s="5" t="n">
        <v>8</v>
      </c>
      <c r="D24" s="5" t="n">
        <v>31</v>
      </c>
      <c r="E24" s="7" t="n">
        <v>11595.73</v>
      </c>
      <c r="F24" s="24" t="n">
        <f aca="false">E24/E$51</f>
        <v>0.00166927357578667</v>
      </c>
      <c r="G24" s="8" t="n">
        <f aca="false">E24/D24</f>
        <v>374.055806451613</v>
      </c>
      <c r="H24" s="5" t="s">
        <v>82</v>
      </c>
    </row>
    <row r="25" customFormat="false" ht="15" hidden="false" customHeight="false" outlineLevel="0" collapsed="false">
      <c r="A25" s="10" t="n">
        <v>22</v>
      </c>
      <c r="B25" s="11" t="s">
        <v>83</v>
      </c>
      <c r="C25" s="10" t="n">
        <v>7</v>
      </c>
      <c r="D25" s="10" t="n">
        <v>24</v>
      </c>
      <c r="E25" s="12" t="n">
        <v>10923.41</v>
      </c>
      <c r="F25" s="23" t="n">
        <f aca="false">E25/E$51</f>
        <v>0.00157248915510139</v>
      </c>
      <c r="G25" s="13" t="n">
        <f aca="false">E25/D25</f>
        <v>455.142083333333</v>
      </c>
      <c r="H25" s="10" t="s">
        <v>84</v>
      </c>
    </row>
    <row r="26" customFormat="false" ht="15" hidden="false" customHeight="false" outlineLevel="0" collapsed="false">
      <c r="A26" s="5" t="n">
        <v>23</v>
      </c>
      <c r="B26" s="6" t="s">
        <v>85</v>
      </c>
      <c r="C26" s="5" t="n">
        <v>5</v>
      </c>
      <c r="D26" s="5" t="n">
        <v>13</v>
      </c>
      <c r="E26" s="7" t="n">
        <v>10620</v>
      </c>
      <c r="F26" s="24" t="n">
        <f aca="false">E26/E$51</f>
        <v>0.0015288114999965</v>
      </c>
      <c r="G26" s="8" t="n">
        <f aca="false">E26/D26</f>
        <v>816.923076923077</v>
      </c>
      <c r="H26" s="5" t="s">
        <v>71</v>
      </c>
    </row>
    <row r="27" customFormat="false" ht="15" hidden="false" customHeight="false" outlineLevel="0" collapsed="false">
      <c r="A27" s="10" t="n">
        <v>24</v>
      </c>
      <c r="B27" s="11" t="s">
        <v>86</v>
      </c>
      <c r="C27" s="10" t="n">
        <v>12</v>
      </c>
      <c r="D27" s="10" t="n">
        <v>36</v>
      </c>
      <c r="E27" s="12" t="n">
        <v>9680.04</v>
      </c>
      <c r="F27" s="23" t="n">
        <f aca="false">E27/E$51</f>
        <v>0.00139349872621715</v>
      </c>
      <c r="G27" s="13" t="n">
        <f aca="false">E27/D27</f>
        <v>268.89</v>
      </c>
      <c r="H27" s="10" t="s">
        <v>55</v>
      </c>
    </row>
    <row r="28" customFormat="false" ht="15" hidden="false" customHeight="false" outlineLevel="0" collapsed="false">
      <c r="A28" s="5" t="n">
        <v>25</v>
      </c>
      <c r="B28" s="6" t="s">
        <v>87</v>
      </c>
      <c r="C28" s="5" t="n">
        <v>2</v>
      </c>
      <c r="D28" s="5" t="n">
        <v>3</v>
      </c>
      <c r="E28" s="7" t="n">
        <v>8467.07</v>
      </c>
      <c r="F28" s="24" t="n">
        <f aca="false">E28/E$51</f>
        <v>0.00121888455624062</v>
      </c>
      <c r="G28" s="8" t="n">
        <f aca="false">E28/D28</f>
        <v>2822.35666666667</v>
      </c>
      <c r="H28" s="5" t="s">
        <v>88</v>
      </c>
    </row>
    <row r="29" customFormat="false" ht="15" hidden="false" customHeight="false" outlineLevel="0" collapsed="false">
      <c r="A29" s="10" t="n">
        <v>26</v>
      </c>
      <c r="B29" s="11" t="s">
        <v>89</v>
      </c>
      <c r="C29" s="10" t="n">
        <v>5</v>
      </c>
      <c r="D29" s="10" t="n">
        <v>14</v>
      </c>
      <c r="E29" s="12" t="n">
        <v>7058.45</v>
      </c>
      <c r="F29" s="23" t="n">
        <f aca="false">E29/E$51</f>
        <v>0.00101610541733995</v>
      </c>
      <c r="G29" s="13" t="n">
        <f aca="false">E29/D29</f>
        <v>504.175</v>
      </c>
      <c r="H29" s="10" t="s">
        <v>90</v>
      </c>
    </row>
    <row r="30" customFormat="false" ht="15" hidden="false" customHeight="false" outlineLevel="0" collapsed="false">
      <c r="A30" s="5" t="n">
        <v>27</v>
      </c>
      <c r="B30" s="6" t="s">
        <v>91</v>
      </c>
      <c r="C30" s="5" t="n">
        <v>2</v>
      </c>
      <c r="D30" s="5" t="n">
        <v>8</v>
      </c>
      <c r="E30" s="7" t="n">
        <v>4515</v>
      </c>
      <c r="F30" s="24" t="n">
        <f aca="false">E30/E$51</f>
        <v>0.000649960821326195</v>
      </c>
      <c r="G30" s="8" t="n">
        <f aca="false">E30/D30</f>
        <v>564.375</v>
      </c>
      <c r="H30" s="5" t="s">
        <v>92</v>
      </c>
    </row>
    <row r="31" customFormat="false" ht="15" hidden="false" customHeight="false" outlineLevel="0" collapsed="false">
      <c r="A31" s="10" t="n">
        <v>28</v>
      </c>
      <c r="B31" s="11" t="s">
        <v>93</v>
      </c>
      <c r="C31" s="10" t="n">
        <v>1</v>
      </c>
      <c r="D31" s="10" t="n">
        <v>1</v>
      </c>
      <c r="E31" s="12" t="n">
        <v>3908</v>
      </c>
      <c r="F31" s="23" t="n">
        <f aca="false">E31/E$51</f>
        <v>0.000562579599057092</v>
      </c>
      <c r="G31" s="13" t="n">
        <f aca="false">E31/D31</f>
        <v>3908</v>
      </c>
      <c r="H31" s="10" t="s">
        <v>77</v>
      </c>
    </row>
    <row r="32" customFormat="false" ht="15" hidden="false" customHeight="false" outlineLevel="0" collapsed="false">
      <c r="A32" s="5" t="n">
        <v>29</v>
      </c>
      <c r="B32" s="6" t="s">
        <v>94</v>
      </c>
      <c r="C32" s="5" t="n">
        <v>2</v>
      </c>
      <c r="D32" s="5" t="n">
        <v>3</v>
      </c>
      <c r="E32" s="7" t="n">
        <v>2685</v>
      </c>
      <c r="F32" s="24" t="n">
        <f aca="false">E32/E$51</f>
        <v>0.000386521551552787</v>
      </c>
      <c r="G32" s="8" t="n">
        <f aca="false">E32/D32</f>
        <v>895</v>
      </c>
      <c r="H32" s="5" t="s">
        <v>95</v>
      </c>
    </row>
    <row r="33" customFormat="false" ht="15" hidden="false" customHeight="false" outlineLevel="0" collapsed="false">
      <c r="A33" s="10" t="n">
        <v>30</v>
      </c>
      <c r="B33" s="11" t="s">
        <v>96</v>
      </c>
      <c r="C33" s="10" t="n">
        <v>1</v>
      </c>
      <c r="D33" s="10" t="n">
        <v>3</v>
      </c>
      <c r="E33" s="12" t="n">
        <v>2339.19</v>
      </c>
      <c r="F33" s="23" t="n">
        <f aca="false">E33/E$51</f>
        <v>0.00033674016691872</v>
      </c>
      <c r="G33" s="13" t="n">
        <f aca="false">E33/D33</f>
        <v>779.73</v>
      </c>
      <c r="H33" s="10" t="s">
        <v>97</v>
      </c>
    </row>
    <row r="34" customFormat="false" ht="15" hidden="false" customHeight="false" outlineLevel="0" collapsed="false">
      <c r="A34" s="5" t="n">
        <v>31</v>
      </c>
      <c r="B34" s="6" t="s">
        <v>98</v>
      </c>
      <c r="C34" s="5" t="n">
        <v>2</v>
      </c>
      <c r="D34" s="5" t="n">
        <v>3</v>
      </c>
      <c r="E34" s="7" t="n">
        <v>2242.5</v>
      </c>
      <c r="F34" s="24" t="n">
        <f aca="false">E34/E$51</f>
        <v>0.000322821072386266</v>
      </c>
      <c r="G34" s="8" t="n">
        <f aca="false">E34/D34</f>
        <v>747.5</v>
      </c>
      <c r="H34" s="5" t="s">
        <v>99</v>
      </c>
    </row>
    <row r="35" customFormat="false" ht="15" hidden="false" customHeight="false" outlineLevel="0" collapsed="false">
      <c r="A35" s="10" t="n">
        <v>32</v>
      </c>
      <c r="B35" s="11" t="s">
        <v>100</v>
      </c>
      <c r="C35" s="10" t="n">
        <v>7</v>
      </c>
      <c r="D35" s="10" t="n">
        <v>16</v>
      </c>
      <c r="E35" s="12" t="n">
        <v>1953.24</v>
      </c>
      <c r="F35" s="23" t="n">
        <f aca="false">E35/E$51</f>
        <v>0.000281180393055853</v>
      </c>
      <c r="G35" s="13" t="n">
        <f aca="false">E35/D35</f>
        <v>122.0775</v>
      </c>
      <c r="H35" s="10" t="s">
        <v>101</v>
      </c>
    </row>
    <row r="36" customFormat="false" ht="15" hidden="false" customHeight="false" outlineLevel="0" collapsed="false">
      <c r="A36" s="5" t="n">
        <v>33</v>
      </c>
      <c r="B36" s="6" t="s">
        <v>102</v>
      </c>
      <c r="C36" s="5" t="n">
        <v>1</v>
      </c>
      <c r="D36" s="5" t="n">
        <v>6</v>
      </c>
      <c r="E36" s="7" t="n">
        <v>1835.26</v>
      </c>
      <c r="F36" s="24" t="n">
        <f aca="false">E36/E$51</f>
        <v>0.00026419647772915</v>
      </c>
      <c r="G36" s="8" t="n">
        <f aca="false">E36/D36</f>
        <v>305.876666666667</v>
      </c>
      <c r="H36" s="5" t="s">
        <v>97</v>
      </c>
    </row>
    <row r="37" customFormat="false" ht="15" hidden="false" customHeight="false" outlineLevel="0" collapsed="false">
      <c r="A37" s="10" t="n">
        <v>34</v>
      </c>
      <c r="B37" s="11" t="s">
        <v>103</v>
      </c>
      <c r="C37" s="10" t="n">
        <v>1</v>
      </c>
      <c r="D37" s="10" t="n">
        <v>17</v>
      </c>
      <c r="E37" s="12" t="n">
        <v>1700</v>
      </c>
      <c r="F37" s="23" t="n">
        <f aca="false">E37/E$51</f>
        <v>0.000244725004707537</v>
      </c>
      <c r="G37" s="13" t="n">
        <f aca="false">E37/D37</f>
        <v>100</v>
      </c>
      <c r="H37" s="10" t="s">
        <v>104</v>
      </c>
    </row>
    <row r="38" customFormat="false" ht="15" hidden="false" customHeight="false" outlineLevel="0" collapsed="false">
      <c r="A38" s="5" t="n">
        <v>35</v>
      </c>
      <c r="B38" s="6" t="s">
        <v>105</v>
      </c>
      <c r="C38" s="5" t="n">
        <v>9</v>
      </c>
      <c r="D38" s="5" t="n">
        <v>10</v>
      </c>
      <c r="E38" s="7" t="n">
        <v>1577.34</v>
      </c>
      <c r="F38" s="24" t="n">
        <f aca="false">E38/E$51</f>
        <v>0.000227067375838463</v>
      </c>
      <c r="G38" s="8" t="n">
        <f aca="false">E38/D38</f>
        <v>157.734</v>
      </c>
      <c r="H38" s="5" t="s">
        <v>101</v>
      </c>
    </row>
    <row r="39" customFormat="false" ht="15" hidden="false" customHeight="false" outlineLevel="0" collapsed="false">
      <c r="A39" s="10" t="n">
        <v>36</v>
      </c>
      <c r="B39" s="11" t="s">
        <v>106</v>
      </c>
      <c r="C39" s="10" t="n">
        <v>1</v>
      </c>
      <c r="D39" s="10" t="n">
        <v>3</v>
      </c>
      <c r="E39" s="12" t="n">
        <v>1526.25</v>
      </c>
      <c r="F39" s="23" t="n">
        <f aca="false">E39/E$51</f>
        <v>0.000219712669667576</v>
      </c>
      <c r="G39" s="13" t="n">
        <f aca="false">E39/D39</f>
        <v>508.75</v>
      </c>
      <c r="H39" s="10" t="s">
        <v>77</v>
      </c>
    </row>
    <row r="40" customFormat="false" ht="15" hidden="false" customHeight="false" outlineLevel="0" collapsed="false">
      <c r="A40" s="5" t="n">
        <v>37</v>
      </c>
      <c r="B40" s="6" t="s">
        <v>107</v>
      </c>
      <c r="C40" s="5" t="n">
        <v>2</v>
      </c>
      <c r="D40" s="5" t="n">
        <v>4</v>
      </c>
      <c r="E40" s="7" t="n">
        <v>1411.19</v>
      </c>
      <c r="F40" s="24" t="n">
        <f aca="false">E40/E$51</f>
        <v>0.000203149105525429</v>
      </c>
      <c r="G40" s="8" t="n">
        <f aca="false">E40/D40</f>
        <v>352.7975</v>
      </c>
      <c r="H40" s="5" t="s">
        <v>108</v>
      </c>
    </row>
    <row r="41" customFormat="false" ht="15" hidden="false" customHeight="false" outlineLevel="0" collapsed="false">
      <c r="A41" s="10" t="n">
        <v>38</v>
      </c>
      <c r="B41" s="11" t="s">
        <v>109</v>
      </c>
      <c r="C41" s="10" t="n">
        <v>4</v>
      </c>
      <c r="D41" s="10" t="n">
        <v>9</v>
      </c>
      <c r="E41" s="12" t="n">
        <v>1131.35</v>
      </c>
      <c r="F41" s="23" t="n">
        <f aca="false">E41/E$51</f>
        <v>0.000162864490632866</v>
      </c>
      <c r="G41" s="13" t="n">
        <f aca="false">E41/D41</f>
        <v>125.705555555556</v>
      </c>
      <c r="H41" s="10" t="s">
        <v>69</v>
      </c>
    </row>
    <row r="42" customFormat="false" ht="15" hidden="false" customHeight="false" outlineLevel="0" collapsed="false">
      <c r="A42" s="5" t="n">
        <v>39</v>
      </c>
      <c r="B42" s="6" t="s">
        <v>110</v>
      </c>
      <c r="C42" s="5" t="n">
        <v>2</v>
      </c>
      <c r="D42" s="5" t="n">
        <v>2</v>
      </c>
      <c r="E42" s="7" t="n">
        <v>1000</v>
      </c>
      <c r="F42" s="24" t="n">
        <f aca="false">E42/E$51</f>
        <v>0.000143955885122081</v>
      </c>
      <c r="G42" s="8" t="n">
        <f aca="false">E42/D42</f>
        <v>500</v>
      </c>
      <c r="H42" s="5" t="s">
        <v>62</v>
      </c>
    </row>
    <row r="43" customFormat="false" ht="15" hidden="false" customHeight="false" outlineLevel="0" collapsed="false">
      <c r="A43" s="10" t="n">
        <v>40</v>
      </c>
      <c r="B43" s="11" t="s">
        <v>111</v>
      </c>
      <c r="C43" s="10" t="n">
        <v>2</v>
      </c>
      <c r="D43" s="10" t="n">
        <v>5</v>
      </c>
      <c r="E43" s="12" t="n">
        <v>909.71</v>
      </c>
      <c r="F43" s="23" t="n">
        <f aca="false">E43/E$51</f>
        <v>0.000130958108254408</v>
      </c>
      <c r="G43" s="13" t="n">
        <f aca="false">E43/D43</f>
        <v>181.942</v>
      </c>
      <c r="H43" s="10" t="s">
        <v>112</v>
      </c>
    </row>
    <row r="44" customFormat="false" ht="15" hidden="false" customHeight="false" outlineLevel="0" collapsed="false">
      <c r="A44" s="5" t="n">
        <v>41</v>
      </c>
      <c r="B44" s="6" t="s">
        <v>113</v>
      </c>
      <c r="C44" s="5" t="n">
        <v>1</v>
      </c>
      <c r="D44" s="5" t="n">
        <v>1</v>
      </c>
      <c r="E44" s="7" t="n">
        <v>671.5</v>
      </c>
      <c r="F44" s="24" t="n">
        <f aca="false">E44/E$51</f>
        <v>9.66663768594773E-005</v>
      </c>
      <c r="G44" s="8" t="n">
        <f aca="false">E44/D44</f>
        <v>671.5</v>
      </c>
      <c r="H44" s="5" t="s">
        <v>77</v>
      </c>
    </row>
    <row r="45" customFormat="false" ht="15" hidden="false" customHeight="false" outlineLevel="0" collapsed="false">
      <c r="A45" s="10" t="n">
        <v>42</v>
      </c>
      <c r="B45" s="11" t="s">
        <v>114</v>
      </c>
      <c r="C45" s="10" t="n">
        <v>1</v>
      </c>
      <c r="D45" s="10" t="n">
        <v>2</v>
      </c>
      <c r="E45" s="12" t="n">
        <v>576.57</v>
      </c>
      <c r="F45" s="23" t="n">
        <f aca="false">E45/E$51</f>
        <v>8.30006446848381E-005</v>
      </c>
      <c r="G45" s="13" t="n">
        <f aca="false">E45/D45</f>
        <v>288.285</v>
      </c>
      <c r="H45" s="10" t="s">
        <v>75</v>
      </c>
    </row>
    <row r="46" customFormat="false" ht="15" hidden="false" customHeight="false" outlineLevel="0" collapsed="false">
      <c r="A46" s="5" t="n">
        <v>43</v>
      </c>
      <c r="B46" s="6" t="s">
        <v>115</v>
      </c>
      <c r="C46" s="5" t="n">
        <v>1</v>
      </c>
      <c r="D46" s="5" t="n">
        <v>4</v>
      </c>
      <c r="E46" s="7" t="n">
        <v>474</v>
      </c>
      <c r="F46" s="24" t="n">
        <f aca="false">E46/E$51</f>
        <v>6.82350895478663E-005</v>
      </c>
      <c r="G46" s="8" t="n">
        <f aca="false">E46/D46</f>
        <v>118.5</v>
      </c>
      <c r="H46" s="5" t="s">
        <v>104</v>
      </c>
    </row>
    <row r="47" customFormat="false" ht="15" hidden="false" customHeight="false" outlineLevel="0" collapsed="false">
      <c r="A47" s="10" t="n">
        <v>44</v>
      </c>
      <c r="B47" s="11" t="s">
        <v>116</v>
      </c>
      <c r="C47" s="10" t="n">
        <v>1</v>
      </c>
      <c r="D47" s="10" t="n">
        <v>2</v>
      </c>
      <c r="E47" s="12" t="n">
        <v>147.74</v>
      </c>
      <c r="F47" s="23" t="n">
        <f aca="false">E47/E$51</f>
        <v>2.12680424679362E-005</v>
      </c>
      <c r="G47" s="13" t="n">
        <f aca="false">E47/D47</f>
        <v>73.87</v>
      </c>
      <c r="H47" s="10" t="s">
        <v>117</v>
      </c>
    </row>
    <row r="48" customFormat="false" ht="15" hidden="false" customHeight="false" outlineLevel="0" collapsed="false">
      <c r="A48" s="5" t="n">
        <v>45</v>
      </c>
      <c r="B48" s="6" t="s">
        <v>118</v>
      </c>
      <c r="C48" s="5" t="n">
        <v>1</v>
      </c>
      <c r="D48" s="5" t="n">
        <v>1</v>
      </c>
      <c r="E48" s="7" t="n">
        <v>143.8</v>
      </c>
      <c r="F48" s="24" t="n">
        <f aca="false">E48/E$51</f>
        <v>2.07008562805552E-005</v>
      </c>
      <c r="G48" s="8" t="n">
        <f aca="false">E48/D48</f>
        <v>143.8</v>
      </c>
      <c r="H48" s="5" t="s">
        <v>119</v>
      </c>
    </row>
    <row r="49" customFormat="false" ht="15" hidden="false" customHeight="false" outlineLevel="0" collapsed="false">
      <c r="A49" s="10" t="n">
        <v>46</v>
      </c>
      <c r="B49" s="11" t="s">
        <v>120</v>
      </c>
      <c r="C49" s="10" t="n">
        <v>1</v>
      </c>
      <c r="D49" s="10" t="n">
        <v>2</v>
      </c>
      <c r="E49" s="12" t="n">
        <v>121.4</v>
      </c>
      <c r="F49" s="23" t="n">
        <f aca="false">E49/E$51</f>
        <v>1.74762444538206E-005</v>
      </c>
      <c r="G49" s="13" t="n">
        <f aca="false">E49/D49</f>
        <v>60.7</v>
      </c>
      <c r="H49" s="10" t="s">
        <v>121</v>
      </c>
    </row>
    <row r="50" customFormat="false" ht="15" hidden="false" customHeight="false" outlineLevel="0" collapsed="false">
      <c r="A50" s="5" t="n">
        <v>47</v>
      </c>
      <c r="B50" s="6" t="s">
        <v>122</v>
      </c>
      <c r="C50" s="5" t="n">
        <v>1</v>
      </c>
      <c r="D50" s="5" t="n">
        <v>1</v>
      </c>
      <c r="E50" s="7" t="n">
        <v>90.46</v>
      </c>
      <c r="F50" s="24" t="n">
        <f aca="false">E50/E$51</f>
        <v>1.30222493681434E-005</v>
      </c>
      <c r="G50" s="8" t="n">
        <f aca="false">E50/D50</f>
        <v>90.46</v>
      </c>
      <c r="H50" s="5" t="s">
        <v>97</v>
      </c>
    </row>
    <row r="51" customFormat="false" ht="15" hidden="false" customHeight="false" outlineLevel="0" collapsed="false">
      <c r="A51" s="17"/>
      <c r="B51" s="15" t="s">
        <v>43</v>
      </c>
      <c r="C51" s="15" t="n">
        <f aca="false">SUM(C4:C50)</f>
        <v>249</v>
      </c>
      <c r="D51" s="15" t="n">
        <f aca="false">SUM(D4:D50)</f>
        <v>3910</v>
      </c>
      <c r="E51" s="16" t="n">
        <f aca="false">SUM(E4:E50)</f>
        <v>6946572.55</v>
      </c>
      <c r="F51" s="25" t="n">
        <f aca="false">SUM(F4:F50)</f>
        <v>1</v>
      </c>
      <c r="G51" s="16" t="n">
        <f aca="false">E51/D51</f>
        <v>1776.61702046036</v>
      </c>
      <c r="H51" s="1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5" min="2" style="0" width="12"/>
    <col collapsed="false" customWidth="true" hidden="false" outlineLevel="0" max="16" min="16" style="0" width="16"/>
    <col collapsed="false" customWidth="true" hidden="false" outlineLevel="0" max="17" min="17" style="0" width="8"/>
  </cols>
  <sheetData>
    <row r="1" customFormat="false" ht="25.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9.5" hidden="false" customHeight="true" outlineLevel="0" collapsed="false">
      <c r="A3" s="4" t="s">
        <v>47</v>
      </c>
      <c r="B3" s="4" t="s">
        <v>11</v>
      </c>
      <c r="C3" s="4" t="s">
        <v>14</v>
      </c>
      <c r="D3" s="4" t="s">
        <v>16</v>
      </c>
      <c r="E3" s="4" t="s">
        <v>18</v>
      </c>
      <c r="F3" s="4" t="s">
        <v>21</v>
      </c>
      <c r="G3" s="4" t="s">
        <v>23</v>
      </c>
      <c r="H3" s="4" t="s">
        <v>26</v>
      </c>
      <c r="I3" s="4" t="s">
        <v>28</v>
      </c>
      <c r="J3" s="4" t="s">
        <v>30</v>
      </c>
      <c r="K3" s="4" t="s">
        <v>33</v>
      </c>
      <c r="L3" s="4" t="s">
        <v>35</v>
      </c>
      <c r="M3" s="4" t="s">
        <v>37</v>
      </c>
      <c r="N3" s="4" t="s">
        <v>39</v>
      </c>
      <c r="O3" s="4" t="s">
        <v>41</v>
      </c>
      <c r="P3" s="4" t="s">
        <v>124</v>
      </c>
      <c r="Q3" s="4" t="s">
        <v>48</v>
      </c>
    </row>
    <row r="4" customFormat="false" ht="15" hidden="false" customHeight="false" outlineLevel="0" collapsed="false">
      <c r="A4" s="6" t="s">
        <v>13</v>
      </c>
      <c r="B4" s="7" t="n">
        <v>343362.11</v>
      </c>
      <c r="C4" s="7" t="n">
        <v>597586.16</v>
      </c>
      <c r="D4" s="7" t="n">
        <v>117439.01</v>
      </c>
      <c r="E4" s="7" t="n">
        <v>84342.57</v>
      </c>
      <c r="F4" s="7" t="n">
        <v>302211.38</v>
      </c>
      <c r="G4" s="7" t="n">
        <v>119072.08</v>
      </c>
      <c r="H4" s="7" t="n">
        <v>153391.68</v>
      </c>
      <c r="I4" s="7" t="n">
        <v>14095.11</v>
      </c>
      <c r="J4" s="7" t="n">
        <v>72780.98</v>
      </c>
      <c r="K4" s="7" t="n">
        <v>65193.3</v>
      </c>
      <c r="L4" s="7" t="n">
        <v>104759.63</v>
      </c>
      <c r="M4" s="7" t="n">
        <v>216177.2</v>
      </c>
      <c r="N4" s="7" t="n">
        <v>121504.28</v>
      </c>
      <c r="O4" s="7" t="n">
        <v>10598.72</v>
      </c>
      <c r="P4" s="8" t="n">
        <f aca="false">SUM(B4:O4)</f>
        <v>2322514.21</v>
      </c>
      <c r="Q4" s="26" t="n">
        <f aca="false">COUNTIF(B4:O4,"&gt;0")</f>
        <v>14</v>
      </c>
    </row>
    <row r="5" customFormat="false" ht="15" hidden="false" customHeight="false" outlineLevel="0" collapsed="false">
      <c r="A5" s="6" t="s">
        <v>25</v>
      </c>
      <c r="B5" s="7" t="n">
        <v>261501.21</v>
      </c>
      <c r="C5" s="7" t="n">
        <v>71760.48</v>
      </c>
      <c r="D5" s="7" t="n">
        <v>29740.43</v>
      </c>
      <c r="E5" s="7" t="n">
        <v>10106.67</v>
      </c>
      <c r="F5" s="7" t="n">
        <v>10651.28</v>
      </c>
      <c r="G5" s="7" t="n">
        <v>154464.12</v>
      </c>
      <c r="H5" s="7" t="n">
        <v>127204.94</v>
      </c>
      <c r="I5" s="7" t="n">
        <v>74948.84</v>
      </c>
      <c r="J5" s="7" t="n">
        <v>8131.24</v>
      </c>
      <c r="K5" s="7" t="n">
        <v>141063.76</v>
      </c>
      <c r="L5" s="7" t="n">
        <v>101721.98</v>
      </c>
      <c r="M5" s="7" t="n">
        <v>204979.52</v>
      </c>
      <c r="N5" s="7" t="n">
        <v>76284.33</v>
      </c>
      <c r="O5" s="7" t="n">
        <v>665.76</v>
      </c>
      <c r="P5" s="8" t="n">
        <f aca="false">SUM(B5:O5)</f>
        <v>1273224.56</v>
      </c>
      <c r="Q5" s="26" t="n">
        <f aca="false">COUNTIF(B5:O5,"&gt;0")</f>
        <v>14</v>
      </c>
    </row>
    <row r="6" customFormat="false" ht="15" hidden="false" customHeight="false" outlineLevel="0" collapsed="false">
      <c r="A6" s="6" t="s">
        <v>20</v>
      </c>
      <c r="B6" s="27"/>
      <c r="C6" s="7" t="n">
        <v>91819.63</v>
      </c>
      <c r="D6" s="7" t="n">
        <v>1040.84</v>
      </c>
      <c r="E6" s="7" t="n">
        <v>215859.94</v>
      </c>
      <c r="F6" s="7" t="n">
        <v>35755.01</v>
      </c>
      <c r="G6" s="7" t="n">
        <v>39751.74</v>
      </c>
      <c r="H6" s="7" t="n">
        <v>192671.23</v>
      </c>
      <c r="I6" s="7" t="n">
        <v>11376.96</v>
      </c>
      <c r="J6" s="7" t="n">
        <v>139209.01</v>
      </c>
      <c r="K6" s="7" t="n">
        <v>187929.87</v>
      </c>
      <c r="L6" s="7" t="n">
        <v>248013.68</v>
      </c>
      <c r="M6" s="7" t="n">
        <v>47.32</v>
      </c>
      <c r="N6" s="7" t="n">
        <v>202.75</v>
      </c>
      <c r="O6" s="7" t="n">
        <v>435.54</v>
      </c>
      <c r="P6" s="8" t="n">
        <f aca="false">SUM(B6:O6)</f>
        <v>1164113.52</v>
      </c>
      <c r="Q6" s="26" t="n">
        <f aca="false">COUNTIF(B6:O6,"&gt;0")</f>
        <v>13</v>
      </c>
    </row>
    <row r="7" customFormat="false" ht="15" hidden="false" customHeight="false" outlineLevel="0" collapsed="false">
      <c r="A7" s="6" t="s">
        <v>54</v>
      </c>
      <c r="B7" s="7" t="n">
        <v>72801.65</v>
      </c>
      <c r="C7" s="7" t="n">
        <v>78442.97</v>
      </c>
      <c r="D7" s="7" t="n">
        <v>16339.3</v>
      </c>
      <c r="E7" s="27"/>
      <c r="F7" s="27"/>
      <c r="G7" s="7" t="n">
        <v>58896.52</v>
      </c>
      <c r="H7" s="7" t="n">
        <v>67768.3</v>
      </c>
      <c r="I7" s="7" t="n">
        <v>1044</v>
      </c>
      <c r="J7" s="7" t="n">
        <v>2840</v>
      </c>
      <c r="K7" s="7" t="n">
        <v>47527.77</v>
      </c>
      <c r="L7" s="7" t="n">
        <v>70651.37</v>
      </c>
      <c r="M7" s="7" t="n">
        <v>67935.82</v>
      </c>
      <c r="N7" s="7" t="n">
        <v>34858.54</v>
      </c>
      <c r="O7" s="27"/>
      <c r="P7" s="8" t="n">
        <f aca="false">SUM(B7:O7)</f>
        <v>519106.24</v>
      </c>
      <c r="Q7" s="26" t="n">
        <f aca="false">COUNTIF(B7:O7,"&gt;0")</f>
        <v>11</v>
      </c>
    </row>
    <row r="8" customFormat="false" ht="15" hidden="false" customHeight="false" outlineLevel="0" collapsed="false">
      <c r="A8" s="6" t="s">
        <v>32</v>
      </c>
      <c r="B8" s="27"/>
      <c r="C8" s="7" t="n">
        <v>782.55</v>
      </c>
      <c r="D8" s="27"/>
      <c r="E8" s="7" t="n">
        <v>168.54</v>
      </c>
      <c r="F8" s="27"/>
      <c r="G8" s="27"/>
      <c r="H8" s="7" t="n">
        <v>26432.13</v>
      </c>
      <c r="I8" s="7" t="n">
        <v>1086.17</v>
      </c>
      <c r="J8" s="7" t="n">
        <v>176571.46</v>
      </c>
      <c r="K8" s="7" t="n">
        <v>43369.79</v>
      </c>
      <c r="L8" s="7" t="n">
        <v>45650.81</v>
      </c>
      <c r="M8" s="7" t="n">
        <v>47819.57</v>
      </c>
      <c r="N8" s="7" t="n">
        <v>1260.54</v>
      </c>
      <c r="O8" s="7" t="n">
        <v>23840.61</v>
      </c>
      <c r="P8" s="8" t="n">
        <f aca="false">SUM(B8:O8)</f>
        <v>366982.17</v>
      </c>
      <c r="Q8" s="26" t="n">
        <f aca="false">COUNTIF(B8:O8,"&gt;0")</f>
        <v>10</v>
      </c>
    </row>
    <row r="9" customFormat="false" ht="15" hidden="false" customHeight="false" outlineLevel="0" collapsed="false">
      <c r="A9" s="6" t="s">
        <v>56</v>
      </c>
      <c r="B9" s="7" t="n">
        <v>21978.91</v>
      </c>
      <c r="C9" s="7" t="n">
        <v>56505.5</v>
      </c>
      <c r="D9" s="7" t="n">
        <v>4895</v>
      </c>
      <c r="E9" s="7" t="n">
        <v>10463</v>
      </c>
      <c r="F9" s="7" t="n">
        <v>12487</v>
      </c>
      <c r="G9" s="7" t="n">
        <v>15612.75</v>
      </c>
      <c r="H9" s="7" t="n">
        <v>44962.5</v>
      </c>
      <c r="I9" s="27"/>
      <c r="J9" s="7" t="n">
        <v>17974.5</v>
      </c>
      <c r="K9" s="7" t="n">
        <v>23133.75</v>
      </c>
      <c r="L9" s="7" t="n">
        <v>94572.5</v>
      </c>
      <c r="M9" s="27"/>
      <c r="N9" s="7" t="n">
        <v>53259.5</v>
      </c>
      <c r="O9" s="7" t="n">
        <v>4756.5</v>
      </c>
      <c r="P9" s="8" t="n">
        <f aca="false">SUM(B9:O9)</f>
        <v>360601.41</v>
      </c>
      <c r="Q9" s="26" t="n">
        <f aca="false">COUNTIF(B9:O9,"&gt;0")</f>
        <v>12</v>
      </c>
    </row>
    <row r="10" customFormat="false" ht="15" hidden="false" customHeight="false" outlineLevel="0" collapsed="false">
      <c r="A10" s="6" t="s">
        <v>57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7" t="n">
        <v>188562.66</v>
      </c>
      <c r="N10" s="7" t="n">
        <v>98623.69</v>
      </c>
      <c r="O10" s="7" t="n">
        <v>17213.91</v>
      </c>
      <c r="P10" s="8" t="n">
        <f aca="false">SUM(B10:O10)</f>
        <v>304400.26</v>
      </c>
      <c r="Q10" s="26" t="n">
        <f aca="false">COUNTIF(B10:O10,"&gt;0")</f>
        <v>3</v>
      </c>
    </row>
    <row r="11" customFormat="false" ht="15" hidden="false" customHeight="false" outlineLevel="0" collapsed="false">
      <c r="A11" s="6" t="s">
        <v>59</v>
      </c>
      <c r="B11" s="7" t="n">
        <v>15099.99</v>
      </c>
      <c r="C11" s="7" t="n">
        <v>20102</v>
      </c>
      <c r="D11" s="7" t="n">
        <v>210</v>
      </c>
      <c r="E11" s="7" t="n">
        <v>30892.62</v>
      </c>
      <c r="F11" s="7" t="n">
        <v>7291</v>
      </c>
      <c r="G11" s="7" t="n">
        <v>9741.88</v>
      </c>
      <c r="H11" s="7" t="n">
        <v>12653</v>
      </c>
      <c r="I11" s="7" t="n">
        <v>2649</v>
      </c>
      <c r="J11" s="7" t="n">
        <v>8076</v>
      </c>
      <c r="K11" s="7" t="n">
        <v>11633</v>
      </c>
      <c r="L11" s="7" t="n">
        <v>16471.05</v>
      </c>
      <c r="M11" s="27"/>
      <c r="N11" s="7" t="n">
        <v>8886</v>
      </c>
      <c r="O11" s="7" t="n">
        <v>1583</v>
      </c>
      <c r="P11" s="8" t="n">
        <f aca="false">SUM(B11:O11)</f>
        <v>145288.54</v>
      </c>
      <c r="Q11" s="26" t="n">
        <f aca="false">COUNTIF(B11:O11,"&gt;0")</f>
        <v>13</v>
      </c>
    </row>
    <row r="12" customFormat="false" ht="15" hidden="false" customHeight="false" outlineLevel="0" collapsed="false">
      <c r="A12" s="6" t="s">
        <v>60</v>
      </c>
      <c r="B12" s="7" t="n">
        <v>7788</v>
      </c>
      <c r="C12" s="7" t="n">
        <v>19615</v>
      </c>
      <c r="D12" s="7" t="n">
        <v>1821</v>
      </c>
      <c r="E12" s="7" t="n">
        <v>2414</v>
      </c>
      <c r="F12" s="7" t="n">
        <v>2598</v>
      </c>
      <c r="G12" s="7" t="n">
        <v>5806</v>
      </c>
      <c r="H12" s="7" t="n">
        <v>8279</v>
      </c>
      <c r="I12" s="27"/>
      <c r="J12" s="7" t="n">
        <v>5921</v>
      </c>
      <c r="K12" s="7" t="n">
        <v>8875</v>
      </c>
      <c r="L12" s="7" t="n">
        <v>6463.4</v>
      </c>
      <c r="M12" s="7" t="n">
        <v>15202</v>
      </c>
      <c r="N12" s="7" t="n">
        <v>3386</v>
      </c>
      <c r="O12" s="7" t="n">
        <v>829</v>
      </c>
      <c r="P12" s="8" t="n">
        <f aca="false">SUM(B12:O12)</f>
        <v>88997.4</v>
      </c>
      <c r="Q12" s="26" t="n">
        <f aca="false">COUNTIF(B12:O12,"&gt;0")</f>
        <v>13</v>
      </c>
    </row>
    <row r="13" customFormat="false" ht="15" hidden="false" customHeight="false" outlineLevel="0" collapsed="false">
      <c r="A13" s="6" t="s">
        <v>61</v>
      </c>
      <c r="B13" s="27"/>
      <c r="C13" s="7" t="n">
        <v>15300</v>
      </c>
      <c r="D13" s="27"/>
      <c r="E13" s="7" t="n">
        <v>950</v>
      </c>
      <c r="F13" s="27"/>
      <c r="G13" s="27"/>
      <c r="H13" s="7" t="n">
        <v>30250</v>
      </c>
      <c r="I13" s="27"/>
      <c r="J13" s="7" t="n">
        <v>12800</v>
      </c>
      <c r="K13" s="27"/>
      <c r="L13" s="27"/>
      <c r="M13" s="27"/>
      <c r="N13" s="27"/>
      <c r="O13" s="27"/>
      <c r="P13" s="8" t="n">
        <f aca="false">SUM(B13:O13)</f>
        <v>59300</v>
      </c>
      <c r="Q13" s="26" t="n">
        <f aca="false">COUNTIF(B13:O13,"&gt;0")</f>
        <v>4</v>
      </c>
    </row>
    <row r="14" customFormat="false" ht="15" hidden="false" customHeight="false" outlineLevel="0" collapsed="false">
      <c r="A14" s="6" t="s">
        <v>63</v>
      </c>
      <c r="B14" s="27"/>
      <c r="C14" s="27"/>
      <c r="D14" s="27"/>
      <c r="E14" s="7" t="n">
        <v>2404.21</v>
      </c>
      <c r="F14" s="27"/>
      <c r="G14" s="27"/>
      <c r="H14" s="7" t="n">
        <v>5848.82</v>
      </c>
      <c r="I14" s="27"/>
      <c r="J14" s="27"/>
      <c r="K14" s="7" t="n">
        <v>2252.62</v>
      </c>
      <c r="L14" s="7" t="n">
        <v>9870.42</v>
      </c>
      <c r="M14" s="7" t="n">
        <v>23301.34</v>
      </c>
      <c r="N14" s="27"/>
      <c r="O14" s="27"/>
      <c r="P14" s="8" t="n">
        <f aca="false">SUM(B14:O14)</f>
        <v>43677.41</v>
      </c>
      <c r="Q14" s="26" t="n">
        <f aca="false">COUNTIF(B14:O14,"&gt;0")</f>
        <v>5</v>
      </c>
    </row>
    <row r="15" customFormat="false" ht="15" hidden="false" customHeight="false" outlineLevel="0" collapsed="false">
      <c r="A15" s="6" t="s">
        <v>65</v>
      </c>
      <c r="B15" s="27"/>
      <c r="C15" s="27"/>
      <c r="D15" s="27"/>
      <c r="E15" s="27"/>
      <c r="F15" s="27"/>
      <c r="G15" s="27"/>
      <c r="H15" s="7" t="n">
        <v>31310</v>
      </c>
      <c r="I15" s="27"/>
      <c r="J15" s="27"/>
      <c r="K15" s="27"/>
      <c r="L15" s="7" t="n">
        <v>155</v>
      </c>
      <c r="M15" s="27"/>
      <c r="N15" s="27"/>
      <c r="O15" s="27"/>
      <c r="P15" s="8" t="n">
        <f aca="false">SUM(B15:O15)</f>
        <v>31465</v>
      </c>
      <c r="Q15" s="26" t="n">
        <f aca="false">COUNTIF(B15:O15,"&gt;0")</f>
        <v>2</v>
      </c>
    </row>
    <row r="16" customFormat="false" ht="15" hidden="false" customHeight="false" outlineLevel="0" collapsed="false">
      <c r="A16" s="6" t="s">
        <v>67</v>
      </c>
      <c r="B16" s="27"/>
      <c r="C16" s="7" t="n">
        <v>936.66</v>
      </c>
      <c r="D16" s="7" t="n">
        <v>167.8</v>
      </c>
      <c r="E16" s="27"/>
      <c r="F16" s="7" t="n">
        <v>63.21</v>
      </c>
      <c r="G16" s="7" t="n">
        <v>1038.11</v>
      </c>
      <c r="H16" s="7" t="n">
        <v>2315.27</v>
      </c>
      <c r="I16" s="7" t="n">
        <v>205.27</v>
      </c>
      <c r="J16" s="7" t="n">
        <v>112.8</v>
      </c>
      <c r="K16" s="7" t="n">
        <v>431.75</v>
      </c>
      <c r="L16" s="7" t="n">
        <v>18513.01</v>
      </c>
      <c r="M16" s="7" t="n">
        <v>2040.76</v>
      </c>
      <c r="N16" s="7" t="n">
        <v>1311.2</v>
      </c>
      <c r="O16" s="7" t="n">
        <v>99.37</v>
      </c>
      <c r="P16" s="8" t="n">
        <f aca="false">SUM(B16:O16)</f>
        <v>27235.21</v>
      </c>
      <c r="Q16" s="26" t="n">
        <f aca="false">COUNTIF(B16:O16,"&gt;0")</f>
        <v>12</v>
      </c>
    </row>
    <row r="17" customFormat="false" ht="15" hidden="false" customHeight="false" outlineLevel="0" collapsed="false">
      <c r="A17" s="6" t="s">
        <v>68</v>
      </c>
      <c r="B17" s="27"/>
      <c r="C17" s="27"/>
      <c r="D17" s="27"/>
      <c r="E17" s="27"/>
      <c r="F17" s="27"/>
      <c r="G17" s="27"/>
      <c r="H17" s="7" t="n">
        <v>3080</v>
      </c>
      <c r="I17" s="27"/>
      <c r="J17" s="27"/>
      <c r="K17" s="27"/>
      <c r="L17" s="7" t="n">
        <v>8878</v>
      </c>
      <c r="M17" s="7" t="n">
        <v>8585</v>
      </c>
      <c r="N17" s="7" t="n">
        <v>4401</v>
      </c>
      <c r="O17" s="27"/>
      <c r="P17" s="8" t="n">
        <f aca="false">SUM(B17:O17)</f>
        <v>24944</v>
      </c>
      <c r="Q17" s="26" t="n">
        <f aca="false">COUNTIF(B17:O17,"&gt;0")</f>
        <v>4</v>
      </c>
    </row>
    <row r="18" customFormat="false" ht="15" hidden="false" customHeight="false" outlineLevel="0" collapsed="false">
      <c r="A18" s="6" t="s">
        <v>70</v>
      </c>
      <c r="B18" s="7" t="n">
        <v>520.48</v>
      </c>
      <c r="C18" s="7" t="n">
        <v>14267.27</v>
      </c>
      <c r="D18" s="27"/>
      <c r="E18" s="7" t="n">
        <v>96.67</v>
      </c>
      <c r="F18" s="7" t="n">
        <v>8107.96</v>
      </c>
      <c r="G18" s="27"/>
      <c r="H18" s="7" t="n">
        <v>352.83</v>
      </c>
      <c r="I18" s="27"/>
      <c r="J18" s="7" t="n">
        <v>258.11</v>
      </c>
      <c r="K18" s="7" t="n">
        <v>372.77</v>
      </c>
      <c r="L18" s="7" t="n">
        <v>351.93</v>
      </c>
      <c r="M18" s="7" t="n">
        <v>456.5</v>
      </c>
      <c r="N18" s="27"/>
      <c r="O18" s="27"/>
      <c r="P18" s="8" t="n">
        <f aca="false">SUM(B18:O18)</f>
        <v>24784.52</v>
      </c>
      <c r="Q18" s="26" t="n">
        <f aca="false">COUNTIF(B18:O18,"&gt;0")</f>
        <v>9</v>
      </c>
    </row>
    <row r="19" customFormat="false" ht="15" hidden="false" customHeight="false" outlineLevel="0" collapsed="false">
      <c r="A19" s="6" t="s">
        <v>72</v>
      </c>
      <c r="B19" s="27"/>
      <c r="C19" s="7" t="n">
        <v>335</v>
      </c>
      <c r="D19" s="27"/>
      <c r="E19" s="27"/>
      <c r="F19" s="27"/>
      <c r="G19" s="7" t="n">
        <v>18.33</v>
      </c>
      <c r="H19" s="7" t="n">
        <v>23106</v>
      </c>
      <c r="I19" s="27"/>
      <c r="J19" s="27"/>
      <c r="K19" s="27"/>
      <c r="L19" s="27"/>
      <c r="M19" s="7" t="n">
        <v>945</v>
      </c>
      <c r="N19" s="27"/>
      <c r="O19" s="27"/>
      <c r="P19" s="8" t="n">
        <f aca="false">SUM(B19:O19)</f>
        <v>24404.33</v>
      </c>
      <c r="Q19" s="26" t="n">
        <f aca="false">COUNTIF(B19:O19,"&gt;0")</f>
        <v>4</v>
      </c>
    </row>
    <row r="20" customFormat="false" ht="15" hidden="false" customHeight="false" outlineLevel="0" collapsed="false">
      <c r="A20" s="6" t="s">
        <v>74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7" t="n">
        <v>21294</v>
      </c>
      <c r="O20" s="27"/>
      <c r="P20" s="8" t="n">
        <f aca="false">SUM(B20:O20)</f>
        <v>21294</v>
      </c>
      <c r="Q20" s="26" t="n">
        <f aca="false">COUNTIF(B20:O20,"&gt;0")</f>
        <v>1</v>
      </c>
    </row>
    <row r="21" customFormat="false" ht="15" hidden="false" customHeight="false" outlineLevel="0" collapsed="false">
      <c r="A21" s="6" t="s">
        <v>76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7" t="n">
        <v>19963</v>
      </c>
      <c r="M21" s="27"/>
      <c r="N21" s="27"/>
      <c r="O21" s="27"/>
      <c r="P21" s="8" t="n">
        <f aca="false">SUM(B21:O21)</f>
        <v>19963</v>
      </c>
      <c r="Q21" s="26" t="n">
        <f aca="false">COUNTIF(B21:O21,"&gt;0")</f>
        <v>1</v>
      </c>
    </row>
    <row r="22" customFormat="false" ht="15" hidden="false" customHeight="false" outlineLevel="0" collapsed="false">
      <c r="A22" s="6" t="s">
        <v>78</v>
      </c>
      <c r="B22" s="7" t="n">
        <v>4097.84</v>
      </c>
      <c r="C22" s="7" t="n">
        <v>1061.65</v>
      </c>
      <c r="D22" s="7" t="n">
        <v>245.19</v>
      </c>
      <c r="E22" s="7" t="n">
        <v>2271.7</v>
      </c>
      <c r="F22" s="27"/>
      <c r="G22" s="7" t="n">
        <v>309.58</v>
      </c>
      <c r="H22" s="7" t="n">
        <v>2674.97</v>
      </c>
      <c r="I22" s="27"/>
      <c r="J22" s="7" t="n">
        <v>811.46</v>
      </c>
      <c r="K22" s="7" t="n">
        <v>934.77</v>
      </c>
      <c r="L22" s="7" t="n">
        <v>4012.56</v>
      </c>
      <c r="M22" s="7" t="n">
        <v>458.5</v>
      </c>
      <c r="N22" s="7" t="n">
        <v>725.12</v>
      </c>
      <c r="O22" s="27"/>
      <c r="P22" s="8" t="n">
        <f aca="false">SUM(B22:O22)</f>
        <v>17603.34</v>
      </c>
      <c r="Q22" s="26" t="n">
        <f aca="false">COUNTIF(B22:O22,"&gt;0")</f>
        <v>11</v>
      </c>
    </row>
    <row r="23" customFormat="false" ht="15" hidden="false" customHeight="false" outlineLevel="0" collapsed="false">
      <c r="A23" s="6" t="s">
        <v>79</v>
      </c>
      <c r="B23" s="27"/>
      <c r="C23" s="27"/>
      <c r="D23" s="27"/>
      <c r="E23" s="7" t="n">
        <v>1831.58</v>
      </c>
      <c r="F23" s="27"/>
      <c r="G23" s="7" t="n">
        <v>973.75</v>
      </c>
      <c r="H23" s="7" t="n">
        <v>257.4</v>
      </c>
      <c r="I23" s="7" t="n">
        <v>897.2</v>
      </c>
      <c r="J23" s="7" t="n">
        <v>4412.21</v>
      </c>
      <c r="K23" s="7" t="n">
        <v>111.82</v>
      </c>
      <c r="L23" s="7" t="n">
        <v>4731.84</v>
      </c>
      <c r="M23" s="7" t="n">
        <v>2331.87</v>
      </c>
      <c r="N23" s="7" t="n">
        <v>1290.12</v>
      </c>
      <c r="O23" s="7" t="n">
        <v>531.44</v>
      </c>
      <c r="P23" s="8" t="n">
        <f aca="false">SUM(B23:O23)</f>
        <v>17369.23</v>
      </c>
      <c r="Q23" s="26" t="n">
        <f aca="false">COUNTIF(B23:O23,"&gt;0")</f>
        <v>10</v>
      </c>
    </row>
    <row r="24" customFormat="false" ht="15" hidden="false" customHeight="false" outlineLevel="0" collapsed="false">
      <c r="A24" s="6" t="s">
        <v>81</v>
      </c>
      <c r="B24" s="27"/>
      <c r="C24" s="7" t="n">
        <v>2272.16</v>
      </c>
      <c r="D24" s="27"/>
      <c r="E24" s="7" t="n">
        <v>69.69</v>
      </c>
      <c r="F24" s="27"/>
      <c r="G24" s="27"/>
      <c r="H24" s="7" t="n">
        <v>715.13</v>
      </c>
      <c r="I24" s="27"/>
      <c r="J24" s="7" t="n">
        <v>1340.48</v>
      </c>
      <c r="K24" s="7" t="n">
        <v>637.54</v>
      </c>
      <c r="L24" s="7" t="n">
        <v>2674.82</v>
      </c>
      <c r="M24" s="7" t="n">
        <v>3172.33</v>
      </c>
      <c r="N24" s="7" t="n">
        <v>713.58</v>
      </c>
      <c r="O24" s="27"/>
      <c r="P24" s="8" t="n">
        <f aca="false">SUM(B24:O24)</f>
        <v>11595.73</v>
      </c>
      <c r="Q24" s="26" t="n">
        <f aca="false">COUNTIF(B24:O24,"&gt;0")</f>
        <v>8</v>
      </c>
    </row>
    <row r="25" customFormat="false" ht="15" hidden="false" customHeight="false" outlineLevel="0" collapsed="false">
      <c r="A25" s="6" t="s">
        <v>83</v>
      </c>
      <c r="B25" s="27"/>
      <c r="C25" s="27"/>
      <c r="D25" s="27"/>
      <c r="E25" s="7" t="n">
        <v>197.5</v>
      </c>
      <c r="F25" s="7" t="n">
        <v>870</v>
      </c>
      <c r="G25" s="7" t="n">
        <v>1963.11</v>
      </c>
      <c r="H25" s="7" t="n">
        <v>3895</v>
      </c>
      <c r="I25" s="27"/>
      <c r="J25" s="7" t="n">
        <v>2465</v>
      </c>
      <c r="K25" s="27"/>
      <c r="L25" s="7" t="n">
        <v>90</v>
      </c>
      <c r="M25" s="27"/>
      <c r="N25" s="7" t="n">
        <v>1442.8</v>
      </c>
      <c r="O25" s="27"/>
      <c r="P25" s="8" t="n">
        <f aca="false">SUM(B25:O25)</f>
        <v>10923.41</v>
      </c>
      <c r="Q25" s="26" t="n">
        <f aca="false">COUNTIF(B25:O25,"&gt;0")</f>
        <v>7</v>
      </c>
    </row>
    <row r="26" customFormat="false" ht="15" hidden="false" customHeight="false" outlineLevel="0" collapsed="false">
      <c r="A26" s="6" t="s">
        <v>85</v>
      </c>
      <c r="B26" s="7" t="n">
        <v>1040</v>
      </c>
      <c r="C26" s="27"/>
      <c r="D26" s="27"/>
      <c r="E26" s="27"/>
      <c r="F26" s="27"/>
      <c r="G26" s="27"/>
      <c r="H26" s="7" t="n">
        <v>2700</v>
      </c>
      <c r="I26" s="27"/>
      <c r="J26" s="27"/>
      <c r="K26" s="7" t="n">
        <v>500</v>
      </c>
      <c r="L26" s="7" t="n">
        <v>1775</v>
      </c>
      <c r="M26" s="7" t="n">
        <v>4605</v>
      </c>
      <c r="N26" s="27"/>
      <c r="O26" s="27"/>
      <c r="P26" s="8" t="n">
        <f aca="false">SUM(B26:O26)</f>
        <v>10620</v>
      </c>
      <c r="Q26" s="26" t="n">
        <f aca="false">COUNTIF(B26:O26,"&gt;0")</f>
        <v>5</v>
      </c>
    </row>
    <row r="27" customFormat="false" ht="15" hidden="false" customHeight="false" outlineLevel="0" collapsed="false">
      <c r="A27" s="6" t="s">
        <v>86</v>
      </c>
      <c r="B27" s="7" t="n">
        <v>2018.25</v>
      </c>
      <c r="C27" s="7" t="n">
        <v>1597.08</v>
      </c>
      <c r="D27" s="7" t="n">
        <v>97.4</v>
      </c>
      <c r="E27" s="7" t="n">
        <v>54.4</v>
      </c>
      <c r="F27" s="7" t="n">
        <v>102</v>
      </c>
      <c r="G27" s="7" t="n">
        <v>13.84</v>
      </c>
      <c r="H27" s="7" t="n">
        <v>606.32</v>
      </c>
      <c r="I27" s="27"/>
      <c r="J27" s="7" t="n">
        <v>702.97</v>
      </c>
      <c r="K27" s="7" t="n">
        <v>654.66</v>
      </c>
      <c r="L27" s="7" t="n">
        <v>607.04</v>
      </c>
      <c r="M27" s="7" t="n">
        <v>2334.26</v>
      </c>
      <c r="N27" s="7" t="n">
        <v>891.82</v>
      </c>
      <c r="O27" s="27"/>
      <c r="P27" s="8" t="n">
        <f aca="false">SUM(B27:O27)</f>
        <v>9680.04</v>
      </c>
      <c r="Q27" s="26" t="n">
        <f aca="false">COUNTIF(B27:O27,"&gt;0")</f>
        <v>12</v>
      </c>
    </row>
    <row r="28" customFormat="false" ht="15" hidden="false" customHeight="false" outlineLevel="0" collapsed="false">
      <c r="A28" s="6" t="s">
        <v>87</v>
      </c>
      <c r="B28" s="27"/>
      <c r="C28" s="27"/>
      <c r="D28" s="7" t="n">
        <v>2250</v>
      </c>
      <c r="E28" s="27"/>
      <c r="F28" s="7" t="n">
        <v>6217.07</v>
      </c>
      <c r="G28" s="27"/>
      <c r="H28" s="27"/>
      <c r="I28" s="27"/>
      <c r="J28" s="27"/>
      <c r="K28" s="27"/>
      <c r="L28" s="27"/>
      <c r="M28" s="27"/>
      <c r="N28" s="27"/>
      <c r="O28" s="27"/>
      <c r="P28" s="8" t="n">
        <f aca="false">SUM(B28:O28)</f>
        <v>8467.07</v>
      </c>
      <c r="Q28" s="26" t="n">
        <f aca="false">COUNTIF(B28:O28,"&gt;0")</f>
        <v>2</v>
      </c>
    </row>
    <row r="29" customFormat="false" ht="15" hidden="false" customHeight="false" outlineLevel="0" collapsed="false">
      <c r="A29" s="6" t="s">
        <v>89</v>
      </c>
      <c r="B29" s="27"/>
      <c r="C29" s="27"/>
      <c r="D29" s="27"/>
      <c r="E29" s="27"/>
      <c r="F29" s="7" t="n">
        <v>810</v>
      </c>
      <c r="G29" s="27"/>
      <c r="H29" s="7" t="n">
        <v>432.88</v>
      </c>
      <c r="I29" s="27"/>
      <c r="J29" s="7" t="n">
        <v>1134.15</v>
      </c>
      <c r="K29" s="7" t="n">
        <v>29.39</v>
      </c>
      <c r="L29" s="27"/>
      <c r="M29" s="27"/>
      <c r="N29" s="7" t="n">
        <v>4652.03</v>
      </c>
      <c r="O29" s="27"/>
      <c r="P29" s="8" t="n">
        <f aca="false">SUM(B29:O29)</f>
        <v>7058.45</v>
      </c>
      <c r="Q29" s="26" t="n">
        <f aca="false">COUNTIF(B29:O29,"&gt;0")</f>
        <v>5</v>
      </c>
    </row>
    <row r="30" customFormat="false" ht="15" hidden="false" customHeight="false" outlineLevel="0" collapsed="false">
      <c r="A30" s="6" t="s">
        <v>91</v>
      </c>
      <c r="B30" s="7" t="n">
        <v>4140</v>
      </c>
      <c r="C30" s="7" t="n">
        <v>375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8" t="n">
        <f aca="false">SUM(B30:O30)</f>
        <v>4515</v>
      </c>
      <c r="Q30" s="26" t="n">
        <f aca="false">COUNTIF(B30:O30,"&gt;0")</f>
        <v>2</v>
      </c>
    </row>
    <row r="31" customFormat="false" ht="15" hidden="false" customHeight="false" outlineLevel="0" collapsed="false">
      <c r="A31" s="6" t="s">
        <v>93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7" t="n">
        <v>3908</v>
      </c>
      <c r="M31" s="27"/>
      <c r="N31" s="27"/>
      <c r="O31" s="27"/>
      <c r="P31" s="8" t="n">
        <f aca="false">SUM(B31:O31)</f>
        <v>3908</v>
      </c>
      <c r="Q31" s="26" t="n">
        <f aca="false">COUNTIF(B31:O31,"&gt;0")</f>
        <v>1</v>
      </c>
    </row>
    <row r="32" customFormat="false" ht="15" hidden="false" customHeight="false" outlineLevel="0" collapsed="false">
      <c r="A32" s="6" t="s">
        <v>94</v>
      </c>
      <c r="B32" s="27"/>
      <c r="C32" s="27"/>
      <c r="D32" s="27"/>
      <c r="E32" s="27"/>
      <c r="F32" s="27"/>
      <c r="G32" s="27"/>
      <c r="H32" s="27"/>
      <c r="I32" s="27"/>
      <c r="J32" s="7" t="n">
        <v>2140</v>
      </c>
      <c r="K32" s="27"/>
      <c r="L32" s="27"/>
      <c r="M32" s="27"/>
      <c r="N32" s="27"/>
      <c r="O32" s="7" t="n">
        <v>545</v>
      </c>
      <c r="P32" s="8" t="n">
        <f aca="false">SUM(B32:O32)</f>
        <v>2685</v>
      </c>
      <c r="Q32" s="26" t="n">
        <f aca="false">COUNTIF(B32:O32,"&gt;0")</f>
        <v>2</v>
      </c>
    </row>
    <row r="33" customFormat="false" ht="15" hidden="false" customHeight="false" outlineLevel="0" collapsed="false">
      <c r="A33" s="6" t="s">
        <v>96</v>
      </c>
      <c r="B33" s="7" t="n">
        <v>2339.19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8" t="n">
        <f aca="false">SUM(B33:O33)</f>
        <v>2339.19</v>
      </c>
      <c r="Q33" s="26" t="n">
        <f aca="false">COUNTIF(B33:O33,"&gt;0")</f>
        <v>1</v>
      </c>
    </row>
    <row r="34" customFormat="false" ht="15" hidden="false" customHeight="false" outlineLevel="0" collapsed="false">
      <c r="A34" s="6" t="s">
        <v>98</v>
      </c>
      <c r="B34" s="27"/>
      <c r="C34" s="27"/>
      <c r="D34" s="27"/>
      <c r="E34" s="27"/>
      <c r="F34" s="27"/>
      <c r="G34" s="7" t="n">
        <v>1837.5</v>
      </c>
      <c r="H34" s="27"/>
      <c r="I34" s="27"/>
      <c r="J34" s="27"/>
      <c r="K34" s="27"/>
      <c r="L34" s="27"/>
      <c r="M34" s="27"/>
      <c r="N34" s="27"/>
      <c r="O34" s="7" t="n">
        <v>405</v>
      </c>
      <c r="P34" s="8" t="n">
        <f aca="false">SUM(B34:O34)</f>
        <v>2242.5</v>
      </c>
      <c r="Q34" s="26" t="n">
        <f aca="false">COUNTIF(B34:O34,"&gt;0")</f>
        <v>2</v>
      </c>
    </row>
    <row r="35" customFormat="false" ht="15" hidden="false" customHeight="false" outlineLevel="0" collapsed="false">
      <c r="A35" s="6" t="s">
        <v>100</v>
      </c>
      <c r="B35" s="7" t="n">
        <v>468.55</v>
      </c>
      <c r="C35" s="7" t="n">
        <v>613.95</v>
      </c>
      <c r="D35" s="7" t="n">
        <v>95.08</v>
      </c>
      <c r="E35" s="7" t="n">
        <v>265.36</v>
      </c>
      <c r="F35" s="7" t="n">
        <v>86.03</v>
      </c>
      <c r="G35" s="7" t="n">
        <v>69.28</v>
      </c>
      <c r="H35" s="27"/>
      <c r="I35" s="27"/>
      <c r="J35" s="27"/>
      <c r="K35" s="7" t="n">
        <v>354.99</v>
      </c>
      <c r="L35" s="27"/>
      <c r="M35" s="27"/>
      <c r="N35" s="27"/>
      <c r="O35" s="27"/>
      <c r="P35" s="8" t="n">
        <f aca="false">SUM(B35:O35)</f>
        <v>1953.24</v>
      </c>
      <c r="Q35" s="26" t="n">
        <f aca="false">COUNTIF(B35:O35,"&gt;0")</f>
        <v>7</v>
      </c>
    </row>
    <row r="36" customFormat="false" ht="15" hidden="false" customHeight="false" outlineLevel="0" collapsed="false">
      <c r="A36" s="6" t="s">
        <v>102</v>
      </c>
      <c r="B36" s="7" t="n">
        <v>1835.26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8" t="n">
        <f aca="false">SUM(B36:O36)</f>
        <v>1835.26</v>
      </c>
      <c r="Q36" s="26" t="n">
        <f aca="false">COUNTIF(B36:O36,"&gt;0")</f>
        <v>1</v>
      </c>
    </row>
    <row r="37" customFormat="false" ht="15" hidden="false" customHeight="false" outlineLevel="0" collapsed="false">
      <c r="A37" s="6" t="s">
        <v>103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7" t="n">
        <v>1700</v>
      </c>
      <c r="N37" s="27"/>
      <c r="O37" s="27"/>
      <c r="P37" s="8" t="n">
        <f aca="false">SUM(B37:O37)</f>
        <v>1700</v>
      </c>
      <c r="Q37" s="26" t="n">
        <f aca="false">COUNTIF(B37:O37,"&gt;0")</f>
        <v>1</v>
      </c>
    </row>
    <row r="38" customFormat="false" ht="15" hidden="false" customHeight="false" outlineLevel="0" collapsed="false">
      <c r="A38" s="6" t="s">
        <v>105</v>
      </c>
      <c r="B38" s="7" t="n">
        <v>227</v>
      </c>
      <c r="C38" s="7" t="n">
        <v>257.64</v>
      </c>
      <c r="D38" s="7" t="n">
        <v>129</v>
      </c>
      <c r="E38" s="7" t="n">
        <v>212</v>
      </c>
      <c r="F38" s="7" t="n">
        <v>129</v>
      </c>
      <c r="G38" s="7" t="n">
        <v>186</v>
      </c>
      <c r="H38" s="27"/>
      <c r="I38" s="7" t="n">
        <v>50</v>
      </c>
      <c r="J38" s="7" t="n">
        <v>195</v>
      </c>
      <c r="K38" s="7" t="n">
        <v>191.7</v>
      </c>
      <c r="L38" s="27"/>
      <c r="M38" s="27"/>
      <c r="N38" s="27"/>
      <c r="O38" s="27"/>
      <c r="P38" s="8" t="n">
        <f aca="false">SUM(B38:O38)</f>
        <v>1577.34</v>
      </c>
      <c r="Q38" s="26" t="n">
        <f aca="false">COUNTIF(B38:O38,"&gt;0")</f>
        <v>9</v>
      </c>
    </row>
    <row r="39" customFormat="false" ht="15" hidden="false" customHeight="false" outlineLevel="0" collapsed="false">
      <c r="A39" s="6" t="s">
        <v>106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7" t="n">
        <v>1526.25</v>
      </c>
      <c r="M39" s="27"/>
      <c r="N39" s="27"/>
      <c r="O39" s="27"/>
      <c r="P39" s="8" t="n">
        <f aca="false">SUM(B39:O39)</f>
        <v>1526.25</v>
      </c>
      <c r="Q39" s="26" t="n">
        <f aca="false">COUNTIF(B39:O39,"&gt;0")</f>
        <v>1</v>
      </c>
    </row>
    <row r="40" customFormat="false" ht="15" hidden="false" customHeight="false" outlineLevel="0" collapsed="false">
      <c r="A40" s="6" t="s">
        <v>107</v>
      </c>
      <c r="B40" s="27"/>
      <c r="C40" s="27"/>
      <c r="D40" s="27"/>
      <c r="E40" s="27"/>
      <c r="F40" s="27"/>
      <c r="G40" s="27"/>
      <c r="H40" s="7" t="n">
        <v>108.97</v>
      </c>
      <c r="I40" s="27"/>
      <c r="J40" s="27"/>
      <c r="K40" s="27"/>
      <c r="L40" s="27"/>
      <c r="M40" s="7" t="n">
        <v>1302.22</v>
      </c>
      <c r="N40" s="27"/>
      <c r="O40" s="27"/>
      <c r="P40" s="8" t="n">
        <f aca="false">SUM(B40:O40)</f>
        <v>1411.19</v>
      </c>
      <c r="Q40" s="26" t="n">
        <f aca="false">COUNTIF(B40:O40,"&gt;0")</f>
        <v>2</v>
      </c>
    </row>
    <row r="41" customFormat="false" ht="15" hidden="false" customHeight="false" outlineLevel="0" collapsed="false">
      <c r="A41" s="6" t="s">
        <v>109</v>
      </c>
      <c r="B41" s="27"/>
      <c r="C41" s="27"/>
      <c r="D41" s="27"/>
      <c r="E41" s="27"/>
      <c r="F41" s="27"/>
      <c r="G41" s="27"/>
      <c r="H41" s="7" t="n">
        <v>257</v>
      </c>
      <c r="I41" s="27"/>
      <c r="J41" s="27"/>
      <c r="K41" s="27"/>
      <c r="L41" s="7" t="n">
        <v>470.35</v>
      </c>
      <c r="M41" s="7" t="n">
        <v>304</v>
      </c>
      <c r="N41" s="7" t="n">
        <v>100</v>
      </c>
      <c r="O41" s="27"/>
      <c r="P41" s="8" t="n">
        <f aca="false">SUM(B41:O41)</f>
        <v>1131.35</v>
      </c>
      <c r="Q41" s="26" t="n">
        <f aca="false">COUNTIF(B41:O41,"&gt;0")</f>
        <v>4</v>
      </c>
    </row>
    <row r="42" customFormat="false" ht="15" hidden="false" customHeight="false" outlineLevel="0" collapsed="false">
      <c r="A42" s="6" t="s">
        <v>110</v>
      </c>
      <c r="B42" s="27"/>
      <c r="C42" s="7" t="n">
        <v>500</v>
      </c>
      <c r="D42" s="27"/>
      <c r="E42" s="27"/>
      <c r="F42" s="27"/>
      <c r="G42" s="27"/>
      <c r="H42" s="27"/>
      <c r="I42" s="27"/>
      <c r="J42" s="7" t="n">
        <v>500</v>
      </c>
      <c r="K42" s="27"/>
      <c r="L42" s="27"/>
      <c r="M42" s="27"/>
      <c r="N42" s="27"/>
      <c r="O42" s="27"/>
      <c r="P42" s="8" t="n">
        <f aca="false">SUM(B42:O42)</f>
        <v>1000</v>
      </c>
      <c r="Q42" s="26" t="n">
        <f aca="false">COUNTIF(B42:O42,"&gt;0")</f>
        <v>2</v>
      </c>
    </row>
    <row r="43" customFormat="false" ht="15" hidden="false" customHeight="false" outlineLevel="0" collapsed="false">
      <c r="A43" s="6" t="s">
        <v>111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7" t="n">
        <v>150.11</v>
      </c>
      <c r="M43" s="27"/>
      <c r="N43" s="7" t="n">
        <v>759.6</v>
      </c>
      <c r="O43" s="27"/>
      <c r="P43" s="8" t="n">
        <f aca="false">SUM(B43:O43)</f>
        <v>909.71</v>
      </c>
      <c r="Q43" s="26" t="n">
        <f aca="false">COUNTIF(B43:O43,"&gt;0")</f>
        <v>2</v>
      </c>
    </row>
    <row r="44" customFormat="false" ht="15" hidden="false" customHeight="false" outlineLevel="0" collapsed="false">
      <c r="A44" s="6" t="s">
        <v>113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7" t="n">
        <v>671.5</v>
      </c>
      <c r="M44" s="27"/>
      <c r="N44" s="27"/>
      <c r="O44" s="27"/>
      <c r="P44" s="8" t="n">
        <f aca="false">SUM(B44:O44)</f>
        <v>671.5</v>
      </c>
      <c r="Q44" s="26" t="n">
        <f aca="false">COUNTIF(B44:O44,"&gt;0")</f>
        <v>1</v>
      </c>
    </row>
    <row r="45" customFormat="false" ht="15" hidden="false" customHeight="false" outlineLevel="0" collapsed="false">
      <c r="A45" s="6" t="s">
        <v>114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7" t="n">
        <v>576.57</v>
      </c>
      <c r="O45" s="27"/>
      <c r="P45" s="8" t="n">
        <f aca="false">SUM(B45:O45)</f>
        <v>576.57</v>
      </c>
      <c r="Q45" s="26" t="n">
        <f aca="false">COUNTIF(B45:O45,"&gt;0")</f>
        <v>1</v>
      </c>
    </row>
    <row r="46" customFormat="false" ht="15" hidden="false" customHeight="false" outlineLevel="0" collapsed="false">
      <c r="A46" s="6" t="s">
        <v>115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7" t="n">
        <v>474</v>
      </c>
      <c r="N46" s="27"/>
      <c r="O46" s="27"/>
      <c r="P46" s="8" t="n">
        <f aca="false">SUM(B46:O46)</f>
        <v>474</v>
      </c>
      <c r="Q46" s="26" t="n">
        <f aca="false">COUNTIF(B46:O46,"&gt;0")</f>
        <v>1</v>
      </c>
    </row>
    <row r="47" customFormat="false" ht="15" hidden="false" customHeight="false" outlineLevel="0" collapsed="false">
      <c r="A47" s="6" t="s">
        <v>116</v>
      </c>
      <c r="B47" s="27"/>
      <c r="C47" s="7" t="n">
        <v>147.74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8" t="n">
        <f aca="false">SUM(B47:O47)</f>
        <v>147.74</v>
      </c>
      <c r="Q47" s="26" t="n">
        <f aca="false">COUNTIF(B47:O47,"&gt;0")</f>
        <v>1</v>
      </c>
    </row>
    <row r="48" customFormat="false" ht="15" hidden="false" customHeight="false" outlineLevel="0" collapsed="false">
      <c r="A48" s="6" t="s">
        <v>118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7" t="n">
        <v>143.8</v>
      </c>
      <c r="P48" s="8" t="n">
        <f aca="false">SUM(B48:O48)</f>
        <v>143.8</v>
      </c>
      <c r="Q48" s="26" t="n">
        <f aca="false">COUNTIF(B48:O48,"&gt;0")</f>
        <v>1</v>
      </c>
    </row>
    <row r="49" customFormat="false" ht="15" hidden="false" customHeight="false" outlineLevel="0" collapsed="false">
      <c r="A49" s="6" t="s">
        <v>120</v>
      </c>
      <c r="B49" s="27"/>
      <c r="C49" s="27"/>
      <c r="D49" s="27"/>
      <c r="E49" s="7" t="n">
        <v>121.4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8" t="n">
        <f aca="false">SUM(B49:O49)</f>
        <v>121.4</v>
      </c>
      <c r="Q49" s="26" t="n">
        <f aca="false">COUNTIF(B49:O49,"&gt;0")</f>
        <v>1</v>
      </c>
    </row>
    <row r="50" customFormat="false" ht="15" hidden="false" customHeight="false" outlineLevel="0" collapsed="false">
      <c r="A50" s="6" t="s">
        <v>122</v>
      </c>
      <c r="B50" s="7" t="n">
        <v>90.46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8" t="n">
        <f aca="false">SUM(B50:O50)</f>
        <v>90.46</v>
      </c>
      <c r="Q50" s="26" t="n">
        <f aca="false">COUNTIF(B50:O50,"&gt;0")</f>
        <v>1</v>
      </c>
    </row>
    <row r="51" customFormat="false" ht="15" hidden="false" customHeight="false" outlineLevel="0" collapsed="false">
      <c r="A51" s="15" t="s">
        <v>43</v>
      </c>
      <c r="B51" s="16" t="n">
        <f aca="false">SUM(B4:B50)</f>
        <v>739308.9</v>
      </c>
      <c r="C51" s="16" t="n">
        <f aca="false">SUM(C4:C50)</f>
        <v>974278.44</v>
      </c>
      <c r="D51" s="16" t="n">
        <f aca="false">SUM(D4:D50)</f>
        <v>174470.05</v>
      </c>
      <c r="E51" s="16" t="n">
        <f aca="false">SUM(E4:E50)</f>
        <v>362721.85</v>
      </c>
      <c r="F51" s="16" t="n">
        <f aca="false">SUM(F4:F50)</f>
        <v>387378.94</v>
      </c>
      <c r="G51" s="16" t="n">
        <f aca="false">SUM(G4:G50)</f>
        <v>409754.59</v>
      </c>
      <c r="H51" s="16" t="n">
        <f aca="false">SUM(H4:H50)</f>
        <v>741273.37</v>
      </c>
      <c r="I51" s="16" t="n">
        <f aca="false">SUM(I4:I50)</f>
        <v>106352.55</v>
      </c>
      <c r="J51" s="16" t="n">
        <f aca="false">SUM(J4:J50)</f>
        <v>458376.37</v>
      </c>
      <c r="K51" s="16" t="n">
        <f aca="false">SUM(K4:K50)</f>
        <v>535198.25</v>
      </c>
      <c r="L51" s="16" t="n">
        <f aca="false">SUM(L4:L50)</f>
        <v>766653.25</v>
      </c>
      <c r="M51" s="16" t="n">
        <f aca="false">SUM(M4:M50)</f>
        <v>792734.87</v>
      </c>
      <c r="N51" s="16" t="n">
        <f aca="false">SUM(N4:N50)</f>
        <v>436423.47</v>
      </c>
      <c r="O51" s="16" t="n">
        <f aca="false">SUM(O4:O50)</f>
        <v>61647.65</v>
      </c>
      <c r="P51" s="16" t="n">
        <f aca="false">SUM(P4:P50)</f>
        <v>6946572.55</v>
      </c>
      <c r="Q51" s="17"/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16</v>
      </c>
    </row>
    <row r="4" customFormat="false" ht="15" hidden="false" customHeight="false" outlineLevel="0" collapsed="false">
      <c r="A4" s="2" t="s">
        <v>7</v>
      </c>
      <c r="B4" s="0" t="n">
        <v>433</v>
      </c>
    </row>
    <row r="5" customFormat="false" ht="15" hidden="false" customHeight="false" outlineLevel="0" collapsed="false">
      <c r="A5" s="2" t="s">
        <v>3</v>
      </c>
      <c r="B5" s="28" t="n">
        <v>739308.9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13</v>
      </c>
      <c r="C8" s="18"/>
      <c r="D8" s="18" t="n">
        <v>210</v>
      </c>
      <c r="E8" s="20" t="n">
        <v>343362.11</v>
      </c>
      <c r="F8" s="21" t="n">
        <f aca="false">E8/E$24</f>
        <v>0.464436597476373</v>
      </c>
      <c r="G8" s="22" t="n">
        <f aca="false">E8/D8</f>
        <v>1635.05766666667</v>
      </c>
    </row>
    <row r="9" customFormat="false" ht="15" hidden="false" customHeight="false" outlineLevel="0" collapsed="false">
      <c r="A9" s="18" t="n">
        <v>2</v>
      </c>
      <c r="B9" s="19" t="s">
        <v>25</v>
      </c>
      <c r="C9" s="18"/>
      <c r="D9" s="18" t="n">
        <v>161</v>
      </c>
      <c r="E9" s="20" t="n">
        <v>261501.21</v>
      </c>
      <c r="F9" s="21" t="n">
        <f aca="false">E9/E$24</f>
        <v>0.353710350301478</v>
      </c>
      <c r="G9" s="22" t="n">
        <f aca="false">E9/D9</f>
        <v>1624.23111801242</v>
      </c>
    </row>
    <row r="10" customFormat="false" ht="15" hidden="false" customHeight="false" outlineLevel="0" collapsed="false">
      <c r="A10" s="18" t="n">
        <v>3</v>
      </c>
      <c r="B10" s="19" t="s">
        <v>54</v>
      </c>
      <c r="C10" s="18"/>
      <c r="D10" s="18" t="n">
        <v>7</v>
      </c>
      <c r="E10" s="20" t="n">
        <v>72801.65</v>
      </c>
      <c r="F10" s="21" t="n">
        <f aca="false">E10/E$24</f>
        <v>0.0984725735075014</v>
      </c>
      <c r="G10" s="22" t="n">
        <f aca="false">E10/D10</f>
        <v>10400.2357142857</v>
      </c>
    </row>
    <row r="11" customFormat="false" ht="15" hidden="false" customHeight="false" outlineLevel="0" collapsed="false">
      <c r="A11" s="10" t="n">
        <v>4</v>
      </c>
      <c r="B11" s="11" t="s">
        <v>56</v>
      </c>
      <c r="C11" s="10"/>
      <c r="D11" s="10" t="n">
        <v>5</v>
      </c>
      <c r="E11" s="12" t="n">
        <v>21978.91</v>
      </c>
      <c r="F11" s="23" t="n">
        <f aca="false">E11/E$24</f>
        <v>0.0297289941998534</v>
      </c>
      <c r="G11" s="13" t="n">
        <f aca="false">E11/D11</f>
        <v>4395.782</v>
      </c>
    </row>
    <row r="12" customFormat="false" ht="15" hidden="false" customHeight="false" outlineLevel="0" collapsed="false">
      <c r="A12" s="5" t="n">
        <v>5</v>
      </c>
      <c r="B12" s="6" t="s">
        <v>59</v>
      </c>
      <c r="C12" s="5"/>
      <c r="D12" s="5" t="n">
        <v>5</v>
      </c>
      <c r="E12" s="7" t="n">
        <v>15099.99</v>
      </c>
      <c r="F12" s="24" t="n">
        <f aca="false">E12/E$24</f>
        <v>0.0204244666877404</v>
      </c>
      <c r="G12" s="8" t="n">
        <f aca="false">E12/D12</f>
        <v>3019.998</v>
      </c>
    </row>
    <row r="13" customFormat="false" ht="15" hidden="false" customHeight="false" outlineLevel="0" collapsed="false">
      <c r="A13" s="10" t="n">
        <v>6</v>
      </c>
      <c r="B13" s="11" t="s">
        <v>60</v>
      </c>
      <c r="C13" s="10"/>
      <c r="D13" s="10" t="n">
        <v>2</v>
      </c>
      <c r="E13" s="12" t="n">
        <v>7788</v>
      </c>
      <c r="F13" s="23" t="n">
        <f aca="false">E13/E$24</f>
        <v>0.010534162377864</v>
      </c>
      <c r="G13" s="13" t="n">
        <f aca="false">E13/D13</f>
        <v>3894</v>
      </c>
    </row>
    <row r="14" customFormat="false" ht="15" hidden="false" customHeight="false" outlineLevel="0" collapsed="false">
      <c r="A14" s="5" t="n">
        <v>7</v>
      </c>
      <c r="B14" s="6" t="s">
        <v>91</v>
      </c>
      <c r="C14" s="5"/>
      <c r="D14" s="5" t="n">
        <v>7</v>
      </c>
      <c r="E14" s="7" t="n">
        <v>4140</v>
      </c>
      <c r="F14" s="24" t="n">
        <f aca="false">E14/E$24</f>
        <v>0.00559982437652245</v>
      </c>
      <c r="G14" s="8" t="n">
        <f aca="false">E14/D14</f>
        <v>591.428571428571</v>
      </c>
    </row>
    <row r="15" customFormat="false" ht="15" hidden="false" customHeight="false" outlineLevel="0" collapsed="false">
      <c r="A15" s="10" t="n">
        <v>8</v>
      </c>
      <c r="B15" s="11" t="s">
        <v>78</v>
      </c>
      <c r="C15" s="10"/>
      <c r="D15" s="10" t="n">
        <v>7</v>
      </c>
      <c r="E15" s="12" t="n">
        <v>4097.84</v>
      </c>
      <c r="F15" s="23" t="n">
        <f aca="false">E15/E$24</f>
        <v>0.00554279814567362</v>
      </c>
      <c r="G15" s="13" t="n">
        <f aca="false">E15/D15</f>
        <v>585.405714285714</v>
      </c>
    </row>
    <row r="16" customFormat="false" ht="15" hidden="false" customHeight="false" outlineLevel="0" collapsed="false">
      <c r="A16" s="5" t="n">
        <v>9</v>
      </c>
      <c r="B16" s="6" t="s">
        <v>96</v>
      </c>
      <c r="C16" s="5"/>
      <c r="D16" s="5" t="n">
        <v>3</v>
      </c>
      <c r="E16" s="7" t="n">
        <v>2339.19</v>
      </c>
      <c r="F16" s="24" t="n">
        <f aca="false">E16/E$24</f>
        <v>0.00316402250804772</v>
      </c>
      <c r="G16" s="8" t="n">
        <f aca="false">E16/D16</f>
        <v>779.73</v>
      </c>
    </row>
    <row r="17" customFormat="false" ht="15" hidden="false" customHeight="false" outlineLevel="0" collapsed="false">
      <c r="A17" s="10" t="n">
        <v>10</v>
      </c>
      <c r="B17" s="11" t="s">
        <v>86</v>
      </c>
      <c r="C17" s="10"/>
      <c r="D17" s="10" t="n">
        <v>8</v>
      </c>
      <c r="E17" s="12" t="n">
        <v>2018.25</v>
      </c>
      <c r="F17" s="23" t="n">
        <f aca="false">E17/E$24</f>
        <v>0.0027299143835547</v>
      </c>
      <c r="G17" s="13" t="n">
        <f aca="false">E17/D17</f>
        <v>252.28125</v>
      </c>
    </row>
    <row r="18" customFormat="false" ht="15" hidden="false" customHeight="false" outlineLevel="0" collapsed="false">
      <c r="A18" s="5" t="n">
        <v>11</v>
      </c>
      <c r="B18" s="6" t="s">
        <v>102</v>
      </c>
      <c r="C18" s="5"/>
      <c r="D18" s="5" t="n">
        <v>6</v>
      </c>
      <c r="E18" s="7" t="n">
        <v>1835.26</v>
      </c>
      <c r="F18" s="24" t="n">
        <f aca="false">E18/E$24</f>
        <v>0.00248239944088324</v>
      </c>
      <c r="G18" s="8" t="n">
        <f aca="false">E18/D18</f>
        <v>305.876666666667</v>
      </c>
    </row>
    <row r="19" customFormat="false" ht="15" hidden="false" customHeight="false" outlineLevel="0" collapsed="false">
      <c r="A19" s="10" t="n">
        <v>12</v>
      </c>
      <c r="B19" s="11" t="s">
        <v>85</v>
      </c>
      <c r="C19" s="10"/>
      <c r="D19" s="10" t="n">
        <v>3</v>
      </c>
      <c r="E19" s="12" t="n">
        <v>1040</v>
      </c>
      <c r="F19" s="23" t="n">
        <f aca="false">E19/E$24</f>
        <v>0.00140671916704912</v>
      </c>
      <c r="G19" s="13" t="n">
        <f aca="false">E19/D19</f>
        <v>346.666666666667</v>
      </c>
    </row>
    <row r="20" customFormat="false" ht="15" hidden="false" customHeight="false" outlineLevel="0" collapsed="false">
      <c r="A20" s="5" t="n">
        <v>13</v>
      </c>
      <c r="B20" s="6" t="s">
        <v>70</v>
      </c>
      <c r="C20" s="5"/>
      <c r="D20" s="5" t="n">
        <v>3</v>
      </c>
      <c r="E20" s="7" t="n">
        <v>520.48</v>
      </c>
      <c r="F20" s="24" t="n">
        <f aca="false">E20/E$24</f>
        <v>0.000704008838524736</v>
      </c>
      <c r="G20" s="8" t="n">
        <f aca="false">E20/D20</f>
        <v>173.493333333333</v>
      </c>
    </row>
    <row r="21" customFormat="false" ht="15" hidden="false" customHeight="false" outlineLevel="0" collapsed="false">
      <c r="A21" s="10" t="n">
        <v>14</v>
      </c>
      <c r="B21" s="11" t="s">
        <v>100</v>
      </c>
      <c r="C21" s="10"/>
      <c r="D21" s="10" t="n">
        <v>4</v>
      </c>
      <c r="E21" s="12" t="n">
        <v>468.55</v>
      </c>
      <c r="F21" s="23" t="n">
        <f aca="false">E21/E$24</f>
        <v>0.000633767563193139</v>
      </c>
      <c r="G21" s="13" t="n">
        <f aca="false">E21/D21</f>
        <v>117.1375</v>
      </c>
    </row>
    <row r="22" customFormat="false" ht="15" hidden="false" customHeight="false" outlineLevel="0" collapsed="false">
      <c r="A22" s="5" t="n">
        <v>15</v>
      </c>
      <c r="B22" s="6" t="s">
        <v>105</v>
      </c>
      <c r="C22" s="5"/>
      <c r="D22" s="5" t="n">
        <v>1</v>
      </c>
      <c r="E22" s="7" t="n">
        <v>227</v>
      </c>
      <c r="F22" s="24" t="n">
        <f aca="false">E22/E$24</f>
        <v>0.000307043510500144</v>
      </c>
      <c r="G22" s="8" t="n">
        <f aca="false">E22/D22</f>
        <v>227</v>
      </c>
    </row>
    <row r="23" customFormat="false" ht="15" hidden="false" customHeight="false" outlineLevel="0" collapsed="false">
      <c r="A23" s="10" t="n">
        <v>16</v>
      </c>
      <c r="B23" s="11" t="s">
        <v>122</v>
      </c>
      <c r="C23" s="10"/>
      <c r="D23" s="10" t="n">
        <v>1</v>
      </c>
      <c r="E23" s="12" t="n">
        <v>90.46</v>
      </c>
      <c r="F23" s="23" t="n">
        <f aca="false">E23/E$24</f>
        <v>0.000122357515241599</v>
      </c>
      <c r="G23" s="13" t="n">
        <f aca="false">E23/D23</f>
        <v>90.46</v>
      </c>
    </row>
    <row r="24" customFormat="false" ht="15" hidden="false" customHeight="false" outlineLevel="0" collapsed="false">
      <c r="A24" s="17"/>
      <c r="B24" s="15" t="s">
        <v>43</v>
      </c>
      <c r="C24" s="17"/>
      <c r="D24" s="15" t="n">
        <f aca="false">SUM(D8:D23)</f>
        <v>433</v>
      </c>
      <c r="E24" s="16" t="n">
        <f aca="false">SUM(E8:E23)</f>
        <v>739308.9</v>
      </c>
      <c r="F24" s="25" t="n">
        <f aca="false">SUM(F8:F23)</f>
        <v>1</v>
      </c>
      <c r="G24" s="16" t="n">
        <f aca="false">E24/D24</f>
        <v>1707.41085450346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20</v>
      </c>
    </row>
    <row r="4" customFormat="false" ht="15" hidden="false" customHeight="false" outlineLevel="0" collapsed="false">
      <c r="A4" s="2" t="s">
        <v>7</v>
      </c>
      <c r="B4" s="0" t="n">
        <v>585</v>
      </c>
    </row>
    <row r="5" customFormat="false" ht="15" hidden="false" customHeight="false" outlineLevel="0" collapsed="false">
      <c r="A5" s="2" t="s">
        <v>3</v>
      </c>
      <c r="B5" s="28" t="n">
        <v>974278.44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13</v>
      </c>
      <c r="C8" s="18"/>
      <c r="D8" s="18" t="n">
        <v>204</v>
      </c>
      <c r="E8" s="20" t="n">
        <v>597586.16</v>
      </c>
      <c r="F8" s="21" t="n">
        <f aca="false">E8/E$28</f>
        <v>0.613362808274809</v>
      </c>
      <c r="G8" s="22" t="n">
        <f aca="false">E8/D8</f>
        <v>2929.34392156863</v>
      </c>
    </row>
    <row r="9" customFormat="false" ht="15" hidden="false" customHeight="false" outlineLevel="0" collapsed="false">
      <c r="A9" s="18" t="n">
        <v>2</v>
      </c>
      <c r="B9" s="19" t="s">
        <v>20</v>
      </c>
      <c r="C9" s="18"/>
      <c r="D9" s="18" t="n">
        <v>118</v>
      </c>
      <c r="E9" s="20" t="n">
        <v>91819.63</v>
      </c>
      <c r="F9" s="21" t="n">
        <f aca="false">E9/E$28</f>
        <v>0.0942437256437698</v>
      </c>
      <c r="G9" s="22" t="n">
        <f aca="false">E9/D9</f>
        <v>778.132457627119</v>
      </c>
    </row>
    <row r="10" customFormat="false" ht="15" hidden="false" customHeight="false" outlineLevel="0" collapsed="false">
      <c r="A10" s="18" t="n">
        <v>3</v>
      </c>
      <c r="B10" s="19" t="s">
        <v>54</v>
      </c>
      <c r="C10" s="18"/>
      <c r="D10" s="18" t="n">
        <v>5</v>
      </c>
      <c r="E10" s="20" t="n">
        <v>78442.97</v>
      </c>
      <c r="F10" s="21" t="n">
        <f aca="false">E10/E$28</f>
        <v>0.0805139134557878</v>
      </c>
      <c r="G10" s="22" t="n">
        <f aca="false">E10/D10</f>
        <v>15688.594</v>
      </c>
    </row>
    <row r="11" customFormat="false" ht="15" hidden="false" customHeight="false" outlineLevel="0" collapsed="false">
      <c r="A11" s="10" t="n">
        <v>4</v>
      </c>
      <c r="B11" s="11" t="s">
        <v>25</v>
      </c>
      <c r="C11" s="10"/>
      <c r="D11" s="10" t="n">
        <v>83</v>
      </c>
      <c r="E11" s="12" t="n">
        <v>71760.48</v>
      </c>
      <c r="F11" s="23" t="n">
        <f aca="false">E11/E$28</f>
        <v>0.0736550015414484</v>
      </c>
      <c r="G11" s="13" t="n">
        <f aca="false">E11/D11</f>
        <v>864.584096385542</v>
      </c>
    </row>
    <row r="12" customFormat="false" ht="15" hidden="false" customHeight="false" outlineLevel="0" collapsed="false">
      <c r="A12" s="5" t="n">
        <v>5</v>
      </c>
      <c r="B12" s="6" t="s">
        <v>56</v>
      </c>
      <c r="C12" s="5"/>
      <c r="D12" s="5" t="n">
        <v>9</v>
      </c>
      <c r="E12" s="7" t="n">
        <v>56505.5</v>
      </c>
      <c r="F12" s="24" t="n">
        <f aca="false">E12/E$28</f>
        <v>0.0579972805310153</v>
      </c>
      <c r="G12" s="8" t="n">
        <f aca="false">E12/D12</f>
        <v>6278.38888888889</v>
      </c>
    </row>
    <row r="13" customFormat="false" ht="15" hidden="false" customHeight="false" outlineLevel="0" collapsed="false">
      <c r="A13" s="10" t="n">
        <v>6</v>
      </c>
      <c r="B13" s="11" t="s">
        <v>59</v>
      </c>
      <c r="C13" s="10"/>
      <c r="D13" s="10" t="n">
        <v>19</v>
      </c>
      <c r="E13" s="12" t="n">
        <v>20102</v>
      </c>
      <c r="F13" s="23" t="n">
        <f aca="false">E13/E$28</f>
        <v>0.020632705369114</v>
      </c>
      <c r="G13" s="13" t="n">
        <f aca="false">E13/D13</f>
        <v>1058</v>
      </c>
    </row>
    <row r="14" customFormat="false" ht="15" hidden="false" customHeight="false" outlineLevel="0" collapsed="false">
      <c r="A14" s="5" t="n">
        <v>7</v>
      </c>
      <c r="B14" s="6" t="s">
        <v>60</v>
      </c>
      <c r="C14" s="5"/>
      <c r="D14" s="5" t="n">
        <v>7</v>
      </c>
      <c r="E14" s="7" t="n">
        <v>19615</v>
      </c>
      <c r="F14" s="24" t="n">
        <f aca="false">E14/E$28</f>
        <v>0.020132848264609</v>
      </c>
      <c r="G14" s="8" t="n">
        <f aca="false">E14/D14</f>
        <v>2802.14285714286</v>
      </c>
    </row>
    <row r="15" customFormat="false" ht="15" hidden="false" customHeight="false" outlineLevel="0" collapsed="false">
      <c r="A15" s="10" t="n">
        <v>8</v>
      </c>
      <c r="B15" s="11" t="s">
        <v>61</v>
      </c>
      <c r="C15" s="10"/>
      <c r="D15" s="10" t="n">
        <v>3</v>
      </c>
      <c r="E15" s="12" t="n">
        <v>15300</v>
      </c>
      <c r="F15" s="23" t="n">
        <f aca="false">E15/E$28</f>
        <v>0.0157039295665826</v>
      </c>
      <c r="G15" s="13" t="n">
        <f aca="false">E15/D15</f>
        <v>5100</v>
      </c>
    </row>
    <row r="16" customFormat="false" ht="15" hidden="false" customHeight="false" outlineLevel="0" collapsed="false">
      <c r="A16" s="5" t="n">
        <v>9</v>
      </c>
      <c r="B16" s="6" t="s">
        <v>70</v>
      </c>
      <c r="C16" s="5"/>
      <c r="D16" s="5" t="n">
        <v>11</v>
      </c>
      <c r="E16" s="7" t="n">
        <v>14267.27</v>
      </c>
      <c r="F16" s="24" t="n">
        <f aca="false">E16/E$28</f>
        <v>0.0146439348488508</v>
      </c>
      <c r="G16" s="8" t="n">
        <f aca="false">E16/D16</f>
        <v>1297.02454545455</v>
      </c>
    </row>
    <row r="17" customFormat="false" ht="15" hidden="false" customHeight="false" outlineLevel="0" collapsed="false">
      <c r="A17" s="10" t="n">
        <v>10</v>
      </c>
      <c r="B17" s="11" t="s">
        <v>81</v>
      </c>
      <c r="C17" s="10"/>
      <c r="D17" s="10" t="n">
        <v>7</v>
      </c>
      <c r="E17" s="12" t="n">
        <v>2272.16</v>
      </c>
      <c r="F17" s="23" t="n">
        <f aca="false">E17/E$28</f>
        <v>0.0023321464447063</v>
      </c>
      <c r="G17" s="13" t="n">
        <f aca="false">E17/D17</f>
        <v>324.594285714286</v>
      </c>
    </row>
    <row r="18" customFormat="false" ht="15" hidden="false" customHeight="false" outlineLevel="0" collapsed="false">
      <c r="A18" s="5" t="n">
        <v>11</v>
      </c>
      <c r="B18" s="6" t="s">
        <v>86</v>
      </c>
      <c r="C18" s="5"/>
      <c r="D18" s="5" t="n">
        <v>5</v>
      </c>
      <c r="E18" s="7" t="n">
        <v>1597.08</v>
      </c>
      <c r="F18" s="24" t="n">
        <f aca="false">E18/E$28</f>
        <v>0.00163924391060116</v>
      </c>
      <c r="G18" s="8" t="n">
        <f aca="false">E18/D18</f>
        <v>319.416</v>
      </c>
    </row>
    <row r="19" customFormat="false" ht="15" hidden="false" customHeight="false" outlineLevel="0" collapsed="false">
      <c r="A19" s="10" t="n">
        <v>12</v>
      </c>
      <c r="B19" s="11" t="s">
        <v>78</v>
      </c>
      <c r="C19" s="10"/>
      <c r="D19" s="10" t="n">
        <v>5</v>
      </c>
      <c r="E19" s="12" t="n">
        <v>1061.65</v>
      </c>
      <c r="F19" s="23" t="n">
        <f aca="false">E19/E$28</f>
        <v>0.00108967822381454</v>
      </c>
      <c r="G19" s="13" t="n">
        <f aca="false">E19/D19</f>
        <v>212.33</v>
      </c>
    </row>
    <row r="20" customFormat="false" ht="15" hidden="false" customHeight="false" outlineLevel="0" collapsed="false">
      <c r="A20" s="5" t="n">
        <v>13</v>
      </c>
      <c r="B20" s="6" t="s">
        <v>67</v>
      </c>
      <c r="C20" s="5"/>
      <c r="D20" s="5" t="n">
        <v>92</v>
      </c>
      <c r="E20" s="7" t="n">
        <v>936.66</v>
      </c>
      <c r="F20" s="24" t="n">
        <f aca="false">E20/E$28</f>
        <v>0.000961388409662437</v>
      </c>
      <c r="G20" s="8" t="n">
        <f aca="false">E20/D20</f>
        <v>10.1810869565217</v>
      </c>
    </row>
    <row r="21" customFormat="false" ht="15" hidden="false" customHeight="false" outlineLevel="0" collapsed="false">
      <c r="A21" s="10" t="n">
        <v>14</v>
      </c>
      <c r="B21" s="11" t="s">
        <v>32</v>
      </c>
      <c r="C21" s="10"/>
      <c r="D21" s="10" t="n">
        <v>5</v>
      </c>
      <c r="E21" s="12" t="n">
        <v>782.55</v>
      </c>
      <c r="F21" s="23" t="n">
        <f aca="false">E21/E$28</f>
        <v>0.000803209809302564</v>
      </c>
      <c r="G21" s="13" t="n">
        <f aca="false">E21/D21</f>
        <v>156.51</v>
      </c>
    </row>
    <row r="22" customFormat="false" ht="15" hidden="false" customHeight="false" outlineLevel="0" collapsed="false">
      <c r="A22" s="5" t="n">
        <v>15</v>
      </c>
      <c r="B22" s="6" t="s">
        <v>100</v>
      </c>
      <c r="C22" s="5"/>
      <c r="D22" s="5" t="n">
        <v>5</v>
      </c>
      <c r="E22" s="7" t="n">
        <v>613.95</v>
      </c>
      <c r="F22" s="24" t="n">
        <f aca="false">E22/E$28</f>
        <v>0.000630158663882575</v>
      </c>
      <c r="G22" s="8" t="n">
        <f aca="false">E22/D22</f>
        <v>122.79</v>
      </c>
    </row>
    <row r="23" customFormat="false" ht="15" hidden="false" customHeight="false" outlineLevel="0" collapsed="false">
      <c r="A23" s="10" t="n">
        <v>16</v>
      </c>
      <c r="B23" s="11" t="s">
        <v>110</v>
      </c>
      <c r="C23" s="10"/>
      <c r="D23" s="10" t="n">
        <v>1</v>
      </c>
      <c r="E23" s="12" t="n">
        <v>500</v>
      </c>
      <c r="F23" s="23" t="n">
        <f aca="false">E23/E$28</f>
        <v>0.000513200312633419</v>
      </c>
      <c r="G23" s="13" t="n">
        <f aca="false">E23/D23</f>
        <v>500</v>
      </c>
    </row>
    <row r="24" customFormat="false" ht="15" hidden="false" customHeight="false" outlineLevel="0" collapsed="false">
      <c r="A24" s="5" t="n">
        <v>17</v>
      </c>
      <c r="B24" s="6" t="s">
        <v>91</v>
      </c>
      <c r="C24" s="5"/>
      <c r="D24" s="5" t="n">
        <v>1</v>
      </c>
      <c r="E24" s="7" t="n">
        <v>375</v>
      </c>
      <c r="F24" s="24" t="n">
        <f aca="false">E24/E$28</f>
        <v>0.000384900234475064</v>
      </c>
      <c r="G24" s="8" t="n">
        <f aca="false">E24/D24</f>
        <v>375</v>
      </c>
    </row>
    <row r="25" customFormat="false" ht="15" hidden="false" customHeight="false" outlineLevel="0" collapsed="false">
      <c r="A25" s="10" t="n">
        <v>18</v>
      </c>
      <c r="B25" s="11" t="s">
        <v>72</v>
      </c>
      <c r="C25" s="10"/>
      <c r="D25" s="10" t="n">
        <v>2</v>
      </c>
      <c r="E25" s="12" t="n">
        <v>335</v>
      </c>
      <c r="F25" s="23" t="n">
        <f aca="false">E25/E$28</f>
        <v>0.000343844209464391</v>
      </c>
      <c r="G25" s="13" t="n">
        <f aca="false">E25/D25</f>
        <v>167.5</v>
      </c>
    </row>
    <row r="26" customFormat="false" ht="15" hidden="false" customHeight="false" outlineLevel="0" collapsed="false">
      <c r="A26" s="5" t="n">
        <v>19</v>
      </c>
      <c r="B26" s="6" t="s">
        <v>105</v>
      </c>
      <c r="C26" s="5"/>
      <c r="D26" s="5" t="n">
        <v>1</v>
      </c>
      <c r="E26" s="7" t="n">
        <v>257.64</v>
      </c>
      <c r="F26" s="24" t="n">
        <f aca="false">E26/E$28</f>
        <v>0.000264441857093748</v>
      </c>
      <c r="G26" s="8" t="n">
        <f aca="false">E26/D26</f>
        <v>257.64</v>
      </c>
    </row>
    <row r="27" customFormat="false" ht="15" hidden="false" customHeight="false" outlineLevel="0" collapsed="false">
      <c r="A27" s="10" t="n">
        <v>20</v>
      </c>
      <c r="B27" s="11" t="s">
        <v>116</v>
      </c>
      <c r="C27" s="10"/>
      <c r="D27" s="10" t="n">
        <v>2</v>
      </c>
      <c r="E27" s="12" t="n">
        <v>147.74</v>
      </c>
      <c r="F27" s="23" t="n">
        <f aca="false">E27/E$28</f>
        <v>0.000151640428376923</v>
      </c>
      <c r="G27" s="13" t="n">
        <f aca="false">E27/D27</f>
        <v>73.87</v>
      </c>
    </row>
    <row r="28" customFormat="false" ht="15" hidden="false" customHeight="false" outlineLevel="0" collapsed="false">
      <c r="A28" s="17"/>
      <c r="B28" s="15" t="s">
        <v>43</v>
      </c>
      <c r="C28" s="17"/>
      <c r="D28" s="15" t="n">
        <f aca="false">SUM(D8:D27)</f>
        <v>585</v>
      </c>
      <c r="E28" s="16" t="n">
        <f aca="false">SUM(E8:E27)</f>
        <v>974278.44</v>
      </c>
      <c r="F28" s="25" t="n">
        <f aca="false">SUM(F8:F27)</f>
        <v>1</v>
      </c>
      <c r="G28" s="16" t="n">
        <f aca="false">E28/D28</f>
        <v>1665.43323076923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13</v>
      </c>
    </row>
    <row r="4" customFormat="false" ht="15" hidden="false" customHeight="false" outlineLevel="0" collapsed="false">
      <c r="A4" s="2" t="s">
        <v>7</v>
      </c>
      <c r="B4" s="0" t="n">
        <v>98</v>
      </c>
    </row>
    <row r="5" customFormat="false" ht="15" hidden="false" customHeight="false" outlineLevel="0" collapsed="false">
      <c r="A5" s="2" t="s">
        <v>3</v>
      </c>
      <c r="B5" s="28" t="n">
        <v>174470.05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13</v>
      </c>
      <c r="C8" s="18"/>
      <c r="D8" s="18" t="n">
        <v>65</v>
      </c>
      <c r="E8" s="20" t="n">
        <v>117439.01</v>
      </c>
      <c r="F8" s="21" t="n">
        <f aca="false">E8/E$21</f>
        <v>0.673118452135481</v>
      </c>
      <c r="G8" s="22" t="n">
        <f aca="false">E8/D8</f>
        <v>1806.754</v>
      </c>
    </row>
    <row r="9" customFormat="false" ht="15" hidden="false" customHeight="false" outlineLevel="0" collapsed="false">
      <c r="A9" s="18" t="n">
        <v>2</v>
      </c>
      <c r="B9" s="19" t="s">
        <v>25</v>
      </c>
      <c r="C9" s="18"/>
      <c r="D9" s="18" t="n">
        <v>14</v>
      </c>
      <c r="E9" s="20" t="n">
        <v>29740.43</v>
      </c>
      <c r="F9" s="21" t="n">
        <f aca="false">E9/E$21</f>
        <v>0.170461520472998</v>
      </c>
      <c r="G9" s="22" t="n">
        <f aca="false">E9/D9</f>
        <v>2124.31642857143</v>
      </c>
    </row>
    <row r="10" customFormat="false" ht="15" hidden="false" customHeight="false" outlineLevel="0" collapsed="false">
      <c r="A10" s="18" t="n">
        <v>3</v>
      </c>
      <c r="B10" s="19" t="s">
        <v>54</v>
      </c>
      <c r="C10" s="18"/>
      <c r="D10" s="18" t="n">
        <v>2</v>
      </c>
      <c r="E10" s="20" t="n">
        <v>16339.3</v>
      </c>
      <c r="F10" s="21" t="n">
        <f aca="false">E10/E$21</f>
        <v>0.0936510306496731</v>
      </c>
      <c r="G10" s="22" t="n">
        <f aca="false">E10/D10</f>
        <v>8169.65</v>
      </c>
    </row>
    <row r="11" customFormat="false" ht="15" hidden="false" customHeight="false" outlineLevel="0" collapsed="false">
      <c r="A11" s="10" t="n">
        <v>4</v>
      </c>
      <c r="B11" s="11" t="s">
        <v>56</v>
      </c>
      <c r="C11" s="10"/>
      <c r="D11" s="10" t="n">
        <v>1</v>
      </c>
      <c r="E11" s="12" t="n">
        <v>4895</v>
      </c>
      <c r="F11" s="23" t="n">
        <f aca="false">E11/E$21</f>
        <v>0.0280563913405195</v>
      </c>
      <c r="G11" s="13" t="n">
        <f aca="false">E11/D11</f>
        <v>4895</v>
      </c>
    </row>
    <row r="12" customFormat="false" ht="15" hidden="false" customHeight="false" outlineLevel="0" collapsed="false">
      <c r="A12" s="5" t="n">
        <v>5</v>
      </c>
      <c r="B12" s="6" t="s">
        <v>87</v>
      </c>
      <c r="C12" s="5"/>
      <c r="D12" s="5" t="n">
        <v>1</v>
      </c>
      <c r="E12" s="7" t="n">
        <v>2250</v>
      </c>
      <c r="F12" s="24" t="n">
        <f aca="false">E12/E$21</f>
        <v>0.0128961962239364</v>
      </c>
      <c r="G12" s="8" t="n">
        <f aca="false">E12/D12</f>
        <v>2250</v>
      </c>
    </row>
    <row r="13" customFormat="false" ht="15" hidden="false" customHeight="false" outlineLevel="0" collapsed="false">
      <c r="A13" s="10" t="n">
        <v>6</v>
      </c>
      <c r="B13" s="11" t="s">
        <v>60</v>
      </c>
      <c r="C13" s="10"/>
      <c r="D13" s="10" t="n">
        <v>4</v>
      </c>
      <c r="E13" s="12" t="n">
        <v>1821</v>
      </c>
      <c r="F13" s="23" t="n">
        <f aca="false">E13/E$21</f>
        <v>0.0104373214772392</v>
      </c>
      <c r="G13" s="13" t="n">
        <f aca="false">E13/D13</f>
        <v>455.25</v>
      </c>
    </row>
    <row r="14" customFormat="false" ht="15" hidden="false" customHeight="false" outlineLevel="0" collapsed="false">
      <c r="A14" s="5" t="n">
        <v>7</v>
      </c>
      <c r="B14" s="6" t="s">
        <v>20</v>
      </c>
      <c r="C14" s="5"/>
      <c r="D14" s="5" t="n">
        <v>2</v>
      </c>
      <c r="E14" s="7" t="n">
        <v>1040.84</v>
      </c>
      <c r="F14" s="24" t="n">
        <f aca="false">E14/E$21</f>
        <v>0.00596572305676533</v>
      </c>
      <c r="G14" s="8" t="n">
        <f aca="false">E14/D14</f>
        <v>520.42</v>
      </c>
    </row>
    <row r="15" customFormat="false" ht="15" hidden="false" customHeight="false" outlineLevel="0" collapsed="false">
      <c r="A15" s="10" t="n">
        <v>8</v>
      </c>
      <c r="B15" s="11" t="s">
        <v>78</v>
      </c>
      <c r="C15" s="10"/>
      <c r="D15" s="10" t="n">
        <v>1</v>
      </c>
      <c r="E15" s="12" t="n">
        <v>245.19</v>
      </c>
      <c r="F15" s="23" t="n">
        <f aca="false">E15/E$21</f>
        <v>0.0014053414898431</v>
      </c>
      <c r="G15" s="13" t="n">
        <f aca="false">E15/D15</f>
        <v>245.19</v>
      </c>
    </row>
    <row r="16" customFormat="false" ht="15" hidden="false" customHeight="false" outlineLevel="0" collapsed="false">
      <c r="A16" s="5" t="n">
        <v>9</v>
      </c>
      <c r="B16" s="6" t="s">
        <v>59</v>
      </c>
      <c r="C16" s="5"/>
      <c r="D16" s="5" t="n">
        <v>1</v>
      </c>
      <c r="E16" s="7" t="n">
        <v>210</v>
      </c>
      <c r="F16" s="24" t="n">
        <f aca="false">E16/E$21</f>
        <v>0.00120364498090073</v>
      </c>
      <c r="G16" s="8" t="n">
        <f aca="false">E16/D16</f>
        <v>210</v>
      </c>
    </row>
    <row r="17" customFormat="false" ht="15" hidden="false" customHeight="false" outlineLevel="0" collapsed="false">
      <c r="A17" s="10" t="n">
        <v>10</v>
      </c>
      <c r="B17" s="11" t="s">
        <v>67</v>
      </c>
      <c r="C17" s="10"/>
      <c r="D17" s="10" t="n">
        <v>3</v>
      </c>
      <c r="E17" s="12" t="n">
        <v>167.8</v>
      </c>
      <c r="F17" s="23" t="n">
        <f aca="false">E17/E$21</f>
        <v>0.000961769656167348</v>
      </c>
      <c r="G17" s="13" t="n">
        <f aca="false">E17/D17</f>
        <v>55.9333333333333</v>
      </c>
    </row>
    <row r="18" customFormat="false" ht="15" hidden="false" customHeight="false" outlineLevel="0" collapsed="false">
      <c r="A18" s="5" t="n">
        <v>11</v>
      </c>
      <c r="B18" s="6" t="s">
        <v>105</v>
      </c>
      <c r="C18" s="5"/>
      <c r="D18" s="5" t="n">
        <v>1</v>
      </c>
      <c r="E18" s="7" t="n">
        <v>129</v>
      </c>
      <c r="F18" s="24" t="n">
        <f aca="false">E18/E$21</f>
        <v>0.000739381916839022</v>
      </c>
      <c r="G18" s="8" t="n">
        <f aca="false">E18/D18</f>
        <v>129</v>
      </c>
    </row>
    <row r="19" customFormat="false" ht="15" hidden="false" customHeight="false" outlineLevel="0" collapsed="false">
      <c r="A19" s="10" t="n">
        <v>12</v>
      </c>
      <c r="B19" s="11" t="s">
        <v>86</v>
      </c>
      <c r="C19" s="10"/>
      <c r="D19" s="10" t="n">
        <v>2</v>
      </c>
      <c r="E19" s="12" t="n">
        <v>97.4</v>
      </c>
      <c r="F19" s="23" t="n">
        <f aca="false">E19/E$21</f>
        <v>0.000558262005427293</v>
      </c>
      <c r="G19" s="13" t="n">
        <f aca="false">E19/D19</f>
        <v>48.7</v>
      </c>
    </row>
    <row r="20" customFormat="false" ht="15" hidden="false" customHeight="false" outlineLevel="0" collapsed="false">
      <c r="A20" s="5" t="n">
        <v>13</v>
      </c>
      <c r="B20" s="6" t="s">
        <v>100</v>
      </c>
      <c r="C20" s="5"/>
      <c r="D20" s="5" t="n">
        <v>1</v>
      </c>
      <c r="E20" s="7" t="n">
        <v>95.08</v>
      </c>
      <c r="F20" s="24" t="n">
        <f aca="false">E20/E$21</f>
        <v>0.000544964594209723</v>
      </c>
      <c r="G20" s="8" t="n">
        <f aca="false">E20/D20</f>
        <v>95.08</v>
      </c>
    </row>
    <row r="21" customFormat="false" ht="15" hidden="false" customHeight="false" outlineLevel="0" collapsed="false">
      <c r="A21" s="17"/>
      <c r="B21" s="15" t="s">
        <v>43</v>
      </c>
      <c r="C21" s="17"/>
      <c r="D21" s="15" t="n">
        <f aca="false">SUM(D8:D20)</f>
        <v>98</v>
      </c>
      <c r="E21" s="16" t="n">
        <f aca="false">SUM(E8:E20)</f>
        <v>174470.05</v>
      </c>
      <c r="F21" s="25" t="n">
        <f aca="false">SUM(F8:F20)</f>
        <v>1</v>
      </c>
      <c r="G21" s="16" t="n">
        <f aca="false">E21/D21</f>
        <v>1780.30663265306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18</v>
      </c>
    </row>
    <row r="4" customFormat="false" ht="15" hidden="false" customHeight="false" outlineLevel="0" collapsed="false">
      <c r="A4" s="2" t="s">
        <v>7</v>
      </c>
      <c r="B4" s="0" t="n">
        <v>175</v>
      </c>
    </row>
    <row r="5" customFormat="false" ht="15" hidden="false" customHeight="false" outlineLevel="0" collapsed="false">
      <c r="A5" s="2" t="s">
        <v>3</v>
      </c>
      <c r="B5" s="28" t="n">
        <v>362721.85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20</v>
      </c>
      <c r="C8" s="18"/>
      <c r="D8" s="18" t="n">
        <v>73</v>
      </c>
      <c r="E8" s="20" t="n">
        <v>215859.94</v>
      </c>
      <c r="F8" s="21" t="n">
        <f aca="false">E8/E$26</f>
        <v>0.595111488320872</v>
      </c>
      <c r="G8" s="22" t="n">
        <f aca="false">E8/D8</f>
        <v>2956.98547945205</v>
      </c>
    </row>
    <row r="9" customFormat="false" ht="15" hidden="false" customHeight="false" outlineLevel="0" collapsed="false">
      <c r="A9" s="18" t="n">
        <v>2</v>
      </c>
      <c r="B9" s="19" t="s">
        <v>13</v>
      </c>
      <c r="C9" s="18"/>
      <c r="D9" s="18" t="n">
        <v>58</v>
      </c>
      <c r="E9" s="20" t="n">
        <v>84342.57</v>
      </c>
      <c r="F9" s="21" t="n">
        <f aca="false">E9/E$26</f>
        <v>0.232526852187151</v>
      </c>
      <c r="G9" s="22" t="n">
        <f aca="false">E9/D9</f>
        <v>1454.18224137931</v>
      </c>
    </row>
    <row r="10" customFormat="false" ht="15" hidden="false" customHeight="false" outlineLevel="0" collapsed="false">
      <c r="A10" s="18" t="n">
        <v>3</v>
      </c>
      <c r="B10" s="19" t="s">
        <v>59</v>
      </c>
      <c r="C10" s="18"/>
      <c r="D10" s="18" t="n">
        <v>3</v>
      </c>
      <c r="E10" s="20" t="n">
        <v>30892.62</v>
      </c>
      <c r="F10" s="21" t="n">
        <f aca="false">E10/E$26</f>
        <v>0.0851688973244926</v>
      </c>
      <c r="G10" s="22" t="n">
        <f aca="false">E10/D10</f>
        <v>10297.54</v>
      </c>
    </row>
    <row r="11" customFormat="false" ht="15" hidden="false" customHeight="false" outlineLevel="0" collapsed="false">
      <c r="A11" s="10" t="n">
        <v>4</v>
      </c>
      <c r="B11" s="11" t="s">
        <v>56</v>
      </c>
      <c r="C11" s="10"/>
      <c r="D11" s="10" t="n">
        <v>4</v>
      </c>
      <c r="E11" s="12" t="n">
        <v>10463</v>
      </c>
      <c r="F11" s="23" t="n">
        <f aca="false">E11/E$26</f>
        <v>0.0288457946495366</v>
      </c>
      <c r="G11" s="13" t="n">
        <f aca="false">E11/D11</f>
        <v>2615.75</v>
      </c>
    </row>
    <row r="12" customFormat="false" ht="15" hidden="false" customHeight="false" outlineLevel="0" collapsed="false">
      <c r="A12" s="5" t="n">
        <v>5</v>
      </c>
      <c r="B12" s="6" t="s">
        <v>25</v>
      </c>
      <c r="C12" s="5"/>
      <c r="D12" s="5" t="n">
        <v>7</v>
      </c>
      <c r="E12" s="7" t="n">
        <v>10106.67</v>
      </c>
      <c r="F12" s="24" t="n">
        <f aca="false">E12/E$26</f>
        <v>0.0278634165545858</v>
      </c>
      <c r="G12" s="8" t="n">
        <f aca="false">E12/D12</f>
        <v>1443.81</v>
      </c>
    </row>
    <row r="13" customFormat="false" ht="15" hidden="false" customHeight="false" outlineLevel="0" collapsed="false">
      <c r="A13" s="10" t="n">
        <v>6</v>
      </c>
      <c r="B13" s="11" t="s">
        <v>60</v>
      </c>
      <c r="C13" s="10"/>
      <c r="D13" s="10" t="n">
        <v>2</v>
      </c>
      <c r="E13" s="12" t="n">
        <v>2414</v>
      </c>
      <c r="F13" s="23" t="n">
        <f aca="false">E13/E$26</f>
        <v>0.00665523733957577</v>
      </c>
      <c r="G13" s="13" t="n">
        <f aca="false">E13/D13</f>
        <v>1207</v>
      </c>
    </row>
    <row r="14" customFormat="false" ht="15" hidden="false" customHeight="false" outlineLevel="0" collapsed="false">
      <c r="A14" s="5" t="n">
        <v>7</v>
      </c>
      <c r="B14" s="6" t="s">
        <v>63</v>
      </c>
      <c r="C14" s="5"/>
      <c r="D14" s="5" t="n">
        <v>6</v>
      </c>
      <c r="E14" s="7" t="n">
        <v>2404.21</v>
      </c>
      <c r="F14" s="24" t="n">
        <f aca="false">E14/E$26</f>
        <v>0.00662824696113565</v>
      </c>
      <c r="G14" s="8" t="n">
        <f aca="false">E14/D14</f>
        <v>400.701666666667</v>
      </c>
    </row>
    <row r="15" customFormat="false" ht="15" hidden="false" customHeight="false" outlineLevel="0" collapsed="false">
      <c r="A15" s="10" t="n">
        <v>8</v>
      </c>
      <c r="B15" s="11" t="s">
        <v>78</v>
      </c>
      <c r="C15" s="10"/>
      <c r="D15" s="10" t="n">
        <v>7</v>
      </c>
      <c r="E15" s="12" t="n">
        <v>2271.7</v>
      </c>
      <c r="F15" s="23" t="n">
        <f aca="false">E15/E$26</f>
        <v>0.00626292571015504</v>
      </c>
      <c r="G15" s="13" t="n">
        <f aca="false">E15/D15</f>
        <v>324.528571428571</v>
      </c>
    </row>
    <row r="16" customFormat="false" ht="15" hidden="false" customHeight="false" outlineLevel="0" collapsed="false">
      <c r="A16" s="5" t="n">
        <v>9</v>
      </c>
      <c r="B16" s="6" t="s">
        <v>79</v>
      </c>
      <c r="C16" s="5"/>
      <c r="D16" s="5" t="n">
        <v>3</v>
      </c>
      <c r="E16" s="7" t="n">
        <v>1831.58</v>
      </c>
      <c r="F16" s="24" t="n">
        <f aca="false">E16/E$26</f>
        <v>0.00504954416173164</v>
      </c>
      <c r="G16" s="8" t="n">
        <f aca="false">E16/D16</f>
        <v>610.526666666667</v>
      </c>
    </row>
    <row r="17" customFormat="false" ht="15" hidden="false" customHeight="false" outlineLevel="0" collapsed="false">
      <c r="A17" s="10" t="n">
        <v>10</v>
      </c>
      <c r="B17" s="11" t="s">
        <v>61</v>
      </c>
      <c r="C17" s="10"/>
      <c r="D17" s="10" t="n">
        <v>1</v>
      </c>
      <c r="E17" s="12" t="n">
        <v>950</v>
      </c>
      <c r="F17" s="23" t="n">
        <f aca="false">E17/E$26</f>
        <v>0.00261908677406669</v>
      </c>
      <c r="G17" s="13" t="n">
        <f aca="false">E17/D17</f>
        <v>950</v>
      </c>
    </row>
    <row r="18" customFormat="false" ht="15" hidden="false" customHeight="false" outlineLevel="0" collapsed="false">
      <c r="A18" s="5" t="n">
        <v>11</v>
      </c>
      <c r="B18" s="6" t="s">
        <v>100</v>
      </c>
      <c r="C18" s="5"/>
      <c r="D18" s="5" t="n">
        <v>2</v>
      </c>
      <c r="E18" s="7" t="n">
        <v>265.36</v>
      </c>
      <c r="F18" s="24" t="n">
        <f aca="false">E18/E$26</f>
        <v>0.000731579859332985</v>
      </c>
      <c r="G18" s="8" t="n">
        <f aca="false">E18/D18</f>
        <v>132.68</v>
      </c>
    </row>
    <row r="19" customFormat="false" ht="15" hidden="false" customHeight="false" outlineLevel="0" collapsed="false">
      <c r="A19" s="10" t="n">
        <v>12</v>
      </c>
      <c r="B19" s="11" t="s">
        <v>105</v>
      </c>
      <c r="C19" s="10"/>
      <c r="D19" s="10" t="n">
        <v>1</v>
      </c>
      <c r="E19" s="12" t="n">
        <v>212</v>
      </c>
      <c r="F19" s="23" t="n">
        <f aca="false">E19/E$26</f>
        <v>0.000584469890633829</v>
      </c>
      <c r="G19" s="13" t="n">
        <f aca="false">E19/D19</f>
        <v>212</v>
      </c>
    </row>
    <row r="20" customFormat="false" ht="15" hidden="false" customHeight="false" outlineLevel="0" collapsed="false">
      <c r="A20" s="5" t="n">
        <v>13</v>
      </c>
      <c r="B20" s="6" t="s">
        <v>83</v>
      </c>
      <c r="C20" s="5"/>
      <c r="D20" s="5" t="n">
        <v>1</v>
      </c>
      <c r="E20" s="7" t="n">
        <v>197.5</v>
      </c>
      <c r="F20" s="24" t="n">
        <f aca="false">E20/E$26</f>
        <v>0.000544494355661232</v>
      </c>
      <c r="G20" s="8" t="n">
        <f aca="false">E20/D20</f>
        <v>197.5</v>
      </c>
    </row>
    <row r="21" customFormat="false" ht="15" hidden="false" customHeight="false" outlineLevel="0" collapsed="false">
      <c r="A21" s="10" t="n">
        <v>14</v>
      </c>
      <c r="B21" s="11" t="s">
        <v>32</v>
      </c>
      <c r="C21" s="10"/>
      <c r="D21" s="10" t="n">
        <v>1</v>
      </c>
      <c r="E21" s="12" t="n">
        <v>168.54</v>
      </c>
      <c r="F21" s="23" t="n">
        <f aca="false">E21/E$26</f>
        <v>0.000464653563053894</v>
      </c>
      <c r="G21" s="13" t="n">
        <f aca="false">E21/D21</f>
        <v>168.54</v>
      </c>
    </row>
    <row r="22" customFormat="false" ht="15" hidden="false" customHeight="false" outlineLevel="0" collapsed="false">
      <c r="A22" s="5" t="n">
        <v>15</v>
      </c>
      <c r="B22" s="6" t="s">
        <v>120</v>
      </c>
      <c r="C22" s="5"/>
      <c r="D22" s="5" t="n">
        <v>2</v>
      </c>
      <c r="E22" s="7" t="n">
        <v>121.4</v>
      </c>
      <c r="F22" s="24" t="n">
        <f aca="false">E22/E$26</f>
        <v>0.000334691720391259</v>
      </c>
      <c r="G22" s="8" t="n">
        <f aca="false">E22/D22</f>
        <v>60.7</v>
      </c>
    </row>
    <row r="23" customFormat="false" ht="15" hidden="false" customHeight="false" outlineLevel="0" collapsed="false">
      <c r="A23" s="10" t="n">
        <v>16</v>
      </c>
      <c r="B23" s="11" t="s">
        <v>70</v>
      </c>
      <c r="C23" s="10"/>
      <c r="D23" s="10" t="n">
        <v>2</v>
      </c>
      <c r="E23" s="12" t="n">
        <v>96.67</v>
      </c>
      <c r="F23" s="23" t="n">
        <f aca="false">E23/E$26</f>
        <v>0.000266512756262133</v>
      </c>
      <c r="G23" s="13" t="n">
        <f aca="false">E23/D23</f>
        <v>48.335</v>
      </c>
    </row>
    <row r="24" customFormat="false" ht="15" hidden="false" customHeight="false" outlineLevel="0" collapsed="false">
      <c r="A24" s="5" t="n">
        <v>17</v>
      </c>
      <c r="B24" s="6" t="s">
        <v>81</v>
      </c>
      <c r="C24" s="5"/>
      <c r="D24" s="5" t="n">
        <v>1</v>
      </c>
      <c r="E24" s="7" t="n">
        <v>69.69</v>
      </c>
      <c r="F24" s="24" t="n">
        <f aca="false">E24/E$26</f>
        <v>0.000192130691878639</v>
      </c>
      <c r="G24" s="8" t="n">
        <f aca="false">E24/D24</f>
        <v>69.69</v>
      </c>
    </row>
    <row r="25" customFormat="false" ht="15" hidden="false" customHeight="false" outlineLevel="0" collapsed="false">
      <c r="A25" s="10" t="n">
        <v>18</v>
      </c>
      <c r="B25" s="11" t="s">
        <v>86</v>
      </c>
      <c r="C25" s="10"/>
      <c r="D25" s="10" t="n">
        <v>1</v>
      </c>
      <c r="E25" s="12" t="n">
        <v>54.4</v>
      </c>
      <c r="F25" s="23" t="n">
        <f aca="false">E25/E$26</f>
        <v>0.000149977179483398</v>
      </c>
      <c r="G25" s="13" t="n">
        <f aca="false">E25/D25</f>
        <v>54.4</v>
      </c>
    </row>
    <row r="26" customFormat="false" ht="15" hidden="false" customHeight="false" outlineLevel="0" collapsed="false">
      <c r="A26" s="17"/>
      <c r="B26" s="15" t="s">
        <v>43</v>
      </c>
      <c r="C26" s="17"/>
      <c r="D26" s="15" t="n">
        <f aca="false">SUM(D8:D25)</f>
        <v>175</v>
      </c>
      <c r="E26" s="16" t="n">
        <f aca="false">SUM(E8:E25)</f>
        <v>362721.85</v>
      </c>
      <c r="F26" s="25" t="n">
        <f aca="false">SUM(F8:F25)</f>
        <v>1</v>
      </c>
      <c r="G26" s="16" t="n">
        <f aca="false">E26/D26</f>
        <v>2072.69628571429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14</v>
      </c>
    </row>
    <row r="4" customFormat="false" ht="15" hidden="false" customHeight="false" outlineLevel="0" collapsed="false">
      <c r="A4" s="2" t="s">
        <v>7</v>
      </c>
      <c r="B4" s="0" t="n">
        <v>123</v>
      </c>
    </row>
    <row r="5" customFormat="false" ht="15" hidden="false" customHeight="false" outlineLevel="0" collapsed="false">
      <c r="A5" s="2" t="s">
        <v>3</v>
      </c>
      <c r="B5" s="28" t="n">
        <v>387378.94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13</v>
      </c>
      <c r="C8" s="18"/>
      <c r="D8" s="18" t="n">
        <v>56</v>
      </c>
      <c r="E8" s="20" t="n">
        <v>302211.38</v>
      </c>
      <c r="F8" s="21" t="n">
        <f aca="false">E8/E$22</f>
        <v>0.780144062555388</v>
      </c>
      <c r="G8" s="22" t="n">
        <f aca="false">E8/D8</f>
        <v>5396.63178571428</v>
      </c>
    </row>
    <row r="9" customFormat="false" ht="15" hidden="false" customHeight="false" outlineLevel="0" collapsed="false">
      <c r="A9" s="18" t="n">
        <v>2</v>
      </c>
      <c r="B9" s="19" t="s">
        <v>20</v>
      </c>
      <c r="C9" s="18"/>
      <c r="D9" s="18" t="n">
        <v>30</v>
      </c>
      <c r="E9" s="20" t="n">
        <v>35755.01</v>
      </c>
      <c r="F9" s="21" t="n">
        <f aca="false">E9/E$22</f>
        <v>0.0922998292059966</v>
      </c>
      <c r="G9" s="22" t="n">
        <f aca="false">E9/D9</f>
        <v>1191.83366666667</v>
      </c>
    </row>
    <row r="10" customFormat="false" ht="15" hidden="false" customHeight="false" outlineLevel="0" collapsed="false">
      <c r="A10" s="18" t="n">
        <v>3</v>
      </c>
      <c r="B10" s="19" t="s">
        <v>56</v>
      </c>
      <c r="C10" s="18"/>
      <c r="D10" s="18" t="n">
        <v>5</v>
      </c>
      <c r="E10" s="20" t="n">
        <v>12487</v>
      </c>
      <c r="F10" s="21" t="n">
        <f aca="false">E10/E$22</f>
        <v>0.0322345866298256</v>
      </c>
      <c r="G10" s="22" t="n">
        <f aca="false">E10/D10</f>
        <v>2497.4</v>
      </c>
    </row>
    <row r="11" customFormat="false" ht="15" hidden="false" customHeight="false" outlineLevel="0" collapsed="false">
      <c r="A11" s="10" t="n">
        <v>4</v>
      </c>
      <c r="B11" s="11" t="s">
        <v>25</v>
      </c>
      <c r="C11" s="10"/>
      <c r="D11" s="10" t="n">
        <v>13</v>
      </c>
      <c r="E11" s="12" t="n">
        <v>10651.28</v>
      </c>
      <c r="F11" s="23" t="n">
        <f aca="false">E11/E$22</f>
        <v>0.0274957642250764</v>
      </c>
      <c r="G11" s="13" t="n">
        <f aca="false">E11/D11</f>
        <v>819.329230769231</v>
      </c>
    </row>
    <row r="12" customFormat="false" ht="15" hidden="false" customHeight="false" outlineLevel="0" collapsed="false">
      <c r="A12" s="5" t="n">
        <v>5</v>
      </c>
      <c r="B12" s="6" t="s">
        <v>70</v>
      </c>
      <c r="C12" s="5"/>
      <c r="D12" s="5" t="n">
        <v>4</v>
      </c>
      <c r="E12" s="7" t="n">
        <v>8107.96</v>
      </c>
      <c r="F12" s="24" t="n">
        <f aca="false">E12/E$22</f>
        <v>0.0209303066397982</v>
      </c>
      <c r="G12" s="8" t="n">
        <f aca="false">E12/D12</f>
        <v>2026.99</v>
      </c>
    </row>
    <row r="13" customFormat="false" ht="15" hidden="false" customHeight="false" outlineLevel="0" collapsed="false">
      <c r="A13" s="10" t="n">
        <v>6</v>
      </c>
      <c r="B13" s="11" t="s">
        <v>59</v>
      </c>
      <c r="C13" s="10"/>
      <c r="D13" s="10" t="n">
        <v>3</v>
      </c>
      <c r="E13" s="12" t="n">
        <v>7291</v>
      </c>
      <c r="F13" s="23" t="n">
        <f aca="false">E13/E$22</f>
        <v>0.0188213639079089</v>
      </c>
      <c r="G13" s="13" t="n">
        <f aca="false">E13/D13</f>
        <v>2430.33333333333</v>
      </c>
    </row>
    <row r="14" customFormat="false" ht="15" hidden="false" customHeight="false" outlineLevel="0" collapsed="false">
      <c r="A14" s="5" t="n">
        <v>7</v>
      </c>
      <c r="B14" s="6" t="s">
        <v>87</v>
      </c>
      <c r="C14" s="5"/>
      <c r="D14" s="5" t="n">
        <v>2</v>
      </c>
      <c r="E14" s="7" t="n">
        <v>6217.07</v>
      </c>
      <c r="F14" s="24" t="n">
        <f aca="false">E14/E$22</f>
        <v>0.0160490655480652</v>
      </c>
      <c r="G14" s="8" t="n">
        <f aca="false">E14/D14</f>
        <v>3108.535</v>
      </c>
    </row>
    <row r="15" customFormat="false" ht="15" hidden="false" customHeight="false" outlineLevel="0" collapsed="false">
      <c r="A15" s="10" t="n">
        <v>8</v>
      </c>
      <c r="B15" s="11" t="s">
        <v>60</v>
      </c>
      <c r="C15" s="10"/>
      <c r="D15" s="10" t="n">
        <v>2</v>
      </c>
      <c r="E15" s="12" t="n">
        <v>2598</v>
      </c>
      <c r="F15" s="23" t="n">
        <f aca="false">E15/E$22</f>
        <v>0.00670661136095834</v>
      </c>
      <c r="G15" s="13" t="n">
        <f aca="false">E15/D15</f>
        <v>1299</v>
      </c>
    </row>
    <row r="16" customFormat="false" ht="15" hidden="false" customHeight="false" outlineLevel="0" collapsed="false">
      <c r="A16" s="5" t="n">
        <v>9</v>
      </c>
      <c r="B16" s="6" t="s">
        <v>83</v>
      </c>
      <c r="C16" s="5"/>
      <c r="D16" s="5" t="n">
        <v>2</v>
      </c>
      <c r="E16" s="7" t="n">
        <v>870</v>
      </c>
      <c r="F16" s="24" t="n">
        <f aca="false">E16/E$22</f>
        <v>0.00224586292687982</v>
      </c>
      <c r="G16" s="8" t="n">
        <f aca="false">E16/D16</f>
        <v>435</v>
      </c>
    </row>
    <row r="17" customFormat="false" ht="15" hidden="false" customHeight="false" outlineLevel="0" collapsed="false">
      <c r="A17" s="10" t="n">
        <v>10</v>
      </c>
      <c r="B17" s="11" t="s">
        <v>89</v>
      </c>
      <c r="C17" s="10"/>
      <c r="D17" s="10" t="n">
        <v>1</v>
      </c>
      <c r="E17" s="12" t="n">
        <v>810</v>
      </c>
      <c r="F17" s="23" t="n">
        <f aca="false">E17/E$22</f>
        <v>0.00209097582847431</v>
      </c>
      <c r="G17" s="13" t="n">
        <f aca="false">E17/D17</f>
        <v>810</v>
      </c>
    </row>
    <row r="18" customFormat="false" ht="15" hidden="false" customHeight="false" outlineLevel="0" collapsed="false">
      <c r="A18" s="5" t="n">
        <v>11</v>
      </c>
      <c r="B18" s="6" t="s">
        <v>105</v>
      </c>
      <c r="C18" s="5"/>
      <c r="D18" s="5" t="n">
        <v>1</v>
      </c>
      <c r="E18" s="7" t="n">
        <v>129</v>
      </c>
      <c r="F18" s="24" t="n">
        <f aca="false">E18/E$22</f>
        <v>0.000333007261571835</v>
      </c>
      <c r="G18" s="8" t="n">
        <f aca="false">E18/D18</f>
        <v>129</v>
      </c>
    </row>
    <row r="19" customFormat="false" ht="15" hidden="false" customHeight="false" outlineLevel="0" collapsed="false">
      <c r="A19" s="10" t="n">
        <v>12</v>
      </c>
      <c r="B19" s="11" t="s">
        <v>86</v>
      </c>
      <c r="C19" s="10"/>
      <c r="D19" s="10" t="n">
        <v>1</v>
      </c>
      <c r="E19" s="12" t="n">
        <v>102</v>
      </c>
      <c r="F19" s="23" t="n">
        <f aca="false">E19/E$22</f>
        <v>0.000263308067289358</v>
      </c>
      <c r="G19" s="13" t="n">
        <f aca="false">E19/D19</f>
        <v>102</v>
      </c>
    </row>
    <row r="20" customFormat="false" ht="15" hidden="false" customHeight="false" outlineLevel="0" collapsed="false">
      <c r="A20" s="5" t="n">
        <v>13</v>
      </c>
      <c r="B20" s="6" t="s">
        <v>100</v>
      </c>
      <c r="C20" s="5"/>
      <c r="D20" s="5" t="n">
        <v>1</v>
      </c>
      <c r="E20" s="7" t="n">
        <v>86.03</v>
      </c>
      <c r="F20" s="24" t="n">
        <f aca="false">E20/E$22</f>
        <v>0.000222082284597093</v>
      </c>
      <c r="G20" s="8" t="n">
        <f aca="false">E20/D20</f>
        <v>86.03</v>
      </c>
    </row>
    <row r="21" customFormat="false" ht="15" hidden="false" customHeight="false" outlineLevel="0" collapsed="false">
      <c r="A21" s="10" t="n">
        <v>14</v>
      </c>
      <c r="B21" s="11" t="s">
        <v>67</v>
      </c>
      <c r="C21" s="10"/>
      <c r="D21" s="10" t="n">
        <v>2</v>
      </c>
      <c r="E21" s="12" t="n">
        <v>63.21</v>
      </c>
      <c r="F21" s="23" t="n">
        <f aca="false">E21/E$22</f>
        <v>0.000163173558170199</v>
      </c>
      <c r="G21" s="13" t="n">
        <f aca="false">E21/D21</f>
        <v>31.605</v>
      </c>
    </row>
    <row r="22" customFormat="false" ht="15" hidden="false" customHeight="false" outlineLevel="0" collapsed="false">
      <c r="A22" s="17"/>
      <c r="B22" s="15" t="s">
        <v>43</v>
      </c>
      <c r="C22" s="17"/>
      <c r="D22" s="15" t="n">
        <f aca="false">SUM(D8:D21)</f>
        <v>123</v>
      </c>
      <c r="E22" s="16" t="n">
        <f aca="false">SUM(E8:E21)</f>
        <v>387378.94</v>
      </c>
      <c r="F22" s="25" t="n">
        <f aca="false">SUM(F8:F21)</f>
        <v>1</v>
      </c>
      <c r="G22" s="16" t="n">
        <f aca="false">E22/D22</f>
        <v>3149.42227642276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16</v>
      </c>
    </row>
    <row r="4" customFormat="false" ht="15" hidden="false" customHeight="false" outlineLevel="0" collapsed="false">
      <c r="A4" s="2" t="s">
        <v>7</v>
      </c>
      <c r="B4" s="0" t="n">
        <v>186</v>
      </c>
    </row>
    <row r="5" customFormat="false" ht="15" hidden="false" customHeight="false" outlineLevel="0" collapsed="false">
      <c r="A5" s="2" t="s">
        <v>3</v>
      </c>
      <c r="B5" s="28" t="n">
        <v>409754.59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25</v>
      </c>
      <c r="C8" s="18"/>
      <c r="D8" s="18" t="n">
        <v>45</v>
      </c>
      <c r="E8" s="20" t="n">
        <v>154464.12</v>
      </c>
      <c r="F8" s="21" t="n">
        <f aca="false">E8/E$24</f>
        <v>0.376967394068728</v>
      </c>
      <c r="G8" s="22" t="n">
        <f aca="false">E8/D8</f>
        <v>3432.536</v>
      </c>
    </row>
    <row r="9" customFormat="false" ht="15" hidden="false" customHeight="false" outlineLevel="0" collapsed="false">
      <c r="A9" s="18" t="n">
        <v>2</v>
      </c>
      <c r="B9" s="19" t="s">
        <v>13</v>
      </c>
      <c r="C9" s="18"/>
      <c r="D9" s="18" t="n">
        <v>41</v>
      </c>
      <c r="E9" s="20" t="n">
        <v>119072.08</v>
      </c>
      <c r="F9" s="21" t="n">
        <f aca="false">E9/E$24</f>
        <v>0.29059364533293</v>
      </c>
      <c r="G9" s="22" t="n">
        <f aca="false">E9/D9</f>
        <v>2904.19707317073</v>
      </c>
    </row>
    <row r="10" customFormat="false" ht="15" hidden="false" customHeight="false" outlineLevel="0" collapsed="false">
      <c r="A10" s="18" t="n">
        <v>3</v>
      </c>
      <c r="B10" s="19" t="s">
        <v>54</v>
      </c>
      <c r="C10" s="18"/>
      <c r="D10" s="18" t="n">
        <v>7</v>
      </c>
      <c r="E10" s="20" t="n">
        <v>58896.52</v>
      </c>
      <c r="F10" s="21" t="n">
        <f aca="false">E10/E$24</f>
        <v>0.143736083590912</v>
      </c>
      <c r="G10" s="22" t="n">
        <f aca="false">E10/D10</f>
        <v>8413.78857142857</v>
      </c>
    </row>
    <row r="11" customFormat="false" ht="15" hidden="false" customHeight="false" outlineLevel="0" collapsed="false">
      <c r="A11" s="10" t="n">
        <v>4</v>
      </c>
      <c r="B11" s="11" t="s">
        <v>20</v>
      </c>
      <c r="C11" s="10"/>
      <c r="D11" s="10" t="n">
        <v>54</v>
      </c>
      <c r="E11" s="12" t="n">
        <v>39751.74</v>
      </c>
      <c r="F11" s="23" t="n">
        <f aca="false">E11/E$24</f>
        <v>0.0970135319289529</v>
      </c>
      <c r="G11" s="13" t="n">
        <f aca="false">E11/D11</f>
        <v>736.143333333333</v>
      </c>
    </row>
    <row r="12" customFormat="false" ht="15" hidden="false" customHeight="false" outlineLevel="0" collapsed="false">
      <c r="A12" s="5" t="n">
        <v>5</v>
      </c>
      <c r="B12" s="6" t="s">
        <v>56</v>
      </c>
      <c r="C12" s="5"/>
      <c r="D12" s="5" t="n">
        <v>4</v>
      </c>
      <c r="E12" s="7" t="n">
        <v>15612.75</v>
      </c>
      <c r="F12" s="24" t="n">
        <f aca="false">E12/E$24</f>
        <v>0.0381026848289851</v>
      </c>
      <c r="G12" s="8" t="n">
        <f aca="false">E12/D12</f>
        <v>3903.1875</v>
      </c>
    </row>
    <row r="13" customFormat="false" ht="15" hidden="false" customHeight="false" outlineLevel="0" collapsed="false">
      <c r="A13" s="10" t="n">
        <v>6</v>
      </c>
      <c r="B13" s="11" t="s">
        <v>59</v>
      </c>
      <c r="C13" s="10"/>
      <c r="D13" s="10" t="n">
        <v>6</v>
      </c>
      <c r="E13" s="12" t="n">
        <v>9741.88</v>
      </c>
      <c r="F13" s="23" t="n">
        <f aca="false">E13/E$24</f>
        <v>0.023774913662346</v>
      </c>
      <c r="G13" s="13" t="n">
        <f aca="false">E13/D13</f>
        <v>1623.64666666667</v>
      </c>
    </row>
    <row r="14" customFormat="false" ht="15" hidden="false" customHeight="false" outlineLevel="0" collapsed="false">
      <c r="A14" s="5" t="n">
        <v>7</v>
      </c>
      <c r="B14" s="6" t="s">
        <v>60</v>
      </c>
      <c r="C14" s="5"/>
      <c r="D14" s="5" t="n">
        <v>3</v>
      </c>
      <c r="E14" s="7" t="n">
        <v>5806</v>
      </c>
      <c r="F14" s="24" t="n">
        <f aca="false">E14/E$24</f>
        <v>0.0141694568936983</v>
      </c>
      <c r="G14" s="8" t="n">
        <f aca="false">E14/D14</f>
        <v>1935.33333333333</v>
      </c>
    </row>
    <row r="15" customFormat="false" ht="15" hidden="false" customHeight="false" outlineLevel="0" collapsed="false">
      <c r="A15" s="10" t="n">
        <v>8</v>
      </c>
      <c r="B15" s="11" t="s">
        <v>83</v>
      </c>
      <c r="C15" s="10"/>
      <c r="D15" s="10" t="n">
        <v>7</v>
      </c>
      <c r="E15" s="12" t="n">
        <v>1963.11</v>
      </c>
      <c r="F15" s="23" t="n">
        <f aca="false">E15/E$24</f>
        <v>0.00479094084095556</v>
      </c>
      <c r="G15" s="13" t="n">
        <f aca="false">E15/D15</f>
        <v>280.444285714286</v>
      </c>
    </row>
    <row r="16" customFormat="false" ht="15" hidden="false" customHeight="false" outlineLevel="0" collapsed="false">
      <c r="A16" s="5" t="n">
        <v>9</v>
      </c>
      <c r="B16" s="6" t="s">
        <v>98</v>
      </c>
      <c r="C16" s="5"/>
      <c r="D16" s="5" t="n">
        <v>2</v>
      </c>
      <c r="E16" s="7" t="n">
        <v>1837.5</v>
      </c>
      <c r="F16" s="24" t="n">
        <f aca="false">E16/E$24</f>
        <v>0.00448439149882372</v>
      </c>
      <c r="G16" s="8" t="n">
        <f aca="false">E16/D16</f>
        <v>918.75</v>
      </c>
    </row>
    <row r="17" customFormat="false" ht="15" hidden="false" customHeight="false" outlineLevel="0" collapsed="false">
      <c r="A17" s="10" t="n">
        <v>10</v>
      </c>
      <c r="B17" s="11" t="s">
        <v>67</v>
      </c>
      <c r="C17" s="10"/>
      <c r="D17" s="10" t="n">
        <v>8</v>
      </c>
      <c r="E17" s="12" t="n">
        <v>1038.11</v>
      </c>
      <c r="F17" s="23" t="n">
        <f aca="false">E17/E$24</f>
        <v>0.00253349205923477</v>
      </c>
      <c r="G17" s="13" t="n">
        <f aca="false">E17/D17</f>
        <v>129.76375</v>
      </c>
    </row>
    <row r="18" customFormat="false" ht="15" hidden="false" customHeight="false" outlineLevel="0" collapsed="false">
      <c r="A18" s="5" t="n">
        <v>11</v>
      </c>
      <c r="B18" s="6" t="s">
        <v>79</v>
      </c>
      <c r="C18" s="5"/>
      <c r="D18" s="5" t="n">
        <v>1</v>
      </c>
      <c r="E18" s="7" t="n">
        <v>973.75</v>
      </c>
      <c r="F18" s="24" t="n">
        <f aca="false">E18/E$24</f>
        <v>0.0023764224337304</v>
      </c>
      <c r="G18" s="8" t="n">
        <f aca="false">E18/D18</f>
        <v>973.75</v>
      </c>
    </row>
    <row r="19" customFormat="false" ht="15" hidden="false" customHeight="false" outlineLevel="0" collapsed="false">
      <c r="A19" s="10" t="n">
        <v>12</v>
      </c>
      <c r="B19" s="11" t="s">
        <v>78</v>
      </c>
      <c r="C19" s="10"/>
      <c r="D19" s="10" t="n">
        <v>2</v>
      </c>
      <c r="E19" s="12" t="n">
        <v>309.58</v>
      </c>
      <c r="F19" s="23" t="n">
        <f aca="false">E19/E$24</f>
        <v>0.000755525398751482</v>
      </c>
      <c r="G19" s="13" t="n">
        <f aca="false">E19/D19</f>
        <v>154.79</v>
      </c>
    </row>
    <row r="20" customFormat="false" ht="15" hidden="false" customHeight="false" outlineLevel="0" collapsed="false">
      <c r="A20" s="5" t="n">
        <v>13</v>
      </c>
      <c r="B20" s="6" t="s">
        <v>105</v>
      </c>
      <c r="C20" s="5"/>
      <c r="D20" s="5" t="n">
        <v>1</v>
      </c>
      <c r="E20" s="7" t="n">
        <v>186</v>
      </c>
      <c r="F20" s="24" t="n">
        <f aca="false">E20/E$24</f>
        <v>0.000453930241513585</v>
      </c>
      <c r="G20" s="8" t="n">
        <f aca="false">E20/D20</f>
        <v>186</v>
      </c>
    </row>
    <row r="21" customFormat="false" ht="15" hidden="false" customHeight="false" outlineLevel="0" collapsed="false">
      <c r="A21" s="10" t="n">
        <v>14</v>
      </c>
      <c r="B21" s="11" t="s">
        <v>100</v>
      </c>
      <c r="C21" s="10"/>
      <c r="D21" s="10" t="n">
        <v>1</v>
      </c>
      <c r="E21" s="12" t="n">
        <v>69.28</v>
      </c>
      <c r="F21" s="23" t="n">
        <f aca="false">E21/E$24</f>
        <v>0.000169076812537963</v>
      </c>
      <c r="G21" s="13" t="n">
        <f aca="false">E21/D21</f>
        <v>69.28</v>
      </c>
    </row>
    <row r="22" customFormat="false" ht="15" hidden="false" customHeight="false" outlineLevel="0" collapsed="false">
      <c r="A22" s="5" t="n">
        <v>15</v>
      </c>
      <c r="B22" s="6" t="s">
        <v>72</v>
      </c>
      <c r="C22" s="5"/>
      <c r="D22" s="5" t="n">
        <v>3</v>
      </c>
      <c r="E22" s="7" t="n">
        <v>18.33</v>
      </c>
      <c r="F22" s="24" t="n">
        <f aca="false">E22/E$24</f>
        <v>4.4734093155613E-005</v>
      </c>
      <c r="G22" s="8" t="n">
        <f aca="false">E22/D22</f>
        <v>6.11</v>
      </c>
    </row>
    <row r="23" customFormat="false" ht="15" hidden="false" customHeight="false" outlineLevel="0" collapsed="false">
      <c r="A23" s="10" t="n">
        <v>16</v>
      </c>
      <c r="B23" s="11" t="s">
        <v>86</v>
      </c>
      <c r="C23" s="10"/>
      <c r="D23" s="10" t="n">
        <v>1</v>
      </c>
      <c r="E23" s="12" t="n">
        <v>13.84</v>
      </c>
      <c r="F23" s="23" t="n">
        <f aca="false">E23/E$24</f>
        <v>3.37763147448818E-005</v>
      </c>
      <c r="G23" s="13" t="n">
        <f aca="false">E23/D23</f>
        <v>13.84</v>
      </c>
    </row>
    <row r="24" customFormat="false" ht="15" hidden="false" customHeight="false" outlineLevel="0" collapsed="false">
      <c r="A24" s="17"/>
      <c r="B24" s="15" t="s">
        <v>43</v>
      </c>
      <c r="C24" s="17"/>
      <c r="D24" s="15" t="n">
        <f aca="false">SUM(D8:D23)</f>
        <v>186</v>
      </c>
      <c r="E24" s="16" t="n">
        <f aca="false">SUM(E8:E23)</f>
        <v>409754.59</v>
      </c>
      <c r="F24" s="25" t="n">
        <f aca="false">SUM(F8:F23)</f>
        <v>1</v>
      </c>
      <c r="G24" s="16" t="n">
        <f aca="false">E24/D24</f>
        <v>2202.98166666667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24</v>
      </c>
    </row>
    <row r="4" customFormat="false" ht="15" hidden="false" customHeight="false" outlineLevel="0" collapsed="false">
      <c r="A4" s="2" t="s">
        <v>7</v>
      </c>
      <c r="B4" s="0" t="n">
        <v>368</v>
      </c>
    </row>
    <row r="5" customFormat="false" ht="15" hidden="false" customHeight="false" outlineLevel="0" collapsed="false">
      <c r="A5" s="2" t="s">
        <v>3</v>
      </c>
      <c r="B5" s="28" t="n">
        <v>741273.37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20</v>
      </c>
      <c r="C8" s="18"/>
      <c r="D8" s="18" t="n">
        <v>89</v>
      </c>
      <c r="E8" s="20" t="n">
        <v>192671.23</v>
      </c>
      <c r="F8" s="21" t="n">
        <f aca="false">E8/E$32</f>
        <v>0.259919265681971</v>
      </c>
      <c r="G8" s="22" t="n">
        <f aca="false">E8/D8</f>
        <v>2164.84528089888</v>
      </c>
    </row>
    <row r="9" customFormat="false" ht="15" hidden="false" customHeight="false" outlineLevel="0" collapsed="false">
      <c r="A9" s="18" t="n">
        <v>2</v>
      </c>
      <c r="B9" s="19" t="s">
        <v>13</v>
      </c>
      <c r="C9" s="18"/>
      <c r="D9" s="18" t="n">
        <v>80</v>
      </c>
      <c r="E9" s="20" t="n">
        <v>153391.68</v>
      </c>
      <c r="F9" s="21" t="n">
        <f aca="false">E9/E$32</f>
        <v>0.206929975104866</v>
      </c>
      <c r="G9" s="22" t="n">
        <f aca="false">E9/D9</f>
        <v>1917.396</v>
      </c>
    </row>
    <row r="10" customFormat="false" ht="15" hidden="false" customHeight="false" outlineLevel="0" collapsed="false">
      <c r="A10" s="18" t="n">
        <v>3</v>
      </c>
      <c r="B10" s="19" t="s">
        <v>25</v>
      </c>
      <c r="C10" s="18"/>
      <c r="D10" s="18" t="n">
        <v>82</v>
      </c>
      <c r="E10" s="20" t="n">
        <v>127204.94</v>
      </c>
      <c r="F10" s="21" t="n">
        <f aca="false">E10/E$32</f>
        <v>0.171603277748936</v>
      </c>
      <c r="G10" s="22" t="n">
        <f aca="false">E10/D10</f>
        <v>1551.27975609756</v>
      </c>
    </row>
    <row r="11" customFormat="false" ht="15" hidden="false" customHeight="false" outlineLevel="0" collapsed="false">
      <c r="A11" s="10" t="n">
        <v>4</v>
      </c>
      <c r="B11" s="11" t="s">
        <v>54</v>
      </c>
      <c r="C11" s="10"/>
      <c r="D11" s="10" t="n">
        <v>3</v>
      </c>
      <c r="E11" s="12" t="n">
        <v>67768.3</v>
      </c>
      <c r="F11" s="23" t="n">
        <f aca="false">E11/E$32</f>
        <v>0.0914214684388298</v>
      </c>
      <c r="G11" s="13" t="n">
        <f aca="false">E11/D11</f>
        <v>22589.4333333333</v>
      </c>
    </row>
    <row r="12" customFormat="false" ht="15" hidden="false" customHeight="false" outlineLevel="0" collapsed="false">
      <c r="A12" s="5" t="n">
        <v>5</v>
      </c>
      <c r="B12" s="6" t="s">
        <v>56</v>
      </c>
      <c r="C12" s="5"/>
      <c r="D12" s="5" t="n">
        <v>11</v>
      </c>
      <c r="E12" s="7" t="n">
        <v>44962.5</v>
      </c>
      <c r="F12" s="24" t="n">
        <f aca="false">E12/E$32</f>
        <v>0.0606557605057362</v>
      </c>
      <c r="G12" s="8" t="n">
        <f aca="false">E12/D12</f>
        <v>4087.5</v>
      </c>
    </row>
    <row r="13" customFormat="false" ht="15" hidden="false" customHeight="false" outlineLevel="0" collapsed="false">
      <c r="A13" s="10" t="n">
        <v>6</v>
      </c>
      <c r="B13" s="11" t="s">
        <v>65</v>
      </c>
      <c r="C13" s="10"/>
      <c r="D13" s="10" t="n">
        <v>5</v>
      </c>
      <c r="E13" s="12" t="n">
        <v>31310</v>
      </c>
      <c r="F13" s="23" t="n">
        <f aca="false">E13/E$32</f>
        <v>0.0422381286946812</v>
      </c>
      <c r="G13" s="13" t="n">
        <f aca="false">E13/D13</f>
        <v>6262</v>
      </c>
    </row>
    <row r="14" customFormat="false" ht="15" hidden="false" customHeight="false" outlineLevel="0" collapsed="false">
      <c r="A14" s="5" t="n">
        <v>7</v>
      </c>
      <c r="B14" s="6" t="s">
        <v>61</v>
      </c>
      <c r="C14" s="5"/>
      <c r="D14" s="5" t="n">
        <v>4</v>
      </c>
      <c r="E14" s="7" t="n">
        <v>30250</v>
      </c>
      <c r="F14" s="24" t="n">
        <f aca="false">E14/E$32</f>
        <v>0.0408081569151742</v>
      </c>
      <c r="G14" s="8" t="n">
        <f aca="false">E14/D14</f>
        <v>7562.5</v>
      </c>
    </row>
    <row r="15" customFormat="false" ht="15" hidden="false" customHeight="false" outlineLevel="0" collapsed="false">
      <c r="A15" s="10" t="n">
        <v>8</v>
      </c>
      <c r="B15" s="11" t="s">
        <v>32</v>
      </c>
      <c r="C15" s="10"/>
      <c r="D15" s="10" t="n">
        <v>22</v>
      </c>
      <c r="E15" s="12" t="n">
        <v>26432.13</v>
      </c>
      <c r="F15" s="23" t="n">
        <f aca="false">E15/E$32</f>
        <v>0.0356577358228854</v>
      </c>
      <c r="G15" s="13" t="n">
        <f aca="false">E15/D15</f>
        <v>1201.46045454545</v>
      </c>
    </row>
    <row r="16" customFormat="false" ht="15" hidden="false" customHeight="false" outlineLevel="0" collapsed="false">
      <c r="A16" s="5" t="n">
        <v>9</v>
      </c>
      <c r="B16" s="6" t="s">
        <v>72</v>
      </c>
      <c r="C16" s="5"/>
      <c r="D16" s="5" t="n">
        <v>6</v>
      </c>
      <c r="E16" s="7" t="n">
        <v>23106</v>
      </c>
      <c r="F16" s="24" t="n">
        <f aca="false">E16/E$32</f>
        <v>0.0311706867332898</v>
      </c>
      <c r="G16" s="8" t="n">
        <f aca="false">E16/D16</f>
        <v>3851</v>
      </c>
    </row>
    <row r="17" customFormat="false" ht="15" hidden="false" customHeight="false" outlineLevel="0" collapsed="false">
      <c r="A17" s="10" t="n">
        <v>10</v>
      </c>
      <c r="B17" s="11" t="s">
        <v>59</v>
      </c>
      <c r="C17" s="10"/>
      <c r="D17" s="10" t="n">
        <v>7</v>
      </c>
      <c r="E17" s="12" t="n">
        <v>12653</v>
      </c>
      <c r="F17" s="23" t="n">
        <f aca="false">E17/E$32</f>
        <v>0.0170692763453785</v>
      </c>
      <c r="G17" s="13" t="n">
        <f aca="false">E17/D17</f>
        <v>1807.57142857143</v>
      </c>
    </row>
    <row r="18" customFormat="false" ht="15" hidden="false" customHeight="false" outlineLevel="0" collapsed="false">
      <c r="A18" s="5" t="n">
        <v>11</v>
      </c>
      <c r="B18" s="6" t="s">
        <v>60</v>
      </c>
      <c r="C18" s="5"/>
      <c r="D18" s="5" t="n">
        <v>6</v>
      </c>
      <c r="E18" s="7" t="n">
        <v>8279</v>
      </c>
      <c r="F18" s="24" t="n">
        <f aca="false">E18/E$32</f>
        <v>0.0111686192099414</v>
      </c>
      <c r="G18" s="8" t="n">
        <f aca="false">E18/D18</f>
        <v>1379.83333333333</v>
      </c>
    </row>
    <row r="19" customFormat="false" ht="15" hidden="false" customHeight="false" outlineLevel="0" collapsed="false">
      <c r="A19" s="10" t="n">
        <v>12</v>
      </c>
      <c r="B19" s="11" t="s">
        <v>63</v>
      </c>
      <c r="C19" s="10"/>
      <c r="D19" s="10" t="n">
        <v>10</v>
      </c>
      <c r="E19" s="12" t="n">
        <v>5848.82</v>
      </c>
      <c r="F19" s="23" t="n">
        <f aca="false">E19/E$32</f>
        <v>0.00789023353152427</v>
      </c>
      <c r="G19" s="13" t="n">
        <f aca="false">E19/D19</f>
        <v>584.882</v>
      </c>
    </row>
    <row r="20" customFormat="false" ht="15" hidden="false" customHeight="false" outlineLevel="0" collapsed="false">
      <c r="A20" s="5" t="n">
        <v>13</v>
      </c>
      <c r="B20" s="6" t="s">
        <v>83</v>
      </c>
      <c r="C20" s="5"/>
      <c r="D20" s="5" t="n">
        <v>6</v>
      </c>
      <c r="E20" s="7" t="n">
        <v>3895</v>
      </c>
      <c r="F20" s="24" t="n">
        <f aca="false">E20/E$32</f>
        <v>0.00525447177469764</v>
      </c>
      <c r="G20" s="8" t="n">
        <f aca="false">E20/D20</f>
        <v>649.166666666667</v>
      </c>
    </row>
    <row r="21" customFormat="false" ht="15" hidden="false" customHeight="false" outlineLevel="0" collapsed="false">
      <c r="A21" s="10" t="n">
        <v>14</v>
      </c>
      <c r="B21" s="11" t="s">
        <v>68</v>
      </c>
      <c r="C21" s="10"/>
      <c r="D21" s="10" t="n">
        <v>3</v>
      </c>
      <c r="E21" s="12" t="n">
        <v>3080</v>
      </c>
      <c r="F21" s="23" t="n">
        <f aca="false">E21/E$32</f>
        <v>0.0041550123404541</v>
      </c>
      <c r="G21" s="13" t="n">
        <f aca="false">E21/D21</f>
        <v>1026.66666666667</v>
      </c>
    </row>
    <row r="22" customFormat="false" ht="15" hidden="false" customHeight="false" outlineLevel="0" collapsed="false">
      <c r="A22" s="5" t="n">
        <v>15</v>
      </c>
      <c r="B22" s="6" t="s">
        <v>85</v>
      </c>
      <c r="C22" s="5"/>
      <c r="D22" s="5" t="n">
        <v>3</v>
      </c>
      <c r="E22" s="7" t="n">
        <v>2700</v>
      </c>
      <c r="F22" s="24" t="n">
        <f aca="false">E22/E$32</f>
        <v>0.00364238094780067</v>
      </c>
      <c r="G22" s="8" t="n">
        <f aca="false">E22/D22</f>
        <v>900</v>
      </c>
    </row>
    <row r="23" customFormat="false" ht="15" hidden="false" customHeight="false" outlineLevel="0" collapsed="false">
      <c r="A23" s="10" t="n">
        <v>16</v>
      </c>
      <c r="B23" s="11" t="s">
        <v>78</v>
      </c>
      <c r="C23" s="10"/>
      <c r="D23" s="10" t="n">
        <v>5</v>
      </c>
      <c r="E23" s="12" t="n">
        <v>2674.97</v>
      </c>
      <c r="F23" s="23" t="n">
        <f aca="false">E23/E$32</f>
        <v>0.00360861472738458</v>
      </c>
      <c r="G23" s="13" t="n">
        <f aca="false">E23/D23</f>
        <v>534.994</v>
      </c>
    </row>
    <row r="24" customFormat="false" ht="15" hidden="false" customHeight="false" outlineLevel="0" collapsed="false">
      <c r="A24" s="5" t="n">
        <v>17</v>
      </c>
      <c r="B24" s="6" t="s">
        <v>67</v>
      </c>
      <c r="C24" s="5"/>
      <c r="D24" s="5" t="n">
        <v>7</v>
      </c>
      <c r="E24" s="7" t="n">
        <v>2315.27</v>
      </c>
      <c r="F24" s="24" t="n">
        <f aca="false">E24/E$32</f>
        <v>0.00312336864333869</v>
      </c>
      <c r="G24" s="8" t="n">
        <f aca="false">E24/D24</f>
        <v>330.752857142857</v>
      </c>
    </row>
    <row r="25" customFormat="false" ht="15" hidden="false" customHeight="false" outlineLevel="0" collapsed="false">
      <c r="A25" s="10" t="n">
        <v>18</v>
      </c>
      <c r="B25" s="11" t="s">
        <v>81</v>
      </c>
      <c r="C25" s="10"/>
      <c r="D25" s="10" t="n">
        <v>5</v>
      </c>
      <c r="E25" s="12" t="n">
        <v>715.13</v>
      </c>
      <c r="F25" s="23" t="n">
        <f aca="false">E25/E$32</f>
        <v>0.000964731810074332</v>
      </c>
      <c r="G25" s="13" t="n">
        <f aca="false">E25/D25</f>
        <v>143.026</v>
      </c>
    </row>
    <row r="26" customFormat="false" ht="15" hidden="false" customHeight="false" outlineLevel="0" collapsed="false">
      <c r="A26" s="5" t="n">
        <v>19</v>
      </c>
      <c r="B26" s="6" t="s">
        <v>86</v>
      </c>
      <c r="C26" s="5"/>
      <c r="D26" s="5" t="n">
        <v>1</v>
      </c>
      <c r="E26" s="7" t="n">
        <v>606.32</v>
      </c>
      <c r="F26" s="24" t="n">
        <f aca="false">E26/E$32</f>
        <v>0.000817943857877965</v>
      </c>
      <c r="G26" s="8" t="n">
        <f aca="false">E26/D26</f>
        <v>606.32</v>
      </c>
    </row>
    <row r="27" customFormat="false" ht="15" hidden="false" customHeight="false" outlineLevel="0" collapsed="false">
      <c r="A27" s="10" t="n">
        <v>20</v>
      </c>
      <c r="B27" s="11" t="s">
        <v>89</v>
      </c>
      <c r="C27" s="10"/>
      <c r="D27" s="10" t="n">
        <v>4</v>
      </c>
      <c r="E27" s="12" t="n">
        <v>432.88</v>
      </c>
      <c r="F27" s="23" t="n">
        <f aca="false">E27/E$32</f>
        <v>0.000583968098031095</v>
      </c>
      <c r="G27" s="13" t="n">
        <f aca="false">E27/D27</f>
        <v>108.22</v>
      </c>
    </row>
    <row r="28" customFormat="false" ht="15" hidden="false" customHeight="false" outlineLevel="0" collapsed="false">
      <c r="A28" s="5" t="n">
        <v>21</v>
      </c>
      <c r="B28" s="6" t="s">
        <v>70</v>
      </c>
      <c r="C28" s="5"/>
      <c r="D28" s="5" t="n">
        <v>5</v>
      </c>
      <c r="E28" s="7" t="n">
        <v>352.83</v>
      </c>
      <c r="F28" s="24" t="n">
        <f aca="false">E28/E$32</f>
        <v>0.000475978248078708</v>
      </c>
      <c r="G28" s="8" t="n">
        <f aca="false">E28/D28</f>
        <v>70.566</v>
      </c>
    </row>
    <row r="29" customFormat="false" ht="15" hidden="false" customHeight="false" outlineLevel="0" collapsed="false">
      <c r="A29" s="10" t="n">
        <v>22</v>
      </c>
      <c r="B29" s="11" t="s">
        <v>79</v>
      </c>
      <c r="C29" s="10"/>
      <c r="D29" s="10" t="n">
        <v>1</v>
      </c>
      <c r="E29" s="12" t="n">
        <v>257.4</v>
      </c>
      <c r="F29" s="23" t="n">
        <f aca="false">E29/E$32</f>
        <v>0.000347240317023664</v>
      </c>
      <c r="G29" s="13" t="n">
        <f aca="false">E29/D29</f>
        <v>257.4</v>
      </c>
    </row>
    <row r="30" customFormat="false" ht="15" hidden="false" customHeight="false" outlineLevel="0" collapsed="false">
      <c r="A30" s="5" t="n">
        <v>23</v>
      </c>
      <c r="B30" s="6" t="s">
        <v>109</v>
      </c>
      <c r="C30" s="5"/>
      <c r="D30" s="5" t="n">
        <v>2</v>
      </c>
      <c r="E30" s="7" t="n">
        <v>257</v>
      </c>
      <c r="F30" s="24" t="n">
        <f aca="false">E30/E$32</f>
        <v>0.000346700705031398</v>
      </c>
      <c r="G30" s="8" t="n">
        <f aca="false">E30/D30</f>
        <v>128.5</v>
      </c>
    </row>
    <row r="31" customFormat="false" ht="15" hidden="false" customHeight="false" outlineLevel="0" collapsed="false">
      <c r="A31" s="10" t="n">
        <v>24</v>
      </c>
      <c r="B31" s="11" t="s">
        <v>107</v>
      </c>
      <c r="C31" s="10"/>
      <c r="D31" s="10" t="n">
        <v>1</v>
      </c>
      <c r="E31" s="12" t="n">
        <v>108.97</v>
      </c>
      <c r="F31" s="23" t="n">
        <f aca="false">E31/E$32</f>
        <v>0.000147003796993274</v>
      </c>
      <c r="G31" s="13" t="n">
        <f aca="false">E31/D31</f>
        <v>108.97</v>
      </c>
    </row>
    <row r="32" customFormat="false" ht="15" hidden="false" customHeight="false" outlineLevel="0" collapsed="false">
      <c r="A32" s="17"/>
      <c r="B32" s="15" t="s">
        <v>43</v>
      </c>
      <c r="C32" s="17"/>
      <c r="D32" s="15" t="n">
        <f aca="false">SUM(D8:D31)</f>
        <v>368</v>
      </c>
      <c r="E32" s="16" t="n">
        <f aca="false">SUM(E8:E31)</f>
        <v>741273.37</v>
      </c>
      <c r="F32" s="25" t="n">
        <f aca="false">SUM(F8:F31)</f>
        <v>1</v>
      </c>
      <c r="G32" s="16" t="n">
        <f aca="false">E32/D32</f>
        <v>2014.32980978261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9</v>
      </c>
    </row>
    <row r="4" customFormat="false" ht="15" hidden="false" customHeight="false" outlineLevel="0" collapsed="false">
      <c r="A4" s="2" t="s">
        <v>7</v>
      </c>
      <c r="B4" s="0" t="n">
        <v>85</v>
      </c>
    </row>
    <row r="5" customFormat="false" ht="15" hidden="false" customHeight="false" outlineLevel="0" collapsed="false">
      <c r="A5" s="2" t="s">
        <v>3</v>
      </c>
      <c r="B5" s="28" t="n">
        <v>106352.55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25</v>
      </c>
      <c r="C8" s="18"/>
      <c r="D8" s="18" t="n">
        <v>22</v>
      </c>
      <c r="E8" s="20" t="n">
        <v>74948.84</v>
      </c>
      <c r="F8" s="21" t="n">
        <f aca="false">E8/E$17</f>
        <v>0.704720667252454</v>
      </c>
      <c r="G8" s="22" t="n">
        <f aca="false">E8/D8</f>
        <v>3406.76545454545</v>
      </c>
    </row>
    <row r="9" customFormat="false" ht="15" hidden="false" customHeight="false" outlineLevel="0" collapsed="false">
      <c r="A9" s="18" t="n">
        <v>2</v>
      </c>
      <c r="B9" s="19" t="s">
        <v>13</v>
      </c>
      <c r="C9" s="18"/>
      <c r="D9" s="18" t="n">
        <v>21</v>
      </c>
      <c r="E9" s="20" t="n">
        <v>14095.11</v>
      </c>
      <c r="F9" s="21" t="n">
        <f aca="false">E9/E$17</f>
        <v>0.132531942111402</v>
      </c>
      <c r="G9" s="22" t="n">
        <f aca="false">E9/D9</f>
        <v>671.195714285714</v>
      </c>
    </row>
    <row r="10" customFormat="false" ht="15" hidden="false" customHeight="false" outlineLevel="0" collapsed="false">
      <c r="A10" s="18" t="n">
        <v>3</v>
      </c>
      <c r="B10" s="19" t="s">
        <v>20</v>
      </c>
      <c r="C10" s="18"/>
      <c r="D10" s="18" t="n">
        <v>25</v>
      </c>
      <c r="E10" s="20" t="n">
        <v>11376.96</v>
      </c>
      <c r="F10" s="21" t="n">
        <f aca="false">E10/E$17</f>
        <v>0.10697402177945</v>
      </c>
      <c r="G10" s="22" t="n">
        <f aca="false">E10/D10</f>
        <v>455.0784</v>
      </c>
    </row>
    <row r="11" customFormat="false" ht="15" hidden="false" customHeight="false" outlineLevel="0" collapsed="false">
      <c r="A11" s="10" t="n">
        <v>4</v>
      </c>
      <c r="B11" s="11" t="s">
        <v>59</v>
      </c>
      <c r="C11" s="10"/>
      <c r="D11" s="10" t="n">
        <v>3</v>
      </c>
      <c r="E11" s="12" t="n">
        <v>2649</v>
      </c>
      <c r="F11" s="23" t="n">
        <f aca="false">E11/E$17</f>
        <v>0.0249077243563977</v>
      </c>
      <c r="G11" s="13" t="n">
        <f aca="false">E11/D11</f>
        <v>883</v>
      </c>
    </row>
    <row r="12" customFormat="false" ht="15" hidden="false" customHeight="false" outlineLevel="0" collapsed="false">
      <c r="A12" s="5" t="n">
        <v>5</v>
      </c>
      <c r="B12" s="6" t="s">
        <v>32</v>
      </c>
      <c r="C12" s="5"/>
      <c r="D12" s="5" t="n">
        <v>7</v>
      </c>
      <c r="E12" s="7" t="n">
        <v>1086.17</v>
      </c>
      <c r="F12" s="24" t="n">
        <f aca="false">E12/E$17</f>
        <v>0.0102129192012791</v>
      </c>
      <c r="G12" s="8" t="n">
        <f aca="false">E12/D12</f>
        <v>155.167142857143</v>
      </c>
    </row>
    <row r="13" customFormat="false" ht="15" hidden="false" customHeight="false" outlineLevel="0" collapsed="false">
      <c r="A13" s="10" t="n">
        <v>6</v>
      </c>
      <c r="B13" s="11" t="s">
        <v>54</v>
      </c>
      <c r="C13" s="10"/>
      <c r="D13" s="10" t="n">
        <v>1</v>
      </c>
      <c r="E13" s="12" t="n">
        <v>1044</v>
      </c>
      <c r="F13" s="23" t="n">
        <f aca="false">E13/E$17</f>
        <v>0.00981640778711935</v>
      </c>
      <c r="G13" s="13" t="n">
        <f aca="false">E13/D13</f>
        <v>1044</v>
      </c>
    </row>
    <row r="14" customFormat="false" ht="15" hidden="false" customHeight="false" outlineLevel="0" collapsed="false">
      <c r="A14" s="5" t="n">
        <v>7</v>
      </c>
      <c r="B14" s="6" t="s">
        <v>79</v>
      </c>
      <c r="C14" s="5"/>
      <c r="D14" s="5" t="n">
        <v>2</v>
      </c>
      <c r="E14" s="7" t="n">
        <v>897.2</v>
      </c>
      <c r="F14" s="24" t="n">
        <f aca="false">E14/E$17</f>
        <v>0.00843609297567383</v>
      </c>
      <c r="G14" s="8" t="n">
        <f aca="false">E14/D14</f>
        <v>448.6</v>
      </c>
    </row>
    <row r="15" customFormat="false" ht="15" hidden="false" customHeight="false" outlineLevel="0" collapsed="false">
      <c r="A15" s="10" t="n">
        <v>8</v>
      </c>
      <c r="B15" s="11" t="s">
        <v>67</v>
      </c>
      <c r="C15" s="10"/>
      <c r="D15" s="10" t="n">
        <v>3</v>
      </c>
      <c r="E15" s="12" t="n">
        <v>205.27</v>
      </c>
      <c r="F15" s="23" t="n">
        <f aca="false">E15/E$17</f>
        <v>0.00193009006366091</v>
      </c>
      <c r="G15" s="13" t="n">
        <f aca="false">E15/D15</f>
        <v>68.4233333333333</v>
      </c>
    </row>
    <row r="16" customFormat="false" ht="15" hidden="false" customHeight="false" outlineLevel="0" collapsed="false">
      <c r="A16" s="5" t="n">
        <v>9</v>
      </c>
      <c r="B16" s="6" t="s">
        <v>105</v>
      </c>
      <c r="C16" s="5"/>
      <c r="D16" s="5" t="n">
        <v>1</v>
      </c>
      <c r="E16" s="7" t="n">
        <v>50</v>
      </c>
      <c r="F16" s="24" t="n">
        <f aca="false">E16/E$17</f>
        <v>0.000470134472563187</v>
      </c>
      <c r="G16" s="8" t="n">
        <f aca="false">E16/D16</f>
        <v>50</v>
      </c>
    </row>
    <row r="17" customFormat="false" ht="15" hidden="false" customHeight="false" outlineLevel="0" collapsed="false">
      <c r="A17" s="17"/>
      <c r="B17" s="15" t="s">
        <v>43</v>
      </c>
      <c r="C17" s="17"/>
      <c r="D17" s="15" t="n">
        <f aca="false">SUM(D8:D16)</f>
        <v>85</v>
      </c>
      <c r="E17" s="16" t="n">
        <f aca="false">SUM(E8:E16)</f>
        <v>106352.55</v>
      </c>
      <c r="F17" s="25" t="n">
        <f aca="false">SUM(F8:F16)</f>
        <v>1</v>
      </c>
      <c r="G17" s="16" t="n">
        <f aca="false">E17/D17</f>
        <v>1251.20647058824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20</v>
      </c>
    </row>
    <row r="4" customFormat="false" ht="15" hidden="false" customHeight="false" outlineLevel="0" collapsed="false">
      <c r="A4" s="2" t="s">
        <v>7</v>
      </c>
      <c r="B4" s="0" t="n">
        <v>266</v>
      </c>
    </row>
    <row r="5" customFormat="false" ht="15" hidden="false" customHeight="false" outlineLevel="0" collapsed="false">
      <c r="A5" s="2" t="s">
        <v>3</v>
      </c>
      <c r="B5" s="28" t="n">
        <v>458376.37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32</v>
      </c>
      <c r="C8" s="18"/>
      <c r="D8" s="18" t="n">
        <v>102</v>
      </c>
      <c r="E8" s="20" t="n">
        <v>176571.46</v>
      </c>
      <c r="F8" s="21" t="n">
        <f aca="false">E8/E$28</f>
        <v>0.385210651238414</v>
      </c>
      <c r="G8" s="22" t="n">
        <f aca="false">E8/D8</f>
        <v>1731.09274509804</v>
      </c>
    </row>
    <row r="9" customFormat="false" ht="15" hidden="false" customHeight="false" outlineLevel="0" collapsed="false">
      <c r="A9" s="18" t="n">
        <v>2</v>
      </c>
      <c r="B9" s="19" t="s">
        <v>20</v>
      </c>
      <c r="C9" s="18"/>
      <c r="D9" s="18" t="n">
        <v>85</v>
      </c>
      <c r="E9" s="20" t="n">
        <v>139209.01</v>
      </c>
      <c r="F9" s="21" t="n">
        <f aca="false">E9/E$28</f>
        <v>0.303700232191289</v>
      </c>
      <c r="G9" s="22" t="n">
        <f aca="false">E9/D9</f>
        <v>1637.75305882353</v>
      </c>
    </row>
    <row r="10" customFormat="false" ht="15" hidden="false" customHeight="false" outlineLevel="0" collapsed="false">
      <c r="A10" s="18" t="n">
        <v>3</v>
      </c>
      <c r="B10" s="19" t="s">
        <v>13</v>
      </c>
      <c r="C10" s="18"/>
      <c r="D10" s="18" t="n">
        <v>18</v>
      </c>
      <c r="E10" s="20" t="n">
        <v>72780.98</v>
      </c>
      <c r="F10" s="21" t="n">
        <f aca="false">E10/E$28</f>
        <v>0.158779956305339</v>
      </c>
      <c r="G10" s="22" t="n">
        <f aca="false">E10/D10</f>
        <v>4043.38777777778</v>
      </c>
    </row>
    <row r="11" customFormat="false" ht="15" hidden="false" customHeight="false" outlineLevel="0" collapsed="false">
      <c r="A11" s="10" t="n">
        <v>4</v>
      </c>
      <c r="B11" s="11" t="s">
        <v>56</v>
      </c>
      <c r="C11" s="10"/>
      <c r="D11" s="10" t="n">
        <v>5</v>
      </c>
      <c r="E11" s="12" t="n">
        <v>17974.5</v>
      </c>
      <c r="F11" s="23" t="n">
        <f aca="false">E11/E$28</f>
        <v>0.0392134088412978</v>
      </c>
      <c r="G11" s="13" t="n">
        <f aca="false">E11/D11</f>
        <v>3594.9</v>
      </c>
    </row>
    <row r="12" customFormat="false" ht="15" hidden="false" customHeight="false" outlineLevel="0" collapsed="false">
      <c r="A12" s="5" t="n">
        <v>5</v>
      </c>
      <c r="B12" s="6" t="s">
        <v>61</v>
      </c>
      <c r="C12" s="5"/>
      <c r="D12" s="5" t="n">
        <v>2</v>
      </c>
      <c r="E12" s="7" t="n">
        <v>12800</v>
      </c>
      <c r="F12" s="24" t="n">
        <f aca="false">E12/E$28</f>
        <v>0.0279246506533485</v>
      </c>
      <c r="G12" s="8" t="n">
        <f aca="false">E12/D12</f>
        <v>6400</v>
      </c>
    </row>
    <row r="13" customFormat="false" ht="15" hidden="false" customHeight="false" outlineLevel="0" collapsed="false">
      <c r="A13" s="10" t="n">
        <v>6</v>
      </c>
      <c r="B13" s="11" t="s">
        <v>25</v>
      </c>
      <c r="C13" s="10"/>
      <c r="D13" s="10" t="n">
        <v>11</v>
      </c>
      <c r="E13" s="12" t="n">
        <v>8131.24</v>
      </c>
      <c r="F13" s="23" t="n">
        <f aca="false">E13/E$28</f>
        <v>0.0177392215920729</v>
      </c>
      <c r="G13" s="13" t="n">
        <f aca="false">E13/D13</f>
        <v>739.203636363636</v>
      </c>
    </row>
    <row r="14" customFormat="false" ht="15" hidden="false" customHeight="false" outlineLevel="0" collapsed="false">
      <c r="A14" s="5" t="n">
        <v>7</v>
      </c>
      <c r="B14" s="6" t="s">
        <v>59</v>
      </c>
      <c r="C14" s="5"/>
      <c r="D14" s="5" t="n">
        <v>6</v>
      </c>
      <c r="E14" s="7" t="n">
        <v>8076</v>
      </c>
      <c r="F14" s="24" t="n">
        <f aca="false">E14/E$28</f>
        <v>0.0176187092715971</v>
      </c>
      <c r="G14" s="8" t="n">
        <f aca="false">E14/D14</f>
        <v>1346</v>
      </c>
    </row>
    <row r="15" customFormat="false" ht="15" hidden="false" customHeight="false" outlineLevel="0" collapsed="false">
      <c r="A15" s="10" t="n">
        <v>8</v>
      </c>
      <c r="B15" s="11" t="s">
        <v>60</v>
      </c>
      <c r="C15" s="10"/>
      <c r="D15" s="10" t="n">
        <v>3</v>
      </c>
      <c r="E15" s="12" t="n">
        <v>5921</v>
      </c>
      <c r="F15" s="23" t="n">
        <f aca="false">E15/E$28</f>
        <v>0.012917332540506</v>
      </c>
      <c r="G15" s="13" t="n">
        <f aca="false">E15/D15</f>
        <v>1973.66666666667</v>
      </c>
    </row>
    <row r="16" customFormat="false" ht="15" hidden="false" customHeight="false" outlineLevel="0" collapsed="false">
      <c r="A16" s="5" t="n">
        <v>9</v>
      </c>
      <c r="B16" s="6" t="s">
        <v>79</v>
      </c>
      <c r="C16" s="5"/>
      <c r="D16" s="5" t="n">
        <v>6</v>
      </c>
      <c r="E16" s="7" t="n">
        <v>4412.21</v>
      </c>
      <c r="F16" s="24" t="n">
        <f aca="false">E16/E$28</f>
        <v>0.00962573616087583</v>
      </c>
      <c r="G16" s="8" t="n">
        <f aca="false">E16/D16</f>
        <v>735.368333333333</v>
      </c>
    </row>
    <row r="17" customFormat="false" ht="15" hidden="false" customHeight="false" outlineLevel="0" collapsed="false">
      <c r="A17" s="10" t="n">
        <v>10</v>
      </c>
      <c r="B17" s="11" t="s">
        <v>54</v>
      </c>
      <c r="C17" s="10"/>
      <c r="D17" s="10" t="n">
        <v>2</v>
      </c>
      <c r="E17" s="12" t="n">
        <v>2840</v>
      </c>
      <c r="F17" s="23" t="n">
        <f aca="false">E17/E$28</f>
        <v>0.00619578186371169</v>
      </c>
      <c r="G17" s="13" t="n">
        <f aca="false">E17/D17</f>
        <v>1420</v>
      </c>
    </row>
    <row r="18" customFormat="false" ht="15" hidden="false" customHeight="false" outlineLevel="0" collapsed="false">
      <c r="A18" s="5" t="n">
        <v>11</v>
      </c>
      <c r="B18" s="6" t="s">
        <v>83</v>
      </c>
      <c r="C18" s="5"/>
      <c r="D18" s="5" t="n">
        <v>3</v>
      </c>
      <c r="E18" s="7" t="n">
        <v>2465</v>
      </c>
      <c r="F18" s="24" t="n">
        <f aca="false">E18/E$28</f>
        <v>0.00537767686410187</v>
      </c>
      <c r="G18" s="8" t="n">
        <f aca="false">E18/D18</f>
        <v>821.666666666667</v>
      </c>
    </row>
    <row r="19" customFormat="false" ht="15" hidden="false" customHeight="false" outlineLevel="0" collapsed="false">
      <c r="A19" s="10" t="n">
        <v>12</v>
      </c>
      <c r="B19" s="11" t="s">
        <v>94</v>
      </c>
      <c r="C19" s="10"/>
      <c r="D19" s="10" t="n">
        <v>2</v>
      </c>
      <c r="E19" s="12" t="n">
        <v>2140</v>
      </c>
      <c r="F19" s="23" t="n">
        <f aca="false">E19/E$28</f>
        <v>0.0046686525311067</v>
      </c>
      <c r="G19" s="13" t="n">
        <f aca="false">E19/D19</f>
        <v>1070</v>
      </c>
    </row>
    <row r="20" customFormat="false" ht="15" hidden="false" customHeight="false" outlineLevel="0" collapsed="false">
      <c r="A20" s="5" t="n">
        <v>13</v>
      </c>
      <c r="B20" s="6" t="s">
        <v>81</v>
      </c>
      <c r="C20" s="5"/>
      <c r="D20" s="5" t="n">
        <v>4</v>
      </c>
      <c r="E20" s="7" t="n">
        <v>1340.48</v>
      </c>
      <c r="F20" s="24" t="n">
        <f aca="false">E20/E$28</f>
        <v>0.00292440903967192</v>
      </c>
      <c r="G20" s="8" t="n">
        <f aca="false">E20/D20</f>
        <v>335.12</v>
      </c>
    </row>
    <row r="21" customFormat="false" ht="15" hidden="false" customHeight="false" outlineLevel="0" collapsed="false">
      <c r="A21" s="10" t="n">
        <v>14</v>
      </c>
      <c r="B21" s="11" t="s">
        <v>89</v>
      </c>
      <c r="C21" s="10"/>
      <c r="D21" s="10" t="n">
        <v>2</v>
      </c>
      <c r="E21" s="12" t="n">
        <v>1134.15</v>
      </c>
      <c r="F21" s="23" t="n">
        <f aca="false">E21/E$28</f>
        <v>0.00247427676081994</v>
      </c>
      <c r="G21" s="13" t="n">
        <f aca="false">E21/D21</f>
        <v>567.075</v>
      </c>
    </row>
    <row r="22" customFormat="false" ht="15" hidden="false" customHeight="false" outlineLevel="0" collapsed="false">
      <c r="A22" s="5" t="n">
        <v>15</v>
      </c>
      <c r="B22" s="6" t="s">
        <v>78</v>
      </c>
      <c r="C22" s="5"/>
      <c r="D22" s="5" t="n">
        <v>3</v>
      </c>
      <c r="E22" s="7" t="n">
        <v>811.46</v>
      </c>
      <c r="F22" s="24" t="n">
        <f aca="false">E22/E$28</f>
        <v>0.00177029195462236</v>
      </c>
      <c r="G22" s="8" t="n">
        <f aca="false">E22/D22</f>
        <v>270.486666666667</v>
      </c>
    </row>
    <row r="23" customFormat="false" ht="15" hidden="false" customHeight="false" outlineLevel="0" collapsed="false">
      <c r="A23" s="10" t="n">
        <v>16</v>
      </c>
      <c r="B23" s="11" t="s">
        <v>86</v>
      </c>
      <c r="C23" s="10"/>
      <c r="D23" s="10" t="n">
        <v>3</v>
      </c>
      <c r="E23" s="12" t="n">
        <v>702.97</v>
      </c>
      <c r="F23" s="23" t="n">
        <f aca="false">E23/E$28</f>
        <v>0.0015336087242019</v>
      </c>
      <c r="G23" s="13" t="n">
        <f aca="false">E23/D23</f>
        <v>234.323333333333</v>
      </c>
    </row>
    <row r="24" customFormat="false" ht="15" hidden="false" customHeight="false" outlineLevel="0" collapsed="false">
      <c r="A24" s="5" t="n">
        <v>17</v>
      </c>
      <c r="B24" s="6" t="s">
        <v>110</v>
      </c>
      <c r="C24" s="5"/>
      <c r="D24" s="5" t="n">
        <v>1</v>
      </c>
      <c r="E24" s="7" t="n">
        <v>500</v>
      </c>
      <c r="F24" s="24" t="n">
        <f aca="false">E24/E$28</f>
        <v>0.00109080666614642</v>
      </c>
      <c r="G24" s="8" t="n">
        <f aca="false">E24/D24</f>
        <v>500</v>
      </c>
    </row>
    <row r="25" customFormat="false" ht="15" hidden="false" customHeight="false" outlineLevel="0" collapsed="false">
      <c r="A25" s="10" t="n">
        <v>18</v>
      </c>
      <c r="B25" s="11" t="s">
        <v>70</v>
      </c>
      <c r="C25" s="10"/>
      <c r="D25" s="10" t="n">
        <v>4</v>
      </c>
      <c r="E25" s="12" t="n">
        <v>258.11</v>
      </c>
      <c r="F25" s="23" t="n">
        <f aca="false">E25/E$28</f>
        <v>0.000563096217198107</v>
      </c>
      <c r="G25" s="13" t="n">
        <f aca="false">E25/D25</f>
        <v>64.5275</v>
      </c>
    </row>
    <row r="26" customFormat="false" ht="15" hidden="false" customHeight="false" outlineLevel="0" collapsed="false">
      <c r="A26" s="5" t="n">
        <v>19</v>
      </c>
      <c r="B26" s="6" t="s">
        <v>105</v>
      </c>
      <c r="C26" s="5"/>
      <c r="D26" s="5" t="n">
        <v>2</v>
      </c>
      <c r="E26" s="7" t="n">
        <v>195</v>
      </c>
      <c r="F26" s="24" t="n">
        <f aca="false">E26/E$28</f>
        <v>0.000425414599797106</v>
      </c>
      <c r="G26" s="8" t="n">
        <f aca="false">E26/D26</f>
        <v>97.5</v>
      </c>
    </row>
    <row r="27" customFormat="false" ht="15" hidden="false" customHeight="false" outlineLevel="0" collapsed="false">
      <c r="A27" s="10" t="n">
        <v>20</v>
      </c>
      <c r="B27" s="11" t="s">
        <v>67</v>
      </c>
      <c r="C27" s="10"/>
      <c r="D27" s="10" t="n">
        <v>2</v>
      </c>
      <c r="E27" s="12" t="n">
        <v>112.8</v>
      </c>
      <c r="F27" s="23" t="n">
        <f aca="false">E27/E$28</f>
        <v>0.000246085983882633</v>
      </c>
      <c r="G27" s="13" t="n">
        <f aca="false">E27/D27</f>
        <v>56.4</v>
      </c>
    </row>
    <row r="28" customFormat="false" ht="15" hidden="false" customHeight="false" outlineLevel="0" collapsed="false">
      <c r="A28" s="17"/>
      <c r="B28" s="15" t="s">
        <v>43</v>
      </c>
      <c r="C28" s="17"/>
      <c r="D28" s="15" t="n">
        <f aca="false">SUM(D8:D27)</f>
        <v>266</v>
      </c>
      <c r="E28" s="16" t="n">
        <f aca="false">SUM(E8:E27)</f>
        <v>458376.37</v>
      </c>
      <c r="F28" s="25" t="n">
        <f aca="false">SUM(F8:F27)</f>
        <v>1</v>
      </c>
      <c r="G28" s="16" t="n">
        <f aca="false">E28/D28</f>
        <v>1723.21943609023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19</v>
      </c>
    </row>
    <row r="4" customFormat="false" ht="15" hidden="false" customHeight="false" outlineLevel="0" collapsed="false">
      <c r="A4" s="2" t="s">
        <v>7</v>
      </c>
      <c r="B4" s="0" t="n">
        <v>301</v>
      </c>
    </row>
    <row r="5" customFormat="false" ht="15" hidden="false" customHeight="false" outlineLevel="0" collapsed="false">
      <c r="A5" s="2" t="s">
        <v>3</v>
      </c>
      <c r="B5" s="28" t="n">
        <v>535198.25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20</v>
      </c>
      <c r="C8" s="18"/>
      <c r="D8" s="18" t="n">
        <v>87</v>
      </c>
      <c r="E8" s="20" t="n">
        <v>187929.87</v>
      </c>
      <c r="F8" s="21" t="n">
        <f aca="false">E8/E$27</f>
        <v>0.351140666098964</v>
      </c>
      <c r="G8" s="22" t="n">
        <f aca="false">E8/D8</f>
        <v>2160.11344827586</v>
      </c>
    </row>
    <row r="9" customFormat="false" ht="15" hidden="false" customHeight="false" outlineLevel="0" collapsed="false">
      <c r="A9" s="18" t="n">
        <v>2</v>
      </c>
      <c r="B9" s="19" t="s">
        <v>25</v>
      </c>
      <c r="C9" s="18"/>
      <c r="D9" s="18" t="n">
        <v>64</v>
      </c>
      <c r="E9" s="20" t="n">
        <v>141063.76</v>
      </c>
      <c r="F9" s="21" t="n">
        <f aca="false">E9/E$27</f>
        <v>0.263572909664783</v>
      </c>
      <c r="G9" s="22" t="n">
        <f aca="false">E9/D9</f>
        <v>2204.12125</v>
      </c>
    </row>
    <row r="10" customFormat="false" ht="15" hidden="false" customHeight="false" outlineLevel="0" collapsed="false">
      <c r="A10" s="18" t="n">
        <v>3</v>
      </c>
      <c r="B10" s="19" t="s">
        <v>13</v>
      </c>
      <c r="C10" s="18"/>
      <c r="D10" s="18" t="n">
        <v>45</v>
      </c>
      <c r="E10" s="20" t="n">
        <v>65193.3</v>
      </c>
      <c r="F10" s="21" t="n">
        <f aca="false">E10/E$27</f>
        <v>0.121811496954633</v>
      </c>
      <c r="G10" s="22" t="n">
        <f aca="false">E10/D10</f>
        <v>1448.74</v>
      </c>
    </row>
    <row r="11" customFormat="false" ht="15" hidden="false" customHeight="false" outlineLevel="0" collapsed="false">
      <c r="A11" s="10" t="n">
        <v>4</v>
      </c>
      <c r="B11" s="11" t="s">
        <v>54</v>
      </c>
      <c r="C11" s="10"/>
      <c r="D11" s="10" t="n">
        <v>4</v>
      </c>
      <c r="E11" s="12" t="n">
        <v>47527.77</v>
      </c>
      <c r="F11" s="23" t="n">
        <f aca="false">E11/E$27</f>
        <v>0.0888040459773551</v>
      </c>
      <c r="G11" s="13" t="n">
        <f aca="false">E11/D11</f>
        <v>11881.9425</v>
      </c>
    </row>
    <row r="12" customFormat="false" ht="15" hidden="false" customHeight="false" outlineLevel="0" collapsed="false">
      <c r="A12" s="5" t="n">
        <v>5</v>
      </c>
      <c r="B12" s="6" t="s">
        <v>32</v>
      </c>
      <c r="C12" s="5"/>
      <c r="D12" s="5" t="n">
        <v>21</v>
      </c>
      <c r="E12" s="7" t="n">
        <v>43369.79</v>
      </c>
      <c r="F12" s="24" t="n">
        <f aca="false">E12/E$27</f>
        <v>0.081034999647327</v>
      </c>
      <c r="G12" s="8" t="n">
        <f aca="false">E12/D12</f>
        <v>2065.2280952381</v>
      </c>
    </row>
    <row r="13" customFormat="false" ht="15" hidden="false" customHeight="false" outlineLevel="0" collapsed="false">
      <c r="A13" s="10" t="n">
        <v>6</v>
      </c>
      <c r="B13" s="11" t="s">
        <v>56</v>
      </c>
      <c r="C13" s="10"/>
      <c r="D13" s="10" t="n">
        <v>6</v>
      </c>
      <c r="E13" s="12" t="n">
        <v>23133.75</v>
      </c>
      <c r="F13" s="23" t="n">
        <f aca="false">E13/E$27</f>
        <v>0.0432246368518582</v>
      </c>
      <c r="G13" s="13" t="n">
        <f aca="false">E13/D13</f>
        <v>3855.625</v>
      </c>
    </row>
    <row r="14" customFormat="false" ht="15" hidden="false" customHeight="false" outlineLevel="0" collapsed="false">
      <c r="A14" s="5" t="n">
        <v>7</v>
      </c>
      <c r="B14" s="6" t="s">
        <v>59</v>
      </c>
      <c r="C14" s="5"/>
      <c r="D14" s="5" t="n">
        <v>3</v>
      </c>
      <c r="E14" s="7" t="n">
        <v>11633</v>
      </c>
      <c r="F14" s="24" t="n">
        <f aca="false">E14/E$27</f>
        <v>0.0217358707731201</v>
      </c>
      <c r="G14" s="8" t="n">
        <f aca="false">E14/D14</f>
        <v>3877.66666666667</v>
      </c>
    </row>
    <row r="15" customFormat="false" ht="15" hidden="false" customHeight="false" outlineLevel="0" collapsed="false">
      <c r="A15" s="10" t="n">
        <v>8</v>
      </c>
      <c r="B15" s="11" t="s">
        <v>60</v>
      </c>
      <c r="C15" s="10"/>
      <c r="D15" s="10" t="n">
        <v>4</v>
      </c>
      <c r="E15" s="12" t="n">
        <v>8875</v>
      </c>
      <c r="F15" s="23" t="n">
        <f aca="false">E15/E$27</f>
        <v>0.0165826401711889</v>
      </c>
      <c r="G15" s="13" t="n">
        <f aca="false">E15/D15</f>
        <v>2218.75</v>
      </c>
    </row>
    <row r="16" customFormat="false" ht="15" hidden="false" customHeight="false" outlineLevel="0" collapsed="false">
      <c r="A16" s="5" t="n">
        <v>9</v>
      </c>
      <c r="B16" s="6" t="s">
        <v>63</v>
      </c>
      <c r="C16" s="5"/>
      <c r="D16" s="5" t="n">
        <v>4</v>
      </c>
      <c r="E16" s="7" t="n">
        <v>2252.62</v>
      </c>
      <c r="F16" s="24" t="n">
        <f aca="false">E16/E$27</f>
        <v>0.00420894500308998</v>
      </c>
      <c r="G16" s="8" t="n">
        <f aca="false">E16/D16</f>
        <v>563.155</v>
      </c>
    </row>
    <row r="17" customFormat="false" ht="15" hidden="false" customHeight="false" outlineLevel="0" collapsed="false">
      <c r="A17" s="10" t="n">
        <v>10</v>
      </c>
      <c r="B17" s="11" t="s">
        <v>78</v>
      </c>
      <c r="C17" s="10"/>
      <c r="D17" s="10" t="n">
        <v>3</v>
      </c>
      <c r="E17" s="12" t="n">
        <v>934.77</v>
      </c>
      <c r="F17" s="23" t="n">
        <f aca="false">E17/E$27</f>
        <v>0.00174658642848701</v>
      </c>
      <c r="G17" s="13" t="n">
        <f aca="false">E17/D17</f>
        <v>311.59</v>
      </c>
    </row>
    <row r="18" customFormat="false" ht="15" hidden="false" customHeight="false" outlineLevel="0" collapsed="false">
      <c r="A18" s="5" t="n">
        <v>11</v>
      </c>
      <c r="B18" s="6" t="s">
        <v>86</v>
      </c>
      <c r="C18" s="5"/>
      <c r="D18" s="5" t="n">
        <v>4</v>
      </c>
      <c r="E18" s="7" t="n">
        <v>654.66</v>
      </c>
      <c r="F18" s="24" t="n">
        <f aca="false">E18/E$27</f>
        <v>0.00122321027768682</v>
      </c>
      <c r="G18" s="8" t="n">
        <f aca="false">E18/D18</f>
        <v>163.665</v>
      </c>
    </row>
    <row r="19" customFormat="false" ht="15" hidden="false" customHeight="false" outlineLevel="0" collapsed="false">
      <c r="A19" s="10" t="n">
        <v>12</v>
      </c>
      <c r="B19" s="11" t="s">
        <v>81</v>
      </c>
      <c r="C19" s="10"/>
      <c r="D19" s="10" t="n">
        <v>2</v>
      </c>
      <c r="E19" s="12" t="n">
        <v>637.54</v>
      </c>
      <c r="F19" s="23" t="n">
        <f aca="false">E19/E$27</f>
        <v>0.00119122213123828</v>
      </c>
      <c r="G19" s="13" t="n">
        <f aca="false">E19/D19</f>
        <v>318.77</v>
      </c>
    </row>
    <row r="20" customFormat="false" ht="15" hidden="false" customHeight="false" outlineLevel="0" collapsed="false">
      <c r="A20" s="5" t="n">
        <v>13</v>
      </c>
      <c r="B20" s="6" t="s">
        <v>85</v>
      </c>
      <c r="C20" s="5"/>
      <c r="D20" s="5" t="n">
        <v>1</v>
      </c>
      <c r="E20" s="7" t="n">
        <v>500</v>
      </c>
      <c r="F20" s="24" t="n">
        <f aca="false">E20/E$27</f>
        <v>0.000934233249081065</v>
      </c>
      <c r="G20" s="8" t="n">
        <f aca="false">E20/D20</f>
        <v>500</v>
      </c>
    </row>
    <row r="21" customFormat="false" ht="15" hidden="false" customHeight="false" outlineLevel="0" collapsed="false">
      <c r="A21" s="10" t="n">
        <v>14</v>
      </c>
      <c r="B21" s="11" t="s">
        <v>67</v>
      </c>
      <c r="C21" s="10"/>
      <c r="D21" s="10" t="n">
        <v>44</v>
      </c>
      <c r="E21" s="12" t="n">
        <v>431.75</v>
      </c>
      <c r="F21" s="23" t="n">
        <f aca="false">E21/E$27</f>
        <v>0.0008067104105815</v>
      </c>
      <c r="G21" s="13" t="n">
        <f aca="false">E21/D21</f>
        <v>9.8125</v>
      </c>
    </row>
    <row r="22" customFormat="false" ht="15" hidden="false" customHeight="false" outlineLevel="0" collapsed="false">
      <c r="A22" s="5" t="n">
        <v>15</v>
      </c>
      <c r="B22" s="6" t="s">
        <v>70</v>
      </c>
      <c r="C22" s="5"/>
      <c r="D22" s="5" t="n">
        <v>3</v>
      </c>
      <c r="E22" s="7" t="n">
        <v>372.77</v>
      </c>
      <c r="F22" s="24" t="n">
        <f aca="false">E22/E$27</f>
        <v>0.000696508256519897</v>
      </c>
      <c r="G22" s="8" t="n">
        <f aca="false">E22/D22</f>
        <v>124.256666666667</v>
      </c>
    </row>
    <row r="23" customFormat="false" ht="15" hidden="false" customHeight="false" outlineLevel="0" collapsed="false">
      <c r="A23" s="10" t="n">
        <v>16</v>
      </c>
      <c r="B23" s="11" t="s">
        <v>100</v>
      </c>
      <c r="C23" s="10"/>
      <c r="D23" s="10" t="n">
        <v>2</v>
      </c>
      <c r="E23" s="12" t="n">
        <v>354.99</v>
      </c>
      <c r="F23" s="23" t="n">
        <f aca="false">E23/E$27</f>
        <v>0.000663286922182575</v>
      </c>
      <c r="G23" s="13" t="n">
        <f aca="false">E23/D23</f>
        <v>177.495</v>
      </c>
    </row>
    <row r="24" customFormat="false" ht="15" hidden="false" customHeight="false" outlineLevel="0" collapsed="false">
      <c r="A24" s="5" t="n">
        <v>17</v>
      </c>
      <c r="B24" s="6" t="s">
        <v>105</v>
      </c>
      <c r="C24" s="5"/>
      <c r="D24" s="5" t="n">
        <v>1</v>
      </c>
      <c r="E24" s="7" t="n">
        <v>191.7</v>
      </c>
      <c r="F24" s="24" t="n">
        <f aca="false">E24/E$27</f>
        <v>0.00035818502769768</v>
      </c>
      <c r="G24" s="8" t="n">
        <f aca="false">E24/D24</f>
        <v>191.7</v>
      </c>
    </row>
    <row r="25" customFormat="false" ht="15" hidden="false" customHeight="false" outlineLevel="0" collapsed="false">
      <c r="A25" s="10" t="n">
        <v>18</v>
      </c>
      <c r="B25" s="11" t="s">
        <v>79</v>
      </c>
      <c r="C25" s="10"/>
      <c r="D25" s="10" t="n">
        <v>2</v>
      </c>
      <c r="E25" s="12" t="n">
        <v>111.82</v>
      </c>
      <c r="F25" s="23" t="n">
        <f aca="false">E25/E$27</f>
        <v>0.000208931923824489</v>
      </c>
      <c r="G25" s="13" t="n">
        <f aca="false">E25/D25</f>
        <v>55.91</v>
      </c>
    </row>
    <row r="26" customFormat="false" ht="15" hidden="false" customHeight="false" outlineLevel="0" collapsed="false">
      <c r="A26" s="5" t="n">
        <v>19</v>
      </c>
      <c r="B26" s="6" t="s">
        <v>89</v>
      </c>
      <c r="C26" s="5"/>
      <c r="D26" s="5" t="n">
        <v>1</v>
      </c>
      <c r="E26" s="7" t="n">
        <v>29.39</v>
      </c>
      <c r="F26" s="24" t="n">
        <f aca="false">E26/E$27</f>
        <v>5.4914230380985E-005</v>
      </c>
      <c r="G26" s="8" t="n">
        <f aca="false">E26/D26</f>
        <v>29.39</v>
      </c>
    </row>
    <row r="27" customFormat="false" ht="15" hidden="false" customHeight="false" outlineLevel="0" collapsed="false">
      <c r="A27" s="17"/>
      <c r="B27" s="15" t="s">
        <v>43</v>
      </c>
      <c r="C27" s="17"/>
      <c r="D27" s="15" t="n">
        <f aca="false">SUM(D8:D26)</f>
        <v>301</v>
      </c>
      <c r="E27" s="16" t="n">
        <f aca="false">SUM(E8:E26)</f>
        <v>535198.25</v>
      </c>
      <c r="F27" s="25" t="n">
        <f aca="false">SUM(F8:F26)</f>
        <v>1</v>
      </c>
      <c r="G27" s="16" t="n">
        <f aca="false">E27/D27</f>
        <v>1778.06727574751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25</v>
      </c>
    </row>
    <row r="4" customFormat="false" ht="15" hidden="false" customHeight="false" outlineLevel="0" collapsed="false">
      <c r="A4" s="2" t="s">
        <v>7</v>
      </c>
      <c r="B4" s="0" t="n">
        <v>402</v>
      </c>
    </row>
    <row r="5" customFormat="false" ht="15" hidden="false" customHeight="false" outlineLevel="0" collapsed="false">
      <c r="A5" s="2" t="s">
        <v>3</v>
      </c>
      <c r="B5" s="28" t="n">
        <v>766653.25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20</v>
      </c>
      <c r="C8" s="18"/>
      <c r="D8" s="18" t="n">
        <v>97</v>
      </c>
      <c r="E8" s="20" t="n">
        <v>248013.68</v>
      </c>
      <c r="F8" s="21" t="n">
        <f aca="false">E8/E$33</f>
        <v>0.323501765628725</v>
      </c>
      <c r="G8" s="22" t="n">
        <f aca="false">E8/D8</f>
        <v>2556.84206185567</v>
      </c>
    </row>
    <row r="9" customFormat="false" ht="15" hidden="false" customHeight="false" outlineLevel="0" collapsed="false">
      <c r="A9" s="18" t="n">
        <v>2</v>
      </c>
      <c r="B9" s="19" t="s">
        <v>13</v>
      </c>
      <c r="C9" s="18"/>
      <c r="D9" s="18" t="n">
        <v>57</v>
      </c>
      <c r="E9" s="20" t="n">
        <v>104759.63</v>
      </c>
      <c r="F9" s="21" t="n">
        <f aca="false">E9/E$33</f>
        <v>0.136645386946445</v>
      </c>
      <c r="G9" s="22" t="n">
        <f aca="false">E9/D9</f>
        <v>1837.88824561404</v>
      </c>
    </row>
    <row r="10" customFormat="false" ht="15" hidden="false" customHeight="false" outlineLevel="0" collapsed="false">
      <c r="A10" s="18" t="n">
        <v>3</v>
      </c>
      <c r="B10" s="19" t="s">
        <v>25</v>
      </c>
      <c r="C10" s="18"/>
      <c r="D10" s="18" t="n">
        <v>66</v>
      </c>
      <c r="E10" s="20" t="n">
        <v>101721.98</v>
      </c>
      <c r="F10" s="21" t="n">
        <f aca="false">E10/E$33</f>
        <v>0.132683165433656</v>
      </c>
      <c r="G10" s="22" t="n">
        <f aca="false">E10/D10</f>
        <v>1541.24212121212</v>
      </c>
    </row>
    <row r="11" customFormat="false" ht="15" hidden="false" customHeight="false" outlineLevel="0" collapsed="false">
      <c r="A11" s="10" t="n">
        <v>4</v>
      </c>
      <c r="B11" s="11" t="s">
        <v>56</v>
      </c>
      <c r="C11" s="10"/>
      <c r="D11" s="10" t="n">
        <v>19</v>
      </c>
      <c r="E11" s="12" t="n">
        <v>94572.5</v>
      </c>
      <c r="F11" s="23" t="n">
        <f aca="false">E11/E$33</f>
        <v>0.123357593540496</v>
      </c>
      <c r="G11" s="13" t="n">
        <f aca="false">E11/D11</f>
        <v>4977.5</v>
      </c>
    </row>
    <row r="12" customFormat="false" ht="15" hidden="false" customHeight="false" outlineLevel="0" collapsed="false">
      <c r="A12" s="5" t="n">
        <v>5</v>
      </c>
      <c r="B12" s="6" t="s">
        <v>54</v>
      </c>
      <c r="C12" s="5"/>
      <c r="D12" s="5" t="n">
        <v>4</v>
      </c>
      <c r="E12" s="7" t="n">
        <v>70651.37</v>
      </c>
      <c r="F12" s="24" t="n">
        <f aca="false">E12/E$33</f>
        <v>0.0921555735921031</v>
      </c>
      <c r="G12" s="8" t="n">
        <f aca="false">E12/D12</f>
        <v>17662.8425</v>
      </c>
    </row>
    <row r="13" customFormat="false" ht="15" hidden="false" customHeight="false" outlineLevel="0" collapsed="false">
      <c r="A13" s="10" t="n">
        <v>6</v>
      </c>
      <c r="B13" s="11" t="s">
        <v>32</v>
      </c>
      <c r="C13" s="10"/>
      <c r="D13" s="10" t="n">
        <v>27</v>
      </c>
      <c r="E13" s="12" t="n">
        <v>45650.81</v>
      </c>
      <c r="F13" s="23" t="n">
        <f aca="false">E13/E$33</f>
        <v>0.0595455768302032</v>
      </c>
      <c r="G13" s="13" t="n">
        <f aca="false">E13/D13</f>
        <v>1690.77074074074</v>
      </c>
    </row>
    <row r="14" customFormat="false" ht="15" hidden="false" customHeight="false" outlineLevel="0" collapsed="false">
      <c r="A14" s="5" t="n">
        <v>7</v>
      </c>
      <c r="B14" s="6" t="s">
        <v>76</v>
      </c>
      <c r="C14" s="5"/>
      <c r="D14" s="5" t="n">
        <v>1</v>
      </c>
      <c r="E14" s="7" t="n">
        <v>19963</v>
      </c>
      <c r="F14" s="24" t="n">
        <f aca="false">E14/E$33</f>
        <v>0.0260391513373223</v>
      </c>
      <c r="G14" s="8" t="n">
        <f aca="false">E14/D14</f>
        <v>19963</v>
      </c>
    </row>
    <row r="15" customFormat="false" ht="15" hidden="false" customHeight="false" outlineLevel="0" collapsed="false">
      <c r="A15" s="10" t="n">
        <v>8</v>
      </c>
      <c r="B15" s="11" t="s">
        <v>67</v>
      </c>
      <c r="C15" s="10"/>
      <c r="D15" s="10" t="n">
        <v>59</v>
      </c>
      <c r="E15" s="12" t="n">
        <v>18513.01</v>
      </c>
      <c r="F15" s="23" t="n">
        <f aca="false">E15/E$33</f>
        <v>0.0241478269347974</v>
      </c>
      <c r="G15" s="13" t="n">
        <f aca="false">E15/D15</f>
        <v>313.779830508475</v>
      </c>
    </row>
    <row r="16" customFormat="false" ht="15" hidden="false" customHeight="false" outlineLevel="0" collapsed="false">
      <c r="A16" s="5" t="n">
        <v>9</v>
      </c>
      <c r="B16" s="6" t="s">
        <v>59</v>
      </c>
      <c r="C16" s="5"/>
      <c r="D16" s="5" t="n">
        <v>10</v>
      </c>
      <c r="E16" s="7" t="n">
        <v>16471.05</v>
      </c>
      <c r="F16" s="24" t="n">
        <f aca="false">E16/E$33</f>
        <v>0.0214843542370687</v>
      </c>
      <c r="G16" s="8" t="n">
        <f aca="false">E16/D16</f>
        <v>1647.105</v>
      </c>
    </row>
    <row r="17" customFormat="false" ht="15" hidden="false" customHeight="false" outlineLevel="0" collapsed="false">
      <c r="A17" s="10" t="n">
        <v>10</v>
      </c>
      <c r="B17" s="11" t="s">
        <v>63</v>
      </c>
      <c r="C17" s="10"/>
      <c r="D17" s="10" t="n">
        <v>18</v>
      </c>
      <c r="E17" s="12" t="n">
        <v>9870.42</v>
      </c>
      <c r="F17" s="23" t="n">
        <f aca="false">E17/E$33</f>
        <v>0.0128746861765733</v>
      </c>
      <c r="G17" s="13" t="n">
        <f aca="false">E17/D17</f>
        <v>548.356666666667</v>
      </c>
    </row>
    <row r="18" customFormat="false" ht="15" hidden="false" customHeight="false" outlineLevel="0" collapsed="false">
      <c r="A18" s="5" t="n">
        <v>11</v>
      </c>
      <c r="B18" s="6" t="s">
        <v>68</v>
      </c>
      <c r="C18" s="5"/>
      <c r="D18" s="5" t="n">
        <v>7</v>
      </c>
      <c r="E18" s="7" t="n">
        <v>8878</v>
      </c>
      <c r="F18" s="24" t="n">
        <f aca="false">E18/E$33</f>
        <v>0.0115802026535464</v>
      </c>
      <c r="G18" s="8" t="n">
        <f aca="false">E18/D18</f>
        <v>1268.28571428571</v>
      </c>
    </row>
    <row r="19" customFormat="false" ht="15" hidden="false" customHeight="false" outlineLevel="0" collapsed="false">
      <c r="A19" s="10" t="n">
        <v>12</v>
      </c>
      <c r="B19" s="11" t="s">
        <v>60</v>
      </c>
      <c r="C19" s="10"/>
      <c r="D19" s="10" t="n">
        <v>3</v>
      </c>
      <c r="E19" s="12" t="n">
        <v>6463.4</v>
      </c>
      <c r="F19" s="23" t="n">
        <f aca="false">E19/E$33</f>
        <v>0.00843066927584276</v>
      </c>
      <c r="G19" s="13" t="n">
        <f aca="false">E19/D19</f>
        <v>2154.46666666667</v>
      </c>
    </row>
    <row r="20" customFormat="false" ht="15" hidden="false" customHeight="false" outlineLevel="0" collapsed="false">
      <c r="A20" s="5" t="n">
        <v>13</v>
      </c>
      <c r="B20" s="6" t="s">
        <v>79</v>
      </c>
      <c r="C20" s="5"/>
      <c r="D20" s="5" t="n">
        <v>7</v>
      </c>
      <c r="E20" s="7" t="n">
        <v>4731.84</v>
      </c>
      <c r="F20" s="24" t="n">
        <f aca="false">E20/E$33</f>
        <v>0.00617207322867281</v>
      </c>
      <c r="G20" s="8" t="n">
        <f aca="false">E20/D20</f>
        <v>675.977142857143</v>
      </c>
    </row>
    <row r="21" customFormat="false" ht="15" hidden="false" customHeight="false" outlineLevel="0" collapsed="false">
      <c r="A21" s="10" t="n">
        <v>14</v>
      </c>
      <c r="B21" s="11" t="s">
        <v>78</v>
      </c>
      <c r="C21" s="10"/>
      <c r="D21" s="10" t="n">
        <v>3</v>
      </c>
      <c r="E21" s="12" t="n">
        <v>4012.56</v>
      </c>
      <c r="F21" s="23" t="n">
        <f aca="false">E21/E$33</f>
        <v>0.00523386550568983</v>
      </c>
      <c r="G21" s="13" t="n">
        <f aca="false">E21/D21</f>
        <v>1337.52</v>
      </c>
    </row>
    <row r="22" customFormat="false" ht="15" hidden="false" customHeight="false" outlineLevel="0" collapsed="false">
      <c r="A22" s="5" t="n">
        <v>15</v>
      </c>
      <c r="B22" s="6" t="s">
        <v>93</v>
      </c>
      <c r="C22" s="5"/>
      <c r="D22" s="5" t="n">
        <v>1</v>
      </c>
      <c r="E22" s="7" t="n">
        <v>3908</v>
      </c>
      <c r="F22" s="24" t="n">
        <f aca="false">E22/E$33</f>
        <v>0.00509748051025676</v>
      </c>
      <c r="G22" s="8" t="n">
        <f aca="false">E22/D22</f>
        <v>3908</v>
      </c>
    </row>
    <row r="23" customFormat="false" ht="15" hidden="false" customHeight="false" outlineLevel="0" collapsed="false">
      <c r="A23" s="10" t="n">
        <v>16</v>
      </c>
      <c r="B23" s="11" t="s">
        <v>81</v>
      </c>
      <c r="C23" s="10"/>
      <c r="D23" s="10" t="n">
        <v>4</v>
      </c>
      <c r="E23" s="12" t="n">
        <v>2674.82</v>
      </c>
      <c r="F23" s="23" t="n">
        <f aca="false">E23/E$33</f>
        <v>0.00348895670891632</v>
      </c>
      <c r="G23" s="13" t="n">
        <f aca="false">E23/D23</f>
        <v>668.705</v>
      </c>
    </row>
    <row r="24" customFormat="false" ht="15" hidden="false" customHeight="false" outlineLevel="0" collapsed="false">
      <c r="A24" s="5" t="n">
        <v>17</v>
      </c>
      <c r="B24" s="6" t="s">
        <v>85</v>
      </c>
      <c r="C24" s="5"/>
      <c r="D24" s="5" t="n">
        <v>1</v>
      </c>
      <c r="E24" s="7" t="n">
        <v>1775</v>
      </c>
      <c r="F24" s="24" t="n">
        <f aca="false">E24/E$33</f>
        <v>0.00231525790831774</v>
      </c>
      <c r="G24" s="8" t="n">
        <f aca="false">E24/D24</f>
        <v>1775</v>
      </c>
    </row>
    <row r="25" customFormat="false" ht="15" hidden="false" customHeight="false" outlineLevel="0" collapsed="false">
      <c r="A25" s="10" t="n">
        <v>18</v>
      </c>
      <c r="B25" s="11" t="s">
        <v>106</v>
      </c>
      <c r="C25" s="10"/>
      <c r="D25" s="10" t="n">
        <v>3</v>
      </c>
      <c r="E25" s="12" t="n">
        <v>1526.25</v>
      </c>
      <c r="F25" s="23" t="n">
        <f aca="false">E25/E$33</f>
        <v>0.00199079570849012</v>
      </c>
      <c r="G25" s="13" t="n">
        <f aca="false">E25/D25</f>
        <v>508.75</v>
      </c>
    </row>
    <row r="26" customFormat="false" ht="15" hidden="false" customHeight="false" outlineLevel="0" collapsed="false">
      <c r="A26" s="5" t="n">
        <v>19</v>
      </c>
      <c r="B26" s="6" t="s">
        <v>113</v>
      </c>
      <c r="C26" s="5"/>
      <c r="D26" s="5" t="n">
        <v>1</v>
      </c>
      <c r="E26" s="7" t="n">
        <v>671.5</v>
      </c>
      <c r="F26" s="24" t="n">
        <f aca="false">E26/E$33</f>
        <v>0.000875884893203022</v>
      </c>
      <c r="G26" s="8" t="n">
        <f aca="false">E26/D26</f>
        <v>671.5</v>
      </c>
    </row>
    <row r="27" customFormat="false" ht="15" hidden="false" customHeight="false" outlineLevel="0" collapsed="false">
      <c r="A27" s="10" t="n">
        <v>20</v>
      </c>
      <c r="B27" s="11" t="s">
        <v>86</v>
      </c>
      <c r="C27" s="10"/>
      <c r="D27" s="10" t="n">
        <v>2</v>
      </c>
      <c r="E27" s="12" t="n">
        <v>607.04</v>
      </c>
      <c r="F27" s="23" t="n">
        <f aca="false">E27/E$33</f>
        <v>0.000791805160938142</v>
      </c>
      <c r="G27" s="13" t="n">
        <f aca="false">E27/D27</f>
        <v>303.52</v>
      </c>
    </row>
    <row r="28" customFormat="false" ht="15" hidden="false" customHeight="false" outlineLevel="0" collapsed="false">
      <c r="A28" s="5" t="n">
        <v>21</v>
      </c>
      <c r="B28" s="6" t="s">
        <v>109</v>
      </c>
      <c r="C28" s="5"/>
      <c r="D28" s="5" t="n">
        <v>3</v>
      </c>
      <c r="E28" s="7" t="n">
        <v>470.35</v>
      </c>
      <c r="F28" s="24" t="n">
        <f aca="false">E28/E$33</f>
        <v>0.000613510736437888</v>
      </c>
      <c r="G28" s="8" t="n">
        <f aca="false">E28/D28</f>
        <v>156.783333333333</v>
      </c>
    </row>
    <row r="29" customFormat="false" ht="15" hidden="false" customHeight="false" outlineLevel="0" collapsed="false">
      <c r="A29" s="10" t="n">
        <v>22</v>
      </c>
      <c r="B29" s="11" t="s">
        <v>70</v>
      </c>
      <c r="C29" s="10"/>
      <c r="D29" s="10" t="n">
        <v>5</v>
      </c>
      <c r="E29" s="12" t="n">
        <v>351.93</v>
      </c>
      <c r="F29" s="23" t="n">
        <f aca="false">E29/E$33</f>
        <v>0.000459047163760148</v>
      </c>
      <c r="G29" s="13" t="n">
        <f aca="false">E29/D29</f>
        <v>70.386</v>
      </c>
    </row>
    <row r="30" customFormat="false" ht="15" hidden="false" customHeight="false" outlineLevel="0" collapsed="false">
      <c r="A30" s="5" t="n">
        <v>23</v>
      </c>
      <c r="B30" s="6" t="s">
        <v>65</v>
      </c>
      <c r="C30" s="5"/>
      <c r="D30" s="5" t="n">
        <v>1</v>
      </c>
      <c r="E30" s="7" t="n">
        <v>155</v>
      </c>
      <c r="F30" s="24" t="n">
        <f aca="false">E30/E$33</f>
        <v>0.000202177451148873</v>
      </c>
      <c r="G30" s="8" t="n">
        <f aca="false">E30/D30</f>
        <v>155</v>
      </c>
    </row>
    <row r="31" customFormat="false" ht="15" hidden="false" customHeight="false" outlineLevel="0" collapsed="false">
      <c r="A31" s="10" t="n">
        <v>24</v>
      </c>
      <c r="B31" s="11" t="s">
        <v>111</v>
      </c>
      <c r="C31" s="10"/>
      <c r="D31" s="10" t="n">
        <v>2</v>
      </c>
      <c r="E31" s="12" t="n">
        <v>150.11</v>
      </c>
      <c r="F31" s="23" t="n">
        <f aca="false">E31/E$33</f>
        <v>0.00019579907865779</v>
      </c>
      <c r="G31" s="13" t="n">
        <f aca="false">E31/D31</f>
        <v>75.055</v>
      </c>
    </row>
    <row r="32" customFormat="false" ht="15" hidden="false" customHeight="false" outlineLevel="0" collapsed="false">
      <c r="A32" s="5" t="n">
        <v>25</v>
      </c>
      <c r="B32" s="6" t="s">
        <v>83</v>
      </c>
      <c r="C32" s="5"/>
      <c r="D32" s="5" t="n">
        <v>1</v>
      </c>
      <c r="E32" s="7" t="n">
        <v>90</v>
      </c>
      <c r="F32" s="24" t="n">
        <f aca="false">E32/E$33</f>
        <v>0.000117393358731604</v>
      </c>
      <c r="G32" s="8" t="n">
        <f aca="false">E32/D32</f>
        <v>90</v>
      </c>
    </row>
    <row r="33" customFormat="false" ht="15" hidden="false" customHeight="false" outlineLevel="0" collapsed="false">
      <c r="A33" s="17"/>
      <c r="B33" s="15" t="s">
        <v>43</v>
      </c>
      <c r="C33" s="17"/>
      <c r="D33" s="15" t="n">
        <f aca="false">SUM(D8:D32)</f>
        <v>402</v>
      </c>
      <c r="E33" s="16" t="n">
        <f aca="false">SUM(E8:E32)</f>
        <v>766653.25</v>
      </c>
      <c r="F33" s="25" t="n">
        <f aca="false">SUM(F8:F32)</f>
        <v>1</v>
      </c>
      <c r="G33" s="16" t="n">
        <f aca="false">E33/D33</f>
        <v>1907.09763681592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21</v>
      </c>
    </row>
    <row r="4" customFormat="false" ht="15" hidden="false" customHeight="false" outlineLevel="0" collapsed="false">
      <c r="A4" s="2" t="s">
        <v>7</v>
      </c>
      <c r="B4" s="0" t="n">
        <v>545</v>
      </c>
    </row>
    <row r="5" customFormat="false" ht="15" hidden="false" customHeight="false" outlineLevel="0" collapsed="false">
      <c r="A5" s="2" t="s">
        <v>3</v>
      </c>
      <c r="B5" s="28" t="n">
        <v>792734.87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13</v>
      </c>
      <c r="C8" s="18"/>
      <c r="D8" s="18" t="n">
        <v>121</v>
      </c>
      <c r="E8" s="20" t="n">
        <v>216177.2</v>
      </c>
      <c r="F8" s="21" t="n">
        <f aca="false">E8/E$29</f>
        <v>0.272697982870364</v>
      </c>
      <c r="G8" s="22" t="n">
        <f aca="false">E8/D8</f>
        <v>1786.58842975207</v>
      </c>
    </row>
    <row r="9" customFormat="false" ht="15" hidden="false" customHeight="false" outlineLevel="0" collapsed="false">
      <c r="A9" s="18" t="n">
        <v>2</v>
      </c>
      <c r="B9" s="19" t="s">
        <v>25</v>
      </c>
      <c r="C9" s="18"/>
      <c r="D9" s="18" t="n">
        <v>101</v>
      </c>
      <c r="E9" s="20" t="n">
        <v>204979.52</v>
      </c>
      <c r="F9" s="21" t="n">
        <f aca="false">E9/E$29</f>
        <v>0.258572604482505</v>
      </c>
      <c r="G9" s="22" t="n">
        <f aca="false">E9/D9</f>
        <v>2029.5001980198</v>
      </c>
    </row>
    <row r="10" customFormat="false" ht="15" hidden="false" customHeight="false" outlineLevel="0" collapsed="false">
      <c r="A10" s="18" t="n">
        <v>3</v>
      </c>
      <c r="B10" s="19" t="s">
        <v>57</v>
      </c>
      <c r="C10" s="18"/>
      <c r="D10" s="18" t="n">
        <v>172</v>
      </c>
      <c r="E10" s="20" t="n">
        <v>188562.66</v>
      </c>
      <c r="F10" s="21" t="n">
        <f aca="false">E10/E$29</f>
        <v>0.237863461209925</v>
      </c>
      <c r="G10" s="22" t="n">
        <f aca="false">E10/D10</f>
        <v>1096.29453488372</v>
      </c>
    </row>
    <row r="11" customFormat="false" ht="15" hidden="false" customHeight="false" outlineLevel="0" collapsed="false">
      <c r="A11" s="10" t="n">
        <v>4</v>
      </c>
      <c r="B11" s="11" t="s">
        <v>54</v>
      </c>
      <c r="C11" s="10"/>
      <c r="D11" s="10" t="n">
        <v>4</v>
      </c>
      <c r="E11" s="12" t="n">
        <v>67935.82</v>
      </c>
      <c r="F11" s="23" t="n">
        <f aca="false">E11/E$29</f>
        <v>0.0856980341990002</v>
      </c>
      <c r="G11" s="13" t="n">
        <f aca="false">E11/D11</f>
        <v>16983.955</v>
      </c>
    </row>
    <row r="12" customFormat="false" ht="15" hidden="false" customHeight="false" outlineLevel="0" collapsed="false">
      <c r="A12" s="5" t="n">
        <v>5</v>
      </c>
      <c r="B12" s="6" t="s">
        <v>32</v>
      </c>
      <c r="C12" s="5"/>
      <c r="D12" s="5" t="n">
        <v>11</v>
      </c>
      <c r="E12" s="7" t="n">
        <v>47819.57</v>
      </c>
      <c r="F12" s="24" t="n">
        <f aca="false">E12/E$29</f>
        <v>0.0603222739527025</v>
      </c>
      <c r="G12" s="8" t="n">
        <f aca="false">E12/D12</f>
        <v>4347.23363636364</v>
      </c>
    </row>
    <row r="13" customFormat="false" ht="15" hidden="false" customHeight="false" outlineLevel="0" collapsed="false">
      <c r="A13" s="10" t="n">
        <v>6</v>
      </c>
      <c r="B13" s="11" t="s">
        <v>63</v>
      </c>
      <c r="C13" s="10"/>
      <c r="D13" s="10" t="n">
        <v>40</v>
      </c>
      <c r="E13" s="12" t="n">
        <v>23301.34</v>
      </c>
      <c r="F13" s="23" t="n">
        <f aca="false">E13/E$29</f>
        <v>0.0293936105018315</v>
      </c>
      <c r="G13" s="13" t="n">
        <f aca="false">E13/D13</f>
        <v>582.5335</v>
      </c>
    </row>
    <row r="14" customFormat="false" ht="15" hidden="false" customHeight="false" outlineLevel="0" collapsed="false">
      <c r="A14" s="5" t="n">
        <v>7</v>
      </c>
      <c r="B14" s="6" t="s">
        <v>60</v>
      </c>
      <c r="C14" s="5"/>
      <c r="D14" s="5" t="n">
        <v>5</v>
      </c>
      <c r="E14" s="7" t="n">
        <v>15202</v>
      </c>
      <c r="F14" s="24" t="n">
        <f aca="false">E14/E$29</f>
        <v>0.0191766510788153</v>
      </c>
      <c r="G14" s="8" t="n">
        <f aca="false">E14/D14</f>
        <v>3040.4</v>
      </c>
    </row>
    <row r="15" customFormat="false" ht="15" hidden="false" customHeight="false" outlineLevel="0" collapsed="false">
      <c r="A15" s="10" t="n">
        <v>8</v>
      </c>
      <c r="B15" s="11" t="s">
        <v>68</v>
      </c>
      <c r="C15" s="10"/>
      <c r="D15" s="10" t="n">
        <v>13</v>
      </c>
      <c r="E15" s="12" t="n">
        <v>8585</v>
      </c>
      <c r="F15" s="23" t="n">
        <f aca="false">E15/E$29</f>
        <v>0.0108295980470747</v>
      </c>
      <c r="G15" s="13" t="n">
        <f aca="false">E15/D15</f>
        <v>660.384615384615</v>
      </c>
    </row>
    <row r="16" customFormat="false" ht="15" hidden="false" customHeight="false" outlineLevel="0" collapsed="false">
      <c r="A16" s="5" t="n">
        <v>9</v>
      </c>
      <c r="B16" s="6" t="s">
        <v>85</v>
      </c>
      <c r="C16" s="5"/>
      <c r="D16" s="5" t="n">
        <v>5</v>
      </c>
      <c r="E16" s="7" t="n">
        <v>4605</v>
      </c>
      <c r="F16" s="24" t="n">
        <f aca="false">E16/E$29</f>
        <v>0.00580900396118566</v>
      </c>
      <c r="G16" s="8" t="n">
        <f aca="false">E16/D16</f>
        <v>921</v>
      </c>
    </row>
    <row r="17" customFormat="false" ht="15" hidden="false" customHeight="false" outlineLevel="0" collapsed="false">
      <c r="A17" s="10" t="n">
        <v>10</v>
      </c>
      <c r="B17" s="11" t="s">
        <v>81</v>
      </c>
      <c r="C17" s="10"/>
      <c r="D17" s="10" t="n">
        <v>6</v>
      </c>
      <c r="E17" s="12" t="n">
        <v>3172.33</v>
      </c>
      <c r="F17" s="23" t="n">
        <f aca="false">E17/E$29</f>
        <v>0.00400175407951968</v>
      </c>
      <c r="G17" s="13" t="n">
        <f aca="false">E17/D17</f>
        <v>528.721666666667</v>
      </c>
    </row>
    <row r="18" customFormat="false" ht="15" hidden="false" customHeight="false" outlineLevel="0" collapsed="false">
      <c r="A18" s="5" t="n">
        <v>11</v>
      </c>
      <c r="B18" s="6" t="s">
        <v>86</v>
      </c>
      <c r="C18" s="5"/>
      <c r="D18" s="5" t="n">
        <v>5</v>
      </c>
      <c r="E18" s="7" t="n">
        <v>2334.26</v>
      </c>
      <c r="F18" s="24" t="n">
        <f aca="false">E18/E$29</f>
        <v>0.00294456581681591</v>
      </c>
      <c r="G18" s="8" t="n">
        <f aca="false">E18/D18</f>
        <v>466.852</v>
      </c>
    </row>
    <row r="19" customFormat="false" ht="15" hidden="false" customHeight="false" outlineLevel="0" collapsed="false">
      <c r="A19" s="10" t="n">
        <v>12</v>
      </c>
      <c r="B19" s="11" t="s">
        <v>79</v>
      </c>
      <c r="C19" s="10"/>
      <c r="D19" s="10" t="n">
        <v>8</v>
      </c>
      <c r="E19" s="12" t="n">
        <v>2331.87</v>
      </c>
      <c r="F19" s="23" t="n">
        <f aca="false">E19/E$29</f>
        <v>0.00294155093745277</v>
      </c>
      <c r="G19" s="13" t="n">
        <f aca="false">E19/D19</f>
        <v>291.48375</v>
      </c>
    </row>
    <row r="20" customFormat="false" ht="15" hidden="false" customHeight="false" outlineLevel="0" collapsed="false">
      <c r="A20" s="5" t="n">
        <v>13</v>
      </c>
      <c r="B20" s="6" t="s">
        <v>67</v>
      </c>
      <c r="C20" s="5"/>
      <c r="D20" s="5" t="n">
        <v>16</v>
      </c>
      <c r="E20" s="7" t="n">
        <v>2040.76</v>
      </c>
      <c r="F20" s="24" t="n">
        <f aca="false">E20/E$29</f>
        <v>0.0025743285393766</v>
      </c>
      <c r="G20" s="8" t="n">
        <f aca="false">E20/D20</f>
        <v>127.5475</v>
      </c>
    </row>
    <row r="21" customFormat="false" ht="15" hidden="false" customHeight="false" outlineLevel="0" collapsed="false">
      <c r="A21" s="10" t="n">
        <v>14</v>
      </c>
      <c r="B21" s="11" t="s">
        <v>103</v>
      </c>
      <c r="C21" s="10"/>
      <c r="D21" s="10" t="n">
        <v>17</v>
      </c>
      <c r="E21" s="12" t="n">
        <v>1700</v>
      </c>
      <c r="F21" s="23" t="n">
        <f aca="false">E21/E$29</f>
        <v>0.00214447486080687</v>
      </c>
      <c r="G21" s="13" t="n">
        <f aca="false">E21/D21</f>
        <v>100</v>
      </c>
    </row>
    <row r="22" customFormat="false" ht="15" hidden="false" customHeight="false" outlineLevel="0" collapsed="false">
      <c r="A22" s="5" t="n">
        <v>15</v>
      </c>
      <c r="B22" s="6" t="s">
        <v>107</v>
      </c>
      <c r="C22" s="5"/>
      <c r="D22" s="5" t="n">
        <v>3</v>
      </c>
      <c r="E22" s="7" t="n">
        <v>1302.22</v>
      </c>
      <c r="F22" s="24" t="n">
        <f aca="false">E22/E$29</f>
        <v>0.00164269297249407</v>
      </c>
      <c r="G22" s="8" t="n">
        <f aca="false">E22/D22</f>
        <v>434.073333333333</v>
      </c>
    </row>
    <row r="23" customFormat="false" ht="15" hidden="false" customHeight="false" outlineLevel="0" collapsed="false">
      <c r="A23" s="10" t="n">
        <v>16</v>
      </c>
      <c r="B23" s="11" t="s">
        <v>72</v>
      </c>
      <c r="C23" s="10"/>
      <c r="D23" s="10" t="n">
        <v>1</v>
      </c>
      <c r="E23" s="12" t="n">
        <v>945</v>
      </c>
      <c r="F23" s="23" t="n">
        <f aca="false">E23/E$29</f>
        <v>0.00119207573144852</v>
      </c>
      <c r="G23" s="13" t="n">
        <f aca="false">E23/D23</f>
        <v>945</v>
      </c>
    </row>
    <row r="24" customFormat="false" ht="15" hidden="false" customHeight="false" outlineLevel="0" collapsed="false">
      <c r="A24" s="5" t="n">
        <v>17</v>
      </c>
      <c r="B24" s="6" t="s">
        <v>115</v>
      </c>
      <c r="C24" s="5"/>
      <c r="D24" s="5" t="n">
        <v>4</v>
      </c>
      <c r="E24" s="7" t="n">
        <v>474</v>
      </c>
      <c r="F24" s="24" t="n">
        <f aca="false">E24/E$29</f>
        <v>0.000597930049424974</v>
      </c>
      <c r="G24" s="8" t="n">
        <f aca="false">E24/D24</f>
        <v>118.5</v>
      </c>
    </row>
    <row r="25" customFormat="false" ht="15" hidden="false" customHeight="false" outlineLevel="0" collapsed="false">
      <c r="A25" s="10" t="n">
        <v>18</v>
      </c>
      <c r="B25" s="11" t="s">
        <v>78</v>
      </c>
      <c r="C25" s="10"/>
      <c r="D25" s="10" t="n">
        <v>2</v>
      </c>
      <c r="E25" s="12" t="n">
        <v>458.5</v>
      </c>
      <c r="F25" s="23" t="n">
        <f aca="false">E25/E$29</f>
        <v>0.000578377484517617</v>
      </c>
      <c r="G25" s="13" t="n">
        <f aca="false">E25/D25</f>
        <v>229.25</v>
      </c>
    </row>
    <row r="26" customFormat="false" ht="15" hidden="false" customHeight="false" outlineLevel="0" collapsed="false">
      <c r="A26" s="5" t="n">
        <v>19</v>
      </c>
      <c r="B26" s="6" t="s">
        <v>70</v>
      </c>
      <c r="C26" s="5"/>
      <c r="D26" s="5" t="n">
        <v>5</v>
      </c>
      <c r="E26" s="7" t="n">
        <v>456.5</v>
      </c>
      <c r="F26" s="24" t="n">
        <f aca="false">E26/E$29</f>
        <v>0.000575854572916668</v>
      </c>
      <c r="G26" s="8" t="n">
        <f aca="false">E26/D26</f>
        <v>91.3</v>
      </c>
    </row>
    <row r="27" customFormat="false" ht="15" hidden="false" customHeight="false" outlineLevel="0" collapsed="false">
      <c r="A27" s="10" t="n">
        <v>20</v>
      </c>
      <c r="B27" s="11" t="s">
        <v>109</v>
      </c>
      <c r="C27" s="10"/>
      <c r="D27" s="10" t="n">
        <v>3</v>
      </c>
      <c r="E27" s="12" t="n">
        <v>304</v>
      </c>
      <c r="F27" s="23" t="n">
        <f aca="false">E27/E$29</f>
        <v>0.000383482563344287</v>
      </c>
      <c r="G27" s="13" t="n">
        <f aca="false">E27/D27</f>
        <v>101.333333333333</v>
      </c>
    </row>
    <row r="28" customFormat="false" ht="15" hidden="false" customHeight="false" outlineLevel="0" collapsed="false">
      <c r="A28" s="5" t="n">
        <v>21</v>
      </c>
      <c r="B28" s="6" t="s">
        <v>20</v>
      </c>
      <c r="C28" s="5"/>
      <c r="D28" s="5" t="n">
        <v>3</v>
      </c>
      <c r="E28" s="7" t="n">
        <v>47.32</v>
      </c>
      <c r="F28" s="24" t="n">
        <f aca="false">E28/E$29</f>
        <v>5.96920884784594E-005</v>
      </c>
      <c r="G28" s="8" t="n">
        <f aca="false">E28/D28</f>
        <v>15.7733333333333</v>
      </c>
    </row>
    <row r="29" customFormat="false" ht="15" hidden="false" customHeight="false" outlineLevel="0" collapsed="false">
      <c r="A29" s="17"/>
      <c r="B29" s="15" t="s">
        <v>43</v>
      </c>
      <c r="C29" s="17"/>
      <c r="D29" s="15" t="n">
        <f aca="false">SUM(D8:D28)</f>
        <v>545</v>
      </c>
      <c r="E29" s="16" t="n">
        <f aca="false">SUM(E8:E28)</f>
        <v>792734.87</v>
      </c>
      <c r="F29" s="25" t="n">
        <f aca="false">SUM(F8:F28)</f>
        <v>1</v>
      </c>
      <c r="G29" s="16" t="n">
        <f aca="false">E29/D29</f>
        <v>1454.55939449541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21</v>
      </c>
    </row>
    <row r="4" customFormat="false" ht="15" hidden="false" customHeight="false" outlineLevel="0" collapsed="false">
      <c r="A4" s="2" t="s">
        <v>7</v>
      </c>
      <c r="B4" s="0" t="n">
        <v>280</v>
      </c>
    </row>
    <row r="5" customFormat="false" ht="15" hidden="false" customHeight="false" outlineLevel="0" collapsed="false">
      <c r="A5" s="2" t="s">
        <v>3</v>
      </c>
      <c r="B5" s="28" t="n">
        <v>436423.47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13</v>
      </c>
      <c r="C8" s="18"/>
      <c r="D8" s="18" t="n">
        <v>82</v>
      </c>
      <c r="E8" s="20" t="n">
        <v>121504.28</v>
      </c>
      <c r="F8" s="21" t="n">
        <f aca="false">E8/E$29</f>
        <v>0.278409133220998</v>
      </c>
      <c r="G8" s="22" t="n">
        <f aca="false">E8/D8</f>
        <v>1481.75951219512</v>
      </c>
    </row>
    <row r="9" customFormat="false" ht="15" hidden="false" customHeight="false" outlineLevel="0" collapsed="false">
      <c r="A9" s="18" t="n">
        <v>2</v>
      </c>
      <c r="B9" s="19" t="s">
        <v>57</v>
      </c>
      <c r="C9" s="18"/>
      <c r="D9" s="18" t="n">
        <v>77</v>
      </c>
      <c r="E9" s="20" t="n">
        <v>98623.69</v>
      </c>
      <c r="F9" s="21" t="n">
        <f aca="false">E9/E$29</f>
        <v>0.225981636597134</v>
      </c>
      <c r="G9" s="22" t="n">
        <f aca="false">E9/D9</f>
        <v>1280.82714285714</v>
      </c>
    </row>
    <row r="10" customFormat="false" ht="15" hidden="false" customHeight="false" outlineLevel="0" collapsed="false">
      <c r="A10" s="18" t="n">
        <v>3</v>
      </c>
      <c r="B10" s="19" t="s">
        <v>25</v>
      </c>
      <c r="C10" s="18"/>
      <c r="D10" s="18" t="n">
        <v>52</v>
      </c>
      <c r="E10" s="20" t="n">
        <v>76284.33</v>
      </c>
      <c r="F10" s="21" t="n">
        <f aca="false">E10/E$29</f>
        <v>0.17479428867563</v>
      </c>
      <c r="G10" s="22" t="n">
        <f aca="false">E10/D10</f>
        <v>1467.00634615385</v>
      </c>
    </row>
    <row r="11" customFormat="false" ht="15" hidden="false" customHeight="false" outlineLevel="0" collapsed="false">
      <c r="A11" s="10" t="n">
        <v>4</v>
      </c>
      <c r="B11" s="11" t="s">
        <v>56</v>
      </c>
      <c r="C11" s="10"/>
      <c r="D11" s="10" t="n">
        <v>8</v>
      </c>
      <c r="E11" s="12" t="n">
        <v>53259.5</v>
      </c>
      <c r="F11" s="23" t="n">
        <f aca="false">E11/E$29</f>
        <v>0.122036287370155</v>
      </c>
      <c r="G11" s="13" t="n">
        <f aca="false">E11/D11</f>
        <v>6657.4375</v>
      </c>
    </row>
    <row r="12" customFormat="false" ht="15" hidden="false" customHeight="false" outlineLevel="0" collapsed="false">
      <c r="A12" s="5" t="n">
        <v>5</v>
      </c>
      <c r="B12" s="6" t="s">
        <v>54</v>
      </c>
      <c r="C12" s="5"/>
      <c r="D12" s="5" t="n">
        <v>3</v>
      </c>
      <c r="E12" s="7" t="n">
        <v>34858.54</v>
      </c>
      <c r="F12" s="24" t="n">
        <f aca="false">E12/E$29</f>
        <v>0.0798732020530427</v>
      </c>
      <c r="G12" s="8" t="n">
        <f aca="false">E12/D12</f>
        <v>11619.5133333333</v>
      </c>
    </row>
    <row r="13" customFormat="false" ht="15" hidden="false" customHeight="false" outlineLevel="0" collapsed="false">
      <c r="A13" s="10" t="n">
        <v>6</v>
      </c>
      <c r="B13" s="11" t="s">
        <v>74</v>
      </c>
      <c r="C13" s="10"/>
      <c r="D13" s="10" t="n">
        <v>2</v>
      </c>
      <c r="E13" s="12" t="n">
        <v>21294</v>
      </c>
      <c r="F13" s="23" t="n">
        <f aca="false">E13/E$29</f>
        <v>0.0487920596937649</v>
      </c>
      <c r="G13" s="13" t="n">
        <f aca="false">E13/D13</f>
        <v>10647</v>
      </c>
    </row>
    <row r="14" customFormat="false" ht="15" hidden="false" customHeight="false" outlineLevel="0" collapsed="false">
      <c r="A14" s="5" t="n">
        <v>7</v>
      </c>
      <c r="B14" s="6" t="s">
        <v>59</v>
      </c>
      <c r="C14" s="5"/>
      <c r="D14" s="5" t="n">
        <v>5</v>
      </c>
      <c r="E14" s="7" t="n">
        <v>8886</v>
      </c>
      <c r="F14" s="24" t="n">
        <f aca="false">E14/E$29</f>
        <v>0.0203609581308723</v>
      </c>
      <c r="G14" s="8" t="n">
        <f aca="false">E14/D14</f>
        <v>1777.2</v>
      </c>
    </row>
    <row r="15" customFormat="false" ht="15" hidden="false" customHeight="false" outlineLevel="0" collapsed="false">
      <c r="A15" s="10" t="n">
        <v>8</v>
      </c>
      <c r="B15" s="11" t="s">
        <v>89</v>
      </c>
      <c r="C15" s="10"/>
      <c r="D15" s="10" t="n">
        <v>6</v>
      </c>
      <c r="E15" s="12" t="n">
        <v>4652.03</v>
      </c>
      <c r="F15" s="23" t="n">
        <f aca="false">E15/E$29</f>
        <v>0.0106594404741798</v>
      </c>
      <c r="G15" s="13" t="n">
        <f aca="false">E15/D15</f>
        <v>775.338333333334</v>
      </c>
    </row>
    <row r="16" customFormat="false" ht="15" hidden="false" customHeight="false" outlineLevel="0" collapsed="false">
      <c r="A16" s="5" t="n">
        <v>9</v>
      </c>
      <c r="B16" s="6" t="s">
        <v>68</v>
      </c>
      <c r="C16" s="5"/>
      <c r="D16" s="5" t="n">
        <v>5</v>
      </c>
      <c r="E16" s="7" t="n">
        <v>4401</v>
      </c>
      <c r="F16" s="24" t="n">
        <f aca="false">E16/E$29</f>
        <v>0.0100842422613064</v>
      </c>
      <c r="G16" s="8" t="n">
        <f aca="false">E16/D16</f>
        <v>880.2</v>
      </c>
    </row>
    <row r="17" customFormat="false" ht="15" hidden="false" customHeight="false" outlineLevel="0" collapsed="false">
      <c r="A17" s="10" t="n">
        <v>10</v>
      </c>
      <c r="B17" s="11" t="s">
        <v>60</v>
      </c>
      <c r="C17" s="10"/>
      <c r="D17" s="10" t="n">
        <v>4</v>
      </c>
      <c r="E17" s="12" t="n">
        <v>3386</v>
      </c>
      <c r="F17" s="23" t="n">
        <f aca="false">E17/E$29</f>
        <v>0.00775851949483835</v>
      </c>
      <c r="G17" s="13" t="n">
        <f aca="false">E17/D17</f>
        <v>846.5</v>
      </c>
    </row>
    <row r="18" customFormat="false" ht="15" hidden="false" customHeight="false" outlineLevel="0" collapsed="false">
      <c r="A18" s="5" t="n">
        <v>11</v>
      </c>
      <c r="B18" s="6" t="s">
        <v>83</v>
      </c>
      <c r="C18" s="5"/>
      <c r="D18" s="5" t="n">
        <v>4</v>
      </c>
      <c r="E18" s="7" t="n">
        <v>1442.8</v>
      </c>
      <c r="F18" s="24" t="n">
        <f aca="false">E18/E$29</f>
        <v>0.0033059633571036</v>
      </c>
      <c r="G18" s="8" t="n">
        <f aca="false">E18/D18</f>
        <v>360.7</v>
      </c>
    </row>
    <row r="19" customFormat="false" ht="15" hidden="false" customHeight="false" outlineLevel="0" collapsed="false">
      <c r="A19" s="10" t="n">
        <v>12</v>
      </c>
      <c r="B19" s="11" t="s">
        <v>67</v>
      </c>
      <c r="C19" s="10"/>
      <c r="D19" s="10" t="n">
        <v>5</v>
      </c>
      <c r="E19" s="12" t="n">
        <v>1311.2</v>
      </c>
      <c r="F19" s="23" t="n">
        <f aca="false">E19/E$29</f>
        <v>0.00300442137083049</v>
      </c>
      <c r="G19" s="13" t="n">
        <f aca="false">E19/D19</f>
        <v>262.24</v>
      </c>
    </row>
    <row r="20" customFormat="false" ht="15" hidden="false" customHeight="false" outlineLevel="0" collapsed="false">
      <c r="A20" s="5" t="n">
        <v>13</v>
      </c>
      <c r="B20" s="6" t="s">
        <v>79</v>
      </c>
      <c r="C20" s="5"/>
      <c r="D20" s="5" t="n">
        <v>3</v>
      </c>
      <c r="E20" s="7" t="n">
        <v>1290.12</v>
      </c>
      <c r="F20" s="24" t="n">
        <f aca="false">E20/E$29</f>
        <v>0.00295611966056729</v>
      </c>
      <c r="G20" s="8" t="n">
        <f aca="false">E20/D20</f>
        <v>430.04</v>
      </c>
    </row>
    <row r="21" customFormat="false" ht="15" hidden="false" customHeight="false" outlineLevel="0" collapsed="false">
      <c r="A21" s="10" t="n">
        <v>14</v>
      </c>
      <c r="B21" s="11" t="s">
        <v>32</v>
      </c>
      <c r="C21" s="10"/>
      <c r="D21" s="10" t="n">
        <v>4</v>
      </c>
      <c r="E21" s="12" t="n">
        <v>1260.54</v>
      </c>
      <c r="F21" s="23" t="n">
        <f aca="false">E21/E$29</f>
        <v>0.00288834145423022</v>
      </c>
      <c r="G21" s="13" t="n">
        <f aca="false">E21/D21</f>
        <v>315.135</v>
      </c>
    </row>
    <row r="22" customFormat="false" ht="15" hidden="false" customHeight="false" outlineLevel="0" collapsed="false">
      <c r="A22" s="5" t="n">
        <v>15</v>
      </c>
      <c r="B22" s="6" t="s">
        <v>86</v>
      </c>
      <c r="C22" s="5"/>
      <c r="D22" s="5" t="n">
        <v>3</v>
      </c>
      <c r="E22" s="7" t="n">
        <v>891.82</v>
      </c>
      <c r="F22" s="24" t="n">
        <f aca="false">E22/E$29</f>
        <v>0.00204347396807051</v>
      </c>
      <c r="G22" s="8" t="n">
        <f aca="false">E22/D22</f>
        <v>297.273333333333</v>
      </c>
    </row>
    <row r="23" customFormat="false" ht="15" hidden="false" customHeight="false" outlineLevel="0" collapsed="false">
      <c r="A23" s="10" t="n">
        <v>16</v>
      </c>
      <c r="B23" s="11" t="s">
        <v>111</v>
      </c>
      <c r="C23" s="10"/>
      <c r="D23" s="10" t="n">
        <v>3</v>
      </c>
      <c r="E23" s="12" t="n">
        <v>759.6</v>
      </c>
      <c r="F23" s="23" t="n">
        <f aca="false">E23/E$29</f>
        <v>0.00174051134326025</v>
      </c>
      <c r="G23" s="13" t="n">
        <f aca="false">E23/D23</f>
        <v>253.2</v>
      </c>
    </row>
    <row r="24" customFormat="false" ht="15" hidden="false" customHeight="false" outlineLevel="0" collapsed="false">
      <c r="A24" s="5" t="n">
        <v>17</v>
      </c>
      <c r="B24" s="6" t="s">
        <v>78</v>
      </c>
      <c r="C24" s="5"/>
      <c r="D24" s="5" t="n">
        <v>4</v>
      </c>
      <c r="E24" s="7" t="n">
        <v>725.12</v>
      </c>
      <c r="F24" s="24" t="n">
        <f aca="false">E24/E$29</f>
        <v>0.00166150550977472</v>
      </c>
      <c r="G24" s="8" t="n">
        <f aca="false">E24/D24</f>
        <v>181.28</v>
      </c>
    </row>
    <row r="25" customFormat="false" ht="15" hidden="false" customHeight="false" outlineLevel="0" collapsed="false">
      <c r="A25" s="10" t="n">
        <v>18</v>
      </c>
      <c r="B25" s="11" t="s">
        <v>81</v>
      </c>
      <c r="C25" s="10"/>
      <c r="D25" s="10" t="n">
        <v>2</v>
      </c>
      <c r="E25" s="12" t="n">
        <v>713.58</v>
      </c>
      <c r="F25" s="23" t="n">
        <f aca="false">E25/E$29</f>
        <v>0.00163506330216384</v>
      </c>
      <c r="G25" s="13" t="n">
        <f aca="false">E25/D25</f>
        <v>356.79</v>
      </c>
    </row>
    <row r="26" customFormat="false" ht="15" hidden="false" customHeight="false" outlineLevel="0" collapsed="false">
      <c r="A26" s="5" t="n">
        <v>19</v>
      </c>
      <c r="B26" s="6" t="s">
        <v>114</v>
      </c>
      <c r="C26" s="5"/>
      <c r="D26" s="5" t="n">
        <v>2</v>
      </c>
      <c r="E26" s="7" t="n">
        <v>576.57</v>
      </c>
      <c r="F26" s="24" t="n">
        <f aca="false">E26/E$29</f>
        <v>0.00132112509897783</v>
      </c>
      <c r="G26" s="8" t="n">
        <f aca="false">E26/D26</f>
        <v>288.285</v>
      </c>
    </row>
    <row r="27" customFormat="false" ht="15" hidden="false" customHeight="false" outlineLevel="0" collapsed="false">
      <c r="A27" s="10" t="n">
        <v>20</v>
      </c>
      <c r="B27" s="11" t="s">
        <v>20</v>
      </c>
      <c r="C27" s="10"/>
      <c r="D27" s="10" t="n">
        <v>5</v>
      </c>
      <c r="E27" s="12" t="n">
        <v>202.75</v>
      </c>
      <c r="F27" s="23" t="n">
        <f aca="false">E27/E$29</f>
        <v>0.000464571715173797</v>
      </c>
      <c r="G27" s="13" t="n">
        <f aca="false">E27/D27</f>
        <v>40.55</v>
      </c>
    </row>
    <row r="28" customFormat="false" ht="15" hidden="false" customHeight="false" outlineLevel="0" collapsed="false">
      <c r="A28" s="5" t="n">
        <v>21</v>
      </c>
      <c r="B28" s="6" t="s">
        <v>109</v>
      </c>
      <c r="C28" s="5"/>
      <c r="D28" s="5" t="n">
        <v>1</v>
      </c>
      <c r="E28" s="7" t="n">
        <v>100</v>
      </c>
      <c r="F28" s="24" t="n">
        <f aca="false">E28/E$29</f>
        <v>0.00022913524792789</v>
      </c>
      <c r="G28" s="8" t="n">
        <f aca="false">E28/D28</f>
        <v>100</v>
      </c>
    </row>
    <row r="29" customFormat="false" ht="15" hidden="false" customHeight="false" outlineLevel="0" collapsed="false">
      <c r="A29" s="17"/>
      <c r="B29" s="15" t="s">
        <v>43</v>
      </c>
      <c r="C29" s="17"/>
      <c r="D29" s="15" t="n">
        <f aca="false">SUM(D8:D28)</f>
        <v>280</v>
      </c>
      <c r="E29" s="16" t="n">
        <f aca="false">SUM(E8:E28)</f>
        <v>436423.47</v>
      </c>
      <c r="F29" s="25" t="n">
        <f aca="false">SUM(F8:F28)</f>
        <v>1</v>
      </c>
      <c r="G29" s="16" t="n">
        <f aca="false">E29/D29</f>
        <v>1558.65525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6</v>
      </c>
      <c r="B3" s="0" t="n">
        <v>13</v>
      </c>
    </row>
    <row r="4" customFormat="false" ht="15" hidden="false" customHeight="false" outlineLevel="0" collapsed="false">
      <c r="A4" s="2" t="s">
        <v>7</v>
      </c>
      <c r="B4" s="0" t="n">
        <v>63</v>
      </c>
    </row>
    <row r="5" customFormat="false" ht="15" hidden="false" customHeight="false" outlineLevel="0" collapsed="false">
      <c r="A5" s="2" t="s">
        <v>3</v>
      </c>
      <c r="B5" s="28" t="n">
        <v>61647.65</v>
      </c>
    </row>
    <row r="7" customFormat="false" ht="19.5" hidden="false" customHeight="true" outlineLevel="0" collapsed="false">
      <c r="A7" s="4" t="s">
        <v>46</v>
      </c>
      <c r="B7" s="4" t="s">
        <v>47</v>
      </c>
      <c r="C7" s="4" t="s">
        <v>126</v>
      </c>
      <c r="D7" s="4" t="s">
        <v>7</v>
      </c>
      <c r="E7" s="4" t="s">
        <v>49</v>
      </c>
      <c r="F7" s="4" t="s">
        <v>127</v>
      </c>
      <c r="G7" s="4" t="s">
        <v>8</v>
      </c>
    </row>
    <row r="8" customFormat="false" ht="15" hidden="false" customHeight="false" outlineLevel="0" collapsed="false">
      <c r="A8" s="18" t="n">
        <v>1</v>
      </c>
      <c r="B8" s="19" t="s">
        <v>32</v>
      </c>
      <c r="C8" s="18"/>
      <c r="D8" s="18" t="n">
        <v>22</v>
      </c>
      <c r="E8" s="20" t="n">
        <v>23840.61</v>
      </c>
      <c r="F8" s="21" t="n">
        <f aca="false">E8/E$21</f>
        <v>0.386723743727458</v>
      </c>
      <c r="G8" s="22" t="n">
        <f aca="false">E8/D8</f>
        <v>1083.66409090909</v>
      </c>
    </row>
    <row r="9" customFormat="false" ht="15" hidden="false" customHeight="false" outlineLevel="0" collapsed="false">
      <c r="A9" s="18" t="n">
        <v>2</v>
      </c>
      <c r="B9" s="19" t="s">
        <v>57</v>
      </c>
      <c r="C9" s="18"/>
      <c r="D9" s="18" t="n">
        <v>13</v>
      </c>
      <c r="E9" s="20" t="n">
        <v>17213.91</v>
      </c>
      <c r="F9" s="21" t="n">
        <f aca="false">E9/E$21</f>
        <v>0.279230595164617</v>
      </c>
      <c r="G9" s="22" t="n">
        <f aca="false">E9/D9</f>
        <v>1324.14692307692</v>
      </c>
    </row>
    <row r="10" customFormat="false" ht="15" hidden="false" customHeight="false" outlineLevel="0" collapsed="false">
      <c r="A10" s="18" t="n">
        <v>3</v>
      </c>
      <c r="B10" s="19" t="s">
        <v>13</v>
      </c>
      <c r="C10" s="18"/>
      <c r="D10" s="18" t="n">
        <v>14</v>
      </c>
      <c r="E10" s="20" t="n">
        <v>10598.72</v>
      </c>
      <c r="F10" s="21" t="n">
        <f aca="false">E10/E$21</f>
        <v>0.171924152826588</v>
      </c>
      <c r="G10" s="22" t="n">
        <f aca="false">E10/D10</f>
        <v>757.051428571429</v>
      </c>
    </row>
    <row r="11" customFormat="false" ht="15" hidden="false" customHeight="false" outlineLevel="0" collapsed="false">
      <c r="A11" s="10" t="n">
        <v>4</v>
      </c>
      <c r="B11" s="11" t="s">
        <v>56</v>
      </c>
      <c r="C11" s="10"/>
      <c r="D11" s="10" t="n">
        <v>2</v>
      </c>
      <c r="E11" s="12" t="n">
        <v>4756.5</v>
      </c>
      <c r="F11" s="23" t="n">
        <f aca="false">E11/E$21</f>
        <v>0.0771562257442092</v>
      </c>
      <c r="G11" s="13" t="n">
        <f aca="false">E11/D11</f>
        <v>2378.25</v>
      </c>
    </row>
    <row r="12" customFormat="false" ht="15" hidden="false" customHeight="false" outlineLevel="0" collapsed="false">
      <c r="A12" s="5" t="n">
        <v>5</v>
      </c>
      <c r="B12" s="6" t="s">
        <v>59</v>
      </c>
      <c r="C12" s="5"/>
      <c r="D12" s="5" t="n">
        <v>2</v>
      </c>
      <c r="E12" s="7" t="n">
        <v>1583</v>
      </c>
      <c r="F12" s="24" t="n">
        <f aca="false">E12/E$21</f>
        <v>0.0256781888685132</v>
      </c>
      <c r="G12" s="8" t="n">
        <f aca="false">E12/D12</f>
        <v>791.5</v>
      </c>
    </row>
    <row r="13" customFormat="false" ht="15" hidden="false" customHeight="false" outlineLevel="0" collapsed="false">
      <c r="A13" s="10" t="n">
        <v>6</v>
      </c>
      <c r="B13" s="11" t="s">
        <v>60</v>
      </c>
      <c r="C13" s="10"/>
      <c r="D13" s="10" t="n">
        <v>1</v>
      </c>
      <c r="E13" s="12" t="n">
        <v>829</v>
      </c>
      <c r="F13" s="23" t="n">
        <f aca="false">E13/E$21</f>
        <v>0.0134473901276042</v>
      </c>
      <c r="G13" s="13" t="n">
        <f aca="false">E13/D13</f>
        <v>829</v>
      </c>
    </row>
    <row r="14" customFormat="false" ht="15" hidden="false" customHeight="false" outlineLevel="0" collapsed="false">
      <c r="A14" s="5" t="n">
        <v>7</v>
      </c>
      <c r="B14" s="6" t="s">
        <v>25</v>
      </c>
      <c r="C14" s="5"/>
      <c r="D14" s="5" t="n">
        <v>1</v>
      </c>
      <c r="E14" s="7" t="n">
        <v>665.76</v>
      </c>
      <c r="F14" s="24" t="n">
        <f aca="false">E14/E$21</f>
        <v>0.0107994384214159</v>
      </c>
      <c r="G14" s="8" t="n">
        <f aca="false">E14/D14</f>
        <v>665.76</v>
      </c>
    </row>
    <row r="15" customFormat="false" ht="15" hidden="false" customHeight="false" outlineLevel="0" collapsed="false">
      <c r="A15" s="10" t="n">
        <v>8</v>
      </c>
      <c r="B15" s="11" t="s">
        <v>94</v>
      </c>
      <c r="C15" s="10"/>
      <c r="D15" s="10" t="n">
        <v>1</v>
      </c>
      <c r="E15" s="12" t="n">
        <v>545</v>
      </c>
      <c r="F15" s="23" t="n">
        <f aca="false">E15/E$21</f>
        <v>0.00884056407665175</v>
      </c>
      <c r="G15" s="13" t="n">
        <f aca="false">E15/D15</f>
        <v>545</v>
      </c>
    </row>
    <row r="16" customFormat="false" ht="15" hidden="false" customHeight="false" outlineLevel="0" collapsed="false">
      <c r="A16" s="5" t="n">
        <v>9</v>
      </c>
      <c r="B16" s="6" t="s">
        <v>79</v>
      </c>
      <c r="C16" s="5"/>
      <c r="D16" s="5" t="n">
        <v>1</v>
      </c>
      <c r="E16" s="7" t="n">
        <v>531.44</v>
      </c>
      <c r="F16" s="24" t="n">
        <f aca="false">E16/E$21</f>
        <v>0.00862060435393726</v>
      </c>
      <c r="G16" s="8" t="n">
        <f aca="false">E16/D16</f>
        <v>531.44</v>
      </c>
    </row>
    <row r="17" customFormat="false" ht="15" hidden="false" customHeight="false" outlineLevel="0" collapsed="false">
      <c r="A17" s="10" t="n">
        <v>10</v>
      </c>
      <c r="B17" s="11" t="s">
        <v>20</v>
      </c>
      <c r="C17" s="10"/>
      <c r="D17" s="10" t="n">
        <v>3</v>
      </c>
      <c r="E17" s="12" t="n">
        <v>435.54</v>
      </c>
      <c r="F17" s="23" t="n">
        <f aca="false">E17/E$21</f>
        <v>0.00706498950081633</v>
      </c>
      <c r="G17" s="13" t="n">
        <f aca="false">E17/D17</f>
        <v>145.18</v>
      </c>
    </row>
    <row r="18" customFormat="false" ht="15" hidden="false" customHeight="false" outlineLevel="0" collapsed="false">
      <c r="A18" s="5" t="n">
        <v>11</v>
      </c>
      <c r="B18" s="6" t="s">
        <v>98</v>
      </c>
      <c r="C18" s="5"/>
      <c r="D18" s="5" t="n">
        <v>1</v>
      </c>
      <c r="E18" s="7" t="n">
        <v>405</v>
      </c>
      <c r="F18" s="24" t="n">
        <f aca="false">E18/E$21</f>
        <v>0.00656959348815405</v>
      </c>
      <c r="G18" s="8" t="n">
        <f aca="false">E18/D18</f>
        <v>405</v>
      </c>
    </row>
    <row r="19" customFormat="false" ht="15" hidden="false" customHeight="false" outlineLevel="0" collapsed="false">
      <c r="A19" s="10" t="n">
        <v>12</v>
      </c>
      <c r="B19" s="11" t="s">
        <v>118</v>
      </c>
      <c r="C19" s="10"/>
      <c r="D19" s="10" t="n">
        <v>1</v>
      </c>
      <c r="E19" s="12" t="n">
        <v>143.8</v>
      </c>
      <c r="F19" s="23" t="n">
        <f aca="false">E19/E$21</f>
        <v>0.00233261121875692</v>
      </c>
      <c r="G19" s="13" t="n">
        <f aca="false">E19/D19</f>
        <v>143.8</v>
      </c>
    </row>
    <row r="20" customFormat="false" ht="15" hidden="false" customHeight="false" outlineLevel="0" collapsed="false">
      <c r="A20" s="5" t="n">
        <v>13</v>
      </c>
      <c r="B20" s="6" t="s">
        <v>67</v>
      </c>
      <c r="C20" s="5"/>
      <c r="D20" s="5" t="n">
        <v>1</v>
      </c>
      <c r="E20" s="7" t="n">
        <v>99.37</v>
      </c>
      <c r="F20" s="24" t="n">
        <f aca="false">E20/E$21</f>
        <v>0.00161190248127869</v>
      </c>
      <c r="G20" s="8" t="n">
        <f aca="false">E20/D20</f>
        <v>99.37</v>
      </c>
    </row>
    <row r="21" customFormat="false" ht="15" hidden="false" customHeight="false" outlineLevel="0" collapsed="false">
      <c r="A21" s="17"/>
      <c r="B21" s="15" t="s">
        <v>43</v>
      </c>
      <c r="C21" s="17"/>
      <c r="D21" s="15" t="n">
        <f aca="false">SUM(D8:D20)</f>
        <v>63</v>
      </c>
      <c r="E21" s="16" t="n">
        <f aca="false">SUM(E8:E20)</f>
        <v>61647.65</v>
      </c>
      <c r="F21" s="25" t="n">
        <f aca="false">SUM(F8:F20)</f>
        <v>1</v>
      </c>
      <c r="G21" s="16" t="n">
        <f aca="false">E21/D21</f>
        <v>978.534126984127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2026-04-10T14:06:28Z</dcterms:created>
  <dc:creator>openpyxl</dc:creator>
  <dc:description/>
  <dc:language>en-US</dc:language>
  <cp:lastModifiedBy/>
  <dcterms:modified xsi:type="dcterms:W3CDTF">2026-04-10T14:06:28Z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