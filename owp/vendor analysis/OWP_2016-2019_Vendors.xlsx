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2016 Vendors" sheetId="2" state="visible" r:id="rId4"/>
    <sheet name="2017 Vendors" sheetId="3" state="visible" r:id="rId5"/>
    <sheet name="2018 Vendors" sheetId="4" state="visible" r:id="rId6"/>
    <sheet name="2019 Vendors" sheetId="5" state="visible" r:id="rId7"/>
    <sheet name="Cross-Job Matri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<sst xmlns="http://schemas.openxmlformats.org/spreadsheetml/2006/main" count="217" uniqueCount="66">
  <si>
    <t xml:space="preserve">OWP Vendor Summary — Jobs 2016–2019</t>
  </si>
  <si>
    <t xml:space="preserve">Scope</t>
  </si>
  <si>
    <t xml:space="preserve">4 jobs, Sep 2013 – Jul 2016 — all AP vendor activity from Sage Timberline JDR exports</t>
  </si>
  <si>
    <t xml:space="preserve">Source</t>
  </si>
  <si>
    <t xml:space="preserve">Job Detail Reports (canonical AP vendor summary, parsed via parse_jdr)</t>
  </si>
  <si>
    <t xml:space="preserve">Job #</t>
  </si>
  <si>
    <t xml:space="preserve">Project</t>
  </si>
  <si>
    <t xml:space="preserve">Vendors</t>
  </si>
  <si>
    <t xml:space="preserve">Invoices</t>
  </si>
  <si>
    <t xml:space="preserve">Total AP</t>
  </si>
  <si>
    <t xml:space="preserve">Avg / Invoice</t>
  </si>
  <si>
    <t xml:space="preserve">2016</t>
  </si>
  <si>
    <t xml:space="preserve">Exxel Pacific Alley24 Lofts</t>
  </si>
  <si>
    <t xml:space="preserve">2017</t>
  </si>
  <si>
    <t xml:space="preserve">Exxel Pacific 3636 Stone Way Apartments</t>
  </si>
  <si>
    <t xml:space="preserve">2018</t>
  </si>
  <si>
    <t xml:space="preserve">SRM Astro Apartments</t>
  </si>
  <si>
    <t xml:space="preserve">2019</t>
  </si>
  <si>
    <t xml:space="preserve">Exxel Pacific 8th &amp; Republican Apartments</t>
  </si>
  <si>
    <t xml:space="preserve">TOTAL</t>
  </si>
  <si>
    <t xml:space="preserve">All 4 jobs</t>
  </si>
  <si>
    <t xml:space="preserve">Top Vendors — Combined 2016-2019</t>
  </si>
  <si>
    <t xml:space="preserve">Rank</t>
  </si>
  <si>
    <t xml:space="preserve">Vendor</t>
  </si>
  <si>
    <t xml:space="preserve">Jobs</t>
  </si>
  <si>
    <t xml:space="preserve">Total Spend</t>
  </si>
  <si>
    <t xml:space="preserve">% of Total</t>
  </si>
  <si>
    <t xml:space="preserve">Rosen Supply Company, Inc.</t>
  </si>
  <si>
    <t xml:space="preserve">Keller Supply Company</t>
  </si>
  <si>
    <t xml:space="preserve">Consolidated Supply Co.</t>
  </si>
  <si>
    <t xml:space="preserve">Ferguson Enterprises, Inc.</t>
  </si>
  <si>
    <t xml:space="preserve">Franklin Engineering</t>
  </si>
  <si>
    <t xml:space="preserve">Mechanical Sales, Inc.</t>
  </si>
  <si>
    <t xml:space="preserve">Bank of America CC</t>
  </si>
  <si>
    <t xml:space="preserve">Quality Concrete Products, Inc.</t>
  </si>
  <si>
    <t xml:space="preserve">Hudson Bay Insulation</t>
  </si>
  <si>
    <t xml:space="preserve">Capital One Credit Card</t>
  </si>
  <si>
    <t xml:space="preserve">Duraseal, Inc.</t>
  </si>
  <si>
    <t xml:space="preserve">United Rentals, Inc.</t>
  </si>
  <si>
    <t xml:space="preserve">Rosen Supply Kirkland</t>
  </si>
  <si>
    <t xml:space="preserve">Scan2Core, Inc.</t>
  </si>
  <si>
    <t xml:space="preserve">Ferguson Enterprises, Inc. #3007</t>
  </si>
  <si>
    <t xml:space="preserve">Kele, Inc</t>
  </si>
  <si>
    <t xml:space="preserve">Balco Inc</t>
  </si>
  <si>
    <t xml:space="preserve">Manor Hardware &amp; Construction Supply</t>
  </si>
  <si>
    <t xml:space="preserve">MAD Concrete Cutting &amp; Coring, Inc.</t>
  </si>
  <si>
    <t xml:space="preserve">Cascade Restoration Co.</t>
  </si>
  <si>
    <t xml:space="preserve">C.M. Hoskins Company</t>
  </si>
  <si>
    <t xml:space="preserve">Standard Parking</t>
  </si>
  <si>
    <t xml:space="preserve">Core &amp; Main LP</t>
  </si>
  <si>
    <t xml:space="preserve">Fastenal Company</t>
  </si>
  <si>
    <t xml:space="preserve">AllWest Underground, Inc.</t>
  </si>
  <si>
    <t xml:space="preserve">Structural Imaging, LLC</t>
  </si>
  <si>
    <t xml:space="preserve">A.R. Brown Backflow Testing</t>
  </si>
  <si>
    <t xml:space="preserve">R.A. Brown Backflow Testing</t>
  </si>
  <si>
    <t xml:space="preserve">DRSi</t>
  </si>
  <si>
    <t xml:space="preserve">Lotus United, LLC</t>
  </si>
  <si>
    <t xml:space="preserve">ACME Corp</t>
  </si>
  <si>
    <t xml:space="preserve">2016 — Exxel Pacific Alley24 Lofts — Vendor Detail</t>
  </si>
  <si>
    <t xml:space="preserve">Vendor Code</t>
  </si>
  <si>
    <t xml:space="preserve">% of AP</t>
  </si>
  <si>
    <t xml:space="preserve">2017 — Exxel Pacific 3636 Stone Way Apartments — Vendor Detail</t>
  </si>
  <si>
    <t xml:space="preserve">2018 — SRM Astro Apartments — Vendor Detail</t>
  </si>
  <si>
    <t xml:space="preserve">2019 — Exxel Pacific 8th &amp; Republican Apartments — Vendor Detail</t>
  </si>
  <si>
    <t xml:space="preserve">Vendor Spend by Job — Cross-Job Matrix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</si>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</sst>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6" customFormat="false" ht="19.5" hidden="false" customHeight="true" outlineLevel="0" collapsed="false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4" t="n">
        <v>9</v>
      </c>
      <c r="D7" s="4" t="n">
        <v>85</v>
      </c>
      <c r="E7" s="6" t="n">
        <v>106352.55</v>
      </c>
      <c r="F7" s="7" t="n">
        <f aca="false">E7/D7</f>
        <v>1251.20647058824</v>
      </c>
    </row>
    <row r="8" customFormat="false" ht="15" hidden="false" customHeight="false" outlineLevel="0" collapsed="false">
      <c r="A8" s="4" t="s">
        <v>13</v>
      </c>
      <c r="B8" s="5" t="s">
        <v>14</v>
      </c>
      <c r="C8" s="4" t="n">
        <v>20</v>
      </c>
      <c r="D8" s="4" t="n">
        <v>266</v>
      </c>
      <c r="E8" s="6" t="n">
        <v>458376.37</v>
      </c>
      <c r="F8" s="7" t="n">
        <f aca="false">E8/D8</f>
        <v>1723.21943609023</v>
      </c>
    </row>
    <row r="9" customFormat="false" ht="15" hidden="false" customHeight="false" outlineLevel="0" collapsed="false">
      <c r="A9" s="4" t="s">
        <v>15</v>
      </c>
      <c r="B9" s="5" t="s">
        <v>16</v>
      </c>
      <c r="C9" s="4" t="n">
        <v>19</v>
      </c>
      <c r="D9" s="4" t="n">
        <v>301</v>
      </c>
      <c r="E9" s="6" t="n">
        <v>535198.25</v>
      </c>
      <c r="F9" s="7" t="n">
        <f aca="false">E9/D9</f>
        <v>1778.06727574751</v>
      </c>
    </row>
    <row r="10" customFormat="false" ht="15" hidden="false" customHeight="false" outlineLevel="0" collapsed="false">
      <c r="A10" s="4" t="s">
        <v>17</v>
      </c>
      <c r="B10" s="5" t="s">
        <v>18</v>
      </c>
      <c r="C10" s="4" t="n">
        <v>25</v>
      </c>
      <c r="D10" s="4" t="n">
        <v>402</v>
      </c>
      <c r="E10" s="6" t="n">
        <v>766653.25</v>
      </c>
      <c r="F10" s="7" t="n">
        <f aca="false">E10/D10</f>
        <v>1907.09763681592</v>
      </c>
    </row>
    <row r="11" customFormat="false" ht="15" hidden="false" customHeight="false" outlineLevel="0" collapsed="false">
      <c r="A11" s="8" t="s">
        <v>19</v>
      </c>
      <c r="B11" s="9" t="s">
        <v>20</v>
      </c>
      <c r="C11" s="8" t="n">
        <f aca="false">SUM(C7:C10)</f>
        <v>73</v>
      </c>
      <c r="D11" s="8" t="n">
        <f aca="false">SUM(D7:D10)</f>
        <v>1054</v>
      </c>
      <c r="E11" s="10" t="n">
        <f aca="false">SUM(E7:E10)</f>
        <v>1866580.42</v>
      </c>
      <c r="F11" s="10" t="n">
        <f aca="false">E11/D11</f>
        <v>1770.94916508539</v>
      </c>
    </row>
    <row r="14" customFormat="false" ht="15" hidden="false" customHeight="false" outlineLevel="0" collapsed="false">
      <c r="A14" s="2" t="s">
        <v>21</v>
      </c>
    </row>
    <row r="15" customFormat="false" ht="19.5" hidden="false" customHeight="true" outlineLevel="0" collapsed="false">
      <c r="A15" s="3" t="s">
        <v>22</v>
      </c>
      <c r="B15" s="3" t="s">
        <v>23</v>
      </c>
      <c r="C15" s="3" t="s">
        <v>24</v>
      </c>
      <c r="D15" s="3" t="s">
        <v>8</v>
      </c>
      <c r="E15" s="3" t="s">
        <v>25</v>
      </c>
      <c r="F15" s="3" t="s">
        <v>26</v>
      </c>
    </row>
    <row r="16" customFormat="false" ht="15" hidden="false" customHeight="false" outlineLevel="0" collapsed="false">
      <c r="A16" s="4" t="n">
        <v>1</v>
      </c>
      <c r="B16" s="5" t="s">
        <v>27</v>
      </c>
      <c r="C16" s="4" t="n">
        <v>4</v>
      </c>
      <c r="D16" s="4" t="n">
        <v>294</v>
      </c>
      <c r="E16" s="6" t="n">
        <v>586529.52</v>
      </c>
      <c r="F16" s="11" t="n">
        <f aca="false">E16/1866580.42</f>
        <v>0.314226761255751</v>
      </c>
    </row>
    <row r="17" customFormat="false" ht="15" hidden="false" customHeight="false" outlineLevel="0" collapsed="false">
      <c r="A17" s="4" t="n">
        <v>2</v>
      </c>
      <c r="B17" s="5" t="s">
        <v>28</v>
      </c>
      <c r="C17" s="4" t="n">
        <v>4</v>
      </c>
      <c r="D17" s="4" t="n">
        <v>163</v>
      </c>
      <c r="E17" s="6" t="n">
        <v>325865.82</v>
      </c>
      <c r="F17" s="11" t="n">
        <f aca="false">E17/1866580.42</f>
        <v>0.174579041175199</v>
      </c>
    </row>
    <row r="18" customFormat="false" ht="15" hidden="false" customHeight="false" outlineLevel="0" collapsed="false">
      <c r="A18" s="4" t="n">
        <v>3</v>
      </c>
      <c r="B18" s="5" t="s">
        <v>29</v>
      </c>
      <c r="C18" s="4" t="n">
        <v>4</v>
      </c>
      <c r="D18" s="4" t="n">
        <v>157</v>
      </c>
      <c r="E18" s="6" t="n">
        <v>266678.23</v>
      </c>
      <c r="F18" s="11" t="n">
        <f aca="false">E18/1866580.42</f>
        <v>0.142869938601413</v>
      </c>
    </row>
    <row r="19" customFormat="false" ht="15" hidden="false" customHeight="false" outlineLevel="0" collapsed="false">
      <c r="A19" s="4" t="n">
        <v>4</v>
      </c>
      <c r="B19" s="5" t="s">
        <v>30</v>
      </c>
      <c r="C19" s="4" t="n">
        <v>4</v>
      </c>
      <c r="D19" s="4" t="n">
        <v>141</v>
      </c>
      <c r="E19" s="6" t="n">
        <v>256829.02</v>
      </c>
      <c r="F19" s="11" t="n">
        <f aca="false">E19/1866580.42</f>
        <v>0.137593332303357</v>
      </c>
    </row>
    <row r="20" customFormat="false" ht="15" hidden="false" customHeight="false" outlineLevel="0" collapsed="false">
      <c r="A20" s="4" t="n">
        <v>5</v>
      </c>
      <c r="B20" s="5" t="s">
        <v>31</v>
      </c>
      <c r="C20" s="4" t="n">
        <v>3</v>
      </c>
      <c r="D20" s="4" t="n">
        <v>30</v>
      </c>
      <c r="E20" s="6" t="n">
        <v>135680.75</v>
      </c>
      <c r="F20" s="11" t="n">
        <f aca="false">E20/1866580.42</f>
        <v>0.0726894745847597</v>
      </c>
    </row>
    <row r="21" customFormat="false" ht="15" hidden="false" customHeight="false" outlineLevel="0" collapsed="false">
      <c r="A21" s="4" t="n">
        <v>6</v>
      </c>
      <c r="B21" s="5" t="s">
        <v>32</v>
      </c>
      <c r="C21" s="4" t="n">
        <v>4</v>
      </c>
      <c r="D21" s="4" t="n">
        <v>11</v>
      </c>
      <c r="E21" s="6" t="n">
        <v>122063.14</v>
      </c>
      <c r="F21" s="11" t="n">
        <f aca="false">E21/1866580.42</f>
        <v>0.0653939892929982</v>
      </c>
    </row>
    <row r="22" customFormat="false" ht="15" hidden="false" customHeight="false" outlineLevel="0" collapsed="false">
      <c r="A22" s="4" t="n">
        <v>7</v>
      </c>
      <c r="B22" s="5" t="s">
        <v>33</v>
      </c>
      <c r="C22" s="4" t="n">
        <v>4</v>
      </c>
      <c r="D22" s="4" t="n">
        <v>22</v>
      </c>
      <c r="E22" s="6" t="n">
        <v>38829.05</v>
      </c>
      <c r="F22" s="11" t="n">
        <f aca="false">E22/1866580.42</f>
        <v>0.0208022379234001</v>
      </c>
    </row>
    <row r="23" customFormat="false" ht="15" hidden="false" customHeight="false" outlineLevel="0" collapsed="false">
      <c r="A23" s="4" t="n">
        <v>8</v>
      </c>
      <c r="B23" s="5" t="s">
        <v>34</v>
      </c>
      <c r="C23" s="4" t="n">
        <v>3</v>
      </c>
      <c r="D23" s="4" t="n">
        <v>10</v>
      </c>
      <c r="E23" s="6" t="n">
        <v>21259.4</v>
      </c>
      <c r="F23" s="11" t="n">
        <f aca="false">E23/1866580.42</f>
        <v>0.0113894905208531</v>
      </c>
    </row>
    <row r="24" customFormat="false" ht="15" hidden="false" customHeight="false" outlineLevel="0" collapsed="false">
      <c r="A24" s="4" t="n">
        <v>9</v>
      </c>
      <c r="B24" s="5" t="s">
        <v>35</v>
      </c>
      <c r="C24" s="4" t="n">
        <v>1</v>
      </c>
      <c r="D24" s="4" t="n">
        <v>1</v>
      </c>
      <c r="E24" s="6" t="n">
        <v>19963</v>
      </c>
      <c r="F24" s="11" t="n">
        <f aca="false">E24/1866580.42</f>
        <v>0.0106949584309901</v>
      </c>
    </row>
    <row r="25" customFormat="false" ht="15" hidden="false" customHeight="false" outlineLevel="0" collapsed="false">
      <c r="A25" s="4" t="n">
        <v>10</v>
      </c>
      <c r="B25" s="5" t="s">
        <v>36</v>
      </c>
      <c r="C25" s="4" t="n">
        <v>4</v>
      </c>
      <c r="D25" s="4" t="n">
        <v>108</v>
      </c>
      <c r="E25" s="6" t="n">
        <v>19262.83</v>
      </c>
      <c r="F25" s="11" t="n">
        <f aca="false">E25/1866580.42</f>
        <v>0.0103198500282136</v>
      </c>
    </row>
    <row r="26" customFormat="false" ht="15" hidden="false" customHeight="false" outlineLevel="0" collapsed="false">
      <c r="A26" s="4" t="n">
        <v>11</v>
      </c>
      <c r="B26" s="5" t="s">
        <v>37</v>
      </c>
      <c r="C26" s="4" t="n">
        <v>1</v>
      </c>
      <c r="D26" s="4" t="n">
        <v>2</v>
      </c>
      <c r="E26" s="6" t="n">
        <v>12800</v>
      </c>
      <c r="F26" s="11" t="n">
        <f aca="false">E26/1866580.42</f>
        <v>0.00685745969627175</v>
      </c>
    </row>
    <row r="27" customFormat="false" ht="15" hidden="false" customHeight="false" outlineLevel="0" collapsed="false">
      <c r="A27" s="4" t="n">
        <v>12</v>
      </c>
      <c r="B27" s="5" t="s">
        <v>38</v>
      </c>
      <c r="C27" s="4" t="n">
        <v>2</v>
      </c>
      <c r="D27" s="4" t="n">
        <v>22</v>
      </c>
      <c r="E27" s="6" t="n">
        <v>12123.04</v>
      </c>
      <c r="F27" s="11" t="n">
        <f aca="false">E27/1866580.42</f>
        <v>0.00649478579658518</v>
      </c>
    </row>
    <row r="28" customFormat="false" ht="15" hidden="false" customHeight="false" outlineLevel="0" collapsed="false">
      <c r="A28" s="4" t="n">
        <v>13</v>
      </c>
      <c r="B28" s="5" t="s">
        <v>39</v>
      </c>
      <c r="C28" s="4" t="n">
        <v>4</v>
      </c>
      <c r="D28" s="4" t="n">
        <v>17</v>
      </c>
      <c r="E28" s="6" t="n">
        <v>10153.07</v>
      </c>
      <c r="F28" s="11" t="n">
        <f aca="false">E28/1866580.42</f>
        <v>0.00543939596237702</v>
      </c>
    </row>
    <row r="29" customFormat="false" ht="15" hidden="false" customHeight="false" outlineLevel="0" collapsed="false">
      <c r="A29" s="4" t="n">
        <v>14</v>
      </c>
      <c r="B29" s="5" t="s">
        <v>40</v>
      </c>
      <c r="C29" s="4" t="n">
        <v>1</v>
      </c>
      <c r="D29" s="4" t="n">
        <v>7</v>
      </c>
      <c r="E29" s="6" t="n">
        <v>8878</v>
      </c>
      <c r="F29" s="11" t="n">
        <f aca="false">E29/1866580.42</f>
        <v>0.00475629118621099</v>
      </c>
    </row>
    <row r="30" customFormat="false" ht="15" hidden="false" customHeight="false" outlineLevel="0" collapsed="false">
      <c r="A30" s="4" t="n">
        <v>15</v>
      </c>
      <c r="B30" s="5" t="s">
        <v>41</v>
      </c>
      <c r="C30" s="4" t="n">
        <v>3</v>
      </c>
      <c r="D30" s="4" t="n">
        <v>9</v>
      </c>
      <c r="E30" s="6" t="n">
        <v>5758.79</v>
      </c>
      <c r="F30" s="11" t="n">
        <f aca="false">E30/1866580.42</f>
        <v>0.00308520861908538</v>
      </c>
    </row>
    <row r="31" customFormat="false" ht="15" hidden="false" customHeight="false" outlineLevel="0" collapsed="false">
      <c r="A31" s="4" t="n">
        <v>16</v>
      </c>
      <c r="B31" s="5" t="s">
        <v>42</v>
      </c>
      <c r="C31" s="4" t="n">
        <v>3</v>
      </c>
      <c r="D31" s="4" t="n">
        <v>10</v>
      </c>
      <c r="E31" s="6" t="n">
        <v>4652.84</v>
      </c>
      <c r="F31" s="11" t="n">
        <f aca="false">E31/1866580.42</f>
        <v>0.00249270802915633</v>
      </c>
    </row>
    <row r="32" customFormat="false" ht="15" hidden="false" customHeight="false" outlineLevel="0" collapsed="false">
      <c r="A32" s="4" t="n">
        <v>17</v>
      </c>
      <c r="B32" s="5" t="s">
        <v>43</v>
      </c>
      <c r="C32" s="4" t="n">
        <v>1</v>
      </c>
      <c r="D32" s="4" t="n">
        <v>1</v>
      </c>
      <c r="E32" s="6" t="n">
        <v>3908</v>
      </c>
      <c r="F32" s="11" t="n">
        <f aca="false">E32/1866580.42</f>
        <v>0.00209366816351797</v>
      </c>
    </row>
    <row r="33" customFormat="false" ht="15" hidden="false" customHeight="false" outlineLevel="0" collapsed="false">
      <c r="A33" s="4" t="n">
        <v>18</v>
      </c>
      <c r="B33" s="5" t="s">
        <v>44</v>
      </c>
      <c r="C33" s="4" t="n">
        <v>2</v>
      </c>
      <c r="D33" s="4" t="n">
        <v>4</v>
      </c>
      <c r="E33" s="6" t="n">
        <v>2555</v>
      </c>
      <c r="F33" s="11" t="n">
        <f aca="false">E33/1866580.42</f>
        <v>0.00136881324406049</v>
      </c>
    </row>
    <row r="34" customFormat="false" ht="15" hidden="false" customHeight="false" outlineLevel="0" collapsed="false">
      <c r="A34" s="4" t="n">
        <v>19</v>
      </c>
      <c r="B34" s="5" t="s">
        <v>45</v>
      </c>
      <c r="C34" s="4" t="n">
        <v>2</v>
      </c>
      <c r="D34" s="4" t="n">
        <v>2</v>
      </c>
      <c r="E34" s="6" t="n">
        <v>2275</v>
      </c>
      <c r="F34" s="11" t="n">
        <f aca="false">E34/1866580.42</f>
        <v>0.00121880631320455</v>
      </c>
    </row>
    <row r="35" customFormat="false" ht="15" hidden="false" customHeight="false" outlineLevel="0" collapsed="false">
      <c r="A35" s="4" t="n">
        <v>20</v>
      </c>
      <c r="B35" s="5" t="s">
        <v>46</v>
      </c>
      <c r="C35" s="4" t="n">
        <v>1</v>
      </c>
      <c r="D35" s="4" t="n">
        <v>2</v>
      </c>
      <c r="E35" s="6" t="n">
        <v>2140</v>
      </c>
      <c r="F35" s="11" t="n">
        <f aca="false">E35/1866580.42</f>
        <v>0.00114648154297043</v>
      </c>
    </row>
    <row r="36" customFormat="false" ht="15" hidden="false" customHeight="false" outlineLevel="0" collapsed="false">
      <c r="A36" s="4" t="n">
        <v>21</v>
      </c>
      <c r="B36" s="5" t="s">
        <v>47</v>
      </c>
      <c r="C36" s="4" t="n">
        <v>3</v>
      </c>
      <c r="D36" s="4" t="n">
        <v>9</v>
      </c>
      <c r="E36" s="6" t="n">
        <v>1964.67</v>
      </c>
      <c r="F36" s="11" t="n">
        <f aca="false">E36/1866580.42</f>
        <v>0.00105255041730267</v>
      </c>
    </row>
    <row r="37" customFormat="false" ht="15" hidden="false" customHeight="false" outlineLevel="0" collapsed="false">
      <c r="A37" s="4" t="n">
        <v>22</v>
      </c>
      <c r="B37" s="5" t="s">
        <v>48</v>
      </c>
      <c r="C37" s="4" t="n">
        <v>1</v>
      </c>
      <c r="D37" s="4" t="n">
        <v>3</v>
      </c>
      <c r="E37" s="6" t="n">
        <v>1526.25</v>
      </c>
      <c r="F37" s="11" t="n">
        <f aca="false">E37/1866580.42</f>
        <v>0.000817671707924591</v>
      </c>
    </row>
    <row r="38" customFormat="false" ht="15" hidden="false" customHeight="false" outlineLevel="0" collapsed="false">
      <c r="A38" s="4" t="n">
        <v>23</v>
      </c>
      <c r="B38" s="5" t="s">
        <v>49</v>
      </c>
      <c r="C38" s="4" t="n">
        <v>2</v>
      </c>
      <c r="D38" s="4" t="n">
        <v>3</v>
      </c>
      <c r="E38" s="6" t="n">
        <v>1163.54</v>
      </c>
      <c r="F38" s="11" t="n">
        <f aca="false">E38/1866580.42</f>
        <v>0.000623353801171878</v>
      </c>
    </row>
    <row r="39" customFormat="false" ht="15" hidden="false" customHeight="false" outlineLevel="0" collapsed="false">
      <c r="A39" s="4" t="n">
        <v>24</v>
      </c>
      <c r="B39" s="5" t="s">
        <v>50</v>
      </c>
      <c r="C39" s="4" t="n">
        <v>3</v>
      </c>
      <c r="D39" s="4" t="n">
        <v>12</v>
      </c>
      <c r="E39" s="6" t="n">
        <v>982.81</v>
      </c>
      <c r="F39" s="11" t="n">
        <f aca="false">E39/1866580.42</f>
        <v>0.000526529684694753</v>
      </c>
    </row>
    <row r="40" customFormat="false" ht="15" hidden="false" customHeight="false" outlineLevel="0" collapsed="false">
      <c r="A40" s="4" t="n">
        <v>25</v>
      </c>
      <c r="B40" s="5" t="s">
        <v>51</v>
      </c>
      <c r="C40" s="4" t="n">
        <v>1</v>
      </c>
      <c r="D40" s="4" t="n">
        <v>1</v>
      </c>
      <c r="E40" s="6" t="n">
        <v>671.5</v>
      </c>
      <c r="F40" s="11" t="n">
        <f aca="false">E40/1866580.42</f>
        <v>0.000359748764534881</v>
      </c>
    </row>
    <row r="41" customFormat="false" ht="15" hidden="false" customHeight="false" outlineLevel="0" collapsed="false">
      <c r="A41" s="4" t="n">
        <v>26</v>
      </c>
      <c r="B41" s="5" t="s">
        <v>52</v>
      </c>
      <c r="C41" s="4" t="n">
        <v>1</v>
      </c>
      <c r="D41" s="4" t="n">
        <v>1</v>
      </c>
      <c r="E41" s="6" t="n">
        <v>500</v>
      </c>
      <c r="F41" s="11" t="n">
        <f aca="false">E41/1866580.42</f>
        <v>0.000267869519385615</v>
      </c>
    </row>
    <row r="42" customFormat="false" ht="15" hidden="false" customHeight="false" outlineLevel="0" collapsed="false">
      <c r="A42" s="4" t="n">
        <v>27</v>
      </c>
      <c r="B42" s="5" t="s">
        <v>53</v>
      </c>
      <c r="C42" s="4" t="n">
        <v>1</v>
      </c>
      <c r="D42" s="4" t="n">
        <v>3</v>
      </c>
      <c r="E42" s="6" t="n">
        <v>470.35</v>
      </c>
      <c r="F42" s="11" t="n">
        <f aca="false">E42/1866580.42</f>
        <v>0.000251984856886048</v>
      </c>
    </row>
    <row r="43" customFormat="false" ht="15" hidden="false" customHeight="false" outlineLevel="0" collapsed="false">
      <c r="A43" s="4" t="n">
        <v>28</v>
      </c>
      <c r="B43" s="5" t="s">
        <v>54</v>
      </c>
      <c r="C43" s="4" t="n">
        <v>3</v>
      </c>
      <c r="D43" s="4" t="n">
        <v>4</v>
      </c>
      <c r="E43" s="6" t="n">
        <v>436.7</v>
      </c>
      <c r="F43" s="11" t="n">
        <f aca="false">E43/1866580.42</f>
        <v>0.000233957238231396</v>
      </c>
    </row>
    <row r="44" customFormat="false" ht="15" hidden="false" customHeight="false" outlineLevel="0" collapsed="false">
      <c r="A44" s="4" t="n">
        <v>29</v>
      </c>
      <c r="B44" s="5" t="s">
        <v>55</v>
      </c>
      <c r="C44" s="4" t="n">
        <v>1</v>
      </c>
      <c r="D44" s="4" t="n">
        <v>2</v>
      </c>
      <c r="E44" s="6" t="n">
        <v>354.99</v>
      </c>
      <c r="F44" s="11" t="n">
        <f aca="false">E44/1866580.42</f>
        <v>0.000190182001373399</v>
      </c>
    </row>
    <row r="45" customFormat="false" ht="15" hidden="false" customHeight="false" outlineLevel="0" collapsed="false">
      <c r="A45" s="4" t="n">
        <v>30</v>
      </c>
      <c r="B45" s="5" t="s">
        <v>56</v>
      </c>
      <c r="C45" s="4" t="n">
        <v>1</v>
      </c>
      <c r="D45" s="4" t="n">
        <v>1</v>
      </c>
      <c r="E45" s="6" t="n">
        <v>155</v>
      </c>
      <c r="F45" s="11" t="n">
        <f aca="false">E45/1866580.42</f>
        <v>8.30395510095408E-005</v>
      </c>
    </row>
    <row r="46" customFormat="false" ht="15" hidden="false" customHeight="false" outlineLevel="0" collapsed="false">
      <c r="A46" s="4" t="n">
        <v>31</v>
      </c>
      <c r="B46" s="5" t="s">
        <v>57</v>
      </c>
      <c r="C46" s="4" t="n">
        <v>1</v>
      </c>
      <c r="D46" s="4" t="n">
        <v>2</v>
      </c>
      <c r="E46" s="6" t="n">
        <v>150.11</v>
      </c>
      <c r="F46" s="11" t="n">
        <f aca="false">E46/1866580.42</f>
        <v>8.04197871099495E-005</v>
      </c>
    </row>
    <row r="47" customFormat="false" ht="15" hidden="false" customHeight="false" outlineLevel="0" collapsed="false">
      <c r="A47" s="12"/>
      <c r="B47" s="13" t="s">
        <v>19</v>
      </c>
      <c r="C47" s="12"/>
      <c r="D47" s="13" t="n">
        <f aca="false">SUM(D16:D46)</f>
        <v>1054</v>
      </c>
      <c r="E47" s="14" t="n">
        <f aca="false">SUM(E16:E46)</f>
        <v>1866580.42</v>
      </c>
      <c r="F47" s="15" t="n">
        <f aca="false">SUM(F16:F46)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7</v>
      </c>
      <c r="B3" s="0" t="n">
        <v>9</v>
      </c>
    </row>
    <row r="4" customFormat="false" ht="15" hidden="false" customHeight="false" outlineLevel="0" collapsed="false">
      <c r="A4" s="2" t="s">
        <v>8</v>
      </c>
      <c r="B4" s="0" t="n">
        <v>85</v>
      </c>
    </row>
    <row r="5" customFormat="false" ht="15" hidden="false" customHeight="false" outlineLevel="0" collapsed="false">
      <c r="A5" s="2" t="s">
        <v>9</v>
      </c>
      <c r="B5" s="16" t="n">
        <v>106352.55</v>
      </c>
    </row>
    <row r="7" customFormat="false" ht="19.5" hidden="false" customHeight="true" outlineLevel="0" collapsed="false">
      <c r="A7" s="3" t="s">
        <v>22</v>
      </c>
      <c r="B7" s="3" t="s">
        <v>23</v>
      </c>
      <c r="C7" s="3" t="s">
        <v>59</v>
      </c>
      <c r="D7" s="3" t="s">
        <v>8</v>
      </c>
      <c r="E7" s="3" t="s">
        <v>25</v>
      </c>
      <c r="F7" s="3" t="s">
        <v>60</v>
      </c>
    </row>
    <row r="8" customFormat="false" ht="15" hidden="false" customHeight="false" outlineLevel="0" collapsed="false">
      <c r="A8" s="4" t="n">
        <v>1</v>
      </c>
      <c r="B8" s="5" t="s">
        <v>28</v>
      </c>
      <c r="C8" s="4"/>
      <c r="D8" s="4" t="n">
        <v>22</v>
      </c>
      <c r="E8" s="6" t="n">
        <v>74948.84</v>
      </c>
      <c r="F8" s="11" t="n">
        <f aca="false">E8/E$17</f>
        <v>0.704720667252454</v>
      </c>
    </row>
    <row r="9" customFormat="false" ht="15" hidden="false" customHeight="false" outlineLevel="0" collapsed="false">
      <c r="A9" s="17" t="n">
        <v>2</v>
      </c>
      <c r="B9" s="18" t="s">
        <v>30</v>
      </c>
      <c r="C9" s="17"/>
      <c r="D9" s="17" t="n">
        <v>21</v>
      </c>
      <c r="E9" s="19" t="n">
        <v>14095.11</v>
      </c>
      <c r="F9" s="20" t="n">
        <f aca="false">E9/E$17</f>
        <v>0.132531942111402</v>
      </c>
    </row>
    <row r="10" customFormat="false" ht="15" hidden="false" customHeight="false" outlineLevel="0" collapsed="false">
      <c r="A10" s="4" t="n">
        <v>3</v>
      </c>
      <c r="B10" s="5" t="s">
        <v>27</v>
      </c>
      <c r="C10" s="4"/>
      <c r="D10" s="4" t="n">
        <v>25</v>
      </c>
      <c r="E10" s="6" t="n">
        <v>11376.96</v>
      </c>
      <c r="F10" s="11" t="n">
        <f aca="false">E10/E$17</f>
        <v>0.10697402177945</v>
      </c>
    </row>
    <row r="11" customFormat="false" ht="15" hidden="false" customHeight="false" outlineLevel="0" collapsed="false">
      <c r="A11" s="17" t="n">
        <v>4</v>
      </c>
      <c r="B11" s="18" t="s">
        <v>33</v>
      </c>
      <c r="C11" s="17"/>
      <c r="D11" s="17" t="n">
        <v>3</v>
      </c>
      <c r="E11" s="19" t="n">
        <v>2649</v>
      </c>
      <c r="F11" s="20" t="n">
        <f aca="false">E11/E$17</f>
        <v>0.0249077243563977</v>
      </c>
    </row>
    <row r="12" customFormat="false" ht="15" hidden="false" customHeight="false" outlineLevel="0" collapsed="false">
      <c r="A12" s="4" t="n">
        <v>5</v>
      </c>
      <c r="B12" s="5" t="s">
        <v>29</v>
      </c>
      <c r="C12" s="4"/>
      <c r="D12" s="4" t="n">
        <v>7</v>
      </c>
      <c r="E12" s="6" t="n">
        <v>1086.17</v>
      </c>
      <c r="F12" s="11" t="n">
        <f aca="false">E12/E$17</f>
        <v>0.0102129192012791</v>
      </c>
    </row>
    <row r="13" customFormat="false" ht="15" hidden="false" customHeight="false" outlineLevel="0" collapsed="false">
      <c r="A13" s="17" t="n">
        <v>6</v>
      </c>
      <c r="B13" s="18" t="s">
        <v>32</v>
      </c>
      <c r="C13" s="17"/>
      <c r="D13" s="17" t="n">
        <v>1</v>
      </c>
      <c r="E13" s="19" t="n">
        <v>1044</v>
      </c>
      <c r="F13" s="20" t="n">
        <f aca="false">E13/E$17</f>
        <v>0.00981640778711935</v>
      </c>
    </row>
    <row r="14" customFormat="false" ht="15" hidden="false" customHeight="false" outlineLevel="0" collapsed="false">
      <c r="A14" s="4" t="n">
        <v>7</v>
      </c>
      <c r="B14" s="5" t="s">
        <v>39</v>
      </c>
      <c r="C14" s="4"/>
      <c r="D14" s="4" t="n">
        <v>2</v>
      </c>
      <c r="E14" s="6" t="n">
        <v>897.2</v>
      </c>
      <c r="F14" s="11" t="n">
        <f aca="false">E14/E$17</f>
        <v>0.00843609297567383</v>
      </c>
    </row>
    <row r="15" customFormat="false" ht="15" hidden="false" customHeight="false" outlineLevel="0" collapsed="false">
      <c r="A15" s="17" t="n">
        <v>8</v>
      </c>
      <c r="B15" s="18" t="s">
        <v>36</v>
      </c>
      <c r="C15" s="17"/>
      <c r="D15" s="17" t="n">
        <v>3</v>
      </c>
      <c r="E15" s="19" t="n">
        <v>205.27</v>
      </c>
      <c r="F15" s="20" t="n">
        <f aca="false">E15/E$17</f>
        <v>0.00193009006366091</v>
      </c>
    </row>
    <row r="16" customFormat="false" ht="15" hidden="false" customHeight="false" outlineLevel="0" collapsed="false">
      <c r="A16" s="4" t="n">
        <v>9</v>
      </c>
      <c r="B16" s="5" t="s">
        <v>54</v>
      </c>
      <c r="C16" s="4"/>
      <c r="D16" s="4" t="n">
        <v>1</v>
      </c>
      <c r="E16" s="6" t="n">
        <v>50</v>
      </c>
      <c r="F16" s="11" t="n">
        <f aca="false">E16/E$17</f>
        <v>0.000470134472563187</v>
      </c>
    </row>
    <row r="17" customFormat="false" ht="15" hidden="false" customHeight="false" outlineLevel="0" collapsed="false">
      <c r="A17" s="12"/>
      <c r="B17" s="13" t="s">
        <v>19</v>
      </c>
      <c r="C17" s="12"/>
      <c r="D17" s="13" t="n">
        <f aca="false">SUM(D8:D16)</f>
        <v>85</v>
      </c>
      <c r="E17" s="14" t="n">
        <f aca="false">SUM(E8:E16)</f>
        <v>106352.55</v>
      </c>
      <c r="F17" s="15" t="n">
        <f aca="false">SUM(F8:F16)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61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7</v>
      </c>
      <c r="B3" s="0" t="n">
        <v>20</v>
      </c>
    </row>
    <row r="4" customFormat="false" ht="15" hidden="false" customHeight="false" outlineLevel="0" collapsed="false">
      <c r="A4" s="2" t="s">
        <v>8</v>
      </c>
      <c r="B4" s="0" t="n">
        <v>266</v>
      </c>
    </row>
    <row r="5" customFormat="false" ht="15" hidden="false" customHeight="false" outlineLevel="0" collapsed="false">
      <c r="A5" s="2" t="s">
        <v>9</v>
      </c>
      <c r="B5" s="16" t="n">
        <v>458376.37</v>
      </c>
    </row>
    <row r="7" customFormat="false" ht="19.5" hidden="false" customHeight="true" outlineLevel="0" collapsed="false">
      <c r="A7" s="3" t="s">
        <v>22</v>
      </c>
      <c r="B7" s="3" t="s">
        <v>23</v>
      </c>
      <c r="C7" s="3" t="s">
        <v>59</v>
      </c>
      <c r="D7" s="3" t="s">
        <v>8</v>
      </c>
      <c r="E7" s="3" t="s">
        <v>25</v>
      </c>
      <c r="F7" s="3" t="s">
        <v>60</v>
      </c>
    </row>
    <row r="8" customFormat="false" ht="15" hidden="false" customHeight="false" outlineLevel="0" collapsed="false">
      <c r="A8" s="4" t="n">
        <v>1</v>
      </c>
      <c r="B8" s="5" t="s">
        <v>29</v>
      </c>
      <c r="C8" s="4"/>
      <c r="D8" s="4" t="n">
        <v>102</v>
      </c>
      <c r="E8" s="6" t="n">
        <v>176571.46</v>
      </c>
      <c r="F8" s="11" t="n">
        <f aca="false">E8/E$28</f>
        <v>0.385210651238414</v>
      </c>
    </row>
    <row r="9" customFormat="false" ht="15" hidden="false" customHeight="false" outlineLevel="0" collapsed="false">
      <c r="A9" s="17" t="n">
        <v>2</v>
      </c>
      <c r="B9" s="18" t="s">
        <v>27</v>
      </c>
      <c r="C9" s="17"/>
      <c r="D9" s="17" t="n">
        <v>85</v>
      </c>
      <c r="E9" s="19" t="n">
        <v>139209.01</v>
      </c>
      <c r="F9" s="20" t="n">
        <f aca="false">E9/E$28</f>
        <v>0.303700232191289</v>
      </c>
    </row>
    <row r="10" customFormat="false" ht="15" hidden="false" customHeight="false" outlineLevel="0" collapsed="false">
      <c r="A10" s="4" t="n">
        <v>3</v>
      </c>
      <c r="B10" s="5" t="s">
        <v>30</v>
      </c>
      <c r="C10" s="4"/>
      <c r="D10" s="4" t="n">
        <v>18</v>
      </c>
      <c r="E10" s="6" t="n">
        <v>72780.98</v>
      </c>
      <c r="F10" s="11" t="n">
        <f aca="false">E10/E$28</f>
        <v>0.158779956305339</v>
      </c>
    </row>
    <row r="11" customFormat="false" ht="15" hidden="false" customHeight="false" outlineLevel="0" collapsed="false">
      <c r="A11" s="17" t="n">
        <v>4</v>
      </c>
      <c r="B11" s="18" t="s">
        <v>31</v>
      </c>
      <c r="C11" s="17"/>
      <c r="D11" s="17" t="n">
        <v>5</v>
      </c>
      <c r="E11" s="19" t="n">
        <v>17974.5</v>
      </c>
      <c r="F11" s="20" t="n">
        <f aca="false">E11/E$28</f>
        <v>0.0392134088412978</v>
      </c>
    </row>
    <row r="12" customFormat="false" ht="15" hidden="false" customHeight="false" outlineLevel="0" collapsed="false">
      <c r="A12" s="4" t="n">
        <v>5</v>
      </c>
      <c r="B12" s="5" t="s">
        <v>37</v>
      </c>
      <c r="C12" s="4"/>
      <c r="D12" s="4" t="n">
        <v>2</v>
      </c>
      <c r="E12" s="6" t="n">
        <v>12800</v>
      </c>
      <c r="F12" s="11" t="n">
        <f aca="false">E12/E$28</f>
        <v>0.0279246506533485</v>
      </c>
    </row>
    <row r="13" customFormat="false" ht="15" hidden="false" customHeight="false" outlineLevel="0" collapsed="false">
      <c r="A13" s="17" t="n">
        <v>6</v>
      </c>
      <c r="B13" s="18" t="s">
        <v>28</v>
      </c>
      <c r="C13" s="17"/>
      <c r="D13" s="17" t="n">
        <v>11</v>
      </c>
      <c r="E13" s="19" t="n">
        <v>8131.24</v>
      </c>
      <c r="F13" s="20" t="n">
        <f aca="false">E13/E$28</f>
        <v>0.0177392215920729</v>
      </c>
    </row>
    <row r="14" customFormat="false" ht="15" hidden="false" customHeight="false" outlineLevel="0" collapsed="false">
      <c r="A14" s="4" t="n">
        <v>7</v>
      </c>
      <c r="B14" s="5" t="s">
        <v>33</v>
      </c>
      <c r="C14" s="4"/>
      <c r="D14" s="4" t="n">
        <v>6</v>
      </c>
      <c r="E14" s="6" t="n">
        <v>8076</v>
      </c>
      <c r="F14" s="11" t="n">
        <f aca="false">E14/E$28</f>
        <v>0.0176187092715971</v>
      </c>
    </row>
    <row r="15" customFormat="false" ht="15" hidden="false" customHeight="false" outlineLevel="0" collapsed="false">
      <c r="A15" s="17" t="n">
        <v>8</v>
      </c>
      <c r="B15" s="18" t="s">
        <v>34</v>
      </c>
      <c r="C15" s="17"/>
      <c r="D15" s="17" t="n">
        <v>3</v>
      </c>
      <c r="E15" s="19" t="n">
        <v>5921</v>
      </c>
      <c r="F15" s="20" t="n">
        <f aca="false">E15/E$28</f>
        <v>0.012917332540506</v>
      </c>
    </row>
    <row r="16" customFormat="false" ht="15" hidden="false" customHeight="false" outlineLevel="0" collapsed="false">
      <c r="A16" s="4" t="n">
        <v>9</v>
      </c>
      <c r="B16" s="5" t="s">
        <v>39</v>
      </c>
      <c r="C16" s="4"/>
      <c r="D16" s="4" t="n">
        <v>6</v>
      </c>
      <c r="E16" s="6" t="n">
        <v>4412.21</v>
      </c>
      <c r="F16" s="11" t="n">
        <f aca="false">E16/E$28</f>
        <v>0.00962573616087583</v>
      </c>
    </row>
    <row r="17" customFormat="false" ht="15" hidden="false" customHeight="false" outlineLevel="0" collapsed="false">
      <c r="A17" s="17" t="n">
        <v>10</v>
      </c>
      <c r="B17" s="18" t="s">
        <v>32</v>
      </c>
      <c r="C17" s="17"/>
      <c r="D17" s="17" t="n">
        <v>2</v>
      </c>
      <c r="E17" s="19" t="n">
        <v>2840</v>
      </c>
      <c r="F17" s="20" t="n">
        <f aca="false">E17/E$28</f>
        <v>0.00619578186371169</v>
      </c>
    </row>
    <row r="18" customFormat="false" ht="15" hidden="false" customHeight="false" outlineLevel="0" collapsed="false">
      <c r="A18" s="4" t="n">
        <v>11</v>
      </c>
      <c r="B18" s="5" t="s">
        <v>44</v>
      </c>
      <c r="C18" s="4"/>
      <c r="D18" s="4" t="n">
        <v>3</v>
      </c>
      <c r="E18" s="6" t="n">
        <v>2465</v>
      </c>
      <c r="F18" s="11" t="n">
        <f aca="false">E18/E$28</f>
        <v>0.00537767686410187</v>
      </c>
    </row>
    <row r="19" customFormat="false" ht="15" hidden="false" customHeight="false" outlineLevel="0" collapsed="false">
      <c r="A19" s="17" t="n">
        <v>12</v>
      </c>
      <c r="B19" s="18" t="s">
        <v>46</v>
      </c>
      <c r="C19" s="17"/>
      <c r="D19" s="17" t="n">
        <v>2</v>
      </c>
      <c r="E19" s="19" t="n">
        <v>2140</v>
      </c>
      <c r="F19" s="20" t="n">
        <f aca="false">E19/E$28</f>
        <v>0.0046686525311067</v>
      </c>
    </row>
    <row r="20" customFormat="false" ht="15" hidden="false" customHeight="false" outlineLevel="0" collapsed="false">
      <c r="A20" s="4" t="n">
        <v>13</v>
      </c>
      <c r="B20" s="5" t="s">
        <v>42</v>
      </c>
      <c r="C20" s="4"/>
      <c r="D20" s="4" t="n">
        <v>4</v>
      </c>
      <c r="E20" s="6" t="n">
        <v>1340.48</v>
      </c>
      <c r="F20" s="11" t="n">
        <f aca="false">E20/E$28</f>
        <v>0.00292440903967192</v>
      </c>
    </row>
    <row r="21" customFormat="false" ht="15" hidden="false" customHeight="false" outlineLevel="0" collapsed="false">
      <c r="A21" s="17" t="n">
        <v>14</v>
      </c>
      <c r="B21" s="18" t="s">
        <v>49</v>
      </c>
      <c r="C21" s="17"/>
      <c r="D21" s="17" t="n">
        <v>2</v>
      </c>
      <c r="E21" s="19" t="n">
        <v>1134.15</v>
      </c>
      <c r="F21" s="20" t="n">
        <f aca="false">E21/E$28</f>
        <v>0.00247427676081994</v>
      </c>
    </row>
    <row r="22" customFormat="false" ht="15" hidden="false" customHeight="false" outlineLevel="0" collapsed="false">
      <c r="A22" s="4" t="n">
        <v>15</v>
      </c>
      <c r="B22" s="5" t="s">
        <v>41</v>
      </c>
      <c r="C22" s="4"/>
      <c r="D22" s="4" t="n">
        <v>3</v>
      </c>
      <c r="E22" s="6" t="n">
        <v>811.46</v>
      </c>
      <c r="F22" s="11" t="n">
        <f aca="false">E22/E$28</f>
        <v>0.00177029195462236</v>
      </c>
    </row>
    <row r="23" customFormat="false" ht="15" hidden="false" customHeight="false" outlineLevel="0" collapsed="false">
      <c r="A23" s="17" t="n">
        <v>16</v>
      </c>
      <c r="B23" s="18" t="s">
        <v>47</v>
      </c>
      <c r="C23" s="17"/>
      <c r="D23" s="17" t="n">
        <v>3</v>
      </c>
      <c r="E23" s="19" t="n">
        <v>702.97</v>
      </c>
      <c r="F23" s="20" t="n">
        <f aca="false">E23/E$28</f>
        <v>0.0015336087242019</v>
      </c>
    </row>
    <row r="24" customFormat="false" ht="15" hidden="false" customHeight="false" outlineLevel="0" collapsed="false">
      <c r="A24" s="4" t="n">
        <v>17</v>
      </c>
      <c r="B24" s="5" t="s">
        <v>52</v>
      </c>
      <c r="C24" s="4"/>
      <c r="D24" s="4" t="n">
        <v>1</v>
      </c>
      <c r="E24" s="6" t="n">
        <v>500</v>
      </c>
      <c r="F24" s="11" t="n">
        <f aca="false">E24/E$28</f>
        <v>0.00109080666614642</v>
      </c>
    </row>
    <row r="25" customFormat="false" ht="15" hidden="false" customHeight="false" outlineLevel="0" collapsed="false">
      <c r="A25" s="17" t="n">
        <v>18</v>
      </c>
      <c r="B25" s="18" t="s">
        <v>50</v>
      </c>
      <c r="C25" s="17"/>
      <c r="D25" s="17" t="n">
        <v>4</v>
      </c>
      <c r="E25" s="19" t="n">
        <v>258.11</v>
      </c>
      <c r="F25" s="20" t="n">
        <f aca="false">E25/E$28</f>
        <v>0.000563096217198107</v>
      </c>
    </row>
    <row r="26" customFormat="false" ht="15" hidden="false" customHeight="false" outlineLevel="0" collapsed="false">
      <c r="A26" s="4" t="n">
        <v>19</v>
      </c>
      <c r="B26" s="5" t="s">
        <v>54</v>
      </c>
      <c r="C26" s="4"/>
      <c r="D26" s="4" t="n">
        <v>2</v>
      </c>
      <c r="E26" s="6" t="n">
        <v>195</v>
      </c>
      <c r="F26" s="11" t="n">
        <f aca="false">E26/E$28</f>
        <v>0.000425414599797106</v>
      </c>
    </row>
    <row r="27" customFormat="false" ht="15" hidden="false" customHeight="false" outlineLevel="0" collapsed="false">
      <c r="A27" s="17" t="n">
        <v>20</v>
      </c>
      <c r="B27" s="18" t="s">
        <v>36</v>
      </c>
      <c r="C27" s="17"/>
      <c r="D27" s="17" t="n">
        <v>2</v>
      </c>
      <c r="E27" s="19" t="n">
        <v>112.8</v>
      </c>
      <c r="F27" s="20" t="n">
        <f aca="false">E27/E$28</f>
        <v>0.000246085983882633</v>
      </c>
    </row>
    <row r="28" customFormat="false" ht="15" hidden="false" customHeight="false" outlineLevel="0" collapsed="false">
      <c r="A28" s="12"/>
      <c r="B28" s="13" t="s">
        <v>19</v>
      </c>
      <c r="C28" s="12"/>
      <c r="D28" s="13" t="n">
        <f aca="false">SUM(D8:D27)</f>
        <v>266</v>
      </c>
      <c r="E28" s="14" t="n">
        <f aca="false">SUM(E8:E27)</f>
        <v>458376.37</v>
      </c>
      <c r="F28" s="15" t="n">
        <f aca="false">SUM(F8:F27)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62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7</v>
      </c>
      <c r="B3" s="0" t="n">
        <v>19</v>
      </c>
    </row>
    <row r="4" customFormat="false" ht="15" hidden="false" customHeight="false" outlineLevel="0" collapsed="false">
      <c r="A4" s="2" t="s">
        <v>8</v>
      </c>
      <c r="B4" s="0" t="n">
        <v>301</v>
      </c>
    </row>
    <row r="5" customFormat="false" ht="15" hidden="false" customHeight="false" outlineLevel="0" collapsed="false">
      <c r="A5" s="2" t="s">
        <v>9</v>
      </c>
      <c r="B5" s="16" t="n">
        <v>535198.25</v>
      </c>
    </row>
    <row r="7" customFormat="false" ht="19.5" hidden="false" customHeight="true" outlineLevel="0" collapsed="false">
      <c r="A7" s="3" t="s">
        <v>22</v>
      </c>
      <c r="B7" s="3" t="s">
        <v>23</v>
      </c>
      <c r="C7" s="3" t="s">
        <v>59</v>
      </c>
      <c r="D7" s="3" t="s">
        <v>8</v>
      </c>
      <c r="E7" s="3" t="s">
        <v>25</v>
      </c>
      <c r="F7" s="3" t="s">
        <v>60</v>
      </c>
    </row>
    <row r="8" customFormat="false" ht="15" hidden="false" customHeight="false" outlineLevel="0" collapsed="false">
      <c r="A8" s="4" t="n">
        <v>1</v>
      </c>
      <c r="B8" s="5" t="s">
        <v>27</v>
      </c>
      <c r="C8" s="4"/>
      <c r="D8" s="4" t="n">
        <v>87</v>
      </c>
      <c r="E8" s="6" t="n">
        <v>187929.87</v>
      </c>
      <c r="F8" s="11" t="n">
        <f aca="false">E8/E$27</f>
        <v>0.351140666098964</v>
      </c>
    </row>
    <row r="9" customFormat="false" ht="15" hidden="false" customHeight="false" outlineLevel="0" collapsed="false">
      <c r="A9" s="17" t="n">
        <v>2</v>
      </c>
      <c r="B9" s="18" t="s">
        <v>28</v>
      </c>
      <c r="C9" s="17"/>
      <c r="D9" s="17" t="n">
        <v>64</v>
      </c>
      <c r="E9" s="19" t="n">
        <v>141063.76</v>
      </c>
      <c r="F9" s="20" t="n">
        <f aca="false">E9/E$27</f>
        <v>0.263572909664783</v>
      </c>
    </row>
    <row r="10" customFormat="false" ht="15" hidden="false" customHeight="false" outlineLevel="0" collapsed="false">
      <c r="A10" s="4" t="n">
        <v>3</v>
      </c>
      <c r="B10" s="5" t="s">
        <v>30</v>
      </c>
      <c r="C10" s="4"/>
      <c r="D10" s="4" t="n">
        <v>45</v>
      </c>
      <c r="E10" s="6" t="n">
        <v>65193.3</v>
      </c>
      <c r="F10" s="11" t="n">
        <f aca="false">E10/E$27</f>
        <v>0.121811496954633</v>
      </c>
    </row>
    <row r="11" customFormat="false" ht="15" hidden="false" customHeight="false" outlineLevel="0" collapsed="false">
      <c r="A11" s="17" t="n">
        <v>4</v>
      </c>
      <c r="B11" s="18" t="s">
        <v>32</v>
      </c>
      <c r="C11" s="17"/>
      <c r="D11" s="17" t="n">
        <v>4</v>
      </c>
      <c r="E11" s="19" t="n">
        <v>47527.77</v>
      </c>
      <c r="F11" s="20" t="n">
        <f aca="false">E11/E$27</f>
        <v>0.0888040459773551</v>
      </c>
    </row>
    <row r="12" customFormat="false" ht="15" hidden="false" customHeight="false" outlineLevel="0" collapsed="false">
      <c r="A12" s="4" t="n">
        <v>5</v>
      </c>
      <c r="B12" s="5" t="s">
        <v>29</v>
      </c>
      <c r="C12" s="4"/>
      <c r="D12" s="4" t="n">
        <v>21</v>
      </c>
      <c r="E12" s="6" t="n">
        <v>43369.79</v>
      </c>
      <c r="F12" s="11" t="n">
        <f aca="false">E12/E$27</f>
        <v>0.081034999647327</v>
      </c>
    </row>
    <row r="13" customFormat="false" ht="15" hidden="false" customHeight="false" outlineLevel="0" collapsed="false">
      <c r="A13" s="17" t="n">
        <v>6</v>
      </c>
      <c r="B13" s="18" t="s">
        <v>31</v>
      </c>
      <c r="C13" s="17"/>
      <c r="D13" s="17" t="n">
        <v>6</v>
      </c>
      <c r="E13" s="19" t="n">
        <v>23133.75</v>
      </c>
      <c r="F13" s="20" t="n">
        <f aca="false">E13/E$27</f>
        <v>0.0432246368518582</v>
      </c>
    </row>
    <row r="14" customFormat="false" ht="15" hidden="false" customHeight="false" outlineLevel="0" collapsed="false">
      <c r="A14" s="4" t="n">
        <v>7</v>
      </c>
      <c r="B14" s="5" t="s">
        <v>33</v>
      </c>
      <c r="C14" s="4"/>
      <c r="D14" s="4" t="n">
        <v>3</v>
      </c>
      <c r="E14" s="6" t="n">
        <v>11633</v>
      </c>
      <c r="F14" s="11" t="n">
        <f aca="false">E14/E$27</f>
        <v>0.0217358707731201</v>
      </c>
    </row>
    <row r="15" customFormat="false" ht="15" hidden="false" customHeight="false" outlineLevel="0" collapsed="false">
      <c r="A15" s="17" t="n">
        <v>8</v>
      </c>
      <c r="B15" s="18" t="s">
        <v>34</v>
      </c>
      <c r="C15" s="17"/>
      <c r="D15" s="17" t="n">
        <v>4</v>
      </c>
      <c r="E15" s="19" t="n">
        <v>8875</v>
      </c>
      <c r="F15" s="20" t="n">
        <f aca="false">E15/E$27</f>
        <v>0.0165826401711889</v>
      </c>
    </row>
    <row r="16" customFormat="false" ht="15" hidden="false" customHeight="false" outlineLevel="0" collapsed="false">
      <c r="A16" s="4" t="n">
        <v>9</v>
      </c>
      <c r="B16" s="5" t="s">
        <v>38</v>
      </c>
      <c r="C16" s="4"/>
      <c r="D16" s="4" t="n">
        <v>4</v>
      </c>
      <c r="E16" s="6" t="n">
        <v>2252.62</v>
      </c>
      <c r="F16" s="11" t="n">
        <f aca="false">E16/E$27</f>
        <v>0.00420894500308998</v>
      </c>
    </row>
    <row r="17" customFormat="false" ht="15" hidden="false" customHeight="false" outlineLevel="0" collapsed="false">
      <c r="A17" s="17" t="n">
        <v>10</v>
      </c>
      <c r="B17" s="18" t="s">
        <v>41</v>
      </c>
      <c r="C17" s="17"/>
      <c r="D17" s="17" t="n">
        <v>3</v>
      </c>
      <c r="E17" s="19" t="n">
        <v>934.77</v>
      </c>
      <c r="F17" s="20" t="n">
        <f aca="false">E17/E$27</f>
        <v>0.00174658642848701</v>
      </c>
    </row>
    <row r="18" customFormat="false" ht="15" hidden="false" customHeight="false" outlineLevel="0" collapsed="false">
      <c r="A18" s="4" t="n">
        <v>11</v>
      </c>
      <c r="B18" s="5" t="s">
        <v>47</v>
      </c>
      <c r="C18" s="4"/>
      <c r="D18" s="4" t="n">
        <v>4</v>
      </c>
      <c r="E18" s="6" t="n">
        <v>654.66</v>
      </c>
      <c r="F18" s="11" t="n">
        <f aca="false">E18/E$27</f>
        <v>0.00122321027768682</v>
      </c>
    </row>
    <row r="19" customFormat="false" ht="15" hidden="false" customHeight="false" outlineLevel="0" collapsed="false">
      <c r="A19" s="17" t="n">
        <v>12</v>
      </c>
      <c r="B19" s="18" t="s">
        <v>42</v>
      </c>
      <c r="C19" s="17"/>
      <c r="D19" s="17" t="n">
        <v>2</v>
      </c>
      <c r="E19" s="19" t="n">
        <v>637.54</v>
      </c>
      <c r="F19" s="20" t="n">
        <f aca="false">E19/E$27</f>
        <v>0.00119122213123828</v>
      </c>
    </row>
    <row r="20" customFormat="false" ht="15" hidden="false" customHeight="false" outlineLevel="0" collapsed="false">
      <c r="A20" s="4" t="n">
        <v>13</v>
      </c>
      <c r="B20" s="5" t="s">
        <v>45</v>
      </c>
      <c r="C20" s="4"/>
      <c r="D20" s="4" t="n">
        <v>1</v>
      </c>
      <c r="E20" s="6" t="n">
        <v>500</v>
      </c>
      <c r="F20" s="11" t="n">
        <f aca="false">E20/E$27</f>
        <v>0.000934233249081065</v>
      </c>
    </row>
    <row r="21" customFormat="false" ht="15" hidden="false" customHeight="false" outlineLevel="0" collapsed="false">
      <c r="A21" s="17" t="n">
        <v>14</v>
      </c>
      <c r="B21" s="18" t="s">
        <v>36</v>
      </c>
      <c r="C21" s="17"/>
      <c r="D21" s="17" t="n">
        <v>44</v>
      </c>
      <c r="E21" s="19" t="n">
        <v>431.75</v>
      </c>
      <c r="F21" s="20" t="n">
        <f aca="false">E21/E$27</f>
        <v>0.0008067104105815</v>
      </c>
    </row>
    <row r="22" customFormat="false" ht="15" hidden="false" customHeight="false" outlineLevel="0" collapsed="false">
      <c r="A22" s="4" t="n">
        <v>15</v>
      </c>
      <c r="B22" s="5" t="s">
        <v>50</v>
      </c>
      <c r="C22" s="4"/>
      <c r="D22" s="4" t="n">
        <v>3</v>
      </c>
      <c r="E22" s="6" t="n">
        <v>372.77</v>
      </c>
      <c r="F22" s="11" t="n">
        <f aca="false">E22/E$27</f>
        <v>0.000696508256519897</v>
      </c>
    </row>
    <row r="23" customFormat="false" ht="15" hidden="false" customHeight="false" outlineLevel="0" collapsed="false">
      <c r="A23" s="17" t="n">
        <v>16</v>
      </c>
      <c r="B23" s="18" t="s">
        <v>55</v>
      </c>
      <c r="C23" s="17"/>
      <c r="D23" s="17" t="n">
        <v>2</v>
      </c>
      <c r="E23" s="19" t="n">
        <v>354.99</v>
      </c>
      <c r="F23" s="20" t="n">
        <f aca="false">E23/E$27</f>
        <v>0.000663286922182575</v>
      </c>
    </row>
    <row r="24" customFormat="false" ht="15" hidden="false" customHeight="false" outlineLevel="0" collapsed="false">
      <c r="A24" s="4" t="n">
        <v>17</v>
      </c>
      <c r="B24" s="5" t="s">
        <v>54</v>
      </c>
      <c r="C24" s="4"/>
      <c r="D24" s="4" t="n">
        <v>1</v>
      </c>
      <c r="E24" s="6" t="n">
        <v>191.7</v>
      </c>
      <c r="F24" s="11" t="n">
        <f aca="false">E24/E$27</f>
        <v>0.00035818502769768</v>
      </c>
    </row>
    <row r="25" customFormat="false" ht="15" hidden="false" customHeight="false" outlineLevel="0" collapsed="false">
      <c r="A25" s="17" t="n">
        <v>18</v>
      </c>
      <c r="B25" s="18" t="s">
        <v>39</v>
      </c>
      <c r="C25" s="17"/>
      <c r="D25" s="17" t="n">
        <v>2</v>
      </c>
      <c r="E25" s="19" t="n">
        <v>111.82</v>
      </c>
      <c r="F25" s="20" t="n">
        <f aca="false">E25/E$27</f>
        <v>0.000208931923824489</v>
      </c>
    </row>
    <row r="26" customFormat="false" ht="15" hidden="false" customHeight="false" outlineLevel="0" collapsed="false">
      <c r="A26" s="4" t="n">
        <v>19</v>
      </c>
      <c r="B26" s="5" t="s">
        <v>49</v>
      </c>
      <c r="C26" s="4"/>
      <c r="D26" s="4" t="n">
        <v>1</v>
      </c>
      <c r="E26" s="6" t="n">
        <v>29.39</v>
      </c>
      <c r="F26" s="11" t="n">
        <f aca="false">E26/E$27</f>
        <v>5.4914230380985E-005</v>
      </c>
    </row>
    <row r="27" customFormat="false" ht="15" hidden="false" customHeight="false" outlineLevel="0" collapsed="false">
      <c r="A27" s="12"/>
      <c r="B27" s="13" t="s">
        <v>19</v>
      </c>
      <c r="C27" s="12"/>
      <c r="D27" s="13" t="n">
        <f aca="false">SUM(D8:D26)</f>
        <v>301</v>
      </c>
      <c r="E27" s="14" t="n">
        <f aca="false">SUM(E8:E26)</f>
        <v>535198.25</v>
      </c>
      <c r="F27" s="15" t="n">
        <f aca="false">SUM(F8:F26)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63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7</v>
      </c>
      <c r="B3" s="0" t="n">
        <v>25</v>
      </c>
    </row>
    <row r="4" customFormat="false" ht="15" hidden="false" customHeight="false" outlineLevel="0" collapsed="false">
      <c r="A4" s="2" t="s">
        <v>8</v>
      </c>
      <c r="B4" s="0" t="n">
        <v>402</v>
      </c>
    </row>
    <row r="5" customFormat="false" ht="15" hidden="false" customHeight="false" outlineLevel="0" collapsed="false">
      <c r="A5" s="2" t="s">
        <v>9</v>
      </c>
      <c r="B5" s="16" t="n">
        <v>766653.25</v>
      </c>
    </row>
    <row r="7" customFormat="false" ht="19.5" hidden="false" customHeight="true" outlineLevel="0" collapsed="false">
      <c r="A7" s="3" t="s">
        <v>22</v>
      </c>
      <c r="B7" s="3" t="s">
        <v>23</v>
      </c>
      <c r="C7" s="3" t="s">
        <v>59</v>
      </c>
      <c r="D7" s="3" t="s">
        <v>8</v>
      </c>
      <c r="E7" s="3" t="s">
        <v>25</v>
      </c>
      <c r="F7" s="3" t="s">
        <v>60</v>
      </c>
    </row>
    <row r="8" customFormat="false" ht="15" hidden="false" customHeight="false" outlineLevel="0" collapsed="false">
      <c r="A8" s="4" t="n">
        <v>1</v>
      </c>
      <c r="B8" s="5" t="s">
        <v>27</v>
      </c>
      <c r="C8" s="4"/>
      <c r="D8" s="4" t="n">
        <v>97</v>
      </c>
      <c r="E8" s="6" t="n">
        <v>248013.68</v>
      </c>
      <c r="F8" s="11" t="n">
        <f aca="false">E8/E$33</f>
        <v>0.323501765628725</v>
      </c>
    </row>
    <row r="9" customFormat="false" ht="15" hidden="false" customHeight="false" outlineLevel="0" collapsed="false">
      <c r="A9" s="17" t="n">
        <v>2</v>
      </c>
      <c r="B9" s="18" t="s">
        <v>30</v>
      </c>
      <c r="C9" s="17"/>
      <c r="D9" s="17" t="n">
        <v>57</v>
      </c>
      <c r="E9" s="19" t="n">
        <v>104759.63</v>
      </c>
      <c r="F9" s="20" t="n">
        <f aca="false">E9/E$33</f>
        <v>0.136645386946445</v>
      </c>
    </row>
    <row r="10" customFormat="false" ht="15" hidden="false" customHeight="false" outlineLevel="0" collapsed="false">
      <c r="A10" s="4" t="n">
        <v>3</v>
      </c>
      <c r="B10" s="5" t="s">
        <v>28</v>
      </c>
      <c r="C10" s="4"/>
      <c r="D10" s="4" t="n">
        <v>66</v>
      </c>
      <c r="E10" s="6" t="n">
        <v>101721.98</v>
      </c>
      <c r="F10" s="11" t="n">
        <f aca="false">E10/E$33</f>
        <v>0.132683165433656</v>
      </c>
    </row>
    <row r="11" customFormat="false" ht="15" hidden="false" customHeight="false" outlineLevel="0" collapsed="false">
      <c r="A11" s="17" t="n">
        <v>4</v>
      </c>
      <c r="B11" s="18" t="s">
        <v>31</v>
      </c>
      <c r="C11" s="17"/>
      <c r="D11" s="17" t="n">
        <v>19</v>
      </c>
      <c r="E11" s="19" t="n">
        <v>94572.5</v>
      </c>
      <c r="F11" s="20" t="n">
        <f aca="false">E11/E$33</f>
        <v>0.123357593540496</v>
      </c>
    </row>
    <row r="12" customFormat="false" ht="15" hidden="false" customHeight="false" outlineLevel="0" collapsed="false">
      <c r="A12" s="4" t="n">
        <v>5</v>
      </c>
      <c r="B12" s="5" t="s">
        <v>32</v>
      </c>
      <c r="C12" s="4"/>
      <c r="D12" s="4" t="n">
        <v>4</v>
      </c>
      <c r="E12" s="6" t="n">
        <v>70651.37</v>
      </c>
      <c r="F12" s="11" t="n">
        <f aca="false">E12/E$33</f>
        <v>0.0921555735921031</v>
      </c>
    </row>
    <row r="13" customFormat="false" ht="15" hidden="false" customHeight="false" outlineLevel="0" collapsed="false">
      <c r="A13" s="17" t="n">
        <v>6</v>
      </c>
      <c r="B13" s="18" t="s">
        <v>29</v>
      </c>
      <c r="C13" s="17"/>
      <c r="D13" s="17" t="n">
        <v>27</v>
      </c>
      <c r="E13" s="19" t="n">
        <v>45650.81</v>
      </c>
      <c r="F13" s="20" t="n">
        <f aca="false">E13/E$33</f>
        <v>0.0595455768302032</v>
      </c>
    </row>
    <row r="14" customFormat="false" ht="15" hidden="false" customHeight="false" outlineLevel="0" collapsed="false">
      <c r="A14" s="4" t="n">
        <v>7</v>
      </c>
      <c r="B14" s="5" t="s">
        <v>35</v>
      </c>
      <c r="C14" s="4"/>
      <c r="D14" s="4" t="n">
        <v>1</v>
      </c>
      <c r="E14" s="6" t="n">
        <v>19963</v>
      </c>
      <c r="F14" s="11" t="n">
        <f aca="false">E14/E$33</f>
        <v>0.0260391513373223</v>
      </c>
    </row>
    <row r="15" customFormat="false" ht="15" hidden="false" customHeight="false" outlineLevel="0" collapsed="false">
      <c r="A15" s="17" t="n">
        <v>8</v>
      </c>
      <c r="B15" s="18" t="s">
        <v>36</v>
      </c>
      <c r="C15" s="17"/>
      <c r="D15" s="17" t="n">
        <v>59</v>
      </c>
      <c r="E15" s="19" t="n">
        <v>18513.01</v>
      </c>
      <c r="F15" s="20" t="n">
        <f aca="false">E15/E$33</f>
        <v>0.0241478269347974</v>
      </c>
    </row>
    <row r="16" customFormat="false" ht="15" hidden="false" customHeight="false" outlineLevel="0" collapsed="false">
      <c r="A16" s="4" t="n">
        <v>9</v>
      </c>
      <c r="B16" s="5" t="s">
        <v>33</v>
      </c>
      <c r="C16" s="4"/>
      <c r="D16" s="4" t="n">
        <v>10</v>
      </c>
      <c r="E16" s="6" t="n">
        <v>16471.05</v>
      </c>
      <c r="F16" s="11" t="n">
        <f aca="false">E16/E$33</f>
        <v>0.0214843542370687</v>
      </c>
    </row>
    <row r="17" customFormat="false" ht="15" hidden="false" customHeight="false" outlineLevel="0" collapsed="false">
      <c r="A17" s="17" t="n">
        <v>10</v>
      </c>
      <c r="B17" s="18" t="s">
        <v>38</v>
      </c>
      <c r="C17" s="17"/>
      <c r="D17" s="17" t="n">
        <v>18</v>
      </c>
      <c r="E17" s="19" t="n">
        <v>9870.42</v>
      </c>
      <c r="F17" s="20" t="n">
        <f aca="false">E17/E$33</f>
        <v>0.0128746861765733</v>
      </c>
    </row>
    <row r="18" customFormat="false" ht="15" hidden="false" customHeight="false" outlineLevel="0" collapsed="false">
      <c r="A18" s="4" t="n">
        <v>11</v>
      </c>
      <c r="B18" s="5" t="s">
        <v>40</v>
      </c>
      <c r="C18" s="4"/>
      <c r="D18" s="4" t="n">
        <v>7</v>
      </c>
      <c r="E18" s="6" t="n">
        <v>8878</v>
      </c>
      <c r="F18" s="11" t="n">
        <f aca="false">E18/E$33</f>
        <v>0.0115802026535464</v>
      </c>
    </row>
    <row r="19" customFormat="false" ht="15" hidden="false" customHeight="false" outlineLevel="0" collapsed="false">
      <c r="A19" s="17" t="n">
        <v>12</v>
      </c>
      <c r="B19" s="18" t="s">
        <v>34</v>
      </c>
      <c r="C19" s="17"/>
      <c r="D19" s="17" t="n">
        <v>3</v>
      </c>
      <c r="E19" s="19" t="n">
        <v>6463.4</v>
      </c>
      <c r="F19" s="20" t="n">
        <f aca="false">E19/E$33</f>
        <v>0.00843066927584276</v>
      </c>
    </row>
    <row r="20" customFormat="false" ht="15" hidden="false" customHeight="false" outlineLevel="0" collapsed="false">
      <c r="A20" s="4" t="n">
        <v>13</v>
      </c>
      <c r="B20" s="5" t="s">
        <v>39</v>
      </c>
      <c r="C20" s="4"/>
      <c r="D20" s="4" t="n">
        <v>7</v>
      </c>
      <c r="E20" s="6" t="n">
        <v>4731.84</v>
      </c>
      <c r="F20" s="11" t="n">
        <f aca="false">E20/E$33</f>
        <v>0.00617207322867281</v>
      </c>
    </row>
    <row r="21" customFormat="false" ht="15" hidden="false" customHeight="false" outlineLevel="0" collapsed="false">
      <c r="A21" s="17" t="n">
        <v>14</v>
      </c>
      <c r="B21" s="18" t="s">
        <v>41</v>
      </c>
      <c r="C21" s="17"/>
      <c r="D21" s="17" t="n">
        <v>3</v>
      </c>
      <c r="E21" s="19" t="n">
        <v>4012.56</v>
      </c>
      <c r="F21" s="20" t="n">
        <f aca="false">E21/E$33</f>
        <v>0.00523386550568983</v>
      </c>
    </row>
    <row r="22" customFormat="false" ht="15" hidden="false" customHeight="false" outlineLevel="0" collapsed="false">
      <c r="A22" s="4" t="n">
        <v>15</v>
      </c>
      <c r="B22" s="5" t="s">
        <v>43</v>
      </c>
      <c r="C22" s="4"/>
      <c r="D22" s="4" t="n">
        <v>1</v>
      </c>
      <c r="E22" s="6" t="n">
        <v>3908</v>
      </c>
      <c r="F22" s="11" t="n">
        <f aca="false">E22/E$33</f>
        <v>0.00509748051025676</v>
      </c>
    </row>
    <row r="23" customFormat="false" ht="15" hidden="false" customHeight="false" outlineLevel="0" collapsed="false">
      <c r="A23" s="17" t="n">
        <v>16</v>
      </c>
      <c r="B23" s="18" t="s">
        <v>42</v>
      </c>
      <c r="C23" s="17"/>
      <c r="D23" s="17" t="n">
        <v>4</v>
      </c>
      <c r="E23" s="19" t="n">
        <v>2674.82</v>
      </c>
      <c r="F23" s="20" t="n">
        <f aca="false">E23/E$33</f>
        <v>0.00348895670891632</v>
      </c>
    </row>
    <row r="24" customFormat="false" ht="15" hidden="false" customHeight="false" outlineLevel="0" collapsed="false">
      <c r="A24" s="4" t="n">
        <v>17</v>
      </c>
      <c r="B24" s="5" t="s">
        <v>45</v>
      </c>
      <c r="C24" s="4"/>
      <c r="D24" s="4" t="n">
        <v>1</v>
      </c>
      <c r="E24" s="6" t="n">
        <v>1775</v>
      </c>
      <c r="F24" s="11" t="n">
        <f aca="false">E24/E$33</f>
        <v>0.00231525790831774</v>
      </c>
    </row>
    <row r="25" customFormat="false" ht="15" hidden="false" customHeight="false" outlineLevel="0" collapsed="false">
      <c r="A25" s="17" t="n">
        <v>18</v>
      </c>
      <c r="B25" s="18" t="s">
        <v>48</v>
      </c>
      <c r="C25" s="17"/>
      <c r="D25" s="17" t="n">
        <v>3</v>
      </c>
      <c r="E25" s="19" t="n">
        <v>1526.25</v>
      </c>
      <c r="F25" s="20" t="n">
        <f aca="false">E25/E$33</f>
        <v>0.00199079570849012</v>
      </c>
    </row>
    <row r="26" customFormat="false" ht="15" hidden="false" customHeight="false" outlineLevel="0" collapsed="false">
      <c r="A26" s="4" t="n">
        <v>19</v>
      </c>
      <c r="B26" s="5" t="s">
        <v>51</v>
      </c>
      <c r="C26" s="4"/>
      <c r="D26" s="4" t="n">
        <v>1</v>
      </c>
      <c r="E26" s="6" t="n">
        <v>671.5</v>
      </c>
      <c r="F26" s="11" t="n">
        <f aca="false">E26/E$33</f>
        <v>0.000875884893203022</v>
      </c>
    </row>
    <row r="27" customFormat="false" ht="15" hidden="false" customHeight="false" outlineLevel="0" collapsed="false">
      <c r="A27" s="17" t="n">
        <v>20</v>
      </c>
      <c r="B27" s="18" t="s">
        <v>47</v>
      </c>
      <c r="C27" s="17"/>
      <c r="D27" s="17" t="n">
        <v>2</v>
      </c>
      <c r="E27" s="19" t="n">
        <v>607.04</v>
      </c>
      <c r="F27" s="20" t="n">
        <f aca="false">E27/E$33</f>
        <v>0.000791805160938142</v>
      </c>
    </row>
    <row r="28" customFormat="false" ht="15" hidden="false" customHeight="false" outlineLevel="0" collapsed="false">
      <c r="A28" s="4" t="n">
        <v>21</v>
      </c>
      <c r="B28" s="5" t="s">
        <v>53</v>
      </c>
      <c r="C28" s="4"/>
      <c r="D28" s="4" t="n">
        <v>3</v>
      </c>
      <c r="E28" s="6" t="n">
        <v>470.35</v>
      </c>
      <c r="F28" s="11" t="n">
        <f aca="false">E28/E$33</f>
        <v>0.000613510736437888</v>
      </c>
    </row>
    <row r="29" customFormat="false" ht="15" hidden="false" customHeight="false" outlineLevel="0" collapsed="false">
      <c r="A29" s="17" t="n">
        <v>22</v>
      </c>
      <c r="B29" s="18" t="s">
        <v>50</v>
      </c>
      <c r="C29" s="17"/>
      <c r="D29" s="17" t="n">
        <v>5</v>
      </c>
      <c r="E29" s="19" t="n">
        <v>351.93</v>
      </c>
      <c r="F29" s="20" t="n">
        <f aca="false">E29/E$33</f>
        <v>0.000459047163760148</v>
      </c>
    </row>
    <row r="30" customFormat="false" ht="15" hidden="false" customHeight="false" outlineLevel="0" collapsed="false">
      <c r="A30" s="4" t="n">
        <v>23</v>
      </c>
      <c r="B30" s="5" t="s">
        <v>56</v>
      </c>
      <c r="C30" s="4"/>
      <c r="D30" s="4" t="n">
        <v>1</v>
      </c>
      <c r="E30" s="6" t="n">
        <v>155</v>
      </c>
      <c r="F30" s="11" t="n">
        <f aca="false">E30/E$33</f>
        <v>0.000202177451148873</v>
      </c>
    </row>
    <row r="31" customFormat="false" ht="15" hidden="false" customHeight="false" outlineLevel="0" collapsed="false">
      <c r="A31" s="17" t="n">
        <v>24</v>
      </c>
      <c r="B31" s="18" t="s">
        <v>57</v>
      </c>
      <c r="C31" s="17"/>
      <c r="D31" s="17" t="n">
        <v>2</v>
      </c>
      <c r="E31" s="19" t="n">
        <v>150.11</v>
      </c>
      <c r="F31" s="20" t="n">
        <f aca="false">E31/E$33</f>
        <v>0.00019579907865779</v>
      </c>
    </row>
    <row r="32" customFormat="false" ht="15" hidden="false" customHeight="false" outlineLevel="0" collapsed="false">
      <c r="A32" s="4" t="n">
        <v>25</v>
      </c>
      <c r="B32" s="5" t="s">
        <v>44</v>
      </c>
      <c r="C32" s="4"/>
      <c r="D32" s="4" t="n">
        <v>1</v>
      </c>
      <c r="E32" s="6" t="n">
        <v>90</v>
      </c>
      <c r="F32" s="11" t="n">
        <f aca="false">E32/E$33</f>
        <v>0.000117393358731604</v>
      </c>
    </row>
    <row r="33" customFormat="false" ht="15" hidden="false" customHeight="false" outlineLevel="0" collapsed="false">
      <c r="A33" s="12"/>
      <c r="B33" s="13" t="s">
        <v>19</v>
      </c>
      <c r="C33" s="12"/>
      <c r="D33" s="13" t="n">
        <f aca="false">SUM(D8:D32)</f>
        <v>402</v>
      </c>
      <c r="E33" s="14" t="n">
        <f aca="false">SUM(E8:E32)</f>
        <v>766653.25</v>
      </c>
      <c r="F33" s="15" t="n">
        <f aca="false">SUM(F8:F32)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1" t="s">
        <v>64</v>
      </c>
      <c r="B1" s="1"/>
      <c r="C1" s="1"/>
      <c r="D1" s="1"/>
      <c r="E1" s="1"/>
      <c r="F1" s="1"/>
      <c r="G1" s="1"/>
    </row>
    <row r="3" customFormat="false" ht="19.5" hidden="false" customHeight="true" outlineLevel="0" collapsed="false">
      <c r="A3" s="3" t="s">
        <v>23</v>
      </c>
      <c r="B3" s="3" t="s">
        <v>11</v>
      </c>
      <c r="C3" s="3" t="s">
        <v>13</v>
      </c>
      <c r="D3" s="3" t="s">
        <v>15</v>
      </c>
      <c r="E3" s="3" t="s">
        <v>17</v>
      </c>
      <c r="F3" s="3" t="s">
        <v>65</v>
      </c>
      <c r="G3" s="3" t="s">
        <v>24</v>
      </c>
    </row>
    <row r="4" customFormat="false" ht="15" hidden="false" customHeight="false" outlineLevel="0" collapsed="false">
      <c r="A4" s="5" t="s">
        <v>27</v>
      </c>
      <c r="B4" s="6" t="n">
        <v>11376.96</v>
      </c>
      <c r="C4" s="6" t="n">
        <v>139209.01</v>
      </c>
      <c r="D4" s="6" t="n">
        <v>187929.87</v>
      </c>
      <c r="E4" s="6" t="n">
        <v>248013.68</v>
      </c>
      <c r="F4" s="7" t="n">
        <f aca="false">SUM(B4:E4)</f>
        <v>586529.52</v>
      </c>
      <c r="G4" s="21" t="n">
        <f aca="false">COUNTIF(B4:E4,"&gt;0")</f>
        <v>4</v>
      </c>
    </row>
    <row r="5" customFormat="false" ht="15" hidden="false" customHeight="false" outlineLevel="0" collapsed="false">
      <c r="A5" s="5" t="s">
        <v>28</v>
      </c>
      <c r="B5" s="6" t="n">
        <v>74948.84</v>
      </c>
      <c r="C5" s="6" t="n">
        <v>8131.24</v>
      </c>
      <c r="D5" s="6" t="n">
        <v>141063.76</v>
      </c>
      <c r="E5" s="6" t="n">
        <v>101721.98</v>
      </c>
      <c r="F5" s="7" t="n">
        <f aca="false">SUM(B5:E5)</f>
        <v>325865.82</v>
      </c>
      <c r="G5" s="21" t="n">
        <f aca="false">COUNTIF(B5:E5,"&gt;0")</f>
        <v>4</v>
      </c>
    </row>
    <row r="6" customFormat="false" ht="15" hidden="false" customHeight="false" outlineLevel="0" collapsed="false">
      <c r="A6" s="5" t="s">
        <v>29</v>
      </c>
      <c r="B6" s="6" t="n">
        <v>1086.17</v>
      </c>
      <c r="C6" s="6" t="n">
        <v>176571.46</v>
      </c>
      <c r="D6" s="6" t="n">
        <v>43369.79</v>
      </c>
      <c r="E6" s="6" t="n">
        <v>45650.81</v>
      </c>
      <c r="F6" s="7" t="n">
        <f aca="false">SUM(B6:E6)</f>
        <v>266678.23</v>
      </c>
      <c r="G6" s="21" t="n">
        <f aca="false">COUNTIF(B6:E6,"&gt;0")</f>
        <v>4</v>
      </c>
    </row>
    <row r="7" customFormat="false" ht="15" hidden="false" customHeight="false" outlineLevel="0" collapsed="false">
      <c r="A7" s="5" t="s">
        <v>30</v>
      </c>
      <c r="B7" s="6" t="n">
        <v>14095.11</v>
      </c>
      <c r="C7" s="6" t="n">
        <v>72780.98</v>
      </c>
      <c r="D7" s="6" t="n">
        <v>65193.3</v>
      </c>
      <c r="E7" s="6" t="n">
        <v>104759.63</v>
      </c>
      <c r="F7" s="7" t="n">
        <f aca="false">SUM(B7:E7)</f>
        <v>256829.02</v>
      </c>
      <c r="G7" s="21" t="n">
        <f aca="false">COUNTIF(B7:E7,"&gt;0")</f>
        <v>4</v>
      </c>
    </row>
    <row r="8" customFormat="false" ht="15" hidden="false" customHeight="false" outlineLevel="0" collapsed="false">
      <c r="A8" s="5" t="s">
        <v>31</v>
      </c>
      <c r="B8" s="22"/>
      <c r="C8" s="6" t="n">
        <v>17974.5</v>
      </c>
      <c r="D8" s="6" t="n">
        <v>23133.75</v>
      </c>
      <c r="E8" s="6" t="n">
        <v>94572.5</v>
      </c>
      <c r="F8" s="7" t="n">
        <f aca="false">SUM(B8:E8)</f>
        <v>135680.75</v>
      </c>
      <c r="G8" s="21" t="n">
        <f aca="false">COUNTIF(B8:E8,"&gt;0")</f>
        <v>3</v>
      </c>
    </row>
    <row r="9" customFormat="false" ht="15" hidden="false" customHeight="false" outlineLevel="0" collapsed="false">
      <c r="A9" s="5" t="s">
        <v>32</v>
      </c>
      <c r="B9" s="6" t="n">
        <v>1044</v>
      </c>
      <c r="C9" s="6" t="n">
        <v>2840</v>
      </c>
      <c r="D9" s="6" t="n">
        <v>47527.77</v>
      </c>
      <c r="E9" s="6" t="n">
        <v>70651.37</v>
      </c>
      <c r="F9" s="7" t="n">
        <f aca="false">SUM(B9:E9)</f>
        <v>122063.14</v>
      </c>
      <c r="G9" s="21" t="n">
        <f aca="false">COUNTIF(B9:E9,"&gt;0")</f>
        <v>4</v>
      </c>
    </row>
    <row r="10" customFormat="false" ht="15" hidden="false" customHeight="false" outlineLevel="0" collapsed="false">
      <c r="A10" s="5" t="s">
        <v>33</v>
      </c>
      <c r="B10" s="6" t="n">
        <v>2649</v>
      </c>
      <c r="C10" s="6" t="n">
        <v>8076</v>
      </c>
      <c r="D10" s="6" t="n">
        <v>11633</v>
      </c>
      <c r="E10" s="6" t="n">
        <v>16471.05</v>
      </c>
      <c r="F10" s="7" t="n">
        <f aca="false">SUM(B10:E10)</f>
        <v>38829.05</v>
      </c>
      <c r="G10" s="21" t="n">
        <f aca="false">COUNTIF(B10:E10,"&gt;0")</f>
        <v>4</v>
      </c>
    </row>
    <row r="11" customFormat="false" ht="15" hidden="false" customHeight="false" outlineLevel="0" collapsed="false">
      <c r="A11" s="5" t="s">
        <v>34</v>
      </c>
      <c r="B11" s="22"/>
      <c r="C11" s="6" t="n">
        <v>5921</v>
      </c>
      <c r="D11" s="6" t="n">
        <v>8875</v>
      </c>
      <c r="E11" s="6" t="n">
        <v>6463.4</v>
      </c>
      <c r="F11" s="7" t="n">
        <f aca="false">SUM(B11:E11)</f>
        <v>21259.4</v>
      </c>
      <c r="G11" s="21" t="n">
        <f aca="false">COUNTIF(B11:E11,"&gt;0")</f>
        <v>3</v>
      </c>
    </row>
    <row r="12" customFormat="false" ht="15" hidden="false" customHeight="false" outlineLevel="0" collapsed="false">
      <c r="A12" s="5" t="s">
        <v>35</v>
      </c>
      <c r="B12" s="22"/>
      <c r="C12" s="22"/>
      <c r="D12" s="22"/>
      <c r="E12" s="6" t="n">
        <v>19963</v>
      </c>
      <c r="F12" s="7" t="n">
        <f aca="false">SUM(B12:E12)</f>
        <v>19963</v>
      </c>
      <c r="G12" s="21" t="n">
        <f aca="false">COUNTIF(B12:E12,"&gt;0")</f>
        <v>1</v>
      </c>
    </row>
    <row r="13" customFormat="false" ht="15" hidden="false" customHeight="false" outlineLevel="0" collapsed="false">
      <c r="A13" s="5" t="s">
        <v>36</v>
      </c>
      <c r="B13" s="6" t="n">
        <v>205.27</v>
      </c>
      <c r="C13" s="6" t="n">
        <v>112.8</v>
      </c>
      <c r="D13" s="6" t="n">
        <v>431.75</v>
      </c>
      <c r="E13" s="6" t="n">
        <v>18513.01</v>
      </c>
      <c r="F13" s="7" t="n">
        <f aca="false">SUM(B13:E13)</f>
        <v>19262.83</v>
      </c>
      <c r="G13" s="21" t="n">
        <f aca="false">COUNTIF(B13:E13,"&gt;0")</f>
        <v>4</v>
      </c>
    </row>
    <row r="14" customFormat="false" ht="15" hidden="false" customHeight="false" outlineLevel="0" collapsed="false">
      <c r="A14" s="5" t="s">
        <v>37</v>
      </c>
      <c r="B14" s="22"/>
      <c r="C14" s="6" t="n">
        <v>12800</v>
      </c>
      <c r="D14" s="22"/>
      <c r="E14" s="22"/>
      <c r="F14" s="7" t="n">
        <f aca="false">SUM(B14:E14)</f>
        <v>12800</v>
      </c>
      <c r="G14" s="21" t="n">
        <f aca="false">COUNTIF(B14:E14,"&gt;0")</f>
        <v>1</v>
      </c>
    </row>
    <row r="15" customFormat="false" ht="15" hidden="false" customHeight="false" outlineLevel="0" collapsed="false">
      <c r="A15" s="5" t="s">
        <v>38</v>
      </c>
      <c r="B15" s="22"/>
      <c r="C15" s="22"/>
      <c r="D15" s="6" t="n">
        <v>2252.62</v>
      </c>
      <c r="E15" s="6" t="n">
        <v>9870.42</v>
      </c>
      <c r="F15" s="7" t="n">
        <f aca="false">SUM(B15:E15)</f>
        <v>12123.04</v>
      </c>
      <c r="G15" s="21" t="n">
        <f aca="false">COUNTIF(B15:E15,"&gt;0")</f>
        <v>2</v>
      </c>
    </row>
    <row r="16" customFormat="false" ht="15" hidden="false" customHeight="false" outlineLevel="0" collapsed="false">
      <c r="A16" s="5" t="s">
        <v>39</v>
      </c>
      <c r="B16" s="6" t="n">
        <v>897.2</v>
      </c>
      <c r="C16" s="6" t="n">
        <v>4412.21</v>
      </c>
      <c r="D16" s="6" t="n">
        <v>111.82</v>
      </c>
      <c r="E16" s="6" t="n">
        <v>4731.84</v>
      </c>
      <c r="F16" s="7" t="n">
        <f aca="false">SUM(B16:E16)</f>
        <v>10153.07</v>
      </c>
      <c r="G16" s="21" t="n">
        <f aca="false">COUNTIF(B16:E16,"&gt;0")</f>
        <v>4</v>
      </c>
    </row>
    <row r="17" customFormat="false" ht="15" hidden="false" customHeight="false" outlineLevel="0" collapsed="false">
      <c r="A17" s="5" t="s">
        <v>40</v>
      </c>
      <c r="B17" s="22"/>
      <c r="C17" s="22"/>
      <c r="D17" s="22"/>
      <c r="E17" s="6" t="n">
        <v>8878</v>
      </c>
      <c r="F17" s="7" t="n">
        <f aca="false">SUM(B17:E17)</f>
        <v>8878</v>
      </c>
      <c r="G17" s="21" t="n">
        <f aca="false">COUNTIF(B17:E17,"&gt;0")</f>
        <v>1</v>
      </c>
    </row>
    <row r="18" customFormat="false" ht="15" hidden="false" customHeight="false" outlineLevel="0" collapsed="false">
      <c r="A18" s="5" t="s">
        <v>41</v>
      </c>
      <c r="B18" s="22"/>
      <c r="C18" s="6" t="n">
        <v>811.46</v>
      </c>
      <c r="D18" s="6" t="n">
        <v>934.77</v>
      </c>
      <c r="E18" s="6" t="n">
        <v>4012.56</v>
      </c>
      <c r="F18" s="7" t="n">
        <f aca="false">SUM(B18:E18)</f>
        <v>5758.79</v>
      </c>
      <c r="G18" s="21" t="n">
        <f aca="false">COUNTIF(B18:E18,"&gt;0")</f>
        <v>3</v>
      </c>
    </row>
    <row r="19" customFormat="false" ht="15" hidden="false" customHeight="false" outlineLevel="0" collapsed="false">
      <c r="A19" s="5" t="s">
        <v>42</v>
      </c>
      <c r="B19" s="22"/>
      <c r="C19" s="6" t="n">
        <v>1340.48</v>
      </c>
      <c r="D19" s="6" t="n">
        <v>637.54</v>
      </c>
      <c r="E19" s="6" t="n">
        <v>2674.82</v>
      </c>
      <c r="F19" s="7" t="n">
        <f aca="false">SUM(B19:E19)</f>
        <v>4652.84</v>
      </c>
      <c r="G19" s="21" t="n">
        <f aca="false">COUNTIF(B19:E19,"&gt;0")</f>
        <v>3</v>
      </c>
    </row>
    <row r="20" customFormat="false" ht="15" hidden="false" customHeight="false" outlineLevel="0" collapsed="false">
      <c r="A20" s="5" t="s">
        <v>43</v>
      </c>
      <c r="B20" s="22"/>
      <c r="C20" s="22"/>
      <c r="D20" s="22"/>
      <c r="E20" s="6" t="n">
        <v>3908</v>
      </c>
      <c r="F20" s="7" t="n">
        <f aca="false">SUM(B20:E20)</f>
        <v>3908</v>
      </c>
      <c r="G20" s="21" t="n">
        <f aca="false">COUNTIF(B20:E20,"&gt;0")</f>
        <v>1</v>
      </c>
    </row>
    <row r="21" customFormat="false" ht="15" hidden="false" customHeight="false" outlineLevel="0" collapsed="false">
      <c r="A21" s="5" t="s">
        <v>44</v>
      </c>
      <c r="B21" s="22"/>
      <c r="C21" s="6" t="n">
        <v>2465</v>
      </c>
      <c r="D21" s="22"/>
      <c r="E21" s="6" t="n">
        <v>90</v>
      </c>
      <c r="F21" s="7" t="n">
        <f aca="false">SUM(B21:E21)</f>
        <v>2555</v>
      </c>
      <c r="G21" s="21" t="n">
        <f aca="false">COUNTIF(B21:E21,"&gt;0")</f>
        <v>2</v>
      </c>
    </row>
    <row r="22" customFormat="false" ht="15" hidden="false" customHeight="false" outlineLevel="0" collapsed="false">
      <c r="A22" s="5" t="s">
        <v>45</v>
      </c>
      <c r="B22" s="22"/>
      <c r="C22" s="22"/>
      <c r="D22" s="6" t="n">
        <v>500</v>
      </c>
      <c r="E22" s="6" t="n">
        <v>1775</v>
      </c>
      <c r="F22" s="7" t="n">
        <f aca="false">SUM(B22:E22)</f>
        <v>2275</v>
      </c>
      <c r="G22" s="21" t="n">
        <f aca="false">COUNTIF(B22:E22,"&gt;0")</f>
        <v>2</v>
      </c>
    </row>
    <row r="23" customFormat="false" ht="15" hidden="false" customHeight="false" outlineLevel="0" collapsed="false">
      <c r="A23" s="5" t="s">
        <v>46</v>
      </c>
      <c r="B23" s="22"/>
      <c r="C23" s="6" t="n">
        <v>2140</v>
      </c>
      <c r="D23" s="22"/>
      <c r="E23" s="22"/>
      <c r="F23" s="7" t="n">
        <f aca="false">SUM(B23:E23)</f>
        <v>2140</v>
      </c>
      <c r="G23" s="21" t="n">
        <f aca="false">COUNTIF(B23:E23,"&gt;0")</f>
        <v>1</v>
      </c>
    </row>
    <row r="24" customFormat="false" ht="15" hidden="false" customHeight="false" outlineLevel="0" collapsed="false">
      <c r="A24" s="5" t="s">
        <v>47</v>
      </c>
      <c r="B24" s="22"/>
      <c r="C24" s="6" t="n">
        <v>702.97</v>
      </c>
      <c r="D24" s="6" t="n">
        <v>654.66</v>
      </c>
      <c r="E24" s="6" t="n">
        <v>607.04</v>
      </c>
      <c r="F24" s="7" t="n">
        <f aca="false">SUM(B24:E24)</f>
        <v>1964.67</v>
      </c>
      <c r="G24" s="21" t="n">
        <f aca="false">COUNTIF(B24:E24,"&gt;0")</f>
        <v>3</v>
      </c>
    </row>
    <row r="25" customFormat="false" ht="15" hidden="false" customHeight="false" outlineLevel="0" collapsed="false">
      <c r="A25" s="5" t="s">
        <v>48</v>
      </c>
      <c r="B25" s="22"/>
      <c r="C25" s="22"/>
      <c r="D25" s="22"/>
      <c r="E25" s="6" t="n">
        <v>1526.25</v>
      </c>
      <c r="F25" s="7" t="n">
        <f aca="false">SUM(B25:E25)</f>
        <v>1526.25</v>
      </c>
      <c r="G25" s="21" t="n">
        <f aca="false">COUNTIF(B25:E25,"&gt;0")</f>
        <v>1</v>
      </c>
    </row>
    <row r="26" customFormat="false" ht="15" hidden="false" customHeight="false" outlineLevel="0" collapsed="false">
      <c r="A26" s="5" t="s">
        <v>49</v>
      </c>
      <c r="B26" s="22"/>
      <c r="C26" s="6" t="n">
        <v>1134.15</v>
      </c>
      <c r="D26" s="6" t="n">
        <v>29.39</v>
      </c>
      <c r="E26" s="22"/>
      <c r="F26" s="7" t="n">
        <f aca="false">SUM(B26:E26)</f>
        <v>1163.54</v>
      </c>
      <c r="G26" s="21" t="n">
        <f aca="false">COUNTIF(B26:E26,"&gt;0")</f>
        <v>2</v>
      </c>
    </row>
    <row r="27" customFormat="false" ht="15" hidden="false" customHeight="false" outlineLevel="0" collapsed="false">
      <c r="A27" s="5" t="s">
        <v>50</v>
      </c>
      <c r="B27" s="22"/>
      <c r="C27" s="6" t="n">
        <v>258.11</v>
      </c>
      <c r="D27" s="6" t="n">
        <v>372.77</v>
      </c>
      <c r="E27" s="6" t="n">
        <v>351.93</v>
      </c>
      <c r="F27" s="7" t="n">
        <f aca="false">SUM(B27:E27)</f>
        <v>982.81</v>
      </c>
      <c r="G27" s="21" t="n">
        <f aca="false">COUNTIF(B27:E27,"&gt;0")</f>
        <v>3</v>
      </c>
    </row>
    <row r="28" customFormat="false" ht="15" hidden="false" customHeight="false" outlineLevel="0" collapsed="false">
      <c r="A28" s="5" t="s">
        <v>51</v>
      </c>
      <c r="B28" s="22"/>
      <c r="C28" s="22"/>
      <c r="D28" s="22"/>
      <c r="E28" s="6" t="n">
        <v>671.5</v>
      </c>
      <c r="F28" s="7" t="n">
        <f aca="false">SUM(B28:E28)</f>
        <v>671.5</v>
      </c>
      <c r="G28" s="21" t="n">
        <f aca="false">COUNTIF(B28:E28,"&gt;0")</f>
        <v>1</v>
      </c>
    </row>
    <row r="29" customFormat="false" ht="15" hidden="false" customHeight="false" outlineLevel="0" collapsed="false">
      <c r="A29" s="5" t="s">
        <v>52</v>
      </c>
      <c r="B29" s="22"/>
      <c r="C29" s="6" t="n">
        <v>500</v>
      </c>
      <c r="D29" s="22"/>
      <c r="E29" s="22"/>
      <c r="F29" s="7" t="n">
        <f aca="false">SUM(B29:E29)</f>
        <v>500</v>
      </c>
      <c r="G29" s="21" t="n">
        <f aca="false">COUNTIF(B29:E29,"&gt;0")</f>
        <v>1</v>
      </c>
    </row>
    <row r="30" customFormat="false" ht="15" hidden="false" customHeight="false" outlineLevel="0" collapsed="false">
      <c r="A30" s="5" t="s">
        <v>53</v>
      </c>
      <c r="B30" s="22"/>
      <c r="C30" s="22"/>
      <c r="D30" s="22"/>
      <c r="E30" s="6" t="n">
        <v>470.35</v>
      </c>
      <c r="F30" s="7" t="n">
        <f aca="false">SUM(B30:E30)</f>
        <v>470.35</v>
      </c>
      <c r="G30" s="21" t="n">
        <f aca="false">COUNTIF(B30:E30,"&gt;0")</f>
        <v>1</v>
      </c>
    </row>
    <row r="31" customFormat="false" ht="15" hidden="false" customHeight="false" outlineLevel="0" collapsed="false">
      <c r="A31" s="5" t="s">
        <v>54</v>
      </c>
      <c r="B31" s="6" t="n">
        <v>50</v>
      </c>
      <c r="C31" s="6" t="n">
        <v>195</v>
      </c>
      <c r="D31" s="6" t="n">
        <v>191.7</v>
      </c>
      <c r="E31" s="22"/>
      <c r="F31" s="7" t="n">
        <f aca="false">SUM(B31:E31)</f>
        <v>436.7</v>
      </c>
      <c r="G31" s="21" t="n">
        <f aca="false">COUNTIF(B31:E31,"&gt;0")</f>
        <v>3</v>
      </c>
    </row>
    <row r="32" customFormat="false" ht="15" hidden="false" customHeight="false" outlineLevel="0" collapsed="false">
      <c r="A32" s="5" t="s">
        <v>55</v>
      </c>
      <c r="B32" s="22"/>
      <c r="C32" s="22"/>
      <c r="D32" s="6" t="n">
        <v>354.99</v>
      </c>
      <c r="E32" s="22"/>
      <c r="F32" s="7" t="n">
        <f aca="false">SUM(B32:E32)</f>
        <v>354.99</v>
      </c>
      <c r="G32" s="21" t="n">
        <f aca="false">COUNTIF(B32:E32,"&gt;0")</f>
        <v>1</v>
      </c>
    </row>
    <row r="33" customFormat="false" ht="15" hidden="false" customHeight="false" outlineLevel="0" collapsed="false">
      <c r="A33" s="5" t="s">
        <v>56</v>
      </c>
      <c r="B33" s="22"/>
      <c r="C33" s="22"/>
      <c r="D33" s="22"/>
      <c r="E33" s="6" t="n">
        <v>155</v>
      </c>
      <c r="F33" s="7" t="n">
        <f aca="false">SUM(B33:E33)</f>
        <v>155</v>
      </c>
      <c r="G33" s="21" t="n">
        <f aca="false">COUNTIF(B33:E33,"&gt;0")</f>
        <v>1</v>
      </c>
    </row>
    <row r="34" customFormat="false" ht="15" hidden="false" customHeight="false" outlineLevel="0" collapsed="false">
      <c r="A34" s="5" t="s">
        <v>57</v>
      </c>
      <c r="B34" s="22"/>
      <c r="C34" s="22"/>
      <c r="D34" s="22"/>
      <c r="E34" s="6" t="n">
        <v>150.11</v>
      </c>
      <c r="F34" s="7" t="n">
        <f aca="false">SUM(B34:E34)</f>
        <v>150.11</v>
      </c>
      <c r="G34" s="21" t="n">
        <f aca="false">COUNTIF(B34:E34,"&gt;0")</f>
        <v>1</v>
      </c>
    </row>
    <row r="35" customFormat="false" ht="15" hidden="false" customHeight="false" outlineLevel="0" collapsed="false">
      <c r="A35" s="13" t="s">
        <v>19</v>
      </c>
      <c r="B35" s="14" t="n">
        <f aca="false">SUM(B4:B34)</f>
        <v>106352.55</v>
      </c>
      <c r="C35" s="14" t="n">
        <f aca="false">SUM(C4:C34)</f>
        <v>458376.37</v>
      </c>
      <c r="D35" s="14" t="n">
        <f aca="false">SUM(D4:D34)</f>
        <v>535198.25</v>
      </c>
      <c r="E35" s="14" t="n">
        <f aca="false">SUM(E4:E34)</f>
        <v>766653.25</v>
      </c>
      <c r="F35" s="14" t="n">
        <f aca="false">SUM(F4:F34)</f>
        <v>1866580.42</v>
      </c>
      <c r="G35" s="1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2026-04-09T16:41:07Z</dcterms:created>
  <dc:creator>openpyxl</dc:creator>
  <dc:description/>
  <dc:language>en-US</dc:language>
  <cp:lastModifiedBy/>
  <dcterms:modified xsi:type="dcterms:W3CDTF">2026-04-09T16:41:08Z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