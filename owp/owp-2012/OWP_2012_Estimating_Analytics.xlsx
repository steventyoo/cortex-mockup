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ummary" sheetId="1" state="visible" r:id="rId3"/>
    <sheet name="Labor by Phase" sheetId="2" state="visible" r:id="rId4"/>
    <sheet name="Material by Phase" sheetId="3" state="visible" r:id="rId5"/>
    <sheet name="Other Costs" sheetId="4" state="visible" r:id="rId6"/>
    <sheet name="Per-Unit Metrics" sheetId="5" state="visible" r:id="rId7"/>
    <sheet name="Budget Variance" sheetId="6" state="visible" r:id="rId8"/>
    <sheet name="Crew Analysis" sheetId="7" state="visible" r:id="rId9"/>
    <sheet name="Bidding Insights" sheetId="8" state="visible" r:id="rId10"/>
    <sheet name="Vendor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<sst xmlns="http://schemas.openxmlformats.org/spreadsheetml/2006/main" count="435" uniqueCount="336">
  <si>
    <t xml:space="preserve">OWP Job #2012 - Exxel 8th Ave Apartments - Project Financial Summary</t>
  </si>
  <si>
    <t xml:space="preserve">Metric</t>
  </si>
  <si>
    <t xml:space="preserve">Value</t>
  </si>
  <si>
    <t xml:space="preserve">Notes</t>
  </si>
  <si>
    <t xml:space="preserve">Contract Value</t>
  </si>
  <si>
    <t xml:space="preserve">Original contract</t>
  </si>
  <si>
    <t xml:space="preserve">Billed Revenue (AR)</t>
  </si>
  <si>
    <t xml:space="preserve">Total invoiced to Exxel Pacific</t>
  </si>
  <si>
    <t xml:space="preserve">Total Direct Expenses</t>
  </si>
  <si>
    <t xml:space="preserve">PR + AP + GL</t>
  </si>
  <si>
    <t xml:space="preserve">JCR Net Profit</t>
  </si>
  <si>
    <t xml:space="preserve">Revenue - Expenses</t>
  </si>
  <si>
    <t xml:space="preserve">JCR Profit Margin</t>
  </si>
  <si>
    <t xml:space="preserve">Before payroll burden &amp; G&amp;A</t>
  </si>
  <si>
    <t xml:space="preserve">Retainage Held</t>
  </si>
  <si>
    <t xml:space="preserve">5% of revenue</t>
  </si>
  <si>
    <t xml:space="preserve">Payroll (PR)</t>
  </si>
  <si>
    <t xml:space="preserve">51.3% of expenses</t>
  </si>
  <si>
    <t xml:space="preserve">Accounts Payable (AP)</t>
  </si>
  <si>
    <t xml:space="preserve">47.6% of expenses</t>
  </si>
  <si>
    <t xml:space="preserve">General Ledger (GL)</t>
  </si>
  <si>
    <t xml:space="preserve">1.1% of expenses</t>
  </si>
  <si>
    <t xml:space="preserve">Labor-to-Material Ratio</t>
  </si>
  <si>
    <t xml:space="preserve">PR / (AP+GL)</t>
  </si>
  <si>
    <t xml:space="preserve">Project Duration</t>
  </si>
  <si>
    <t xml:space="preserve">~17 months</t>
  </si>
  <si>
    <t xml:space="preserve">Jan 2013 - Jun 2014</t>
  </si>
  <si>
    <t xml:space="preserve">Units</t>
  </si>
  <si>
    <t xml:space="preserve">Apartments</t>
  </si>
  <si>
    <t xml:space="preserve">Building Type</t>
  </si>
  <si>
    <t xml:space="preserve">Mid-rise multifamily</t>
  </si>
  <si>
    <t xml:space="preserve">5+ stories, Seattle WA</t>
  </si>
  <si>
    <t xml:space="preserve">Trade</t>
  </si>
  <si>
    <t xml:space="preserve">Plumbing (Division 22)</t>
  </si>
  <si>
    <t xml:space="preserve">GC</t>
  </si>
  <si>
    <t xml:space="preserve">Exxel Pacific, Inc.</t>
  </si>
  <si>
    <t xml:space="preserve">Total Unique Workers</t>
  </si>
  <si>
    <t xml:space="preserve">18 roughin + 10 finish</t>
  </si>
  <si>
    <t xml:space="preserve">Total Labor Hours</t>
  </si>
  <si>
    <t xml:space="preserve">All cost codes</t>
  </si>
  <si>
    <t xml:space="preserve">Labor Cost by Phase - Budget vs Actual</t>
  </si>
  <si>
    <t xml:space="preserve">Cost Code</t>
  </si>
  <si>
    <t xml:space="preserve">Phase</t>
  </si>
  <si>
    <t xml:space="preserve">Budget</t>
  </si>
  <si>
    <t xml:space="preserve">Actual</t>
  </si>
  <si>
    <t xml:space="preserve">Variance ($)</t>
  </si>
  <si>
    <t xml:space="preserve">Variance (%)</t>
  </si>
  <si>
    <t xml:space="preserve">Hours</t>
  </si>
  <si>
    <t xml:space="preserve">Avg $/Hr</t>
  </si>
  <si>
    <t xml:space="preserve">120</t>
  </si>
  <si>
    <t xml:space="preserve">Roughin Labor</t>
  </si>
  <si>
    <t xml:space="preserve">130</t>
  </si>
  <si>
    <t xml:space="preserve">Finish Labor</t>
  </si>
  <si>
    <t xml:space="preserve">111</t>
  </si>
  <si>
    <t xml:space="preserve">Garage Labor</t>
  </si>
  <si>
    <t xml:space="preserve">141</t>
  </si>
  <si>
    <t xml:space="preserve">Water Main/Insulation</t>
  </si>
  <si>
    <t xml:space="preserve">142</t>
  </si>
  <si>
    <t xml:space="preserve">Mech Room</t>
  </si>
  <si>
    <t xml:space="preserve">145</t>
  </si>
  <si>
    <t xml:space="preserve">Tub/Shower Labor</t>
  </si>
  <si>
    <t xml:space="preserve">101</t>
  </si>
  <si>
    <t xml:space="preserve">Takeoff &amp; Purchase</t>
  </si>
  <si>
    <t xml:space="preserve">100</t>
  </si>
  <si>
    <t xml:space="preserve">Supervision</t>
  </si>
  <si>
    <t xml:space="preserve">112</t>
  </si>
  <si>
    <t xml:space="preserve">Canout Labor</t>
  </si>
  <si>
    <t xml:space="preserve">011</t>
  </si>
  <si>
    <t xml:space="preserve">DS &amp; RD Labor</t>
  </si>
  <si>
    <t xml:space="preserve">110</t>
  </si>
  <si>
    <t xml:space="preserve">Underground Labor</t>
  </si>
  <si>
    <t xml:space="preserve">140</t>
  </si>
  <si>
    <t xml:space="preserve">Gas Labor</t>
  </si>
  <si>
    <t xml:space="preserve">113</t>
  </si>
  <si>
    <t xml:space="preserve">Foundation Drain</t>
  </si>
  <si>
    <t xml:space="preserve">TOTAL</t>
  </si>
  <si>
    <t xml:space="preserve">Material Cost by Phase - Budget vs Actual</t>
  </si>
  <si>
    <t xml:space="preserve">220</t>
  </si>
  <si>
    <t xml:space="preserve">Roughin Material</t>
  </si>
  <si>
    <t xml:space="preserve">039</t>
  </si>
  <si>
    <t xml:space="preserve">DS &amp; RD Material</t>
  </si>
  <si>
    <t xml:space="preserve">212</t>
  </si>
  <si>
    <t xml:space="preserve">Canout Material</t>
  </si>
  <si>
    <t xml:space="preserve">211</t>
  </si>
  <si>
    <t xml:space="preserve">Garage Material</t>
  </si>
  <si>
    <t xml:space="preserve">245</t>
  </si>
  <si>
    <t xml:space="preserve">Tub/Shower Material</t>
  </si>
  <si>
    <t xml:space="preserve">N/A</t>
  </si>
  <si>
    <t xml:space="preserve">213</t>
  </si>
  <si>
    <t xml:space="preserve">Foundation Material</t>
  </si>
  <si>
    <t xml:space="preserve">210</t>
  </si>
  <si>
    <t xml:space="preserve">Underground Material</t>
  </si>
  <si>
    <t xml:space="preserve">Subs, Overhead &amp; Other Costs</t>
  </si>
  <si>
    <t xml:space="preserve">Category</t>
  </si>
  <si>
    <t xml:space="preserve">Type</t>
  </si>
  <si>
    <t xml:space="preserve">601</t>
  </si>
  <si>
    <t xml:space="preserve">Engineering/Plans</t>
  </si>
  <si>
    <t xml:space="preserve">Subcontractor</t>
  </si>
  <si>
    <t xml:space="preserve">603</t>
  </si>
  <si>
    <t xml:space="preserve">Permits &amp; Licenses</t>
  </si>
  <si>
    <t xml:space="preserve">Overhead</t>
  </si>
  <si>
    <t xml:space="preserve">130OH</t>
  </si>
  <si>
    <t xml:space="preserve">Overhead 1 (Payroll)</t>
  </si>
  <si>
    <t xml:space="preserve">Burden</t>
  </si>
  <si>
    <t xml:space="preserve">604</t>
  </si>
  <si>
    <t xml:space="preserve">Backcharges</t>
  </si>
  <si>
    <t xml:space="preserve">600</t>
  </si>
  <si>
    <t xml:space="preserve">607</t>
  </si>
  <si>
    <t xml:space="preserve">Other Expenses</t>
  </si>
  <si>
    <t xml:space="preserve">Per-Unit Estimating Benchmarks (163 Units)</t>
  </si>
  <si>
    <t xml:space="preserve">Total</t>
  </si>
  <si>
    <t xml:space="preserve">Per Unit</t>
  </si>
  <si>
    <t xml:space="preserve">% of Revenue</t>
  </si>
  <si>
    <t xml:space="preserve">Revenue</t>
  </si>
  <si>
    <t xml:space="preserve">Total Direct Cost</t>
  </si>
  <si>
    <t xml:space="preserve">Labor (PR)</t>
  </si>
  <si>
    <t xml:space="preserve">Material (AP+GL)</t>
  </si>
  <si>
    <t xml:space="preserve">Water Main/Insulation Labor</t>
  </si>
  <si>
    <t xml:space="preserve">Mech Room Labor</t>
  </si>
  <si>
    <t xml:space="preserve">Labor Hours per Unit</t>
  </si>
  <si>
    <t xml:space="preserve">Total Hours</t>
  </si>
  <si>
    <t xml:space="preserve">Hours/Unit</t>
  </si>
  <si>
    <t xml:space="preserve">% of Total</t>
  </si>
  <si>
    <t xml:space="preserve">Roughin</t>
  </si>
  <si>
    <t xml:space="preserve">Finish</t>
  </si>
  <si>
    <t xml:space="preserve">Garage</t>
  </si>
  <si>
    <t xml:space="preserve">Tub/Shower</t>
  </si>
  <si>
    <t xml:space="preserve">Canout</t>
  </si>
  <si>
    <t xml:space="preserve">DS &amp; RD</t>
  </si>
  <si>
    <t xml:space="preserve">Underground</t>
  </si>
  <si>
    <t xml:space="preserve">Gas</t>
  </si>
  <si>
    <t xml:space="preserve">Budget Variance Analysis - Top Savings &amp; Overruns</t>
  </si>
  <si>
    <t xml:space="preserve">TOP OVERRUNS (Over Budget)</t>
  </si>
  <si>
    <t xml:space="preserve">Overage ($)</t>
  </si>
  <si>
    <t xml:space="preserve">Overage (%)</t>
  </si>
  <si>
    <t xml:space="preserve">Impact</t>
  </si>
  <si>
    <t xml:space="preserve">120 - Roughin Labor</t>
  </si>
  <si>
    <t xml:space="preserve">Biggest $ risk — 64% of labor hours</t>
  </si>
  <si>
    <t xml:space="preserve">220 - Roughin Material</t>
  </si>
  <si>
    <t xml:space="preserve">Material usage underestimated</t>
  </si>
  <si>
    <t xml:space="preserve">142 - Mech Room Labor</t>
  </si>
  <si>
    <t xml:space="preserve">Worst % overrun — complex manifolds</t>
  </si>
  <si>
    <t xml:space="preserve">111 - Garage Labor</t>
  </si>
  <si>
    <t xml:space="preserve">Below-grade coordination delays</t>
  </si>
  <si>
    <t xml:space="preserve">130 - Finish Labor</t>
  </si>
  <si>
    <t xml:space="preserve">Punch list on 163 units adds up</t>
  </si>
  <si>
    <t xml:space="preserve">245 - Tub/Shower Material</t>
  </si>
  <si>
    <t xml:space="preserve">Unbudgeted — missed in estimate</t>
  </si>
  <si>
    <t xml:space="preserve">604 - Backcharges</t>
  </si>
  <si>
    <t xml:space="preserve">Unbudgeted — GC backcharges</t>
  </si>
  <si>
    <t xml:space="preserve">TOP SAVINGS (Under Budget)</t>
  </si>
  <si>
    <t xml:space="preserve">Savings ($)</t>
  </si>
  <si>
    <t xml:space="preserve">Savings (%)</t>
  </si>
  <si>
    <t xml:space="preserve">141 - Water Main/Insulation</t>
  </si>
  <si>
    <t xml:space="preserve">Est too conservative or scope change</t>
  </si>
  <si>
    <t xml:space="preserve">607 - Other Expenses</t>
  </si>
  <si>
    <t xml:space="preserve">Budget not used — may be misallocated</t>
  </si>
  <si>
    <t xml:space="preserve">145 - Tub/Shower Labor</t>
  </si>
  <si>
    <t xml:space="preserve">Scope possibly reduced</t>
  </si>
  <si>
    <t xml:space="preserve">011 - DS &amp; RD Labor</t>
  </si>
  <si>
    <t xml:space="preserve">Less design work than expected</t>
  </si>
  <si>
    <t xml:space="preserve">601 - Engineering/Plans</t>
  </si>
  <si>
    <t xml:space="preserve">Franklin Eng efficient</t>
  </si>
  <si>
    <t xml:space="preserve">112 - Canout Labor</t>
  </si>
  <si>
    <t xml:space="preserve">Crew efficiency</t>
  </si>
  <si>
    <t xml:space="preserve">101 - Takeoff &amp; Purchase</t>
  </si>
  <si>
    <t xml:space="preserve">Efficient procurement</t>
  </si>
  <si>
    <t xml:space="preserve">Crew Composition &amp; Wage Rate Analysis</t>
  </si>
  <si>
    <t xml:space="preserve">Worker</t>
  </si>
  <si>
    <t xml:space="preserve">Employee Code</t>
  </si>
  <si>
    <t xml:space="preserve">Role/Tier</t>
  </si>
  <si>
    <t xml:space="preserve">Est. Gross Rate ($/hr)</t>
  </si>
  <si>
    <t xml:space="preserve">Primary Phases</t>
  </si>
  <si>
    <t xml:space="preserve">Gerard, Jeffrey S</t>
  </si>
  <si>
    <t xml:space="preserve">GE69</t>
  </si>
  <si>
    <t xml:space="preserve">Superintendent</t>
  </si>
  <si>
    <t xml:space="preserve">Supervision, Takeoff, Roughin</t>
  </si>
  <si>
    <t xml:space="preserve">Quintanilla, Esteban R</t>
  </si>
  <si>
    <t xml:space="preserve">QU35</t>
  </si>
  <si>
    <t xml:space="preserve">Lead Journeyman</t>
  </si>
  <si>
    <t xml:space="preserve">Roughin, Mech Room, Garage</t>
  </si>
  <si>
    <t xml:space="preserve">Sanders, Allen O</t>
  </si>
  <si>
    <t xml:space="preserve">SA54</t>
  </si>
  <si>
    <t xml:space="preserve">Waites, Thaddeus Z</t>
  </si>
  <si>
    <t xml:space="preserve">WA35</t>
  </si>
  <si>
    <t xml:space="preserve">Finish, Roughin</t>
  </si>
  <si>
    <t xml:space="preserve">Castro Hernandez, Carlos E</t>
  </si>
  <si>
    <t xml:space="preserve">CA75</t>
  </si>
  <si>
    <t xml:space="preserve">Journeyman</t>
  </si>
  <si>
    <t xml:space="preserve">DS&amp;RD, Roughin</t>
  </si>
  <si>
    <t xml:space="preserve">Veley, Nathaniel S</t>
  </si>
  <si>
    <t xml:space="preserve">VE45</t>
  </si>
  <si>
    <t xml:space="preserve">Roughin, Underground, Canout</t>
  </si>
  <si>
    <t xml:space="preserve">Palma Vides, Hugo</t>
  </si>
  <si>
    <t xml:space="preserve">PA46</t>
  </si>
  <si>
    <t xml:space="preserve">Roughin, DS&amp;RD</t>
  </si>
  <si>
    <t xml:space="preserve">Cortes Mendiola, Victor H</t>
  </si>
  <si>
    <t xml:space="preserve">CO71</t>
  </si>
  <si>
    <t xml:space="preserve">Roughin, Garage</t>
  </si>
  <si>
    <t xml:space="preserve">Sepulveda Gonzalez, Alfredo</t>
  </si>
  <si>
    <t xml:space="preserve">SE64</t>
  </si>
  <si>
    <t xml:space="preserve">Lima Romero, Melvin A</t>
  </si>
  <si>
    <t xml:space="preserve">LI49</t>
  </si>
  <si>
    <t xml:space="preserve">Roughin, Underground</t>
  </si>
  <si>
    <t xml:space="preserve">Rivera, Jorge A</t>
  </si>
  <si>
    <t xml:space="preserve">RI87</t>
  </si>
  <si>
    <t xml:space="preserve">Roughin, Tub/Shower</t>
  </si>
  <si>
    <t xml:space="preserve">Meza Fuentes, Erick A</t>
  </si>
  <si>
    <t xml:space="preserve">ME98</t>
  </si>
  <si>
    <t xml:space="preserve">Finish Lead</t>
  </si>
  <si>
    <t xml:space="preserve">Castaneda Martinez, Gustavo</t>
  </si>
  <si>
    <t xml:space="preserve">CA74</t>
  </si>
  <si>
    <t xml:space="preserve">Castro Hernandez, Jose A</t>
  </si>
  <si>
    <t xml:space="preserve">CA77</t>
  </si>
  <si>
    <t xml:space="preserve">Castaneda Juarez, Edgar D</t>
  </si>
  <si>
    <t xml:space="preserve">CA72</t>
  </si>
  <si>
    <t xml:space="preserve">Finisher</t>
  </si>
  <si>
    <t xml:space="preserve">Garcia, Jordan X</t>
  </si>
  <si>
    <t xml:space="preserve">GA70</t>
  </si>
  <si>
    <t xml:space="preserve">Spears, Gregory M</t>
  </si>
  <si>
    <t xml:space="preserve">SP17</t>
  </si>
  <si>
    <t xml:space="preserve">Apprentice</t>
  </si>
  <si>
    <t xml:space="preserve">Holmes, Anthony R</t>
  </si>
  <si>
    <t xml:space="preserve">HO14</t>
  </si>
  <si>
    <t xml:space="preserve">Monico Brambila, Jesus S</t>
  </si>
  <si>
    <t xml:space="preserve">MO54</t>
  </si>
  <si>
    <t xml:space="preserve">Soto Cruz, Jovani</t>
  </si>
  <si>
    <t xml:space="preserve">SO78</t>
  </si>
  <si>
    <t xml:space="preserve">Soto Serna, Cesar E</t>
  </si>
  <si>
    <t xml:space="preserve">SO79</t>
  </si>
  <si>
    <t xml:space="preserve">Vaughan, Tyler J</t>
  </si>
  <si>
    <t xml:space="preserve">VA86</t>
  </si>
  <si>
    <t xml:space="preserve">Wilson, Garret A</t>
  </si>
  <si>
    <t xml:space="preserve">WI46</t>
  </si>
  <si>
    <t xml:space="preserve">Ramos Garcia, Jose M</t>
  </si>
  <si>
    <t xml:space="preserve">RA54</t>
  </si>
  <si>
    <t xml:space="preserve">Gonzalez Hernandez, Josue</t>
  </si>
  <si>
    <t xml:space="preserve">GO56</t>
  </si>
  <si>
    <t xml:space="preserve">Plumber</t>
  </si>
  <si>
    <t xml:space="preserve">Roughin, Finish</t>
  </si>
  <si>
    <t xml:space="preserve">Chavarria Lopez, Omar A</t>
  </si>
  <si>
    <t xml:space="preserve">CH04</t>
  </si>
  <si>
    <t xml:space="preserve">Vega Arriaga, Jorge</t>
  </si>
  <si>
    <t xml:space="preserve">VE25</t>
  </si>
  <si>
    <t xml:space="preserve">Rivera, Eli P</t>
  </si>
  <si>
    <t xml:space="preserve">RI84</t>
  </si>
  <si>
    <t xml:space="preserve">Rate Tier Summary</t>
  </si>
  <si>
    <t xml:space="preserve">Tier</t>
  </si>
  <si>
    <t xml:space="preserve">Rate Range</t>
  </si>
  <si>
    <t xml:space="preserve">Count</t>
  </si>
  <si>
    <t xml:space="preserve">Use For Estimating</t>
  </si>
  <si>
    <t xml:space="preserve">$33-38/hr</t>
  </si>
  <si>
    <t xml:space="preserve">1 per project, full duration</t>
  </si>
  <si>
    <t xml:space="preserve">$28-31/hr</t>
  </si>
  <si>
    <t xml:space="preserve">1-2 per crew, lead pipe fitting</t>
  </si>
  <si>
    <t xml:space="preserve">$20-27/hr</t>
  </si>
  <si>
    <t xml:space="preserve">Core installation crew</t>
  </si>
  <si>
    <t xml:space="preserve">$12-16/hr</t>
  </si>
  <si>
    <t xml:space="preserve">Support, material handling</t>
  </si>
  <si>
    <t xml:space="preserve">Helper/Plumber</t>
  </si>
  <si>
    <t xml:space="preserve">$12-14/hr</t>
  </si>
  <si>
    <t xml:space="preserve">Assist journeymen</t>
  </si>
  <si>
    <t xml:space="preserve">Key Estimating Insights for Future Bidding</t>
  </si>
  <si>
    <t xml:space="preserve">#</t>
  </si>
  <si>
    <t xml:space="preserve">Insight</t>
  </si>
  <si>
    <t xml:space="preserve">Recommendation</t>
  </si>
  <si>
    <t xml:space="preserve">Roughin labor is the #1 cost risk — 64% of hours, 27% over budget</t>
  </si>
  <si>
    <t xml:space="preserve">Estimate ~57 roughin hours/unit min. Add 15-20% contingency on mid-rise multifamily.</t>
  </si>
  <si>
    <t xml:space="preserve">Labor-to-material ratio is nearly 1:1 ($440K vs $418K)</t>
  </si>
  <si>
    <t xml:space="preserve">Use 50/50 split as sanity check on future plumbing bids.</t>
  </si>
  <si>
    <t xml:space="preserve">Mech room was 178% over budget ($9,784 vs $3,525)</t>
  </si>
  <si>
    <t xml:space="preserve">Budget mech rooms at 2-3x initial estimate. Complex manifolds and circ pumps are always underestimated.</t>
  </si>
  <si>
    <t xml:space="preserve">Garage/below-grade was 33% over budget</t>
  </si>
  <si>
    <t xml:space="preserve">Add 25-35% contingency for underground/garage work. Coordination with concrete pours is unpredictable.</t>
  </si>
  <si>
    <t xml:space="preserve">Roughin material was 89% over budget ($22.7K vs $12K)</t>
  </si>
  <si>
    <t xml:space="preserve">Double material budget for roughin. Waste/rework factor is higher than other phases.</t>
  </si>
  <si>
    <t xml:space="preserve">Finish labor went 12% over on 163 units</t>
  </si>
  <si>
    <t xml:space="preserve">Budget ~11.3 hrs/unit for finish. Punch lists compound at scale — add $25/unit buffer.</t>
  </si>
  <si>
    <t xml:space="preserve">Water Main/Insulation was 62% UNDER budget</t>
  </si>
  <si>
    <t xml:space="preserve">Tighten this estimate by 40-50%. Current budgeting is too conservative.</t>
  </si>
  <si>
    <t xml:space="preserve">Tub/Shower was 66% UNDER budget</t>
  </si>
  <si>
    <t xml:space="preserve">Reduce tub/shower labor estimate by ~50%. Standardized units on multifamily go fast.</t>
  </si>
  <si>
    <t xml:space="preserve">Per-unit cost benchmark: $5,265 direct cost / $8,537 revenue</t>
  </si>
  <si>
    <t xml:space="preserve">Use $5,000-$5,500/unit as base cost for similar Division 22 scope. Target $8,000-$9,000/unit revenue.</t>
  </si>
  <si>
    <t xml:space="preserve">28 unique workers, peak crew of 12-15 during roughin</t>
  </si>
  <si>
    <t xml:space="preserve">Plan workforce at ~12-15 for roughin, ~6-8 for finish. Superintendent was part-time — budget full-time for larger projects.</t>
  </si>
  <si>
    <t xml:space="preserve">Blended gross wage rate: $19.94/hr; fully loaded: $30.12/hr</t>
  </si>
  <si>
    <t xml:space="preserve">Use $30/hr as blended burdened rate for estimating. Adjust for prevailing wage projects.</t>
  </si>
  <si>
    <t xml:space="preserve">Engineering came in 29% under ($15.7K vs $22K budget)</t>
  </si>
  <si>
    <t xml:space="preserve">Lock in engineering fees early. Franklin Engineering was the primary — build relationship pricing.</t>
  </si>
  <si>
    <t xml:space="preserve">Permits = $9,742 (89% of budget) — very predictable</t>
  </si>
  <si>
    <t xml:space="preserve">Use ~$60/unit for permits on Seattle multifamily plumbing.</t>
  </si>
  <si>
    <t xml:space="preserve">Retainage of $69,573 (5%) held throughout project</t>
  </si>
  <si>
    <t xml:space="preserve">Factor 5% retainage into cash flow. 17-month project = significant capital tied up.</t>
  </si>
  <si>
    <t xml:space="preserve">Billing was across 8 invoice numbers over 13 months</t>
  </si>
  <si>
    <t xml:space="preserve">Monthly progress billing. Ensure pay apps are submitted promptly to minimize float.</t>
  </si>
  <si>
    <t xml:space="preserve">Key Vendors &amp; Supplier Spend</t>
  </si>
  <si>
    <t xml:space="preserve">Vendor</t>
  </si>
  <si>
    <t xml:space="preserve">Key Materials/Services</t>
  </si>
  <si>
    <t xml:space="preserve">Rosen Supply Company, Inc.</t>
  </si>
  <si>
    <t xml:space="preserve">Material Supplier</t>
  </si>
  <si>
    <t xml:space="preserve">Pipe, fittings, valves — primary supplier</t>
  </si>
  <si>
    <t xml:space="preserve">Multiple POs across all phases</t>
  </si>
  <si>
    <t xml:space="preserve">Ferguson Enterprises, Inc.</t>
  </si>
  <si>
    <t xml:space="preserve">Fixtures, specialty items, water heaters</t>
  </si>
  <si>
    <t xml:space="preserve">Second largest supplier</t>
  </si>
  <si>
    <t xml:space="preserve">Keller Supply Company</t>
  </si>
  <si>
    <t xml:space="preserve">Fittings, parts, specialty items</t>
  </si>
  <si>
    <t xml:space="preserve">Third supplier</t>
  </si>
  <si>
    <t xml:space="preserve">Manor Hardware &amp; Construction Supply</t>
  </si>
  <si>
    <t xml:space="preserve">Tub/shower units, hardware</t>
  </si>
  <si>
    <t xml:space="preserve">Tub/shower phase only</t>
  </si>
  <si>
    <t xml:space="preserve">Franklin Engineering</t>
  </si>
  <si>
    <t xml:space="preserve">Engineering Sub</t>
  </si>
  <si>
    <t xml:space="preserve">Engineering plans, shop drawings</t>
  </si>
  <si>
    <t xml:space="preserve">$15,682 — 4 invoices</t>
  </si>
  <si>
    <t xml:space="preserve">R.A. Brown Backflow Testing</t>
  </si>
  <si>
    <t xml:space="preserve">Testing Sub</t>
  </si>
  <si>
    <t xml:space="preserve">Backflow prevention testing</t>
  </si>
  <si>
    <t xml:space="preserve">$186 — single test</t>
  </si>
  <si>
    <t xml:space="preserve">Patchworks, Inc.</t>
  </si>
  <si>
    <t xml:space="preserve">Backcharge Sub</t>
  </si>
  <si>
    <t xml:space="preserve">Drywall/patching repairs</t>
  </si>
  <si>
    <t xml:space="preserve">$1,838 — backcharges from GC</t>
  </si>
  <si>
    <t xml:space="preserve">DRSi</t>
  </si>
  <si>
    <t xml:space="preserve">Design/review services</t>
  </si>
  <si>
    <t xml:space="preserve">$69 — minor</t>
  </si>
  <si>
    <t xml:space="preserve">Bank of America CC</t>
  </si>
  <si>
    <t xml:space="preserve">Credit Card</t>
  </si>
  <si>
    <t xml:space="preserve">Permits, misc purchases</t>
  </si>
  <si>
    <t xml:space="preserve">Multiple small charges</t>
  </si>
  <si>
    <t xml:space="preserve">Capital One Credit Card</t>
  </si>
  <si>
    <t xml:space="preserve">Permits, misc supplies</t>
  </si>
  <si>
    <t xml:space="preserve">American Express 3-41000</t>
  </si>
  <si>
    <t xml:space="preserve">Misc expenses</t>
  </si>
  <si>
    <t xml:space="preserve">Small charges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</si>
</sst>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"/>
    <numFmt numFmtId="168" formatCode="#,##0.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2E5090"/>
        <bgColor rgb="FF4472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BF8F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1394655</v>
      </c>
      <c r="C4" s="3" t="s">
        <v>5</v>
      </c>
    </row>
    <row r="5" customFormat="false" ht="15" hidden="false" customHeight="false" outlineLevel="0" collapsed="false">
      <c r="A5" s="5" t="s">
        <v>6</v>
      </c>
      <c r="B5" s="6" t="n">
        <v>1391455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n">
        <v>858180.7</v>
      </c>
      <c r="C6" s="3" t="s">
        <v>9</v>
      </c>
    </row>
    <row r="7" customFormat="false" ht="15" hidden="false" customHeight="false" outlineLevel="0" collapsed="false">
      <c r="A7" s="5" t="s">
        <v>10</v>
      </c>
      <c r="B7" s="6" t="n">
        <v>533274.3</v>
      </c>
      <c r="C7" s="5" t="s">
        <v>11</v>
      </c>
    </row>
    <row r="8" customFormat="false" ht="15" hidden="false" customHeight="false" outlineLevel="0" collapsed="false">
      <c r="A8" s="3" t="s">
        <v>12</v>
      </c>
      <c r="B8" s="7" t="n">
        <v>0.383</v>
      </c>
      <c r="C8" s="3" t="s">
        <v>13</v>
      </c>
    </row>
    <row r="9" customFormat="false" ht="15" hidden="false" customHeight="false" outlineLevel="0" collapsed="false">
      <c r="A9" s="5" t="s">
        <v>14</v>
      </c>
      <c r="B9" s="6" t="n">
        <v>69572.75</v>
      </c>
      <c r="C9" s="5" t="s">
        <v>15</v>
      </c>
    </row>
    <row r="10" customFormat="false" ht="15" hidden="false" customHeight="false" outlineLevel="0" collapsed="false">
      <c r="A10" s="3"/>
      <c r="B10" s="3"/>
      <c r="C10" s="3"/>
    </row>
    <row r="11" customFormat="false" ht="15" hidden="false" customHeight="false" outlineLevel="0" collapsed="false">
      <c r="A11" s="5" t="s">
        <v>16</v>
      </c>
      <c r="B11" s="6" t="n">
        <v>439953.72</v>
      </c>
      <c r="C11" s="5" t="s">
        <v>17</v>
      </c>
    </row>
    <row r="12" customFormat="false" ht="15" hidden="false" customHeight="false" outlineLevel="0" collapsed="false">
      <c r="A12" s="3" t="s">
        <v>18</v>
      </c>
      <c r="B12" s="4" t="n">
        <v>408537.07</v>
      </c>
      <c r="C12" s="3" t="s">
        <v>19</v>
      </c>
    </row>
    <row r="13" customFormat="false" ht="15" hidden="false" customHeight="false" outlineLevel="0" collapsed="false">
      <c r="A13" s="5" t="s">
        <v>20</v>
      </c>
      <c r="B13" s="6" t="n">
        <v>9689.91</v>
      </c>
      <c r="C13" s="5" t="s">
        <v>21</v>
      </c>
    </row>
    <row r="14" customFormat="false" ht="15" hidden="false" customHeight="false" outlineLevel="0" collapsed="false">
      <c r="A14" s="3" t="s">
        <v>22</v>
      </c>
      <c r="B14" s="3" t="n">
        <v>1.05</v>
      </c>
      <c r="C14" s="3" t="s">
        <v>23</v>
      </c>
    </row>
    <row r="15" customFormat="false" ht="15" hidden="false" customHeight="false" outlineLevel="0" collapsed="false">
      <c r="A15" s="5"/>
      <c r="B15" s="5"/>
      <c r="C15" s="5"/>
    </row>
    <row r="16" customFormat="false" ht="15" hidden="false" customHeight="false" outlineLevel="0" collapsed="false">
      <c r="A16" s="3" t="s">
        <v>24</v>
      </c>
      <c r="B16" s="3" t="s">
        <v>25</v>
      </c>
      <c r="C16" s="3" t="s">
        <v>26</v>
      </c>
    </row>
    <row r="17" customFormat="false" ht="15" hidden="false" customHeight="false" outlineLevel="0" collapsed="false">
      <c r="A17" s="5" t="s">
        <v>27</v>
      </c>
      <c r="B17" s="8" t="n">
        <v>163</v>
      </c>
      <c r="C17" s="5" t="s">
        <v>28</v>
      </c>
    </row>
    <row r="18" customFormat="false" ht="15" hidden="false" customHeight="false" outlineLevel="0" collapsed="false">
      <c r="A18" s="3" t="s">
        <v>29</v>
      </c>
      <c r="B18" s="3" t="s">
        <v>30</v>
      </c>
      <c r="C18" s="3" t="s">
        <v>31</v>
      </c>
    </row>
    <row r="19" customFormat="false" ht="15" hidden="false" customHeight="false" outlineLevel="0" collapsed="false">
      <c r="A19" s="5" t="s">
        <v>32</v>
      </c>
      <c r="B19" s="5" t="s">
        <v>33</v>
      </c>
      <c r="C19" s="5"/>
    </row>
    <row r="20" customFormat="false" ht="15" hidden="false" customHeight="false" outlineLevel="0" collapsed="false">
      <c r="A20" s="3" t="s">
        <v>34</v>
      </c>
      <c r="B20" s="3" t="s">
        <v>35</v>
      </c>
      <c r="C20" s="3"/>
    </row>
    <row r="21" customFormat="false" ht="15" hidden="false" customHeight="false" outlineLevel="0" collapsed="false">
      <c r="A21" s="5" t="s">
        <v>36</v>
      </c>
      <c r="B21" s="5" t="n">
        <v>28</v>
      </c>
      <c r="C21" s="5" t="s">
        <v>37</v>
      </c>
    </row>
    <row r="22" customFormat="false" ht="15" hidden="false" customHeight="false" outlineLevel="0" collapsed="false">
      <c r="A22" s="3" t="s">
        <v>38</v>
      </c>
      <c r="B22" s="9" t="n">
        <v>14607</v>
      </c>
      <c r="C22" s="3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5" min="3" style="0" width="15"/>
    <col collapsed="false" customWidth="true" hidden="false" outlineLevel="0" max="6" min="6" style="0" width="13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</row>
    <row r="4" customFormat="false" ht="15" hidden="false" customHeight="false" outlineLevel="0" collapsed="false">
      <c r="A4" s="3" t="s">
        <v>49</v>
      </c>
      <c r="B4" s="3" t="s">
        <v>50</v>
      </c>
      <c r="C4" s="4" t="n">
        <v>139800</v>
      </c>
      <c r="D4" s="4" t="n">
        <v>177291.75</v>
      </c>
      <c r="E4" s="10" t="n">
        <f aca="false">D4-C4</f>
        <v>37491.75</v>
      </c>
      <c r="F4" s="11" t="n">
        <f aca="false">(D4-C4)/C4</f>
        <v>0.268181330472103</v>
      </c>
      <c r="G4" s="12" t="n">
        <v>9319.5</v>
      </c>
      <c r="H4" s="4" t="n">
        <f aca="false">D4/G4</f>
        <v>19.0237405440206</v>
      </c>
    </row>
    <row r="5" customFormat="false" ht="15" hidden="false" customHeight="false" outlineLevel="0" collapsed="false">
      <c r="A5" s="5" t="s">
        <v>51</v>
      </c>
      <c r="B5" s="5" t="s">
        <v>52</v>
      </c>
      <c r="C5" s="6" t="n">
        <v>31000</v>
      </c>
      <c r="D5" s="6" t="n">
        <v>34658.38</v>
      </c>
      <c r="E5" s="10" t="n">
        <f aca="false">D5-C5</f>
        <v>3658.38</v>
      </c>
      <c r="F5" s="11" t="n">
        <f aca="false">(D5-C5)/C5</f>
        <v>0.118012258064516</v>
      </c>
      <c r="G5" s="13" t="n">
        <v>1840.75</v>
      </c>
      <c r="H5" s="6" t="n">
        <f aca="false">D5/G5</f>
        <v>18.8284014667934</v>
      </c>
    </row>
    <row r="6" customFormat="false" ht="15" hidden="false" customHeight="false" outlineLevel="0" collapsed="false">
      <c r="A6" s="3" t="s">
        <v>53</v>
      </c>
      <c r="B6" s="3" t="s">
        <v>54</v>
      </c>
      <c r="C6" s="4" t="n">
        <v>14600</v>
      </c>
      <c r="D6" s="4" t="n">
        <v>19353.5</v>
      </c>
      <c r="E6" s="10" t="n">
        <f aca="false">D6-C6</f>
        <v>4753.5</v>
      </c>
      <c r="F6" s="11" t="n">
        <f aca="false">(D6-C6)/C6</f>
        <v>0.325582191780822</v>
      </c>
      <c r="G6" s="12" t="n">
        <v>872</v>
      </c>
      <c r="H6" s="4" t="n">
        <f aca="false">D6/G6</f>
        <v>22.194380733945</v>
      </c>
    </row>
    <row r="7" customFormat="false" ht="15" hidden="false" customHeight="false" outlineLevel="0" collapsed="false">
      <c r="A7" s="5" t="s">
        <v>55</v>
      </c>
      <c r="B7" s="5" t="s">
        <v>56</v>
      </c>
      <c r="C7" s="6" t="n">
        <v>41000</v>
      </c>
      <c r="D7" s="6" t="n">
        <v>15756</v>
      </c>
      <c r="E7" s="14" t="n">
        <f aca="false">D7-C7</f>
        <v>-25244</v>
      </c>
      <c r="F7" s="15" t="n">
        <f aca="false">(D7-C7)/C7</f>
        <v>-0.615707317073171</v>
      </c>
      <c r="G7" s="13" t="n">
        <v>800</v>
      </c>
      <c r="H7" s="6" t="n">
        <f aca="false">D7/G7</f>
        <v>19.695</v>
      </c>
    </row>
    <row r="8" customFormat="false" ht="15" hidden="false" customHeight="false" outlineLevel="0" collapsed="false">
      <c r="A8" s="3" t="s">
        <v>57</v>
      </c>
      <c r="B8" s="3" t="s">
        <v>58</v>
      </c>
      <c r="C8" s="4" t="n">
        <v>3525</v>
      </c>
      <c r="D8" s="4" t="n">
        <v>9784</v>
      </c>
      <c r="E8" s="10" t="n">
        <f aca="false">D8-C8</f>
        <v>6259</v>
      </c>
      <c r="F8" s="11" t="n">
        <f aca="false">(D8-C8)/C8</f>
        <v>1.77560283687943</v>
      </c>
      <c r="G8" s="12" t="n">
        <v>379</v>
      </c>
      <c r="H8" s="4" t="n">
        <f aca="false">D8/G8</f>
        <v>25.8153034300792</v>
      </c>
    </row>
    <row r="9" customFormat="false" ht="15" hidden="false" customHeight="false" outlineLevel="0" collapsed="false">
      <c r="A9" s="5" t="s">
        <v>59</v>
      </c>
      <c r="B9" s="5" t="s">
        <v>60</v>
      </c>
      <c r="C9" s="6" t="n">
        <v>19800</v>
      </c>
      <c r="D9" s="6" t="n">
        <v>6781</v>
      </c>
      <c r="E9" s="14" t="n">
        <f aca="false">D9-C9</f>
        <v>-13019</v>
      </c>
      <c r="F9" s="15" t="n">
        <f aca="false">(D9-C9)/C9</f>
        <v>-0.657525252525253</v>
      </c>
      <c r="G9" s="13" t="n">
        <v>338</v>
      </c>
      <c r="H9" s="6" t="n">
        <f aca="false">D9/G9</f>
        <v>20.0621301775148</v>
      </c>
    </row>
    <row r="10" customFormat="false" ht="15" hidden="false" customHeight="false" outlineLevel="0" collapsed="false">
      <c r="A10" s="3" t="s">
        <v>61</v>
      </c>
      <c r="B10" s="3" t="s">
        <v>62</v>
      </c>
      <c r="C10" s="4" t="n">
        <v>12150</v>
      </c>
      <c r="D10" s="4" t="n">
        <v>6161.5</v>
      </c>
      <c r="E10" s="14" t="n">
        <f aca="false">D10-C10</f>
        <v>-5988.5</v>
      </c>
      <c r="F10" s="15" t="n">
        <f aca="false">(D10-C10)/C10</f>
        <v>-0.492880658436214</v>
      </c>
      <c r="G10" s="12" t="n">
        <v>172.5</v>
      </c>
      <c r="H10" s="4" t="n">
        <f aca="false">D10/G10</f>
        <v>35.7188405797102</v>
      </c>
    </row>
    <row r="11" customFormat="false" ht="15" hidden="false" customHeight="false" outlineLevel="0" collapsed="false">
      <c r="A11" s="5" t="s">
        <v>63</v>
      </c>
      <c r="B11" s="5" t="s">
        <v>64</v>
      </c>
      <c r="C11" s="6" t="n">
        <v>8100</v>
      </c>
      <c r="D11" s="6" t="n">
        <v>6023</v>
      </c>
      <c r="E11" s="14" t="n">
        <f aca="false">D11-C11</f>
        <v>-2077</v>
      </c>
      <c r="F11" s="15" t="n">
        <f aca="false">(D11-C11)/C11</f>
        <v>-0.25641975308642</v>
      </c>
      <c r="G11" s="13" t="n">
        <v>165</v>
      </c>
      <c r="H11" s="6" t="n">
        <f aca="false">D11/G11</f>
        <v>36.5030303030303</v>
      </c>
    </row>
    <row r="12" customFormat="false" ht="15" hidden="false" customHeight="false" outlineLevel="0" collapsed="false">
      <c r="A12" s="3" t="s">
        <v>65</v>
      </c>
      <c r="B12" s="3" t="s">
        <v>66</v>
      </c>
      <c r="C12" s="4" t="n">
        <v>11700</v>
      </c>
      <c r="D12" s="4" t="n">
        <v>5424</v>
      </c>
      <c r="E12" s="14" t="n">
        <f aca="false">D12-C12</f>
        <v>-6276</v>
      </c>
      <c r="F12" s="15" t="n">
        <f aca="false">(D12-C12)/C12</f>
        <v>-0.536410256410256</v>
      </c>
      <c r="G12" s="12" t="n">
        <v>238</v>
      </c>
      <c r="H12" s="4" t="n">
        <f aca="false">D12/G12</f>
        <v>22.7899159663866</v>
      </c>
    </row>
    <row r="13" customFormat="false" ht="15" hidden="false" customHeight="false" outlineLevel="0" collapsed="false">
      <c r="A13" s="5" t="s">
        <v>67</v>
      </c>
      <c r="B13" s="5" t="s">
        <v>68</v>
      </c>
      <c r="C13" s="6" t="n">
        <v>12500</v>
      </c>
      <c r="D13" s="6" t="n">
        <v>3752.5</v>
      </c>
      <c r="E13" s="14" t="n">
        <f aca="false">D13-C13</f>
        <v>-8747.5</v>
      </c>
      <c r="F13" s="15" t="n">
        <f aca="false">(D13-C13)/C13</f>
        <v>-0.6998</v>
      </c>
      <c r="G13" s="13" t="n">
        <v>183</v>
      </c>
      <c r="H13" s="6" t="n">
        <f aca="false">D13/G13</f>
        <v>20.5054644808743</v>
      </c>
    </row>
    <row r="14" customFormat="false" ht="15" hidden="false" customHeight="false" outlineLevel="0" collapsed="false">
      <c r="A14" s="3" t="s">
        <v>69</v>
      </c>
      <c r="B14" s="3" t="s">
        <v>70</v>
      </c>
      <c r="C14" s="4" t="n">
        <v>5800</v>
      </c>
      <c r="D14" s="4" t="n">
        <v>3184.25</v>
      </c>
      <c r="E14" s="14" t="n">
        <f aca="false">D14-C14</f>
        <v>-2615.75</v>
      </c>
      <c r="F14" s="15" t="n">
        <f aca="false">(D14-C14)/C14</f>
        <v>-0.450991379310345</v>
      </c>
      <c r="G14" s="12" t="n">
        <v>145.5</v>
      </c>
      <c r="H14" s="4" t="n">
        <f aca="false">D14/G14</f>
        <v>21.8848797250859</v>
      </c>
    </row>
    <row r="15" customFormat="false" ht="15" hidden="false" customHeight="false" outlineLevel="0" collapsed="false">
      <c r="A15" s="5" t="s">
        <v>71</v>
      </c>
      <c r="B15" s="5" t="s">
        <v>72</v>
      </c>
      <c r="C15" s="6" t="n">
        <v>3300</v>
      </c>
      <c r="D15" s="6" t="n">
        <v>2168</v>
      </c>
      <c r="E15" s="14" t="n">
        <f aca="false">D15-C15</f>
        <v>-1132</v>
      </c>
      <c r="F15" s="15" t="n">
        <f aca="false">(D15-C15)/C15</f>
        <v>-0.343030303030303</v>
      </c>
      <c r="G15" s="13" t="n">
        <v>104</v>
      </c>
      <c r="H15" s="6" t="n">
        <f aca="false">D15/G15</f>
        <v>20.8461538461538</v>
      </c>
    </row>
    <row r="16" customFormat="false" ht="15" hidden="false" customHeight="false" outlineLevel="0" collapsed="false">
      <c r="A16" s="3" t="s">
        <v>73</v>
      </c>
      <c r="B16" s="3" t="s">
        <v>74</v>
      </c>
      <c r="C16" s="4" t="n">
        <v>2700</v>
      </c>
      <c r="D16" s="4" t="n">
        <v>984</v>
      </c>
      <c r="E16" s="14" t="n">
        <f aca="false">D16-C16</f>
        <v>-1716</v>
      </c>
      <c r="F16" s="15" t="n">
        <f aca="false">(D16-C16)/C16</f>
        <v>-0.635555555555556</v>
      </c>
      <c r="G16" s="12" t="n">
        <v>50</v>
      </c>
      <c r="H16" s="4" t="n">
        <f aca="false">D16/G16</f>
        <v>19.68</v>
      </c>
    </row>
    <row r="17" customFormat="false" ht="15" hidden="false" customHeight="false" outlineLevel="0" collapsed="false">
      <c r="A17" s="16"/>
      <c r="B17" s="16" t="s">
        <v>75</v>
      </c>
      <c r="C17" s="17" t="n">
        <f aca="false">SUM(C4:C16)</f>
        <v>305975</v>
      </c>
      <c r="D17" s="17" t="n">
        <f aca="false">SUM(D4:D16)</f>
        <v>291321.88</v>
      </c>
      <c r="E17" s="17" t="n">
        <f aca="false">SUM(E4:E16)</f>
        <v>-14653.12</v>
      </c>
      <c r="F17" s="18" t="n">
        <f aca="false">D17/C17-1</f>
        <v>-0.0478899256475203</v>
      </c>
      <c r="G17" s="19" t="n">
        <f aca="false">SUM(G4:G16)</f>
        <v>14607.25</v>
      </c>
      <c r="H17" s="17" t="n">
        <f aca="false">D17/G17</f>
        <v>19.9436498998785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5" min="3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76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</row>
    <row r="4" customFormat="false" ht="15" hidden="false" customHeight="false" outlineLevel="0" collapsed="false">
      <c r="A4" s="3" t="s">
        <v>77</v>
      </c>
      <c r="B4" s="3" t="s">
        <v>78</v>
      </c>
      <c r="C4" s="4" t="n">
        <v>12000</v>
      </c>
      <c r="D4" s="4" t="n">
        <v>22695.31</v>
      </c>
      <c r="E4" s="10" t="n">
        <f aca="false">D4-C4</f>
        <v>10695.31</v>
      </c>
      <c r="F4" s="7" t="n">
        <f aca="false">(D4-C4)/C4</f>
        <v>0.891275833333334</v>
      </c>
    </row>
    <row r="5" customFormat="false" ht="15" hidden="false" customHeight="false" outlineLevel="0" collapsed="false">
      <c r="A5" s="5" t="s">
        <v>79</v>
      </c>
      <c r="B5" s="5" t="s">
        <v>80</v>
      </c>
      <c r="C5" s="6" t="n">
        <v>17900</v>
      </c>
      <c r="D5" s="6" t="n">
        <v>12833.2</v>
      </c>
      <c r="E5" s="14" t="n">
        <f aca="false">D5-C5</f>
        <v>-5066.8</v>
      </c>
      <c r="F5" s="20" t="n">
        <f aca="false">(D5-C5)/C5</f>
        <v>-0.283061452513966</v>
      </c>
    </row>
    <row r="6" customFormat="false" ht="15" hidden="false" customHeight="false" outlineLevel="0" collapsed="false">
      <c r="A6" s="3" t="s">
        <v>81</v>
      </c>
      <c r="B6" s="3" t="s">
        <v>82</v>
      </c>
      <c r="C6" s="4" t="n">
        <v>13130</v>
      </c>
      <c r="D6" s="4" t="n">
        <v>8579.19</v>
      </c>
      <c r="E6" s="14" t="n">
        <f aca="false">D6-C6</f>
        <v>-4550.81</v>
      </c>
      <c r="F6" s="7" t="n">
        <f aca="false">(D6-C6)/C6</f>
        <v>-0.34659634424981</v>
      </c>
    </row>
    <row r="7" customFormat="false" ht="15" hidden="false" customHeight="false" outlineLevel="0" collapsed="false">
      <c r="A7" s="5" t="s">
        <v>83</v>
      </c>
      <c r="B7" s="5" t="s">
        <v>84</v>
      </c>
      <c r="C7" s="6" t="n">
        <v>11970</v>
      </c>
      <c r="D7" s="6" t="n">
        <v>6599.03</v>
      </c>
      <c r="E7" s="14" t="n">
        <f aca="false">D7-C7</f>
        <v>-5370.97</v>
      </c>
      <c r="F7" s="20" t="n">
        <f aca="false">(D7-C7)/C7</f>
        <v>-0.448702589807853</v>
      </c>
    </row>
    <row r="8" customFormat="false" ht="15" hidden="false" customHeight="false" outlineLevel="0" collapsed="false">
      <c r="A8" s="3" t="s">
        <v>85</v>
      </c>
      <c r="B8" s="3" t="s">
        <v>86</v>
      </c>
      <c r="C8" s="4" t="n">
        <v>0</v>
      </c>
      <c r="D8" s="4" t="n">
        <v>2278.99</v>
      </c>
      <c r="E8" s="4" t="n">
        <f aca="false">D8-C8</f>
        <v>2278.99</v>
      </c>
      <c r="F8" s="3" t="s">
        <v>87</v>
      </c>
    </row>
    <row r="9" customFormat="false" ht="15" hidden="false" customHeight="false" outlineLevel="0" collapsed="false">
      <c r="A9" s="5" t="s">
        <v>88</v>
      </c>
      <c r="B9" s="5" t="s">
        <v>89</v>
      </c>
      <c r="C9" s="6" t="n">
        <v>2700</v>
      </c>
      <c r="D9" s="6" t="n">
        <v>1789.12</v>
      </c>
      <c r="E9" s="14" t="n">
        <f aca="false">D9-C9</f>
        <v>-910.88</v>
      </c>
      <c r="F9" s="20" t="n">
        <f aca="false">(D9-C9)/C9</f>
        <v>-0.337362962962963</v>
      </c>
    </row>
    <row r="10" customFormat="false" ht="15" hidden="false" customHeight="false" outlineLevel="0" collapsed="false">
      <c r="A10" s="3" t="s">
        <v>90</v>
      </c>
      <c r="B10" s="3" t="s">
        <v>91</v>
      </c>
      <c r="C10" s="4" t="n">
        <v>4300</v>
      </c>
      <c r="D10" s="4" t="n">
        <v>1635.51</v>
      </c>
      <c r="E10" s="14" t="n">
        <f aca="false">D10-C10</f>
        <v>-2664.49</v>
      </c>
      <c r="F10" s="7" t="n">
        <f aca="false">(D10-C10)/C10</f>
        <v>-0.619648837209302</v>
      </c>
    </row>
    <row r="11" customFormat="false" ht="15" hidden="false" customHeight="false" outlineLevel="0" collapsed="false">
      <c r="A11" s="16"/>
      <c r="B11" s="16" t="s">
        <v>75</v>
      </c>
      <c r="C11" s="17" t="n">
        <f aca="false">SUM(C4:C10)</f>
        <v>62000</v>
      </c>
      <c r="D11" s="17" t="n">
        <f aca="false">SUM(D4:D10)</f>
        <v>56410.35</v>
      </c>
      <c r="E11" s="17" t="n">
        <f aca="false">SUM(E4:E10)</f>
        <v>-5589.65</v>
      </c>
      <c r="F11" s="18" t="n">
        <f aca="false">D11/C11-1</f>
        <v>-0.0901556451612904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1" t="s">
        <v>92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41</v>
      </c>
      <c r="B3" s="2" t="s">
        <v>93</v>
      </c>
      <c r="C3" s="2" t="s">
        <v>94</v>
      </c>
      <c r="D3" s="2" t="s">
        <v>43</v>
      </c>
      <c r="E3" s="2" t="s">
        <v>44</v>
      </c>
      <c r="F3" s="2" t="s">
        <v>45</v>
      </c>
    </row>
    <row r="4" customFormat="false" ht="15" hidden="false" customHeight="false" outlineLevel="0" collapsed="false">
      <c r="A4" s="3" t="s">
        <v>95</v>
      </c>
      <c r="B4" s="3" t="s">
        <v>96</v>
      </c>
      <c r="C4" s="3" t="s">
        <v>97</v>
      </c>
      <c r="D4" s="4" t="n">
        <v>22000</v>
      </c>
      <c r="E4" s="4" t="n">
        <v>15682.03</v>
      </c>
      <c r="F4" s="4" t="n">
        <f aca="false">E4-D4</f>
        <v>-6317.97</v>
      </c>
    </row>
    <row r="5" customFormat="false" ht="15" hidden="false" customHeight="false" outlineLevel="0" collapsed="false">
      <c r="A5" s="5" t="s">
        <v>98</v>
      </c>
      <c r="B5" s="5" t="s">
        <v>99</v>
      </c>
      <c r="C5" s="5" t="s">
        <v>100</v>
      </c>
      <c r="D5" s="6" t="n">
        <v>10900</v>
      </c>
      <c r="E5" s="6" t="n">
        <v>9741.88</v>
      </c>
      <c r="F5" s="6" t="n">
        <f aca="false">E5-D5</f>
        <v>-1158.12</v>
      </c>
    </row>
    <row r="6" customFormat="false" ht="15" hidden="false" customHeight="false" outlineLevel="0" collapsed="false">
      <c r="A6" s="3" t="s">
        <v>101</v>
      </c>
      <c r="B6" s="3" t="s">
        <v>102</v>
      </c>
      <c r="C6" s="3" t="s">
        <v>103</v>
      </c>
      <c r="D6" s="4" t="n">
        <v>0</v>
      </c>
      <c r="E6" s="4" t="n">
        <v>22289.38</v>
      </c>
      <c r="F6" s="4" t="n">
        <f aca="false">E6-D6</f>
        <v>22289.38</v>
      </c>
    </row>
    <row r="7" customFormat="false" ht="15" hidden="false" customHeight="false" outlineLevel="0" collapsed="false">
      <c r="A7" s="5" t="s">
        <v>104</v>
      </c>
      <c r="B7" s="5" t="s">
        <v>105</v>
      </c>
      <c r="C7" s="5" t="s">
        <v>100</v>
      </c>
      <c r="D7" s="6" t="n">
        <v>0</v>
      </c>
      <c r="E7" s="6" t="n">
        <v>1837.5</v>
      </c>
      <c r="F7" s="6" t="n">
        <f aca="false">E7-D7</f>
        <v>1837.5</v>
      </c>
    </row>
    <row r="8" customFormat="false" ht="15" hidden="false" customHeight="false" outlineLevel="0" collapsed="false">
      <c r="A8" s="3" t="s">
        <v>106</v>
      </c>
      <c r="B8" s="3" t="s">
        <v>97</v>
      </c>
      <c r="C8" s="3" t="s">
        <v>97</v>
      </c>
      <c r="D8" s="4" t="n">
        <v>1000</v>
      </c>
      <c r="E8" s="4" t="n">
        <v>186</v>
      </c>
      <c r="F8" s="4" t="n">
        <f aca="false">E8-D8</f>
        <v>-814</v>
      </c>
    </row>
    <row r="9" customFormat="false" ht="15" hidden="false" customHeight="false" outlineLevel="0" collapsed="false">
      <c r="A9" s="5" t="s">
        <v>107</v>
      </c>
      <c r="B9" s="5" t="s">
        <v>108</v>
      </c>
      <c r="C9" s="5" t="s">
        <v>100</v>
      </c>
      <c r="D9" s="6" t="n">
        <v>25600</v>
      </c>
      <c r="E9" s="6" t="n">
        <v>70.71</v>
      </c>
      <c r="F9" s="6" t="n">
        <f aca="false">E9-D9</f>
        <v>-25529.29</v>
      </c>
    </row>
    <row r="10" customFormat="false" ht="15" hidden="false" customHeight="false" outlineLevel="0" collapsed="false">
      <c r="A10" s="16"/>
      <c r="B10" s="16" t="s">
        <v>75</v>
      </c>
      <c r="C10" s="16"/>
      <c r="D10" s="17" t="n">
        <f aca="false">SUM(D4:D9)</f>
        <v>59500</v>
      </c>
      <c r="E10" s="17" t="n">
        <f aca="false">SUM(E4:E9)</f>
        <v>49807.5</v>
      </c>
      <c r="F10" s="17" t="n">
        <f aca="false">SUM(F4:F9)</f>
        <v>-9692.5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1" t="s">
        <v>109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110</v>
      </c>
      <c r="C3" s="2" t="s">
        <v>111</v>
      </c>
      <c r="D3" s="2" t="s">
        <v>112</v>
      </c>
    </row>
    <row r="4" customFormat="false" ht="15" hidden="false" customHeight="false" outlineLevel="0" collapsed="false">
      <c r="A4" s="3" t="s">
        <v>113</v>
      </c>
      <c r="B4" s="4" t="n">
        <v>1391455</v>
      </c>
      <c r="C4" s="4" t="n">
        <f aca="false">B4/163</f>
        <v>8536.53374233129</v>
      </c>
      <c r="D4" s="7" t="n">
        <f aca="false">B4/B4</f>
        <v>1</v>
      </c>
    </row>
    <row r="5" customFormat="false" ht="15" hidden="false" customHeight="false" outlineLevel="0" collapsed="false">
      <c r="A5" s="5" t="s">
        <v>114</v>
      </c>
      <c r="B5" s="6" t="n">
        <v>858180.7</v>
      </c>
      <c r="C5" s="6" t="n">
        <f aca="false">B5/163</f>
        <v>5264.91226993865</v>
      </c>
      <c r="D5" s="20" t="n">
        <f aca="false">B5/B4</f>
        <v>0.61675059559957</v>
      </c>
    </row>
    <row r="6" customFormat="false" ht="15" hidden="false" customHeight="false" outlineLevel="0" collapsed="false">
      <c r="A6" s="3" t="s">
        <v>10</v>
      </c>
      <c r="B6" s="4" t="n">
        <v>533274.3</v>
      </c>
      <c r="C6" s="4" t="n">
        <f aca="false">B6/163</f>
        <v>3271.62147239264</v>
      </c>
      <c r="D6" s="7" t="n">
        <f aca="false">B6/B4</f>
        <v>0.38324940440043</v>
      </c>
    </row>
    <row r="7" customFormat="false" ht="15" hidden="false" customHeight="false" outlineLevel="0" collapsed="false">
      <c r="A7" s="21"/>
    </row>
    <row r="8" customFormat="false" ht="15" hidden="false" customHeight="false" outlineLevel="0" collapsed="false">
      <c r="A8" s="3" t="s">
        <v>115</v>
      </c>
      <c r="B8" s="4" t="n">
        <v>439953.72</v>
      </c>
      <c r="C8" s="4" t="n">
        <f aca="false">B8/163</f>
        <v>2699.10257668712</v>
      </c>
      <c r="D8" s="7" t="n">
        <f aca="false">B8/B4</f>
        <v>0.316182499613714</v>
      </c>
    </row>
    <row r="9" customFormat="false" ht="15" hidden="false" customHeight="false" outlineLevel="0" collapsed="false">
      <c r="A9" s="5" t="s">
        <v>116</v>
      </c>
      <c r="B9" s="6" t="n">
        <v>418226.98</v>
      </c>
      <c r="C9" s="6" t="n">
        <f aca="false">B9/163</f>
        <v>2565.80969325153</v>
      </c>
      <c r="D9" s="20" t="n">
        <f aca="false">B9/B4</f>
        <v>0.300568095985857</v>
      </c>
    </row>
    <row r="10" customFormat="false" ht="15" hidden="false" customHeight="false" outlineLevel="0" collapsed="false">
      <c r="A10" s="21"/>
    </row>
    <row r="11" customFormat="false" ht="15" hidden="false" customHeight="false" outlineLevel="0" collapsed="false">
      <c r="A11" s="5" t="s">
        <v>50</v>
      </c>
      <c r="B11" s="6" t="n">
        <v>177291.75</v>
      </c>
      <c r="C11" s="6" t="n">
        <f aca="false">B11/163</f>
        <v>1087.67944785276</v>
      </c>
      <c r="D11" s="20" t="n">
        <f aca="false">B11/B4</f>
        <v>0.127414648695071</v>
      </c>
    </row>
    <row r="12" customFormat="false" ht="15" hidden="false" customHeight="false" outlineLevel="0" collapsed="false">
      <c r="A12" s="3" t="s">
        <v>78</v>
      </c>
      <c r="B12" s="4" t="n">
        <v>22695.31</v>
      </c>
      <c r="C12" s="4" t="n">
        <f aca="false">B12/163</f>
        <v>139.235030674847</v>
      </c>
      <c r="D12" s="7" t="n">
        <f aca="false">B12/B4</f>
        <v>0.0163104879424775</v>
      </c>
    </row>
    <row r="13" customFormat="false" ht="15" hidden="false" customHeight="false" outlineLevel="0" collapsed="false">
      <c r="A13" s="5" t="s">
        <v>52</v>
      </c>
      <c r="B13" s="6" t="n">
        <v>34658.38</v>
      </c>
      <c r="C13" s="6" t="n">
        <f aca="false">B13/163</f>
        <v>212.628098159509</v>
      </c>
      <c r="D13" s="20" t="n">
        <f aca="false">B13/B4</f>
        <v>0.0249080135541573</v>
      </c>
    </row>
    <row r="14" customFormat="false" ht="15" hidden="false" customHeight="false" outlineLevel="0" collapsed="false">
      <c r="A14" s="3" t="s">
        <v>54</v>
      </c>
      <c r="B14" s="4" t="n">
        <v>19353.5</v>
      </c>
      <c r="C14" s="4" t="n">
        <f aca="false">B14/163</f>
        <v>118.733128834356</v>
      </c>
      <c r="D14" s="7" t="n">
        <f aca="false">B14/B4</f>
        <v>0.0139088220603613</v>
      </c>
    </row>
    <row r="15" customFormat="false" ht="15" hidden="false" customHeight="false" outlineLevel="0" collapsed="false">
      <c r="A15" s="5" t="s">
        <v>117</v>
      </c>
      <c r="B15" s="6" t="n">
        <v>15756</v>
      </c>
      <c r="C15" s="6" t="n">
        <f aca="false">B15/163</f>
        <v>96.6625766871166</v>
      </c>
      <c r="D15" s="20" t="n">
        <f aca="false">B15/B4</f>
        <v>0.0113233988882141</v>
      </c>
    </row>
    <row r="16" customFormat="false" ht="15" hidden="false" customHeight="false" outlineLevel="0" collapsed="false">
      <c r="A16" s="3" t="s">
        <v>118</v>
      </c>
      <c r="B16" s="4" t="n">
        <v>9784</v>
      </c>
      <c r="C16" s="4" t="n">
        <f aca="false">B16/163</f>
        <v>60.0245398773006</v>
      </c>
      <c r="D16" s="7" t="n">
        <f aca="false">B16/B4</f>
        <v>0.00703148862162269</v>
      </c>
    </row>
    <row r="17" customFormat="false" ht="15" hidden="false" customHeight="false" outlineLevel="0" collapsed="false">
      <c r="A17" s="5" t="s">
        <v>60</v>
      </c>
      <c r="B17" s="6" t="n">
        <v>6781</v>
      </c>
      <c r="C17" s="6" t="n">
        <f aca="false">B17/163</f>
        <v>41.601226993865</v>
      </c>
      <c r="D17" s="20" t="n">
        <f aca="false">B17/B4</f>
        <v>0.00487331606124524</v>
      </c>
    </row>
    <row r="18" customFormat="false" ht="15" hidden="false" customHeight="false" outlineLevel="0" collapsed="false">
      <c r="A18" s="3" t="s">
        <v>96</v>
      </c>
      <c r="B18" s="4" t="n">
        <v>15682.03</v>
      </c>
      <c r="C18" s="4" t="n">
        <f aca="false">B18/163</f>
        <v>96.208773006135</v>
      </c>
      <c r="D18" s="7" t="n">
        <f aca="false">B18/B4</f>
        <v>0.011270238706965</v>
      </c>
    </row>
    <row r="19" customFormat="false" ht="15" hidden="false" customHeight="false" outlineLevel="0" collapsed="false">
      <c r="A19" s="5" t="s">
        <v>99</v>
      </c>
      <c r="B19" s="6" t="n">
        <v>9741.88</v>
      </c>
      <c r="C19" s="6" t="n">
        <f aca="false">B19/163</f>
        <v>59.7661349693252</v>
      </c>
      <c r="D19" s="20" t="n">
        <f aca="false">B19/B4</f>
        <v>0.00700121814934727</v>
      </c>
    </row>
    <row r="20" customFormat="false" ht="15" hidden="false" customHeight="false" outlineLevel="0" collapsed="false">
      <c r="A20" s="3" t="s">
        <v>64</v>
      </c>
      <c r="B20" s="4" t="n">
        <v>6023</v>
      </c>
      <c r="C20" s="4" t="n">
        <f aca="false">B20/163</f>
        <v>36.9509202453988</v>
      </c>
      <c r="D20" s="7" t="n">
        <f aca="false">B20/B4</f>
        <v>0.00432856254783662</v>
      </c>
    </row>
    <row r="21" customFormat="false" ht="15" hidden="false" customHeight="false" outlineLevel="0" collapsed="false">
      <c r="A21" s="5" t="s">
        <v>66</v>
      </c>
      <c r="B21" s="6" t="n">
        <v>5424</v>
      </c>
      <c r="C21" s="6" t="n">
        <f aca="false">B21/163</f>
        <v>33.2760736196319</v>
      </c>
      <c r="D21" s="20" t="n">
        <f aca="false">B21/B4</f>
        <v>0.00389807791125117</v>
      </c>
    </row>
    <row r="22" customFormat="false" ht="15" hidden="false" customHeight="false" outlineLevel="0" collapsed="false">
      <c r="A22" s="3" t="s">
        <v>70</v>
      </c>
      <c r="B22" s="4" t="n">
        <v>3184.25</v>
      </c>
      <c r="C22" s="4" t="n">
        <f aca="false">B22/163</f>
        <v>19.5352760736196</v>
      </c>
      <c r="D22" s="7" t="n">
        <f aca="false">B22/B4</f>
        <v>0.00228843189323406</v>
      </c>
    </row>
    <row r="23" customFormat="false" ht="15" hidden="false" customHeight="false" outlineLevel="0" collapsed="false">
      <c r="A23" s="5" t="s">
        <v>68</v>
      </c>
      <c r="B23" s="6" t="n">
        <v>3752.5</v>
      </c>
      <c r="C23" s="6" t="n">
        <f aca="false">B23/163</f>
        <v>23.021472392638</v>
      </c>
      <c r="D23" s="20" t="n">
        <f aca="false">B23/B4</f>
        <v>0.00269681736024521</v>
      </c>
    </row>
    <row r="24" customFormat="false" ht="15" hidden="false" customHeight="false" outlineLevel="0" collapsed="false">
      <c r="A24" s="3" t="s">
        <v>72</v>
      </c>
      <c r="B24" s="4" t="n">
        <v>2168</v>
      </c>
      <c r="C24" s="4" t="n">
        <f aca="false">B24/163</f>
        <v>13.3006134969325</v>
      </c>
      <c r="D24" s="7" t="n">
        <f aca="false">B24/B4</f>
        <v>0.00155808128901042</v>
      </c>
    </row>
    <row r="25" customFormat="false" ht="15" hidden="false" customHeight="false" outlineLevel="0" collapsed="false">
      <c r="A25" s="5" t="s">
        <v>74</v>
      </c>
      <c r="B25" s="6" t="n">
        <v>984</v>
      </c>
      <c r="C25" s="6" t="n">
        <f aca="false">B25/163</f>
        <v>6.03680981595092</v>
      </c>
      <c r="D25" s="20" t="n">
        <f aca="false">B25/B4</f>
        <v>0.000707173426377425</v>
      </c>
    </row>
    <row r="27" customFormat="false" ht="15" hidden="false" customHeight="false" outlineLevel="0" collapsed="false">
      <c r="A27" s="22" t="s">
        <v>119</v>
      </c>
      <c r="B27" s="22"/>
      <c r="C27" s="22"/>
      <c r="D27" s="22"/>
    </row>
    <row r="28" customFormat="false" ht="15" hidden="false" customHeight="false" outlineLevel="0" collapsed="false">
      <c r="A28" s="23" t="s">
        <v>42</v>
      </c>
      <c r="B28" s="23" t="s">
        <v>120</v>
      </c>
      <c r="C28" s="23" t="s">
        <v>121</v>
      </c>
      <c r="D28" s="23" t="s">
        <v>122</v>
      </c>
    </row>
    <row r="29" customFormat="false" ht="15" hidden="false" customHeight="false" outlineLevel="0" collapsed="false">
      <c r="A29" s="3" t="s">
        <v>123</v>
      </c>
      <c r="B29" s="12" t="n">
        <v>9319.5</v>
      </c>
      <c r="C29" s="24" t="n">
        <f aca="false">B29/163</f>
        <v>57.1748466257669</v>
      </c>
      <c r="D29" s="7" t="n">
        <f aca="false">B29/SUM(B29:B41)</f>
        <v>0.638005100207089</v>
      </c>
    </row>
    <row r="30" customFormat="false" ht="15" hidden="false" customHeight="false" outlineLevel="0" collapsed="false">
      <c r="A30" s="5" t="s">
        <v>124</v>
      </c>
      <c r="B30" s="13" t="n">
        <v>1840.75</v>
      </c>
      <c r="C30" s="25" t="n">
        <f aca="false">B30/163</f>
        <v>11.2929447852761</v>
      </c>
      <c r="D30" s="20" t="n">
        <f aca="false">B30/SUM(B29:B41)</f>
        <v>0.126016190590289</v>
      </c>
    </row>
    <row r="31" customFormat="false" ht="15" hidden="false" customHeight="false" outlineLevel="0" collapsed="false">
      <c r="A31" s="3" t="s">
        <v>125</v>
      </c>
      <c r="B31" s="12" t="n">
        <v>872</v>
      </c>
      <c r="C31" s="24" t="n">
        <f aca="false">B31/163</f>
        <v>5.34969325153374</v>
      </c>
      <c r="D31" s="7" t="n">
        <f aca="false">B31/SUM(B29:B41)</f>
        <v>0.0596963836451077</v>
      </c>
    </row>
    <row r="32" customFormat="false" ht="15" hidden="false" customHeight="false" outlineLevel="0" collapsed="false">
      <c r="A32" s="5" t="s">
        <v>56</v>
      </c>
      <c r="B32" s="13" t="n">
        <v>800</v>
      </c>
      <c r="C32" s="25" t="n">
        <f aca="false">B32/163</f>
        <v>4.9079754601227</v>
      </c>
      <c r="D32" s="20" t="n">
        <f aca="false">B32/SUM(B29:B41)</f>
        <v>0.054767324445053</v>
      </c>
    </row>
    <row r="33" customFormat="false" ht="15" hidden="false" customHeight="false" outlineLevel="0" collapsed="false">
      <c r="A33" s="3" t="s">
        <v>58</v>
      </c>
      <c r="B33" s="12" t="n">
        <v>379</v>
      </c>
      <c r="C33" s="24" t="n">
        <f aca="false">B33/163</f>
        <v>2.32515337423313</v>
      </c>
      <c r="D33" s="7" t="n">
        <f aca="false">B33/SUM(B29:B41)</f>
        <v>0.0259460199558438</v>
      </c>
    </row>
    <row r="34" customFormat="false" ht="15" hidden="false" customHeight="false" outlineLevel="0" collapsed="false">
      <c r="A34" s="5" t="s">
        <v>126</v>
      </c>
      <c r="B34" s="13" t="n">
        <v>338</v>
      </c>
      <c r="C34" s="25" t="n">
        <f aca="false">B34/163</f>
        <v>2.07361963190184</v>
      </c>
      <c r="D34" s="20" t="n">
        <f aca="false">B34/SUM(B29:B41)</f>
        <v>0.0231391945780349</v>
      </c>
    </row>
    <row r="35" customFormat="false" ht="15" hidden="false" customHeight="false" outlineLevel="0" collapsed="false">
      <c r="A35" s="3" t="s">
        <v>127</v>
      </c>
      <c r="B35" s="12" t="n">
        <v>238</v>
      </c>
      <c r="C35" s="24" t="n">
        <f aca="false">B35/163</f>
        <v>1.4601226993865</v>
      </c>
      <c r="D35" s="7" t="n">
        <f aca="false">B35/SUM(B29:B41)</f>
        <v>0.0162932790224033</v>
      </c>
    </row>
    <row r="36" customFormat="false" ht="15" hidden="false" customHeight="false" outlineLevel="0" collapsed="false">
      <c r="A36" s="5" t="s">
        <v>128</v>
      </c>
      <c r="B36" s="13" t="n">
        <v>183</v>
      </c>
      <c r="C36" s="25" t="n">
        <f aca="false">B36/163</f>
        <v>1.12269938650307</v>
      </c>
      <c r="D36" s="20" t="n">
        <f aca="false">B36/SUM(B29:B41)</f>
        <v>0.0125280254668059</v>
      </c>
    </row>
    <row r="37" customFormat="false" ht="15" hidden="false" customHeight="false" outlineLevel="0" collapsed="false">
      <c r="A37" s="3" t="s">
        <v>62</v>
      </c>
      <c r="B37" s="12" t="n">
        <v>172.5</v>
      </c>
      <c r="C37" s="24" t="n">
        <f aca="false">B37/163</f>
        <v>1.05828220858896</v>
      </c>
      <c r="D37" s="7" t="n">
        <f aca="false">B37/SUM(B29:B41)</f>
        <v>0.0118092043334645</v>
      </c>
    </row>
    <row r="38" customFormat="false" ht="15" hidden="false" customHeight="false" outlineLevel="0" collapsed="false">
      <c r="A38" s="5" t="s">
        <v>64</v>
      </c>
      <c r="B38" s="13" t="n">
        <v>165</v>
      </c>
      <c r="C38" s="25" t="n">
        <f aca="false">B38/163</f>
        <v>1.01226993865031</v>
      </c>
      <c r="D38" s="20" t="n">
        <f aca="false">B38/SUM(B29:B41)</f>
        <v>0.0112957606667922</v>
      </c>
    </row>
    <row r="39" customFormat="false" ht="15" hidden="false" customHeight="false" outlineLevel="0" collapsed="false">
      <c r="A39" s="3" t="s">
        <v>129</v>
      </c>
      <c r="B39" s="12" t="n">
        <v>145.5</v>
      </c>
      <c r="C39" s="24" t="n">
        <f aca="false">B39/163</f>
        <v>0.892638036809816</v>
      </c>
      <c r="D39" s="7" t="n">
        <f aca="false">B39/SUM(B29:B41)</f>
        <v>0.00996080713344401</v>
      </c>
    </row>
    <row r="40" customFormat="false" ht="15" hidden="false" customHeight="false" outlineLevel="0" collapsed="false">
      <c r="A40" s="5" t="s">
        <v>130</v>
      </c>
      <c r="B40" s="13" t="n">
        <v>104</v>
      </c>
      <c r="C40" s="25" t="n">
        <f aca="false">B40/163</f>
        <v>0.638036809815951</v>
      </c>
      <c r="D40" s="20" t="n">
        <f aca="false">B40/SUM(B29:B41)</f>
        <v>0.00711975217785689</v>
      </c>
    </row>
    <row r="41" customFormat="false" ht="15" hidden="false" customHeight="false" outlineLevel="0" collapsed="false">
      <c r="A41" s="3" t="s">
        <v>74</v>
      </c>
      <c r="B41" s="12" t="n">
        <v>50</v>
      </c>
      <c r="C41" s="24" t="n">
        <f aca="false">B41/163</f>
        <v>0.306748466257669</v>
      </c>
      <c r="D41" s="7" t="n">
        <f aca="false">B41/SUM(B29:B41)</f>
        <v>0.00342295777781581</v>
      </c>
    </row>
    <row r="42" customFormat="false" ht="15" hidden="false" customHeight="false" outlineLevel="0" collapsed="false">
      <c r="A42" s="16" t="s">
        <v>75</v>
      </c>
      <c r="B42" s="19" t="n">
        <f aca="false">SUM(B29:B41)</f>
        <v>14607.25</v>
      </c>
      <c r="C42" s="26" t="n">
        <f aca="false">B42/163</f>
        <v>89.6150306748466</v>
      </c>
      <c r="D42" s="16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5"/>
    <col collapsed="false" customWidth="true" hidden="false" outlineLevel="0" max="5" min="5" style="0" width="13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131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7" t="s">
        <v>132</v>
      </c>
      <c r="B3" s="27"/>
      <c r="C3" s="27"/>
      <c r="D3" s="27"/>
      <c r="E3" s="27"/>
      <c r="F3" s="27"/>
    </row>
    <row r="4" customFormat="false" ht="15" hidden="false" customHeight="false" outlineLevel="0" collapsed="false">
      <c r="A4" s="2" t="s">
        <v>42</v>
      </c>
      <c r="B4" s="2" t="s">
        <v>43</v>
      </c>
      <c r="C4" s="2" t="s">
        <v>44</v>
      </c>
      <c r="D4" s="2" t="s">
        <v>133</v>
      </c>
      <c r="E4" s="2" t="s">
        <v>134</v>
      </c>
      <c r="F4" s="2" t="s">
        <v>135</v>
      </c>
    </row>
    <row r="5" customFormat="false" ht="15" hidden="false" customHeight="false" outlineLevel="0" collapsed="false">
      <c r="A5" s="3" t="s">
        <v>136</v>
      </c>
      <c r="B5" s="4" t="n">
        <v>139800</v>
      </c>
      <c r="C5" s="4" t="n">
        <v>177291.75</v>
      </c>
      <c r="D5" s="28" t="n">
        <f aca="false">C5-B5</f>
        <v>37491.75</v>
      </c>
      <c r="E5" s="7" t="n">
        <f aca="false">(C5-B5)/B5</f>
        <v>0.268181330472103</v>
      </c>
      <c r="F5" s="3" t="s">
        <v>137</v>
      </c>
    </row>
    <row r="6" customFormat="false" ht="15" hidden="false" customHeight="false" outlineLevel="0" collapsed="false">
      <c r="A6" s="5" t="s">
        <v>138</v>
      </c>
      <c r="B6" s="6" t="n">
        <v>12000</v>
      </c>
      <c r="C6" s="6" t="n">
        <v>22695.31</v>
      </c>
      <c r="D6" s="29" t="n">
        <f aca="false">C6-B6</f>
        <v>10695.31</v>
      </c>
      <c r="E6" s="20" t="n">
        <f aca="false">(C6-B6)/B6</f>
        <v>0.891275833333334</v>
      </c>
      <c r="F6" s="5" t="s">
        <v>139</v>
      </c>
    </row>
    <row r="7" customFormat="false" ht="15" hidden="false" customHeight="false" outlineLevel="0" collapsed="false">
      <c r="A7" s="3" t="s">
        <v>140</v>
      </c>
      <c r="B7" s="4" t="n">
        <v>3525</v>
      </c>
      <c r="C7" s="4" t="n">
        <v>9784</v>
      </c>
      <c r="D7" s="28" t="n">
        <f aca="false">C7-B7</f>
        <v>6259</v>
      </c>
      <c r="E7" s="7" t="n">
        <f aca="false">(C7-B7)/B7</f>
        <v>1.77560283687943</v>
      </c>
      <c r="F7" s="3" t="s">
        <v>141</v>
      </c>
    </row>
    <row r="8" customFormat="false" ht="15" hidden="false" customHeight="false" outlineLevel="0" collapsed="false">
      <c r="A8" s="5" t="s">
        <v>142</v>
      </c>
      <c r="B8" s="6" t="n">
        <v>14600</v>
      </c>
      <c r="C8" s="6" t="n">
        <v>19353.5</v>
      </c>
      <c r="D8" s="29" t="n">
        <f aca="false">C8-B8</f>
        <v>4753.5</v>
      </c>
      <c r="E8" s="20" t="n">
        <f aca="false">(C8-B8)/B8</f>
        <v>0.325582191780822</v>
      </c>
      <c r="F8" s="5" t="s">
        <v>143</v>
      </c>
    </row>
    <row r="9" customFormat="false" ht="15" hidden="false" customHeight="false" outlineLevel="0" collapsed="false">
      <c r="A9" s="3" t="s">
        <v>144</v>
      </c>
      <c r="B9" s="4" t="n">
        <v>31000</v>
      </c>
      <c r="C9" s="4" t="n">
        <v>34658.38</v>
      </c>
      <c r="D9" s="28" t="n">
        <f aca="false">C9-B9</f>
        <v>3658.38</v>
      </c>
      <c r="E9" s="7" t="n">
        <f aca="false">(C9-B9)/B9</f>
        <v>0.118012258064516</v>
      </c>
      <c r="F9" s="3" t="s">
        <v>145</v>
      </c>
    </row>
    <row r="10" customFormat="false" ht="15" hidden="false" customHeight="false" outlineLevel="0" collapsed="false">
      <c r="A10" s="5" t="s">
        <v>146</v>
      </c>
      <c r="B10" s="6" t="n">
        <v>0</v>
      </c>
      <c r="C10" s="6" t="n">
        <v>2278.99</v>
      </c>
      <c r="D10" s="29" t="n">
        <f aca="false">C10-B10</f>
        <v>2278.99</v>
      </c>
      <c r="E10" s="5" t="s">
        <v>87</v>
      </c>
      <c r="F10" s="5" t="s">
        <v>147</v>
      </c>
    </row>
    <row r="11" customFormat="false" ht="15" hidden="false" customHeight="false" outlineLevel="0" collapsed="false">
      <c r="A11" s="3" t="s">
        <v>148</v>
      </c>
      <c r="B11" s="4" t="n">
        <v>0</v>
      </c>
      <c r="C11" s="4" t="n">
        <v>1837.5</v>
      </c>
      <c r="D11" s="28" t="n">
        <f aca="false">C11-B11</f>
        <v>1837.5</v>
      </c>
      <c r="E11" s="3" t="s">
        <v>87</v>
      </c>
      <c r="F11" s="3" t="s">
        <v>149</v>
      </c>
    </row>
    <row r="14" customFormat="false" ht="15" hidden="false" customHeight="false" outlineLevel="0" collapsed="false">
      <c r="A14" s="30" t="s">
        <v>150</v>
      </c>
      <c r="B14" s="30"/>
      <c r="C14" s="30"/>
      <c r="D14" s="30"/>
      <c r="E14" s="30"/>
      <c r="F14" s="30"/>
    </row>
    <row r="15" customFormat="false" ht="15" hidden="false" customHeight="false" outlineLevel="0" collapsed="false">
      <c r="A15" s="2" t="s">
        <v>42</v>
      </c>
      <c r="B15" s="2" t="s">
        <v>43</v>
      </c>
      <c r="C15" s="2" t="s">
        <v>44</v>
      </c>
      <c r="D15" s="2" t="s">
        <v>151</v>
      </c>
      <c r="E15" s="2" t="s">
        <v>152</v>
      </c>
      <c r="F15" s="2" t="s">
        <v>135</v>
      </c>
    </row>
    <row r="16" customFormat="false" ht="15" hidden="false" customHeight="false" outlineLevel="0" collapsed="false">
      <c r="A16" s="3" t="s">
        <v>153</v>
      </c>
      <c r="B16" s="4" t="n">
        <v>41000</v>
      </c>
      <c r="C16" s="4" t="n">
        <v>15756</v>
      </c>
      <c r="D16" s="31" t="n">
        <f aca="false">B16-C16</f>
        <v>25244</v>
      </c>
      <c r="E16" s="7" t="n">
        <f aca="false">(B16-C16)/B16</f>
        <v>0.615707317073171</v>
      </c>
      <c r="F16" s="3" t="s">
        <v>154</v>
      </c>
    </row>
    <row r="17" customFormat="false" ht="15" hidden="false" customHeight="false" outlineLevel="0" collapsed="false">
      <c r="A17" s="5" t="s">
        <v>155</v>
      </c>
      <c r="B17" s="6" t="n">
        <v>25600</v>
      </c>
      <c r="C17" s="6" t="n">
        <v>70.71</v>
      </c>
      <c r="D17" s="32" t="n">
        <f aca="false">B17-C17</f>
        <v>25529.29</v>
      </c>
      <c r="E17" s="20" t="n">
        <f aca="false">(B17-C17)/B17</f>
        <v>0.997237890625</v>
      </c>
      <c r="F17" s="5" t="s">
        <v>156</v>
      </c>
    </row>
    <row r="18" customFormat="false" ht="15" hidden="false" customHeight="false" outlineLevel="0" collapsed="false">
      <c r="A18" s="3" t="s">
        <v>157</v>
      </c>
      <c r="B18" s="4" t="n">
        <v>19800</v>
      </c>
      <c r="C18" s="4" t="n">
        <v>6781</v>
      </c>
      <c r="D18" s="31" t="n">
        <f aca="false">B18-C18</f>
        <v>13019</v>
      </c>
      <c r="E18" s="7" t="n">
        <f aca="false">(B18-C18)/B18</f>
        <v>0.657525252525253</v>
      </c>
      <c r="F18" s="3" t="s">
        <v>158</v>
      </c>
    </row>
    <row r="19" customFormat="false" ht="15" hidden="false" customHeight="false" outlineLevel="0" collapsed="false">
      <c r="A19" s="5" t="s">
        <v>159</v>
      </c>
      <c r="B19" s="6" t="n">
        <v>12500</v>
      </c>
      <c r="C19" s="6" t="n">
        <v>3752.5</v>
      </c>
      <c r="D19" s="32" t="n">
        <f aca="false">B19-C19</f>
        <v>8747.5</v>
      </c>
      <c r="E19" s="20" t="n">
        <f aca="false">(B19-C19)/B19</f>
        <v>0.6998</v>
      </c>
      <c r="F19" s="5" t="s">
        <v>160</v>
      </c>
    </row>
    <row r="20" customFormat="false" ht="15" hidden="false" customHeight="false" outlineLevel="0" collapsed="false">
      <c r="A20" s="3" t="s">
        <v>161</v>
      </c>
      <c r="B20" s="4" t="n">
        <v>22000</v>
      </c>
      <c r="C20" s="4" t="n">
        <v>15682.03</v>
      </c>
      <c r="D20" s="31" t="n">
        <f aca="false">B20-C20</f>
        <v>6317.97</v>
      </c>
      <c r="E20" s="7" t="n">
        <f aca="false">(B20-C20)/B20</f>
        <v>0.287180454545455</v>
      </c>
      <c r="F20" s="3" t="s">
        <v>162</v>
      </c>
    </row>
    <row r="21" customFormat="false" ht="15" hidden="false" customHeight="false" outlineLevel="0" collapsed="false">
      <c r="A21" s="5" t="s">
        <v>163</v>
      </c>
      <c r="B21" s="6" t="n">
        <v>11700</v>
      </c>
      <c r="C21" s="6" t="n">
        <v>5424</v>
      </c>
      <c r="D21" s="32" t="n">
        <f aca="false">B21-C21</f>
        <v>6276</v>
      </c>
      <c r="E21" s="20" t="n">
        <f aca="false">(B21-C21)/B21</f>
        <v>0.536410256410256</v>
      </c>
      <c r="F21" s="5" t="s">
        <v>164</v>
      </c>
    </row>
    <row r="22" customFormat="false" ht="15" hidden="false" customHeight="false" outlineLevel="0" collapsed="false">
      <c r="A22" s="3" t="s">
        <v>165</v>
      </c>
      <c r="B22" s="4" t="n">
        <v>12150</v>
      </c>
      <c r="C22" s="4" t="n">
        <v>6161.5</v>
      </c>
      <c r="D22" s="31" t="n">
        <f aca="false">B22-C22</f>
        <v>5988.5</v>
      </c>
      <c r="E22" s="7" t="n">
        <f aca="false">(B22-C22)/B22</f>
        <v>0.492880658436214</v>
      </c>
      <c r="F22" s="3" t="s">
        <v>166</v>
      </c>
    </row>
  </sheetData>
  <mergeCells count="3">
    <mergeCell ref="A1:F1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" t="s">
        <v>167</v>
      </c>
      <c r="B1" s="1"/>
      <c r="C1" s="1"/>
      <c r="D1" s="1"/>
      <c r="E1" s="1"/>
    </row>
    <row r="3" customFormat="false" ht="26.85" hidden="false" customHeight="false" outlineLevel="0" collapsed="false">
      <c r="A3" s="2" t="s">
        <v>168</v>
      </c>
      <c r="B3" s="2" t="s">
        <v>169</v>
      </c>
      <c r="C3" s="2" t="s">
        <v>170</v>
      </c>
      <c r="D3" s="2" t="s">
        <v>171</v>
      </c>
      <c r="E3" s="2" t="s">
        <v>172</v>
      </c>
    </row>
    <row r="4" customFormat="false" ht="15" hidden="false" customHeight="false" outlineLevel="0" collapsed="false">
      <c r="A4" s="3" t="s">
        <v>173</v>
      </c>
      <c r="B4" s="3" t="s">
        <v>174</v>
      </c>
      <c r="C4" s="3" t="s">
        <v>175</v>
      </c>
      <c r="D4" s="4" t="n">
        <v>36.5</v>
      </c>
      <c r="E4" s="3" t="s">
        <v>176</v>
      </c>
    </row>
    <row r="5" customFormat="false" ht="15" hidden="false" customHeight="false" outlineLevel="0" collapsed="false">
      <c r="A5" s="5" t="s">
        <v>177</v>
      </c>
      <c r="B5" s="5" t="s">
        <v>178</v>
      </c>
      <c r="C5" s="5" t="s">
        <v>179</v>
      </c>
      <c r="D5" s="6" t="n">
        <v>31</v>
      </c>
      <c r="E5" s="5" t="s">
        <v>180</v>
      </c>
    </row>
    <row r="6" customFormat="false" ht="15" hidden="false" customHeight="false" outlineLevel="0" collapsed="false">
      <c r="A6" s="3" t="s">
        <v>181</v>
      </c>
      <c r="B6" s="3" t="s">
        <v>182</v>
      </c>
      <c r="C6" s="3" t="s">
        <v>179</v>
      </c>
      <c r="D6" s="4" t="n">
        <v>29</v>
      </c>
      <c r="E6" s="3" t="s">
        <v>124</v>
      </c>
    </row>
    <row r="7" customFormat="false" ht="15" hidden="false" customHeight="false" outlineLevel="0" collapsed="false">
      <c r="A7" s="5" t="s">
        <v>183</v>
      </c>
      <c r="B7" s="5" t="s">
        <v>184</v>
      </c>
      <c r="C7" s="5" t="s">
        <v>179</v>
      </c>
      <c r="D7" s="6" t="n">
        <v>28</v>
      </c>
      <c r="E7" s="5" t="s">
        <v>185</v>
      </c>
    </row>
    <row r="8" customFormat="false" ht="15" hidden="false" customHeight="false" outlineLevel="0" collapsed="false">
      <c r="A8" s="3" t="s">
        <v>186</v>
      </c>
      <c r="B8" s="3" t="s">
        <v>187</v>
      </c>
      <c r="C8" s="3" t="s">
        <v>188</v>
      </c>
      <c r="D8" s="4" t="n">
        <v>28</v>
      </c>
      <c r="E8" s="3" t="s">
        <v>189</v>
      </c>
    </row>
    <row r="9" customFormat="false" ht="15" hidden="false" customHeight="false" outlineLevel="0" collapsed="false">
      <c r="A9" s="5" t="s">
        <v>190</v>
      </c>
      <c r="B9" s="5" t="s">
        <v>191</v>
      </c>
      <c r="C9" s="5" t="s">
        <v>188</v>
      </c>
      <c r="D9" s="6" t="n">
        <v>27</v>
      </c>
      <c r="E9" s="5" t="s">
        <v>192</v>
      </c>
    </row>
    <row r="10" customFormat="false" ht="15" hidden="false" customHeight="false" outlineLevel="0" collapsed="false">
      <c r="A10" s="3" t="s">
        <v>193</v>
      </c>
      <c r="B10" s="3" t="s">
        <v>194</v>
      </c>
      <c r="C10" s="3" t="s">
        <v>188</v>
      </c>
      <c r="D10" s="4" t="n">
        <v>27</v>
      </c>
      <c r="E10" s="3" t="s">
        <v>195</v>
      </c>
    </row>
    <row r="11" customFormat="false" ht="15" hidden="false" customHeight="false" outlineLevel="0" collapsed="false">
      <c r="A11" s="5" t="s">
        <v>196</v>
      </c>
      <c r="B11" s="5" t="s">
        <v>197</v>
      </c>
      <c r="C11" s="5" t="s">
        <v>188</v>
      </c>
      <c r="D11" s="6" t="n">
        <v>24</v>
      </c>
      <c r="E11" s="5" t="s">
        <v>198</v>
      </c>
    </row>
    <row r="12" customFormat="false" ht="15" hidden="false" customHeight="false" outlineLevel="0" collapsed="false">
      <c r="A12" s="3" t="s">
        <v>199</v>
      </c>
      <c r="B12" s="3" t="s">
        <v>200</v>
      </c>
      <c r="C12" s="3" t="s">
        <v>188</v>
      </c>
      <c r="D12" s="4" t="n">
        <v>24</v>
      </c>
      <c r="E12" s="3" t="s">
        <v>198</v>
      </c>
    </row>
    <row r="13" customFormat="false" ht="15" hidden="false" customHeight="false" outlineLevel="0" collapsed="false">
      <c r="A13" s="5" t="s">
        <v>201</v>
      </c>
      <c r="B13" s="5" t="s">
        <v>202</v>
      </c>
      <c r="C13" s="5" t="s">
        <v>188</v>
      </c>
      <c r="D13" s="6" t="n">
        <v>20</v>
      </c>
      <c r="E13" s="5" t="s">
        <v>203</v>
      </c>
    </row>
    <row r="14" customFormat="false" ht="15" hidden="false" customHeight="false" outlineLevel="0" collapsed="false">
      <c r="A14" s="3" t="s">
        <v>204</v>
      </c>
      <c r="B14" s="3" t="s">
        <v>205</v>
      </c>
      <c r="C14" s="3" t="s">
        <v>188</v>
      </c>
      <c r="D14" s="4" t="n">
        <v>18</v>
      </c>
      <c r="E14" s="3" t="s">
        <v>206</v>
      </c>
    </row>
    <row r="15" customFormat="false" ht="15" hidden="false" customHeight="false" outlineLevel="0" collapsed="false">
      <c r="A15" s="5" t="s">
        <v>207</v>
      </c>
      <c r="B15" s="5" t="s">
        <v>208</v>
      </c>
      <c r="C15" s="5" t="s">
        <v>209</v>
      </c>
      <c r="D15" s="6" t="n">
        <v>20</v>
      </c>
      <c r="E15" s="5" t="s">
        <v>124</v>
      </c>
    </row>
    <row r="16" customFormat="false" ht="15" hidden="false" customHeight="false" outlineLevel="0" collapsed="false">
      <c r="A16" s="3" t="s">
        <v>210</v>
      </c>
      <c r="B16" s="3" t="s">
        <v>211</v>
      </c>
      <c r="C16" s="3" t="s">
        <v>188</v>
      </c>
      <c r="D16" s="4" t="n">
        <v>27</v>
      </c>
      <c r="E16" s="3" t="s">
        <v>123</v>
      </c>
    </row>
    <row r="17" customFormat="false" ht="15" hidden="false" customHeight="false" outlineLevel="0" collapsed="false">
      <c r="A17" s="5" t="s">
        <v>212</v>
      </c>
      <c r="B17" s="5" t="s">
        <v>213</v>
      </c>
      <c r="C17" s="5" t="s">
        <v>188</v>
      </c>
      <c r="D17" s="6" t="n">
        <v>15</v>
      </c>
      <c r="E17" s="5" t="s">
        <v>206</v>
      </c>
    </row>
    <row r="18" customFormat="false" ht="15" hidden="false" customHeight="false" outlineLevel="0" collapsed="false">
      <c r="A18" s="3" t="s">
        <v>214</v>
      </c>
      <c r="B18" s="3" t="s">
        <v>215</v>
      </c>
      <c r="C18" s="3" t="s">
        <v>216</v>
      </c>
      <c r="D18" s="4" t="n">
        <v>14.5</v>
      </c>
      <c r="E18" s="3" t="s">
        <v>124</v>
      </c>
    </row>
    <row r="19" customFormat="false" ht="15" hidden="false" customHeight="false" outlineLevel="0" collapsed="false">
      <c r="A19" s="5" t="s">
        <v>217</v>
      </c>
      <c r="B19" s="5" t="s">
        <v>218</v>
      </c>
      <c r="C19" s="5" t="s">
        <v>216</v>
      </c>
      <c r="D19" s="6" t="n">
        <v>14</v>
      </c>
      <c r="E19" s="5" t="s">
        <v>124</v>
      </c>
    </row>
    <row r="20" customFormat="false" ht="15" hidden="false" customHeight="false" outlineLevel="0" collapsed="false">
      <c r="A20" s="3" t="s">
        <v>219</v>
      </c>
      <c r="B20" s="3" t="s">
        <v>220</v>
      </c>
      <c r="C20" s="3" t="s">
        <v>221</v>
      </c>
      <c r="D20" s="4" t="n">
        <v>13</v>
      </c>
      <c r="E20" s="3" t="s">
        <v>123</v>
      </c>
    </row>
    <row r="21" customFormat="false" ht="15" hidden="false" customHeight="false" outlineLevel="0" collapsed="false">
      <c r="A21" s="5" t="s">
        <v>222</v>
      </c>
      <c r="B21" s="5" t="s">
        <v>223</v>
      </c>
      <c r="C21" s="5" t="s">
        <v>221</v>
      </c>
      <c r="D21" s="6" t="n">
        <v>13</v>
      </c>
      <c r="E21" s="5" t="s">
        <v>195</v>
      </c>
    </row>
    <row r="22" customFormat="false" ht="15" hidden="false" customHeight="false" outlineLevel="0" collapsed="false">
      <c r="A22" s="3" t="s">
        <v>224</v>
      </c>
      <c r="B22" s="3" t="s">
        <v>225</v>
      </c>
      <c r="C22" s="3" t="s">
        <v>221</v>
      </c>
      <c r="D22" s="4" t="n">
        <v>13</v>
      </c>
      <c r="E22" s="3" t="s">
        <v>123</v>
      </c>
    </row>
    <row r="23" customFormat="false" ht="15" hidden="false" customHeight="false" outlineLevel="0" collapsed="false">
      <c r="A23" s="5" t="s">
        <v>226</v>
      </c>
      <c r="B23" s="5" t="s">
        <v>227</v>
      </c>
      <c r="C23" s="5" t="s">
        <v>216</v>
      </c>
      <c r="D23" s="6" t="n">
        <v>16</v>
      </c>
      <c r="E23" s="5" t="s">
        <v>124</v>
      </c>
    </row>
    <row r="24" customFormat="false" ht="15" hidden="false" customHeight="false" outlineLevel="0" collapsed="false">
      <c r="A24" s="3" t="s">
        <v>228</v>
      </c>
      <c r="B24" s="3" t="s">
        <v>229</v>
      </c>
      <c r="C24" s="3" t="s">
        <v>216</v>
      </c>
      <c r="D24" s="4" t="n">
        <v>13</v>
      </c>
      <c r="E24" s="3" t="s">
        <v>124</v>
      </c>
    </row>
    <row r="25" customFormat="false" ht="15" hidden="false" customHeight="false" outlineLevel="0" collapsed="false">
      <c r="A25" s="5" t="s">
        <v>230</v>
      </c>
      <c r="B25" s="5" t="s">
        <v>231</v>
      </c>
      <c r="C25" s="5" t="s">
        <v>216</v>
      </c>
      <c r="D25" s="6" t="n">
        <v>16</v>
      </c>
      <c r="E25" s="5" t="s">
        <v>124</v>
      </c>
    </row>
    <row r="26" customFormat="false" ht="15" hidden="false" customHeight="false" outlineLevel="0" collapsed="false">
      <c r="A26" s="3" t="s">
        <v>232</v>
      </c>
      <c r="B26" s="3" t="s">
        <v>233</v>
      </c>
      <c r="C26" s="3" t="s">
        <v>216</v>
      </c>
      <c r="D26" s="4" t="n">
        <v>13</v>
      </c>
      <c r="E26" s="3" t="s">
        <v>124</v>
      </c>
    </row>
    <row r="27" customFormat="false" ht="15" hidden="false" customHeight="false" outlineLevel="0" collapsed="false">
      <c r="A27" s="5" t="s">
        <v>234</v>
      </c>
      <c r="B27" s="5" t="s">
        <v>235</v>
      </c>
      <c r="C27" s="5" t="s">
        <v>216</v>
      </c>
      <c r="D27" s="6" t="n">
        <v>13</v>
      </c>
      <c r="E27" s="5" t="s">
        <v>124</v>
      </c>
    </row>
    <row r="28" customFormat="false" ht="15" hidden="false" customHeight="false" outlineLevel="0" collapsed="false">
      <c r="A28" s="3" t="s">
        <v>236</v>
      </c>
      <c r="B28" s="3" t="s">
        <v>237</v>
      </c>
      <c r="C28" s="3" t="s">
        <v>238</v>
      </c>
      <c r="D28" s="4" t="n">
        <v>12</v>
      </c>
      <c r="E28" s="3" t="s">
        <v>239</v>
      </c>
    </row>
    <row r="29" customFormat="false" ht="15" hidden="false" customHeight="false" outlineLevel="0" collapsed="false">
      <c r="A29" s="5" t="s">
        <v>240</v>
      </c>
      <c r="B29" s="5" t="s">
        <v>241</v>
      </c>
      <c r="C29" s="5" t="s">
        <v>238</v>
      </c>
      <c r="D29" s="6" t="n">
        <v>12</v>
      </c>
      <c r="E29" s="5" t="s">
        <v>206</v>
      </c>
    </row>
    <row r="30" customFormat="false" ht="15" hidden="false" customHeight="false" outlineLevel="0" collapsed="false">
      <c r="A30" s="3" t="s">
        <v>242</v>
      </c>
      <c r="B30" s="3" t="s">
        <v>243</v>
      </c>
      <c r="C30" s="3" t="s">
        <v>238</v>
      </c>
      <c r="D30" s="4" t="n">
        <v>12</v>
      </c>
      <c r="E30" s="3" t="s">
        <v>123</v>
      </c>
    </row>
    <row r="31" customFormat="false" ht="15" hidden="false" customHeight="false" outlineLevel="0" collapsed="false">
      <c r="A31" s="5" t="s">
        <v>244</v>
      </c>
      <c r="B31" s="5" t="s">
        <v>245</v>
      </c>
      <c r="C31" s="5" t="s">
        <v>238</v>
      </c>
      <c r="D31" s="6" t="n">
        <v>12</v>
      </c>
      <c r="E31" s="5" t="s">
        <v>206</v>
      </c>
    </row>
    <row r="34" customFormat="false" ht="15" hidden="false" customHeight="false" outlineLevel="0" collapsed="false">
      <c r="A34" s="22" t="s">
        <v>246</v>
      </c>
      <c r="B34" s="22"/>
      <c r="C34" s="22"/>
      <c r="D34" s="22"/>
      <c r="E34" s="22"/>
    </row>
    <row r="35" customFormat="false" ht="15" hidden="false" customHeight="false" outlineLevel="0" collapsed="false">
      <c r="A35" s="23" t="s">
        <v>247</v>
      </c>
      <c r="B35" s="23" t="s">
        <v>248</v>
      </c>
      <c r="C35" s="23" t="s">
        <v>249</v>
      </c>
      <c r="D35" s="23" t="s">
        <v>250</v>
      </c>
    </row>
    <row r="36" customFormat="false" ht="15" hidden="false" customHeight="false" outlineLevel="0" collapsed="false">
      <c r="A36" s="3" t="s">
        <v>175</v>
      </c>
      <c r="B36" s="3" t="s">
        <v>251</v>
      </c>
      <c r="C36" s="3" t="n">
        <v>1</v>
      </c>
      <c r="D36" s="3" t="s">
        <v>252</v>
      </c>
    </row>
    <row r="37" customFormat="false" ht="15" hidden="false" customHeight="false" outlineLevel="0" collapsed="false">
      <c r="A37" s="5" t="s">
        <v>179</v>
      </c>
      <c r="B37" s="5" t="s">
        <v>253</v>
      </c>
      <c r="C37" s="5" t="n">
        <v>4</v>
      </c>
      <c r="D37" s="5" t="s">
        <v>254</v>
      </c>
    </row>
    <row r="38" customFormat="false" ht="15" hidden="false" customHeight="false" outlineLevel="0" collapsed="false">
      <c r="A38" s="3" t="s">
        <v>188</v>
      </c>
      <c r="B38" s="3" t="s">
        <v>255</v>
      </c>
      <c r="C38" s="3" t="n">
        <v>8</v>
      </c>
      <c r="D38" s="3" t="s">
        <v>256</v>
      </c>
    </row>
    <row r="39" customFormat="false" ht="15" hidden="false" customHeight="false" outlineLevel="0" collapsed="false">
      <c r="A39" s="5" t="s">
        <v>221</v>
      </c>
      <c r="B39" s="5" t="s">
        <v>257</v>
      </c>
      <c r="C39" s="5" t="n">
        <v>7</v>
      </c>
      <c r="D39" s="5" t="s">
        <v>258</v>
      </c>
    </row>
    <row r="40" customFormat="false" ht="15" hidden="false" customHeight="false" outlineLevel="0" collapsed="false">
      <c r="A40" s="3" t="s">
        <v>259</v>
      </c>
      <c r="B40" s="3" t="s">
        <v>260</v>
      </c>
      <c r="C40" s="3" t="n">
        <v>8</v>
      </c>
      <c r="D40" s="3" t="s">
        <v>261</v>
      </c>
    </row>
  </sheetData>
  <mergeCells count="2">
    <mergeCell ref="A1:E1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262</v>
      </c>
      <c r="B1" s="1"/>
      <c r="C1" s="1"/>
    </row>
    <row r="3" customFormat="false" ht="15" hidden="false" customHeight="false" outlineLevel="0" collapsed="false">
      <c r="A3" s="2" t="s">
        <v>263</v>
      </c>
      <c r="B3" s="2" t="s">
        <v>264</v>
      </c>
      <c r="C3" s="2" t="s">
        <v>265</v>
      </c>
    </row>
    <row r="4" customFormat="false" ht="45" hidden="false" customHeight="true" outlineLevel="0" collapsed="false">
      <c r="A4" s="33" t="n">
        <v>1</v>
      </c>
      <c r="B4" s="34" t="s">
        <v>266</v>
      </c>
      <c r="C4" s="34" t="s">
        <v>267</v>
      </c>
    </row>
    <row r="5" customFormat="false" ht="45" hidden="false" customHeight="true" outlineLevel="0" collapsed="false">
      <c r="A5" s="35" t="n">
        <v>2</v>
      </c>
      <c r="B5" s="36" t="s">
        <v>268</v>
      </c>
      <c r="C5" s="36" t="s">
        <v>269</v>
      </c>
    </row>
    <row r="6" customFormat="false" ht="45" hidden="false" customHeight="true" outlineLevel="0" collapsed="false">
      <c r="A6" s="33" t="n">
        <v>3</v>
      </c>
      <c r="B6" s="34" t="s">
        <v>270</v>
      </c>
      <c r="C6" s="34" t="s">
        <v>271</v>
      </c>
    </row>
    <row r="7" customFormat="false" ht="45" hidden="false" customHeight="true" outlineLevel="0" collapsed="false">
      <c r="A7" s="35" t="n">
        <v>4</v>
      </c>
      <c r="B7" s="36" t="s">
        <v>272</v>
      </c>
      <c r="C7" s="36" t="s">
        <v>273</v>
      </c>
    </row>
    <row r="8" customFormat="false" ht="45" hidden="false" customHeight="true" outlineLevel="0" collapsed="false">
      <c r="A8" s="33" t="n">
        <v>5</v>
      </c>
      <c r="B8" s="34" t="s">
        <v>274</v>
      </c>
      <c r="C8" s="34" t="s">
        <v>275</v>
      </c>
    </row>
    <row r="9" customFormat="false" ht="45" hidden="false" customHeight="true" outlineLevel="0" collapsed="false">
      <c r="A9" s="35" t="n">
        <v>6</v>
      </c>
      <c r="B9" s="36" t="s">
        <v>276</v>
      </c>
      <c r="C9" s="36" t="s">
        <v>277</v>
      </c>
    </row>
    <row r="10" customFormat="false" ht="45" hidden="false" customHeight="true" outlineLevel="0" collapsed="false">
      <c r="A10" s="33" t="n">
        <v>7</v>
      </c>
      <c r="B10" s="34" t="s">
        <v>278</v>
      </c>
      <c r="C10" s="34" t="s">
        <v>279</v>
      </c>
    </row>
    <row r="11" customFormat="false" ht="45" hidden="false" customHeight="true" outlineLevel="0" collapsed="false">
      <c r="A11" s="35" t="n">
        <v>8</v>
      </c>
      <c r="B11" s="36" t="s">
        <v>280</v>
      </c>
      <c r="C11" s="36" t="s">
        <v>281</v>
      </c>
    </row>
    <row r="12" customFormat="false" ht="45" hidden="false" customHeight="true" outlineLevel="0" collapsed="false">
      <c r="A12" s="33" t="n">
        <v>9</v>
      </c>
      <c r="B12" s="34" t="s">
        <v>282</v>
      </c>
      <c r="C12" s="34" t="s">
        <v>283</v>
      </c>
    </row>
    <row r="13" customFormat="false" ht="45" hidden="false" customHeight="true" outlineLevel="0" collapsed="false">
      <c r="A13" s="35" t="n">
        <v>10</v>
      </c>
      <c r="B13" s="36" t="s">
        <v>284</v>
      </c>
      <c r="C13" s="36" t="s">
        <v>285</v>
      </c>
    </row>
    <row r="14" customFormat="false" ht="45" hidden="false" customHeight="true" outlineLevel="0" collapsed="false">
      <c r="A14" s="33" t="n">
        <v>11</v>
      </c>
      <c r="B14" s="34" t="s">
        <v>286</v>
      </c>
      <c r="C14" s="34" t="s">
        <v>287</v>
      </c>
    </row>
    <row r="15" customFormat="false" ht="45" hidden="false" customHeight="true" outlineLevel="0" collapsed="false">
      <c r="A15" s="35" t="n">
        <v>12</v>
      </c>
      <c r="B15" s="36" t="s">
        <v>288</v>
      </c>
      <c r="C15" s="36" t="s">
        <v>289</v>
      </c>
    </row>
    <row r="16" customFormat="false" ht="45" hidden="false" customHeight="true" outlineLevel="0" collapsed="false">
      <c r="A16" s="33" t="n">
        <v>13</v>
      </c>
      <c r="B16" s="34" t="s">
        <v>290</v>
      </c>
      <c r="C16" s="34" t="s">
        <v>291</v>
      </c>
    </row>
    <row r="17" customFormat="false" ht="45" hidden="false" customHeight="true" outlineLevel="0" collapsed="false">
      <c r="A17" s="35" t="n">
        <v>14</v>
      </c>
      <c r="B17" s="36" t="s">
        <v>292</v>
      </c>
      <c r="C17" s="36" t="s">
        <v>293</v>
      </c>
    </row>
    <row r="18" customFormat="false" ht="45" hidden="false" customHeight="true" outlineLevel="0" collapsed="false">
      <c r="A18" s="33" t="n">
        <v>15</v>
      </c>
      <c r="B18" s="34" t="s">
        <v>294</v>
      </c>
      <c r="C18" s="34" t="s">
        <v>295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1" t="s">
        <v>296</v>
      </c>
      <c r="B1" s="1"/>
      <c r="C1" s="1"/>
      <c r="D1" s="1"/>
    </row>
    <row r="3" customFormat="false" ht="15" hidden="false" customHeight="false" outlineLevel="0" collapsed="false">
      <c r="A3" s="2" t="s">
        <v>297</v>
      </c>
      <c r="B3" s="2" t="s">
        <v>94</v>
      </c>
      <c r="C3" s="2" t="s">
        <v>298</v>
      </c>
      <c r="D3" s="2" t="s">
        <v>3</v>
      </c>
    </row>
    <row r="4" customFormat="false" ht="15" hidden="false" customHeight="false" outlineLevel="0" collapsed="false">
      <c r="A4" s="3" t="s">
        <v>299</v>
      </c>
      <c r="B4" s="3" t="s">
        <v>300</v>
      </c>
      <c r="C4" s="37" t="s">
        <v>301</v>
      </c>
      <c r="D4" s="37" t="s">
        <v>302</v>
      </c>
    </row>
    <row r="5" customFormat="false" ht="15" hidden="false" customHeight="false" outlineLevel="0" collapsed="false">
      <c r="A5" s="5" t="s">
        <v>303</v>
      </c>
      <c r="B5" s="5" t="s">
        <v>300</v>
      </c>
      <c r="C5" s="38" t="s">
        <v>304</v>
      </c>
      <c r="D5" s="38" t="s">
        <v>305</v>
      </c>
    </row>
    <row r="6" customFormat="false" ht="15" hidden="false" customHeight="false" outlineLevel="0" collapsed="false">
      <c r="A6" s="3" t="s">
        <v>306</v>
      </c>
      <c r="B6" s="3" t="s">
        <v>300</v>
      </c>
      <c r="C6" s="37" t="s">
        <v>307</v>
      </c>
      <c r="D6" s="37" t="s">
        <v>308</v>
      </c>
    </row>
    <row r="7" customFormat="false" ht="15" hidden="false" customHeight="false" outlineLevel="0" collapsed="false">
      <c r="A7" s="5" t="s">
        <v>309</v>
      </c>
      <c r="B7" s="5" t="s">
        <v>300</v>
      </c>
      <c r="C7" s="38" t="s">
        <v>310</v>
      </c>
      <c r="D7" s="38" t="s">
        <v>311</v>
      </c>
    </row>
    <row r="8" customFormat="false" ht="15" hidden="false" customHeight="false" outlineLevel="0" collapsed="false">
      <c r="A8" s="3" t="s">
        <v>312</v>
      </c>
      <c r="B8" s="3" t="s">
        <v>313</v>
      </c>
      <c r="C8" s="37" t="s">
        <v>314</v>
      </c>
      <c r="D8" s="37" t="s">
        <v>315</v>
      </c>
    </row>
    <row r="9" customFormat="false" ht="15" hidden="false" customHeight="false" outlineLevel="0" collapsed="false">
      <c r="A9" s="5" t="s">
        <v>316</v>
      </c>
      <c r="B9" s="5" t="s">
        <v>317</v>
      </c>
      <c r="C9" s="38" t="s">
        <v>318</v>
      </c>
      <c r="D9" s="38" t="s">
        <v>319</v>
      </c>
    </row>
    <row r="10" customFormat="false" ht="15" hidden="false" customHeight="false" outlineLevel="0" collapsed="false">
      <c r="A10" s="3" t="s">
        <v>320</v>
      </c>
      <c r="B10" s="3" t="s">
        <v>321</v>
      </c>
      <c r="C10" s="37" t="s">
        <v>322</v>
      </c>
      <c r="D10" s="37" t="s">
        <v>323</v>
      </c>
    </row>
    <row r="11" customFormat="false" ht="15" hidden="false" customHeight="false" outlineLevel="0" collapsed="false">
      <c r="A11" s="5" t="s">
        <v>324</v>
      </c>
      <c r="B11" s="5" t="s">
        <v>313</v>
      </c>
      <c r="C11" s="38" t="s">
        <v>325</v>
      </c>
      <c r="D11" s="38" t="s">
        <v>326</v>
      </c>
    </row>
    <row r="12" customFormat="false" ht="15" hidden="false" customHeight="false" outlineLevel="0" collapsed="false">
      <c r="A12" s="3" t="s">
        <v>327</v>
      </c>
      <c r="B12" s="3" t="s">
        <v>328</v>
      </c>
      <c r="C12" s="37" t="s">
        <v>329</v>
      </c>
      <c r="D12" s="37" t="s">
        <v>330</v>
      </c>
    </row>
    <row r="13" customFormat="false" ht="15" hidden="false" customHeight="false" outlineLevel="0" collapsed="false">
      <c r="A13" s="5" t="s">
        <v>331</v>
      </c>
      <c r="B13" s="5" t="s">
        <v>328</v>
      </c>
      <c r="C13" s="38" t="s">
        <v>332</v>
      </c>
      <c r="D13" s="38" t="s">
        <v>330</v>
      </c>
    </row>
    <row r="14" customFormat="false" ht="15" hidden="false" customHeight="false" outlineLevel="0" collapsed="false">
      <c r="A14" s="3" t="s">
        <v>333</v>
      </c>
      <c r="B14" s="3" t="s">
        <v>328</v>
      </c>
      <c r="C14" s="37" t="s">
        <v>334</v>
      </c>
      <c r="D14" s="37" t="s">
        <v>335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2026-04-04T22:40:00Z</dcterms:created>
  <dc:creator>openpyxl</dc:creator>
  <dc:description/>
  <dc:language>en-US</dc:language>
  <cp:lastModifiedBy/>
  <dcterms:modified xsi:type="dcterms:W3CDTF">2026-04-04T22:40:00Z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