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1340" windowHeight="6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Sheet1!$A$1:$N$68</definedName>
  </definedNames>
  <calcPr calcId="144525"/>
</workbook>
</file>

<file path=xl/calcChain.xml><?xml version="1.0" encoding="utf-8"?>
<calcChain xmlns="http://schemas.openxmlformats.org/spreadsheetml/2006/main">
  <c r="K4" i="1" l="1"/>
  <c r="L4" i="1"/>
  <c r="L14" i="1"/>
  <c r="L23" i="1"/>
  <c r="L34" i="1"/>
  <c r="L43" i="1"/>
  <c r="L52" i="1"/>
  <c r="L7" i="1"/>
  <c r="L9" i="1"/>
  <c r="L11" i="1"/>
  <c r="L13" i="1"/>
  <c r="L16" i="1"/>
  <c r="L18" i="1"/>
  <c r="L20" i="1"/>
  <c r="L22" i="1"/>
  <c r="L25" i="1"/>
  <c r="L27" i="1"/>
  <c r="L29" i="1"/>
  <c r="L31" i="1"/>
  <c r="L33" i="1"/>
  <c r="L36" i="1"/>
  <c r="L38" i="1"/>
  <c r="L40" i="1"/>
  <c r="L42" i="1"/>
  <c r="L45" i="1"/>
  <c r="L47" i="1"/>
  <c r="L49" i="1"/>
  <c r="L51" i="1"/>
  <c r="L54" i="1"/>
  <c r="L56" i="1"/>
  <c r="L58" i="1"/>
  <c r="L60" i="1"/>
  <c r="L5" i="1"/>
  <c r="C33" i="1"/>
  <c r="D33" i="1"/>
  <c r="E33" i="1"/>
  <c r="J33" i="1" s="1"/>
  <c r="J34" i="1" s="1"/>
  <c r="F33" i="1"/>
  <c r="G33" i="1"/>
  <c r="H33" i="1"/>
  <c r="K33" i="1" s="1"/>
  <c r="K34" i="1" s="1"/>
  <c r="L61" i="1"/>
  <c r="K61" i="1"/>
  <c r="J61" i="1"/>
  <c r="C45" i="1"/>
  <c r="D45" i="1"/>
  <c r="E45" i="1"/>
  <c r="F45" i="1"/>
  <c r="G45" i="1"/>
  <c r="H45" i="1"/>
  <c r="K45" i="1" s="1"/>
  <c r="C47" i="1"/>
  <c r="D47" i="1"/>
  <c r="E47" i="1"/>
  <c r="F47" i="1"/>
  <c r="G47" i="1"/>
  <c r="H47" i="1"/>
  <c r="K47" i="1" s="1"/>
  <c r="C49" i="1"/>
  <c r="D49" i="1"/>
  <c r="E49" i="1"/>
  <c r="F49" i="1"/>
  <c r="G49" i="1"/>
  <c r="H49" i="1"/>
  <c r="C51" i="1"/>
  <c r="D51" i="1"/>
  <c r="E51" i="1"/>
  <c r="F51" i="1"/>
  <c r="H51" i="1"/>
  <c r="K51" i="1" s="1"/>
  <c r="B51" i="1"/>
  <c r="B49" i="1"/>
  <c r="B47" i="1"/>
  <c r="B45" i="1"/>
  <c r="K43" i="1"/>
  <c r="J43" i="1"/>
  <c r="C42" i="1"/>
  <c r="D42" i="1"/>
  <c r="E42" i="1"/>
  <c r="F42" i="1"/>
  <c r="H42" i="1"/>
  <c r="B42" i="1"/>
  <c r="K23" i="1"/>
  <c r="J23" i="1"/>
  <c r="K14" i="1"/>
  <c r="J14" i="1"/>
  <c r="K49" i="1"/>
  <c r="I47" i="1"/>
  <c r="I45" i="1"/>
  <c r="C31" i="1"/>
  <c r="D31" i="1"/>
  <c r="J31" i="1" s="1"/>
  <c r="E31" i="1"/>
  <c r="F31" i="1"/>
  <c r="G31" i="1"/>
  <c r="H31" i="1"/>
  <c r="C29" i="1"/>
  <c r="D29" i="1"/>
  <c r="J29" i="1" s="1"/>
  <c r="E29" i="1"/>
  <c r="F29" i="1"/>
  <c r="G29" i="1"/>
  <c r="H29" i="1"/>
  <c r="C27" i="1"/>
  <c r="J27" i="1" s="1"/>
  <c r="D27" i="1"/>
  <c r="E27" i="1"/>
  <c r="F27" i="1"/>
  <c r="G27" i="1"/>
  <c r="H27" i="1"/>
  <c r="C25" i="1"/>
  <c r="D25" i="1"/>
  <c r="E25" i="1"/>
  <c r="F25" i="1"/>
  <c r="G25" i="1"/>
  <c r="H25" i="1"/>
  <c r="B33" i="1"/>
  <c r="B31" i="1"/>
  <c r="B29" i="1"/>
  <c r="B27" i="1"/>
  <c r="B25" i="1"/>
  <c r="G32" i="1"/>
  <c r="K31" i="1"/>
  <c r="K29" i="1"/>
  <c r="I29" i="1"/>
  <c r="I27" i="1"/>
  <c r="K27" i="1"/>
  <c r="I25" i="1"/>
  <c r="K25" i="1"/>
  <c r="J25" i="1"/>
  <c r="C18" i="1"/>
  <c r="D18" i="1"/>
  <c r="E18" i="1"/>
  <c r="F18" i="1"/>
  <c r="G18" i="1"/>
  <c r="H18" i="1"/>
  <c r="K18" i="1" s="1"/>
  <c r="I18" i="1"/>
  <c r="B18" i="1"/>
  <c r="C16" i="1"/>
  <c r="D16" i="1"/>
  <c r="E16" i="1"/>
  <c r="F16" i="1"/>
  <c r="G16" i="1"/>
  <c r="H16" i="1"/>
  <c r="B16" i="1"/>
  <c r="K16" i="1"/>
  <c r="K52" i="1" l="1"/>
  <c r="J51" i="1"/>
  <c r="J49" i="1"/>
  <c r="J47" i="1"/>
  <c r="J45" i="1"/>
  <c r="J16" i="1"/>
  <c r="J18" i="1"/>
  <c r="C20" i="1"/>
  <c r="D20" i="1"/>
  <c r="E20" i="1"/>
  <c r="F20" i="1"/>
  <c r="G20" i="1"/>
  <c r="H20" i="1"/>
  <c r="B20" i="1"/>
  <c r="J52" i="1" l="1"/>
  <c r="J4" i="1" s="1"/>
  <c r="J20" i="1"/>
  <c r="K20" i="1"/>
  <c r="B60" i="1"/>
  <c r="B58" i="1"/>
  <c r="B56" i="1"/>
  <c r="D58" i="1"/>
  <c r="D60" i="1"/>
  <c r="D56" i="1"/>
  <c r="C56" i="1"/>
  <c r="C58" i="1" s="1"/>
  <c r="C60" i="1" s="1"/>
  <c r="H58" i="1"/>
  <c r="H60" i="1"/>
  <c r="H56" i="1"/>
  <c r="F60" i="1"/>
  <c r="K60" i="1" s="1"/>
  <c r="F58" i="1"/>
  <c r="K58" i="1" s="1"/>
  <c r="E53" i="1"/>
  <c r="E54" i="1" s="1"/>
  <c r="E55" i="1" s="1"/>
  <c r="E56" i="1" s="1"/>
  <c r="E57" i="1" s="1"/>
  <c r="E58" i="1" s="1"/>
  <c r="E59" i="1" s="1"/>
  <c r="E60" i="1" s="1"/>
  <c r="E7" i="1"/>
  <c r="E9" i="1"/>
  <c r="E11" i="1" s="1"/>
  <c r="E13" i="1" s="1"/>
  <c r="E5" i="1"/>
  <c r="J60" i="1" l="1"/>
  <c r="J58" i="1"/>
  <c r="E22" i="1"/>
  <c r="E36" i="1"/>
  <c r="E38" i="1"/>
  <c r="E40" i="1"/>
  <c r="C54" i="1"/>
  <c r="D54" i="1"/>
  <c r="F54" i="1"/>
  <c r="G54" i="1"/>
  <c r="H54" i="1"/>
  <c r="F56" i="1"/>
  <c r="K56" i="1" s="1"/>
  <c r="G56" i="1"/>
  <c r="K42" i="1"/>
  <c r="C40" i="1"/>
  <c r="D40" i="1"/>
  <c r="F40" i="1"/>
  <c r="G40" i="1"/>
  <c r="H40" i="1"/>
  <c r="C38" i="1"/>
  <c r="D38" i="1"/>
  <c r="F38" i="1"/>
  <c r="G38" i="1"/>
  <c r="H38" i="1"/>
  <c r="C36" i="1"/>
  <c r="D36" i="1"/>
  <c r="F36" i="1"/>
  <c r="K36" i="1" s="1"/>
  <c r="G36" i="1"/>
  <c r="H36" i="1"/>
  <c r="B54" i="1"/>
  <c r="B40" i="1"/>
  <c r="B38" i="1"/>
  <c r="B36" i="1"/>
  <c r="C5" i="1"/>
  <c r="D5" i="1"/>
  <c r="F5" i="1"/>
  <c r="G5" i="1"/>
  <c r="H5" i="1"/>
  <c r="C7" i="1"/>
  <c r="D7" i="1"/>
  <c r="F7" i="1"/>
  <c r="G7" i="1"/>
  <c r="H7" i="1"/>
  <c r="C9" i="1"/>
  <c r="D9" i="1"/>
  <c r="F9" i="1"/>
  <c r="G9" i="1"/>
  <c r="H9" i="1"/>
  <c r="C11" i="1"/>
  <c r="D11" i="1"/>
  <c r="F11" i="1"/>
  <c r="G11" i="1"/>
  <c r="H11" i="1"/>
  <c r="C13" i="1"/>
  <c r="D13" i="1"/>
  <c r="F13" i="1"/>
  <c r="G13" i="1"/>
  <c r="H13" i="1"/>
  <c r="C22" i="1"/>
  <c r="D22" i="1"/>
  <c r="F22" i="1"/>
  <c r="G22" i="1"/>
  <c r="H22" i="1"/>
  <c r="B22" i="1"/>
  <c r="B13" i="1"/>
  <c r="B11" i="1"/>
  <c r="B9" i="1"/>
  <c r="B5" i="1"/>
  <c r="B7" i="1"/>
  <c r="G41" i="1"/>
  <c r="G42" i="1" s="1"/>
  <c r="I38" i="1"/>
  <c r="I36" i="1"/>
  <c r="G50" i="1" l="1"/>
  <c r="G51" i="1" s="1"/>
  <c r="J38" i="1"/>
  <c r="J22" i="1"/>
  <c r="J42" i="1"/>
  <c r="K13" i="1"/>
  <c r="J5" i="1"/>
  <c r="J40" i="1"/>
  <c r="K40" i="1"/>
  <c r="K5" i="1"/>
  <c r="K22" i="1"/>
  <c r="K54" i="1"/>
  <c r="J9" i="1"/>
  <c r="K9" i="1"/>
  <c r="J56" i="1"/>
  <c r="J54" i="1"/>
  <c r="K38" i="1"/>
  <c r="J36" i="1"/>
  <c r="J13" i="1"/>
  <c r="J11" i="1"/>
  <c r="K11" i="1"/>
  <c r="J7" i="1"/>
  <c r="K7" i="1"/>
</calcChain>
</file>

<file path=xl/sharedStrings.xml><?xml version="1.0" encoding="utf-8"?>
<sst xmlns="http://schemas.openxmlformats.org/spreadsheetml/2006/main" count="68" uniqueCount="36">
  <si>
    <t>W.C.</t>
  </si>
  <si>
    <t>LAV</t>
  </si>
  <si>
    <t>TUB</t>
  </si>
  <si>
    <t>SHOW</t>
  </si>
  <si>
    <t>K.S.</t>
  </si>
  <si>
    <t>D.W.</t>
  </si>
  <si>
    <t>A.W.</t>
  </si>
  <si>
    <t>H.B.</t>
  </si>
  <si>
    <t>F.U.</t>
  </si>
  <si>
    <t>TOTAL</t>
  </si>
  <si>
    <t>L</t>
  </si>
  <si>
    <t>HOT</t>
  </si>
  <si>
    <t>STACK</t>
  </si>
  <si>
    <t>01</t>
  </si>
  <si>
    <t>3</t>
  </si>
  <si>
    <t>1</t>
  </si>
  <si>
    <t>03</t>
  </si>
  <si>
    <t>10&amp;101</t>
  </si>
  <si>
    <t>12&amp;100</t>
  </si>
  <si>
    <t>21</t>
  </si>
  <si>
    <t>24</t>
  </si>
  <si>
    <t>26&amp;105</t>
  </si>
  <si>
    <t>20</t>
  </si>
  <si>
    <t>15</t>
  </si>
  <si>
    <t>17</t>
  </si>
  <si>
    <t>18</t>
  </si>
  <si>
    <t>W</t>
  </si>
  <si>
    <t>25</t>
  </si>
  <si>
    <t>NW</t>
  </si>
  <si>
    <t>SW</t>
  </si>
  <si>
    <t>E</t>
  </si>
  <si>
    <t>NE</t>
  </si>
  <si>
    <t>SE</t>
  </si>
  <si>
    <t>4&amp;104</t>
  </si>
  <si>
    <t>6&amp;103</t>
  </si>
  <si>
    <t>8&amp;102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</si>
</sst>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color indexed="20"/>
      <name val="Arial"/>
      <family val="2"/>
    </font>
    <font>
      <b/>
      <u/>
      <sz val="12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0" xfId="0" applyNumberFormat="1"/>
    <xf numFmtId="0" fontId="4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49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0" fillId="0" borderId="0" xfId="0" applyFont="1" applyBorder="1"/>
    <xf numFmtId="49" fontId="12" fillId="0" borderId="0" xfId="0" applyNumberFormat="1" applyFont="1" applyBorder="1" applyAlignment="1">
      <alignment horizontal="center"/>
    </xf>
    <xf numFmtId="1" fontId="11" fillId="4" borderId="0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0" xfId="0" applyFont="1" applyFill="1" applyBorder="1"/>
    <xf numFmtId="0" fontId="6" fillId="0" borderId="0" xfId="0" applyFont="1" applyFill="1" applyBorder="1"/>
    <xf numFmtId="49" fontId="0" fillId="0" borderId="0" xfId="0" applyNumberFormat="1" applyBorder="1"/>
    <xf numFmtId="1" fontId="4" fillId="0" borderId="0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1" fillId="0" borderId="0" xfId="0" applyNumberFormat="1" applyFont="1" applyBorder="1" applyAlignment="1"/>
    <xf numFmtId="0" fontId="0" fillId="0" borderId="3" xfId="0" applyBorder="1"/>
    <xf numFmtId="49" fontId="3" fillId="0" borderId="2" xfId="0" applyNumberFormat="1" applyFont="1" applyBorder="1" applyAlignment="1">
      <alignment horizontal="center"/>
    </xf>
    <xf numFmtId="0" fontId="2" fillId="0" borderId="4" xfId="0" applyFont="1" applyBorder="1"/>
    <xf numFmtId="0" fontId="7" fillId="0" borderId="4" xfId="0" applyFont="1" applyBorder="1"/>
    <xf numFmtId="0" fontId="5" fillId="0" borderId="4" xfId="0" applyFont="1" applyBorder="1"/>
    <xf numFmtId="49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49" fontId="2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" fontId="8" fillId="4" borderId="4" xfId="0" applyNumberFormat="1" applyFont="1" applyFill="1" applyBorder="1" applyAlignment="1">
      <alignment horizontal="center"/>
    </xf>
    <xf numFmtId="0" fontId="0" fillId="0" borderId="4" xfId="0" applyBorder="1"/>
    <xf numFmtId="1" fontId="3" fillId="0" borderId="4" xfId="0" applyNumberFormat="1" applyFont="1" applyBorder="1" applyAlignment="1">
      <alignment horizontal="center"/>
    </xf>
    <xf numFmtId="1" fontId="8" fillId="0" borderId="4" xfId="0" applyNumberFormat="1" applyFont="1" applyFill="1" applyBorder="1" applyAlignment="1">
      <alignment horizontal="center"/>
    </xf>
    <xf numFmtId="1" fontId="4" fillId="0" borderId="4" xfId="0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7" fillId="0" borderId="4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1" fontId="3" fillId="6" borderId="4" xfId="0" applyNumberFormat="1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0" fontId="1" fillId="0" borderId="4" xfId="0" applyFont="1" applyBorder="1"/>
    <xf numFmtId="1" fontId="8" fillId="5" borderId="4" xfId="0" applyNumberFormat="1" applyFont="1" applyFill="1" applyBorder="1" applyAlignment="1">
      <alignment horizontal="center"/>
    </xf>
    <xf numFmtId="0" fontId="10" fillId="0" borderId="4" xfId="0" applyFont="1" applyBorder="1"/>
    <xf numFmtId="0" fontId="6" fillId="0" borderId="4" xfId="0" applyFont="1" applyBorder="1"/>
    <xf numFmtId="0" fontId="14" fillId="0" borderId="4" xfId="0" applyFont="1" applyBorder="1"/>
    <xf numFmtId="0" fontId="2" fillId="0" borderId="4" xfId="0" applyNumberFormat="1" applyFont="1" applyBorder="1" applyAlignment="1">
      <alignment horizontal="center"/>
    </xf>
    <xf numFmtId="0" fontId="3" fillId="7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0"/>
  <sheetViews>
    <sheetView tabSelected="1" view="pageBreakPreview" zoomScaleNormal="100" zoomScaleSheetLayoutView="100" workbookViewId="0">
      <selection activeCell="Q31" sqref="Q31"/>
    </sheetView>
  </sheetViews>
  <sheetFormatPr defaultRowHeight="13.2" x14ac:dyDescent="0.25"/>
  <cols>
    <col min="1" max="1" width="12.5546875" customWidth="1"/>
    <col min="2" max="2" width="7.88671875" customWidth="1"/>
    <col min="3" max="4" width="6.33203125" customWidth="1"/>
    <col min="5" max="5" width="8.6640625" customWidth="1"/>
    <col min="6" max="6" width="7.44140625" customWidth="1"/>
    <col min="7" max="7" width="6.33203125" hidden="1" customWidth="1"/>
    <col min="8" max="8" width="6.33203125" customWidth="1"/>
    <col min="9" max="9" width="6.33203125" hidden="1" customWidth="1"/>
    <col min="10" max="10" width="9.44140625" customWidth="1"/>
    <col min="11" max="11" width="7.44140625" style="26" customWidth="1"/>
    <col min="12" max="12" width="9.44140625" style="24" customWidth="1"/>
    <col min="13" max="13" width="10.44140625" hidden="1" customWidth="1"/>
    <col min="14" max="14" width="12.5546875" style="22" customWidth="1"/>
    <col min="21" max="21" width="0" hidden="1" customWidth="1"/>
    <col min="23" max="23" width="0" hidden="1" customWidth="1"/>
    <col min="27" max="27" width="0" hidden="1" customWidth="1"/>
  </cols>
  <sheetData>
    <row r="1" spans="1:28" ht="15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50"/>
      <c r="L1" s="51"/>
      <c r="M1" s="49"/>
      <c r="N1" s="52"/>
    </row>
    <row r="2" spans="1:28" ht="15.6" x14ac:dyDescent="0.3">
      <c r="A2" s="53"/>
      <c r="B2" s="54" t="s">
        <v>0</v>
      </c>
      <c r="C2" s="54" t="s">
        <v>1</v>
      </c>
      <c r="D2" s="54" t="s">
        <v>2</v>
      </c>
      <c r="E2" s="54" t="s">
        <v>3</v>
      </c>
      <c r="F2" s="54" t="s">
        <v>4</v>
      </c>
      <c r="G2" s="54" t="s">
        <v>5</v>
      </c>
      <c r="H2" s="54" t="s">
        <v>6</v>
      </c>
      <c r="I2" s="55" t="s">
        <v>7</v>
      </c>
      <c r="J2" s="55"/>
      <c r="K2" s="56" t="s">
        <v>8</v>
      </c>
      <c r="L2" s="57" t="s">
        <v>8</v>
      </c>
      <c r="M2" s="58"/>
      <c r="N2" s="59"/>
    </row>
    <row r="3" spans="1:28" ht="17.399999999999999" x14ac:dyDescent="0.3">
      <c r="A3" s="60" t="s">
        <v>12</v>
      </c>
      <c r="B3" s="55">
        <v>2.5</v>
      </c>
      <c r="C3" s="55">
        <v>1</v>
      </c>
      <c r="D3" s="55">
        <v>4</v>
      </c>
      <c r="E3" s="55">
        <v>2</v>
      </c>
      <c r="F3" s="55">
        <v>3</v>
      </c>
      <c r="G3" s="55"/>
      <c r="H3" s="55">
        <v>4</v>
      </c>
      <c r="I3" s="53"/>
      <c r="J3" s="55"/>
      <c r="K3" s="61" t="s">
        <v>10</v>
      </c>
      <c r="L3" s="62" t="s">
        <v>11</v>
      </c>
      <c r="M3" s="49"/>
      <c r="N3" s="60" t="s">
        <v>12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6" x14ac:dyDescent="0.3">
      <c r="A4" s="60" t="s">
        <v>13</v>
      </c>
      <c r="B4" s="53">
        <v>6</v>
      </c>
      <c r="C4" s="53">
        <v>6</v>
      </c>
      <c r="D4" s="53"/>
      <c r="E4" s="53">
        <v>6</v>
      </c>
      <c r="F4" s="53">
        <v>6</v>
      </c>
      <c r="G4" s="53"/>
      <c r="H4" s="53">
        <v>6</v>
      </c>
      <c r="I4" s="55"/>
      <c r="J4" s="63">
        <f>SUM(J14,J23,J34,J43,J52,J61)</f>
        <v>2193</v>
      </c>
      <c r="K4" s="63">
        <f t="shared" ref="K4:L4" si="0">SUM(K14,K23,K34,K43,K52,K61)</f>
        <v>1701</v>
      </c>
      <c r="L4" s="63">
        <f t="shared" si="0"/>
        <v>1341</v>
      </c>
      <c r="M4" s="64"/>
      <c r="N4" s="60" t="s">
        <v>9</v>
      </c>
      <c r="O4" s="21"/>
      <c r="P4" s="11"/>
      <c r="Q4" s="11"/>
      <c r="R4" s="11"/>
      <c r="S4" s="11"/>
      <c r="T4" s="11"/>
      <c r="U4" s="11"/>
      <c r="V4" s="11"/>
      <c r="W4" s="7"/>
      <c r="X4" s="7"/>
      <c r="Y4" s="12"/>
      <c r="Z4" s="12"/>
      <c r="AA4" s="10"/>
      <c r="AB4" s="21"/>
    </row>
    <row r="5" spans="1:28" ht="15.6" x14ac:dyDescent="0.3">
      <c r="A5" s="55" t="s">
        <v>9</v>
      </c>
      <c r="B5" s="53">
        <f>B4*B3</f>
        <v>15</v>
      </c>
      <c r="C5" s="53">
        <f t="shared" ref="C5:H5" si="1">C4*C3</f>
        <v>6</v>
      </c>
      <c r="D5" s="53">
        <f t="shared" si="1"/>
        <v>0</v>
      </c>
      <c r="E5" s="53">
        <f>E4*$E$3</f>
        <v>12</v>
      </c>
      <c r="F5" s="53">
        <f t="shared" si="1"/>
        <v>18</v>
      </c>
      <c r="G5" s="53">
        <f t="shared" si="1"/>
        <v>0</v>
      </c>
      <c r="H5" s="53">
        <f t="shared" si="1"/>
        <v>24</v>
      </c>
      <c r="I5" s="55"/>
      <c r="J5" s="65">
        <f>SUM(B5,C5,D5,E5,F5,H5)</f>
        <v>75</v>
      </c>
      <c r="K5" s="66">
        <f>B4*3.5+F5+H5</f>
        <v>63</v>
      </c>
      <c r="L5" s="67">
        <f>SUM(C5,D5,E5,F5,H5)*0.75</f>
        <v>45</v>
      </c>
      <c r="M5" s="64"/>
      <c r="N5" s="60" t="s">
        <v>15</v>
      </c>
      <c r="O5" s="7"/>
      <c r="P5" s="7"/>
      <c r="Q5" s="7"/>
      <c r="R5" s="7"/>
      <c r="S5" s="7"/>
      <c r="T5" s="7"/>
      <c r="U5" s="7"/>
      <c r="V5" s="7"/>
      <c r="W5" s="7"/>
      <c r="X5" s="7"/>
      <c r="Y5" s="8"/>
      <c r="Z5" s="9"/>
      <c r="AA5" s="10"/>
      <c r="AB5" s="7"/>
    </row>
    <row r="6" spans="1:28" ht="15.6" x14ac:dyDescent="0.3">
      <c r="A6" s="60" t="s">
        <v>16</v>
      </c>
      <c r="B6" s="53">
        <v>6</v>
      </c>
      <c r="C6" s="53">
        <v>6</v>
      </c>
      <c r="D6" s="53">
        <v>0</v>
      </c>
      <c r="E6" s="53">
        <v>6</v>
      </c>
      <c r="F6" s="53">
        <v>6</v>
      </c>
      <c r="G6" s="53"/>
      <c r="H6" s="53">
        <v>6</v>
      </c>
      <c r="I6" s="53"/>
      <c r="J6" s="68"/>
      <c r="K6" s="69"/>
      <c r="L6" s="67"/>
      <c r="M6" s="64"/>
      <c r="N6" s="70"/>
      <c r="O6" s="20"/>
      <c r="P6" s="13"/>
      <c r="Q6" s="13"/>
      <c r="R6" s="13"/>
      <c r="S6" s="13"/>
      <c r="T6" s="13"/>
      <c r="U6" s="13"/>
      <c r="V6" s="13"/>
      <c r="W6" s="7"/>
      <c r="X6" s="7"/>
      <c r="Y6" s="12"/>
      <c r="Z6" s="12"/>
      <c r="AA6" s="10"/>
      <c r="AB6" s="20"/>
    </row>
    <row r="7" spans="1:28" s="1" customFormat="1" ht="15.6" x14ac:dyDescent="0.3">
      <c r="A7" s="55" t="s">
        <v>9</v>
      </c>
      <c r="B7" s="53">
        <f>B6*B3</f>
        <v>15</v>
      </c>
      <c r="C7" s="53">
        <f t="shared" ref="C7:H7" si="2">C6*C3</f>
        <v>6</v>
      </c>
      <c r="D7" s="53">
        <f t="shared" si="2"/>
        <v>0</v>
      </c>
      <c r="E7" s="53">
        <f t="shared" ref="E7:E17" si="3">E6*$E$3</f>
        <v>12</v>
      </c>
      <c r="F7" s="53">
        <f t="shared" si="2"/>
        <v>18</v>
      </c>
      <c r="G7" s="53">
        <f t="shared" si="2"/>
        <v>0</v>
      </c>
      <c r="H7" s="53">
        <f t="shared" si="2"/>
        <v>24</v>
      </c>
      <c r="I7" s="55"/>
      <c r="J7" s="65">
        <f>SUM(B7,C7,D7,E7,F7,H7)</f>
        <v>75</v>
      </c>
      <c r="K7" s="66">
        <f>B6*3.5+F7+H7</f>
        <v>63</v>
      </c>
      <c r="L7" s="67">
        <f t="shared" ref="L6:L60" si="4">SUM(C7,D7,E7,F7,H7)*0.75</f>
        <v>45</v>
      </c>
      <c r="M7" s="64"/>
      <c r="N7" s="60" t="s">
        <v>14</v>
      </c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9"/>
      <c r="AA7" s="10"/>
      <c r="AB7" s="7"/>
    </row>
    <row r="8" spans="1:28" ht="15.6" x14ac:dyDescent="0.3">
      <c r="A8" s="60" t="s">
        <v>23</v>
      </c>
      <c r="B8" s="53">
        <v>6</v>
      </c>
      <c r="C8" s="53">
        <v>6</v>
      </c>
      <c r="D8" s="53">
        <v>0</v>
      </c>
      <c r="E8" s="53">
        <v>6</v>
      </c>
      <c r="F8" s="53">
        <v>6</v>
      </c>
      <c r="G8" s="53"/>
      <c r="H8" s="53">
        <v>6</v>
      </c>
      <c r="I8" s="55"/>
      <c r="J8" s="65"/>
      <c r="K8" s="66"/>
      <c r="L8" s="67"/>
      <c r="M8" s="64"/>
      <c r="N8" s="55"/>
      <c r="O8" s="21"/>
      <c r="P8" s="11"/>
      <c r="Q8" s="11"/>
      <c r="R8" s="11"/>
      <c r="S8" s="11"/>
      <c r="T8" s="11"/>
      <c r="U8" s="11"/>
      <c r="V8" s="11"/>
      <c r="W8" s="7"/>
      <c r="X8" s="7"/>
      <c r="Y8" s="12"/>
      <c r="Z8" s="12"/>
      <c r="AA8" s="10"/>
      <c r="AB8" s="21"/>
    </row>
    <row r="9" spans="1:28" s="1" customFormat="1" ht="15.6" x14ac:dyDescent="0.3">
      <c r="A9" s="55" t="s">
        <v>9</v>
      </c>
      <c r="B9" s="53">
        <f>B8*B3</f>
        <v>15</v>
      </c>
      <c r="C9" s="53">
        <f t="shared" ref="C9:H9" si="5">C8*C3</f>
        <v>6</v>
      </c>
      <c r="D9" s="53">
        <f t="shared" si="5"/>
        <v>0</v>
      </c>
      <c r="E9" s="53">
        <f t="shared" si="3"/>
        <v>12</v>
      </c>
      <c r="F9" s="53">
        <f t="shared" si="5"/>
        <v>18</v>
      </c>
      <c r="G9" s="53">
        <f t="shared" si="5"/>
        <v>0</v>
      </c>
      <c r="H9" s="53">
        <f t="shared" si="5"/>
        <v>24</v>
      </c>
      <c r="I9" s="55"/>
      <c r="J9" s="65">
        <f>SUM(B9,C9,D9,E9,F9,H9)</f>
        <v>75</v>
      </c>
      <c r="K9" s="66">
        <f>B8*3.5+F9+H9</f>
        <v>63</v>
      </c>
      <c r="L9" s="67">
        <f t="shared" si="4"/>
        <v>45</v>
      </c>
      <c r="M9" s="64"/>
      <c r="N9" s="60" t="s">
        <v>23</v>
      </c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9"/>
      <c r="AA9" s="10"/>
      <c r="AB9" s="7"/>
    </row>
    <row r="10" spans="1:28" ht="15.6" x14ac:dyDescent="0.3">
      <c r="A10" s="60" t="s">
        <v>24</v>
      </c>
      <c r="B10" s="53">
        <v>6</v>
      </c>
      <c r="C10" s="53">
        <v>6</v>
      </c>
      <c r="D10" s="53">
        <v>0</v>
      </c>
      <c r="E10" s="53">
        <v>6</v>
      </c>
      <c r="F10" s="53">
        <v>6</v>
      </c>
      <c r="G10" s="53"/>
      <c r="H10" s="53">
        <v>6</v>
      </c>
      <c r="I10" s="55"/>
      <c r="J10" s="66"/>
      <c r="K10" s="66"/>
      <c r="L10" s="67"/>
      <c r="M10" s="64"/>
      <c r="N10" s="55"/>
      <c r="O10" s="21"/>
      <c r="P10" s="11"/>
      <c r="Q10" s="11"/>
      <c r="R10" s="11"/>
      <c r="S10" s="11"/>
      <c r="T10" s="11"/>
      <c r="U10" s="11"/>
      <c r="V10" s="11"/>
      <c r="W10" s="7"/>
      <c r="X10" s="7"/>
      <c r="Y10" s="12"/>
      <c r="Z10" s="12"/>
      <c r="AA10" s="10"/>
      <c r="AB10" s="21"/>
    </row>
    <row r="11" spans="1:28" s="1" customFormat="1" ht="15.6" x14ac:dyDescent="0.3">
      <c r="A11" s="55" t="s">
        <v>9</v>
      </c>
      <c r="B11" s="53">
        <f>B10*B3</f>
        <v>15</v>
      </c>
      <c r="C11" s="53">
        <f t="shared" ref="C11:H11" si="6">C10*C3</f>
        <v>6</v>
      </c>
      <c r="D11" s="53">
        <f t="shared" si="6"/>
        <v>0</v>
      </c>
      <c r="E11" s="53">
        <f t="shared" si="3"/>
        <v>12</v>
      </c>
      <c r="F11" s="53">
        <f t="shared" si="6"/>
        <v>18</v>
      </c>
      <c r="G11" s="53">
        <f t="shared" si="6"/>
        <v>0</v>
      </c>
      <c r="H11" s="53">
        <f t="shared" si="6"/>
        <v>24</v>
      </c>
      <c r="I11" s="55"/>
      <c r="J11" s="65">
        <f>SUM(B11,C11,D11,E11,F11,H11)</f>
        <v>75</v>
      </c>
      <c r="K11" s="66">
        <f>B10*3.5+F11+H11</f>
        <v>63</v>
      </c>
      <c r="L11" s="67">
        <f t="shared" si="4"/>
        <v>45</v>
      </c>
      <c r="M11" s="64"/>
      <c r="N11" s="60" t="s">
        <v>24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9"/>
      <c r="AA11" s="10"/>
      <c r="AB11" s="7"/>
    </row>
    <row r="12" spans="1:28" s="1" customFormat="1" ht="15.6" x14ac:dyDescent="0.3">
      <c r="A12" s="60" t="s">
        <v>25</v>
      </c>
      <c r="B12" s="53">
        <v>6</v>
      </c>
      <c r="C12" s="53">
        <v>6</v>
      </c>
      <c r="D12" s="53">
        <v>0</v>
      </c>
      <c r="E12" s="53">
        <v>6</v>
      </c>
      <c r="F12" s="53">
        <v>6</v>
      </c>
      <c r="G12" s="53"/>
      <c r="H12" s="53">
        <v>6</v>
      </c>
      <c r="I12" s="55"/>
      <c r="J12" s="65"/>
      <c r="K12" s="66"/>
      <c r="L12" s="67"/>
      <c r="M12" s="64"/>
      <c r="N12" s="55"/>
      <c r="O12" s="21"/>
      <c r="P12" s="11"/>
      <c r="Q12" s="11"/>
      <c r="R12" s="11"/>
      <c r="S12" s="11"/>
      <c r="T12" s="11"/>
      <c r="U12" s="11"/>
      <c r="V12" s="11"/>
      <c r="W12" s="7"/>
      <c r="X12" s="7"/>
      <c r="Y12" s="12"/>
      <c r="Z12" s="12"/>
      <c r="AA12" s="10"/>
      <c r="AB12" s="21"/>
    </row>
    <row r="13" spans="1:28" s="1" customFormat="1" ht="15.6" x14ac:dyDescent="0.3">
      <c r="A13" s="55" t="s">
        <v>9</v>
      </c>
      <c r="B13" s="53">
        <f>B12*B3</f>
        <v>15</v>
      </c>
      <c r="C13" s="53">
        <f t="shared" ref="C13:H13" si="7">C12*C3</f>
        <v>6</v>
      </c>
      <c r="D13" s="53">
        <f t="shared" si="7"/>
        <v>0</v>
      </c>
      <c r="E13" s="53">
        <f t="shared" si="3"/>
        <v>12</v>
      </c>
      <c r="F13" s="53">
        <f t="shared" si="7"/>
        <v>18</v>
      </c>
      <c r="G13" s="53">
        <f t="shared" si="7"/>
        <v>0</v>
      </c>
      <c r="H13" s="53">
        <f t="shared" si="7"/>
        <v>24</v>
      </c>
      <c r="I13" s="55">
        <v>0</v>
      </c>
      <c r="J13" s="65">
        <f>SUM(B13,C13,D13,E13,F13,H13)</f>
        <v>75</v>
      </c>
      <c r="K13" s="66">
        <f>B12*3.5+F13+H13</f>
        <v>63</v>
      </c>
      <c r="L13" s="67">
        <f t="shared" si="4"/>
        <v>45</v>
      </c>
      <c r="M13" s="64"/>
      <c r="N13" s="60" t="s">
        <v>25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8"/>
      <c r="Z13" s="9"/>
      <c r="AA13" s="10"/>
      <c r="AB13" s="7"/>
    </row>
    <row r="14" spans="1:28" s="1" customFormat="1" ht="15.6" x14ac:dyDescent="0.3">
      <c r="A14" s="60"/>
      <c r="B14" s="53"/>
      <c r="C14" s="53"/>
      <c r="D14" s="53"/>
      <c r="E14" s="53"/>
      <c r="F14" s="53"/>
      <c r="G14" s="53"/>
      <c r="H14" s="53"/>
      <c r="I14" s="55"/>
      <c r="J14" s="71">
        <f>SUM(J5:J13)</f>
        <v>375</v>
      </c>
      <c r="K14" s="71">
        <f t="shared" ref="K14:L14" si="8">SUM(K5:K13)</f>
        <v>315</v>
      </c>
      <c r="L14" s="71">
        <f t="shared" si="8"/>
        <v>225</v>
      </c>
      <c r="M14" s="64"/>
      <c r="N14" s="79" t="s">
        <v>26</v>
      </c>
      <c r="O14" s="21"/>
      <c r="P14" s="11"/>
      <c r="Q14" s="11"/>
      <c r="R14" s="11"/>
      <c r="S14" s="11"/>
      <c r="T14" s="11"/>
      <c r="U14" s="11"/>
      <c r="V14" s="11"/>
      <c r="W14" s="7"/>
      <c r="X14" s="7"/>
      <c r="Y14" s="12"/>
      <c r="Z14" s="12"/>
      <c r="AA14" s="10"/>
      <c r="AB14" s="21"/>
    </row>
    <row r="15" spans="1:28" s="1" customFormat="1" ht="15.6" x14ac:dyDescent="0.3">
      <c r="A15" s="55">
        <v>19</v>
      </c>
      <c r="B15" s="53">
        <v>6</v>
      </c>
      <c r="C15" s="53">
        <v>6</v>
      </c>
      <c r="D15" s="53">
        <v>0</v>
      </c>
      <c r="E15" s="53">
        <v>6</v>
      </c>
      <c r="F15" s="53">
        <v>6</v>
      </c>
      <c r="G15" s="53"/>
      <c r="H15" s="53">
        <v>6</v>
      </c>
      <c r="I15" s="55"/>
      <c r="J15" s="72"/>
      <c r="K15" s="66"/>
      <c r="L15" s="67"/>
      <c r="M15" s="64"/>
      <c r="N15" s="55"/>
      <c r="O15" s="7"/>
      <c r="P15" s="7"/>
      <c r="Q15" s="7"/>
      <c r="R15" s="7"/>
      <c r="S15" s="7"/>
      <c r="T15" s="7"/>
      <c r="U15" s="7"/>
      <c r="V15" s="7"/>
      <c r="W15" s="11"/>
      <c r="X15" s="7"/>
      <c r="Y15" s="8"/>
      <c r="Z15" s="9"/>
      <c r="AA15" s="10"/>
      <c r="AB15" s="7"/>
    </row>
    <row r="16" spans="1:28" s="1" customFormat="1" ht="15.6" x14ac:dyDescent="0.3">
      <c r="A16" s="55" t="s">
        <v>9</v>
      </c>
      <c r="B16" s="53">
        <f>B15*B$3</f>
        <v>15</v>
      </c>
      <c r="C16" s="53">
        <f t="shared" ref="C16:H16" si="9">C15*C$3</f>
        <v>6</v>
      </c>
      <c r="D16" s="53">
        <f t="shared" si="9"/>
        <v>0</v>
      </c>
      <c r="E16" s="53">
        <f t="shared" si="9"/>
        <v>12</v>
      </c>
      <c r="F16" s="53">
        <f t="shared" si="9"/>
        <v>18</v>
      </c>
      <c r="G16" s="53">
        <f t="shared" si="9"/>
        <v>0</v>
      </c>
      <c r="H16" s="53">
        <f t="shared" si="9"/>
        <v>24</v>
      </c>
      <c r="I16" s="55"/>
      <c r="J16" s="72">
        <f>SUM(B16,C16,D16,E16,F16,H16)</f>
        <v>75</v>
      </c>
      <c r="K16" s="66">
        <f t="shared" ref="K16" si="10">B15*3.5+F16+H16</f>
        <v>63</v>
      </c>
      <c r="L16" s="67">
        <f t="shared" si="4"/>
        <v>45</v>
      </c>
      <c r="M16" s="64"/>
      <c r="N16" s="55">
        <v>19</v>
      </c>
      <c r="O16" s="21"/>
      <c r="P16" s="11"/>
      <c r="Q16" s="11"/>
      <c r="R16" s="11"/>
      <c r="S16" s="11"/>
      <c r="T16" s="11"/>
      <c r="U16" s="11"/>
      <c r="V16" s="11"/>
      <c r="W16" s="7"/>
      <c r="X16" s="7"/>
      <c r="Y16" s="12"/>
      <c r="Z16" s="12"/>
      <c r="AA16" s="10"/>
      <c r="AB16" s="21"/>
    </row>
    <row r="17" spans="1:28" s="1" customFormat="1" ht="15.6" x14ac:dyDescent="0.3">
      <c r="A17" s="55">
        <v>22</v>
      </c>
      <c r="B17" s="53">
        <v>6</v>
      </c>
      <c r="C17" s="53">
        <v>6</v>
      </c>
      <c r="D17" s="53">
        <v>0</v>
      </c>
      <c r="E17" s="53">
        <v>6</v>
      </c>
      <c r="F17" s="53">
        <v>6</v>
      </c>
      <c r="G17" s="53"/>
      <c r="H17" s="53">
        <v>6</v>
      </c>
      <c r="I17" s="55"/>
      <c r="J17" s="72"/>
      <c r="K17" s="66"/>
      <c r="L17" s="67"/>
      <c r="M17" s="64"/>
      <c r="N17" s="55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  <c r="Z17" s="9"/>
      <c r="AA17" s="10"/>
      <c r="AB17" s="7"/>
    </row>
    <row r="18" spans="1:28" s="1" customFormat="1" ht="15.6" x14ac:dyDescent="0.3">
      <c r="A18" s="55" t="s">
        <v>9</v>
      </c>
      <c r="B18" s="53">
        <f>B17*B$3</f>
        <v>15</v>
      </c>
      <c r="C18" s="53">
        <f t="shared" ref="C18:I18" si="11">C17*C$3</f>
        <v>6</v>
      </c>
      <c r="D18" s="53">
        <f t="shared" si="11"/>
        <v>0</v>
      </c>
      <c r="E18" s="53">
        <f t="shared" si="11"/>
        <v>12</v>
      </c>
      <c r="F18" s="53">
        <f t="shared" si="11"/>
        <v>18</v>
      </c>
      <c r="G18" s="53">
        <f t="shared" si="11"/>
        <v>0</v>
      </c>
      <c r="H18" s="53">
        <f t="shared" si="11"/>
        <v>24</v>
      </c>
      <c r="I18" s="55">
        <f t="shared" si="11"/>
        <v>0</v>
      </c>
      <c r="J18" s="72">
        <f>SUM(B18,C18,D18,E18,F18,H18)</f>
        <v>75</v>
      </c>
      <c r="K18" s="66">
        <f t="shared" ref="K18" si="12">B17*3.5+F18+H18</f>
        <v>63</v>
      </c>
      <c r="L18" s="67">
        <f t="shared" si="4"/>
        <v>45</v>
      </c>
      <c r="M18" s="64"/>
      <c r="N18" s="55">
        <v>22</v>
      </c>
      <c r="O18" s="21"/>
      <c r="P18" s="11"/>
      <c r="Q18" s="11"/>
      <c r="R18" s="11"/>
      <c r="S18" s="11"/>
      <c r="T18" s="11"/>
      <c r="U18" s="11"/>
      <c r="V18" s="11"/>
      <c r="W18" s="7"/>
      <c r="X18" s="7"/>
      <c r="Y18" s="12"/>
      <c r="Z18" s="12"/>
      <c r="AA18" s="10"/>
      <c r="AB18" s="21"/>
    </row>
    <row r="19" spans="1:28" s="1" customFormat="1" ht="15.6" x14ac:dyDescent="0.3">
      <c r="A19" s="55">
        <v>23</v>
      </c>
      <c r="B19" s="53">
        <v>6</v>
      </c>
      <c r="C19" s="53">
        <v>6</v>
      </c>
      <c r="D19" s="53">
        <v>0</v>
      </c>
      <c r="E19" s="53">
        <v>6</v>
      </c>
      <c r="F19" s="53">
        <v>6</v>
      </c>
      <c r="G19" s="53"/>
      <c r="H19" s="53">
        <v>6</v>
      </c>
      <c r="I19" s="55"/>
      <c r="J19" s="72"/>
      <c r="K19" s="66"/>
      <c r="L19" s="67"/>
      <c r="M19" s="64"/>
      <c r="N19" s="55"/>
      <c r="O19" s="21"/>
      <c r="P19" s="11"/>
      <c r="Q19" s="11"/>
      <c r="R19" s="11"/>
      <c r="S19" s="11"/>
      <c r="T19" s="11"/>
      <c r="U19" s="11"/>
      <c r="V19" s="11"/>
      <c r="W19" s="7"/>
      <c r="X19" s="7"/>
      <c r="Y19" s="12"/>
      <c r="Z19" s="12"/>
      <c r="AA19" s="10"/>
      <c r="AB19" s="21"/>
    </row>
    <row r="20" spans="1:28" s="1" customFormat="1" ht="15.6" x14ac:dyDescent="0.3">
      <c r="A20" s="55" t="s">
        <v>9</v>
      </c>
      <c r="B20" s="53">
        <f>B19*B3</f>
        <v>15</v>
      </c>
      <c r="C20" s="53">
        <f t="shared" ref="C20:H20" si="13">C19*C3</f>
        <v>6</v>
      </c>
      <c r="D20" s="53">
        <f t="shared" si="13"/>
        <v>0</v>
      </c>
      <c r="E20" s="53">
        <f t="shared" si="13"/>
        <v>12</v>
      </c>
      <c r="F20" s="53">
        <f t="shared" si="13"/>
        <v>18</v>
      </c>
      <c r="G20" s="53">
        <f t="shared" si="13"/>
        <v>0</v>
      </c>
      <c r="H20" s="53">
        <f t="shared" si="13"/>
        <v>24</v>
      </c>
      <c r="I20" s="55"/>
      <c r="J20" s="72">
        <f>SUM(B20,C20,D20,E20,F20,H20)</f>
        <v>75</v>
      </c>
      <c r="K20" s="66">
        <f t="shared" ref="K20" si="14">B19*3.5+F20+H20</f>
        <v>63</v>
      </c>
      <c r="L20" s="67">
        <f t="shared" si="4"/>
        <v>45</v>
      </c>
      <c r="M20" s="64"/>
      <c r="N20" s="55">
        <v>23</v>
      </c>
      <c r="O20" s="7"/>
      <c r="P20" s="7"/>
      <c r="Q20" s="7"/>
      <c r="R20" s="7"/>
      <c r="S20" s="7"/>
      <c r="T20" s="7"/>
      <c r="U20" s="7"/>
      <c r="V20" s="7"/>
      <c r="W20" s="11"/>
      <c r="X20" s="7"/>
      <c r="Y20" s="8"/>
      <c r="Z20" s="9"/>
      <c r="AA20" s="10"/>
      <c r="AB20" s="7"/>
    </row>
    <row r="21" spans="1:28" s="1" customFormat="1" ht="15.6" x14ac:dyDescent="0.3">
      <c r="A21" s="60" t="s">
        <v>27</v>
      </c>
      <c r="B21" s="53">
        <v>6</v>
      </c>
      <c r="C21" s="53">
        <v>6</v>
      </c>
      <c r="D21" s="53">
        <v>6</v>
      </c>
      <c r="E21" s="53">
        <v>0</v>
      </c>
      <c r="F21" s="53">
        <v>6</v>
      </c>
      <c r="G21" s="53"/>
      <c r="H21" s="53">
        <v>6</v>
      </c>
      <c r="I21" s="53"/>
      <c r="J21" s="65"/>
      <c r="K21" s="66"/>
      <c r="L21" s="67"/>
      <c r="M21" s="64"/>
      <c r="N21" s="55"/>
      <c r="O21" s="21"/>
      <c r="P21" s="11"/>
      <c r="Q21" s="11"/>
      <c r="R21" s="11"/>
      <c r="S21" s="11"/>
      <c r="T21" s="11"/>
      <c r="U21" s="11"/>
      <c r="V21" s="11"/>
      <c r="W21" s="11"/>
      <c r="X21" s="7"/>
      <c r="Y21" s="12"/>
      <c r="Z21" s="12"/>
      <c r="AA21" s="10"/>
      <c r="AB21" s="21"/>
    </row>
    <row r="22" spans="1:28" s="1" customFormat="1" ht="15.6" x14ac:dyDescent="0.3">
      <c r="A22" s="55" t="s">
        <v>9</v>
      </c>
      <c r="B22" s="53">
        <f>B21*B3</f>
        <v>15</v>
      </c>
      <c r="C22" s="53">
        <f t="shared" ref="C22:H22" si="15">C21*C3</f>
        <v>6</v>
      </c>
      <c r="D22" s="53">
        <f t="shared" si="15"/>
        <v>24</v>
      </c>
      <c r="E22" s="53">
        <f t="shared" si="15"/>
        <v>0</v>
      </c>
      <c r="F22" s="53">
        <f t="shared" si="15"/>
        <v>18</v>
      </c>
      <c r="G22" s="53">
        <f t="shared" si="15"/>
        <v>0</v>
      </c>
      <c r="H22" s="53">
        <f t="shared" si="15"/>
        <v>24</v>
      </c>
      <c r="I22" s="55"/>
      <c r="J22" s="65">
        <f>SUM(B22,C22,D22,E22,F22,H22)</f>
        <v>87</v>
      </c>
      <c r="K22" s="66">
        <f>B21*3.5+F22+H22</f>
        <v>63</v>
      </c>
      <c r="L22" s="67">
        <f t="shared" si="4"/>
        <v>54</v>
      </c>
      <c r="M22" s="64"/>
      <c r="N22" s="60" t="s">
        <v>27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9"/>
      <c r="AA22" s="10"/>
      <c r="AB22" s="7"/>
    </row>
    <row r="23" spans="1:28" s="1" customFormat="1" ht="15.6" x14ac:dyDescent="0.3">
      <c r="A23" s="60"/>
      <c r="B23" s="53"/>
      <c r="C23" s="53"/>
      <c r="D23" s="53"/>
      <c r="E23" s="53"/>
      <c r="F23" s="53"/>
      <c r="G23" s="53"/>
      <c r="H23" s="53"/>
      <c r="I23" s="53"/>
      <c r="J23" s="71">
        <f>SUM(J16:J22)</f>
        <v>312</v>
      </c>
      <c r="K23" s="71">
        <f t="shared" ref="K23:L23" si="16">SUM(K16:K22)</f>
        <v>252</v>
      </c>
      <c r="L23" s="71">
        <f t="shared" si="16"/>
        <v>189</v>
      </c>
      <c r="M23" s="64"/>
      <c r="N23" s="79" t="s">
        <v>28</v>
      </c>
      <c r="O23" s="21"/>
      <c r="P23" s="11"/>
      <c r="Q23" s="11"/>
      <c r="R23" s="11"/>
      <c r="S23" s="11"/>
      <c r="T23" s="11"/>
      <c r="U23" s="11"/>
      <c r="V23" s="11"/>
      <c r="W23" s="11"/>
      <c r="X23" s="7"/>
      <c r="Y23" s="12"/>
      <c r="Z23" s="12"/>
      <c r="AA23" s="10"/>
      <c r="AB23" s="21"/>
    </row>
    <row r="24" spans="1:28" s="1" customFormat="1" ht="15.6" x14ac:dyDescent="0.3">
      <c r="A24" s="55">
        <v>5</v>
      </c>
      <c r="B24" s="53">
        <v>6</v>
      </c>
      <c r="C24" s="53">
        <v>6</v>
      </c>
      <c r="D24" s="53">
        <v>0</v>
      </c>
      <c r="E24" s="53">
        <v>6</v>
      </c>
      <c r="F24" s="53">
        <v>6</v>
      </c>
      <c r="G24" s="53"/>
      <c r="H24" s="53">
        <v>6</v>
      </c>
      <c r="I24" s="55"/>
      <c r="J24" s="72"/>
      <c r="K24" s="66"/>
      <c r="L24" s="67"/>
      <c r="M24" s="64"/>
      <c r="N24" s="55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  <c r="Z24" s="9"/>
      <c r="AA24" s="10"/>
      <c r="AB24" s="7"/>
    </row>
    <row r="25" spans="1:28" s="1" customFormat="1" ht="15.6" x14ac:dyDescent="0.3">
      <c r="A25" s="55" t="s">
        <v>9</v>
      </c>
      <c r="B25" s="53">
        <f>B24*B$3</f>
        <v>15</v>
      </c>
      <c r="C25" s="53">
        <f t="shared" ref="C25:H25" si="17">C24*C$3</f>
        <v>6</v>
      </c>
      <c r="D25" s="53">
        <f t="shared" si="17"/>
        <v>0</v>
      </c>
      <c r="E25" s="53">
        <f t="shared" si="17"/>
        <v>12</v>
      </c>
      <c r="F25" s="53">
        <f t="shared" si="17"/>
        <v>18</v>
      </c>
      <c r="G25" s="53">
        <f t="shared" si="17"/>
        <v>0</v>
      </c>
      <c r="H25" s="53">
        <f t="shared" si="17"/>
        <v>24</v>
      </c>
      <c r="I25" s="55">
        <f>I24*2.5</f>
        <v>0</v>
      </c>
      <c r="J25" s="72">
        <f>SUM(B25,C25,D25,E25,F25,H25)</f>
        <v>75</v>
      </c>
      <c r="K25" s="66">
        <f t="shared" ref="K25:K33" si="18">B24*3.5+F25+H25</f>
        <v>63</v>
      </c>
      <c r="L25" s="67">
        <f t="shared" si="4"/>
        <v>45</v>
      </c>
      <c r="M25" s="64"/>
      <c r="N25" s="55">
        <v>5</v>
      </c>
      <c r="O25" s="21"/>
      <c r="P25" s="11"/>
      <c r="Q25" s="11"/>
      <c r="R25" s="11"/>
      <c r="S25" s="11"/>
      <c r="T25" s="11"/>
      <c r="U25" s="11"/>
      <c r="V25" s="11"/>
      <c r="W25" s="11"/>
      <c r="X25" s="7"/>
      <c r="Y25" s="12"/>
      <c r="Z25" s="12"/>
      <c r="AA25" s="10"/>
      <c r="AB25" s="21"/>
    </row>
    <row r="26" spans="1:28" ht="15.6" x14ac:dyDescent="0.3">
      <c r="A26" s="55">
        <v>7</v>
      </c>
      <c r="B26" s="53">
        <v>6</v>
      </c>
      <c r="C26" s="53">
        <v>6</v>
      </c>
      <c r="D26" s="53">
        <v>0</v>
      </c>
      <c r="E26" s="53">
        <v>6</v>
      </c>
      <c r="F26" s="53">
        <v>6</v>
      </c>
      <c r="G26" s="53"/>
      <c r="H26" s="53">
        <v>6</v>
      </c>
      <c r="I26" s="55"/>
      <c r="J26" s="72"/>
      <c r="K26" s="66"/>
      <c r="L26" s="67"/>
      <c r="M26" s="64"/>
      <c r="N26" s="55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  <c r="Z26" s="9"/>
      <c r="AA26" s="10"/>
      <c r="AB26" s="7"/>
    </row>
    <row r="27" spans="1:28" s="1" customFormat="1" ht="15.6" x14ac:dyDescent="0.3">
      <c r="A27" s="55" t="s">
        <v>9</v>
      </c>
      <c r="B27" s="53">
        <f>B26*B$3</f>
        <v>15</v>
      </c>
      <c r="C27" s="53">
        <f t="shared" ref="C27:H27" si="19">C26*C$3</f>
        <v>6</v>
      </c>
      <c r="D27" s="53">
        <f t="shared" si="19"/>
        <v>0</v>
      </c>
      <c r="E27" s="53">
        <f t="shared" si="19"/>
        <v>12</v>
      </c>
      <c r="F27" s="53">
        <f t="shared" si="19"/>
        <v>18</v>
      </c>
      <c r="G27" s="53">
        <f t="shared" si="19"/>
        <v>0</v>
      </c>
      <c r="H27" s="53">
        <f t="shared" si="19"/>
        <v>24</v>
      </c>
      <c r="I27" s="55">
        <f>I26*2.5</f>
        <v>0</v>
      </c>
      <c r="J27" s="72">
        <f>SUM(B27,C27,D27,E27,F27,H27)</f>
        <v>75</v>
      </c>
      <c r="K27" s="66">
        <f t="shared" ref="K27:K33" si="20">B26*3.5+F27+H27</f>
        <v>63</v>
      </c>
      <c r="L27" s="67">
        <f t="shared" si="4"/>
        <v>45</v>
      </c>
      <c r="M27" s="64"/>
      <c r="N27" s="55">
        <v>7</v>
      </c>
      <c r="O27" s="21"/>
      <c r="P27" s="11"/>
      <c r="Q27" s="11"/>
      <c r="R27" s="11"/>
      <c r="S27" s="11"/>
      <c r="T27" s="11"/>
      <c r="U27" s="11"/>
      <c r="V27" s="11"/>
      <c r="W27" s="11"/>
      <c r="X27" s="7"/>
      <c r="Y27" s="12"/>
      <c r="Z27" s="12"/>
      <c r="AA27" s="10"/>
      <c r="AB27" s="21"/>
    </row>
    <row r="28" spans="1:28" ht="15.6" x14ac:dyDescent="0.3">
      <c r="A28" s="55">
        <v>9</v>
      </c>
      <c r="B28" s="53">
        <v>6</v>
      </c>
      <c r="C28" s="53">
        <v>6</v>
      </c>
      <c r="D28" s="53">
        <v>0</v>
      </c>
      <c r="E28" s="53">
        <v>6</v>
      </c>
      <c r="F28" s="53">
        <v>6</v>
      </c>
      <c r="G28" s="53"/>
      <c r="H28" s="53">
        <v>6</v>
      </c>
      <c r="I28" s="53"/>
      <c r="J28" s="72"/>
      <c r="K28" s="66"/>
      <c r="L28" s="67"/>
      <c r="M28" s="64"/>
      <c r="N28" s="55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  <c r="Z28" s="9"/>
      <c r="AA28" s="10"/>
      <c r="AB28" s="7"/>
    </row>
    <row r="29" spans="1:28" s="1" customFormat="1" ht="15.6" x14ac:dyDescent="0.3">
      <c r="A29" s="55" t="s">
        <v>9</v>
      </c>
      <c r="B29" s="53">
        <f>B28*B$3</f>
        <v>15</v>
      </c>
      <c r="C29" s="53">
        <f t="shared" ref="C29:H29" si="21">C28*C$3</f>
        <v>6</v>
      </c>
      <c r="D29" s="53">
        <f t="shared" si="21"/>
        <v>0</v>
      </c>
      <c r="E29" s="53">
        <f t="shared" si="21"/>
        <v>12</v>
      </c>
      <c r="F29" s="53">
        <f t="shared" si="21"/>
        <v>18</v>
      </c>
      <c r="G29" s="53">
        <f t="shared" si="21"/>
        <v>0</v>
      </c>
      <c r="H29" s="53">
        <f t="shared" si="21"/>
        <v>24</v>
      </c>
      <c r="I29" s="55">
        <f>I28*2.5</f>
        <v>0</v>
      </c>
      <c r="J29" s="72">
        <f>SUM(B29,C29,D29,E29,F29,H29)</f>
        <v>75</v>
      </c>
      <c r="K29" s="66">
        <f t="shared" ref="K29:K33" si="22">B28*3.5+F29+H29</f>
        <v>63</v>
      </c>
      <c r="L29" s="67">
        <f t="shared" si="4"/>
        <v>45</v>
      </c>
      <c r="M29" s="64"/>
      <c r="N29" s="55">
        <v>9</v>
      </c>
      <c r="O29" s="21"/>
      <c r="P29" s="11"/>
      <c r="Q29" s="11"/>
      <c r="R29" s="11"/>
      <c r="S29" s="11"/>
      <c r="T29" s="11"/>
      <c r="U29" s="11"/>
      <c r="V29" s="11"/>
      <c r="W29" s="7"/>
      <c r="X29" s="7"/>
      <c r="Y29" s="12"/>
      <c r="Z29" s="12"/>
      <c r="AA29" s="10"/>
      <c r="AB29" s="21"/>
    </row>
    <row r="30" spans="1:28" ht="15.6" x14ac:dyDescent="0.3">
      <c r="A30" s="55">
        <v>11</v>
      </c>
      <c r="B30" s="53">
        <v>6</v>
      </c>
      <c r="C30" s="53">
        <v>6</v>
      </c>
      <c r="D30" s="53">
        <v>0</v>
      </c>
      <c r="E30" s="53">
        <v>6</v>
      </c>
      <c r="F30" s="53">
        <v>6</v>
      </c>
      <c r="G30" s="53"/>
      <c r="H30" s="53">
        <v>6</v>
      </c>
      <c r="I30" s="55"/>
      <c r="J30" s="72"/>
      <c r="K30" s="66"/>
      <c r="L30" s="67"/>
      <c r="M30" s="64"/>
      <c r="N30" s="55"/>
      <c r="O30" s="7"/>
      <c r="P30" s="7"/>
      <c r="Q30" s="7"/>
      <c r="R30" s="7"/>
      <c r="S30" s="7"/>
      <c r="T30" s="7"/>
      <c r="U30" s="7"/>
      <c r="V30" s="7"/>
      <c r="W30" s="11"/>
      <c r="X30" s="7"/>
      <c r="Y30" s="8"/>
      <c r="Z30" s="9"/>
      <c r="AA30" s="10"/>
      <c r="AB30" s="7"/>
    </row>
    <row r="31" spans="1:28" s="1" customFormat="1" ht="15.6" x14ac:dyDescent="0.3">
      <c r="A31" s="55" t="s">
        <v>9</v>
      </c>
      <c r="B31" s="53">
        <f>B30*B$3</f>
        <v>15</v>
      </c>
      <c r="C31" s="53">
        <f t="shared" ref="C31:H31" si="23">C30*C$3</f>
        <v>6</v>
      </c>
      <c r="D31" s="53">
        <f t="shared" si="23"/>
        <v>0</v>
      </c>
      <c r="E31" s="53">
        <f t="shared" si="23"/>
        <v>12</v>
      </c>
      <c r="F31" s="53">
        <f t="shared" si="23"/>
        <v>18</v>
      </c>
      <c r="G31" s="53">
        <f t="shared" si="23"/>
        <v>0</v>
      </c>
      <c r="H31" s="53">
        <f t="shared" si="23"/>
        <v>24</v>
      </c>
      <c r="I31" s="55"/>
      <c r="J31" s="72">
        <f>SUM(B31,C31,D31,E31,F31,H31)</f>
        <v>75</v>
      </c>
      <c r="K31" s="66">
        <f t="shared" ref="K31:K33" si="24">B30*3.5+F31+H31</f>
        <v>63</v>
      </c>
      <c r="L31" s="67">
        <f t="shared" si="4"/>
        <v>45</v>
      </c>
      <c r="M31" s="64"/>
      <c r="N31" s="55">
        <v>11</v>
      </c>
      <c r="O31" s="21"/>
      <c r="P31" s="11"/>
      <c r="Q31" s="11"/>
      <c r="R31" s="11"/>
      <c r="S31" s="11"/>
      <c r="T31" s="11"/>
      <c r="U31" s="11"/>
      <c r="V31" s="11"/>
      <c r="W31" s="7"/>
      <c r="X31" s="7"/>
      <c r="Y31" s="12"/>
      <c r="Z31" s="12"/>
      <c r="AA31" s="10"/>
      <c r="AB31" s="21"/>
    </row>
    <row r="32" spans="1:28" ht="15.6" x14ac:dyDescent="0.3">
      <c r="A32" s="55">
        <v>13</v>
      </c>
      <c r="B32" s="53">
        <v>6</v>
      </c>
      <c r="C32" s="53">
        <v>6</v>
      </c>
      <c r="D32" s="53">
        <v>0</v>
      </c>
      <c r="E32" s="53">
        <v>6</v>
      </c>
      <c r="F32" s="53">
        <v>6</v>
      </c>
      <c r="G32" s="53" t="e">
        <f>SUM(G28,G26,G24,G22,G20,G18,G16,G14,G12,G9,G7,G5,G3,G1,#REF!,#REF!,#REF!)</f>
        <v>#REF!</v>
      </c>
      <c r="H32" s="53">
        <v>6</v>
      </c>
      <c r="I32" s="55"/>
      <c r="J32" s="72"/>
      <c r="K32" s="66"/>
      <c r="L32" s="67"/>
      <c r="M32" s="64"/>
      <c r="N32" s="55"/>
      <c r="O32" s="7"/>
      <c r="P32" s="7"/>
      <c r="Q32" s="7"/>
      <c r="R32" s="7"/>
      <c r="S32" s="7"/>
      <c r="T32" s="7"/>
      <c r="U32" s="7"/>
      <c r="V32" s="7"/>
      <c r="W32" s="7"/>
      <c r="X32" s="7"/>
      <c r="Y32" s="8"/>
      <c r="Z32" s="9"/>
      <c r="AA32" s="10"/>
      <c r="AB32" s="7"/>
    </row>
    <row r="33" spans="1:28" s="1" customFormat="1" ht="15.6" x14ac:dyDescent="0.3">
      <c r="A33" s="55" t="s">
        <v>9</v>
      </c>
      <c r="B33" s="78">
        <f>B32*B$3</f>
        <v>15</v>
      </c>
      <c r="C33" s="78">
        <f t="shared" ref="C33:H33" si="25">C32*C$3</f>
        <v>6</v>
      </c>
      <c r="D33" s="78">
        <f t="shared" si="25"/>
        <v>0</v>
      </c>
      <c r="E33" s="78">
        <f t="shared" si="25"/>
        <v>12</v>
      </c>
      <c r="F33" s="78">
        <f t="shared" si="25"/>
        <v>18</v>
      </c>
      <c r="G33" s="78" t="e">
        <f t="shared" si="25"/>
        <v>#REF!</v>
      </c>
      <c r="H33" s="78">
        <f t="shared" si="25"/>
        <v>24</v>
      </c>
      <c r="I33" s="53"/>
      <c r="J33" s="72">
        <f>SUM(B33,C33,D33,E33,F33,H33)</f>
        <v>75</v>
      </c>
      <c r="K33" s="66">
        <f t="shared" ref="K33:L33" si="26">B32*3.5+F33+H33</f>
        <v>63</v>
      </c>
      <c r="L33" s="67">
        <f t="shared" si="4"/>
        <v>45</v>
      </c>
      <c r="M33" s="64"/>
      <c r="N33" s="55">
        <v>13</v>
      </c>
      <c r="O33" s="21"/>
      <c r="P33" s="11"/>
      <c r="Q33" s="11"/>
      <c r="R33" s="11"/>
      <c r="S33" s="11"/>
      <c r="T33" s="11"/>
      <c r="U33" s="11"/>
      <c r="V33" s="11"/>
      <c r="W33" s="7"/>
      <c r="X33" s="7"/>
      <c r="Y33" s="12"/>
      <c r="Z33" s="12"/>
      <c r="AA33" s="10"/>
      <c r="AB33" s="21"/>
    </row>
    <row r="34" spans="1:28" ht="15.6" x14ac:dyDescent="0.3">
      <c r="A34" s="55"/>
      <c r="B34" s="53"/>
      <c r="C34" s="53"/>
      <c r="D34" s="53"/>
      <c r="E34" s="53"/>
      <c r="F34" s="53"/>
      <c r="G34" s="53"/>
      <c r="H34" s="53"/>
      <c r="I34" s="55"/>
      <c r="J34" s="71">
        <f>SUM(J25:J33)</f>
        <v>375</v>
      </c>
      <c r="K34" s="71">
        <f t="shared" ref="K34:L34" si="27">SUM(K25:K33)</f>
        <v>315</v>
      </c>
      <c r="L34" s="71">
        <f t="shared" si="27"/>
        <v>225</v>
      </c>
      <c r="M34" s="64"/>
      <c r="N34" s="79" t="s">
        <v>29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8"/>
      <c r="Z34" s="9"/>
      <c r="AA34" s="10"/>
      <c r="AB34" s="7"/>
    </row>
    <row r="35" spans="1:28" ht="15.6" x14ac:dyDescent="0.3">
      <c r="A35" s="55">
        <v>2</v>
      </c>
      <c r="B35" s="53">
        <v>6</v>
      </c>
      <c r="C35" s="53">
        <v>6</v>
      </c>
      <c r="D35" s="53">
        <v>6</v>
      </c>
      <c r="E35" s="53">
        <v>0</v>
      </c>
      <c r="F35" s="53">
        <v>6</v>
      </c>
      <c r="G35" s="53"/>
      <c r="H35" s="53">
        <v>6</v>
      </c>
      <c r="I35" s="55"/>
      <c r="J35" s="72"/>
      <c r="K35" s="66"/>
      <c r="L35" s="67"/>
      <c r="M35" s="64"/>
      <c r="N35" s="55"/>
      <c r="O35" s="7"/>
      <c r="P35" s="7"/>
      <c r="Q35" s="7"/>
      <c r="R35" s="7"/>
      <c r="S35" s="7"/>
      <c r="T35" s="7"/>
      <c r="U35" s="7"/>
      <c r="V35" s="7"/>
      <c r="W35" s="7"/>
      <c r="X35" s="7"/>
      <c r="Y35" s="8"/>
      <c r="Z35" s="9"/>
      <c r="AA35" s="10"/>
      <c r="AB35" s="7"/>
    </row>
    <row r="36" spans="1:28" ht="15.6" x14ac:dyDescent="0.3">
      <c r="A36" s="55" t="s">
        <v>9</v>
      </c>
      <c r="B36" s="53">
        <f>B35*B3</f>
        <v>15</v>
      </c>
      <c r="C36" s="53">
        <f t="shared" ref="C36:H36" si="28">C35*C3</f>
        <v>6</v>
      </c>
      <c r="D36" s="53">
        <f t="shared" si="28"/>
        <v>24</v>
      </c>
      <c r="E36" s="53">
        <f t="shared" si="28"/>
        <v>0</v>
      </c>
      <c r="F36" s="53">
        <f t="shared" si="28"/>
        <v>18</v>
      </c>
      <c r="G36" s="53">
        <f t="shared" si="28"/>
        <v>0</v>
      </c>
      <c r="H36" s="53">
        <f t="shared" si="28"/>
        <v>24</v>
      </c>
      <c r="I36" s="55">
        <f>I35*2.5</f>
        <v>0</v>
      </c>
      <c r="J36" s="72">
        <f>SUM(B36,C36,D36,E36,F36,H36)</f>
        <v>87</v>
      </c>
      <c r="K36" s="66">
        <f t="shared" ref="K34:K54" si="29">B35*3.5+F36+H36</f>
        <v>63</v>
      </c>
      <c r="L36" s="67">
        <f t="shared" si="4"/>
        <v>54</v>
      </c>
      <c r="M36" s="64"/>
      <c r="N36" s="55">
        <v>2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8"/>
      <c r="Z36" s="9"/>
      <c r="AA36" s="10"/>
      <c r="AB36" s="7"/>
    </row>
    <row r="37" spans="1:28" s="1" customFormat="1" ht="15.6" x14ac:dyDescent="0.3">
      <c r="A37" s="55" t="s">
        <v>33</v>
      </c>
      <c r="B37" s="53">
        <v>7</v>
      </c>
      <c r="C37" s="53">
        <v>7</v>
      </c>
      <c r="D37" s="53">
        <v>7</v>
      </c>
      <c r="E37" s="53">
        <v>0</v>
      </c>
      <c r="F37" s="53">
        <v>7</v>
      </c>
      <c r="G37" s="53"/>
      <c r="H37" s="53">
        <v>7</v>
      </c>
      <c r="I37" s="53"/>
      <c r="J37" s="72"/>
      <c r="K37" s="66"/>
      <c r="L37" s="67"/>
      <c r="M37" s="64"/>
      <c r="N37" s="55"/>
      <c r="O37" s="21"/>
      <c r="P37" s="11"/>
      <c r="Q37" s="11"/>
      <c r="R37" s="11"/>
      <c r="S37" s="11"/>
      <c r="T37" s="11"/>
      <c r="U37" s="11"/>
      <c r="V37" s="11"/>
      <c r="W37" s="7"/>
      <c r="X37" s="7"/>
      <c r="Y37" s="12"/>
      <c r="Z37" s="12"/>
      <c r="AA37" s="10"/>
      <c r="AB37" s="21"/>
    </row>
    <row r="38" spans="1:28" ht="15.6" x14ac:dyDescent="0.3">
      <c r="A38" s="55" t="s">
        <v>9</v>
      </c>
      <c r="B38" s="53">
        <f>B37*B3</f>
        <v>17.5</v>
      </c>
      <c r="C38" s="53">
        <f t="shared" ref="C38:H38" si="30">C37*C3</f>
        <v>7</v>
      </c>
      <c r="D38" s="53">
        <f t="shared" si="30"/>
        <v>28</v>
      </c>
      <c r="E38" s="53">
        <f t="shared" si="30"/>
        <v>0</v>
      </c>
      <c r="F38" s="53">
        <f t="shared" si="30"/>
        <v>21</v>
      </c>
      <c r="G38" s="53">
        <f t="shared" si="30"/>
        <v>0</v>
      </c>
      <c r="H38" s="53">
        <f t="shared" si="30"/>
        <v>28</v>
      </c>
      <c r="I38" s="55">
        <f>I37*2.5</f>
        <v>0</v>
      </c>
      <c r="J38" s="72">
        <f>SUM(B38,C38,D38,E38,F38,H38)</f>
        <v>101.5</v>
      </c>
      <c r="K38" s="66">
        <f t="shared" si="29"/>
        <v>73.5</v>
      </c>
      <c r="L38" s="67">
        <f t="shared" si="4"/>
        <v>63</v>
      </c>
      <c r="M38" s="64"/>
      <c r="N38" s="55">
        <v>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8"/>
      <c r="Z38" s="9"/>
      <c r="AA38" s="10"/>
      <c r="AB38" s="7"/>
    </row>
    <row r="39" spans="1:28" s="1" customFormat="1" ht="15.6" x14ac:dyDescent="0.3">
      <c r="A39" s="55">
        <v>14</v>
      </c>
      <c r="B39" s="53">
        <v>6</v>
      </c>
      <c r="C39" s="53">
        <v>6</v>
      </c>
      <c r="D39" s="53">
        <v>6</v>
      </c>
      <c r="E39" s="53">
        <v>0</v>
      </c>
      <c r="F39" s="53">
        <v>6</v>
      </c>
      <c r="G39" s="53"/>
      <c r="H39" s="53">
        <v>6</v>
      </c>
      <c r="I39" s="55"/>
      <c r="J39" s="72"/>
      <c r="K39" s="66"/>
      <c r="L39" s="67"/>
      <c r="M39" s="64"/>
      <c r="N39" s="55"/>
      <c r="O39" s="21"/>
      <c r="P39" s="11"/>
      <c r="Q39" s="11"/>
      <c r="R39" s="11"/>
      <c r="S39" s="11"/>
      <c r="T39" s="11"/>
      <c r="U39" s="11"/>
      <c r="V39" s="11"/>
      <c r="W39" s="7"/>
      <c r="X39" s="7"/>
      <c r="Y39" s="12"/>
      <c r="Z39" s="12"/>
      <c r="AA39" s="10"/>
      <c r="AB39" s="21"/>
    </row>
    <row r="40" spans="1:28" ht="15.6" x14ac:dyDescent="0.3">
      <c r="A40" s="55" t="s">
        <v>9</v>
      </c>
      <c r="B40" s="53">
        <f>B39*B3</f>
        <v>15</v>
      </c>
      <c r="C40" s="53">
        <f t="shared" ref="C40:H40" si="31">C39*C3</f>
        <v>6</v>
      </c>
      <c r="D40" s="53">
        <f t="shared" si="31"/>
        <v>24</v>
      </c>
      <c r="E40" s="53">
        <f t="shared" si="31"/>
        <v>0</v>
      </c>
      <c r="F40" s="53">
        <f t="shared" si="31"/>
        <v>18</v>
      </c>
      <c r="G40" s="53">
        <f t="shared" si="31"/>
        <v>0</v>
      </c>
      <c r="H40" s="53">
        <f t="shared" si="31"/>
        <v>24</v>
      </c>
      <c r="I40" s="55"/>
      <c r="J40" s="72">
        <f>SUM(B40,C40,D40,E40,F40,H40)</f>
        <v>87</v>
      </c>
      <c r="K40" s="66">
        <f t="shared" si="29"/>
        <v>63</v>
      </c>
      <c r="L40" s="67">
        <f t="shared" si="4"/>
        <v>54</v>
      </c>
      <c r="M40" s="64"/>
      <c r="N40" s="55">
        <v>14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8"/>
      <c r="Z40" s="9"/>
      <c r="AA40" s="10"/>
      <c r="AB40" s="7"/>
    </row>
    <row r="41" spans="1:28" s="1" customFormat="1" ht="15.6" x14ac:dyDescent="0.3">
      <c r="A41" s="55">
        <v>16</v>
      </c>
      <c r="B41" s="53">
        <v>6</v>
      </c>
      <c r="C41" s="53">
        <v>6</v>
      </c>
      <c r="D41" s="53">
        <v>6</v>
      </c>
      <c r="E41" s="53">
        <v>0</v>
      </c>
      <c r="F41" s="53">
        <v>6</v>
      </c>
      <c r="G41" s="53" t="e">
        <f>SUM(G37,G35,G33,G31,G29,G27,G25,G23,G21,G18,G16,G14,G12,G10,G8,G6,G4)</f>
        <v>#REF!</v>
      </c>
      <c r="H41" s="53">
        <v>6</v>
      </c>
      <c r="I41" s="55"/>
      <c r="J41" s="72"/>
      <c r="K41" s="66"/>
      <c r="L41" s="67"/>
      <c r="M41" s="64"/>
      <c r="N41" s="55"/>
      <c r="O41" s="21"/>
      <c r="P41" s="11"/>
      <c r="Q41" s="11"/>
      <c r="R41" s="11"/>
      <c r="S41" s="11"/>
      <c r="T41" s="11"/>
      <c r="U41" s="11"/>
      <c r="V41" s="11"/>
      <c r="W41" s="7"/>
      <c r="X41" s="7"/>
      <c r="Y41" s="12"/>
      <c r="Z41" s="12"/>
      <c r="AA41" s="10"/>
      <c r="AB41" s="21"/>
    </row>
    <row r="42" spans="1:28" ht="15.6" x14ac:dyDescent="0.3">
      <c r="A42" s="55" t="s">
        <v>9</v>
      </c>
      <c r="B42" s="53">
        <f>B41*B$3</f>
        <v>15</v>
      </c>
      <c r="C42" s="53">
        <f t="shared" ref="C42:H42" si="32">C41*C$3</f>
        <v>6</v>
      </c>
      <c r="D42" s="53">
        <f t="shared" si="32"/>
        <v>24</v>
      </c>
      <c r="E42" s="53">
        <f t="shared" si="32"/>
        <v>0</v>
      </c>
      <c r="F42" s="53">
        <f t="shared" si="32"/>
        <v>18</v>
      </c>
      <c r="G42" s="53" t="e">
        <f t="shared" si="32"/>
        <v>#REF!</v>
      </c>
      <c r="H42" s="53">
        <f t="shared" si="32"/>
        <v>24</v>
      </c>
      <c r="I42" s="53"/>
      <c r="J42" s="72">
        <f>SUM(B42,C42,D42,E42,F42,H42)</f>
        <v>87</v>
      </c>
      <c r="K42" s="66">
        <f t="shared" si="29"/>
        <v>63</v>
      </c>
      <c r="L42" s="67">
        <f t="shared" si="4"/>
        <v>54</v>
      </c>
      <c r="M42" s="64"/>
      <c r="N42" s="55">
        <v>16</v>
      </c>
      <c r="O42" s="7"/>
      <c r="P42" s="7"/>
      <c r="Q42" s="7"/>
      <c r="R42" s="7"/>
      <c r="S42" s="7"/>
      <c r="T42" s="7"/>
      <c r="U42" s="7"/>
      <c r="V42" s="7"/>
      <c r="W42" s="11"/>
      <c r="X42" s="7"/>
      <c r="Y42" s="8"/>
      <c r="Z42" s="9"/>
      <c r="AA42" s="10"/>
      <c r="AB42" s="7"/>
    </row>
    <row r="43" spans="1:28" s="1" customFormat="1" ht="15.6" x14ac:dyDescent="0.3">
      <c r="A43" s="55"/>
      <c r="B43" s="53"/>
      <c r="C43" s="53"/>
      <c r="D43" s="53"/>
      <c r="E43" s="53"/>
      <c r="F43" s="53"/>
      <c r="G43" s="77"/>
      <c r="H43" s="53"/>
      <c r="I43" s="73"/>
      <c r="J43" s="71">
        <f>SUM(J36:J42)</f>
        <v>362.5</v>
      </c>
      <c r="K43" s="71">
        <f t="shared" ref="K43:L43" si="33">SUM(K36:K42)</f>
        <v>262.5</v>
      </c>
      <c r="L43" s="71">
        <f t="shared" si="33"/>
        <v>225</v>
      </c>
      <c r="M43" s="73"/>
      <c r="N43" s="79" t="s">
        <v>30</v>
      </c>
      <c r="O43" s="20"/>
      <c r="P43" s="13"/>
      <c r="Q43" s="13"/>
      <c r="R43" s="13"/>
      <c r="S43" s="13"/>
      <c r="T43" s="13"/>
      <c r="U43" s="13"/>
      <c r="V43" s="13"/>
      <c r="W43" s="7"/>
      <c r="X43" s="7"/>
      <c r="Y43" s="12"/>
      <c r="Z43" s="12"/>
      <c r="AA43" s="10"/>
      <c r="AB43" s="20"/>
    </row>
    <row r="44" spans="1:28" ht="15.6" x14ac:dyDescent="0.3">
      <c r="A44" s="55">
        <v>20</v>
      </c>
      <c r="B44" s="53">
        <v>6</v>
      </c>
      <c r="C44" s="53">
        <v>6</v>
      </c>
      <c r="D44" s="53">
        <v>6</v>
      </c>
      <c r="E44" s="53">
        <v>0</v>
      </c>
      <c r="F44" s="53">
        <v>6</v>
      </c>
      <c r="G44" s="53"/>
      <c r="H44" s="53">
        <v>6</v>
      </c>
      <c r="I44" s="55"/>
      <c r="J44" s="72"/>
      <c r="K44" s="66"/>
      <c r="L44" s="67"/>
      <c r="M44" s="64"/>
      <c r="N44" s="55"/>
      <c r="O44" s="7"/>
      <c r="P44" s="7"/>
      <c r="Q44" s="7"/>
      <c r="R44" s="7"/>
      <c r="S44" s="7"/>
      <c r="T44" s="7"/>
      <c r="U44" s="7"/>
      <c r="V44" s="7"/>
      <c r="W44" s="7"/>
      <c r="X44" s="7"/>
      <c r="Y44" s="8"/>
      <c r="Z44" s="9"/>
      <c r="AA44" s="10"/>
      <c r="AB44" s="7"/>
    </row>
    <row r="45" spans="1:28" ht="15.6" x14ac:dyDescent="0.3">
      <c r="A45" s="55" t="s">
        <v>9</v>
      </c>
      <c r="B45" s="53">
        <f>B44*B$3</f>
        <v>15</v>
      </c>
      <c r="C45" s="53">
        <f t="shared" ref="C45:H45" si="34">C44*C$3</f>
        <v>6</v>
      </c>
      <c r="D45" s="53">
        <f t="shared" si="34"/>
        <v>24</v>
      </c>
      <c r="E45" s="53">
        <f t="shared" si="34"/>
        <v>0</v>
      </c>
      <c r="F45" s="53">
        <f t="shared" si="34"/>
        <v>18</v>
      </c>
      <c r="G45" s="53">
        <f t="shared" si="34"/>
        <v>0</v>
      </c>
      <c r="H45" s="53">
        <f t="shared" si="34"/>
        <v>24</v>
      </c>
      <c r="I45" s="55">
        <f>I44*2.5</f>
        <v>0</v>
      </c>
      <c r="J45" s="72">
        <f>SUM(B45,C45,D45,E45,F45,H45)</f>
        <v>87</v>
      </c>
      <c r="K45" s="66">
        <f t="shared" ref="K45:K52" si="35">B44*3.5+F45+H45</f>
        <v>63</v>
      </c>
      <c r="L45" s="67">
        <f t="shared" si="4"/>
        <v>54</v>
      </c>
      <c r="M45" s="64"/>
      <c r="N45" s="55">
        <v>20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8"/>
      <c r="Z45" s="9"/>
      <c r="AA45" s="10"/>
      <c r="AB45" s="7"/>
    </row>
    <row r="46" spans="1:28" s="1" customFormat="1" ht="15.6" x14ac:dyDescent="0.3">
      <c r="A46" s="55">
        <v>21</v>
      </c>
      <c r="B46" s="53">
        <v>6</v>
      </c>
      <c r="C46" s="53">
        <v>6</v>
      </c>
      <c r="D46" s="53">
        <v>6</v>
      </c>
      <c r="E46" s="53">
        <v>0</v>
      </c>
      <c r="F46" s="53">
        <v>6</v>
      </c>
      <c r="G46" s="53"/>
      <c r="H46" s="53">
        <v>6</v>
      </c>
      <c r="I46" s="53"/>
      <c r="J46" s="72"/>
      <c r="K46" s="66"/>
      <c r="L46" s="67"/>
      <c r="M46" s="64"/>
      <c r="N46" s="55"/>
      <c r="O46" s="21"/>
      <c r="P46" s="11"/>
      <c r="Q46" s="11"/>
      <c r="R46" s="11"/>
      <c r="S46" s="11"/>
      <c r="T46" s="11"/>
      <c r="U46" s="11"/>
      <c r="V46" s="11"/>
      <c r="W46" s="7"/>
      <c r="X46" s="7"/>
      <c r="Y46" s="12"/>
      <c r="Z46" s="12"/>
      <c r="AA46" s="10"/>
      <c r="AB46" s="21"/>
    </row>
    <row r="47" spans="1:28" ht="15.6" x14ac:dyDescent="0.3">
      <c r="A47" s="55" t="s">
        <v>9</v>
      </c>
      <c r="B47" s="53">
        <f>B46*B$3</f>
        <v>15</v>
      </c>
      <c r="C47" s="53">
        <f t="shared" ref="C47:H47" si="36">C46*C$3</f>
        <v>6</v>
      </c>
      <c r="D47" s="53">
        <f t="shared" si="36"/>
        <v>24</v>
      </c>
      <c r="E47" s="53">
        <f t="shared" si="36"/>
        <v>0</v>
      </c>
      <c r="F47" s="53">
        <f t="shared" si="36"/>
        <v>18</v>
      </c>
      <c r="G47" s="53">
        <f t="shared" si="36"/>
        <v>0</v>
      </c>
      <c r="H47" s="53">
        <f t="shared" si="36"/>
        <v>24</v>
      </c>
      <c r="I47" s="55">
        <f>I46*2.5</f>
        <v>0</v>
      </c>
      <c r="J47" s="72">
        <f>SUM(B47,C47,D47,E47,F47,H47)</f>
        <v>87</v>
      </c>
      <c r="K47" s="66">
        <f t="shared" ref="K47:K52" si="37">B46*3.5+F47+H47</f>
        <v>63</v>
      </c>
      <c r="L47" s="67">
        <f t="shared" si="4"/>
        <v>54</v>
      </c>
      <c r="M47" s="64"/>
      <c r="N47" s="55">
        <v>21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8"/>
      <c r="Z47" s="9"/>
      <c r="AA47" s="10"/>
      <c r="AB47" s="7"/>
    </row>
    <row r="48" spans="1:28" s="1" customFormat="1" ht="15.6" x14ac:dyDescent="0.3">
      <c r="A48" s="55">
        <v>24</v>
      </c>
      <c r="B48" s="53">
        <v>6</v>
      </c>
      <c r="C48" s="53">
        <v>6</v>
      </c>
      <c r="D48" s="53">
        <v>6</v>
      </c>
      <c r="E48" s="53">
        <v>0</v>
      </c>
      <c r="F48" s="53">
        <v>6</v>
      </c>
      <c r="G48" s="53"/>
      <c r="H48" s="53">
        <v>6</v>
      </c>
      <c r="I48" s="55"/>
      <c r="J48" s="72"/>
      <c r="K48" s="66"/>
      <c r="L48" s="67"/>
      <c r="M48" s="64"/>
      <c r="N48" s="55"/>
      <c r="O48" s="21"/>
      <c r="P48" s="11"/>
      <c r="Q48" s="11"/>
      <c r="R48" s="11"/>
      <c r="S48" s="11"/>
      <c r="T48" s="11"/>
      <c r="U48" s="11"/>
      <c r="V48" s="11"/>
      <c r="W48" s="7"/>
      <c r="X48" s="7"/>
      <c r="Y48" s="12"/>
      <c r="Z48" s="12"/>
      <c r="AA48" s="10"/>
      <c r="AB48" s="21"/>
    </row>
    <row r="49" spans="1:28" ht="15.6" x14ac:dyDescent="0.3">
      <c r="A49" s="55" t="s">
        <v>9</v>
      </c>
      <c r="B49" s="53">
        <f>B48*B$3</f>
        <v>15</v>
      </c>
      <c r="C49" s="53">
        <f t="shared" ref="C49:H49" si="38">C48*C$3</f>
        <v>6</v>
      </c>
      <c r="D49" s="53">
        <f t="shared" si="38"/>
        <v>24</v>
      </c>
      <c r="E49" s="53">
        <f t="shared" si="38"/>
        <v>0</v>
      </c>
      <c r="F49" s="53">
        <f t="shared" si="38"/>
        <v>18</v>
      </c>
      <c r="G49" s="53">
        <f t="shared" si="38"/>
        <v>0</v>
      </c>
      <c r="H49" s="53">
        <f t="shared" si="38"/>
        <v>24</v>
      </c>
      <c r="I49" s="55"/>
      <c r="J49" s="72">
        <f>SUM(B49,C49,D49,E49,F49,H49)</f>
        <v>87</v>
      </c>
      <c r="K49" s="66">
        <f t="shared" ref="K49:K52" si="39">B48*3.5+F49+H49</f>
        <v>63</v>
      </c>
      <c r="L49" s="67">
        <f t="shared" si="4"/>
        <v>54</v>
      </c>
      <c r="M49" s="64"/>
      <c r="N49" s="55">
        <v>24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8"/>
      <c r="Z49" s="9"/>
      <c r="AA49" s="10"/>
      <c r="AB49" s="7"/>
    </row>
    <row r="50" spans="1:28" s="1" customFormat="1" ht="15.6" x14ac:dyDescent="0.3">
      <c r="A50" s="55" t="s">
        <v>21</v>
      </c>
      <c r="B50" s="53">
        <v>7</v>
      </c>
      <c r="C50" s="53">
        <v>7</v>
      </c>
      <c r="D50" s="53">
        <v>7</v>
      </c>
      <c r="E50" s="53">
        <v>0</v>
      </c>
      <c r="F50" s="53">
        <v>7</v>
      </c>
      <c r="G50" s="53" t="e">
        <f>SUM(G46,G44,G42,G40,G38,G36,G34,G32,G30,G27,G25,G23,G21,G19,G17,G15,G13)</f>
        <v>#REF!</v>
      </c>
      <c r="H50" s="53">
        <v>7</v>
      </c>
      <c r="I50" s="55"/>
      <c r="J50" s="72"/>
      <c r="K50" s="66"/>
      <c r="L50" s="67"/>
      <c r="M50" s="64"/>
      <c r="N50" s="55"/>
      <c r="O50" s="21"/>
      <c r="P50" s="11"/>
      <c r="Q50" s="11"/>
      <c r="R50" s="11"/>
      <c r="S50" s="11"/>
      <c r="T50" s="11"/>
      <c r="U50" s="11"/>
      <c r="V50" s="11"/>
      <c r="W50" s="7"/>
      <c r="X50" s="7"/>
      <c r="Y50" s="12"/>
      <c r="Z50" s="12"/>
      <c r="AA50" s="10"/>
      <c r="AB50" s="21"/>
    </row>
    <row r="51" spans="1:28" ht="15.6" x14ac:dyDescent="0.3">
      <c r="A51" s="55" t="s">
        <v>9</v>
      </c>
      <c r="B51" s="53">
        <f>B50*B$3</f>
        <v>17.5</v>
      </c>
      <c r="C51" s="53">
        <f t="shared" ref="C51:H51" si="40">C50*C$3</f>
        <v>7</v>
      </c>
      <c r="D51" s="53">
        <f t="shared" si="40"/>
        <v>28</v>
      </c>
      <c r="E51" s="53">
        <f t="shared" si="40"/>
        <v>0</v>
      </c>
      <c r="F51" s="53">
        <f t="shared" si="40"/>
        <v>21</v>
      </c>
      <c r="G51" s="53" t="e">
        <f t="shared" si="40"/>
        <v>#REF!</v>
      </c>
      <c r="H51" s="53">
        <f t="shared" si="40"/>
        <v>28</v>
      </c>
      <c r="I51" s="53"/>
      <c r="J51" s="72">
        <f>SUM(B51,C51,D51,E51,F51,H51)</f>
        <v>101.5</v>
      </c>
      <c r="K51" s="66">
        <f t="shared" ref="K51:K52" si="41">B50*3.5+F51+H51</f>
        <v>73.5</v>
      </c>
      <c r="L51" s="67">
        <f t="shared" si="4"/>
        <v>63</v>
      </c>
      <c r="M51" s="64"/>
      <c r="N51" s="55">
        <v>26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8"/>
      <c r="Z51" s="9"/>
      <c r="AA51" s="10"/>
      <c r="AB51" s="7"/>
    </row>
    <row r="52" spans="1:28" s="1" customFormat="1" ht="15.6" x14ac:dyDescent="0.3">
      <c r="A52" s="55"/>
      <c r="B52" s="53"/>
      <c r="C52" s="53"/>
      <c r="D52" s="53"/>
      <c r="E52" s="53"/>
      <c r="F52" s="53"/>
      <c r="G52" s="77"/>
      <c r="H52" s="53"/>
      <c r="I52" s="73"/>
      <c r="J52" s="71">
        <f>SUM(J45:J51)</f>
        <v>362.5</v>
      </c>
      <c r="K52" s="71">
        <f t="shared" ref="K52:L52" si="42">SUM(K45:K51)</f>
        <v>262.5</v>
      </c>
      <c r="L52" s="71">
        <f t="shared" si="42"/>
        <v>225</v>
      </c>
      <c r="M52" s="73"/>
      <c r="N52" s="79" t="s">
        <v>31</v>
      </c>
      <c r="O52" s="21"/>
      <c r="P52" s="11"/>
      <c r="Q52" s="11"/>
      <c r="R52" s="11"/>
      <c r="S52" s="11"/>
      <c r="T52" s="11"/>
      <c r="U52" s="11"/>
      <c r="V52" s="11"/>
      <c r="W52" s="7"/>
      <c r="X52" s="7"/>
      <c r="Y52" s="12"/>
      <c r="Z52" s="12"/>
      <c r="AA52" s="10"/>
      <c r="AB52" s="21"/>
    </row>
    <row r="53" spans="1:28" ht="15.6" x14ac:dyDescent="0.3">
      <c r="A53" s="55" t="s">
        <v>34</v>
      </c>
      <c r="B53" s="53">
        <v>7</v>
      </c>
      <c r="C53" s="53">
        <v>7</v>
      </c>
      <c r="D53" s="53">
        <v>7</v>
      </c>
      <c r="E53" s="53">
        <f t="shared" ref="E51:E62" si="43">E52*$E$3</f>
        <v>0</v>
      </c>
      <c r="F53" s="53">
        <v>7</v>
      </c>
      <c r="G53" s="53"/>
      <c r="H53" s="53">
        <v>7</v>
      </c>
      <c r="I53" s="55"/>
      <c r="J53" s="72"/>
      <c r="K53" s="66"/>
      <c r="L53" s="67"/>
      <c r="M53" s="64"/>
      <c r="N53" s="55"/>
      <c r="O53" s="7"/>
      <c r="P53" s="7"/>
      <c r="Q53" s="7"/>
      <c r="R53" s="7"/>
      <c r="S53" s="7"/>
      <c r="T53" s="7"/>
      <c r="U53" s="7"/>
      <c r="V53" s="7"/>
      <c r="W53" s="7"/>
      <c r="X53" s="7"/>
      <c r="Y53" s="8"/>
      <c r="Z53" s="9"/>
      <c r="AA53" s="10"/>
      <c r="AB53" s="7"/>
    </row>
    <row r="54" spans="1:28" s="1" customFormat="1" ht="15.6" x14ac:dyDescent="0.3">
      <c r="A54" s="55" t="s">
        <v>9</v>
      </c>
      <c r="B54" s="53">
        <f>B53*B3</f>
        <v>17.5</v>
      </c>
      <c r="C54" s="53">
        <f t="shared" ref="C54:H54" si="44">C53*C3</f>
        <v>7</v>
      </c>
      <c r="D54" s="53">
        <f t="shared" si="44"/>
        <v>28</v>
      </c>
      <c r="E54" s="53">
        <f t="shared" si="43"/>
        <v>0</v>
      </c>
      <c r="F54" s="53">
        <f t="shared" si="44"/>
        <v>21</v>
      </c>
      <c r="G54" s="53">
        <f t="shared" si="44"/>
        <v>0</v>
      </c>
      <c r="H54" s="53">
        <f t="shared" si="44"/>
        <v>28</v>
      </c>
      <c r="I54" s="55"/>
      <c r="J54" s="72">
        <f>SUM(B54,C54,D54,E54,F54,H54)</f>
        <v>101.5</v>
      </c>
      <c r="K54" s="66">
        <f t="shared" si="29"/>
        <v>73.5</v>
      </c>
      <c r="L54" s="67">
        <f t="shared" si="4"/>
        <v>63</v>
      </c>
      <c r="M54" s="64"/>
      <c r="N54" s="55">
        <v>16</v>
      </c>
      <c r="O54" s="21"/>
      <c r="P54" s="11"/>
      <c r="Q54" s="11"/>
      <c r="R54" s="11"/>
      <c r="S54" s="11"/>
      <c r="T54" s="11"/>
      <c r="U54" s="11"/>
      <c r="V54" s="11"/>
      <c r="W54" s="7"/>
      <c r="X54" s="7"/>
      <c r="Y54" s="12"/>
      <c r="Z54" s="12"/>
      <c r="AA54" s="10"/>
      <c r="AB54" s="21"/>
    </row>
    <row r="55" spans="1:28" ht="15.6" x14ac:dyDescent="0.3">
      <c r="A55" s="60" t="s">
        <v>35</v>
      </c>
      <c r="B55" s="53">
        <v>7</v>
      </c>
      <c r="C55" s="53">
        <v>7</v>
      </c>
      <c r="D55" s="53">
        <v>7</v>
      </c>
      <c r="E55" s="53">
        <f t="shared" si="43"/>
        <v>0</v>
      </c>
      <c r="F55" s="53">
        <v>7</v>
      </c>
      <c r="G55" s="53"/>
      <c r="H55" s="53">
        <v>7</v>
      </c>
      <c r="I55" s="55"/>
      <c r="J55" s="74"/>
      <c r="K55" s="74"/>
      <c r="L55" s="67"/>
      <c r="M55" s="64"/>
      <c r="N55" s="55"/>
      <c r="O55" s="7"/>
      <c r="P55" s="7"/>
      <c r="Q55" s="7"/>
      <c r="R55" s="7"/>
      <c r="S55" s="7"/>
      <c r="T55" s="7"/>
      <c r="U55" s="7"/>
      <c r="V55" s="7"/>
      <c r="W55" s="7"/>
      <c r="X55" s="7"/>
      <c r="Y55" s="8"/>
      <c r="Z55" s="9"/>
      <c r="AA55" s="10"/>
      <c r="AB55" s="7"/>
    </row>
    <row r="56" spans="1:28" s="1" customFormat="1" ht="15.6" x14ac:dyDescent="0.3">
      <c r="A56" s="55" t="s">
        <v>9</v>
      </c>
      <c r="B56" s="53">
        <f>B55*B3</f>
        <v>17.5</v>
      </c>
      <c r="C56" s="53">
        <f>C55*$C$3</f>
        <v>7</v>
      </c>
      <c r="D56" s="53">
        <f>D55*$D$3</f>
        <v>28</v>
      </c>
      <c r="E56" s="53">
        <f t="shared" si="43"/>
        <v>0</v>
      </c>
      <c r="F56" s="53">
        <f t="shared" ref="F56:G56" si="45">F55*F3</f>
        <v>21</v>
      </c>
      <c r="G56" s="53">
        <f t="shared" si="45"/>
        <v>0</v>
      </c>
      <c r="H56" s="53">
        <f>H55*$H$3</f>
        <v>28</v>
      </c>
      <c r="I56" s="55"/>
      <c r="J56" s="65">
        <f>SUM(B56,C56,D56,E56,F56,H56)</f>
        <v>101.5</v>
      </c>
      <c r="K56" s="66">
        <f>B55*3.5+F56+H56</f>
        <v>73.5</v>
      </c>
      <c r="L56" s="67">
        <f t="shared" si="4"/>
        <v>63</v>
      </c>
      <c r="M56" s="64"/>
      <c r="N56" s="60" t="s">
        <v>22</v>
      </c>
      <c r="O56" s="21"/>
      <c r="P56" s="11"/>
      <c r="Q56" s="11"/>
      <c r="R56" s="11"/>
      <c r="S56" s="11"/>
      <c r="T56" s="11"/>
      <c r="U56" s="11"/>
      <c r="V56" s="11"/>
      <c r="W56" s="7"/>
      <c r="X56" s="7"/>
      <c r="Y56" s="12"/>
      <c r="Z56" s="12"/>
      <c r="AA56" s="10"/>
      <c r="AB56" s="21"/>
    </row>
    <row r="57" spans="1:28" ht="15.6" x14ac:dyDescent="0.3">
      <c r="A57" s="60" t="s">
        <v>17</v>
      </c>
      <c r="B57" s="53">
        <v>7</v>
      </c>
      <c r="C57" s="53">
        <v>7</v>
      </c>
      <c r="D57" s="53">
        <v>7</v>
      </c>
      <c r="E57" s="53">
        <f t="shared" si="43"/>
        <v>0</v>
      </c>
      <c r="F57" s="53">
        <v>7</v>
      </c>
      <c r="G57" s="53"/>
      <c r="H57" s="53">
        <v>7</v>
      </c>
      <c r="I57" s="53"/>
      <c r="J57" s="65"/>
      <c r="K57" s="66"/>
      <c r="L57" s="67"/>
      <c r="M57" s="64"/>
      <c r="N57" s="55"/>
      <c r="O57" s="7"/>
      <c r="P57" s="7"/>
      <c r="Q57" s="7"/>
      <c r="R57" s="7"/>
      <c r="S57" s="7"/>
      <c r="T57" s="7"/>
      <c r="U57" s="7"/>
      <c r="V57" s="7"/>
      <c r="W57" s="7"/>
      <c r="X57" s="7"/>
      <c r="Y57" s="8"/>
      <c r="Z57" s="9"/>
      <c r="AA57" s="10"/>
      <c r="AB57" s="7"/>
    </row>
    <row r="58" spans="1:28" s="1" customFormat="1" ht="15.6" x14ac:dyDescent="0.3">
      <c r="A58" s="55" t="s">
        <v>9</v>
      </c>
      <c r="B58" s="53">
        <f>B57*B3</f>
        <v>17.5</v>
      </c>
      <c r="C58" s="53">
        <f t="shared" ref="C57:C62" si="46">C57*$C$3</f>
        <v>7</v>
      </c>
      <c r="D58" s="53">
        <f t="shared" ref="D58:D62" si="47">D57*$D$3</f>
        <v>28</v>
      </c>
      <c r="E58" s="53">
        <f t="shared" si="43"/>
        <v>0</v>
      </c>
      <c r="F58" s="53">
        <f>F57*$F$3</f>
        <v>21</v>
      </c>
      <c r="G58" s="53"/>
      <c r="H58" s="53">
        <f t="shared" ref="H58:H62" si="48">H57*$H$3</f>
        <v>28</v>
      </c>
      <c r="I58" s="55"/>
      <c r="J58" s="65">
        <f t="shared" ref="J58:J62" si="49">SUM(B58,C58,D58,E58,F58,H58)</f>
        <v>101.5</v>
      </c>
      <c r="K58" s="66">
        <f t="shared" ref="K58:K62" si="50">B57*3.5+F58+H58</f>
        <v>73.5</v>
      </c>
      <c r="L58" s="67">
        <f t="shared" si="4"/>
        <v>63</v>
      </c>
      <c r="M58" s="64"/>
      <c r="N58" s="60" t="s">
        <v>19</v>
      </c>
      <c r="O58" s="21"/>
      <c r="P58" s="11"/>
      <c r="Q58" s="11"/>
      <c r="R58" s="11"/>
      <c r="S58" s="11"/>
      <c r="T58" s="11"/>
      <c r="U58" s="11"/>
      <c r="V58" s="11"/>
      <c r="W58" s="7"/>
      <c r="X58" s="7"/>
      <c r="Y58" s="12"/>
      <c r="Z58" s="12"/>
      <c r="AA58" s="10"/>
      <c r="AB58" s="21"/>
    </row>
    <row r="59" spans="1:28" ht="15.6" x14ac:dyDescent="0.3">
      <c r="A59" s="60" t="s">
        <v>18</v>
      </c>
      <c r="B59" s="53">
        <v>7</v>
      </c>
      <c r="C59" s="53">
        <v>7</v>
      </c>
      <c r="D59" s="53">
        <v>7</v>
      </c>
      <c r="E59" s="53">
        <f t="shared" si="43"/>
        <v>0</v>
      </c>
      <c r="F59" s="53">
        <v>7</v>
      </c>
      <c r="G59" s="53"/>
      <c r="H59" s="53">
        <v>7</v>
      </c>
      <c r="I59" s="55"/>
      <c r="J59" s="65"/>
      <c r="K59" s="66"/>
      <c r="L59" s="67"/>
      <c r="M59" s="64"/>
      <c r="N59" s="55"/>
      <c r="O59" s="7"/>
      <c r="P59" s="7"/>
      <c r="Q59" s="7"/>
      <c r="R59" s="7"/>
      <c r="S59" s="7"/>
      <c r="T59" s="7"/>
      <c r="U59" s="7"/>
      <c r="V59" s="7"/>
      <c r="W59" s="7"/>
      <c r="X59" s="7"/>
      <c r="Y59" s="8"/>
      <c r="Z59" s="9"/>
      <c r="AA59" s="10"/>
      <c r="AB59" s="7"/>
    </row>
    <row r="60" spans="1:28" ht="15.6" x14ac:dyDescent="0.3">
      <c r="A60" s="55" t="s">
        <v>9</v>
      </c>
      <c r="B60" s="53">
        <f>B59*B3</f>
        <v>17.5</v>
      </c>
      <c r="C60" s="53">
        <f t="shared" si="46"/>
        <v>7</v>
      </c>
      <c r="D60" s="53">
        <f t="shared" si="47"/>
        <v>28</v>
      </c>
      <c r="E60" s="53">
        <f t="shared" si="43"/>
        <v>0</v>
      </c>
      <c r="F60" s="53">
        <f t="shared" ref="F60:F62" si="51">F59*$F$3</f>
        <v>21</v>
      </c>
      <c r="G60" s="53"/>
      <c r="H60" s="53">
        <f t="shared" si="48"/>
        <v>28</v>
      </c>
      <c r="I60" s="55"/>
      <c r="J60" s="65">
        <f t="shared" si="49"/>
        <v>101.5</v>
      </c>
      <c r="K60" s="66">
        <f t="shared" si="50"/>
        <v>73.5</v>
      </c>
      <c r="L60" s="67">
        <f t="shared" si="4"/>
        <v>63</v>
      </c>
      <c r="M60" s="64"/>
      <c r="N60" s="60" t="s">
        <v>20</v>
      </c>
      <c r="O60" s="21"/>
      <c r="P60" s="11"/>
      <c r="Q60" s="11"/>
      <c r="R60" s="11"/>
      <c r="S60" s="11"/>
      <c r="T60" s="11"/>
      <c r="U60" s="11"/>
      <c r="V60" s="11"/>
      <c r="W60" s="11"/>
      <c r="X60" s="7"/>
      <c r="Y60" s="12"/>
      <c r="Z60" s="12"/>
      <c r="AA60" s="10"/>
      <c r="AB60" s="21"/>
    </row>
    <row r="61" spans="1:28" ht="15.6" x14ac:dyDescent="0.3">
      <c r="A61" s="60"/>
      <c r="B61" s="53"/>
      <c r="C61" s="53"/>
      <c r="D61" s="53"/>
      <c r="E61" s="53"/>
      <c r="F61" s="53"/>
      <c r="G61" s="53"/>
      <c r="H61" s="53"/>
      <c r="I61" s="55"/>
      <c r="J61" s="71">
        <f>SUM(J54:J60)</f>
        <v>406</v>
      </c>
      <c r="K61" s="71">
        <f t="shared" ref="K61:L61" si="52">SUM(K54:K60)</f>
        <v>294</v>
      </c>
      <c r="L61" s="71">
        <f t="shared" si="52"/>
        <v>252</v>
      </c>
      <c r="M61" s="64"/>
      <c r="N61" s="79" t="s">
        <v>32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8"/>
      <c r="Z61" s="9"/>
      <c r="AA61" s="10"/>
      <c r="AB61" s="7"/>
    </row>
    <row r="62" spans="1:28" ht="15.6" x14ac:dyDescent="0.3">
      <c r="A62" s="55"/>
      <c r="B62" s="55"/>
      <c r="C62" s="55"/>
      <c r="D62" s="55"/>
      <c r="E62" s="55"/>
      <c r="F62" s="55"/>
      <c r="G62" s="55"/>
      <c r="H62" s="55"/>
      <c r="I62" s="55"/>
      <c r="J62" s="65"/>
      <c r="K62" s="66"/>
      <c r="L62" s="67"/>
      <c r="M62" s="64"/>
      <c r="N62" s="60"/>
      <c r="O62" s="20"/>
      <c r="P62" s="13"/>
      <c r="Q62" s="13"/>
      <c r="R62" s="13"/>
      <c r="S62" s="13"/>
      <c r="T62" s="13"/>
      <c r="U62" s="13"/>
      <c r="V62" s="13"/>
      <c r="W62" s="11"/>
      <c r="X62" s="7"/>
      <c r="Y62" s="12"/>
      <c r="Z62" s="12"/>
      <c r="AA62" s="10"/>
      <c r="AB62" s="20"/>
    </row>
    <row r="63" spans="1:28" ht="15.6" x14ac:dyDescent="0.3">
      <c r="A63" s="60"/>
      <c r="B63" s="53"/>
      <c r="C63" s="53"/>
      <c r="D63" s="53"/>
      <c r="E63" s="53"/>
      <c r="F63" s="53"/>
      <c r="G63" s="53"/>
      <c r="H63" s="53"/>
      <c r="I63" s="55"/>
      <c r="J63" s="64"/>
      <c r="K63" s="75"/>
      <c r="L63" s="76"/>
      <c r="M63" s="64"/>
      <c r="N63" s="55"/>
      <c r="O63" s="7"/>
      <c r="P63" s="7"/>
      <c r="Q63" s="7"/>
      <c r="R63" s="7"/>
      <c r="S63" s="7"/>
      <c r="T63" s="7"/>
      <c r="U63" s="7"/>
      <c r="V63" s="7"/>
      <c r="W63" s="7"/>
      <c r="X63" s="7"/>
      <c r="Y63" s="8"/>
      <c r="Z63" s="9"/>
      <c r="AA63" s="10"/>
      <c r="AB63" s="7"/>
    </row>
    <row r="64" spans="1:28" ht="16.2" thickBot="1" x14ac:dyDescent="0.35">
      <c r="A64" s="7"/>
      <c r="B64" s="7"/>
      <c r="C64" s="7"/>
      <c r="D64" s="7"/>
      <c r="E64" s="7"/>
      <c r="F64" s="7"/>
      <c r="G64" s="7"/>
      <c r="H64" s="7"/>
      <c r="I64" s="45"/>
      <c r="J64" s="42"/>
      <c r="K64" s="28"/>
      <c r="L64" s="39"/>
      <c r="M64" s="47"/>
      <c r="N64" s="48"/>
      <c r="O64" s="21"/>
      <c r="P64" s="11"/>
      <c r="Q64" s="11"/>
      <c r="R64" s="11"/>
      <c r="S64" s="11"/>
      <c r="T64" s="11"/>
      <c r="U64" s="11"/>
      <c r="V64" s="11"/>
      <c r="W64" s="7"/>
      <c r="X64" s="7"/>
      <c r="Y64" s="12"/>
      <c r="Z64" s="12"/>
      <c r="AA64" s="10"/>
      <c r="AB64" s="21"/>
    </row>
    <row r="65" spans="1:28" ht="16.2" thickTop="1" x14ac:dyDescent="0.3">
      <c r="A65" s="21"/>
      <c r="B65" s="11"/>
      <c r="C65" s="11"/>
      <c r="D65" s="11"/>
      <c r="E65" s="11"/>
      <c r="F65" s="11"/>
      <c r="G65" s="11"/>
      <c r="H65" s="11"/>
      <c r="I65" s="5"/>
      <c r="J65" s="42"/>
      <c r="K65" s="28"/>
      <c r="L65" s="39"/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8"/>
      <c r="Z65" s="9"/>
      <c r="AA65" s="10"/>
      <c r="AB65" s="7"/>
    </row>
    <row r="66" spans="1:28" ht="15.6" x14ac:dyDescent="0.3">
      <c r="A66" s="7"/>
      <c r="B66" s="7"/>
      <c r="C66" s="7"/>
      <c r="D66" s="7"/>
      <c r="E66" s="7"/>
      <c r="F66" s="7"/>
      <c r="G66" s="7"/>
      <c r="H66" s="7"/>
      <c r="I66" s="11"/>
      <c r="J66" s="42"/>
      <c r="K66" s="28"/>
      <c r="L66" s="39"/>
      <c r="M66" s="10"/>
      <c r="N66" s="21"/>
      <c r="O66" s="21"/>
      <c r="P66" s="11"/>
      <c r="Q66" s="11"/>
      <c r="R66" s="11"/>
      <c r="S66" s="11"/>
      <c r="T66" s="11"/>
      <c r="U66" s="11"/>
      <c r="V66" s="11"/>
      <c r="W66" s="7"/>
      <c r="X66" s="7"/>
      <c r="Y66" s="12"/>
      <c r="Z66" s="12"/>
      <c r="AA66" s="10"/>
      <c r="AB66" s="21"/>
    </row>
    <row r="67" spans="1:28" ht="15.6" x14ac:dyDescent="0.3">
      <c r="A67" s="46"/>
      <c r="B67" s="11"/>
      <c r="C67" s="11"/>
      <c r="D67" s="11"/>
      <c r="E67" s="11"/>
      <c r="F67" s="11"/>
      <c r="G67" s="11"/>
      <c r="H67" s="11"/>
      <c r="I67" s="7"/>
      <c r="J67" s="28"/>
      <c r="K67" s="28"/>
      <c r="L67" s="39"/>
      <c r="M67" s="10"/>
      <c r="N67" s="7"/>
      <c r="O67" s="7"/>
      <c r="P67" s="7"/>
      <c r="Q67" s="7"/>
      <c r="R67" s="7"/>
      <c r="S67" s="7"/>
      <c r="T67" s="7"/>
      <c r="U67" s="7"/>
      <c r="V67" s="7"/>
      <c r="W67" s="11"/>
      <c r="X67" s="7"/>
      <c r="Y67" s="8"/>
      <c r="Z67" s="9"/>
      <c r="AA67" s="10"/>
      <c r="AB67" s="7"/>
    </row>
    <row r="68" spans="1:28" ht="15.6" x14ac:dyDescent="0.3">
      <c r="A68" s="7"/>
      <c r="B68" s="7"/>
      <c r="C68" s="7"/>
      <c r="D68" s="7"/>
      <c r="E68" s="7"/>
      <c r="F68" s="7"/>
      <c r="G68" s="7"/>
      <c r="H68" s="7"/>
      <c r="I68" s="7"/>
      <c r="J68" s="42"/>
      <c r="K68" s="28"/>
      <c r="L68" s="39"/>
      <c r="M68" s="10"/>
      <c r="N68" s="46"/>
      <c r="O68" s="21"/>
      <c r="P68" s="11"/>
      <c r="Q68" s="11"/>
      <c r="R68" s="11"/>
      <c r="S68" s="11"/>
      <c r="T68" s="11"/>
      <c r="U68" s="11"/>
      <c r="V68" s="11"/>
      <c r="W68" s="7"/>
      <c r="X68" s="7"/>
      <c r="Y68" s="12"/>
      <c r="Z68" s="12"/>
      <c r="AA68" s="10"/>
      <c r="AB68" s="21"/>
    </row>
    <row r="69" spans="1:28" ht="15.6" x14ac:dyDescent="0.3">
      <c r="A69" s="21"/>
      <c r="B69" s="11"/>
      <c r="C69" s="11"/>
      <c r="D69" s="11"/>
      <c r="E69" s="11"/>
      <c r="F69" s="11"/>
      <c r="G69" s="11"/>
      <c r="H69" s="11"/>
      <c r="I69" s="7"/>
      <c r="J69" s="42"/>
      <c r="K69" s="28"/>
      <c r="L69" s="39"/>
      <c r="M69" s="10"/>
      <c r="N69" s="7"/>
      <c r="O69" s="7"/>
      <c r="P69" s="7"/>
      <c r="Q69" s="7"/>
      <c r="R69" s="7"/>
      <c r="S69" s="7"/>
      <c r="T69" s="7"/>
      <c r="U69" s="7"/>
      <c r="V69" s="7"/>
      <c r="W69" s="11"/>
      <c r="X69" s="7"/>
      <c r="Y69" s="8"/>
      <c r="Z69" s="9"/>
      <c r="AA69" s="10"/>
      <c r="AB69" s="7"/>
    </row>
    <row r="70" spans="1:28" ht="15.6" x14ac:dyDescent="0.3">
      <c r="A70" s="7"/>
      <c r="B70" s="7"/>
      <c r="C70" s="7"/>
      <c r="D70" s="7"/>
      <c r="E70" s="7"/>
      <c r="F70" s="7"/>
      <c r="G70" s="7"/>
      <c r="H70" s="7"/>
      <c r="I70" s="11"/>
      <c r="J70" s="42"/>
      <c r="K70" s="28"/>
      <c r="L70" s="39"/>
      <c r="M70" s="10"/>
      <c r="N70" s="21"/>
      <c r="O70" s="20"/>
      <c r="P70" s="13"/>
      <c r="Q70" s="13"/>
      <c r="R70" s="13"/>
      <c r="S70" s="13"/>
      <c r="T70" s="13"/>
      <c r="U70" s="13"/>
      <c r="V70" s="13"/>
      <c r="W70" s="11"/>
      <c r="X70" s="7"/>
      <c r="Y70" s="12"/>
      <c r="Z70" s="12"/>
      <c r="AA70" s="10"/>
      <c r="AB70" s="20"/>
    </row>
    <row r="71" spans="1:28" ht="15.6" x14ac:dyDescent="0.3">
      <c r="A71" s="21"/>
      <c r="B71" s="11"/>
      <c r="C71" s="11"/>
      <c r="D71" s="11"/>
      <c r="E71" s="11"/>
      <c r="F71" s="11"/>
      <c r="G71" s="11"/>
      <c r="H71" s="11"/>
      <c r="I71" s="11"/>
      <c r="J71" s="42"/>
      <c r="K71" s="28"/>
      <c r="L71" s="39"/>
      <c r="M71" s="10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8"/>
      <c r="Z71" s="9"/>
      <c r="AA71" s="10"/>
      <c r="AB71" s="7"/>
    </row>
    <row r="72" spans="1:28" ht="15.6" x14ac:dyDescent="0.3">
      <c r="A72" s="7"/>
      <c r="B72" s="7"/>
      <c r="C72" s="7"/>
      <c r="D72" s="7"/>
      <c r="E72" s="7"/>
      <c r="F72" s="7"/>
      <c r="G72" s="7"/>
      <c r="H72" s="7"/>
      <c r="I72" s="7"/>
      <c r="J72" s="42"/>
      <c r="K72" s="28"/>
      <c r="L72" s="39"/>
      <c r="M72" s="10"/>
      <c r="N72" s="21"/>
      <c r="O72" s="21"/>
      <c r="P72" s="11"/>
      <c r="Q72" s="11"/>
      <c r="R72" s="11"/>
      <c r="S72" s="11"/>
      <c r="T72" s="11"/>
      <c r="U72" s="11"/>
      <c r="V72" s="11"/>
      <c r="W72" s="11"/>
      <c r="X72" s="7"/>
      <c r="Y72" s="12"/>
      <c r="Z72" s="12"/>
      <c r="AA72" s="10"/>
      <c r="AB72" s="21"/>
    </row>
    <row r="73" spans="1:28" ht="15.6" x14ac:dyDescent="0.3">
      <c r="A73" s="21"/>
      <c r="B73" s="11"/>
      <c r="C73" s="11"/>
      <c r="D73" s="11"/>
      <c r="E73" s="11"/>
      <c r="F73" s="11"/>
      <c r="G73" s="11"/>
      <c r="H73" s="11"/>
      <c r="I73" s="11"/>
      <c r="J73" s="28"/>
      <c r="K73" s="28"/>
      <c r="L73" s="28"/>
      <c r="M73" s="10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8"/>
      <c r="Z73" s="9"/>
      <c r="AA73" s="10"/>
      <c r="AB73" s="7"/>
    </row>
    <row r="74" spans="1:28" ht="15.6" x14ac:dyDescent="0.3">
      <c r="A74" s="7"/>
      <c r="B74" s="7"/>
      <c r="C74" s="7"/>
      <c r="D74" s="7"/>
      <c r="E74" s="7"/>
      <c r="F74" s="7"/>
      <c r="G74" s="7"/>
      <c r="H74" s="7"/>
      <c r="I74" s="7"/>
      <c r="J74" s="42"/>
      <c r="K74" s="28"/>
      <c r="L74" s="39"/>
      <c r="M74" s="10"/>
      <c r="N74" s="21"/>
      <c r="O74" s="21"/>
      <c r="P74" s="11"/>
      <c r="Q74" s="11"/>
      <c r="R74" s="11"/>
      <c r="S74" s="11"/>
      <c r="T74" s="11"/>
      <c r="U74" s="11"/>
      <c r="V74" s="11"/>
      <c r="W74" s="7"/>
      <c r="X74" s="7"/>
      <c r="Y74" s="12"/>
      <c r="Z74" s="12"/>
      <c r="AA74" s="10"/>
      <c r="AB74" s="21"/>
    </row>
    <row r="75" spans="1:28" ht="15.6" x14ac:dyDescent="0.3">
      <c r="A75" s="21"/>
      <c r="B75" s="11"/>
      <c r="C75" s="11"/>
      <c r="D75" s="11"/>
      <c r="E75" s="11"/>
      <c r="F75" s="11"/>
      <c r="G75" s="11"/>
      <c r="H75" s="11"/>
      <c r="I75" s="11"/>
      <c r="J75" s="42"/>
      <c r="K75" s="28"/>
      <c r="L75" s="39"/>
      <c r="M75" s="10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8"/>
      <c r="Z75" s="9"/>
      <c r="AA75" s="10"/>
      <c r="AB75" s="7"/>
    </row>
    <row r="76" spans="1:28" ht="15.6" x14ac:dyDescent="0.3">
      <c r="A76" s="7"/>
      <c r="B76" s="7"/>
      <c r="C76" s="7"/>
      <c r="D76" s="7"/>
      <c r="E76" s="7"/>
      <c r="F76" s="7"/>
      <c r="G76" s="7"/>
      <c r="H76" s="7"/>
      <c r="I76" s="7"/>
      <c r="J76" s="42"/>
      <c r="K76" s="28"/>
      <c r="L76" s="39"/>
      <c r="M76" s="10"/>
      <c r="N76" s="21"/>
      <c r="O76" s="21"/>
      <c r="P76" s="11"/>
      <c r="Q76" s="11"/>
      <c r="R76" s="11"/>
      <c r="S76" s="11"/>
      <c r="T76" s="11"/>
      <c r="U76" s="11"/>
      <c r="V76" s="11"/>
      <c r="W76" s="7"/>
      <c r="X76" s="7"/>
      <c r="Y76" s="12"/>
      <c r="Z76" s="12"/>
      <c r="AA76" s="10"/>
      <c r="AB76" s="21"/>
    </row>
    <row r="77" spans="1:28" ht="15.6" x14ac:dyDescent="0.3">
      <c r="A77" s="21"/>
      <c r="B77" s="11"/>
      <c r="C77" s="11"/>
      <c r="D77" s="11"/>
      <c r="E77" s="11"/>
      <c r="F77" s="11"/>
      <c r="G77" s="11"/>
      <c r="H77" s="11"/>
      <c r="I77" s="11"/>
      <c r="J77" s="42"/>
      <c r="K77" s="28"/>
      <c r="L77" s="39"/>
      <c r="M77" s="10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8"/>
      <c r="Z77" s="9"/>
      <c r="AA77" s="10"/>
      <c r="AB77" s="7"/>
    </row>
    <row r="78" spans="1:28" ht="15.6" x14ac:dyDescent="0.3">
      <c r="A78" s="7"/>
      <c r="B78" s="7"/>
      <c r="C78" s="7"/>
      <c r="D78" s="7"/>
      <c r="E78" s="7"/>
      <c r="F78" s="7"/>
      <c r="G78" s="7"/>
      <c r="H78" s="7"/>
      <c r="I78" s="7"/>
      <c r="J78" s="42"/>
      <c r="K78" s="28"/>
      <c r="L78" s="39"/>
      <c r="M78" s="10"/>
      <c r="N78" s="21"/>
      <c r="O78" s="21"/>
      <c r="P78" s="11"/>
      <c r="Q78" s="11"/>
      <c r="R78" s="11"/>
      <c r="S78" s="11"/>
      <c r="T78" s="11"/>
      <c r="U78" s="11"/>
      <c r="V78" s="11"/>
      <c r="W78" s="11"/>
      <c r="X78" s="7"/>
      <c r="Y78" s="12"/>
      <c r="Z78" s="12"/>
      <c r="AA78" s="14"/>
      <c r="AB78" s="21"/>
    </row>
    <row r="79" spans="1:28" ht="15.6" x14ac:dyDescent="0.3">
      <c r="A79" s="7"/>
      <c r="B79" s="7"/>
      <c r="C79" s="7"/>
      <c r="D79" s="7"/>
      <c r="E79" s="7"/>
      <c r="F79" s="7"/>
      <c r="G79" s="7"/>
      <c r="H79" s="7"/>
      <c r="I79" s="11"/>
      <c r="J79" s="42"/>
      <c r="K79" s="28"/>
      <c r="L79" s="39"/>
      <c r="M79" s="14"/>
      <c r="N79" s="21"/>
      <c r="O79" s="7"/>
      <c r="P79" s="7"/>
      <c r="Q79" s="7"/>
      <c r="R79" s="7"/>
      <c r="S79" s="7"/>
      <c r="T79" s="7"/>
      <c r="U79" s="7"/>
      <c r="V79" s="7"/>
      <c r="W79" s="11"/>
      <c r="X79" s="7"/>
      <c r="Y79" s="8"/>
      <c r="Z79" s="9"/>
      <c r="AA79" s="14"/>
      <c r="AB79" s="7"/>
    </row>
    <row r="80" spans="1:28" ht="15.6" x14ac:dyDescent="0.3">
      <c r="A80" s="21"/>
      <c r="B80" s="11"/>
      <c r="C80" s="11"/>
      <c r="D80" s="11"/>
      <c r="E80" s="11"/>
      <c r="F80" s="11"/>
      <c r="G80" s="11"/>
      <c r="H80" s="11"/>
      <c r="I80" s="11"/>
      <c r="J80" s="42"/>
      <c r="K80" s="28"/>
      <c r="L80" s="39"/>
      <c r="M80" s="14"/>
      <c r="N80" s="21"/>
      <c r="O80" s="21"/>
      <c r="P80" s="11"/>
      <c r="Q80" s="11"/>
      <c r="R80" s="11"/>
      <c r="S80" s="11"/>
      <c r="T80" s="11"/>
      <c r="U80" s="11"/>
      <c r="V80" s="11"/>
      <c r="W80" s="11"/>
      <c r="X80" s="7"/>
      <c r="Y80" s="15"/>
      <c r="Z80" s="12"/>
      <c r="AA80" s="14"/>
      <c r="AB80" s="21"/>
    </row>
    <row r="81" spans="1:28" ht="15.6" x14ac:dyDescent="0.3">
      <c r="A81" s="7"/>
      <c r="B81" s="7"/>
      <c r="C81" s="7"/>
      <c r="D81" s="7"/>
      <c r="E81" s="7"/>
      <c r="F81" s="7"/>
      <c r="G81" s="7"/>
      <c r="H81" s="7"/>
      <c r="I81" s="7"/>
      <c r="J81" s="42"/>
      <c r="K81" s="28"/>
      <c r="L81" s="39"/>
      <c r="M81" s="16"/>
      <c r="N81" s="21"/>
      <c r="O81" s="7"/>
      <c r="P81" s="7"/>
      <c r="Q81" s="7"/>
      <c r="R81" s="7"/>
      <c r="S81" s="7"/>
      <c r="T81" s="7"/>
      <c r="U81" s="7"/>
      <c r="V81" s="7"/>
      <c r="W81" s="7"/>
      <c r="X81" s="7"/>
      <c r="Y81" s="8"/>
      <c r="Z81" s="9"/>
      <c r="AA81" s="16"/>
      <c r="AB81" s="7"/>
    </row>
    <row r="82" spans="1:28" ht="15.6" x14ac:dyDescent="0.3">
      <c r="A82" s="21"/>
      <c r="B82" s="11"/>
      <c r="C82" s="11"/>
      <c r="D82" s="11"/>
      <c r="E82" s="11"/>
      <c r="F82" s="11"/>
      <c r="G82" s="11"/>
      <c r="H82" s="11"/>
      <c r="I82" s="11"/>
      <c r="J82" s="42"/>
      <c r="K82" s="28"/>
      <c r="L82" s="39"/>
      <c r="M82" s="14"/>
      <c r="N82" s="21"/>
      <c r="O82" s="21"/>
      <c r="P82" s="11"/>
      <c r="Q82" s="11"/>
      <c r="R82" s="11"/>
      <c r="S82" s="11"/>
      <c r="T82" s="11"/>
      <c r="U82" s="11"/>
      <c r="V82" s="11"/>
      <c r="W82" s="11"/>
      <c r="X82" s="7"/>
      <c r="Y82" s="12"/>
      <c r="Z82" s="12"/>
      <c r="AA82" s="14"/>
      <c r="AB82" s="21"/>
    </row>
    <row r="83" spans="1:28" ht="15.6" x14ac:dyDescent="0.3">
      <c r="A83" s="7"/>
      <c r="B83" s="7"/>
      <c r="C83" s="7"/>
      <c r="D83" s="7"/>
      <c r="E83" s="7"/>
      <c r="F83" s="7"/>
      <c r="G83" s="7"/>
      <c r="H83" s="7"/>
      <c r="I83" s="7"/>
      <c r="J83" s="42"/>
      <c r="K83" s="28"/>
      <c r="L83" s="39"/>
      <c r="M83" s="16"/>
      <c r="N83" s="21"/>
      <c r="O83" s="7"/>
      <c r="P83" s="7"/>
      <c r="Q83" s="7"/>
      <c r="R83" s="7"/>
      <c r="S83" s="7"/>
      <c r="T83" s="7"/>
      <c r="U83" s="7"/>
      <c r="V83" s="7"/>
      <c r="W83" s="7"/>
      <c r="X83" s="7"/>
      <c r="Y83" s="8"/>
      <c r="Z83" s="9"/>
      <c r="AA83" s="16"/>
      <c r="AB83" s="7"/>
    </row>
    <row r="84" spans="1:28" ht="15.6" x14ac:dyDescent="0.3">
      <c r="A84" s="21"/>
      <c r="B84" s="11"/>
      <c r="C84" s="11"/>
      <c r="D84" s="11"/>
      <c r="E84" s="11"/>
      <c r="F84" s="11"/>
      <c r="G84" s="11"/>
      <c r="H84" s="11"/>
      <c r="I84" s="11"/>
      <c r="J84" s="42"/>
      <c r="K84" s="28"/>
      <c r="L84" s="39"/>
      <c r="M84" s="14"/>
      <c r="N84" s="21"/>
      <c r="O84" s="21"/>
      <c r="P84" s="11"/>
      <c r="Q84" s="11"/>
      <c r="R84" s="11"/>
      <c r="S84" s="11"/>
      <c r="T84" s="11"/>
      <c r="U84" s="11"/>
      <c r="V84" s="11"/>
      <c r="W84" s="11"/>
      <c r="X84" s="7"/>
      <c r="Y84" s="12"/>
      <c r="Z84" s="12"/>
      <c r="AA84" s="14"/>
      <c r="AB84" s="21"/>
    </row>
    <row r="85" spans="1:28" ht="15.6" x14ac:dyDescent="0.3">
      <c r="A85" s="7"/>
      <c r="B85" s="7"/>
      <c r="C85" s="7"/>
      <c r="D85" s="7"/>
      <c r="E85" s="7"/>
      <c r="F85" s="7"/>
      <c r="G85" s="7"/>
      <c r="H85" s="7"/>
      <c r="I85" s="7"/>
      <c r="J85" s="42"/>
      <c r="K85" s="28"/>
      <c r="L85" s="39"/>
      <c r="M85" s="16"/>
      <c r="N85" s="21"/>
      <c r="O85" s="7"/>
      <c r="P85" s="7"/>
      <c r="Q85" s="7"/>
      <c r="R85" s="7"/>
      <c r="S85" s="7"/>
      <c r="T85" s="7"/>
      <c r="U85" s="7"/>
      <c r="V85" s="7"/>
      <c r="W85" s="7"/>
      <c r="X85" s="7"/>
      <c r="Y85" s="8"/>
      <c r="Z85" s="9"/>
      <c r="AA85" s="16"/>
      <c r="AB85" s="7"/>
    </row>
    <row r="86" spans="1:28" ht="15.6" x14ac:dyDescent="0.3">
      <c r="A86" s="7"/>
      <c r="B86" s="11"/>
      <c r="C86" s="11"/>
      <c r="D86" s="11"/>
      <c r="E86" s="11"/>
      <c r="F86" s="11"/>
      <c r="G86" s="11"/>
      <c r="H86" s="11"/>
      <c r="I86" s="11"/>
      <c r="J86" s="42"/>
      <c r="K86" s="28"/>
      <c r="L86" s="39"/>
      <c r="M86" s="10"/>
      <c r="N86" s="21"/>
      <c r="O86" s="7"/>
      <c r="P86" s="11"/>
      <c r="Q86" s="11"/>
      <c r="R86" s="11"/>
      <c r="S86" s="11"/>
      <c r="T86" s="11"/>
      <c r="U86" s="11"/>
      <c r="V86" s="11"/>
      <c r="W86" s="11"/>
      <c r="X86" s="7"/>
      <c r="Y86" s="12"/>
      <c r="Z86" s="12"/>
      <c r="AA86" s="10"/>
      <c r="AB86" s="7"/>
    </row>
    <row r="87" spans="1:28" ht="15.6" x14ac:dyDescent="0.3">
      <c r="A87" s="7"/>
      <c r="B87" s="7"/>
      <c r="C87" s="7"/>
      <c r="D87" s="7"/>
      <c r="E87" s="7"/>
      <c r="F87" s="7"/>
      <c r="G87" s="7"/>
      <c r="H87" s="7"/>
      <c r="I87" s="11"/>
      <c r="J87" s="42"/>
      <c r="K87" s="28"/>
      <c r="L87" s="39"/>
      <c r="M87" s="10"/>
      <c r="N87" s="21"/>
      <c r="O87" s="7"/>
      <c r="P87" s="7"/>
      <c r="Q87" s="7"/>
      <c r="R87" s="7"/>
      <c r="S87" s="7"/>
      <c r="T87" s="7"/>
      <c r="U87" s="7"/>
      <c r="V87" s="7"/>
      <c r="W87" s="11"/>
      <c r="X87" s="7"/>
      <c r="Y87" s="8"/>
      <c r="Z87" s="9"/>
      <c r="AA87" s="10"/>
      <c r="AB87" s="7"/>
    </row>
    <row r="88" spans="1:28" ht="15.6" x14ac:dyDescent="0.3">
      <c r="A88" s="21"/>
      <c r="B88" s="11"/>
      <c r="C88" s="11"/>
      <c r="D88" s="11"/>
      <c r="E88" s="11"/>
      <c r="F88" s="11"/>
      <c r="G88" s="11"/>
      <c r="H88" s="11"/>
      <c r="I88" s="11"/>
      <c r="J88" s="41"/>
      <c r="K88" s="41"/>
      <c r="L88" s="41"/>
      <c r="M88" s="10"/>
      <c r="N88" s="21"/>
      <c r="O88" s="21"/>
      <c r="P88" s="11"/>
      <c r="Q88" s="11"/>
      <c r="R88" s="11"/>
      <c r="S88" s="11"/>
      <c r="T88" s="11"/>
      <c r="U88" s="11"/>
      <c r="V88" s="11"/>
      <c r="W88" s="11"/>
      <c r="X88" s="7"/>
      <c r="Y88" s="12"/>
      <c r="Z88" s="12"/>
      <c r="AA88" s="10"/>
      <c r="AB88" s="21"/>
    </row>
    <row r="89" spans="1:28" ht="15.6" x14ac:dyDescent="0.3">
      <c r="A89" s="7"/>
      <c r="B89" s="7"/>
      <c r="C89" s="7"/>
      <c r="D89" s="7"/>
      <c r="E89" s="7"/>
      <c r="F89" s="7"/>
      <c r="G89" s="7"/>
      <c r="H89" s="7"/>
      <c r="I89" s="7"/>
      <c r="J89" s="42"/>
      <c r="K89" s="28"/>
      <c r="L89" s="39"/>
      <c r="M89" s="10"/>
      <c r="N89" s="21"/>
      <c r="O89" s="7"/>
      <c r="P89" s="7"/>
      <c r="Q89" s="7"/>
      <c r="R89" s="7"/>
      <c r="S89" s="7"/>
      <c r="T89" s="7"/>
      <c r="U89" s="7"/>
      <c r="V89" s="7"/>
      <c r="W89" s="7"/>
      <c r="X89" s="7"/>
      <c r="Y89" s="8"/>
      <c r="Z89" s="9"/>
      <c r="AA89" s="10"/>
      <c r="AB89" s="7"/>
    </row>
    <row r="90" spans="1:28" ht="15.6" hidden="1" x14ac:dyDescent="0.3">
      <c r="A90" s="7"/>
      <c r="B90" s="10"/>
      <c r="C90" s="10"/>
      <c r="D90" s="10"/>
      <c r="E90" s="10"/>
      <c r="F90" s="10"/>
      <c r="G90" s="10"/>
      <c r="H90" s="10"/>
      <c r="I90" s="7"/>
      <c r="J90" s="42"/>
      <c r="K90" s="28"/>
      <c r="L90" s="39"/>
      <c r="M90" s="10"/>
      <c r="N90" s="21"/>
      <c r="O90" s="7"/>
      <c r="P90" s="7"/>
      <c r="Q90" s="7"/>
      <c r="R90" s="7"/>
      <c r="S90" s="7"/>
      <c r="T90" s="7"/>
      <c r="U90" s="7"/>
      <c r="V90" s="7"/>
      <c r="W90" s="7"/>
      <c r="X90" s="7"/>
      <c r="Y90" s="8"/>
      <c r="Z90" s="9"/>
      <c r="AA90" s="10"/>
      <c r="AB90" s="7"/>
    </row>
    <row r="91" spans="1:28" ht="15.6" x14ac:dyDescent="0.3">
      <c r="A91" s="21"/>
      <c r="B91" s="11"/>
      <c r="C91" s="11"/>
      <c r="D91" s="11"/>
      <c r="E91" s="11"/>
      <c r="F91" s="11"/>
      <c r="G91" s="11"/>
      <c r="H91" s="11"/>
      <c r="I91" s="7"/>
      <c r="J91" s="28"/>
      <c r="K91" s="28"/>
      <c r="L91" s="39"/>
      <c r="M91" s="17"/>
      <c r="N91" s="21"/>
      <c r="O91" s="21"/>
      <c r="P91" s="11"/>
      <c r="Q91" s="11"/>
      <c r="R91" s="11"/>
      <c r="S91" s="11"/>
      <c r="T91" s="11"/>
      <c r="U91" s="11"/>
      <c r="V91" s="11"/>
      <c r="W91" s="7"/>
      <c r="X91" s="7"/>
      <c r="Y91" s="12"/>
      <c r="Z91" s="12"/>
      <c r="AA91" s="17"/>
      <c r="AB91" s="21"/>
    </row>
    <row r="92" spans="1:28" ht="15.6" x14ac:dyDescent="0.3">
      <c r="A92" s="7"/>
      <c r="B92" s="7"/>
      <c r="C92" s="7"/>
      <c r="D92" s="7"/>
      <c r="E92" s="7"/>
      <c r="F92" s="7"/>
      <c r="G92" s="7"/>
      <c r="H92" s="7"/>
      <c r="I92" s="11"/>
      <c r="J92" s="42"/>
      <c r="K92" s="28"/>
      <c r="L92" s="39"/>
      <c r="M92" s="10"/>
      <c r="N92" s="21"/>
      <c r="O92" s="7"/>
      <c r="P92" s="7"/>
      <c r="Q92" s="7"/>
      <c r="R92" s="7"/>
      <c r="S92" s="7"/>
      <c r="T92" s="7"/>
      <c r="U92" s="7"/>
      <c r="V92" s="7"/>
      <c r="W92" s="11"/>
      <c r="X92" s="7"/>
      <c r="Y92" s="8"/>
      <c r="Z92" s="9"/>
      <c r="AA92" s="10"/>
      <c r="AB92" s="7"/>
    </row>
    <row r="93" spans="1:28" ht="15.6" x14ac:dyDescent="0.3">
      <c r="A93" s="21"/>
      <c r="B93" s="11"/>
      <c r="C93" s="11"/>
      <c r="D93" s="11"/>
      <c r="E93" s="11"/>
      <c r="F93" s="11"/>
      <c r="G93" s="11"/>
      <c r="H93" s="11"/>
      <c r="I93" s="7"/>
      <c r="J93" s="42"/>
      <c r="K93" s="28"/>
      <c r="L93" s="39"/>
      <c r="M93" s="17"/>
      <c r="N93" s="21"/>
      <c r="O93" s="21"/>
      <c r="P93" s="11"/>
      <c r="Q93" s="11"/>
      <c r="R93" s="11"/>
      <c r="S93" s="11"/>
      <c r="T93" s="11"/>
      <c r="U93" s="11"/>
      <c r="V93" s="11"/>
      <c r="W93" s="7"/>
      <c r="X93" s="7"/>
      <c r="Y93" s="12"/>
      <c r="Z93" s="12"/>
      <c r="AA93" s="17"/>
      <c r="AB93" s="21"/>
    </row>
    <row r="94" spans="1:28" ht="15.6" x14ac:dyDescent="0.3">
      <c r="A94" s="7"/>
      <c r="B94" s="7"/>
      <c r="C94" s="7"/>
      <c r="D94" s="7"/>
      <c r="E94" s="7"/>
      <c r="F94" s="7"/>
      <c r="G94" s="7"/>
      <c r="H94" s="7"/>
      <c r="I94" s="11"/>
      <c r="J94" s="42"/>
      <c r="K94" s="28"/>
      <c r="L94" s="39"/>
      <c r="M94" s="10"/>
      <c r="N94" s="21"/>
      <c r="O94" s="7"/>
      <c r="P94" s="7"/>
      <c r="Q94" s="7"/>
      <c r="R94" s="7"/>
      <c r="S94" s="7"/>
      <c r="T94" s="7"/>
      <c r="U94" s="7"/>
      <c r="V94" s="7"/>
      <c r="W94" s="11"/>
      <c r="X94" s="7"/>
      <c r="Y94" s="8"/>
      <c r="Z94" s="9"/>
      <c r="AA94" s="10"/>
      <c r="AB94" s="7"/>
    </row>
    <row r="95" spans="1:28" ht="15.6" x14ac:dyDescent="0.3">
      <c r="A95" s="21"/>
      <c r="B95" s="11"/>
      <c r="C95" s="11"/>
      <c r="D95" s="11"/>
      <c r="E95" s="11"/>
      <c r="F95" s="11"/>
      <c r="G95" s="11"/>
      <c r="H95" s="11"/>
      <c r="I95" s="11"/>
      <c r="J95" s="42"/>
      <c r="K95" s="28"/>
      <c r="L95" s="39"/>
      <c r="M95" s="17"/>
      <c r="N95" s="21"/>
      <c r="O95" s="7"/>
      <c r="P95" s="11"/>
      <c r="Q95" s="11"/>
      <c r="R95" s="11"/>
      <c r="S95" s="11"/>
      <c r="T95" s="11"/>
      <c r="U95" s="11"/>
      <c r="V95" s="11"/>
      <c r="W95" s="11"/>
      <c r="X95" s="7"/>
      <c r="Y95" s="12"/>
      <c r="Z95" s="12"/>
      <c r="AA95" s="17"/>
      <c r="AB95" s="7"/>
    </row>
    <row r="96" spans="1:28" ht="15.6" x14ac:dyDescent="0.3">
      <c r="A96" s="7"/>
      <c r="B96" s="7"/>
      <c r="C96" s="7"/>
      <c r="D96" s="7"/>
      <c r="E96" s="7"/>
      <c r="F96" s="7"/>
      <c r="G96" s="7"/>
      <c r="H96" s="7"/>
      <c r="I96" s="11"/>
      <c r="J96" s="42"/>
      <c r="K96" s="28"/>
      <c r="L96" s="39"/>
      <c r="M96" s="10"/>
      <c r="N96" s="21"/>
      <c r="O96" s="7"/>
      <c r="P96" s="7"/>
      <c r="Q96" s="7"/>
      <c r="R96" s="7"/>
      <c r="S96" s="7"/>
      <c r="T96" s="7"/>
      <c r="U96" s="7"/>
      <c r="V96" s="7"/>
      <c r="W96" s="11"/>
      <c r="X96" s="7"/>
      <c r="Y96" s="8"/>
      <c r="Z96" s="9"/>
      <c r="AA96" s="10"/>
      <c r="AB96" s="7"/>
    </row>
    <row r="97" spans="1:28" ht="15.6" x14ac:dyDescent="0.3">
      <c r="A97" s="21"/>
      <c r="B97" s="11"/>
      <c r="C97" s="11"/>
      <c r="D97" s="11"/>
      <c r="E97" s="11"/>
      <c r="F97" s="11"/>
      <c r="G97" s="11"/>
      <c r="H97" s="11"/>
      <c r="I97" s="11"/>
      <c r="J97" s="42"/>
      <c r="K97" s="28"/>
      <c r="L97" s="39"/>
      <c r="M97" s="17"/>
      <c r="N97" s="21"/>
      <c r="O97" s="21"/>
      <c r="P97" s="11"/>
      <c r="Q97" s="11"/>
      <c r="R97" s="11"/>
      <c r="S97" s="11"/>
      <c r="T97" s="11"/>
      <c r="U97" s="11"/>
      <c r="V97" s="11"/>
      <c r="W97" s="11"/>
      <c r="X97" s="7"/>
      <c r="Y97" s="12"/>
      <c r="Z97" s="12"/>
      <c r="AA97" s="17"/>
      <c r="AB97" s="21"/>
    </row>
    <row r="98" spans="1:28" ht="15.6" x14ac:dyDescent="0.3">
      <c r="A98" s="7"/>
      <c r="B98" s="7"/>
      <c r="C98" s="7"/>
      <c r="D98" s="7"/>
      <c r="E98" s="7"/>
      <c r="F98" s="7"/>
      <c r="G98" s="7"/>
      <c r="H98" s="7"/>
      <c r="I98" s="7"/>
      <c r="J98" s="42"/>
      <c r="K98" s="28"/>
      <c r="L98" s="39"/>
      <c r="M98" s="10"/>
      <c r="N98" s="21"/>
      <c r="O98" s="7"/>
      <c r="P98" s="7"/>
      <c r="Q98" s="7"/>
      <c r="R98" s="7"/>
      <c r="S98" s="7"/>
      <c r="T98" s="7"/>
      <c r="U98" s="7"/>
      <c r="V98" s="7"/>
      <c r="W98" s="7"/>
      <c r="X98" s="7"/>
      <c r="Y98" s="8"/>
      <c r="Z98" s="9"/>
      <c r="AA98" s="10"/>
      <c r="AB98" s="7"/>
    </row>
    <row r="99" spans="1:28" ht="15.6" x14ac:dyDescent="0.3">
      <c r="A99" s="21"/>
      <c r="B99" s="11"/>
      <c r="C99" s="11"/>
      <c r="D99" s="11"/>
      <c r="E99" s="11"/>
      <c r="F99" s="11"/>
      <c r="G99" s="11"/>
      <c r="H99" s="11"/>
      <c r="I99" s="11"/>
      <c r="J99" s="44"/>
      <c r="K99" s="44"/>
      <c r="L99" s="44"/>
      <c r="M99" s="10"/>
      <c r="N99" s="21"/>
      <c r="O99" s="21"/>
      <c r="P99" s="11"/>
      <c r="Q99" s="11"/>
      <c r="R99" s="11"/>
      <c r="S99" s="11"/>
      <c r="T99" s="11"/>
      <c r="U99" s="11"/>
      <c r="V99" s="11"/>
      <c r="W99" s="11"/>
      <c r="X99" s="7"/>
      <c r="Y99" s="12"/>
      <c r="Z99" s="12"/>
      <c r="AA99" s="10"/>
      <c r="AB99" s="21"/>
    </row>
    <row r="100" spans="1:28" ht="15.6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25"/>
      <c r="L100" s="15"/>
      <c r="M100" s="10"/>
      <c r="N100" s="21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8"/>
      <c r="Z100" s="9"/>
      <c r="AA100" s="10"/>
      <c r="AB100" s="7"/>
    </row>
    <row r="101" spans="1:28" ht="15.6" x14ac:dyDescent="0.3">
      <c r="A101" s="21"/>
      <c r="B101" s="11"/>
      <c r="C101" s="11"/>
      <c r="D101" s="11"/>
      <c r="E101" s="11"/>
      <c r="F101" s="11"/>
      <c r="G101" s="11"/>
      <c r="H101" s="11"/>
      <c r="I101" s="7"/>
      <c r="J101" s="28"/>
      <c r="K101" s="28"/>
      <c r="L101" s="28"/>
      <c r="M101" s="16"/>
      <c r="N101" s="21"/>
      <c r="O101" s="21"/>
      <c r="P101" s="11"/>
      <c r="Q101" s="11"/>
      <c r="R101" s="11"/>
      <c r="S101" s="11"/>
      <c r="T101" s="11"/>
      <c r="U101" s="11"/>
      <c r="V101" s="11"/>
      <c r="W101" s="7"/>
      <c r="X101" s="7"/>
      <c r="Y101" s="12"/>
      <c r="Z101" s="12"/>
      <c r="AA101" s="16"/>
      <c r="AB101" s="21"/>
    </row>
    <row r="102" spans="1:28" ht="15.6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25"/>
      <c r="L102" s="15"/>
      <c r="M102" s="14"/>
      <c r="N102" s="21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8"/>
      <c r="Z102" s="9"/>
      <c r="AA102" s="14"/>
      <c r="AB102" s="7"/>
    </row>
    <row r="103" spans="1:28" ht="15.6" x14ac:dyDescent="0.3">
      <c r="A103" s="21"/>
      <c r="B103" s="11"/>
      <c r="C103" s="11"/>
      <c r="D103" s="11"/>
      <c r="E103" s="11"/>
      <c r="F103" s="11"/>
      <c r="G103" s="11"/>
      <c r="H103" s="11"/>
      <c r="I103" s="7"/>
      <c r="J103" s="7"/>
      <c r="K103" s="25"/>
      <c r="L103" s="15"/>
      <c r="M103" s="16"/>
      <c r="N103" s="21"/>
      <c r="O103" s="21"/>
      <c r="P103" s="11"/>
      <c r="Q103" s="11"/>
      <c r="R103" s="11"/>
      <c r="S103" s="11"/>
      <c r="T103" s="11"/>
      <c r="U103" s="11"/>
      <c r="V103" s="11"/>
      <c r="W103" s="7"/>
      <c r="X103" s="7"/>
      <c r="Y103" s="12"/>
      <c r="Z103" s="12"/>
      <c r="AA103" s="16"/>
      <c r="AB103" s="21"/>
    </row>
    <row r="104" spans="1:28" ht="15.6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25"/>
      <c r="L104" s="15"/>
      <c r="M104" s="10"/>
      <c r="N104" s="21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8"/>
      <c r="Z104" s="9"/>
      <c r="AA104" s="10"/>
      <c r="AB104" s="7"/>
    </row>
    <row r="105" spans="1:28" ht="15.6" x14ac:dyDescent="0.3">
      <c r="A105" s="21"/>
      <c r="B105" s="11"/>
      <c r="C105" s="11"/>
      <c r="D105" s="11"/>
      <c r="E105" s="11"/>
      <c r="F105" s="11"/>
      <c r="G105" s="11"/>
      <c r="H105" s="11"/>
      <c r="I105" s="7"/>
      <c r="J105" s="28"/>
      <c r="K105" s="28"/>
      <c r="L105" s="39"/>
      <c r="M105" s="18"/>
      <c r="N105" s="21"/>
      <c r="O105" s="21"/>
      <c r="P105" s="11"/>
      <c r="Q105" s="11"/>
      <c r="R105" s="11"/>
      <c r="S105" s="11"/>
      <c r="T105" s="11"/>
      <c r="U105" s="11"/>
      <c r="V105" s="11"/>
      <c r="W105" s="7"/>
      <c r="X105" s="7"/>
      <c r="Y105" s="12"/>
      <c r="Z105" s="12"/>
      <c r="AA105" s="18"/>
      <c r="AB105" s="21"/>
    </row>
    <row r="106" spans="1:28" ht="15.6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12"/>
      <c r="K106" s="25"/>
      <c r="L106" s="15"/>
      <c r="M106" s="14"/>
      <c r="N106" s="21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8"/>
      <c r="Z106" s="9"/>
      <c r="AA106" s="14"/>
      <c r="AB106" s="7"/>
    </row>
    <row r="107" spans="1:28" ht="15.6" x14ac:dyDescent="0.3">
      <c r="A107" s="21"/>
      <c r="B107" s="11"/>
      <c r="C107" s="11"/>
      <c r="D107" s="11"/>
      <c r="E107" s="11"/>
      <c r="F107" s="11"/>
      <c r="G107" s="11"/>
      <c r="H107" s="11"/>
      <c r="I107" s="11"/>
      <c r="J107" s="12"/>
      <c r="K107" s="25"/>
      <c r="L107" s="15"/>
      <c r="M107" s="10"/>
      <c r="N107" s="21"/>
      <c r="O107" s="21"/>
      <c r="P107" s="11"/>
      <c r="Q107" s="11"/>
      <c r="R107" s="11"/>
      <c r="S107" s="11"/>
      <c r="T107" s="11"/>
      <c r="U107" s="11"/>
      <c r="V107" s="11"/>
      <c r="W107" s="11"/>
      <c r="X107" s="7"/>
      <c r="Y107" s="12"/>
      <c r="Z107" s="12"/>
      <c r="AA107" s="10"/>
      <c r="AB107" s="21"/>
    </row>
    <row r="108" spans="1:28" ht="15.6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12"/>
      <c r="K108" s="25"/>
      <c r="L108" s="15"/>
      <c r="M108" s="10"/>
      <c r="N108" s="21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8"/>
      <c r="Z108" s="9"/>
      <c r="AA108" s="10"/>
      <c r="AB108" s="7"/>
    </row>
    <row r="109" spans="1:28" ht="15.6" x14ac:dyDescent="0.3">
      <c r="A109" s="21"/>
      <c r="B109" s="11"/>
      <c r="C109" s="11"/>
      <c r="D109" s="11"/>
      <c r="E109" s="11"/>
      <c r="F109" s="11"/>
      <c r="G109" s="11"/>
      <c r="H109" s="11"/>
      <c r="I109" s="7"/>
      <c r="J109" s="28"/>
      <c r="K109" s="28"/>
      <c r="L109" s="39"/>
      <c r="M109" s="18"/>
      <c r="N109" s="21"/>
      <c r="O109" s="20"/>
      <c r="P109" s="13"/>
      <c r="Q109" s="13"/>
      <c r="R109" s="13"/>
      <c r="S109" s="13"/>
      <c r="T109" s="13"/>
      <c r="U109" s="13"/>
      <c r="V109" s="13"/>
      <c r="W109" s="7"/>
      <c r="X109" s="7"/>
      <c r="Y109" s="12"/>
      <c r="Z109" s="12"/>
      <c r="AA109" s="18"/>
      <c r="AB109" s="20"/>
    </row>
    <row r="110" spans="1:28" ht="15.6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25"/>
      <c r="L110" s="15"/>
      <c r="M110" s="18"/>
      <c r="N110" s="21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8"/>
      <c r="Z110" s="9"/>
      <c r="AA110" s="18"/>
      <c r="AB110" s="7"/>
    </row>
    <row r="111" spans="1:28" ht="15.6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25"/>
      <c r="L111" s="15"/>
      <c r="M111" s="18"/>
      <c r="N111" s="21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8"/>
      <c r="Z111" s="9"/>
      <c r="AA111" s="18"/>
      <c r="AB111" s="7"/>
    </row>
    <row r="112" spans="1:28" ht="15.6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25"/>
      <c r="L112" s="15"/>
      <c r="M112" s="18"/>
      <c r="N112" s="21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8"/>
      <c r="Z112" s="9"/>
      <c r="AA112" s="18"/>
      <c r="AB112" s="7"/>
    </row>
    <row r="113" spans="1:28" ht="15.6" x14ac:dyDescent="0.3">
      <c r="A113" s="7"/>
      <c r="B113" s="35"/>
      <c r="C113" s="35"/>
      <c r="D113" s="35"/>
      <c r="E113" s="35"/>
      <c r="F113" s="35"/>
      <c r="G113" s="35"/>
      <c r="H113" s="35"/>
      <c r="I113" s="7"/>
      <c r="J113" s="7"/>
      <c r="K113" s="25"/>
      <c r="L113" s="15"/>
      <c r="M113" s="18"/>
      <c r="N113" s="21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8"/>
      <c r="Z113" s="9"/>
      <c r="AA113" s="18"/>
      <c r="AB113" s="7"/>
    </row>
    <row r="114" spans="1:28" ht="15.6" x14ac:dyDescent="0.3">
      <c r="A114" s="21"/>
      <c r="B114" s="11"/>
      <c r="C114" s="11"/>
      <c r="D114" s="11"/>
      <c r="E114" s="11"/>
      <c r="F114" s="11"/>
      <c r="G114" s="11"/>
      <c r="H114" s="11"/>
      <c r="I114" s="7"/>
      <c r="J114" s="41"/>
      <c r="K114" s="41"/>
      <c r="L114" s="41"/>
      <c r="M114" s="18"/>
      <c r="N114" s="21"/>
      <c r="O114" s="21"/>
      <c r="P114" s="11"/>
      <c r="Q114" s="11"/>
      <c r="R114" s="11"/>
      <c r="S114" s="11"/>
      <c r="T114" s="11"/>
      <c r="U114" s="11"/>
      <c r="V114" s="11"/>
      <c r="W114" s="7"/>
      <c r="X114" s="7"/>
      <c r="Y114" s="12"/>
      <c r="Z114" s="12"/>
      <c r="AA114" s="18"/>
      <c r="AB114" s="21"/>
    </row>
    <row r="115" spans="1:28" ht="15.6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42"/>
      <c r="K115" s="28"/>
      <c r="L115" s="39"/>
      <c r="M115" s="18"/>
      <c r="N115" s="21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8"/>
      <c r="Z115" s="9"/>
      <c r="AA115" s="18"/>
      <c r="AB115" s="7"/>
    </row>
    <row r="116" spans="1:28" ht="15.6" x14ac:dyDescent="0.3">
      <c r="A116" s="21"/>
      <c r="B116" s="11"/>
      <c r="C116" s="11"/>
      <c r="D116" s="11"/>
      <c r="E116" s="11"/>
      <c r="F116" s="11"/>
      <c r="G116" s="11"/>
      <c r="H116" s="11"/>
      <c r="I116" s="11"/>
      <c r="J116" s="28"/>
      <c r="K116" s="28"/>
      <c r="L116" s="39"/>
      <c r="M116" s="18"/>
      <c r="N116" s="21"/>
      <c r="O116" s="21"/>
      <c r="P116" s="11"/>
      <c r="Q116" s="11"/>
      <c r="R116" s="11"/>
      <c r="S116" s="11"/>
      <c r="T116" s="11"/>
      <c r="U116" s="11"/>
      <c r="V116" s="11"/>
      <c r="W116" s="11"/>
      <c r="X116" s="7"/>
      <c r="Y116" s="12"/>
      <c r="Z116" s="12"/>
      <c r="AA116" s="18"/>
      <c r="AB116" s="21"/>
    </row>
    <row r="117" spans="1:28" ht="15.6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43"/>
      <c r="K117" s="28"/>
      <c r="L117" s="39"/>
      <c r="M117" s="18"/>
      <c r="N117" s="21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8"/>
      <c r="Z117" s="9"/>
      <c r="AA117" s="18"/>
      <c r="AB117" s="7"/>
    </row>
    <row r="118" spans="1:28" ht="15.6" x14ac:dyDescent="0.3">
      <c r="A118" s="21"/>
      <c r="B118" s="11"/>
      <c r="C118" s="11"/>
      <c r="D118" s="11"/>
      <c r="E118" s="11"/>
      <c r="F118" s="11"/>
      <c r="G118" s="11"/>
      <c r="H118" s="11"/>
      <c r="I118" s="11"/>
      <c r="J118" s="43"/>
      <c r="K118" s="28"/>
      <c r="L118" s="39"/>
      <c r="M118" s="18"/>
      <c r="N118" s="21"/>
      <c r="O118" s="21"/>
      <c r="P118" s="11"/>
      <c r="Q118" s="11"/>
      <c r="R118" s="11"/>
      <c r="S118" s="11"/>
      <c r="T118" s="11"/>
      <c r="U118" s="11"/>
      <c r="V118" s="11"/>
      <c r="W118" s="11"/>
      <c r="X118" s="7"/>
      <c r="Y118" s="12"/>
      <c r="Z118" s="12"/>
      <c r="AA118" s="18"/>
      <c r="AB118" s="21"/>
    </row>
    <row r="119" spans="1:28" ht="15.6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43"/>
      <c r="K119" s="28"/>
      <c r="L119" s="39"/>
      <c r="M119" s="18"/>
      <c r="N119" s="21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8"/>
      <c r="Z119" s="9"/>
      <c r="AA119" s="18"/>
      <c r="AB119" s="7"/>
    </row>
    <row r="120" spans="1:28" ht="15.6" x14ac:dyDescent="0.3">
      <c r="A120" s="21"/>
      <c r="B120" s="11"/>
      <c r="C120" s="11"/>
      <c r="D120" s="11"/>
      <c r="E120" s="11"/>
      <c r="F120" s="11"/>
      <c r="G120" s="11"/>
      <c r="H120" s="11"/>
      <c r="I120" s="7"/>
      <c r="J120" s="43"/>
      <c r="K120" s="28"/>
      <c r="L120" s="39"/>
      <c r="M120" s="18"/>
      <c r="N120" s="21"/>
      <c r="O120" s="21"/>
      <c r="P120" s="11"/>
      <c r="Q120" s="11"/>
      <c r="R120" s="11"/>
      <c r="S120" s="11"/>
      <c r="T120" s="11"/>
      <c r="U120" s="11"/>
      <c r="V120" s="11"/>
      <c r="W120" s="7"/>
      <c r="X120" s="7"/>
      <c r="Y120" s="12"/>
      <c r="Z120" s="12"/>
      <c r="AA120" s="18"/>
      <c r="AB120" s="21"/>
    </row>
    <row r="121" spans="1:28" ht="15.6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43"/>
      <c r="K121" s="28"/>
      <c r="L121" s="39"/>
      <c r="M121" s="18"/>
      <c r="N121" s="21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8"/>
      <c r="Z121" s="9"/>
      <c r="AA121" s="18"/>
      <c r="AB121" s="7"/>
    </row>
    <row r="122" spans="1:28" ht="15.6" x14ac:dyDescent="0.3">
      <c r="A122" s="21"/>
      <c r="B122" s="11"/>
      <c r="C122" s="11"/>
      <c r="D122" s="11"/>
      <c r="E122" s="11"/>
      <c r="F122" s="11"/>
      <c r="G122" s="11"/>
      <c r="H122" s="11"/>
      <c r="I122" s="7"/>
      <c r="J122" s="43"/>
      <c r="K122" s="28"/>
      <c r="L122" s="39"/>
      <c r="M122" s="10"/>
      <c r="N122" s="20"/>
      <c r="O122" s="20"/>
      <c r="P122" s="13"/>
      <c r="Q122" s="13"/>
      <c r="R122" s="13"/>
      <c r="S122" s="13"/>
      <c r="T122" s="13"/>
      <c r="U122" s="13"/>
      <c r="V122" s="13"/>
      <c r="W122" s="7"/>
      <c r="X122" s="7"/>
      <c r="Y122" s="12"/>
      <c r="Z122" s="12"/>
      <c r="AA122" s="10"/>
      <c r="AB122" s="20"/>
    </row>
    <row r="123" spans="1:28" ht="15.6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43"/>
      <c r="K123" s="28"/>
      <c r="L123" s="39"/>
      <c r="M123" s="10"/>
      <c r="N123" s="21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8"/>
      <c r="Z123" s="9"/>
      <c r="AA123" s="10"/>
      <c r="AB123" s="7"/>
    </row>
    <row r="124" spans="1:28" ht="15.6" x14ac:dyDescent="0.3">
      <c r="A124" s="21"/>
      <c r="B124" s="11"/>
      <c r="C124" s="11"/>
      <c r="D124" s="11"/>
      <c r="E124" s="11"/>
      <c r="F124" s="11"/>
      <c r="G124" s="11"/>
      <c r="H124" s="11"/>
      <c r="I124" s="11"/>
      <c r="J124" s="28"/>
      <c r="K124" s="28"/>
      <c r="L124" s="28"/>
      <c r="M124" s="18"/>
      <c r="N124" s="21"/>
      <c r="O124" s="21"/>
      <c r="P124" s="11"/>
      <c r="Q124" s="11"/>
      <c r="R124" s="11"/>
      <c r="S124" s="11"/>
      <c r="T124" s="11"/>
      <c r="U124" s="11"/>
      <c r="V124" s="11"/>
      <c r="W124" s="11"/>
      <c r="X124" s="7"/>
      <c r="Y124" s="12"/>
      <c r="Z124" s="12"/>
      <c r="AA124" s="18"/>
      <c r="AB124" s="21"/>
    </row>
    <row r="125" spans="1:28" ht="15.6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25"/>
      <c r="L125" s="15"/>
      <c r="M125" s="18"/>
      <c r="N125" s="21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8"/>
      <c r="Z125" s="9"/>
      <c r="AA125" s="18"/>
      <c r="AB125" s="7"/>
    </row>
    <row r="126" spans="1:28" ht="15.6" x14ac:dyDescent="0.3">
      <c r="A126" s="21"/>
      <c r="B126" s="11"/>
      <c r="C126" s="11"/>
      <c r="D126" s="11"/>
      <c r="E126" s="11"/>
      <c r="F126" s="11"/>
      <c r="G126" s="11"/>
      <c r="H126" s="11"/>
      <c r="I126" s="7"/>
      <c r="J126" s="34"/>
      <c r="K126" s="34"/>
      <c r="L126" s="34"/>
      <c r="M126" s="10"/>
      <c r="N126" s="21"/>
      <c r="O126" s="21"/>
      <c r="P126" s="11"/>
      <c r="Q126" s="11"/>
      <c r="R126" s="11"/>
      <c r="S126" s="11"/>
      <c r="T126" s="11"/>
      <c r="U126" s="11"/>
      <c r="V126" s="11"/>
      <c r="W126" s="7"/>
      <c r="X126" s="7"/>
      <c r="Y126" s="12"/>
      <c r="Z126" s="12"/>
      <c r="AA126" s="10"/>
      <c r="AB126" s="21"/>
    </row>
    <row r="127" spans="1:28" ht="15.6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25"/>
      <c r="L127" s="15"/>
      <c r="M127" s="10"/>
      <c r="N127" s="21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8"/>
      <c r="Z127" s="9"/>
      <c r="AA127" s="10"/>
      <c r="AB127" s="7"/>
    </row>
    <row r="128" spans="1:28" ht="15.6" x14ac:dyDescent="0.3">
      <c r="A128" s="21"/>
      <c r="B128" s="11"/>
      <c r="C128" s="11"/>
      <c r="D128" s="11"/>
      <c r="E128" s="11"/>
      <c r="F128" s="11"/>
      <c r="G128" s="11"/>
      <c r="H128" s="11"/>
      <c r="I128" s="7"/>
      <c r="J128" s="7"/>
      <c r="K128" s="25"/>
      <c r="L128" s="15"/>
      <c r="M128" s="10"/>
      <c r="N128" s="21"/>
      <c r="O128" s="21"/>
      <c r="P128" s="11"/>
      <c r="Q128" s="11"/>
      <c r="R128" s="11"/>
      <c r="S128" s="11"/>
      <c r="T128" s="11"/>
      <c r="U128" s="11"/>
      <c r="V128" s="11"/>
      <c r="W128" s="7"/>
      <c r="X128" s="7"/>
      <c r="Y128" s="12"/>
      <c r="Z128" s="12"/>
      <c r="AA128" s="10"/>
      <c r="AB128" s="21"/>
    </row>
    <row r="129" spans="1:28" ht="15.6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12"/>
      <c r="K129" s="25"/>
      <c r="L129" s="15"/>
      <c r="M129" s="10"/>
      <c r="N129" s="21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8"/>
      <c r="Z129" s="9"/>
      <c r="AA129" s="10"/>
      <c r="AB129" s="7"/>
    </row>
    <row r="130" spans="1:28" ht="15.6" x14ac:dyDescent="0.3">
      <c r="A130" s="21"/>
      <c r="B130" s="11"/>
      <c r="C130" s="11"/>
      <c r="D130" s="11"/>
      <c r="E130" s="11"/>
      <c r="F130" s="11"/>
      <c r="G130" s="11"/>
      <c r="H130" s="11"/>
      <c r="I130" s="7"/>
      <c r="J130" s="28"/>
      <c r="K130" s="28"/>
      <c r="L130" s="39"/>
      <c r="M130" s="16"/>
      <c r="N130" s="21"/>
      <c r="O130" s="21"/>
      <c r="P130" s="11"/>
      <c r="Q130" s="11"/>
      <c r="R130" s="11"/>
      <c r="S130" s="11"/>
      <c r="T130" s="11"/>
      <c r="U130" s="11"/>
      <c r="V130" s="11"/>
      <c r="W130" s="7"/>
      <c r="X130" s="7"/>
      <c r="Y130" s="12"/>
      <c r="Z130" s="12"/>
      <c r="AA130" s="16"/>
      <c r="AB130" s="21"/>
    </row>
    <row r="131" spans="1:28" ht="15.6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12"/>
      <c r="K131" s="25"/>
      <c r="L131" s="15"/>
      <c r="M131" s="16"/>
      <c r="N131" s="21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8"/>
      <c r="Z131" s="9"/>
      <c r="AA131" s="16"/>
      <c r="AB131" s="7"/>
    </row>
    <row r="132" spans="1:28" ht="15.6" x14ac:dyDescent="0.3">
      <c r="A132" s="21"/>
      <c r="B132" s="11"/>
      <c r="C132" s="11"/>
      <c r="D132" s="11"/>
      <c r="E132" s="11"/>
      <c r="F132" s="11"/>
      <c r="G132" s="11"/>
      <c r="H132" s="11"/>
      <c r="I132" s="7"/>
      <c r="J132" s="12"/>
      <c r="K132" s="25"/>
      <c r="L132" s="15"/>
      <c r="M132" s="16"/>
      <c r="N132" s="21"/>
      <c r="O132" s="21"/>
      <c r="P132" s="11"/>
      <c r="Q132" s="11"/>
      <c r="R132" s="11"/>
      <c r="S132" s="11"/>
      <c r="T132" s="11"/>
      <c r="U132" s="11"/>
      <c r="V132" s="11"/>
      <c r="W132" s="7"/>
      <c r="X132" s="7"/>
      <c r="Y132" s="12"/>
      <c r="Z132" s="12"/>
      <c r="AA132" s="16"/>
      <c r="AB132" s="21"/>
    </row>
    <row r="133" spans="1:28" ht="15.6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12"/>
      <c r="K133" s="25"/>
      <c r="L133" s="15"/>
      <c r="M133" s="16"/>
      <c r="N133" s="21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8"/>
      <c r="Z133" s="9"/>
      <c r="AA133" s="16"/>
      <c r="AB133" s="7"/>
    </row>
    <row r="134" spans="1:28" ht="15.6" x14ac:dyDescent="0.3">
      <c r="A134" s="21"/>
      <c r="B134" s="11"/>
      <c r="C134" s="11"/>
      <c r="D134" s="11"/>
      <c r="E134" s="11"/>
      <c r="F134" s="11"/>
      <c r="G134" s="11"/>
      <c r="H134" s="11"/>
      <c r="I134" s="7"/>
      <c r="J134" s="12"/>
      <c r="K134" s="25"/>
      <c r="L134" s="15"/>
      <c r="M134" s="16"/>
      <c r="N134" s="21"/>
      <c r="O134" s="21"/>
      <c r="P134" s="11"/>
      <c r="Q134" s="11"/>
      <c r="R134" s="11"/>
      <c r="S134" s="11"/>
      <c r="T134" s="11"/>
      <c r="U134" s="11"/>
      <c r="V134" s="11"/>
      <c r="W134" s="7"/>
      <c r="X134" s="7"/>
      <c r="Y134" s="12"/>
      <c r="Z134" s="12"/>
      <c r="AA134" s="16"/>
      <c r="AB134" s="21"/>
    </row>
    <row r="135" spans="1:28" ht="15.6" x14ac:dyDescent="0.3">
      <c r="A135" s="7"/>
      <c r="B135" s="7"/>
      <c r="C135" s="7"/>
      <c r="D135" s="7"/>
      <c r="E135" s="7"/>
      <c r="F135" s="7"/>
      <c r="G135" s="7"/>
      <c r="H135" s="7"/>
      <c r="I135" s="11"/>
      <c r="J135" s="12"/>
      <c r="K135" s="25"/>
      <c r="L135" s="15"/>
      <c r="M135" s="14"/>
      <c r="N135" s="21"/>
      <c r="O135" s="7"/>
      <c r="P135" s="7"/>
      <c r="Q135" s="7"/>
      <c r="R135" s="7"/>
      <c r="S135" s="7"/>
      <c r="T135" s="7"/>
      <c r="U135" s="7"/>
      <c r="V135" s="7"/>
      <c r="W135" s="11"/>
      <c r="X135" s="7"/>
      <c r="Y135" s="8"/>
      <c r="Z135" s="9"/>
      <c r="AA135" s="14"/>
      <c r="AB135" s="7"/>
    </row>
    <row r="136" spans="1:28" ht="15.6" x14ac:dyDescent="0.3">
      <c r="A136" s="33"/>
      <c r="B136" s="27"/>
      <c r="C136" s="27"/>
      <c r="D136" s="27"/>
      <c r="E136" s="27"/>
      <c r="F136" s="27"/>
      <c r="G136" s="27"/>
      <c r="H136" s="27"/>
      <c r="I136" s="7"/>
      <c r="J136" s="12"/>
      <c r="K136" s="25"/>
      <c r="L136" s="15"/>
      <c r="M136" s="10"/>
      <c r="N136" s="20"/>
      <c r="O136" s="20"/>
      <c r="P136" s="13"/>
      <c r="Q136" s="13"/>
      <c r="R136" s="13"/>
      <c r="S136" s="13"/>
      <c r="T136" s="13"/>
      <c r="U136" s="13"/>
      <c r="V136" s="13"/>
      <c r="W136" s="7"/>
      <c r="X136" s="7"/>
      <c r="Y136" s="12"/>
      <c r="Z136" s="12"/>
      <c r="AA136" s="10"/>
      <c r="AB136" s="20"/>
    </row>
    <row r="137" spans="1:28" ht="15.6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12"/>
      <c r="K137" s="25"/>
      <c r="L137" s="15"/>
      <c r="M137" s="10"/>
      <c r="N137" s="21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8"/>
      <c r="Z137" s="9"/>
      <c r="AA137" s="10"/>
      <c r="AB137" s="7"/>
    </row>
    <row r="138" spans="1:28" ht="15.6" x14ac:dyDescent="0.3">
      <c r="A138" s="7"/>
      <c r="B138" s="35"/>
      <c r="C138" s="35"/>
      <c r="D138" s="35"/>
      <c r="E138" s="35"/>
      <c r="F138" s="35"/>
      <c r="G138" s="35"/>
      <c r="H138" s="35"/>
      <c r="I138" s="7"/>
      <c r="J138" s="12"/>
      <c r="K138" s="25"/>
      <c r="L138" s="15"/>
      <c r="M138" s="10"/>
      <c r="N138" s="21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8"/>
      <c r="Z138" s="9"/>
      <c r="AA138" s="10"/>
      <c r="AB138" s="7"/>
    </row>
    <row r="139" spans="1:28" ht="15.6" x14ac:dyDescent="0.3">
      <c r="A139" s="21"/>
      <c r="B139" s="11"/>
      <c r="C139" s="11"/>
      <c r="D139" s="11"/>
      <c r="E139" s="11"/>
      <c r="F139" s="11"/>
      <c r="G139" s="11"/>
      <c r="H139" s="11"/>
      <c r="I139" s="7"/>
      <c r="J139" s="28"/>
      <c r="K139" s="28"/>
      <c r="L139" s="39"/>
      <c r="M139" s="16"/>
      <c r="N139" s="21"/>
      <c r="O139" s="21"/>
      <c r="P139" s="11"/>
      <c r="Q139" s="11"/>
      <c r="R139" s="11"/>
      <c r="S139" s="11"/>
      <c r="T139" s="11"/>
      <c r="U139" s="11"/>
      <c r="V139" s="11"/>
      <c r="W139" s="7"/>
      <c r="X139" s="7"/>
      <c r="Y139" s="12"/>
      <c r="Z139" s="12"/>
      <c r="AA139" s="16"/>
      <c r="AB139" s="21"/>
    </row>
    <row r="140" spans="1:28" ht="15.6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12"/>
      <c r="K140" s="25"/>
      <c r="L140" s="15"/>
      <c r="M140" s="16"/>
      <c r="N140" s="21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8"/>
      <c r="Z140" s="9"/>
      <c r="AA140" s="16"/>
      <c r="AB140" s="7"/>
    </row>
    <row r="141" spans="1:28" ht="15.6" x14ac:dyDescent="0.3">
      <c r="A141" s="21"/>
      <c r="B141" s="11"/>
      <c r="C141" s="11"/>
      <c r="D141" s="11"/>
      <c r="E141" s="11"/>
      <c r="F141" s="11"/>
      <c r="G141" s="11"/>
      <c r="H141" s="11"/>
      <c r="I141" s="7"/>
      <c r="J141" s="12"/>
      <c r="K141" s="25"/>
      <c r="L141" s="15"/>
      <c r="M141" s="16"/>
      <c r="N141" s="21"/>
      <c r="O141" s="21"/>
      <c r="P141" s="11"/>
      <c r="Q141" s="11"/>
      <c r="R141" s="11"/>
      <c r="S141" s="11"/>
      <c r="T141" s="11"/>
      <c r="U141" s="11"/>
      <c r="V141" s="11"/>
      <c r="W141" s="7"/>
      <c r="X141" s="7"/>
      <c r="Y141" s="12"/>
      <c r="Z141" s="12"/>
      <c r="AA141" s="16"/>
      <c r="AB141" s="21"/>
    </row>
    <row r="142" spans="1:28" ht="15.6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12"/>
      <c r="K142" s="25"/>
      <c r="L142" s="15"/>
      <c r="M142" s="16"/>
      <c r="N142" s="21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8"/>
      <c r="Z142" s="9"/>
      <c r="AA142" s="16"/>
      <c r="AB142" s="7"/>
    </row>
    <row r="143" spans="1:28" ht="15.6" x14ac:dyDescent="0.3">
      <c r="A143" s="33"/>
      <c r="B143" s="27"/>
      <c r="C143" s="27"/>
      <c r="D143" s="27"/>
      <c r="E143" s="27"/>
      <c r="F143" s="27"/>
      <c r="G143" s="27"/>
      <c r="H143" s="27"/>
      <c r="I143" s="19"/>
      <c r="J143" s="12"/>
      <c r="K143" s="25"/>
      <c r="L143" s="15"/>
      <c r="M143" s="16"/>
      <c r="N143" s="20"/>
      <c r="O143" s="20"/>
      <c r="P143" s="13"/>
      <c r="Q143" s="13"/>
      <c r="R143" s="13"/>
      <c r="S143" s="13"/>
      <c r="T143" s="13"/>
      <c r="U143" s="13"/>
      <c r="V143" s="13"/>
      <c r="W143" s="19"/>
      <c r="X143" s="19"/>
      <c r="Y143" s="12"/>
      <c r="Z143" s="12"/>
      <c r="AA143" s="16"/>
      <c r="AB143" s="20"/>
    </row>
    <row r="144" spans="1:28" ht="15.6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12"/>
      <c r="K144" s="25"/>
      <c r="L144" s="15"/>
      <c r="M144" s="16"/>
      <c r="N144" s="21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8"/>
      <c r="Z144" s="9"/>
      <c r="AA144" s="16"/>
      <c r="AB144" s="7"/>
    </row>
    <row r="145" spans="1:28" ht="15.6" x14ac:dyDescent="0.3">
      <c r="A145" s="21"/>
      <c r="B145" s="11"/>
      <c r="C145" s="11"/>
      <c r="D145" s="11"/>
      <c r="E145" s="11"/>
      <c r="F145" s="11"/>
      <c r="G145" s="11"/>
      <c r="H145" s="11"/>
      <c r="I145" s="7"/>
      <c r="J145" s="12"/>
      <c r="K145" s="25"/>
      <c r="L145" s="15"/>
      <c r="M145" s="16"/>
      <c r="N145" s="21"/>
      <c r="O145" s="21"/>
      <c r="P145" s="11"/>
      <c r="Q145" s="11"/>
      <c r="R145" s="11"/>
      <c r="S145" s="11"/>
      <c r="T145" s="11"/>
      <c r="U145" s="11"/>
      <c r="V145" s="11"/>
      <c r="W145" s="7"/>
      <c r="X145" s="7"/>
      <c r="Y145" s="12"/>
      <c r="Z145" s="12"/>
      <c r="AA145" s="16"/>
      <c r="AB145" s="21"/>
    </row>
    <row r="146" spans="1:28" ht="15.6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12"/>
      <c r="K146" s="25"/>
      <c r="L146" s="15"/>
      <c r="M146" s="16"/>
      <c r="N146" s="21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8"/>
      <c r="Z146" s="9"/>
      <c r="AA146" s="16"/>
      <c r="AB146" s="7"/>
    </row>
    <row r="147" spans="1:28" ht="15.6" x14ac:dyDescent="0.3">
      <c r="A147" s="21"/>
      <c r="B147" s="11"/>
      <c r="C147" s="11"/>
      <c r="D147" s="11"/>
      <c r="E147" s="11"/>
      <c r="F147" s="11"/>
      <c r="G147" s="11"/>
      <c r="H147" s="11"/>
      <c r="I147" s="7"/>
      <c r="J147" s="12"/>
      <c r="K147" s="25"/>
      <c r="L147" s="15"/>
      <c r="M147" s="10"/>
      <c r="N147" s="21"/>
      <c r="O147" s="21"/>
      <c r="P147" s="11"/>
      <c r="Q147" s="11"/>
      <c r="R147" s="11"/>
      <c r="S147" s="11"/>
      <c r="T147" s="11"/>
      <c r="U147" s="11"/>
      <c r="V147" s="11"/>
      <c r="W147" s="7"/>
      <c r="X147" s="7"/>
      <c r="Y147" s="12"/>
      <c r="Z147" s="12"/>
      <c r="AA147" s="10"/>
      <c r="AB147" s="21"/>
    </row>
    <row r="148" spans="1:28" ht="15.6" x14ac:dyDescent="0.3">
      <c r="A148" s="7"/>
      <c r="B148" s="7"/>
      <c r="C148" s="7"/>
      <c r="D148" s="7"/>
      <c r="E148" s="7"/>
      <c r="F148" s="7"/>
      <c r="G148" s="7"/>
      <c r="H148" s="7"/>
      <c r="I148" s="11"/>
      <c r="J148" s="12"/>
      <c r="K148" s="25"/>
      <c r="L148" s="15"/>
      <c r="M148" s="10"/>
      <c r="N148" s="21"/>
      <c r="O148" s="7"/>
      <c r="P148" s="7"/>
      <c r="Q148" s="7"/>
      <c r="R148" s="7"/>
      <c r="S148" s="7"/>
      <c r="T148" s="7"/>
      <c r="U148" s="7"/>
      <c r="V148" s="7"/>
      <c r="W148" s="11"/>
      <c r="X148" s="7"/>
      <c r="Y148" s="8"/>
      <c r="Z148" s="9"/>
      <c r="AA148" s="10"/>
      <c r="AB148" s="7"/>
    </row>
    <row r="149" spans="1:28" ht="15.6" x14ac:dyDescent="0.3">
      <c r="A149" s="21"/>
      <c r="B149" s="11"/>
      <c r="C149" s="11"/>
      <c r="D149" s="11"/>
      <c r="E149" s="11"/>
      <c r="F149" s="11"/>
      <c r="G149" s="11"/>
      <c r="H149" s="11"/>
      <c r="I149" s="7"/>
      <c r="J149" s="12"/>
      <c r="K149" s="25"/>
      <c r="L149" s="15"/>
      <c r="M149" s="10"/>
      <c r="N149" s="21"/>
      <c r="O149" s="21"/>
      <c r="P149" s="11"/>
      <c r="Q149" s="11"/>
      <c r="R149" s="11"/>
      <c r="S149" s="11"/>
      <c r="T149" s="11"/>
      <c r="U149" s="11"/>
      <c r="V149" s="11"/>
      <c r="W149" s="7"/>
      <c r="X149" s="7"/>
      <c r="Y149" s="12"/>
      <c r="Z149" s="12"/>
      <c r="AA149" s="10"/>
      <c r="AB149" s="21"/>
    </row>
    <row r="150" spans="1:28" ht="15.6" x14ac:dyDescent="0.3">
      <c r="A150" s="7"/>
      <c r="B150" s="7"/>
      <c r="C150" s="7"/>
      <c r="D150" s="7"/>
      <c r="E150" s="7"/>
      <c r="F150" s="7"/>
      <c r="G150" s="7"/>
      <c r="H150" s="7"/>
      <c r="I150" s="11"/>
      <c r="J150" s="12"/>
      <c r="K150" s="25"/>
      <c r="L150" s="15"/>
      <c r="M150" s="10"/>
      <c r="N150" s="21"/>
      <c r="O150" s="7"/>
      <c r="P150" s="7"/>
      <c r="Q150" s="7"/>
      <c r="R150" s="7"/>
      <c r="S150" s="7"/>
      <c r="T150" s="7"/>
      <c r="U150" s="7"/>
      <c r="V150" s="7"/>
      <c r="W150" s="11"/>
      <c r="X150" s="7"/>
      <c r="Y150" s="8"/>
      <c r="Z150" s="9"/>
      <c r="AA150" s="10"/>
      <c r="AB150" s="7"/>
    </row>
    <row r="151" spans="1:28" ht="15.6" x14ac:dyDescent="0.3">
      <c r="A151" s="21"/>
      <c r="B151" s="11"/>
      <c r="C151" s="11"/>
      <c r="D151" s="11"/>
      <c r="E151" s="11"/>
      <c r="F151" s="11"/>
      <c r="G151" s="11"/>
      <c r="H151" s="11"/>
      <c r="I151" s="7"/>
      <c r="J151" s="28"/>
      <c r="K151" s="28"/>
      <c r="L151" s="39"/>
      <c r="M151" s="16"/>
      <c r="N151" s="21"/>
      <c r="O151" s="21"/>
      <c r="P151" s="11"/>
      <c r="Q151" s="11"/>
      <c r="R151" s="11"/>
      <c r="S151" s="11"/>
      <c r="T151" s="11"/>
      <c r="U151" s="11"/>
      <c r="V151" s="11"/>
      <c r="W151" s="7"/>
      <c r="X151" s="7"/>
      <c r="Y151" s="12"/>
      <c r="Z151" s="12"/>
      <c r="AA151" s="16"/>
      <c r="AB151" s="21"/>
    </row>
    <row r="152" spans="1:28" ht="15.6" x14ac:dyDescent="0.3">
      <c r="A152" s="7"/>
      <c r="B152" s="7"/>
      <c r="C152" s="7"/>
      <c r="D152" s="7"/>
      <c r="E152" s="7"/>
      <c r="F152" s="7"/>
      <c r="G152" s="7"/>
      <c r="H152" s="7"/>
      <c r="I152" s="11"/>
      <c r="J152" s="12"/>
      <c r="K152" s="25"/>
      <c r="L152" s="15"/>
      <c r="M152" s="14"/>
      <c r="N152" s="21"/>
      <c r="O152" s="7"/>
      <c r="P152" s="7"/>
      <c r="Q152" s="7"/>
      <c r="R152" s="7"/>
      <c r="S152" s="7"/>
      <c r="T152" s="7"/>
      <c r="U152" s="7"/>
      <c r="V152" s="7"/>
      <c r="W152" s="11"/>
      <c r="X152" s="7"/>
      <c r="Y152" s="8"/>
      <c r="Z152" s="9"/>
      <c r="AA152" s="14"/>
      <c r="AB152" s="7"/>
    </row>
    <row r="153" spans="1:28" ht="15.6" x14ac:dyDescent="0.3">
      <c r="A153" s="21"/>
      <c r="B153" s="11"/>
      <c r="C153" s="11"/>
      <c r="D153" s="11"/>
      <c r="E153" s="11"/>
      <c r="F153" s="11"/>
      <c r="G153" s="11"/>
      <c r="H153" s="11"/>
      <c r="I153" s="11"/>
      <c r="J153" s="12"/>
      <c r="K153" s="25"/>
      <c r="L153" s="15"/>
      <c r="M153" s="18"/>
      <c r="N153" s="21"/>
      <c r="O153" s="21"/>
      <c r="P153" s="11"/>
      <c r="Q153" s="11"/>
      <c r="R153" s="11"/>
      <c r="S153" s="11"/>
      <c r="T153" s="11"/>
      <c r="U153" s="11"/>
      <c r="V153" s="11"/>
      <c r="W153" s="11"/>
      <c r="X153" s="7"/>
      <c r="Y153" s="12"/>
      <c r="Z153" s="12"/>
      <c r="AA153" s="18"/>
      <c r="AB153" s="21"/>
    </row>
    <row r="154" spans="1:28" ht="15.6" x14ac:dyDescent="0.3">
      <c r="A154" s="7"/>
      <c r="B154" s="7"/>
      <c r="C154" s="7"/>
      <c r="D154" s="7"/>
      <c r="E154" s="7"/>
      <c r="F154" s="7"/>
      <c r="G154" s="7"/>
      <c r="H154" s="7"/>
      <c r="I154" s="11"/>
      <c r="J154" s="12"/>
      <c r="K154" s="25"/>
      <c r="L154" s="15"/>
      <c r="M154" s="18"/>
      <c r="N154" s="21"/>
      <c r="O154" s="7"/>
      <c r="P154" s="7"/>
      <c r="Q154" s="7"/>
      <c r="R154" s="7"/>
      <c r="S154" s="7"/>
      <c r="T154" s="7"/>
      <c r="U154" s="7"/>
      <c r="V154" s="7"/>
      <c r="W154" s="11"/>
      <c r="X154" s="7"/>
      <c r="Y154" s="8"/>
      <c r="Z154" s="9"/>
      <c r="AA154" s="18"/>
      <c r="AB154" s="7"/>
    </row>
    <row r="155" spans="1:28" ht="15.6" x14ac:dyDescent="0.3">
      <c r="A155" s="21"/>
      <c r="B155" s="11"/>
      <c r="C155" s="11"/>
      <c r="D155" s="11"/>
      <c r="E155" s="11"/>
      <c r="F155" s="11"/>
      <c r="G155" s="11"/>
      <c r="H155" s="11"/>
      <c r="I155" s="7"/>
      <c r="J155" s="12"/>
      <c r="K155" s="25"/>
      <c r="L155" s="15"/>
      <c r="M155" s="10"/>
      <c r="N155" s="21"/>
      <c r="O155" s="21"/>
      <c r="P155" s="11"/>
      <c r="Q155" s="11"/>
      <c r="R155" s="11"/>
      <c r="S155" s="11"/>
      <c r="T155" s="11"/>
      <c r="U155" s="11"/>
      <c r="V155" s="11"/>
      <c r="W155" s="7"/>
      <c r="X155" s="7"/>
      <c r="Y155" s="12"/>
      <c r="Z155" s="12"/>
      <c r="AA155" s="10"/>
      <c r="AB155" s="21"/>
    </row>
    <row r="156" spans="1:28" ht="15.6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12"/>
      <c r="K156" s="25"/>
      <c r="L156" s="15"/>
      <c r="M156" s="10"/>
      <c r="N156" s="21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8"/>
      <c r="Z156" s="9"/>
      <c r="AA156" s="10"/>
      <c r="AB156" s="7"/>
    </row>
    <row r="157" spans="1:28" ht="15.6" x14ac:dyDescent="0.3">
      <c r="A157" s="21"/>
      <c r="B157" s="11"/>
      <c r="C157" s="11"/>
      <c r="D157" s="11"/>
      <c r="E157" s="11"/>
      <c r="F157" s="11"/>
      <c r="G157" s="11"/>
      <c r="H157" s="11"/>
      <c r="I157" s="7"/>
      <c r="J157" s="12"/>
      <c r="K157" s="25"/>
      <c r="L157" s="15"/>
      <c r="M157" s="10"/>
      <c r="N157" s="21"/>
      <c r="O157" s="21"/>
      <c r="P157" s="11"/>
      <c r="Q157" s="11"/>
      <c r="R157" s="11"/>
      <c r="S157" s="11"/>
      <c r="T157" s="11"/>
      <c r="U157" s="11"/>
      <c r="V157" s="11"/>
      <c r="W157" s="7"/>
      <c r="X157" s="7"/>
      <c r="Y157" s="12"/>
      <c r="Z157" s="12"/>
      <c r="AA157" s="10"/>
      <c r="AB157" s="21"/>
    </row>
    <row r="158" spans="1:28" ht="15.6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12"/>
      <c r="K158" s="25"/>
      <c r="L158" s="15"/>
      <c r="M158" s="10"/>
      <c r="N158" s="21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8"/>
      <c r="Z158" s="9"/>
      <c r="AA158" s="10"/>
      <c r="AB158" s="7"/>
    </row>
    <row r="159" spans="1:28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36"/>
      <c r="L159" s="37"/>
      <c r="M159" s="10"/>
      <c r="N159" s="38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6" x14ac:dyDescent="0.3">
      <c r="A160" s="29"/>
      <c r="B160" s="29"/>
      <c r="C160" s="29"/>
      <c r="D160" s="29"/>
      <c r="E160" s="29"/>
      <c r="F160" s="29"/>
      <c r="G160" s="29"/>
      <c r="H160" s="29"/>
      <c r="I160" s="29"/>
      <c r="J160" s="40"/>
      <c r="K160" s="40"/>
      <c r="L160" s="40"/>
      <c r="M160" s="10"/>
      <c r="N160" s="21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6" x14ac:dyDescent="0.3">
      <c r="A161" s="30"/>
      <c r="B161" s="31"/>
      <c r="C161" s="31"/>
      <c r="D161" s="31"/>
      <c r="E161" s="31"/>
      <c r="F161" s="31"/>
      <c r="G161" s="31"/>
      <c r="H161" s="31"/>
      <c r="I161" s="12"/>
      <c r="J161" s="12"/>
      <c r="K161" s="36"/>
      <c r="L161" s="15"/>
      <c r="M161" s="10"/>
      <c r="N161" s="21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6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36"/>
      <c r="L162" s="15"/>
      <c r="M162" s="10"/>
      <c r="N162" s="21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6" x14ac:dyDescent="0.3">
      <c r="A163" s="21"/>
      <c r="B163" s="11"/>
      <c r="C163" s="11"/>
      <c r="D163" s="11"/>
      <c r="E163" s="11"/>
      <c r="F163" s="11"/>
      <c r="G163" s="11"/>
      <c r="H163" s="11"/>
      <c r="I163" s="7"/>
      <c r="J163" s="7"/>
      <c r="K163" s="32"/>
      <c r="L163" s="19"/>
      <c r="M163" s="10"/>
      <c r="N163" s="21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6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L164" s="23"/>
      <c r="N164" s="4"/>
    </row>
    <row r="165" spans="1:28" ht="15.6" x14ac:dyDescent="0.3">
      <c r="A165" s="4"/>
      <c r="B165" s="2"/>
      <c r="C165" s="2"/>
      <c r="D165" s="2"/>
      <c r="E165" s="2"/>
      <c r="F165" s="2"/>
      <c r="G165" s="2"/>
      <c r="H165" s="2"/>
      <c r="I165" s="3"/>
      <c r="J165" s="3"/>
      <c r="N165" s="4"/>
    </row>
    <row r="166" spans="1:28" ht="15.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N166" s="4"/>
    </row>
    <row r="167" spans="1:28" ht="15.6" x14ac:dyDescent="0.3">
      <c r="A167" s="4"/>
      <c r="B167" s="2"/>
      <c r="C167" s="2"/>
      <c r="D167" s="2"/>
      <c r="E167" s="2"/>
      <c r="F167" s="2"/>
      <c r="G167" s="2"/>
      <c r="H167" s="2"/>
      <c r="I167" s="3"/>
      <c r="J167" s="3"/>
      <c r="N167" s="4"/>
    </row>
    <row r="168" spans="1:28" ht="15.6" x14ac:dyDescent="0.3">
      <c r="A168" s="3"/>
      <c r="B168" s="3"/>
      <c r="C168" s="3"/>
      <c r="D168" s="3"/>
      <c r="E168" s="3"/>
      <c r="F168" s="3"/>
      <c r="G168" s="3"/>
      <c r="H168" s="3"/>
      <c r="I168" s="2"/>
      <c r="J168" s="3"/>
      <c r="N168" s="4"/>
    </row>
    <row r="169" spans="1:28" ht="15.6" x14ac:dyDescent="0.3">
      <c r="A169" s="4"/>
      <c r="B169" s="2"/>
      <c r="C169" s="2"/>
      <c r="D169" s="2"/>
      <c r="E169" s="2"/>
      <c r="F169" s="2"/>
      <c r="G169" s="2"/>
      <c r="H169" s="2"/>
      <c r="I169" s="3"/>
      <c r="J169" s="3"/>
      <c r="N169" s="4"/>
    </row>
    <row r="170" spans="1:28" ht="15.6" x14ac:dyDescent="0.3">
      <c r="A170" s="3"/>
      <c r="B170" s="3"/>
      <c r="C170" s="3"/>
      <c r="D170" s="3"/>
      <c r="E170" s="3"/>
      <c r="F170" s="3"/>
      <c r="G170" s="3"/>
      <c r="H170" s="3"/>
      <c r="I170" s="2"/>
      <c r="J170" s="3"/>
      <c r="N170" s="4"/>
    </row>
  </sheetData>
  <phoneticPr fontId="0" type="noConversion"/>
  <printOptions horizontalCentered="1" verticalCentered="1" gridLines="1"/>
  <pageMargins left="0.25" right="0.25" top="0.75" bottom="0.75" header="0.3" footer="0.3"/>
  <pageSetup scale="99" orientation="portrait" horizontalDpi="300" verticalDpi="300" r:id="rId1"/>
  <headerFooter alignWithMargins="0">
    <oddHeader>&amp;L&amp;"Arial,Bold"&amp;14 8TH AVE&amp;C&amp;"Arial,Bold"&amp;14H20 STACKS&amp;R&amp;D</oddHeader>
    <oddFooter>&amp;L&amp;F</oddFooter>
  </headerFooter>
  <rowBreaks count="1" manualBreakCount="1">
    <brk id="34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73" sqref="H73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6" sqref="B46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One-Way Plumbing,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brettm</dc:creator>
  <cp:lastModifiedBy>Brett Mortimore</cp:lastModifiedBy>
  <cp:lastPrinted>2013-01-22T16:34:15Z</cp:lastPrinted>
  <dcterms:created xsi:type="dcterms:W3CDTF">2001-08-01T16:19:16Z</dcterms:created>
  <dcterms:modified xsi:type="dcterms:W3CDTF">2013-01-22T21:30:09Z</dcterms:modified>
</cp:coreProperties>
</file>