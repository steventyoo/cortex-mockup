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I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<sst xmlns="http://schemas.openxmlformats.org/spreadsheetml/2006/main" count="173" uniqueCount="110">
  <si>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</si>
  <si>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</si>
  <si>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</si>
  <si>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</si>
  <si>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</si>
  <si>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</si>
  <si>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</si>
  <si>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</si>
  <si>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</si>
  <si>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</si>
  <si>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</si>
  <si>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</si>
  <si>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</si>
  <si>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</si>
  <si>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</si>
  <si>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</si>
  <si>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</si>
  <si>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</si>
  <si>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</si>
  <si>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</si>
  <si>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</si>
  <si>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</si>
  <si>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</si>
  <si>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</si>
  <si>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</si>
  <si>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</si>
  <si>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</si>
  <si>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</si>
  <si>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</si>
  <si>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</si>
  <si>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</si>
  <si>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</si>
  <si>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</si>
  <si>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</si>
  <si>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</si>
  <si>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</si>
  <si>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</si>
  <si>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</si>
  <si>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</si>
  <si>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</si>
  <si>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</si>
  <si>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</si>
  <si>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</si>
  <si>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</si>
  <si>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</si>
  <si>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</si>
  <si>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</si>
  <si>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</si>
  <si>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</si>
  <si>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</si>
  <si>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</si>
  <si>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</si>
  <si>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</si>
  <si>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</si>
  <si>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</si>
  <si>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</si>
  <si>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</si>
  <si>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</si>
  <si>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</si>
  <si>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</si>
  <si>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</si>
  <si>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</si>
  <si>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</si>
  <si>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</si>
  <si>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</si>
  <si>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</si>
  <si>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</si>
  <si>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</si>
  <si>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</si>
  <si>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</si>
  <si>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</si>
  <si>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</si>
  <si>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</si>
  <si>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</si>
  <si>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</si>
  <si>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</si>
  <si>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</si>
  <si>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</si>
  <si>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</si>
  <si>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</si>
  <si>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</si>
  <si>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</si>
  <si>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</si>
  <si>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</si>
  <si>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</si>
  <si>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</si>
  <si>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</si>
  <si>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</si>
  <si>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</si>
  <si>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</si>
  <si>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</si>
  <si>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</si>
  <si>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</si>
  <si>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</si>
  <si>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</si>
  <si>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</si>
  <si>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</si>
  <si>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</si>
  <si>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</si>
  <si>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</si>
  <si>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</si>
  <si>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</si>
  <si>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</si>
  <si>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</si>
  <si>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</si>
  <si>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</si>
  <si>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</si>
  <si>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lave faucets to grohe 34270</t>
  </si>
  <si>
    <t>change fiberglass tub/shower to aquatic smooth wall stall</t>
  </si>
  <si>
    <t>upgrade kitchen sinks to 8'' deep bowls in type b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</si>
</sst>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zoomScaleNormal="75" zoomScaleSheetLayoutView="100" workbookViewId="0">
      <selection activeCell="H22" sqref="H22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4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41445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41455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105200</v>
      </c>
      <c r="F14" s="38">
        <f>SUM(F15:F69)</f>
        <v>15900</v>
      </c>
      <c r="G14" s="38"/>
      <c r="H14" s="38">
        <f>SUM(H15:H69)</f>
        <v>121100</v>
      </c>
      <c r="I14" s="39"/>
      <c r="J14" s="38">
        <f>SUM(J15:J69)</f>
        <v>1273555</v>
      </c>
      <c r="K14" s="37">
        <f>SUM(K15:K69)</f>
        <v>6055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0</v>
      </c>
      <c r="F20" s="41">
        <f>H20-E20</f>
        <v>15900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0</v>
      </c>
      <c r="F21" s="41">
        <f>H21-E21</f>
        <v>0</v>
      </c>
      <c r="G21" s="41"/>
      <c r="H21" s="42">
        <v>0</v>
      </c>
      <c r="I21" s="43">
        <f>H21/D21</f>
        <v>0</v>
      </c>
      <c r="J21" s="41">
        <f>D21-H21</f>
        <v>15900</v>
      </c>
      <c r="K21" s="40">
        <f>0.05*H21</f>
        <v>0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0</v>
      </c>
      <c r="F23" s="41">
        <f>H23-E23</f>
        <v>0</v>
      </c>
      <c r="G23" s="41"/>
      <c r="H23" s="42">
        <v>0</v>
      </c>
      <c r="I23" s="43">
        <f>H23/D23</f>
        <v>0</v>
      </c>
      <c r="J23" s="41">
        <f t="shared" si="0"/>
        <v>91600</v>
      </c>
      <c r="K23" s="40">
        <f>0.05*H23</f>
        <v>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0</v>
      </c>
      <c r="F24" s="41">
        <f>H24-E24</f>
        <v>0</v>
      </c>
      <c r="G24" s="41"/>
      <c r="H24" s="42">
        <v>0</v>
      </c>
      <c r="I24" s="43">
        <f>H24/D24</f>
        <v>0</v>
      </c>
      <c r="J24" s="41">
        <f t="shared" si="0"/>
        <v>62500</v>
      </c>
      <c r="K24" s="40">
        <f t="shared" ref="K24:K45" si="1">0.05*H24</f>
        <v>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0</v>
      </c>
      <c r="F25" s="41">
        <f>H25-E25</f>
        <v>0</v>
      </c>
      <c r="G25" s="41"/>
      <c r="H25" s="42">
        <v>0</v>
      </c>
      <c r="I25" s="43">
        <f>H25/D25</f>
        <v>0</v>
      </c>
      <c r="J25" s="41">
        <f t="shared" si="0"/>
        <v>28000</v>
      </c>
      <c r="K25" s="40">
        <f t="shared" si="1"/>
        <v>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0</v>
      </c>
      <c r="F26" s="41">
        <f>H26-E26</f>
        <v>0</v>
      </c>
      <c r="G26" s="41"/>
      <c r="H26" s="42">
        <v>0</v>
      </c>
      <c r="I26" s="43">
        <f>H26/D26</f>
        <v>0</v>
      </c>
      <c r="J26" s="41">
        <f>D26-H26</f>
        <v>8500</v>
      </c>
      <c r="K26" s="40">
        <f>0.05*H26</f>
        <v>0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0</v>
      </c>
      <c r="F27" s="41">
        <f>H27-E27</f>
        <v>0</v>
      </c>
      <c r="G27" s="41"/>
      <c r="H27" s="42">
        <v>0</v>
      </c>
      <c r="I27" s="43">
        <f>H27/D27</f>
        <v>0</v>
      </c>
      <c r="J27" s="41">
        <f>D27-H27</f>
        <v>10500</v>
      </c>
      <c r="K27" s="40">
        <f>0.05*H27</f>
        <v>0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0</v>
      </c>
      <c r="F29" s="41">
        <f>H29-E29</f>
        <v>0</v>
      </c>
      <c r="G29" s="41"/>
      <c r="H29" s="42">
        <v>0</v>
      </c>
      <c r="I29" s="43">
        <f>H29/D29</f>
        <v>0</v>
      </c>
      <c r="J29" s="41">
        <f>D29-H29</f>
        <v>139600</v>
      </c>
      <c r="K29" s="40">
        <f>0.05*H29</f>
        <v>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0</v>
      </c>
      <c r="F30" s="41">
        <f>H30-E30</f>
        <v>0</v>
      </c>
      <c r="G30" s="41"/>
      <c r="H30" s="42">
        <v>0</v>
      </c>
      <c r="I30" s="43">
        <f>H30/D30</f>
        <v>0</v>
      </c>
      <c r="J30" s="41">
        <f>D30-H30</f>
        <v>2900</v>
      </c>
      <c r="K30" s="40">
        <f>0.05*H30</f>
        <v>0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0</v>
      </c>
      <c r="G31" s="41"/>
      <c r="H31" s="42">
        <v>0</v>
      </c>
      <c r="I31" s="43">
        <f>H31/D31</f>
        <v>0</v>
      </c>
      <c r="J31" s="41">
        <f>D31-H31</f>
        <v>800</v>
      </c>
      <c r="K31" s="40">
        <f>0.05*H31</f>
        <v>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0</v>
      </c>
      <c r="F33" s="41">
        <f>H33-E33</f>
        <v>0</v>
      </c>
      <c r="G33" s="41"/>
      <c r="H33" s="42">
        <v>0</v>
      </c>
      <c r="I33" s="43">
        <f>H33/D33</f>
        <v>0</v>
      </c>
      <c r="J33" s="41">
        <f t="shared" si="0"/>
        <v>122600</v>
      </c>
      <c r="K33" s="40">
        <f t="shared" si="1"/>
        <v>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0</v>
      </c>
      <c r="F34" s="41">
        <f>H34-E34</f>
        <v>0</v>
      </c>
      <c r="G34" s="41"/>
      <c r="H34" s="42">
        <v>0</v>
      </c>
      <c r="I34" s="43">
        <f>H34/D34</f>
        <v>0</v>
      </c>
      <c r="J34" s="41">
        <f t="shared" si="0"/>
        <v>12300</v>
      </c>
      <c r="K34" s="40">
        <f t="shared" si="1"/>
        <v>0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0</v>
      </c>
      <c r="G35" s="41"/>
      <c r="H35" s="42">
        <v>0</v>
      </c>
      <c r="I35" s="43">
        <f>H35/D35</f>
        <v>0</v>
      </c>
      <c r="J35" s="41">
        <f t="shared" si="0"/>
        <v>3500</v>
      </c>
      <c r="K35" s="40">
        <f t="shared" si="1"/>
        <v>0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0</v>
      </c>
      <c r="F37" s="41">
        <f>H37-E37</f>
        <v>0</v>
      </c>
      <c r="G37" s="41"/>
      <c r="H37" s="42">
        <v>0</v>
      </c>
      <c r="I37" s="43">
        <f>H37/D37</f>
        <v>0</v>
      </c>
      <c r="J37" s="41">
        <f t="shared" si="0"/>
        <v>122600</v>
      </c>
      <c r="K37" s="40">
        <f t="shared" si="1"/>
        <v>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0</v>
      </c>
      <c r="G38" s="41"/>
      <c r="H38" s="42">
        <v>0</v>
      </c>
      <c r="I38" s="43">
        <f>H38/D38</f>
        <v>0</v>
      </c>
      <c r="J38" s="41">
        <f t="shared" si="0"/>
        <v>2900</v>
      </c>
      <c r="K38" s="40">
        <f t="shared" si="1"/>
        <v>0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0</v>
      </c>
      <c r="F39" s="41">
        <f>H39-E39</f>
        <v>0</v>
      </c>
      <c r="G39" s="41"/>
      <c r="H39" s="42">
        <v>0</v>
      </c>
      <c r="I39" s="43">
        <f>H39/D39</f>
        <v>0</v>
      </c>
      <c r="J39" s="41">
        <f t="shared" si="0"/>
        <v>12300</v>
      </c>
      <c r="K39" s="40">
        <f t="shared" si="1"/>
        <v>0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0</v>
      </c>
      <c r="F40" s="41">
        <f>H40-E40</f>
        <v>0</v>
      </c>
      <c r="G40" s="41"/>
      <c r="H40" s="42">
        <v>0</v>
      </c>
      <c r="I40" s="43">
        <f>H40/D40</f>
        <v>0</v>
      </c>
      <c r="J40" s="41">
        <f t="shared" si="0"/>
        <v>3500</v>
      </c>
      <c r="K40" s="40">
        <f t="shared" si="1"/>
        <v>0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0</v>
      </c>
      <c r="F42" s="41">
        <f>H42-E42</f>
        <v>0</v>
      </c>
      <c r="G42" s="41"/>
      <c r="H42" s="42">
        <v>0</v>
      </c>
      <c r="I42" s="43">
        <f>H42/D42</f>
        <v>0</v>
      </c>
      <c r="J42" s="41">
        <f t="shared" si="0"/>
        <v>122600</v>
      </c>
      <c r="K42" s="40">
        <f t="shared" si="1"/>
        <v>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0</v>
      </c>
      <c r="G43" s="41"/>
      <c r="H43" s="42">
        <v>0</v>
      </c>
      <c r="I43" s="43">
        <f>H43/D43</f>
        <v>0</v>
      </c>
      <c r="J43" s="41">
        <f t="shared" si="0"/>
        <v>2900</v>
      </c>
      <c r="K43" s="40">
        <f t="shared" si="1"/>
        <v>0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0</v>
      </c>
      <c r="F44" s="41">
        <f>H44-E44</f>
        <v>0</v>
      </c>
      <c r="G44" s="41"/>
      <c r="H44" s="42">
        <v>0</v>
      </c>
      <c r="I44" s="43">
        <f>H44/D44</f>
        <v>0</v>
      </c>
      <c r="J44" s="41">
        <f t="shared" si="0"/>
        <v>12300</v>
      </c>
      <c r="K44" s="40">
        <f t="shared" si="1"/>
        <v>0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0</v>
      </c>
      <c r="F45" s="41">
        <f>H45-E45</f>
        <v>0</v>
      </c>
      <c r="G45" s="41"/>
      <c r="H45" s="42">
        <v>0</v>
      </c>
      <c r="I45" s="43">
        <f>H45/D45</f>
        <v>0</v>
      </c>
      <c r="J45" s="41">
        <f t="shared" si="0"/>
        <v>3500</v>
      </c>
      <c r="K45" s="40">
        <f t="shared" si="1"/>
        <v>0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0</v>
      </c>
      <c r="F47" s="41">
        <f>H47-E47</f>
        <v>0</v>
      </c>
      <c r="G47" s="41"/>
      <c r="H47" s="42">
        <v>0</v>
      </c>
      <c r="I47" s="43">
        <f>H47/D47</f>
        <v>0</v>
      </c>
      <c r="J47" s="41">
        <f>D47-H47</f>
        <v>122600</v>
      </c>
      <c r="K47" s="40">
        <f>0.05*H47</f>
        <v>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0</v>
      </c>
      <c r="G48" s="41"/>
      <c r="H48" s="42">
        <v>0</v>
      </c>
      <c r="I48" s="43">
        <f>H48/D48</f>
        <v>0</v>
      </c>
      <c r="J48" s="41">
        <f>D48-H48</f>
        <v>2900</v>
      </c>
      <c r="K48" s="40">
        <f>0.05*H48</f>
        <v>0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0</v>
      </c>
      <c r="F49" s="41">
        <f>H49-E49</f>
        <v>0</v>
      </c>
      <c r="G49" s="41"/>
      <c r="H49" s="42">
        <v>0</v>
      </c>
      <c r="I49" s="43">
        <f>H49/D49</f>
        <v>0</v>
      </c>
      <c r="J49" s="41">
        <f>D49-H49</f>
        <v>12300</v>
      </c>
      <c r="K49" s="40">
        <f>0.05*H49</f>
        <v>0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0</v>
      </c>
      <c r="F50" s="41">
        <f>H50-E50</f>
        <v>0</v>
      </c>
      <c r="G50" s="41"/>
      <c r="H50" s="42">
        <v>0</v>
      </c>
      <c r="I50" s="43">
        <f>H50/D50</f>
        <v>0</v>
      </c>
      <c r="J50" s="41">
        <f>D50-H50</f>
        <v>3500</v>
      </c>
      <c r="K50" s="40">
        <f>0.05*H50</f>
        <v>0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0</v>
      </c>
      <c r="F52" s="41">
        <f>H52-E52</f>
        <v>0</v>
      </c>
      <c r="G52" s="41"/>
      <c r="H52" s="42">
        <v>0</v>
      </c>
      <c r="I52" s="43">
        <f>H52/D52</f>
        <v>0</v>
      </c>
      <c r="J52" s="41">
        <f>D52-H52</f>
        <v>122600</v>
      </c>
      <c r="K52" s="40">
        <f>0.05*H52</f>
        <v>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0</v>
      </c>
      <c r="G53" s="41"/>
      <c r="H53" s="42">
        <v>0</v>
      </c>
      <c r="I53" s="43">
        <f>H53/D53</f>
        <v>0</v>
      </c>
      <c r="J53" s="41">
        <f>D53-H53</f>
        <v>2900</v>
      </c>
      <c r="K53" s="40">
        <f>0.05*H53</f>
        <v>0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0</v>
      </c>
      <c r="F54" s="41">
        <f>H54-E54</f>
        <v>0</v>
      </c>
      <c r="G54" s="41"/>
      <c r="H54" s="42">
        <v>0</v>
      </c>
      <c r="I54" s="43">
        <f>H54/D54</f>
        <v>0</v>
      </c>
      <c r="J54" s="41">
        <f>D54-H54</f>
        <v>12300</v>
      </c>
      <c r="K54" s="40">
        <f>0.05*H54</f>
        <v>0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0</v>
      </c>
      <c r="F55" s="41">
        <f>H55-E55</f>
        <v>0</v>
      </c>
      <c r="G55" s="41"/>
      <c r="H55" s="42">
        <v>0</v>
      </c>
      <c r="I55" s="43">
        <f>H55/D55</f>
        <v>0</v>
      </c>
      <c r="J55" s="41">
        <f>D55-H55</f>
        <v>3500</v>
      </c>
      <c r="K55" s="40">
        <f>0.05*H55</f>
        <v>0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0</v>
      </c>
      <c r="F57" s="41">
        <f>H57-E57</f>
        <v>0</v>
      </c>
      <c r="G57" s="41"/>
      <c r="H57" s="42">
        <v>0</v>
      </c>
      <c r="I57" s="43">
        <f>H57/D57</f>
        <v>0</v>
      </c>
      <c r="J57" s="41">
        <f>D57-H57</f>
        <v>70900</v>
      </c>
      <c r="K57" s="40">
        <f>0.05*H57</f>
        <v>0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0</v>
      </c>
      <c r="G58" s="41"/>
      <c r="H58" s="42">
        <v>0</v>
      </c>
      <c r="I58" s="43">
        <f>H58/D58</f>
        <v>0</v>
      </c>
      <c r="J58" s="41">
        <f>D58-H58</f>
        <v>2700</v>
      </c>
      <c r="K58" s="40">
        <f>0.05*H58</f>
        <v>0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0</v>
      </c>
      <c r="F59" s="41">
        <f>H59-E59</f>
        <v>0</v>
      </c>
      <c r="G59" s="41"/>
      <c r="H59" s="42">
        <v>0</v>
      </c>
      <c r="I59" s="43">
        <f>H59/D59</f>
        <v>0</v>
      </c>
      <c r="J59" s="41">
        <f>D59-H59</f>
        <v>12300</v>
      </c>
      <c r="K59" s="40">
        <f>0.05*H59</f>
        <v>0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0</v>
      </c>
      <c r="F60" s="41">
        <f>H60-E60</f>
        <v>0</v>
      </c>
      <c r="G60" s="41"/>
      <c r="H60" s="42">
        <v>0</v>
      </c>
      <c r="I60" s="43">
        <f>H60/D60</f>
        <v>0</v>
      </c>
      <c r="J60" s="41">
        <f>D60-H60</f>
        <v>3500</v>
      </c>
      <c r="K60" s="40">
        <f>0.05*H60</f>
        <v>0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0</v>
      </c>
      <c r="G67" s="41"/>
      <c r="H67" s="42">
        <v>0</v>
      </c>
      <c r="I67" s="43">
        <f t="shared" si="3"/>
        <v>0</v>
      </c>
      <c r="J67" s="41">
        <f t="shared" si="4"/>
        <v>19300</v>
      </c>
      <c r="K67" s="40">
        <f t="shared" si="5"/>
        <v>0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0</v>
      </c>
      <c r="G68" s="41"/>
      <c r="H68" s="42">
        <v>0</v>
      </c>
      <c r="I68" s="43">
        <f t="shared" si="3"/>
        <v>0</v>
      </c>
      <c r="J68" s="41">
        <f t="shared" si="4"/>
        <v>19300</v>
      </c>
      <c r="K68" s="40">
        <f t="shared" si="5"/>
        <v>0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105200</v>
      </c>
      <c r="F70" s="38">
        <f>SUM(F15:F69)</f>
        <v>15900</v>
      </c>
      <c r="G70" s="38">
        <f>SUM(G15:G69)</f>
        <v>0</v>
      </c>
      <c r="H70" s="38">
        <f>SUM(H15:H69)</f>
        <v>121100</v>
      </c>
      <c r="I70" s="44"/>
      <c r="J70" s="38">
        <f>SUM(J15:J69)</f>
        <v>1273555</v>
      </c>
      <c r="K70" s="38">
        <f>SUM(K15:K69)</f>
        <v>6055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0</v>
      </c>
      <c r="G72" s="38"/>
      <c r="H72" s="42">
        <v>0</v>
      </c>
      <c r="I72" s="43">
        <f t="shared" ref="I72:I81" si="7">H72/D72</f>
        <v>0</v>
      </c>
      <c r="J72" s="41">
        <f t="shared" si="4"/>
        <v>2754</v>
      </c>
      <c r="K72" s="40">
        <f t="shared" si="5"/>
        <v>0</v>
      </c>
    </row>
    <row r="73" spans="1:11" x14ac:dyDescent="0.25">
      <c r="A73" s="52" t="s">
        <v>41</v>
      </c>
      <c r="B73" s="21" t="s">
        <v>107</v>
      </c>
      <c r="C73" s="6"/>
      <c r="D73" s="41">
        <v>-102</v>
      </c>
      <c r="E73" s="41">
        <v>0</v>
      </c>
      <c r="F73" s="41">
        <f t="shared" si="6"/>
        <v>0</v>
      </c>
      <c r="G73" s="41"/>
      <c r="H73" s="42">
        <v>0</v>
      </c>
      <c r="I73" s="43">
        <f t="shared" si="7"/>
        <v>0</v>
      </c>
      <c r="J73" s="41">
        <f t="shared" si="4"/>
        <v>-102</v>
      </c>
      <c r="K73" s="40">
        <f t="shared" si="5"/>
        <v>0</v>
      </c>
    </row>
    <row r="74" spans="1:11" x14ac:dyDescent="0.25">
      <c r="A74" s="52" t="s">
        <v>41</v>
      </c>
      <c r="B74" s="21" t="s">
        <v>108</v>
      </c>
      <c r="C74" s="6"/>
      <c r="D74" s="41">
        <v>3705</v>
      </c>
      <c r="E74" s="41">
        <v>0</v>
      </c>
      <c r="F74" s="41">
        <f t="shared" si="6"/>
        <v>0</v>
      </c>
      <c r="G74" s="41"/>
      <c r="H74" s="42">
        <v>0</v>
      </c>
      <c r="I74" s="43">
        <f t="shared" si="7"/>
        <v>0</v>
      </c>
      <c r="J74" s="41">
        <f t="shared" si="4"/>
        <v>3705</v>
      </c>
      <c r="K74" s="40">
        <f t="shared" si="5"/>
        <v>0</v>
      </c>
    </row>
    <row r="75" spans="1:11" x14ac:dyDescent="0.25">
      <c r="A75" s="52" t="s">
        <v>41</v>
      </c>
      <c r="B75" s="21" t="s">
        <v>109</v>
      </c>
      <c r="C75" s="6"/>
      <c r="D75" s="41">
        <v>4743</v>
      </c>
      <c r="E75" s="41">
        <v>0</v>
      </c>
      <c r="F75" s="41">
        <f t="shared" si="6"/>
        <v>0</v>
      </c>
      <c r="G75" s="41"/>
      <c r="H75" s="42">
        <v>0</v>
      </c>
      <c r="I75" s="43">
        <f t="shared" si="7"/>
        <v>0</v>
      </c>
      <c r="J75" s="41">
        <f t="shared" si="4"/>
        <v>4743</v>
      </c>
      <c r="K75" s="40">
        <f t="shared" si="5"/>
        <v>0</v>
      </c>
    </row>
    <row r="76" spans="1:11" x14ac:dyDescent="0.25">
      <c r="A76" s="52" t="s">
        <v>42</v>
      </c>
      <c r="B76" s="21" t="s">
        <v>6</v>
      </c>
      <c r="C76" s="6"/>
      <c r="D76" s="41">
        <v>0</v>
      </c>
      <c r="E76" s="41">
        <v>0</v>
      </c>
      <c r="F76" s="41">
        <f t="shared" si="6"/>
        <v>0</v>
      </c>
      <c r="G76" s="41"/>
      <c r="H76" s="42">
        <v>0</v>
      </c>
      <c r="I76" s="43" t="e">
        <f t="shared" si="7"/>
        <v>#DIV/0!</v>
      </c>
      <c r="J76" s="41">
        <f t="shared" si="4"/>
        <v>0</v>
      </c>
      <c r="K76" s="40">
        <f t="shared" si="5"/>
        <v>0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11100</v>
      </c>
      <c r="B82" s="47" t="s">
        <v>22</v>
      </c>
      <c r="C82" s="48"/>
      <c r="D82" s="38">
        <f>SUM(D70:D81)</f>
        <v>1405755</v>
      </c>
      <c r="E82" s="38">
        <f>SUM(E70:E81)</f>
        <v>105200</v>
      </c>
      <c r="F82" s="38">
        <f>SUM(F70:F81)</f>
        <v>15900</v>
      </c>
      <c r="G82" s="38">
        <f>SUM(G70:G81)</f>
        <v>0</v>
      </c>
      <c r="H82" s="38">
        <f>SUM(H70:H81)</f>
        <v>121100</v>
      </c>
      <c r="I82" s="44"/>
      <c r="J82" s="38">
        <f>SUM(J70:J81)</f>
        <v>1284655</v>
      </c>
      <c r="K82" s="38">
        <f>SUM(K70:K81)</f>
        <v>6055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2013-03-19T15:08:09Z</cp:lastPrinted>
  <dcterms:created xsi:type="dcterms:W3CDTF">2001-02-05T15:33:02Z</dcterms:created>
  <dcterms:modified xsi:type="dcterms:W3CDTF">2013-06-20T16:47:02Z</dcterms:modified>
</cp:coreProperties>
</file>