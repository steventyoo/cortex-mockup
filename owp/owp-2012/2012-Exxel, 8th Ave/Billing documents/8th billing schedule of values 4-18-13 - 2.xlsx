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-12" windowWidth="11988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A82" i="6" l="1"/>
  <c r="D70" i="6"/>
  <c r="D82" i="6"/>
  <c r="D14" i="6"/>
  <c r="K60" i="6"/>
  <c r="J60" i="6"/>
  <c r="I60" i="6"/>
  <c r="F60" i="6"/>
  <c r="K59" i="6"/>
  <c r="J59" i="6"/>
  <c r="I59" i="6"/>
  <c r="F59" i="6"/>
  <c r="K58" i="6"/>
  <c r="J58" i="6"/>
  <c r="I58" i="6"/>
  <c r="F58" i="6"/>
  <c r="K57" i="6"/>
  <c r="J57" i="6"/>
  <c r="I57" i="6"/>
  <c r="F57" i="6"/>
  <c r="K55" i="6"/>
  <c r="J55" i="6"/>
  <c r="I55" i="6"/>
  <c r="F55" i="6"/>
  <c r="K54" i="6"/>
  <c r="J54" i="6"/>
  <c r="I54" i="6"/>
  <c r="F54" i="6"/>
  <c r="K53" i="6"/>
  <c r="J53" i="6"/>
  <c r="I53" i="6"/>
  <c r="F53" i="6"/>
  <c r="K52" i="6"/>
  <c r="J52" i="6"/>
  <c r="I52" i="6"/>
  <c r="F52" i="6"/>
  <c r="K50" i="6"/>
  <c r="J50" i="6"/>
  <c r="I50" i="6"/>
  <c r="F50" i="6"/>
  <c r="K49" i="6"/>
  <c r="J49" i="6"/>
  <c r="I49" i="6"/>
  <c r="F49" i="6"/>
  <c r="K48" i="6"/>
  <c r="J48" i="6"/>
  <c r="I48" i="6"/>
  <c r="F48" i="6"/>
  <c r="K47" i="6"/>
  <c r="J47" i="6"/>
  <c r="I47" i="6"/>
  <c r="F47" i="6"/>
  <c r="K65" i="6"/>
  <c r="J65" i="6"/>
  <c r="I65" i="6"/>
  <c r="F65" i="6"/>
  <c r="K64" i="6"/>
  <c r="J64" i="6"/>
  <c r="I64" i="6"/>
  <c r="F64" i="6"/>
  <c r="K63" i="6"/>
  <c r="J63" i="6"/>
  <c r="I63" i="6"/>
  <c r="F63" i="6"/>
  <c r="K20" i="6"/>
  <c r="J20" i="6"/>
  <c r="I20" i="6"/>
  <c r="F20" i="6"/>
  <c r="K21" i="6"/>
  <c r="J21" i="6"/>
  <c r="I21" i="6"/>
  <c r="F21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9" i="6"/>
  <c r="I29" i="6"/>
  <c r="J29" i="6"/>
  <c r="K29" i="6"/>
  <c r="F30" i="6"/>
  <c r="I30" i="6"/>
  <c r="J30" i="6"/>
  <c r="K30" i="6"/>
  <c r="F31" i="6"/>
  <c r="I31" i="6"/>
  <c r="J31" i="6"/>
  <c r="K31" i="6"/>
  <c r="F33" i="6"/>
  <c r="I33" i="6"/>
  <c r="J33" i="6"/>
  <c r="K33" i="6"/>
  <c r="F34" i="6"/>
  <c r="I34" i="6"/>
  <c r="J34" i="6"/>
  <c r="K34" i="6"/>
  <c r="F35" i="6"/>
  <c r="I35" i="6"/>
  <c r="J35" i="6"/>
  <c r="K35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62" i="6"/>
  <c r="I62" i="6"/>
  <c r="J62" i="6"/>
  <c r="K62" i="6"/>
  <c r="F66" i="6"/>
  <c r="I66" i="6"/>
  <c r="J66" i="6"/>
  <c r="K66" i="6"/>
  <c r="F67" i="6"/>
  <c r="I67" i="6"/>
  <c r="J67" i="6"/>
  <c r="K67" i="6"/>
  <c r="F68" i="6"/>
  <c r="I68" i="6"/>
  <c r="J68" i="6"/>
  <c r="K68" i="6"/>
  <c r="E70" i="6"/>
  <c r="E82" i="6"/>
  <c r="G70" i="6"/>
  <c r="G82" i="6" s="1"/>
  <c r="H70" i="6"/>
  <c r="H82" i="6" s="1"/>
  <c r="F72" i="6"/>
  <c r="I72" i="6"/>
  <c r="J72" i="6"/>
  <c r="K72" i="6"/>
  <c r="F73" i="6"/>
  <c r="I73" i="6"/>
  <c r="J73" i="6"/>
  <c r="K73" i="6"/>
  <c r="F74" i="6"/>
  <c r="I74" i="6"/>
  <c r="J74" i="6"/>
  <c r="K74" i="6"/>
  <c r="F75" i="6"/>
  <c r="I75" i="6"/>
  <c r="J75" i="6"/>
  <c r="K75" i="6"/>
  <c r="F76" i="6"/>
  <c r="I76" i="6"/>
  <c r="J76" i="6"/>
  <c r="K76" i="6"/>
  <c r="F77" i="6"/>
  <c r="I77" i="6"/>
  <c r="J77" i="6"/>
  <c r="K77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E14" i="6"/>
  <c r="H14" i="6"/>
  <c r="F15" i="6"/>
  <c r="I15" i="6"/>
  <c r="J15" i="6"/>
  <c r="K15" i="6"/>
  <c r="F16" i="6"/>
  <c r="I16" i="6"/>
  <c r="J16" i="6"/>
  <c r="K16" i="6"/>
  <c r="F17" i="6"/>
  <c r="I17" i="6"/>
  <c r="J17" i="6"/>
  <c r="K17" i="6"/>
  <c r="F19" i="6"/>
  <c r="I19" i="6"/>
  <c r="J19" i="6"/>
  <c r="K19" i="6"/>
  <c r="K14" i="6" l="1"/>
  <c r="J14" i="6"/>
  <c r="K70" i="6"/>
  <c r="K82" i="6" s="1"/>
  <c r="F70" i="6"/>
  <c r="F82" i="6" s="1"/>
  <c r="J70" i="6"/>
  <c r="J82" i="6" s="1"/>
  <c r="F14" i="6"/>
</calcChain>
</file>

<file path=xl/sharedStrings.xml><?xml version="1.0" encoding="utf-8"?>
<sst xmlns="http://schemas.openxmlformats.org/spreadsheetml/2006/main" count="173" uniqueCount="109">
  <si>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</si>
  <si>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</si>
  <si>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</si>
  <si>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</si>
  <si>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</si>
  <si>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</si>
  <si>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</si>
  <si>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</si>
  <si>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</si>
  <si>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</si>
  <si>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</si>
  <si>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</si>
  <si>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</si>
  <si>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</si>
  <si>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</si>
  <si>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</si>
  <si>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</si>
  <si>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</si>
  <si>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</si>
  <si>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</si>
  <si>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</si>
  <si>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</si>
  <si>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</si>
  <si>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</si>
  <si>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</si>
  <si>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</si>
  <si>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</si>
  <si>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</si>
  <si>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</si>
  <si>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</si>
  <si>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</si>
  <si>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</si>
  <si>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</si>
  <si>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</si>
  <si>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</si>
  <si>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</si>
  <si>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</si>
  <si>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</si>
  <si>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</si>
  <si>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</si>
  <si>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</si>
  <si>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</si>
  <si>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</si>
  <si>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</si>
  <si>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</si>
  <si>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</si>
  <si>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</si>
  <si>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</si>
  <si>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CO#7</t>
  </si>
  <si>
    <t>CO#8</t>
  </si>
  <si>
    <t>CO#9</t>
  </si>
  <si>
    <t>To be submitted with applications for payment</t>
  </si>
  <si>
    <t>One-Way Plumbing Contract Schedule of Values Work Sheet</t>
  </si>
  <si>
    <t>PREVIOUS</t>
  </si>
  <si>
    <t>level 1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</si>
  <si>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</si>
  <si>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</si>
  <si>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</si>
  <si>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</si>
  <si>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</si>
  <si>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</si>
  <si>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install toilets, lavs and sinks at level 3</t>
  </si>
  <si>
    <t>install toilets, lavs and sinks at level 4</t>
  </si>
  <si>
    <t>LOCATION: Seattle, WA</t>
  </si>
  <si>
    <t>install water heaters, pumps, tank at heater room</t>
  </si>
  <si>
    <t>plumbing design and engineering</t>
  </si>
  <si>
    <t>underground</t>
  </si>
  <si>
    <t>canout/sleeve and install deck drains at level 1</t>
  </si>
  <si>
    <t>level 1 PT deck</t>
  </si>
  <si>
    <t>install duplex water pressure booster package</t>
  </si>
  <si>
    <t>roughin and install gas piping</t>
  </si>
  <si>
    <t>roughin plumbing at level 1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</si>
  <si>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</si>
  <si>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</si>
  <si>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</si>
  <si>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</si>
  <si>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</si>
  <si>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</si>
  <si>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</si>
  <si>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</si>
  <si>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</si>
  <si>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firestop plumbing in wood frame</t>
  </si>
  <si>
    <t>Plumbing and gas pipe permits</t>
  </si>
  <si>
    <t>garage drains/basin, underground waste,storm,foundation</t>
  </si>
  <si>
    <t>install toilets, lavs and sinks at level 1</t>
  </si>
  <si>
    <t>install toilets, lavs and sinks at level 2</t>
  </si>
  <si>
    <t>PROJECT: 8th Ave Apartments</t>
  </si>
  <si>
    <t>level 2 PT deck</t>
  </si>
  <si>
    <t>level 3 PT deck</t>
  </si>
  <si>
    <t>canout/sleeve at level 2</t>
  </si>
  <si>
    <t>canout/sleeve at level 3</t>
  </si>
  <si>
    <t>level 6</t>
  </si>
  <si>
    <t>level 7</t>
  </si>
  <si>
    <t>level 5</t>
  </si>
  <si>
    <t>install toilets, lavs and sinks at level 5</t>
  </si>
  <si>
    <t>install toilets, lavs and sinks at level 6</t>
  </si>
  <si>
    <t>install toilets, lavs and sinks at level 7</t>
  </si>
  <si>
    <t>roughin plumbing at level 5</t>
  </si>
  <si>
    <t>stock bathtubs at level 5</t>
  </si>
  <si>
    <t>install bathtubs/valves at level 5</t>
  </si>
  <si>
    <t>roughin plumbing at level 6</t>
  </si>
  <si>
    <t>stock bathtubs at level 6</t>
  </si>
  <si>
    <t>install bathtubs/valves at level 6</t>
  </si>
  <si>
    <t>roughin plumbing at level 7</t>
  </si>
  <si>
    <t>stock bathtubs at level 7</t>
  </si>
  <si>
    <t>install bathtubs/valves at level 7</t>
  </si>
  <si>
    <t>level P1</t>
  </si>
  <si>
    <t>install garage and foundation drain pump systems</t>
  </si>
  <si>
    <t>roughin plumbing at level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</si>
</sst>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0" fontId="6" fillId="0" borderId="0" xfId="3"/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3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4" fontId="2" fillId="0" borderId="9" xfId="3" applyNumberFormat="1" applyFont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1"/>
  <sheetViews>
    <sheetView tabSelected="1" zoomScaleNormal="75" zoomScaleSheetLayoutView="100" workbookViewId="0">
      <selection activeCell="H19" sqref="H19"/>
    </sheetView>
  </sheetViews>
  <sheetFormatPr defaultColWidth="9.10937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109375" style="1"/>
  </cols>
  <sheetData>
    <row r="1" spans="1:11" ht="15" customHeight="1" x14ac:dyDescent="0.25">
      <c r="I1" s="2"/>
    </row>
    <row r="2" spans="1:11" ht="33.75" customHeight="1" x14ac:dyDescent="0.3">
      <c r="D2" s="52" t="s">
        <v>60</v>
      </c>
      <c r="E2" s="52"/>
      <c r="F2" s="52"/>
      <c r="G2" s="52"/>
      <c r="I2" s="2"/>
    </row>
    <row r="3" spans="1:11" ht="34.5" customHeight="1" thickBot="1" x14ac:dyDescent="0.45">
      <c r="A3" s="55" t="s">
        <v>52</v>
      </c>
      <c r="B3" s="56"/>
      <c r="C3" s="56"/>
      <c r="D3" s="56"/>
      <c r="E3" s="56"/>
      <c r="F3" s="56"/>
      <c r="G3" s="56"/>
      <c r="H3" s="56"/>
      <c r="I3" s="14"/>
      <c r="J3" s="13"/>
      <c r="K3" s="13"/>
    </row>
    <row r="4" spans="1:11" ht="22.8" x14ac:dyDescent="0.4">
      <c r="A4" s="53" t="s">
        <v>51</v>
      </c>
      <c r="B4" s="54"/>
      <c r="C4" s="54"/>
      <c r="D4" s="54"/>
      <c r="E4" s="54"/>
      <c r="I4" s="2"/>
    </row>
    <row r="5" spans="1:11" x14ac:dyDescent="0.25">
      <c r="A5" s="3" t="s">
        <v>86</v>
      </c>
      <c r="F5" s="11" t="s">
        <v>7</v>
      </c>
      <c r="G5" s="22"/>
      <c r="H5" s="49">
        <v>2</v>
      </c>
      <c r="I5" s="2"/>
      <c r="J5" s="12"/>
    </row>
    <row r="6" spans="1:11" x14ac:dyDescent="0.25">
      <c r="A6" s="3" t="s">
        <v>63</v>
      </c>
      <c r="F6" s="11" t="s">
        <v>23</v>
      </c>
      <c r="G6" s="23"/>
      <c r="H6" s="50">
        <v>41382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0">
        <v>41394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59" t="s">
        <v>30</v>
      </c>
      <c r="I10" s="60"/>
      <c r="J10" s="17" t="s">
        <v>31</v>
      </c>
      <c r="K10" s="17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57" t="s">
        <v>33</v>
      </c>
      <c r="F11" s="58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53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SUM(D15:D69)</f>
        <v>1394655</v>
      </c>
      <c r="E14" s="38">
        <f>SUM(E15:E69)</f>
        <v>48000</v>
      </c>
      <c r="F14" s="38">
        <f>SUM(F15:F69)</f>
        <v>41000</v>
      </c>
      <c r="G14" s="38"/>
      <c r="H14" s="38">
        <f>SUM(H15:H69)</f>
        <v>89000</v>
      </c>
      <c r="I14" s="39"/>
      <c r="J14" s="38">
        <f>SUM(J15:J69)</f>
        <v>1305655</v>
      </c>
      <c r="K14" s="37">
        <f>SUM(K15:K69)</f>
        <v>4450</v>
      </c>
    </row>
    <row r="15" spans="1:11" x14ac:dyDescent="0.25">
      <c r="A15" s="7" t="s">
        <v>6</v>
      </c>
      <c r="B15" s="7" t="s">
        <v>65</v>
      </c>
      <c r="C15" s="6" t="s">
        <v>17</v>
      </c>
      <c r="D15" s="40">
        <v>48000</v>
      </c>
      <c r="E15" s="41">
        <v>48000</v>
      </c>
      <c r="F15" s="41">
        <f>H15-E15</f>
        <v>0</v>
      </c>
      <c r="G15" s="41"/>
      <c r="H15" s="42">
        <v>48000</v>
      </c>
      <c r="I15" s="43">
        <f>H15/D15</f>
        <v>1</v>
      </c>
      <c r="J15" s="41">
        <f>D15-H15</f>
        <v>0</v>
      </c>
      <c r="K15" s="40">
        <f>0.05*H15</f>
        <v>2400</v>
      </c>
    </row>
    <row r="16" spans="1:11" x14ac:dyDescent="0.25">
      <c r="A16" s="7"/>
      <c r="B16" s="7" t="s">
        <v>82</v>
      </c>
      <c r="C16" s="6"/>
      <c r="D16" s="40">
        <v>11000</v>
      </c>
      <c r="E16" s="41">
        <v>0</v>
      </c>
      <c r="F16" s="41">
        <f>H16-E16</f>
        <v>11000</v>
      </c>
      <c r="G16" s="41"/>
      <c r="H16" s="42">
        <v>11000</v>
      </c>
      <c r="I16" s="43">
        <f>H16/D16</f>
        <v>1</v>
      </c>
      <c r="J16" s="41">
        <f>D16-H16</f>
        <v>0</v>
      </c>
      <c r="K16" s="40">
        <f>0.05*H16</f>
        <v>550</v>
      </c>
    </row>
    <row r="17" spans="1:11" x14ac:dyDescent="0.25">
      <c r="A17" s="7" t="s">
        <v>66</v>
      </c>
      <c r="B17" s="45" t="s">
        <v>83</v>
      </c>
      <c r="C17" s="6" t="s">
        <v>17</v>
      </c>
      <c r="D17" s="41">
        <v>34000</v>
      </c>
      <c r="E17" s="41">
        <v>0</v>
      </c>
      <c r="F17" s="41">
        <f>H17-E17</f>
        <v>30000</v>
      </c>
      <c r="G17" s="41"/>
      <c r="H17" s="42">
        <v>30000</v>
      </c>
      <c r="I17" s="43">
        <f>H17/D17</f>
        <v>0.88235294117647056</v>
      </c>
      <c r="J17" s="41">
        <f t="shared" ref="J17:J45" si="0">D17-H17</f>
        <v>4000</v>
      </c>
      <c r="K17" s="40">
        <f>0.05*H17</f>
        <v>1500</v>
      </c>
    </row>
    <row r="18" spans="1:11" x14ac:dyDescent="0.25">
      <c r="A18" s="7"/>
      <c r="B18" s="7"/>
      <c r="C18" s="6"/>
      <c r="D18" s="41"/>
      <c r="E18" s="41"/>
      <c r="F18" s="41"/>
      <c r="G18" s="41"/>
      <c r="H18" s="42"/>
      <c r="I18" s="43"/>
      <c r="J18" s="41"/>
      <c r="K18" s="40"/>
    </row>
    <row r="19" spans="1:11" x14ac:dyDescent="0.25">
      <c r="A19" s="7" t="s">
        <v>68</v>
      </c>
      <c r="B19" s="7" t="s">
        <v>67</v>
      </c>
      <c r="C19" s="6" t="s">
        <v>17</v>
      </c>
      <c r="D19" s="40">
        <v>12200</v>
      </c>
      <c r="E19" s="41">
        <v>0</v>
      </c>
      <c r="F19" s="41">
        <f>H19-E19</f>
        <v>0</v>
      </c>
      <c r="G19" s="41"/>
      <c r="H19" s="42">
        <v>0</v>
      </c>
      <c r="I19" s="43">
        <f>H19/D19</f>
        <v>0</v>
      </c>
      <c r="J19" s="41">
        <f>D19-H19</f>
        <v>12200</v>
      </c>
      <c r="K19" s="40">
        <f>0.05*H19</f>
        <v>0</v>
      </c>
    </row>
    <row r="20" spans="1:11" x14ac:dyDescent="0.25">
      <c r="A20" s="7" t="s">
        <v>87</v>
      </c>
      <c r="B20" s="7" t="s">
        <v>89</v>
      </c>
      <c r="C20" s="6" t="s">
        <v>17</v>
      </c>
      <c r="D20" s="40">
        <v>15900</v>
      </c>
      <c r="E20" s="41">
        <v>0</v>
      </c>
      <c r="F20" s="41">
        <f>H20-E20</f>
        <v>0</v>
      </c>
      <c r="G20" s="41"/>
      <c r="H20" s="42">
        <v>0</v>
      </c>
      <c r="I20" s="43">
        <f>H20/D20</f>
        <v>0</v>
      </c>
      <c r="J20" s="41">
        <f>D20-H20</f>
        <v>15900</v>
      </c>
      <c r="K20" s="40">
        <f>0.05*H20</f>
        <v>0</v>
      </c>
    </row>
    <row r="21" spans="1:11" x14ac:dyDescent="0.25">
      <c r="A21" s="7" t="s">
        <v>88</v>
      </c>
      <c r="B21" s="7" t="s">
        <v>90</v>
      </c>
      <c r="C21" s="6" t="s">
        <v>17</v>
      </c>
      <c r="D21" s="40">
        <v>15900</v>
      </c>
      <c r="E21" s="41">
        <v>0</v>
      </c>
      <c r="F21" s="41">
        <f>H21-E21</f>
        <v>0</v>
      </c>
      <c r="G21" s="41"/>
      <c r="H21" s="42">
        <v>0</v>
      </c>
      <c r="I21" s="43">
        <f>H21/D21</f>
        <v>0</v>
      </c>
      <c r="J21" s="41">
        <f>D21-H21</f>
        <v>15900</v>
      </c>
      <c r="K21" s="40">
        <f>0.05*H21</f>
        <v>0</v>
      </c>
    </row>
    <row r="22" spans="1:11" x14ac:dyDescent="0.25">
      <c r="A22" s="7"/>
      <c r="B22" s="7"/>
      <c r="C22" s="6"/>
      <c r="D22" s="41"/>
      <c r="E22" s="41"/>
      <c r="F22" s="41" t="s">
        <v>6</v>
      </c>
      <c r="G22" s="41"/>
      <c r="H22" s="42"/>
      <c r="I22" s="43"/>
      <c r="J22" s="41"/>
      <c r="K22" s="40"/>
    </row>
    <row r="23" spans="1:11" x14ac:dyDescent="0.25">
      <c r="A23" s="7" t="s">
        <v>106</v>
      </c>
      <c r="B23" s="7" t="s">
        <v>108</v>
      </c>
      <c r="C23" s="6" t="s">
        <v>17</v>
      </c>
      <c r="D23" s="41">
        <v>91600</v>
      </c>
      <c r="E23" s="41">
        <v>0</v>
      </c>
      <c r="F23" s="41">
        <f>H23-E23</f>
        <v>0</v>
      </c>
      <c r="G23" s="41"/>
      <c r="H23" s="42">
        <v>0</v>
      </c>
      <c r="I23" s="43">
        <f>H23/D23</f>
        <v>0</v>
      </c>
      <c r="J23" s="41">
        <f t="shared" si="0"/>
        <v>91600</v>
      </c>
      <c r="K23" s="40">
        <f>0.05*H23</f>
        <v>0</v>
      </c>
    </row>
    <row r="24" spans="1:11" x14ac:dyDescent="0.25">
      <c r="A24" s="7" t="s">
        <v>106</v>
      </c>
      <c r="B24" s="7" t="s">
        <v>64</v>
      </c>
      <c r="C24" s="6"/>
      <c r="D24" s="41">
        <v>62500</v>
      </c>
      <c r="E24" s="41">
        <v>0</v>
      </c>
      <c r="F24" s="41">
        <f>H24-E24</f>
        <v>0</v>
      </c>
      <c r="G24" s="41"/>
      <c r="H24" s="42">
        <v>0</v>
      </c>
      <c r="I24" s="43">
        <f>H24/D24</f>
        <v>0</v>
      </c>
      <c r="J24" s="41">
        <f t="shared" si="0"/>
        <v>62500</v>
      </c>
      <c r="K24" s="40">
        <f t="shared" ref="K24:K45" si="1">0.05*H24</f>
        <v>0</v>
      </c>
    </row>
    <row r="25" spans="1:11" x14ac:dyDescent="0.25">
      <c r="A25" s="7" t="s">
        <v>106</v>
      </c>
      <c r="B25" s="7" t="s">
        <v>69</v>
      </c>
      <c r="C25" s="6"/>
      <c r="D25" s="41">
        <v>28000</v>
      </c>
      <c r="E25" s="41">
        <v>0</v>
      </c>
      <c r="F25" s="41">
        <f>H25-E25</f>
        <v>0</v>
      </c>
      <c r="G25" s="41"/>
      <c r="H25" s="42">
        <v>0</v>
      </c>
      <c r="I25" s="43">
        <f>H25/D25</f>
        <v>0</v>
      </c>
      <c r="J25" s="41">
        <f t="shared" si="0"/>
        <v>28000</v>
      </c>
      <c r="K25" s="40">
        <f t="shared" si="1"/>
        <v>0</v>
      </c>
    </row>
    <row r="26" spans="1:11" x14ac:dyDescent="0.25">
      <c r="A26" s="7" t="s">
        <v>106</v>
      </c>
      <c r="B26" s="7" t="s">
        <v>107</v>
      </c>
      <c r="C26" s="6"/>
      <c r="D26" s="41">
        <v>8500</v>
      </c>
      <c r="E26" s="41">
        <v>0</v>
      </c>
      <c r="F26" s="41">
        <f>H26-E26</f>
        <v>0</v>
      </c>
      <c r="G26" s="41"/>
      <c r="H26" s="42">
        <v>0</v>
      </c>
      <c r="I26" s="43">
        <f>H26/D26</f>
        <v>0</v>
      </c>
      <c r="J26" s="41">
        <f>D26-H26</f>
        <v>8500</v>
      </c>
      <c r="K26" s="40">
        <f>0.05*H26</f>
        <v>0</v>
      </c>
    </row>
    <row r="27" spans="1:11" x14ac:dyDescent="0.25">
      <c r="A27" s="7"/>
      <c r="B27" s="7" t="s">
        <v>70</v>
      </c>
      <c r="C27" s="6"/>
      <c r="D27" s="41">
        <v>10500</v>
      </c>
      <c r="E27" s="41">
        <v>0</v>
      </c>
      <c r="F27" s="41">
        <f>H27-E27</f>
        <v>0</v>
      </c>
      <c r="G27" s="41"/>
      <c r="H27" s="42">
        <v>0</v>
      </c>
      <c r="I27" s="43">
        <f>H27/D27</f>
        <v>0</v>
      </c>
      <c r="J27" s="41">
        <f>D27-H27</f>
        <v>10500</v>
      </c>
      <c r="K27" s="40">
        <f>0.05*H27</f>
        <v>0</v>
      </c>
    </row>
    <row r="28" spans="1:11" x14ac:dyDescent="0.25">
      <c r="A28" s="7"/>
      <c r="B28" s="7"/>
      <c r="C28" s="6"/>
      <c r="D28" s="41"/>
      <c r="E28" s="41"/>
      <c r="F28" s="41"/>
      <c r="G28" s="41"/>
      <c r="H28" s="42"/>
      <c r="I28" s="43"/>
      <c r="J28" s="41"/>
      <c r="K28" s="40"/>
    </row>
    <row r="29" spans="1:11" x14ac:dyDescent="0.25">
      <c r="A29" s="7" t="s">
        <v>54</v>
      </c>
      <c r="B29" s="7" t="s">
        <v>71</v>
      </c>
      <c r="C29" s="6"/>
      <c r="D29" s="41">
        <v>139600</v>
      </c>
      <c r="E29" s="41">
        <v>0</v>
      </c>
      <c r="F29" s="41">
        <f>H29-E29</f>
        <v>0</v>
      </c>
      <c r="G29" s="41"/>
      <c r="H29" s="42">
        <v>0</v>
      </c>
      <c r="I29" s="43">
        <f>H29/D29</f>
        <v>0</v>
      </c>
      <c r="J29" s="41">
        <f>D29-H29</f>
        <v>139600</v>
      </c>
      <c r="K29" s="40">
        <f>0.05*H29</f>
        <v>0</v>
      </c>
    </row>
    <row r="30" spans="1:11" x14ac:dyDescent="0.25">
      <c r="A30" s="7" t="s">
        <v>54</v>
      </c>
      <c r="B30" s="7" t="s">
        <v>72</v>
      </c>
      <c r="C30" s="6"/>
      <c r="D30" s="41">
        <v>2900</v>
      </c>
      <c r="E30" s="41">
        <v>0</v>
      </c>
      <c r="F30" s="41">
        <f>H30-E30</f>
        <v>0</v>
      </c>
      <c r="G30" s="41"/>
      <c r="H30" s="42">
        <v>0</v>
      </c>
      <c r="I30" s="43">
        <f>H30/D30</f>
        <v>0</v>
      </c>
      <c r="J30" s="41">
        <f>D30-H30</f>
        <v>2900</v>
      </c>
      <c r="K30" s="40">
        <f>0.05*H30</f>
        <v>0</v>
      </c>
    </row>
    <row r="31" spans="1:11" x14ac:dyDescent="0.25">
      <c r="A31" s="7" t="s">
        <v>54</v>
      </c>
      <c r="B31" s="7" t="s">
        <v>73</v>
      </c>
      <c r="C31" s="6"/>
      <c r="D31" s="41">
        <v>800</v>
      </c>
      <c r="E31" s="41">
        <v>0</v>
      </c>
      <c r="F31" s="41">
        <f>H31-E31</f>
        <v>0</v>
      </c>
      <c r="G31" s="41"/>
      <c r="H31" s="42">
        <v>0</v>
      </c>
      <c r="I31" s="43">
        <f>H31/D31</f>
        <v>0</v>
      </c>
      <c r="J31" s="41">
        <f>D31-H31</f>
        <v>800</v>
      </c>
      <c r="K31" s="40">
        <f>0.05*H31</f>
        <v>0</v>
      </c>
    </row>
    <row r="32" spans="1:11" x14ac:dyDescent="0.25">
      <c r="A32" s="7"/>
      <c r="B32" s="7"/>
      <c r="C32" s="6"/>
      <c r="D32" s="41"/>
      <c r="E32" s="41"/>
      <c r="F32" s="41"/>
      <c r="G32" s="41"/>
      <c r="H32" s="42"/>
      <c r="I32" s="43"/>
      <c r="J32" s="41"/>
      <c r="K32" s="40"/>
    </row>
    <row r="33" spans="1:11" x14ac:dyDescent="0.25">
      <c r="A33" s="7" t="s">
        <v>55</v>
      </c>
      <c r="B33" s="7" t="s">
        <v>74</v>
      </c>
      <c r="C33" s="6"/>
      <c r="D33" s="41">
        <v>122600</v>
      </c>
      <c r="E33" s="41">
        <v>0</v>
      </c>
      <c r="F33" s="41">
        <f>H33-E33</f>
        <v>0</v>
      </c>
      <c r="G33" s="41"/>
      <c r="H33" s="42">
        <v>0</v>
      </c>
      <c r="I33" s="43">
        <f>H33/D33</f>
        <v>0</v>
      </c>
      <c r="J33" s="41">
        <f t="shared" si="0"/>
        <v>122600</v>
      </c>
      <c r="K33" s="40">
        <f t="shared" si="1"/>
        <v>0</v>
      </c>
    </row>
    <row r="34" spans="1:11" x14ac:dyDescent="0.25">
      <c r="A34" s="7" t="s">
        <v>55</v>
      </c>
      <c r="B34" s="7" t="s">
        <v>75</v>
      </c>
      <c r="C34" s="6"/>
      <c r="D34" s="41">
        <v>12300</v>
      </c>
      <c r="E34" s="41">
        <v>0</v>
      </c>
      <c r="F34" s="41">
        <f>H34-E34</f>
        <v>0</v>
      </c>
      <c r="G34" s="41"/>
      <c r="H34" s="42">
        <v>0</v>
      </c>
      <c r="I34" s="43">
        <f>H34/D34</f>
        <v>0</v>
      </c>
      <c r="J34" s="41">
        <f t="shared" si="0"/>
        <v>12300</v>
      </c>
      <c r="K34" s="40">
        <f t="shared" si="1"/>
        <v>0</v>
      </c>
    </row>
    <row r="35" spans="1:11" x14ac:dyDescent="0.25">
      <c r="A35" s="7" t="s">
        <v>55</v>
      </c>
      <c r="B35" s="7" t="s">
        <v>76</v>
      </c>
      <c r="C35" s="6"/>
      <c r="D35" s="41">
        <v>3500</v>
      </c>
      <c r="E35" s="41">
        <v>0</v>
      </c>
      <c r="F35" s="41">
        <f>H35-E35</f>
        <v>0</v>
      </c>
      <c r="G35" s="41"/>
      <c r="H35" s="42">
        <v>0</v>
      </c>
      <c r="I35" s="43">
        <f>H35/D35</f>
        <v>0</v>
      </c>
      <c r="J35" s="41">
        <f t="shared" si="0"/>
        <v>3500</v>
      </c>
      <c r="K35" s="40">
        <f t="shared" si="1"/>
        <v>0</v>
      </c>
    </row>
    <row r="36" spans="1:11" x14ac:dyDescent="0.25">
      <c r="A36" s="7"/>
      <c r="B36" s="7"/>
      <c r="C36" s="6"/>
      <c r="D36" s="41"/>
      <c r="E36" s="41"/>
      <c r="F36" s="41"/>
      <c r="G36" s="41"/>
      <c r="H36" s="42"/>
      <c r="I36" s="43"/>
      <c r="J36" s="41"/>
      <c r="K36" s="40"/>
    </row>
    <row r="37" spans="1:11" x14ac:dyDescent="0.25">
      <c r="A37" s="7" t="s">
        <v>56</v>
      </c>
      <c r="B37" s="7" t="s">
        <v>58</v>
      </c>
      <c r="C37" s="6"/>
      <c r="D37" s="41">
        <v>122600</v>
      </c>
      <c r="E37" s="41">
        <v>0</v>
      </c>
      <c r="F37" s="41">
        <f>H37-E37</f>
        <v>0</v>
      </c>
      <c r="G37" s="41"/>
      <c r="H37" s="42">
        <v>0</v>
      </c>
      <c r="I37" s="43">
        <f>H37/D37</f>
        <v>0</v>
      </c>
      <c r="J37" s="41">
        <f t="shared" si="0"/>
        <v>122600</v>
      </c>
      <c r="K37" s="40">
        <f t="shared" si="1"/>
        <v>0</v>
      </c>
    </row>
    <row r="38" spans="1:11" x14ac:dyDescent="0.25">
      <c r="A38" s="7" t="s">
        <v>56</v>
      </c>
      <c r="B38" s="7" t="s">
        <v>81</v>
      </c>
      <c r="C38" s="6"/>
      <c r="D38" s="41">
        <v>2900</v>
      </c>
      <c r="E38" s="41">
        <v>0</v>
      </c>
      <c r="F38" s="41">
        <f>H38-E38</f>
        <v>0</v>
      </c>
      <c r="G38" s="41"/>
      <c r="H38" s="42">
        <v>0</v>
      </c>
      <c r="I38" s="43">
        <f>H38/D38</f>
        <v>0</v>
      </c>
      <c r="J38" s="41">
        <f t="shared" si="0"/>
        <v>2900</v>
      </c>
      <c r="K38" s="40">
        <f t="shared" si="1"/>
        <v>0</v>
      </c>
    </row>
    <row r="39" spans="1:11" x14ac:dyDescent="0.25">
      <c r="A39" s="7" t="s">
        <v>56</v>
      </c>
      <c r="B39" s="7" t="s">
        <v>77</v>
      </c>
      <c r="C39" s="6"/>
      <c r="D39" s="41">
        <v>12300</v>
      </c>
      <c r="E39" s="41">
        <v>0</v>
      </c>
      <c r="F39" s="41">
        <f>H39-E39</f>
        <v>0</v>
      </c>
      <c r="G39" s="41"/>
      <c r="H39" s="42">
        <v>0</v>
      </c>
      <c r="I39" s="43">
        <f>H39/D39</f>
        <v>0</v>
      </c>
      <c r="J39" s="41">
        <f t="shared" si="0"/>
        <v>12300</v>
      </c>
      <c r="K39" s="40">
        <f t="shared" si="1"/>
        <v>0</v>
      </c>
    </row>
    <row r="40" spans="1:11" x14ac:dyDescent="0.25">
      <c r="A40" s="7" t="s">
        <v>56</v>
      </c>
      <c r="B40" s="7" t="s">
        <v>78</v>
      </c>
      <c r="C40" s="6"/>
      <c r="D40" s="41">
        <v>3500</v>
      </c>
      <c r="E40" s="41">
        <v>0</v>
      </c>
      <c r="F40" s="41">
        <f>H40-E40</f>
        <v>0</v>
      </c>
      <c r="G40" s="41"/>
      <c r="H40" s="42">
        <v>0</v>
      </c>
      <c r="I40" s="43">
        <f>H40/D40</f>
        <v>0</v>
      </c>
      <c r="J40" s="41">
        <f t="shared" si="0"/>
        <v>3500</v>
      </c>
      <c r="K40" s="40">
        <f t="shared" si="1"/>
        <v>0</v>
      </c>
    </row>
    <row r="41" spans="1:11" x14ac:dyDescent="0.25">
      <c r="A41" s="7"/>
      <c r="B41" s="7"/>
      <c r="C41" s="6"/>
      <c r="D41" s="41"/>
      <c r="E41" s="41"/>
      <c r="F41" s="41" t="s">
        <v>6</v>
      </c>
      <c r="G41" s="41"/>
      <c r="H41" s="42"/>
      <c r="I41" s="43"/>
      <c r="J41" s="41"/>
      <c r="K41" s="40"/>
    </row>
    <row r="42" spans="1:11" x14ac:dyDescent="0.25">
      <c r="A42" s="7" t="s">
        <v>57</v>
      </c>
      <c r="B42" s="7" t="s">
        <v>59</v>
      </c>
      <c r="C42" s="6"/>
      <c r="D42" s="41">
        <v>122600</v>
      </c>
      <c r="E42" s="41">
        <v>0</v>
      </c>
      <c r="F42" s="41">
        <f>H42-E42</f>
        <v>0</v>
      </c>
      <c r="G42" s="41"/>
      <c r="H42" s="42">
        <v>0</v>
      </c>
      <c r="I42" s="43">
        <f>H42/D42</f>
        <v>0</v>
      </c>
      <c r="J42" s="41">
        <f t="shared" si="0"/>
        <v>122600</v>
      </c>
      <c r="K42" s="40">
        <f t="shared" si="1"/>
        <v>0</v>
      </c>
    </row>
    <row r="43" spans="1:11" x14ac:dyDescent="0.25">
      <c r="A43" s="7" t="s">
        <v>57</v>
      </c>
      <c r="B43" s="7" t="s">
        <v>81</v>
      </c>
      <c r="C43" s="6"/>
      <c r="D43" s="41">
        <v>2900</v>
      </c>
      <c r="E43" s="41">
        <v>0</v>
      </c>
      <c r="F43" s="41">
        <f>H43-E43</f>
        <v>0</v>
      </c>
      <c r="G43" s="41"/>
      <c r="H43" s="42">
        <v>0</v>
      </c>
      <c r="I43" s="43">
        <f>H43/D43</f>
        <v>0</v>
      </c>
      <c r="J43" s="41">
        <f t="shared" si="0"/>
        <v>2900</v>
      </c>
      <c r="K43" s="40">
        <f t="shared" si="1"/>
        <v>0</v>
      </c>
    </row>
    <row r="44" spans="1:11" x14ac:dyDescent="0.25">
      <c r="A44" s="7" t="s">
        <v>57</v>
      </c>
      <c r="B44" s="7" t="s">
        <v>79</v>
      </c>
      <c r="C44" s="6"/>
      <c r="D44" s="41">
        <v>12300</v>
      </c>
      <c r="E44" s="41">
        <v>0</v>
      </c>
      <c r="F44" s="41">
        <f>H44-E44</f>
        <v>0</v>
      </c>
      <c r="G44" s="41"/>
      <c r="H44" s="42">
        <v>0</v>
      </c>
      <c r="I44" s="43">
        <f>H44/D44</f>
        <v>0</v>
      </c>
      <c r="J44" s="41">
        <f t="shared" si="0"/>
        <v>12300</v>
      </c>
      <c r="K44" s="40">
        <f t="shared" si="1"/>
        <v>0</v>
      </c>
    </row>
    <row r="45" spans="1:11" x14ac:dyDescent="0.25">
      <c r="A45" s="7" t="s">
        <v>57</v>
      </c>
      <c r="B45" s="7" t="s">
        <v>80</v>
      </c>
      <c r="C45" s="6"/>
      <c r="D45" s="41">
        <v>3500</v>
      </c>
      <c r="E45" s="41">
        <v>0</v>
      </c>
      <c r="F45" s="41">
        <f>H45-E45</f>
        <v>0</v>
      </c>
      <c r="G45" s="41"/>
      <c r="H45" s="42">
        <v>0</v>
      </c>
      <c r="I45" s="43">
        <f>H45/D45</f>
        <v>0</v>
      </c>
      <c r="J45" s="41">
        <f t="shared" si="0"/>
        <v>3500</v>
      </c>
      <c r="K45" s="40">
        <f t="shared" si="1"/>
        <v>0</v>
      </c>
    </row>
    <row r="46" spans="1:11" x14ac:dyDescent="0.25">
      <c r="A46" s="7"/>
      <c r="B46" s="7"/>
      <c r="C46" s="6"/>
      <c r="D46" s="41" t="s">
        <v>6</v>
      </c>
      <c r="E46" s="41" t="s">
        <v>6</v>
      </c>
      <c r="F46" s="41"/>
      <c r="G46" s="41"/>
      <c r="H46" s="42" t="s">
        <v>6</v>
      </c>
      <c r="I46" s="43" t="s">
        <v>6</v>
      </c>
      <c r="J46" s="41" t="s">
        <v>6</v>
      </c>
      <c r="K46" s="40" t="s">
        <v>6</v>
      </c>
    </row>
    <row r="47" spans="1:11" x14ac:dyDescent="0.25">
      <c r="A47" s="7" t="s">
        <v>93</v>
      </c>
      <c r="B47" s="7" t="s">
        <v>97</v>
      </c>
      <c r="C47" s="6"/>
      <c r="D47" s="41">
        <v>122600</v>
      </c>
      <c r="E47" s="41">
        <v>0</v>
      </c>
      <c r="F47" s="41">
        <f>H47-E47</f>
        <v>0</v>
      </c>
      <c r="G47" s="41"/>
      <c r="H47" s="42">
        <v>0</v>
      </c>
      <c r="I47" s="43">
        <f>H47/D47</f>
        <v>0</v>
      </c>
      <c r="J47" s="41">
        <f>D47-H47</f>
        <v>122600</v>
      </c>
      <c r="K47" s="40">
        <f>0.05*H47</f>
        <v>0</v>
      </c>
    </row>
    <row r="48" spans="1:11" x14ac:dyDescent="0.25">
      <c r="A48" s="7" t="s">
        <v>93</v>
      </c>
      <c r="B48" s="7" t="s">
        <v>81</v>
      </c>
      <c r="C48" s="6"/>
      <c r="D48" s="41">
        <v>2900</v>
      </c>
      <c r="E48" s="41">
        <v>0</v>
      </c>
      <c r="F48" s="41">
        <f>H48-E48</f>
        <v>0</v>
      </c>
      <c r="G48" s="41"/>
      <c r="H48" s="42">
        <v>0</v>
      </c>
      <c r="I48" s="43">
        <f>H48/D48</f>
        <v>0</v>
      </c>
      <c r="J48" s="41">
        <f>D48-H48</f>
        <v>2900</v>
      </c>
      <c r="K48" s="40">
        <f>0.05*H48</f>
        <v>0</v>
      </c>
    </row>
    <row r="49" spans="1:11" x14ac:dyDescent="0.25">
      <c r="A49" s="7" t="s">
        <v>93</v>
      </c>
      <c r="B49" s="7" t="s">
        <v>98</v>
      </c>
      <c r="C49" s="6"/>
      <c r="D49" s="41">
        <v>12300</v>
      </c>
      <c r="E49" s="41">
        <v>0</v>
      </c>
      <c r="F49" s="41">
        <f>H49-E49</f>
        <v>0</v>
      </c>
      <c r="G49" s="41"/>
      <c r="H49" s="42">
        <v>0</v>
      </c>
      <c r="I49" s="43">
        <f>H49/D49</f>
        <v>0</v>
      </c>
      <c r="J49" s="41">
        <f>D49-H49</f>
        <v>12300</v>
      </c>
      <c r="K49" s="40">
        <f>0.05*H49</f>
        <v>0</v>
      </c>
    </row>
    <row r="50" spans="1:11" x14ac:dyDescent="0.25">
      <c r="A50" s="7" t="s">
        <v>93</v>
      </c>
      <c r="B50" s="7" t="s">
        <v>99</v>
      </c>
      <c r="C50" s="6"/>
      <c r="D50" s="41">
        <v>3500</v>
      </c>
      <c r="E50" s="41">
        <v>0</v>
      </c>
      <c r="F50" s="41">
        <f>H50-E50</f>
        <v>0</v>
      </c>
      <c r="G50" s="41"/>
      <c r="H50" s="42">
        <v>0</v>
      </c>
      <c r="I50" s="43">
        <f>H50/D50</f>
        <v>0</v>
      </c>
      <c r="J50" s="41">
        <f>D50-H50</f>
        <v>3500</v>
      </c>
      <c r="K50" s="40">
        <f>0.05*H50</f>
        <v>0</v>
      </c>
    </row>
    <row r="51" spans="1:11" x14ac:dyDescent="0.25">
      <c r="A51" s="7"/>
      <c r="B51" s="7"/>
      <c r="C51" s="6"/>
      <c r="D51" s="41"/>
      <c r="E51" s="41"/>
      <c r="F51" s="41"/>
      <c r="G51" s="41"/>
      <c r="H51" s="42"/>
      <c r="I51" s="43"/>
      <c r="J51" s="41"/>
      <c r="K51" s="40"/>
    </row>
    <row r="52" spans="1:11" x14ac:dyDescent="0.25">
      <c r="A52" s="7" t="s">
        <v>91</v>
      </c>
      <c r="B52" s="7" t="s">
        <v>100</v>
      </c>
      <c r="C52" s="6"/>
      <c r="D52" s="41">
        <v>122600</v>
      </c>
      <c r="E52" s="41">
        <v>0</v>
      </c>
      <c r="F52" s="41">
        <f>H52-E52</f>
        <v>0</v>
      </c>
      <c r="G52" s="41"/>
      <c r="H52" s="42">
        <v>0</v>
      </c>
      <c r="I52" s="43">
        <f>H52/D52</f>
        <v>0</v>
      </c>
      <c r="J52" s="41">
        <f>D52-H52</f>
        <v>122600</v>
      </c>
      <c r="K52" s="40">
        <f>0.05*H52</f>
        <v>0</v>
      </c>
    </row>
    <row r="53" spans="1:11" x14ac:dyDescent="0.25">
      <c r="A53" s="7" t="s">
        <v>91</v>
      </c>
      <c r="B53" s="7" t="s">
        <v>81</v>
      </c>
      <c r="C53" s="6"/>
      <c r="D53" s="41">
        <v>2900</v>
      </c>
      <c r="E53" s="41">
        <v>0</v>
      </c>
      <c r="F53" s="41">
        <f>H53-E53</f>
        <v>0</v>
      </c>
      <c r="G53" s="41"/>
      <c r="H53" s="42">
        <v>0</v>
      </c>
      <c r="I53" s="43">
        <f>H53/D53</f>
        <v>0</v>
      </c>
      <c r="J53" s="41">
        <f>D53-H53</f>
        <v>2900</v>
      </c>
      <c r="K53" s="40">
        <f>0.05*H53</f>
        <v>0</v>
      </c>
    </row>
    <row r="54" spans="1:11" x14ac:dyDescent="0.25">
      <c r="A54" s="7" t="s">
        <v>91</v>
      </c>
      <c r="B54" s="7" t="s">
        <v>101</v>
      </c>
      <c r="C54" s="6"/>
      <c r="D54" s="41">
        <v>12300</v>
      </c>
      <c r="E54" s="41">
        <v>0</v>
      </c>
      <c r="F54" s="41">
        <f>H54-E54</f>
        <v>0</v>
      </c>
      <c r="G54" s="41"/>
      <c r="H54" s="42">
        <v>0</v>
      </c>
      <c r="I54" s="43">
        <f>H54/D54</f>
        <v>0</v>
      </c>
      <c r="J54" s="41">
        <f>D54-H54</f>
        <v>12300</v>
      </c>
      <c r="K54" s="40">
        <f>0.05*H54</f>
        <v>0</v>
      </c>
    </row>
    <row r="55" spans="1:11" x14ac:dyDescent="0.25">
      <c r="A55" s="7" t="s">
        <v>91</v>
      </c>
      <c r="B55" s="7" t="s">
        <v>102</v>
      </c>
      <c r="C55" s="6"/>
      <c r="D55" s="41">
        <v>3500</v>
      </c>
      <c r="E55" s="41">
        <v>0</v>
      </c>
      <c r="F55" s="41">
        <f>H55-E55</f>
        <v>0</v>
      </c>
      <c r="G55" s="41"/>
      <c r="H55" s="42">
        <v>0</v>
      </c>
      <c r="I55" s="43">
        <f>H55/D55</f>
        <v>0</v>
      </c>
      <c r="J55" s="41">
        <f>D55-H55</f>
        <v>3500</v>
      </c>
      <c r="K55" s="40">
        <f>0.05*H55</f>
        <v>0</v>
      </c>
    </row>
    <row r="56" spans="1:11" x14ac:dyDescent="0.25">
      <c r="A56" s="7"/>
      <c r="B56" s="7"/>
      <c r="C56" s="6"/>
      <c r="D56" s="41"/>
      <c r="E56" s="41"/>
      <c r="F56" s="41"/>
      <c r="G56" s="41"/>
      <c r="H56" s="42"/>
      <c r="I56" s="43"/>
      <c r="J56" s="41"/>
      <c r="K56" s="40"/>
    </row>
    <row r="57" spans="1:11" x14ac:dyDescent="0.25">
      <c r="A57" s="7" t="s">
        <v>92</v>
      </c>
      <c r="B57" s="7" t="s">
        <v>103</v>
      </c>
      <c r="C57" s="6"/>
      <c r="D57" s="41">
        <v>70900</v>
      </c>
      <c r="E57" s="41">
        <v>0</v>
      </c>
      <c r="F57" s="41">
        <f>H57-E57</f>
        <v>0</v>
      </c>
      <c r="G57" s="41"/>
      <c r="H57" s="42">
        <v>0</v>
      </c>
      <c r="I57" s="43">
        <f>H57/D57</f>
        <v>0</v>
      </c>
      <c r="J57" s="41">
        <f>D57-H57</f>
        <v>70900</v>
      </c>
      <c r="K57" s="40">
        <f>0.05*H57</f>
        <v>0</v>
      </c>
    </row>
    <row r="58" spans="1:11" x14ac:dyDescent="0.25">
      <c r="A58" s="7" t="s">
        <v>92</v>
      </c>
      <c r="B58" s="7" t="s">
        <v>81</v>
      </c>
      <c r="C58" s="6"/>
      <c r="D58" s="41">
        <v>2700</v>
      </c>
      <c r="E58" s="41">
        <v>0</v>
      </c>
      <c r="F58" s="41">
        <f>H58-E58</f>
        <v>0</v>
      </c>
      <c r="G58" s="41"/>
      <c r="H58" s="42">
        <v>0</v>
      </c>
      <c r="I58" s="43">
        <f>H58/D58</f>
        <v>0</v>
      </c>
      <c r="J58" s="41">
        <f>D58-H58</f>
        <v>2700</v>
      </c>
      <c r="K58" s="40">
        <f>0.05*H58</f>
        <v>0</v>
      </c>
    </row>
    <row r="59" spans="1:11" x14ac:dyDescent="0.25">
      <c r="A59" s="7" t="s">
        <v>92</v>
      </c>
      <c r="B59" s="7" t="s">
        <v>104</v>
      </c>
      <c r="C59" s="6"/>
      <c r="D59" s="41">
        <v>12300</v>
      </c>
      <c r="E59" s="41">
        <v>0</v>
      </c>
      <c r="F59" s="41">
        <f>H59-E59</f>
        <v>0</v>
      </c>
      <c r="G59" s="41"/>
      <c r="H59" s="42">
        <v>0</v>
      </c>
      <c r="I59" s="43">
        <f>H59/D59</f>
        <v>0</v>
      </c>
      <c r="J59" s="41">
        <f>D59-H59</f>
        <v>12300</v>
      </c>
      <c r="K59" s="40">
        <f>0.05*H59</f>
        <v>0</v>
      </c>
    </row>
    <row r="60" spans="1:11" x14ac:dyDescent="0.25">
      <c r="A60" s="7" t="s">
        <v>92</v>
      </c>
      <c r="B60" s="7" t="s">
        <v>105</v>
      </c>
      <c r="C60" s="6"/>
      <c r="D60" s="41">
        <v>3500</v>
      </c>
      <c r="E60" s="41">
        <v>0</v>
      </c>
      <c r="F60" s="41">
        <f>H60-E60</f>
        <v>0</v>
      </c>
      <c r="G60" s="41"/>
      <c r="H60" s="42">
        <v>0</v>
      </c>
      <c r="I60" s="43">
        <f>H60/D60</f>
        <v>0</v>
      </c>
      <c r="J60" s="41">
        <f>D60-H60</f>
        <v>3500</v>
      </c>
      <c r="K60" s="40">
        <f>0.05*H60</f>
        <v>0</v>
      </c>
    </row>
    <row r="61" spans="1:11" x14ac:dyDescent="0.25">
      <c r="A61" s="7" t="s">
        <v>6</v>
      </c>
      <c r="B61" s="7" t="s">
        <v>6</v>
      </c>
      <c r="C61" s="6"/>
      <c r="D61" s="41" t="s">
        <v>6</v>
      </c>
      <c r="E61" s="41" t="s">
        <v>6</v>
      </c>
      <c r="F61" s="41"/>
      <c r="G61" s="41"/>
      <c r="H61" s="42" t="s">
        <v>6</v>
      </c>
      <c r="I61" s="43" t="s">
        <v>6</v>
      </c>
      <c r="J61" s="41" t="s">
        <v>6</v>
      </c>
      <c r="K61" s="40" t="s">
        <v>6</v>
      </c>
    </row>
    <row r="62" spans="1:11" x14ac:dyDescent="0.25">
      <c r="A62" s="7" t="s">
        <v>54</v>
      </c>
      <c r="B62" s="7" t="s">
        <v>84</v>
      </c>
      <c r="C62" s="6"/>
      <c r="D62" s="41">
        <v>4455</v>
      </c>
      <c r="E62" s="41">
        <v>0</v>
      </c>
      <c r="F62" s="41">
        <f t="shared" ref="F62:F68" si="2">H62-E62</f>
        <v>0</v>
      </c>
      <c r="G62" s="41"/>
      <c r="H62" s="42">
        <v>0</v>
      </c>
      <c r="I62" s="43">
        <f t="shared" ref="I62:I68" si="3">H62/D62</f>
        <v>0</v>
      </c>
      <c r="J62" s="41">
        <f>D62-H62</f>
        <v>4455</v>
      </c>
      <c r="K62" s="40">
        <f>0.05*H62</f>
        <v>0</v>
      </c>
    </row>
    <row r="63" spans="1:11" x14ac:dyDescent="0.25">
      <c r="A63" s="7" t="s">
        <v>55</v>
      </c>
      <c r="B63" s="7" t="s">
        <v>85</v>
      </c>
      <c r="C63" s="6"/>
      <c r="D63" s="41">
        <v>19300</v>
      </c>
      <c r="E63" s="41">
        <v>0</v>
      </c>
      <c r="F63" s="41">
        <f t="shared" si="2"/>
        <v>0</v>
      </c>
      <c r="G63" s="41"/>
      <c r="H63" s="42">
        <v>0</v>
      </c>
      <c r="I63" s="43">
        <f t="shared" si="3"/>
        <v>0</v>
      </c>
      <c r="J63" s="41">
        <f>D63-H63</f>
        <v>19300</v>
      </c>
      <c r="K63" s="40">
        <f>0.05*H63</f>
        <v>0</v>
      </c>
    </row>
    <row r="64" spans="1:11" x14ac:dyDescent="0.25">
      <c r="A64" s="7" t="s">
        <v>56</v>
      </c>
      <c r="B64" s="7" t="s">
        <v>61</v>
      </c>
      <c r="C64" s="6"/>
      <c r="D64" s="41">
        <v>19300</v>
      </c>
      <c r="E64" s="41">
        <v>0</v>
      </c>
      <c r="F64" s="41">
        <f t="shared" si="2"/>
        <v>0</v>
      </c>
      <c r="G64" s="41"/>
      <c r="H64" s="42">
        <v>0</v>
      </c>
      <c r="I64" s="43">
        <f t="shared" si="3"/>
        <v>0</v>
      </c>
      <c r="J64" s="41">
        <f>D64-H64</f>
        <v>19300</v>
      </c>
      <c r="K64" s="40">
        <f>0.05*H64</f>
        <v>0</v>
      </c>
    </row>
    <row r="65" spans="1:11" x14ac:dyDescent="0.25">
      <c r="A65" s="7" t="s">
        <v>57</v>
      </c>
      <c r="B65" s="7" t="s">
        <v>62</v>
      </c>
      <c r="C65" s="6"/>
      <c r="D65" s="41">
        <v>19300</v>
      </c>
      <c r="E65" s="41">
        <v>0</v>
      </c>
      <c r="F65" s="41">
        <f t="shared" si="2"/>
        <v>0</v>
      </c>
      <c r="G65" s="41"/>
      <c r="H65" s="42">
        <v>0</v>
      </c>
      <c r="I65" s="43">
        <f t="shared" si="3"/>
        <v>0</v>
      </c>
      <c r="J65" s="41">
        <f>D65-H65</f>
        <v>19300</v>
      </c>
      <c r="K65" s="40">
        <f>0.05*H65</f>
        <v>0</v>
      </c>
    </row>
    <row r="66" spans="1:11" x14ac:dyDescent="0.25">
      <c r="A66" s="7" t="s">
        <v>93</v>
      </c>
      <c r="B66" s="7" t="s">
        <v>94</v>
      </c>
      <c r="C66" s="6"/>
      <c r="D66" s="41">
        <v>19300</v>
      </c>
      <c r="E66" s="41">
        <v>0</v>
      </c>
      <c r="F66" s="41">
        <f t="shared" si="2"/>
        <v>0</v>
      </c>
      <c r="G66" s="41"/>
      <c r="H66" s="42">
        <v>0</v>
      </c>
      <c r="I66" s="43">
        <f t="shared" si="3"/>
        <v>0</v>
      </c>
      <c r="J66" s="41">
        <f t="shared" ref="J66:J81" si="4">D66-H66</f>
        <v>19300</v>
      </c>
      <c r="K66" s="40">
        <f t="shared" ref="K66:K81" si="5">0.05*H66</f>
        <v>0</v>
      </c>
    </row>
    <row r="67" spans="1:11" x14ac:dyDescent="0.25">
      <c r="A67" s="7" t="s">
        <v>91</v>
      </c>
      <c r="B67" s="7" t="s">
        <v>95</v>
      </c>
      <c r="C67" s="6"/>
      <c r="D67" s="41">
        <v>19300</v>
      </c>
      <c r="E67" s="41">
        <v>0</v>
      </c>
      <c r="F67" s="41">
        <f t="shared" si="2"/>
        <v>0</v>
      </c>
      <c r="G67" s="41"/>
      <c r="H67" s="42">
        <v>0</v>
      </c>
      <c r="I67" s="43">
        <f t="shared" si="3"/>
        <v>0</v>
      </c>
      <c r="J67" s="41">
        <f t="shared" si="4"/>
        <v>19300</v>
      </c>
      <c r="K67" s="40">
        <f t="shared" si="5"/>
        <v>0</v>
      </c>
    </row>
    <row r="68" spans="1:11" x14ac:dyDescent="0.25">
      <c r="A68" s="7" t="s">
        <v>92</v>
      </c>
      <c r="B68" s="7" t="s">
        <v>96</v>
      </c>
      <c r="C68" s="6"/>
      <c r="D68" s="41">
        <v>19300</v>
      </c>
      <c r="E68" s="41">
        <v>0</v>
      </c>
      <c r="F68" s="41">
        <f t="shared" si="2"/>
        <v>0</v>
      </c>
      <c r="G68" s="41"/>
      <c r="H68" s="42">
        <v>0</v>
      </c>
      <c r="I68" s="43">
        <f t="shared" si="3"/>
        <v>0</v>
      </c>
      <c r="J68" s="41">
        <f t="shared" si="4"/>
        <v>19300</v>
      </c>
      <c r="K68" s="40">
        <f t="shared" si="5"/>
        <v>0</v>
      </c>
    </row>
    <row r="69" spans="1:11" x14ac:dyDescent="0.25">
      <c r="A69" s="7"/>
      <c r="B69" s="7"/>
      <c r="C69" s="6"/>
      <c r="D69" s="46"/>
      <c r="E69" s="41"/>
      <c r="F69" s="41"/>
      <c r="G69" s="41"/>
      <c r="H69" s="42"/>
      <c r="I69" s="43"/>
      <c r="J69" s="41"/>
      <c r="K69" s="40"/>
    </row>
    <row r="70" spans="1:11" ht="13.8" x14ac:dyDescent="0.25">
      <c r="A70" s="61" t="s">
        <v>21</v>
      </c>
      <c r="B70" s="62"/>
      <c r="C70" s="6"/>
      <c r="D70" s="38">
        <f>SUM(D15:D69)</f>
        <v>1394655</v>
      </c>
      <c r="E70" s="38">
        <f>SUM(E15:E69)</f>
        <v>48000</v>
      </c>
      <c r="F70" s="38">
        <f>SUM(F15:F69)</f>
        <v>41000</v>
      </c>
      <c r="G70" s="38">
        <f>SUM(G15:G69)</f>
        <v>0</v>
      </c>
      <c r="H70" s="38">
        <f>SUM(H15:H69)</f>
        <v>89000</v>
      </c>
      <c r="I70" s="44"/>
      <c r="J70" s="38">
        <f>SUM(J15:J69)</f>
        <v>1305655</v>
      </c>
      <c r="K70" s="38">
        <f>SUM(K15:K69)</f>
        <v>4450</v>
      </c>
    </row>
    <row r="71" spans="1:11" ht="20.100000000000001" customHeight="1" x14ac:dyDescent="0.25">
      <c r="A71" s="25" t="s">
        <v>44</v>
      </c>
      <c r="B71" s="5" t="s">
        <v>18</v>
      </c>
      <c r="C71" s="6"/>
      <c r="D71" s="41"/>
      <c r="E71" s="41"/>
      <c r="F71" s="41"/>
      <c r="G71" s="41"/>
      <c r="H71" s="42"/>
      <c r="I71" s="43"/>
      <c r="J71" s="41"/>
      <c r="K71" s="40"/>
    </row>
    <row r="72" spans="1:11" x14ac:dyDescent="0.25">
      <c r="A72" s="19" t="s">
        <v>41</v>
      </c>
      <c r="B72" s="19" t="s">
        <v>6</v>
      </c>
      <c r="C72" s="8"/>
      <c r="D72" s="41">
        <v>0</v>
      </c>
      <c r="E72" s="41">
        <v>0</v>
      </c>
      <c r="F72" s="41">
        <f t="shared" ref="F72:F81" si="6">H72-E72</f>
        <v>0</v>
      </c>
      <c r="G72" s="38"/>
      <c r="H72" s="42">
        <v>0</v>
      </c>
      <c r="I72" s="43" t="e">
        <f t="shared" ref="I72:I81" si="7">H72/D72</f>
        <v>#DIV/0!</v>
      </c>
      <c r="J72" s="41">
        <f t="shared" si="4"/>
        <v>0</v>
      </c>
      <c r="K72" s="40">
        <f t="shared" si="5"/>
        <v>0</v>
      </c>
    </row>
    <row r="73" spans="1:11" x14ac:dyDescent="0.25">
      <c r="A73" s="19" t="s">
        <v>42</v>
      </c>
      <c r="B73" s="21" t="s">
        <v>6</v>
      </c>
      <c r="C73" s="6"/>
      <c r="D73" s="41">
        <v>0</v>
      </c>
      <c r="E73" s="41">
        <v>0</v>
      </c>
      <c r="F73" s="41">
        <f t="shared" si="6"/>
        <v>0</v>
      </c>
      <c r="G73" s="41"/>
      <c r="H73" s="42">
        <v>0</v>
      </c>
      <c r="I73" s="43" t="e">
        <f t="shared" si="7"/>
        <v>#DIV/0!</v>
      </c>
      <c r="J73" s="41">
        <f t="shared" si="4"/>
        <v>0</v>
      </c>
      <c r="K73" s="40">
        <f t="shared" si="5"/>
        <v>0</v>
      </c>
    </row>
    <row r="74" spans="1:11" x14ac:dyDescent="0.25">
      <c r="A74" s="19" t="s">
        <v>43</v>
      </c>
      <c r="B74" s="21" t="s">
        <v>6</v>
      </c>
      <c r="C74" s="6"/>
      <c r="D74" s="41">
        <v>0</v>
      </c>
      <c r="E74" s="41">
        <v>0</v>
      </c>
      <c r="F74" s="41">
        <f t="shared" si="6"/>
        <v>0</v>
      </c>
      <c r="G74" s="41"/>
      <c r="H74" s="42">
        <v>0</v>
      </c>
      <c r="I74" s="43" t="e">
        <f t="shared" si="7"/>
        <v>#DIV/0!</v>
      </c>
      <c r="J74" s="41">
        <f t="shared" si="4"/>
        <v>0</v>
      </c>
      <c r="K74" s="40">
        <f t="shared" si="5"/>
        <v>0</v>
      </c>
    </row>
    <row r="75" spans="1:11" x14ac:dyDescent="0.25">
      <c r="A75" s="19" t="s">
        <v>45</v>
      </c>
      <c r="B75" s="21" t="s">
        <v>6</v>
      </c>
      <c r="C75" s="6"/>
      <c r="D75" s="41">
        <v>0</v>
      </c>
      <c r="E75" s="41">
        <v>0</v>
      </c>
      <c r="F75" s="41">
        <f t="shared" si="6"/>
        <v>0</v>
      </c>
      <c r="G75" s="41"/>
      <c r="H75" s="42">
        <v>0</v>
      </c>
      <c r="I75" s="43" t="e">
        <f t="shared" si="7"/>
        <v>#DIV/0!</v>
      </c>
      <c r="J75" s="41">
        <f t="shared" si="4"/>
        <v>0</v>
      </c>
      <c r="K75" s="40">
        <f t="shared" si="5"/>
        <v>0</v>
      </c>
    </row>
    <row r="76" spans="1:11" x14ac:dyDescent="0.25">
      <c r="A76" s="19" t="s">
        <v>46</v>
      </c>
      <c r="B76" s="21" t="s">
        <v>6</v>
      </c>
      <c r="C76" s="6"/>
      <c r="D76" s="41">
        <v>0</v>
      </c>
      <c r="E76" s="41">
        <v>0</v>
      </c>
      <c r="F76" s="41">
        <f t="shared" si="6"/>
        <v>0</v>
      </c>
      <c r="G76" s="41"/>
      <c r="H76" s="42">
        <v>0</v>
      </c>
      <c r="I76" s="43" t="e">
        <f t="shared" si="7"/>
        <v>#DIV/0!</v>
      </c>
      <c r="J76" s="41">
        <f t="shared" si="4"/>
        <v>0</v>
      </c>
      <c r="K76" s="40">
        <f t="shared" si="5"/>
        <v>0</v>
      </c>
    </row>
    <row r="77" spans="1:11" x14ac:dyDescent="0.25">
      <c r="A77" s="19" t="s">
        <v>47</v>
      </c>
      <c r="B77" s="19" t="s">
        <v>6</v>
      </c>
      <c r="C77" s="6"/>
      <c r="D77" s="41">
        <v>0</v>
      </c>
      <c r="E77" s="41">
        <v>0</v>
      </c>
      <c r="F77" s="41">
        <f t="shared" si="6"/>
        <v>0</v>
      </c>
      <c r="G77" s="41"/>
      <c r="H77" s="42">
        <v>0</v>
      </c>
      <c r="I77" s="43" t="e">
        <f t="shared" si="7"/>
        <v>#DIV/0!</v>
      </c>
      <c r="J77" s="41">
        <f t="shared" si="4"/>
        <v>0</v>
      </c>
      <c r="K77" s="40">
        <f t="shared" si="5"/>
        <v>0</v>
      </c>
    </row>
    <row r="78" spans="1:11" x14ac:dyDescent="0.25">
      <c r="A78" s="19" t="s">
        <v>48</v>
      </c>
      <c r="B78" s="19" t="s">
        <v>6</v>
      </c>
      <c r="C78" s="6"/>
      <c r="D78" s="41">
        <v>0</v>
      </c>
      <c r="E78" s="41">
        <v>0</v>
      </c>
      <c r="F78" s="41">
        <f t="shared" si="6"/>
        <v>0</v>
      </c>
      <c r="G78" s="41"/>
      <c r="H78" s="42">
        <v>0</v>
      </c>
      <c r="I78" s="43" t="e">
        <f t="shared" si="7"/>
        <v>#DIV/0!</v>
      </c>
      <c r="J78" s="41">
        <f t="shared" si="4"/>
        <v>0</v>
      </c>
      <c r="K78" s="40">
        <f t="shared" si="5"/>
        <v>0</v>
      </c>
    </row>
    <row r="79" spans="1:11" x14ac:dyDescent="0.25">
      <c r="A79" s="19" t="s">
        <v>49</v>
      </c>
      <c r="B79" s="19" t="s">
        <v>6</v>
      </c>
      <c r="C79" s="6"/>
      <c r="D79" s="41">
        <v>0</v>
      </c>
      <c r="E79" s="41">
        <v>0</v>
      </c>
      <c r="F79" s="41">
        <f t="shared" si="6"/>
        <v>0</v>
      </c>
      <c r="G79" s="41"/>
      <c r="H79" s="42">
        <v>0</v>
      </c>
      <c r="I79" s="43" t="e">
        <f t="shared" si="7"/>
        <v>#DIV/0!</v>
      </c>
      <c r="J79" s="41">
        <f t="shared" si="4"/>
        <v>0</v>
      </c>
      <c r="K79" s="40">
        <f t="shared" si="5"/>
        <v>0</v>
      </c>
    </row>
    <row r="80" spans="1:11" x14ac:dyDescent="0.25">
      <c r="A80" s="19" t="s">
        <v>50</v>
      </c>
      <c r="B80" s="19" t="s">
        <v>6</v>
      </c>
      <c r="C80" s="6"/>
      <c r="D80" s="41">
        <v>0</v>
      </c>
      <c r="E80" s="41">
        <v>0</v>
      </c>
      <c r="F80" s="41">
        <f t="shared" si="6"/>
        <v>0</v>
      </c>
      <c r="G80" s="41"/>
      <c r="H80" s="42">
        <v>0</v>
      </c>
      <c r="I80" s="43" t="e">
        <f t="shared" si="7"/>
        <v>#DIV/0!</v>
      </c>
      <c r="J80" s="41">
        <f t="shared" si="4"/>
        <v>0</v>
      </c>
      <c r="K80" s="40">
        <f t="shared" si="5"/>
        <v>0</v>
      </c>
    </row>
    <row r="81" spans="1:11" x14ac:dyDescent="0.25">
      <c r="A81" s="20"/>
      <c r="B81" s="20"/>
      <c r="C81" s="20"/>
      <c r="D81" s="41">
        <v>0</v>
      </c>
      <c r="E81" s="41">
        <v>0</v>
      </c>
      <c r="F81" s="41">
        <f t="shared" si="6"/>
        <v>0</v>
      </c>
      <c r="G81" s="40"/>
      <c r="H81" s="42">
        <v>0</v>
      </c>
      <c r="I81" s="43" t="e">
        <f t="shared" si="7"/>
        <v>#DIV/0!</v>
      </c>
      <c r="J81" s="41">
        <f t="shared" si="4"/>
        <v>0</v>
      </c>
      <c r="K81" s="40">
        <f t="shared" si="5"/>
        <v>0</v>
      </c>
    </row>
    <row r="82" spans="1:11" ht="13.8" x14ac:dyDescent="0.25">
      <c r="A82" s="51">
        <f>SUM(D72,D73,D74,D75,D76,D77,D78,D79,D80,D81)</f>
        <v>0</v>
      </c>
      <c r="B82" s="47" t="s">
        <v>22</v>
      </c>
      <c r="C82" s="48"/>
      <c r="D82" s="38">
        <f>SUM(D70:D81)</f>
        <v>1394655</v>
      </c>
      <c r="E82" s="38">
        <f>SUM(E70:E81)</f>
        <v>48000</v>
      </c>
      <c r="F82" s="38">
        <f>SUM(F70:F81)</f>
        <v>41000</v>
      </c>
      <c r="G82" s="38">
        <f>SUM(G70:G81)</f>
        <v>0</v>
      </c>
      <c r="H82" s="38">
        <f>SUM(H70:H81)</f>
        <v>89000</v>
      </c>
      <c r="I82" s="44"/>
      <c r="J82" s="38">
        <f>SUM(J70:J81)</f>
        <v>1305655</v>
      </c>
      <c r="K82" s="38">
        <f>SUM(K70:K81)</f>
        <v>4450</v>
      </c>
    </row>
    <row r="83" spans="1:11" x14ac:dyDescent="0.25">
      <c r="I83" s="2"/>
    </row>
    <row r="84" spans="1:11" x14ac:dyDescent="0.25">
      <c r="I84" s="2"/>
    </row>
    <row r="85" spans="1:11" x14ac:dyDescent="0.25">
      <c r="C85" s="9"/>
      <c r="I85" s="2"/>
    </row>
    <row r="86" spans="1:11" x14ac:dyDescent="0.25">
      <c r="I86" s="2"/>
    </row>
    <row r="87" spans="1:11" ht="12" customHeight="1" x14ac:dyDescent="0.25">
      <c r="I87" s="2"/>
    </row>
    <row r="88" spans="1:11" ht="12" customHeight="1" x14ac:dyDescent="0.25">
      <c r="I88" s="2"/>
    </row>
    <row r="89" spans="1:11" ht="12" customHeight="1" x14ac:dyDescent="0.25">
      <c r="I89" s="2"/>
    </row>
    <row r="90" spans="1:11" ht="12" customHeight="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</sheetData>
  <mergeCells count="6">
    <mergeCell ref="A70:B70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&amp;LExxel Pacific Inc&amp;C8th Ave Apartments</oddHeader>
  </headerFooter>
  <rowBreaks count="1" manualBreakCount="1">
    <brk id="40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2013-03-19T15:08:09Z</cp:lastPrinted>
  <dcterms:created xsi:type="dcterms:W3CDTF">2001-02-05T15:33:02Z</dcterms:created>
  <dcterms:modified xsi:type="dcterms:W3CDTF">2013-04-18T15:12:36Z</dcterms:modified>
</cp:coreProperties>
</file>