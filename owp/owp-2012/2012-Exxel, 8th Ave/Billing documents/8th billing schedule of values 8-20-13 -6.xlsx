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<sst xmlns="http://schemas.openxmlformats.org/spreadsheetml/2006/main" count="173" uniqueCount="110">
  <si>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</si>
  <si>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</si>
  <si>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</si>
  <si>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</si>
  <si>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</si>
  <si>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</si>
  <si>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</si>
  <si>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</si>
  <si>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</si>
  <si>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</si>
  <si>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</si>
  <si>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</si>
  <si>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</si>
  <si>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</si>
  <si>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</si>
  <si>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</si>
  <si>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</si>
  <si>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</si>
  <si>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</si>
  <si>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</si>
  <si>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</si>
  <si>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</si>
  <si>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</si>
  <si>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</si>
  <si>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</si>
  <si>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</si>
  <si>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</si>
  <si>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</si>
  <si>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</si>
  <si>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</si>
  <si>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</si>
  <si>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</si>
  <si>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</si>
  <si>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</si>
  <si>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</si>
  <si>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</si>
  <si>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</si>
  <si>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</si>
  <si>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</si>
  <si>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</si>
  <si>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</si>
  <si>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</si>
  <si>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</si>
  <si>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</si>
  <si>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</si>
  <si>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</si>
  <si>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</si>
  <si>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</si>
  <si>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</si>
  <si>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</si>
  <si>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</si>
  <si>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</si>
  <si>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</si>
  <si>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</si>
  <si>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</si>
  <si>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</si>
  <si>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</si>
  <si>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</si>
  <si>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</si>
  <si>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</si>
  <si>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</si>
  <si>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</si>
  <si>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</si>
  <si>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</si>
  <si>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</si>
  <si>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</si>
  <si>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</si>
  <si>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</si>
  <si>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</si>
  <si>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</si>
  <si>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</si>
  <si>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</si>
  <si>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</si>
  <si>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</si>
  <si>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</si>
  <si>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</si>
  <si>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</si>
  <si>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</si>
  <si>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</si>
  <si>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</si>
  <si>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</si>
  <si>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</si>
  <si>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</si>
  <si>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</si>
  <si>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</si>
  <si>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</si>
  <si>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</si>
  <si>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</si>
  <si>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</si>
  <si>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</si>
  <si>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</si>
  <si>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</si>
  <si>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</si>
  <si>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</si>
  <si>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</si>
  <si>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</si>
  <si>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</si>
  <si>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</si>
  <si>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</si>
  <si>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</si>
  <si>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</si>
  <si>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</si>
  <si>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</si>
  <si>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</si>
  <si>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</si>
  <si>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</si>
  <si>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</si>
  <si>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lave faucets to grohe 34270</t>
  </si>
  <si>
    <t>change fiberglass tub/shower to aquatic smooth wall stall</t>
  </si>
  <si>
    <t>upgrade kitchen sinks to 8'' deep bowls in type b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</si>
</sst>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30" sqref="H30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6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41506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41517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147000</v>
      </c>
      <c r="F14" s="38">
        <f>SUM(F15:F69)</f>
        <v>92000</v>
      </c>
      <c r="G14" s="38"/>
      <c r="H14" s="38">
        <f>SUM(H15:H69)</f>
        <v>239000</v>
      </c>
      <c r="I14" s="39"/>
      <c r="J14" s="38">
        <f>SUM(J15:J69)</f>
        <v>1155655</v>
      </c>
      <c r="K14" s="37">
        <f>SUM(K15:K69)</f>
        <v>11950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10000</v>
      </c>
      <c r="F23" s="41">
        <f>H23-E23</f>
        <v>70000</v>
      </c>
      <c r="G23" s="41"/>
      <c r="H23" s="42">
        <v>80000</v>
      </c>
      <c r="I23" s="43">
        <f>H23/D23</f>
        <v>0.8733624454148472</v>
      </c>
      <c r="J23" s="41">
        <f t="shared" si="0"/>
        <v>11600</v>
      </c>
      <c r="K23" s="40">
        <f>0.05*H23</f>
        <v>4000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0</v>
      </c>
      <c r="F29" s="41">
        <f>H29-E29</f>
        <v>22000</v>
      </c>
      <c r="G29" s="41"/>
      <c r="H29" s="42">
        <v>22000</v>
      </c>
      <c r="I29" s="43">
        <f>H29/D29</f>
        <v>0.15759312320916904</v>
      </c>
      <c r="J29" s="41">
        <f>D29-H29</f>
        <v>117600</v>
      </c>
      <c r="K29" s="40">
        <f>0.05*H29</f>
        <v>1100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0</v>
      </c>
      <c r="F30" s="41">
        <f>H30-E30</f>
        <v>0</v>
      </c>
      <c r="G30" s="41"/>
      <c r="H30" s="42">
        <v>0</v>
      </c>
      <c r="I30" s="43">
        <f>H30/D30</f>
        <v>0</v>
      </c>
      <c r="J30" s="41">
        <f>D30-H30</f>
        <v>2900</v>
      </c>
      <c r="K30" s="40">
        <f>0.05*H30</f>
        <v>0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0</v>
      </c>
      <c r="F33" s="41">
        <f>H33-E33</f>
        <v>0</v>
      </c>
      <c r="G33" s="41"/>
      <c r="H33" s="42">
        <v>0</v>
      </c>
      <c r="I33" s="43">
        <f>H33/D33</f>
        <v>0</v>
      </c>
      <c r="J33" s="41">
        <f t="shared" si="0"/>
        <v>122600</v>
      </c>
      <c r="K33" s="40">
        <f t="shared" si="1"/>
        <v>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0</v>
      </c>
      <c r="F34" s="41">
        <f>H34-E34</f>
        <v>0</v>
      </c>
      <c r="G34" s="41"/>
      <c r="H34" s="42">
        <v>0</v>
      </c>
      <c r="I34" s="43">
        <f>H34/D34</f>
        <v>0</v>
      </c>
      <c r="J34" s="41">
        <f t="shared" si="0"/>
        <v>12300</v>
      </c>
      <c r="K34" s="40">
        <f t="shared" si="1"/>
        <v>0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0</v>
      </c>
      <c r="F37" s="41">
        <f>H37-E37</f>
        <v>0</v>
      </c>
      <c r="G37" s="41"/>
      <c r="H37" s="42">
        <v>0</v>
      </c>
      <c r="I37" s="43">
        <f>H37/D37</f>
        <v>0</v>
      </c>
      <c r="J37" s="41">
        <f t="shared" si="0"/>
        <v>122600</v>
      </c>
      <c r="K37" s="40">
        <f t="shared" si="1"/>
        <v>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0</v>
      </c>
      <c r="F39" s="41">
        <f>H39-E39</f>
        <v>0</v>
      </c>
      <c r="G39" s="41"/>
      <c r="H39" s="42">
        <v>0</v>
      </c>
      <c r="I39" s="43">
        <f>H39/D39</f>
        <v>0</v>
      </c>
      <c r="J39" s="41">
        <f t="shared" si="0"/>
        <v>12300</v>
      </c>
      <c r="K39" s="40">
        <f t="shared" si="1"/>
        <v>0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0</v>
      </c>
      <c r="F42" s="41">
        <f>H42-E42</f>
        <v>0</v>
      </c>
      <c r="G42" s="41"/>
      <c r="H42" s="42">
        <v>0</v>
      </c>
      <c r="I42" s="43">
        <f>H42/D42</f>
        <v>0</v>
      </c>
      <c r="J42" s="41">
        <f t="shared" si="0"/>
        <v>122600</v>
      </c>
      <c r="K42" s="40">
        <f t="shared" si="1"/>
        <v>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0</v>
      </c>
      <c r="F44" s="41">
        <f>H44-E44</f>
        <v>0</v>
      </c>
      <c r="G44" s="41"/>
      <c r="H44" s="42">
        <v>0</v>
      </c>
      <c r="I44" s="43">
        <f>H44/D44</f>
        <v>0</v>
      </c>
      <c r="J44" s="41">
        <f t="shared" si="0"/>
        <v>12300</v>
      </c>
      <c r="K44" s="40">
        <f t="shared" si="1"/>
        <v>0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0</v>
      </c>
      <c r="F49" s="41">
        <f>H49-E49</f>
        <v>0</v>
      </c>
      <c r="G49" s="41"/>
      <c r="H49" s="42">
        <v>0</v>
      </c>
      <c r="I49" s="43">
        <f>H49/D49</f>
        <v>0</v>
      </c>
      <c r="J49" s="41">
        <f>D49-H49</f>
        <v>12300</v>
      </c>
      <c r="K49" s="40">
        <f>0.05*H49</f>
        <v>0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0</v>
      </c>
      <c r="F54" s="41">
        <f>H54-E54</f>
        <v>0</v>
      </c>
      <c r="G54" s="41"/>
      <c r="H54" s="42">
        <v>0</v>
      </c>
      <c r="I54" s="43">
        <f>H54/D54</f>
        <v>0</v>
      </c>
      <c r="J54" s="41">
        <f>D54-H54</f>
        <v>12300</v>
      </c>
      <c r="K54" s="40">
        <f>0.05*H54</f>
        <v>0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0</v>
      </c>
      <c r="F59" s="41">
        <f>H59-E59</f>
        <v>0</v>
      </c>
      <c r="G59" s="41"/>
      <c r="H59" s="42">
        <v>0</v>
      </c>
      <c r="I59" s="43">
        <f>H59/D59</f>
        <v>0</v>
      </c>
      <c r="J59" s="41">
        <f>D59-H59</f>
        <v>12300</v>
      </c>
      <c r="K59" s="40">
        <f>0.05*H59</f>
        <v>0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147000</v>
      </c>
      <c r="F70" s="38">
        <f>SUM(F15:F69)</f>
        <v>92000</v>
      </c>
      <c r="G70" s="38">
        <f>SUM(G15:G69)</f>
        <v>0</v>
      </c>
      <c r="H70" s="38">
        <f>SUM(H15:H69)</f>
        <v>239000</v>
      </c>
      <c r="I70" s="44"/>
      <c r="J70" s="38">
        <f>SUM(J15:J69)</f>
        <v>1155655</v>
      </c>
      <c r="K70" s="38">
        <f>SUM(K15:K69)</f>
        <v>11950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107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108</v>
      </c>
      <c r="C74" s="6"/>
      <c r="D74" s="41">
        <v>3705</v>
      </c>
      <c r="E74" s="41">
        <v>0</v>
      </c>
      <c r="F74" s="41">
        <f t="shared" si="6"/>
        <v>0</v>
      </c>
      <c r="G74" s="41"/>
      <c r="H74" s="42">
        <v>0</v>
      </c>
      <c r="I74" s="43">
        <f t="shared" si="7"/>
        <v>0</v>
      </c>
      <c r="J74" s="41">
        <f t="shared" si="4"/>
        <v>3705</v>
      </c>
      <c r="K74" s="40">
        <f t="shared" si="5"/>
        <v>0</v>
      </c>
    </row>
    <row r="75" spans="1:11" x14ac:dyDescent="0.25">
      <c r="A75" s="52" t="s">
        <v>41</v>
      </c>
      <c r="B75" s="21" t="s">
        <v>109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147000</v>
      </c>
      <c r="F82" s="38">
        <f>SUM(F70:F81)</f>
        <v>92000</v>
      </c>
      <c r="G82" s="38">
        <f>SUM(G70:G81)</f>
        <v>0</v>
      </c>
      <c r="H82" s="38">
        <f>SUM(H70:H81)</f>
        <v>239000</v>
      </c>
      <c r="I82" s="44"/>
      <c r="J82" s="38">
        <f>SUM(J70:J81)</f>
        <v>1166755</v>
      </c>
      <c r="K82" s="38">
        <f>SUM(K70:K81)</f>
        <v>11950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2013-08-15T15:01:19Z</dcterms:modified>
</cp:coreProperties>
</file>