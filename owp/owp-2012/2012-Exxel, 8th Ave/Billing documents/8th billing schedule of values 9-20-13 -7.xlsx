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I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<sst xmlns="http://schemas.openxmlformats.org/spreadsheetml/2006/main" count="173" uniqueCount="110">
  <si>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</si>
  <si>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</si>
  <si>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</si>
  <si>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</si>
  <si>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</si>
  <si>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</si>
  <si>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</si>
  <si>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</si>
  <si>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</si>
  <si>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</si>
  <si>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</si>
  <si>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</si>
  <si>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</si>
  <si>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</si>
  <si>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</si>
  <si>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</si>
  <si>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</si>
  <si>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</si>
  <si>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</si>
  <si>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</si>
  <si>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</si>
  <si>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</si>
  <si>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</si>
  <si>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</si>
  <si>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</si>
  <si>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</si>
  <si>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</si>
  <si>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</si>
  <si>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</si>
  <si>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</si>
  <si>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</si>
  <si>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</si>
  <si>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</si>
  <si>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</si>
  <si>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</si>
  <si>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</si>
  <si>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</si>
  <si>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</si>
  <si>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</si>
  <si>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</si>
  <si>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</si>
  <si>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</si>
  <si>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</si>
  <si>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</si>
  <si>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</si>
  <si>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</si>
  <si>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</si>
  <si>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</si>
  <si>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</si>
  <si>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</si>
  <si>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</si>
  <si>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</si>
  <si>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</si>
  <si>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</si>
  <si>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</si>
  <si>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</si>
  <si>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</si>
  <si>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</si>
  <si>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</si>
  <si>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</si>
  <si>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</si>
  <si>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</si>
  <si>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</si>
  <si>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</si>
  <si>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</si>
  <si>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</si>
  <si>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</si>
  <si>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</si>
  <si>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</si>
  <si>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</si>
  <si>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</si>
  <si>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</si>
  <si>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</si>
  <si>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</si>
  <si>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</si>
  <si>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</si>
  <si>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</si>
  <si>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</si>
  <si>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</si>
  <si>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</si>
  <si>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</si>
  <si>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</si>
  <si>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</si>
  <si>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</si>
  <si>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</si>
  <si>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</si>
  <si>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</si>
  <si>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</si>
  <si>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</si>
  <si>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</si>
  <si>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</si>
  <si>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</si>
  <si>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</si>
  <si>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</si>
  <si>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</si>
  <si>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</si>
  <si>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</si>
  <si>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</si>
  <si>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</si>
  <si>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</si>
  <si>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</si>
  <si>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</si>
  <si>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</si>
  <si>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</si>
  <si>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</si>
  <si>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</si>
  <si>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</si>
  <si>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lave faucets to grohe 34270</t>
  </si>
  <si>
    <t>change fiberglass tub/shower to aquatic smooth wall stall</t>
  </si>
  <si>
    <t>upgrade kitchen sinks to 8'' deep bowls in type b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</si>
</sst>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H8" sqref="H8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5" t="s">
        <v>57</v>
      </c>
      <c r="E2" s="55"/>
      <c r="F2" s="55"/>
      <c r="G2" s="55"/>
      <c r="I2" s="2"/>
    </row>
    <row r="3" spans="1:11" ht="34.5" customHeight="1" thickBot="1" x14ac:dyDescent="0.45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2.8" x14ac:dyDescent="0.4">
      <c r="A4" s="56" t="s">
        <v>48</v>
      </c>
      <c r="B4" s="57"/>
      <c r="C4" s="57"/>
      <c r="D4" s="57"/>
      <c r="E4" s="57"/>
      <c r="I4" s="2"/>
    </row>
    <row r="5" spans="1:11" x14ac:dyDescent="0.25">
      <c r="A5" s="3" t="s">
        <v>83</v>
      </c>
      <c r="F5" s="11" t="s">
        <v>7</v>
      </c>
      <c r="G5" s="22"/>
      <c r="H5" s="49">
        <v>7</v>
      </c>
      <c r="I5" s="2"/>
      <c r="J5" s="12"/>
    </row>
    <row r="6" spans="1:11" x14ac:dyDescent="0.25">
      <c r="A6" s="3" t="s">
        <v>60</v>
      </c>
      <c r="F6" s="11" t="s">
        <v>23</v>
      </c>
      <c r="G6" s="23"/>
      <c r="H6" s="50">
        <v>41537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41547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239000</v>
      </c>
      <c r="F14" s="38">
        <f>SUM(F15:F69)</f>
        <v>209900</v>
      </c>
      <c r="G14" s="38"/>
      <c r="H14" s="38">
        <f>SUM(H15:H69)</f>
        <v>448900</v>
      </c>
      <c r="I14" s="39"/>
      <c r="J14" s="38">
        <f>SUM(J15:J69)</f>
        <v>945755</v>
      </c>
      <c r="K14" s="37">
        <f>SUM(K15:K69)</f>
        <v>22445</v>
      </c>
    </row>
    <row r="15" spans="1:11" x14ac:dyDescent="0.25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5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103</v>
      </c>
      <c r="B23" s="7" t="s">
        <v>105</v>
      </c>
      <c r="C23" s="6" t="s">
        <v>17</v>
      </c>
      <c r="D23" s="41">
        <v>91600</v>
      </c>
      <c r="E23" s="41">
        <v>80000</v>
      </c>
      <c r="F23" s="41">
        <f>H23-E23</f>
        <v>6600</v>
      </c>
      <c r="G23" s="41"/>
      <c r="H23" s="42">
        <v>86600</v>
      </c>
      <c r="I23" s="43">
        <f>H23/D23</f>
        <v>0.94541484716157209</v>
      </c>
      <c r="J23" s="41">
        <f t="shared" si="0"/>
        <v>5000</v>
      </c>
      <c r="K23" s="40">
        <f>0.05*H23</f>
        <v>4330</v>
      </c>
    </row>
    <row r="24" spans="1:11" x14ac:dyDescent="0.25">
      <c r="A24" s="7" t="s">
        <v>103</v>
      </c>
      <c r="B24" s="7" t="s">
        <v>61</v>
      </c>
      <c r="C24" s="6"/>
      <c r="D24" s="41">
        <v>62500</v>
      </c>
      <c r="E24" s="41">
        <v>0</v>
      </c>
      <c r="F24" s="41">
        <f>H24-E24</f>
        <v>0</v>
      </c>
      <c r="G24" s="41"/>
      <c r="H24" s="42">
        <v>0</v>
      </c>
      <c r="I24" s="43">
        <f>H24/D24</f>
        <v>0</v>
      </c>
      <c r="J24" s="41">
        <f t="shared" si="0"/>
        <v>62500</v>
      </c>
      <c r="K24" s="40">
        <f t="shared" ref="K24:K45" si="1">0.05*H24</f>
        <v>0</v>
      </c>
    </row>
    <row r="25" spans="1:11" x14ac:dyDescent="0.25">
      <c r="A25" s="7" t="s">
        <v>103</v>
      </c>
      <c r="B25" s="7" t="s">
        <v>66</v>
      </c>
      <c r="C25" s="6"/>
      <c r="D25" s="41">
        <v>28000</v>
      </c>
      <c r="E25" s="41">
        <v>0</v>
      </c>
      <c r="F25" s="41">
        <f>H25-E25</f>
        <v>0</v>
      </c>
      <c r="G25" s="41"/>
      <c r="H25" s="42">
        <v>0</v>
      </c>
      <c r="I25" s="43">
        <f>H25/D25</f>
        <v>0</v>
      </c>
      <c r="J25" s="41">
        <f t="shared" si="0"/>
        <v>28000</v>
      </c>
      <c r="K25" s="40">
        <f t="shared" si="1"/>
        <v>0</v>
      </c>
    </row>
    <row r="26" spans="1:11" x14ac:dyDescent="0.25">
      <c r="A26" s="7" t="s">
        <v>103</v>
      </c>
      <c r="B26" s="7" t="s">
        <v>104</v>
      </c>
      <c r="C26" s="6"/>
      <c r="D26" s="41">
        <v>8500</v>
      </c>
      <c r="E26" s="41">
        <v>0</v>
      </c>
      <c r="F26" s="41">
        <f>H26-E26</f>
        <v>0</v>
      </c>
      <c r="G26" s="41"/>
      <c r="H26" s="42">
        <v>0</v>
      </c>
      <c r="I26" s="43">
        <f>H26/D26</f>
        <v>0</v>
      </c>
      <c r="J26" s="41">
        <f>D26-H26</f>
        <v>8500</v>
      </c>
      <c r="K26" s="40">
        <f>0.05*H26</f>
        <v>0</v>
      </c>
    </row>
    <row r="27" spans="1:11" x14ac:dyDescent="0.25">
      <c r="A27" s="7"/>
      <c r="B27" s="7" t="s">
        <v>67</v>
      </c>
      <c r="C27" s="6"/>
      <c r="D27" s="41">
        <v>10500</v>
      </c>
      <c r="E27" s="41">
        <v>0</v>
      </c>
      <c r="F27" s="41">
        <f>H27-E27</f>
        <v>0</v>
      </c>
      <c r="G27" s="41"/>
      <c r="H27" s="42">
        <v>0</v>
      </c>
      <c r="I27" s="43">
        <f>H27/D27</f>
        <v>0</v>
      </c>
      <c r="J27" s="41">
        <f>D27-H27</f>
        <v>10500</v>
      </c>
      <c r="K27" s="40">
        <f>0.05*H27</f>
        <v>0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51</v>
      </c>
      <c r="B29" s="7" t="s">
        <v>68</v>
      </c>
      <c r="C29" s="6"/>
      <c r="D29" s="41">
        <v>139600</v>
      </c>
      <c r="E29" s="41">
        <v>22000</v>
      </c>
      <c r="F29" s="41">
        <f>H29-E29</f>
        <v>93000</v>
      </c>
      <c r="G29" s="41"/>
      <c r="H29" s="42">
        <v>115000</v>
      </c>
      <c r="I29" s="43">
        <f>H29/D29</f>
        <v>0.82378223495702008</v>
      </c>
      <c r="J29" s="41">
        <f>D29-H29</f>
        <v>24600</v>
      </c>
      <c r="K29" s="40">
        <f>0.05*H29</f>
        <v>5750</v>
      </c>
    </row>
    <row r="30" spans="1:11" x14ac:dyDescent="0.25">
      <c r="A30" s="7" t="s">
        <v>51</v>
      </c>
      <c r="B30" s="7" t="s">
        <v>69</v>
      </c>
      <c r="C30" s="6"/>
      <c r="D30" s="41">
        <v>2900</v>
      </c>
      <c r="E30" s="41">
        <v>0</v>
      </c>
      <c r="F30" s="41">
        <f>H30-E30</f>
        <v>2900</v>
      </c>
      <c r="G30" s="41"/>
      <c r="H30" s="42">
        <v>2900</v>
      </c>
      <c r="I30" s="43">
        <f>H30/D30</f>
        <v>1</v>
      </c>
      <c r="J30" s="41">
        <f>D30-H30</f>
        <v>0</v>
      </c>
      <c r="K30" s="40">
        <f>0.05*H30</f>
        <v>145</v>
      </c>
    </row>
    <row r="31" spans="1:11" x14ac:dyDescent="0.25">
      <c r="A31" s="7" t="s">
        <v>51</v>
      </c>
      <c r="B31" s="7" t="s">
        <v>70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52</v>
      </c>
      <c r="B33" s="7" t="s">
        <v>71</v>
      </c>
      <c r="C33" s="6"/>
      <c r="D33" s="41">
        <v>122600</v>
      </c>
      <c r="E33" s="41">
        <v>0</v>
      </c>
      <c r="F33" s="41">
        <f>H33-E33</f>
        <v>31000</v>
      </c>
      <c r="G33" s="41"/>
      <c r="H33" s="42">
        <v>31000</v>
      </c>
      <c r="I33" s="43">
        <f>H33/D33</f>
        <v>0.25285481239804242</v>
      </c>
      <c r="J33" s="41">
        <f t="shared" si="0"/>
        <v>91600</v>
      </c>
      <c r="K33" s="40">
        <f t="shared" si="1"/>
        <v>1550</v>
      </c>
    </row>
    <row r="34" spans="1:11" x14ac:dyDescent="0.25">
      <c r="A34" s="7" t="s">
        <v>52</v>
      </c>
      <c r="B34" s="7" t="s">
        <v>72</v>
      </c>
      <c r="C34" s="6"/>
      <c r="D34" s="41">
        <v>12300</v>
      </c>
      <c r="E34" s="41">
        <v>0</v>
      </c>
      <c r="F34" s="41">
        <f>H34-E34</f>
        <v>6300</v>
      </c>
      <c r="G34" s="41"/>
      <c r="H34" s="42">
        <v>6300</v>
      </c>
      <c r="I34" s="43">
        <f>H34/D34</f>
        <v>0.51219512195121952</v>
      </c>
      <c r="J34" s="41">
        <f t="shared" si="0"/>
        <v>6000</v>
      </c>
      <c r="K34" s="40">
        <f t="shared" si="1"/>
        <v>315</v>
      </c>
    </row>
    <row r="35" spans="1:11" x14ac:dyDescent="0.25">
      <c r="A35" s="7" t="s">
        <v>52</v>
      </c>
      <c r="B35" s="7" t="s">
        <v>73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53</v>
      </c>
      <c r="B37" s="7" t="s">
        <v>55</v>
      </c>
      <c r="C37" s="6"/>
      <c r="D37" s="41">
        <v>122600</v>
      </c>
      <c r="E37" s="41">
        <v>0</v>
      </c>
      <c r="F37" s="41">
        <f>H37-E37</f>
        <v>24600</v>
      </c>
      <c r="G37" s="41"/>
      <c r="H37" s="42">
        <v>24600</v>
      </c>
      <c r="I37" s="43">
        <f>H37/D37</f>
        <v>0.20065252854812399</v>
      </c>
      <c r="J37" s="41">
        <f t="shared" si="0"/>
        <v>98000</v>
      </c>
      <c r="K37" s="40">
        <f t="shared" si="1"/>
        <v>1230</v>
      </c>
    </row>
    <row r="38" spans="1:11" x14ac:dyDescent="0.25">
      <c r="A38" s="7" t="s">
        <v>53</v>
      </c>
      <c r="B38" s="7" t="s">
        <v>78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53</v>
      </c>
      <c r="B39" s="7" t="s">
        <v>74</v>
      </c>
      <c r="C39" s="6"/>
      <c r="D39" s="41">
        <v>12300</v>
      </c>
      <c r="E39" s="41">
        <v>0</v>
      </c>
      <c r="F39" s="41">
        <f>H39-E39</f>
        <v>6300</v>
      </c>
      <c r="G39" s="41"/>
      <c r="H39" s="42">
        <v>6300</v>
      </c>
      <c r="I39" s="43">
        <f>H39/D39</f>
        <v>0.51219512195121952</v>
      </c>
      <c r="J39" s="41">
        <f t="shared" si="0"/>
        <v>6000</v>
      </c>
      <c r="K39" s="40">
        <f t="shared" si="1"/>
        <v>315</v>
      </c>
    </row>
    <row r="40" spans="1:11" x14ac:dyDescent="0.25">
      <c r="A40" s="7" t="s">
        <v>53</v>
      </c>
      <c r="B40" s="7" t="s">
        <v>75</v>
      </c>
      <c r="C40" s="6"/>
      <c r="D40" s="41">
        <v>3500</v>
      </c>
      <c r="E40" s="41">
        <v>0</v>
      </c>
      <c r="F40" s="41">
        <f>H40-E40</f>
        <v>0</v>
      </c>
      <c r="G40" s="41"/>
      <c r="H40" s="42">
        <v>0</v>
      </c>
      <c r="I40" s="43">
        <f>H40/D40</f>
        <v>0</v>
      </c>
      <c r="J40" s="41">
        <f t="shared" si="0"/>
        <v>3500</v>
      </c>
      <c r="K40" s="40">
        <f t="shared" si="1"/>
        <v>0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54</v>
      </c>
      <c r="B42" s="7" t="s">
        <v>56</v>
      </c>
      <c r="C42" s="6"/>
      <c r="D42" s="41">
        <v>122600</v>
      </c>
      <c r="E42" s="41">
        <v>0</v>
      </c>
      <c r="F42" s="41">
        <f>H42-E42</f>
        <v>14000</v>
      </c>
      <c r="G42" s="41"/>
      <c r="H42" s="42">
        <v>14000</v>
      </c>
      <c r="I42" s="43">
        <f>H42/D42</f>
        <v>0.11419249592169657</v>
      </c>
      <c r="J42" s="41">
        <f t="shared" si="0"/>
        <v>108600</v>
      </c>
      <c r="K42" s="40">
        <f t="shared" si="1"/>
        <v>700</v>
      </c>
    </row>
    <row r="43" spans="1:11" x14ac:dyDescent="0.25">
      <c r="A43" s="7" t="s">
        <v>54</v>
      </c>
      <c r="B43" s="7" t="s">
        <v>78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54</v>
      </c>
      <c r="B44" s="7" t="s">
        <v>76</v>
      </c>
      <c r="C44" s="6"/>
      <c r="D44" s="41">
        <v>12300</v>
      </c>
      <c r="E44" s="41">
        <v>0</v>
      </c>
      <c r="F44" s="41">
        <f>H44-E44</f>
        <v>6300</v>
      </c>
      <c r="G44" s="41"/>
      <c r="H44" s="42">
        <v>6300</v>
      </c>
      <c r="I44" s="43">
        <f>H44/D44</f>
        <v>0.51219512195121952</v>
      </c>
      <c r="J44" s="41">
        <f t="shared" si="0"/>
        <v>6000</v>
      </c>
      <c r="K44" s="40">
        <f t="shared" si="1"/>
        <v>315</v>
      </c>
    </row>
    <row r="45" spans="1:11" x14ac:dyDescent="0.25">
      <c r="A45" s="7" t="s">
        <v>54</v>
      </c>
      <c r="B45" s="7" t="s">
        <v>77</v>
      </c>
      <c r="C45" s="6"/>
      <c r="D45" s="41">
        <v>3500</v>
      </c>
      <c r="E45" s="41">
        <v>0</v>
      </c>
      <c r="F45" s="41">
        <f>H45-E45</f>
        <v>0</v>
      </c>
      <c r="G45" s="41"/>
      <c r="H45" s="42">
        <v>0</v>
      </c>
      <c r="I45" s="43">
        <f>H45/D45</f>
        <v>0</v>
      </c>
      <c r="J45" s="41">
        <f t="shared" si="0"/>
        <v>3500</v>
      </c>
      <c r="K45" s="40">
        <f t="shared" si="1"/>
        <v>0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90</v>
      </c>
      <c r="B47" s="7" t="s">
        <v>94</v>
      </c>
      <c r="C47" s="6"/>
      <c r="D47" s="41">
        <v>122600</v>
      </c>
      <c r="E47" s="41">
        <v>0</v>
      </c>
      <c r="F47" s="41">
        <f>H47-E47</f>
        <v>0</v>
      </c>
      <c r="G47" s="41"/>
      <c r="H47" s="42">
        <v>0</v>
      </c>
      <c r="I47" s="43">
        <f>H47/D47</f>
        <v>0</v>
      </c>
      <c r="J47" s="41">
        <f>D47-H47</f>
        <v>122600</v>
      </c>
      <c r="K47" s="40">
        <f>0.05*H47</f>
        <v>0</v>
      </c>
    </row>
    <row r="48" spans="1:11" x14ac:dyDescent="0.25">
      <c r="A48" s="7" t="s">
        <v>90</v>
      </c>
      <c r="B48" s="7" t="s">
        <v>78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90</v>
      </c>
      <c r="B49" s="7" t="s">
        <v>95</v>
      </c>
      <c r="C49" s="6"/>
      <c r="D49" s="41">
        <v>12300</v>
      </c>
      <c r="E49" s="41">
        <v>0</v>
      </c>
      <c r="F49" s="41">
        <f>H49-E49</f>
        <v>6300</v>
      </c>
      <c r="G49" s="41"/>
      <c r="H49" s="42">
        <v>6300</v>
      </c>
      <c r="I49" s="43">
        <f>H49/D49</f>
        <v>0.51219512195121952</v>
      </c>
      <c r="J49" s="41">
        <f>D49-H49</f>
        <v>6000</v>
      </c>
      <c r="K49" s="40">
        <f>0.05*H49</f>
        <v>315</v>
      </c>
    </row>
    <row r="50" spans="1:11" x14ac:dyDescent="0.25">
      <c r="A50" s="7" t="s">
        <v>90</v>
      </c>
      <c r="B50" s="7" t="s">
        <v>96</v>
      </c>
      <c r="C50" s="6"/>
      <c r="D50" s="41">
        <v>3500</v>
      </c>
      <c r="E50" s="41">
        <v>0</v>
      </c>
      <c r="F50" s="41">
        <f>H50-E50</f>
        <v>0</v>
      </c>
      <c r="G50" s="41"/>
      <c r="H50" s="42">
        <v>0</v>
      </c>
      <c r="I50" s="43">
        <f>H50/D50</f>
        <v>0</v>
      </c>
      <c r="J50" s="41">
        <f>D50-H50</f>
        <v>3500</v>
      </c>
      <c r="K50" s="40">
        <f>0.05*H50</f>
        <v>0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88</v>
      </c>
      <c r="B52" s="7" t="s">
        <v>97</v>
      </c>
      <c r="C52" s="6"/>
      <c r="D52" s="41">
        <v>122600</v>
      </c>
      <c r="E52" s="41">
        <v>0</v>
      </c>
      <c r="F52" s="41">
        <f>H52-E52</f>
        <v>0</v>
      </c>
      <c r="G52" s="41"/>
      <c r="H52" s="42">
        <v>0</v>
      </c>
      <c r="I52" s="43">
        <f>H52/D52</f>
        <v>0</v>
      </c>
      <c r="J52" s="41">
        <f>D52-H52</f>
        <v>122600</v>
      </c>
      <c r="K52" s="40">
        <f>0.05*H52</f>
        <v>0</v>
      </c>
    </row>
    <row r="53" spans="1:11" x14ac:dyDescent="0.25">
      <c r="A53" s="7" t="s">
        <v>88</v>
      </c>
      <c r="B53" s="7" t="s">
        <v>78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88</v>
      </c>
      <c r="B54" s="7" t="s">
        <v>98</v>
      </c>
      <c r="C54" s="6"/>
      <c r="D54" s="41">
        <v>12300</v>
      </c>
      <c r="E54" s="41">
        <v>0</v>
      </c>
      <c r="F54" s="41">
        <f>H54-E54</f>
        <v>6300</v>
      </c>
      <c r="G54" s="41"/>
      <c r="H54" s="42">
        <v>6300</v>
      </c>
      <c r="I54" s="43">
        <f>H54/D54</f>
        <v>0.51219512195121952</v>
      </c>
      <c r="J54" s="41">
        <f>D54-H54</f>
        <v>6000</v>
      </c>
      <c r="K54" s="40">
        <f>0.05*H54</f>
        <v>315</v>
      </c>
    </row>
    <row r="55" spans="1:11" x14ac:dyDescent="0.25">
      <c r="A55" s="7" t="s">
        <v>88</v>
      </c>
      <c r="B55" s="7" t="s">
        <v>99</v>
      </c>
      <c r="C55" s="6"/>
      <c r="D55" s="41">
        <v>3500</v>
      </c>
      <c r="E55" s="41">
        <v>0</v>
      </c>
      <c r="F55" s="41">
        <f>H55-E55</f>
        <v>0</v>
      </c>
      <c r="G55" s="41"/>
      <c r="H55" s="42">
        <v>0</v>
      </c>
      <c r="I55" s="43">
        <f>H55/D55</f>
        <v>0</v>
      </c>
      <c r="J55" s="41">
        <f>D55-H55</f>
        <v>3500</v>
      </c>
      <c r="K55" s="40">
        <f>0.05*H55</f>
        <v>0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89</v>
      </c>
      <c r="B57" s="7" t="s">
        <v>100</v>
      </c>
      <c r="C57" s="6"/>
      <c r="D57" s="41">
        <v>70900</v>
      </c>
      <c r="E57" s="41">
        <v>0</v>
      </c>
      <c r="F57" s="41">
        <f>H57-E57</f>
        <v>0</v>
      </c>
      <c r="G57" s="41"/>
      <c r="H57" s="42">
        <v>0</v>
      </c>
      <c r="I57" s="43">
        <f>H57/D57</f>
        <v>0</v>
      </c>
      <c r="J57" s="41">
        <f>D57-H57</f>
        <v>70900</v>
      </c>
      <c r="K57" s="40">
        <f>0.05*H57</f>
        <v>0</v>
      </c>
    </row>
    <row r="58" spans="1:11" x14ac:dyDescent="0.25">
      <c r="A58" s="7" t="s">
        <v>89</v>
      </c>
      <c r="B58" s="7" t="s">
        <v>78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89</v>
      </c>
      <c r="B59" s="7" t="s">
        <v>101</v>
      </c>
      <c r="C59" s="6"/>
      <c r="D59" s="41">
        <v>12300</v>
      </c>
      <c r="E59" s="41">
        <v>0</v>
      </c>
      <c r="F59" s="41">
        <f>H59-E59</f>
        <v>6300</v>
      </c>
      <c r="G59" s="41"/>
      <c r="H59" s="42">
        <v>6300</v>
      </c>
      <c r="I59" s="43">
        <f>H59/D59</f>
        <v>0.51219512195121952</v>
      </c>
      <c r="J59" s="41">
        <f>D59-H59</f>
        <v>6000</v>
      </c>
      <c r="K59" s="40">
        <f>0.05*H59</f>
        <v>315</v>
      </c>
    </row>
    <row r="60" spans="1:11" x14ac:dyDescent="0.25">
      <c r="A60" s="7" t="s">
        <v>89</v>
      </c>
      <c r="B60" s="7" t="s">
        <v>102</v>
      </c>
      <c r="C60" s="6"/>
      <c r="D60" s="41">
        <v>3500</v>
      </c>
      <c r="E60" s="41">
        <v>0</v>
      </c>
      <c r="F60" s="41">
        <f>H60-E60</f>
        <v>0</v>
      </c>
      <c r="G60" s="41"/>
      <c r="H60" s="42">
        <v>0</v>
      </c>
      <c r="I60" s="43">
        <f>H60/D60</f>
        <v>0</v>
      </c>
      <c r="J60" s="41">
        <f>D60-H60</f>
        <v>3500</v>
      </c>
      <c r="K60" s="40">
        <f>0.05*H60</f>
        <v>0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54</v>
      </c>
      <c r="B65" s="7" t="s">
        <v>59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90</v>
      </c>
      <c r="B66" s="7" t="s">
        <v>91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88</v>
      </c>
      <c r="B67" s="7" t="s">
        <v>92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89</v>
      </c>
      <c r="B68" s="7" t="s">
        <v>93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239000</v>
      </c>
      <c r="F70" s="38">
        <f>SUM(F15:F69)</f>
        <v>209900</v>
      </c>
      <c r="G70" s="38">
        <f>SUM(G15:G69)</f>
        <v>0</v>
      </c>
      <c r="H70" s="38">
        <f>SUM(H15:H69)</f>
        <v>448900</v>
      </c>
      <c r="I70" s="44"/>
      <c r="J70" s="38">
        <f>SUM(J15:J69)</f>
        <v>945755</v>
      </c>
      <c r="K70" s="38">
        <f>SUM(K15:K69)</f>
        <v>22445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52" t="s">
        <v>106</v>
      </c>
      <c r="C72" s="8"/>
      <c r="D72" s="41">
        <v>2754</v>
      </c>
      <c r="E72" s="41">
        <v>0</v>
      </c>
      <c r="F72" s="41">
        <f t="shared" ref="F72:F81" si="6">H72-E72</f>
        <v>0</v>
      </c>
      <c r="G72" s="38"/>
      <c r="H72" s="42">
        <v>0</v>
      </c>
      <c r="I72" s="43">
        <f t="shared" ref="I72:I81" si="7">H72/D72</f>
        <v>0</v>
      </c>
      <c r="J72" s="41">
        <f t="shared" si="4"/>
        <v>2754</v>
      </c>
      <c r="K72" s="40">
        <f t="shared" si="5"/>
        <v>0</v>
      </c>
    </row>
    <row r="73" spans="1:11" x14ac:dyDescent="0.25">
      <c r="A73" s="52" t="s">
        <v>41</v>
      </c>
      <c r="B73" s="21" t="s">
        <v>107</v>
      </c>
      <c r="C73" s="6"/>
      <c r="D73" s="41">
        <v>-102</v>
      </c>
      <c r="E73" s="41">
        <v>0</v>
      </c>
      <c r="F73" s="41">
        <f t="shared" si="6"/>
        <v>0</v>
      </c>
      <c r="G73" s="41"/>
      <c r="H73" s="42">
        <v>0</v>
      </c>
      <c r="I73" s="43">
        <f t="shared" si="7"/>
        <v>0</v>
      </c>
      <c r="J73" s="41">
        <f t="shared" si="4"/>
        <v>-102</v>
      </c>
      <c r="K73" s="40">
        <f t="shared" si="5"/>
        <v>0</v>
      </c>
    </row>
    <row r="74" spans="1:11" x14ac:dyDescent="0.25">
      <c r="A74" s="52" t="s">
        <v>41</v>
      </c>
      <c r="B74" s="21" t="s">
        <v>108</v>
      </c>
      <c r="C74" s="6"/>
      <c r="D74" s="41">
        <v>3705</v>
      </c>
      <c r="E74" s="41">
        <v>0</v>
      </c>
      <c r="F74" s="41">
        <f t="shared" si="6"/>
        <v>3705</v>
      </c>
      <c r="G74" s="41"/>
      <c r="H74" s="42">
        <v>3705</v>
      </c>
      <c r="I74" s="43">
        <f t="shared" si="7"/>
        <v>1</v>
      </c>
      <c r="J74" s="41">
        <f t="shared" si="4"/>
        <v>0</v>
      </c>
      <c r="K74" s="40">
        <f t="shared" si="5"/>
        <v>185.25</v>
      </c>
    </row>
    <row r="75" spans="1:11" x14ac:dyDescent="0.25">
      <c r="A75" s="52" t="s">
        <v>41</v>
      </c>
      <c r="B75" s="21" t="s">
        <v>109</v>
      </c>
      <c r="C75" s="6"/>
      <c r="D75" s="41">
        <v>4743</v>
      </c>
      <c r="E75" s="41">
        <v>0</v>
      </c>
      <c r="F75" s="41">
        <f t="shared" si="6"/>
        <v>0</v>
      </c>
      <c r="G75" s="41"/>
      <c r="H75" s="42">
        <v>0</v>
      </c>
      <c r="I75" s="43">
        <f t="shared" si="7"/>
        <v>0</v>
      </c>
      <c r="J75" s="41">
        <f t="shared" si="4"/>
        <v>4743</v>
      </c>
      <c r="K75" s="40">
        <f t="shared" si="5"/>
        <v>0</v>
      </c>
    </row>
    <row r="76" spans="1:11" x14ac:dyDescent="0.25">
      <c r="A76" s="52" t="s">
        <v>42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11100</v>
      </c>
      <c r="B82" s="47" t="s">
        <v>22</v>
      </c>
      <c r="C82" s="48"/>
      <c r="D82" s="38">
        <f>SUM(D70:D81)</f>
        <v>1405755</v>
      </c>
      <c r="E82" s="38">
        <f>SUM(E70:E81)</f>
        <v>239000</v>
      </c>
      <c r="F82" s="38">
        <f>SUM(F70:F81)</f>
        <v>213605</v>
      </c>
      <c r="G82" s="38">
        <f>SUM(G70:G81)</f>
        <v>0</v>
      </c>
      <c r="H82" s="38">
        <f>SUM(H70:H81)</f>
        <v>452605</v>
      </c>
      <c r="I82" s="44"/>
      <c r="J82" s="38">
        <f>SUM(J70:J81)</f>
        <v>953150</v>
      </c>
      <c r="K82" s="38">
        <f>SUM(K70:K81)</f>
        <v>22630.25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2013-03-19T15:08:09Z</cp:lastPrinted>
  <dcterms:created xsi:type="dcterms:W3CDTF">2001-02-05T15:33:02Z</dcterms:created>
  <dcterms:modified xsi:type="dcterms:W3CDTF">2013-09-17T15:17:16Z</dcterms:modified>
</cp:coreProperties>
</file>