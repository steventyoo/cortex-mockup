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34" i="6" l="1"/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<sst xmlns="http://schemas.openxmlformats.org/spreadsheetml/2006/main" count="173" uniqueCount="110">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</sst>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G54" sqref="G54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10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41620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41639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1117390</v>
      </c>
      <c r="F14" s="38">
        <f>SUM(F15:F69)</f>
        <v>60560</v>
      </c>
      <c r="G14" s="38"/>
      <c r="H14" s="38">
        <f>SUM(H15:H69)</f>
        <v>1177950</v>
      </c>
      <c r="I14" s="39"/>
      <c r="J14" s="38">
        <f>SUM(J15:J69)</f>
        <v>216705</v>
      </c>
      <c r="K14" s="37">
        <f>SUM(K15:K69)</f>
        <v>58897.5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91600</v>
      </c>
      <c r="F23" s="41">
        <f>H23-E23</f>
        <v>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43800</v>
      </c>
      <c r="F24" s="41">
        <f>H24-E24</f>
        <v>0</v>
      </c>
      <c r="G24" s="41"/>
      <c r="H24" s="42">
        <v>43800</v>
      </c>
      <c r="I24" s="43">
        <f>H24/D24</f>
        <v>0.70079999999999998</v>
      </c>
      <c r="J24" s="41">
        <f t="shared" si="0"/>
        <v>18700</v>
      </c>
      <c r="K24" s="40">
        <f t="shared" ref="K24:K45" si="1">0.05*H24</f>
        <v>2190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19600</v>
      </c>
      <c r="F25" s="41">
        <f>H25-E25</f>
        <v>0</v>
      </c>
      <c r="G25" s="41"/>
      <c r="H25" s="42">
        <v>19600</v>
      </c>
      <c r="I25" s="43">
        <f>H25/D25</f>
        <v>0.7</v>
      </c>
      <c r="J25" s="41">
        <f t="shared" si="0"/>
        <v>8400</v>
      </c>
      <c r="K25" s="40">
        <f t="shared" si="1"/>
        <v>980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0</v>
      </c>
      <c r="F26" s="41">
        <f>H26-E26</f>
        <v>7200</v>
      </c>
      <c r="G26" s="41"/>
      <c r="H26" s="42">
        <v>7200</v>
      </c>
      <c r="I26" s="43">
        <f>H26/D26</f>
        <v>0.84705882352941175</v>
      </c>
      <c r="J26" s="41">
        <f>D26-H26</f>
        <v>1300</v>
      </c>
      <c r="K26" s="40">
        <f>0.05*H26</f>
        <v>360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5250</v>
      </c>
      <c r="F27" s="41">
        <f>H27-E27</f>
        <v>0</v>
      </c>
      <c r="G27" s="41"/>
      <c r="H27" s="42">
        <v>5250</v>
      </c>
      <c r="I27" s="43">
        <f>H27/D27</f>
        <v>0.5</v>
      </c>
      <c r="J27" s="41">
        <f>D27-H27</f>
        <v>5250</v>
      </c>
      <c r="K27" s="40">
        <f>0.05*H27</f>
        <v>262.5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126000</v>
      </c>
      <c r="F29" s="41">
        <f>H29-E29</f>
        <v>0</v>
      </c>
      <c r="G29" s="41"/>
      <c r="H29" s="42">
        <v>126000</v>
      </c>
      <c r="I29" s="43">
        <f>H29/D29</f>
        <v>0.90257879656160456</v>
      </c>
      <c r="J29" s="41">
        <f>D29-H29</f>
        <v>13600</v>
      </c>
      <c r="K29" s="40">
        <f>0.05*H29</f>
        <v>6300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92000</v>
      </c>
      <c r="F33" s="41">
        <f>H33-E33</f>
        <v>0</v>
      </c>
      <c r="G33" s="41"/>
      <c r="H33" s="42">
        <v>92000</v>
      </c>
      <c r="I33" s="43">
        <f>H33/D33</f>
        <v>0.75040783034257752</v>
      </c>
      <c r="J33" s="41">
        <f t="shared" si="0"/>
        <v>30600</v>
      </c>
      <c r="K33" s="40">
        <f t="shared" si="1"/>
        <v>4600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12300</v>
      </c>
      <c r="F34" s="41">
        <f>H34-E34</f>
        <v>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92000</v>
      </c>
      <c r="F37" s="41">
        <f>H37-E37</f>
        <v>30600</v>
      </c>
      <c r="G37" s="41"/>
      <c r="H37" s="42">
        <v>122600</v>
      </c>
      <c r="I37" s="43">
        <f>H37/D37</f>
        <v>1</v>
      </c>
      <c r="J37" s="41">
        <f t="shared" si="0"/>
        <v>0</v>
      </c>
      <c r="K37" s="40">
        <f t="shared" si="1"/>
        <v>6130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12300</v>
      </c>
      <c r="F39" s="41">
        <f>H39-E39</f>
        <v>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0</v>
      </c>
      <c r="F40" s="41">
        <f>H40-E40</f>
        <v>3500</v>
      </c>
      <c r="G40" s="41"/>
      <c r="H40" s="42">
        <v>3500</v>
      </c>
      <c r="I40" s="43">
        <f>H40/D40</f>
        <v>1</v>
      </c>
      <c r="J40" s="41">
        <f t="shared" si="0"/>
        <v>0</v>
      </c>
      <c r="K40" s="40">
        <f t="shared" si="1"/>
        <v>175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110340</v>
      </c>
      <c r="F42" s="41">
        <f>H42-E42</f>
        <v>12260</v>
      </c>
      <c r="G42" s="41"/>
      <c r="H42" s="42">
        <v>122600</v>
      </c>
      <c r="I42" s="43">
        <f>H42/D42</f>
        <v>1</v>
      </c>
      <c r="J42" s="41">
        <f t="shared" si="0"/>
        <v>0</v>
      </c>
      <c r="K42" s="40">
        <f t="shared" si="1"/>
        <v>6130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12300</v>
      </c>
      <c r="F44" s="41">
        <f>H44-E44</f>
        <v>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0</v>
      </c>
      <c r="F45" s="41">
        <f>H45-E45</f>
        <v>3500</v>
      </c>
      <c r="G45" s="41"/>
      <c r="H45" s="42">
        <v>3500</v>
      </c>
      <c r="I45" s="43">
        <f>H45/D45</f>
        <v>1</v>
      </c>
      <c r="J45" s="41">
        <f t="shared" si="0"/>
        <v>0</v>
      </c>
      <c r="K45" s="40">
        <f t="shared" si="1"/>
        <v>175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122600</v>
      </c>
      <c r="F47" s="41">
        <f>H47-E47</f>
        <v>0</v>
      </c>
      <c r="G47" s="41"/>
      <c r="H47" s="42">
        <v>122600</v>
      </c>
      <c r="I47" s="43">
        <f>H47/D47</f>
        <v>1</v>
      </c>
      <c r="J47" s="41">
        <f>D47-H47</f>
        <v>0</v>
      </c>
      <c r="K47" s="40">
        <f>0.05*H47</f>
        <v>6130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12300</v>
      </c>
      <c r="F49" s="41">
        <f>H49-E49</f>
        <v>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0</v>
      </c>
      <c r="F50" s="41">
        <f>H50-E50</f>
        <v>3500</v>
      </c>
      <c r="G50" s="41"/>
      <c r="H50" s="42">
        <v>3500</v>
      </c>
      <c r="I50" s="43">
        <f>H50/D50</f>
        <v>1</v>
      </c>
      <c r="J50" s="41">
        <f>D50-H50</f>
        <v>0</v>
      </c>
      <c r="K50" s="40">
        <f>0.05*H50</f>
        <v>175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122600</v>
      </c>
      <c r="F52" s="41">
        <f>H52-E52</f>
        <v>0</v>
      </c>
      <c r="G52" s="41"/>
      <c r="H52" s="42">
        <v>122600</v>
      </c>
      <c r="I52" s="43">
        <f>H52/D52</f>
        <v>1</v>
      </c>
      <c r="J52" s="41">
        <f>D52-H52</f>
        <v>0</v>
      </c>
      <c r="K52" s="40">
        <f>0.05*H52</f>
        <v>6130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12300</v>
      </c>
      <c r="F54" s="41">
        <f>H54-E54</f>
        <v>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3500</v>
      </c>
      <c r="F55" s="41">
        <f>H55-E55</f>
        <v>0</v>
      </c>
      <c r="G55" s="41"/>
      <c r="H55" s="42">
        <v>3500</v>
      </c>
      <c r="I55" s="43">
        <f>H55/D55</f>
        <v>1</v>
      </c>
      <c r="J55" s="41">
        <f>D55-H55</f>
        <v>0</v>
      </c>
      <c r="K55" s="40">
        <f>0.05*H55</f>
        <v>175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70900</v>
      </c>
      <c r="F57" s="41">
        <f>H57-E57</f>
        <v>0</v>
      </c>
      <c r="G57" s="41"/>
      <c r="H57" s="42">
        <v>70900</v>
      </c>
      <c r="I57" s="43">
        <f>H57/D57</f>
        <v>1</v>
      </c>
      <c r="J57" s="41">
        <f>D57-H57</f>
        <v>0</v>
      </c>
      <c r="K57" s="40">
        <f>0.05*H57</f>
        <v>3545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12300</v>
      </c>
      <c r="F59" s="41">
        <f>H59-E59</f>
        <v>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3500</v>
      </c>
      <c r="F60" s="41">
        <f>H60-E60</f>
        <v>0</v>
      </c>
      <c r="G60" s="41"/>
      <c r="H60" s="42">
        <v>3500</v>
      </c>
      <c r="I60" s="43">
        <f>H60/D60</f>
        <v>1</v>
      </c>
      <c r="J60" s="41">
        <f>D60-H60</f>
        <v>0</v>
      </c>
      <c r="K60" s="40">
        <f>0.05*H60</f>
        <v>175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1117390</v>
      </c>
      <c r="F70" s="38">
        <f>SUM(F15:F69)</f>
        <v>60560</v>
      </c>
      <c r="G70" s="38">
        <f>SUM(G15:G69)</f>
        <v>0</v>
      </c>
      <c r="H70" s="38">
        <f>SUM(H15:H69)</f>
        <v>1177950</v>
      </c>
      <c r="I70" s="44"/>
      <c r="J70" s="38">
        <f>SUM(J15:J69)</f>
        <v>216705</v>
      </c>
      <c r="K70" s="38">
        <f>SUM(K15:K69)</f>
        <v>58897.5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0</v>
      </c>
      <c r="G72" s="38"/>
      <c r="H72" s="42">
        <v>0</v>
      </c>
      <c r="I72" s="43">
        <f t="shared" ref="I72:I81" si="7">H72/D72</f>
        <v>0</v>
      </c>
      <c r="J72" s="41">
        <f t="shared" si="4"/>
        <v>2754</v>
      </c>
      <c r="K72" s="40">
        <f t="shared" si="5"/>
        <v>0</v>
      </c>
    </row>
    <row r="73" spans="1:11" x14ac:dyDescent="0.25">
      <c r="A73" s="52" t="s">
        <v>41</v>
      </c>
      <c r="B73" s="21" t="s">
        <v>109</v>
      </c>
      <c r="C73" s="6"/>
      <c r="D73" s="41">
        <v>-102</v>
      </c>
      <c r="E73" s="41">
        <v>0</v>
      </c>
      <c r="F73" s="41">
        <f t="shared" si="6"/>
        <v>0</v>
      </c>
      <c r="G73" s="41"/>
      <c r="H73" s="42">
        <v>0</v>
      </c>
      <c r="I73" s="43">
        <f t="shared" si="7"/>
        <v>0</v>
      </c>
      <c r="J73" s="41">
        <f t="shared" si="4"/>
        <v>-102</v>
      </c>
      <c r="K73" s="40">
        <f t="shared" si="5"/>
        <v>0</v>
      </c>
    </row>
    <row r="74" spans="1:11" x14ac:dyDescent="0.25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5">
      <c r="A75" s="52" t="s">
        <v>41</v>
      </c>
      <c r="B75" s="21" t="s">
        <v>108</v>
      </c>
      <c r="C75" s="6"/>
      <c r="D75" s="41">
        <v>4743</v>
      </c>
      <c r="E75" s="41">
        <v>0</v>
      </c>
      <c r="F75" s="41">
        <f t="shared" si="6"/>
        <v>0</v>
      </c>
      <c r="G75" s="41"/>
      <c r="H75" s="42">
        <v>0</v>
      </c>
      <c r="I75" s="43">
        <f t="shared" si="7"/>
        <v>0</v>
      </c>
      <c r="J75" s="41">
        <f t="shared" si="4"/>
        <v>4743</v>
      </c>
      <c r="K75" s="40">
        <f t="shared" si="5"/>
        <v>0</v>
      </c>
    </row>
    <row r="76" spans="1:11" x14ac:dyDescent="0.25">
      <c r="A76" s="52" t="s">
        <v>42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11100</v>
      </c>
      <c r="B82" s="47" t="s">
        <v>22</v>
      </c>
      <c r="C82" s="48"/>
      <c r="D82" s="38">
        <f>SUM(D70:D81)</f>
        <v>1405755</v>
      </c>
      <c r="E82" s="38">
        <f>SUM(E70:E81)</f>
        <v>1121095</v>
      </c>
      <c r="F82" s="38">
        <f>SUM(F70:F81)</f>
        <v>60560</v>
      </c>
      <c r="G82" s="38">
        <f>SUM(G70:G81)</f>
        <v>0</v>
      </c>
      <c r="H82" s="38">
        <f>SUM(H70:H81)</f>
        <v>1181655</v>
      </c>
      <c r="I82" s="44"/>
      <c r="J82" s="38">
        <f>SUM(J70:J81)</f>
        <v>224100</v>
      </c>
      <c r="K82" s="38">
        <f>SUM(K70:K81)</f>
        <v>59082.75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2013-12-12T15:56:28Z</cp:lastPrinted>
  <dcterms:created xsi:type="dcterms:W3CDTF">2001-02-05T15:33:02Z</dcterms:created>
  <dcterms:modified xsi:type="dcterms:W3CDTF">2013-12-12T16:28:58Z</dcterms:modified>
</cp:coreProperties>
</file>