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# OWP LLC COMPLETED JOBS\EXXEL 8TH AVE APARTMENTS\Billing documents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34" i="6" l="1"/>
  <c r="A82" i="6" l="1"/>
  <c r="D70" i="6"/>
  <c r="D82" i="6" s="1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F78" i="6"/>
  <c r="I78" i="6"/>
  <c r="J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<sst xmlns="http://schemas.openxmlformats.org/spreadsheetml/2006/main" count="173" uniqueCount="113">
  <si>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</si>
  <si>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</si>
  <si>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</si>
  <si>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</si>
  <si>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</si>
  <si>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</si>
  <si>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</si>
  <si>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</si>
  <si>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</si>
  <si>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</si>
  <si>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</si>
  <si>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</si>
  <si>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</si>
  <si>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</si>
  <si>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</si>
  <si>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</si>
  <si>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</si>
  <si>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</si>
  <si>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</si>
  <si>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</si>
  <si>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</si>
  <si>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</si>
  <si>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</si>
  <si>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</si>
  <si>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</si>
  <si>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</si>
  <si>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</si>
  <si>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</si>
  <si>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</si>
  <si>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</si>
  <si>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</si>
  <si>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</si>
  <si>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</si>
  <si>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</si>
  <si>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</si>
  <si>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</si>
  <si>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</si>
  <si>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</si>
  <si>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</si>
  <si>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</si>
  <si>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</si>
  <si>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</si>
  <si>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</si>
  <si>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</si>
  <si>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</si>
  <si>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</si>
  <si>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</si>
  <si>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</si>
  <si>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</si>
  <si>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</si>
  <si>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</si>
  <si>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</si>
  <si>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</si>
  <si>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</si>
  <si>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</si>
  <si>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</si>
  <si>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</si>
  <si>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</si>
  <si>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</si>
  <si>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</si>
  <si>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</si>
  <si>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</si>
  <si>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</si>
  <si>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</si>
  <si>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</si>
  <si>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</si>
  <si>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</si>
  <si>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</si>
  <si>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</si>
  <si>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</si>
  <si>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</si>
  <si>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</si>
  <si>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</si>
  <si>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</si>
  <si>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</si>
  <si>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</si>
  <si>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</si>
  <si>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</si>
  <si>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</si>
  <si>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</si>
  <si>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</si>
  <si>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</si>
  <si>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</si>
  <si>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</si>
  <si>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</si>
  <si>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</si>
  <si>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</si>
  <si>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</si>
  <si>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</si>
  <si>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</si>
  <si>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</si>
  <si>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</si>
  <si>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</si>
  <si>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</si>
  <si>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</si>
  <si>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</si>
  <si>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</si>
  <si>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</si>
  <si>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</si>
  <si>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</si>
  <si>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</si>
  <si>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</si>
  <si>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</si>
  <si>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</si>
  <si>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</si>
  <si>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</si>
  <si>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</si>
  <si>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</si>
  <si>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</si>
  <si>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</si>
  <si>
    <t>delete firestopping scope</t>
  </si>
  <si>
    <t>tub and shower repair</t>
  </si>
  <si>
    <t>supply and install aternate faucet in common area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</si>
</sst>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" xfId="3" applyFont="1" applyFill="1" applyBorder="1" applyAlignment="1">
      <alignment horizontal="left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B79" sqref="B79"/>
    </sheetView>
  </sheetViews>
  <sheetFormatPr defaultColWidth="9.140625" defaultRowHeight="12.75" x14ac:dyDescent="0.2"/>
  <cols>
    <col min="1" max="1" width="13.5703125" style="1" customWidth="1"/>
    <col min="2" max="2" width="41.5703125" style="1" customWidth="1"/>
    <col min="3" max="3" width="25.42578125" style="1" hidden="1" customWidth="1"/>
    <col min="4" max="4" width="17.5703125" style="10" customWidth="1"/>
    <col min="5" max="5" width="15" style="10" customWidth="1"/>
    <col min="6" max="6" width="13.42578125" style="10" customWidth="1"/>
    <col min="7" max="7" width="7.5703125" style="10" customWidth="1"/>
    <col min="8" max="8" width="19" style="10" customWidth="1"/>
    <col min="9" max="9" width="14.42578125" style="1" customWidth="1"/>
    <col min="10" max="10" width="20" style="10" customWidth="1"/>
    <col min="11" max="11" width="16.5703125" style="10" customWidth="1"/>
    <col min="12" max="16384" width="9.140625" style="1"/>
  </cols>
  <sheetData>
    <row r="1" spans="1:11" ht="15" customHeight="1" x14ac:dyDescent="0.2">
      <c r="I1" s="2"/>
    </row>
    <row r="2" spans="1:11" ht="33.75" customHeight="1" x14ac:dyDescent="0.25">
      <c r="D2" s="55" t="s">
        <v>57</v>
      </c>
      <c r="E2" s="55"/>
      <c r="F2" s="55"/>
      <c r="G2" s="55"/>
      <c r="I2" s="2"/>
    </row>
    <row r="3" spans="1:11" ht="34.5" customHeight="1" thickBot="1" x14ac:dyDescent="0.4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3.25" x14ac:dyDescent="0.35">
      <c r="A4" s="56" t="s">
        <v>48</v>
      </c>
      <c r="B4" s="57"/>
      <c r="C4" s="57"/>
      <c r="D4" s="57"/>
      <c r="E4" s="57"/>
      <c r="I4" s="2"/>
    </row>
    <row r="5" spans="1:11" x14ac:dyDescent="0.2">
      <c r="A5" s="3" t="s">
        <v>83</v>
      </c>
      <c r="F5" s="11" t="s">
        <v>7</v>
      </c>
      <c r="G5" s="22"/>
      <c r="H5" s="49">
        <v>15</v>
      </c>
      <c r="I5" s="2"/>
      <c r="J5" s="12"/>
    </row>
    <row r="6" spans="1:11" x14ac:dyDescent="0.2">
      <c r="A6" s="3" t="s">
        <v>60</v>
      </c>
      <c r="F6" s="11" t="s">
        <v>23</v>
      </c>
      <c r="G6" s="23"/>
      <c r="H6" s="50">
        <v>41837</v>
      </c>
      <c r="I6" s="2"/>
      <c r="J6" s="12"/>
    </row>
    <row r="7" spans="1:11" x14ac:dyDescent="0.2">
      <c r="A7" s="3" t="s">
        <v>8</v>
      </c>
      <c r="E7" s="10" t="s">
        <v>9</v>
      </c>
      <c r="F7" s="11" t="s">
        <v>0</v>
      </c>
      <c r="G7" s="23" t="s">
        <v>6</v>
      </c>
      <c r="H7" s="50">
        <v>41851</v>
      </c>
      <c r="I7" s="2"/>
    </row>
    <row r="8" spans="1:11" ht="12" customHeight="1" thickBot="1" x14ac:dyDescent="0.25">
      <c r="A8" s="3"/>
      <c r="F8" s="11"/>
      <c r="G8" s="11"/>
      <c r="I8" s="2"/>
    </row>
    <row r="9" spans="1:11" ht="13.5" hidden="1" thickBot="1" x14ac:dyDescent="0.25">
      <c r="A9" s="3"/>
      <c r="I9" s="2"/>
    </row>
    <row r="10" spans="1:11" ht="14.25" thickTop="1" thickBot="1" x14ac:dyDescent="0.25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5" thickTop="1" x14ac:dyDescent="0.2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5" thickBot="1" x14ac:dyDescent="0.25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5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1394655</v>
      </c>
      <c r="F14" s="38">
        <f>SUM(F15:F69)</f>
        <v>0</v>
      </c>
      <c r="G14" s="38"/>
      <c r="H14" s="38">
        <f>SUM(H15:H69)</f>
        <v>1394655</v>
      </c>
      <c r="I14" s="39"/>
      <c r="J14" s="38">
        <f>SUM(J15:J69)</f>
        <v>0</v>
      </c>
      <c r="K14" s="37">
        <f>SUM(K15:K69)</f>
        <v>69732.75</v>
      </c>
    </row>
    <row r="15" spans="1:11" x14ac:dyDescent="0.2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">
      <c r="A24" s="7" t="s">
        <v>103</v>
      </c>
      <c r="B24" s="7" t="s">
        <v>61</v>
      </c>
      <c r="C24" s="6"/>
      <c r="D24" s="41">
        <v>62500</v>
      </c>
      <c r="E24" s="41">
        <v>62500</v>
      </c>
      <c r="F24" s="41">
        <f>H24-E24</f>
        <v>0</v>
      </c>
      <c r="G24" s="41"/>
      <c r="H24" s="42">
        <v>62500</v>
      </c>
      <c r="I24" s="43">
        <f>H24/D24</f>
        <v>1</v>
      </c>
      <c r="J24" s="41">
        <f t="shared" si="0"/>
        <v>0</v>
      </c>
      <c r="K24" s="40">
        <f t="shared" ref="K24:K45" si="1">0.05*H24</f>
        <v>3125</v>
      </c>
    </row>
    <row r="25" spans="1:11" x14ac:dyDescent="0.2">
      <c r="A25" s="7" t="s">
        <v>103</v>
      </c>
      <c r="B25" s="7" t="s">
        <v>66</v>
      </c>
      <c r="C25" s="6"/>
      <c r="D25" s="41">
        <v>28000</v>
      </c>
      <c r="E25" s="41">
        <v>28000</v>
      </c>
      <c r="F25" s="41">
        <f>H25-E25</f>
        <v>0</v>
      </c>
      <c r="G25" s="41"/>
      <c r="H25" s="42">
        <v>28000</v>
      </c>
      <c r="I25" s="43">
        <f>H25/D25</f>
        <v>1</v>
      </c>
      <c r="J25" s="41">
        <f t="shared" si="0"/>
        <v>0</v>
      </c>
      <c r="K25" s="40">
        <f t="shared" si="1"/>
        <v>1400</v>
      </c>
    </row>
    <row r="26" spans="1:11" x14ac:dyDescent="0.2">
      <c r="A26" s="7" t="s">
        <v>103</v>
      </c>
      <c r="B26" s="7" t="s">
        <v>104</v>
      </c>
      <c r="C26" s="6"/>
      <c r="D26" s="41">
        <v>8500</v>
      </c>
      <c r="E26" s="41">
        <v>8500</v>
      </c>
      <c r="F26" s="41">
        <f>H26-E26</f>
        <v>0</v>
      </c>
      <c r="G26" s="41"/>
      <c r="H26" s="42">
        <v>8500</v>
      </c>
      <c r="I26" s="43">
        <f>H26/D26</f>
        <v>1</v>
      </c>
      <c r="J26" s="41">
        <f>D26-H26</f>
        <v>0</v>
      </c>
      <c r="K26" s="40">
        <f>0.05*H26</f>
        <v>425</v>
      </c>
    </row>
    <row r="27" spans="1:11" x14ac:dyDescent="0.2">
      <c r="A27" s="7"/>
      <c r="B27" s="7" t="s">
        <v>67</v>
      </c>
      <c r="C27" s="6"/>
      <c r="D27" s="41">
        <v>10500</v>
      </c>
      <c r="E27" s="41">
        <v>10500</v>
      </c>
      <c r="F27" s="41">
        <f>H27-E27</f>
        <v>0</v>
      </c>
      <c r="G27" s="41"/>
      <c r="H27" s="42">
        <v>10500</v>
      </c>
      <c r="I27" s="43">
        <f>H27/D27</f>
        <v>1</v>
      </c>
      <c r="J27" s="41">
        <f>D27-H27</f>
        <v>0</v>
      </c>
      <c r="K27" s="40">
        <f>0.05*H27</f>
        <v>525</v>
      </c>
    </row>
    <row r="28" spans="1:11" x14ac:dyDescent="0.2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">
      <c r="A29" s="7" t="s">
        <v>51</v>
      </c>
      <c r="B29" s="7" t="s">
        <v>68</v>
      </c>
      <c r="C29" s="6"/>
      <c r="D29" s="41">
        <v>139600</v>
      </c>
      <c r="E29" s="41">
        <v>139600</v>
      </c>
      <c r="F29" s="41">
        <f>H29-E29</f>
        <v>0</v>
      </c>
      <c r="G29" s="41"/>
      <c r="H29" s="42">
        <v>139600</v>
      </c>
      <c r="I29" s="43">
        <f>H29/D29</f>
        <v>1</v>
      </c>
      <c r="J29" s="41">
        <f>D29-H29</f>
        <v>0</v>
      </c>
      <c r="K29" s="40">
        <f>0.05*H29</f>
        <v>6980</v>
      </c>
    </row>
    <row r="30" spans="1:11" x14ac:dyDescent="0.2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">
      <c r="A31" s="7" t="s">
        <v>51</v>
      </c>
      <c r="B31" s="7" t="s">
        <v>70</v>
      </c>
      <c r="C31" s="6"/>
      <c r="D31" s="41">
        <v>800</v>
      </c>
      <c r="E31" s="41">
        <v>800</v>
      </c>
      <c r="F31" s="41">
        <f>H31-E31</f>
        <v>0</v>
      </c>
      <c r="G31" s="41"/>
      <c r="H31" s="42">
        <v>800</v>
      </c>
      <c r="I31" s="43">
        <f>H31/D31</f>
        <v>1</v>
      </c>
      <c r="J31" s="41">
        <f>D31-H31</f>
        <v>0</v>
      </c>
      <c r="K31" s="40">
        <f>0.05*H31</f>
        <v>40</v>
      </c>
    </row>
    <row r="32" spans="1:11" x14ac:dyDescent="0.2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">
      <c r="A33" s="7" t="s">
        <v>52</v>
      </c>
      <c r="B33" s="7" t="s">
        <v>71</v>
      </c>
      <c r="C33" s="6"/>
      <c r="D33" s="41">
        <v>122600</v>
      </c>
      <c r="E33" s="41">
        <v>122600</v>
      </c>
      <c r="F33" s="41">
        <f>H33-E33</f>
        <v>0</v>
      </c>
      <c r="G33" s="41"/>
      <c r="H33" s="42">
        <v>122600</v>
      </c>
      <c r="I33" s="43">
        <f>H33/D33</f>
        <v>1</v>
      </c>
      <c r="J33" s="41">
        <f t="shared" si="0"/>
        <v>0</v>
      </c>
      <c r="K33" s="40">
        <f t="shared" si="1"/>
        <v>6130</v>
      </c>
    </row>
    <row r="34" spans="1:11" x14ac:dyDescent="0.2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">
      <c r="A35" s="7" t="s">
        <v>52</v>
      </c>
      <c r="B35" s="7" t="s">
        <v>73</v>
      </c>
      <c r="C35" s="6"/>
      <c r="D35" s="41">
        <v>3500</v>
      </c>
      <c r="E35" s="41">
        <v>3500</v>
      </c>
      <c r="F35" s="41">
        <f>H35-E35</f>
        <v>0</v>
      </c>
      <c r="G35" s="41"/>
      <c r="H35" s="42">
        <v>3500</v>
      </c>
      <c r="I35" s="43">
        <f>H35/D35</f>
        <v>1</v>
      </c>
      <c r="J35" s="41">
        <f t="shared" si="0"/>
        <v>0</v>
      </c>
      <c r="K35" s="40">
        <f t="shared" si="1"/>
        <v>175</v>
      </c>
    </row>
    <row r="36" spans="1:11" x14ac:dyDescent="0.2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">
      <c r="A37" s="7" t="s">
        <v>53</v>
      </c>
      <c r="B37" s="7" t="s">
        <v>55</v>
      </c>
      <c r="C37" s="6"/>
      <c r="D37" s="41">
        <v>122600</v>
      </c>
      <c r="E37" s="41">
        <v>122600</v>
      </c>
      <c r="F37" s="41">
        <f>H37-E37</f>
        <v>0</v>
      </c>
      <c r="G37" s="41"/>
      <c r="H37" s="42">
        <v>122600</v>
      </c>
      <c r="I37" s="43">
        <f>H37/D37</f>
        <v>1</v>
      </c>
      <c r="J37" s="41">
        <f t="shared" si="0"/>
        <v>0</v>
      </c>
      <c r="K37" s="40">
        <f t="shared" si="1"/>
        <v>6130</v>
      </c>
    </row>
    <row r="38" spans="1:11" x14ac:dyDescent="0.2">
      <c r="A38" s="7" t="s">
        <v>53</v>
      </c>
      <c r="B38" s="7" t="s">
        <v>78</v>
      </c>
      <c r="C38" s="6"/>
      <c r="D38" s="41">
        <v>2900</v>
      </c>
      <c r="E38" s="41">
        <v>2900</v>
      </c>
      <c r="F38" s="41">
        <f>H38-E38</f>
        <v>0</v>
      </c>
      <c r="G38" s="41"/>
      <c r="H38" s="42">
        <v>2900</v>
      </c>
      <c r="I38" s="43">
        <f>H38/D38</f>
        <v>1</v>
      </c>
      <c r="J38" s="41">
        <f t="shared" si="0"/>
        <v>0</v>
      </c>
      <c r="K38" s="40">
        <f t="shared" si="1"/>
        <v>145</v>
      </c>
    </row>
    <row r="39" spans="1:11" x14ac:dyDescent="0.2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">
      <c r="A40" s="7" t="s">
        <v>53</v>
      </c>
      <c r="B40" s="7" t="s">
        <v>75</v>
      </c>
      <c r="C40" s="6"/>
      <c r="D40" s="41">
        <v>3500</v>
      </c>
      <c r="E40" s="41">
        <v>3500</v>
      </c>
      <c r="F40" s="41">
        <f>H40-E40</f>
        <v>0</v>
      </c>
      <c r="G40" s="41"/>
      <c r="H40" s="42">
        <v>3500</v>
      </c>
      <c r="I40" s="43">
        <f>H40/D40</f>
        <v>1</v>
      </c>
      <c r="J40" s="41">
        <f t="shared" si="0"/>
        <v>0</v>
      </c>
      <c r="K40" s="40">
        <f t="shared" si="1"/>
        <v>175</v>
      </c>
    </row>
    <row r="41" spans="1:11" x14ac:dyDescent="0.2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">
      <c r="A42" s="7" t="s">
        <v>54</v>
      </c>
      <c r="B42" s="7" t="s">
        <v>56</v>
      </c>
      <c r="C42" s="6"/>
      <c r="D42" s="41">
        <v>122600</v>
      </c>
      <c r="E42" s="41">
        <v>122600</v>
      </c>
      <c r="F42" s="41">
        <f>H42-E42</f>
        <v>0</v>
      </c>
      <c r="G42" s="41"/>
      <c r="H42" s="42">
        <v>122600</v>
      </c>
      <c r="I42" s="43">
        <f>H42/D42</f>
        <v>1</v>
      </c>
      <c r="J42" s="41">
        <f t="shared" si="0"/>
        <v>0</v>
      </c>
      <c r="K42" s="40">
        <f t="shared" si="1"/>
        <v>6130</v>
      </c>
    </row>
    <row r="43" spans="1:11" x14ac:dyDescent="0.2">
      <c r="A43" s="7" t="s">
        <v>54</v>
      </c>
      <c r="B43" s="7" t="s">
        <v>78</v>
      </c>
      <c r="C43" s="6"/>
      <c r="D43" s="41">
        <v>2900</v>
      </c>
      <c r="E43" s="41">
        <v>2900</v>
      </c>
      <c r="F43" s="41">
        <f>H43-E43</f>
        <v>0</v>
      </c>
      <c r="G43" s="41"/>
      <c r="H43" s="42">
        <v>2900</v>
      </c>
      <c r="I43" s="43">
        <f>H43/D43</f>
        <v>1</v>
      </c>
      <c r="J43" s="41">
        <f t="shared" si="0"/>
        <v>0</v>
      </c>
      <c r="K43" s="40">
        <f t="shared" si="1"/>
        <v>145</v>
      </c>
    </row>
    <row r="44" spans="1:11" x14ac:dyDescent="0.2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">
      <c r="A45" s="7" t="s">
        <v>54</v>
      </c>
      <c r="B45" s="7" t="s">
        <v>77</v>
      </c>
      <c r="C45" s="6"/>
      <c r="D45" s="41">
        <v>3500</v>
      </c>
      <c r="E45" s="41">
        <v>3500</v>
      </c>
      <c r="F45" s="41">
        <f>H45-E45</f>
        <v>0</v>
      </c>
      <c r="G45" s="41"/>
      <c r="H45" s="42">
        <v>3500</v>
      </c>
      <c r="I45" s="43">
        <f>H45/D45</f>
        <v>1</v>
      </c>
      <c r="J45" s="41">
        <f t="shared" si="0"/>
        <v>0</v>
      </c>
      <c r="K45" s="40">
        <f t="shared" si="1"/>
        <v>175</v>
      </c>
    </row>
    <row r="46" spans="1:11" x14ac:dyDescent="0.2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">
      <c r="A47" s="7" t="s">
        <v>90</v>
      </c>
      <c r="B47" s="7" t="s">
        <v>94</v>
      </c>
      <c r="C47" s="6"/>
      <c r="D47" s="41">
        <v>122600</v>
      </c>
      <c r="E47" s="41">
        <v>122600</v>
      </c>
      <c r="F47" s="41">
        <f>H47-E47</f>
        <v>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">
      <c r="A48" s="7" t="s">
        <v>90</v>
      </c>
      <c r="B48" s="7" t="s">
        <v>78</v>
      </c>
      <c r="C48" s="6"/>
      <c r="D48" s="41">
        <v>2900</v>
      </c>
      <c r="E48" s="41">
        <v>2900</v>
      </c>
      <c r="F48" s="41">
        <f>H48-E48</f>
        <v>0</v>
      </c>
      <c r="G48" s="41"/>
      <c r="H48" s="42">
        <v>2900</v>
      </c>
      <c r="I48" s="43">
        <f>H48/D48</f>
        <v>1</v>
      </c>
      <c r="J48" s="41">
        <f>D48-H48</f>
        <v>0</v>
      </c>
      <c r="K48" s="40">
        <f>0.05*H48</f>
        <v>145</v>
      </c>
    </row>
    <row r="49" spans="1:11" x14ac:dyDescent="0.2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">
      <c r="A50" s="7" t="s">
        <v>90</v>
      </c>
      <c r="B50" s="7" t="s">
        <v>96</v>
      </c>
      <c r="C50" s="6"/>
      <c r="D50" s="41">
        <v>3500</v>
      </c>
      <c r="E50" s="41">
        <v>3500</v>
      </c>
      <c r="F50" s="41">
        <f>H50-E50</f>
        <v>0</v>
      </c>
      <c r="G50" s="41"/>
      <c r="H50" s="42">
        <v>3500</v>
      </c>
      <c r="I50" s="43">
        <f>H50/D50</f>
        <v>1</v>
      </c>
      <c r="J50" s="41">
        <f>D50-H50</f>
        <v>0</v>
      </c>
      <c r="K50" s="40">
        <f>0.05*H50</f>
        <v>175</v>
      </c>
    </row>
    <row r="51" spans="1:11" x14ac:dyDescent="0.2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">
      <c r="A52" s="7" t="s">
        <v>88</v>
      </c>
      <c r="B52" s="7" t="s">
        <v>97</v>
      </c>
      <c r="C52" s="6"/>
      <c r="D52" s="41">
        <v>122600</v>
      </c>
      <c r="E52" s="41">
        <v>122600</v>
      </c>
      <c r="F52" s="41">
        <f>H52-E52</f>
        <v>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">
      <c r="A53" s="7" t="s">
        <v>88</v>
      </c>
      <c r="B53" s="7" t="s">
        <v>78</v>
      </c>
      <c r="C53" s="6"/>
      <c r="D53" s="41">
        <v>2900</v>
      </c>
      <c r="E53" s="41">
        <v>2900</v>
      </c>
      <c r="F53" s="41">
        <f>H53-E53</f>
        <v>0</v>
      </c>
      <c r="G53" s="41"/>
      <c r="H53" s="42">
        <v>2900</v>
      </c>
      <c r="I53" s="43">
        <f>H53/D53</f>
        <v>1</v>
      </c>
      <c r="J53" s="41">
        <f>D53-H53</f>
        <v>0</v>
      </c>
      <c r="K53" s="40">
        <f>0.05*H53</f>
        <v>145</v>
      </c>
    </row>
    <row r="54" spans="1:11" x14ac:dyDescent="0.2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">
      <c r="A55" s="7" t="s">
        <v>88</v>
      </c>
      <c r="B55" s="7" t="s">
        <v>99</v>
      </c>
      <c r="C55" s="6"/>
      <c r="D55" s="41">
        <v>3500</v>
      </c>
      <c r="E55" s="41">
        <v>3500</v>
      </c>
      <c r="F55" s="41">
        <f>H55-E55</f>
        <v>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">
      <c r="A57" s="7" t="s">
        <v>89</v>
      </c>
      <c r="B57" s="7" t="s">
        <v>100</v>
      </c>
      <c r="C57" s="6"/>
      <c r="D57" s="41">
        <v>70900</v>
      </c>
      <c r="E57" s="41">
        <v>70900</v>
      </c>
      <c r="F57" s="41">
        <f>H57-E57</f>
        <v>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">
      <c r="A58" s="7" t="s">
        <v>89</v>
      </c>
      <c r="B58" s="7" t="s">
        <v>78</v>
      </c>
      <c r="C58" s="6"/>
      <c r="D58" s="41">
        <v>2700</v>
      </c>
      <c r="E58" s="41">
        <v>2700</v>
      </c>
      <c r="F58" s="41">
        <f>H58-E58</f>
        <v>0</v>
      </c>
      <c r="G58" s="41"/>
      <c r="H58" s="42">
        <v>2700</v>
      </c>
      <c r="I58" s="43">
        <f>H58/D58</f>
        <v>1</v>
      </c>
      <c r="J58" s="41">
        <f>D58-H58</f>
        <v>0</v>
      </c>
      <c r="K58" s="40">
        <f>0.05*H58</f>
        <v>135</v>
      </c>
    </row>
    <row r="59" spans="1:11" x14ac:dyDescent="0.2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">
      <c r="A60" s="7" t="s">
        <v>89</v>
      </c>
      <c r="B60" s="7" t="s">
        <v>102</v>
      </c>
      <c r="C60" s="6"/>
      <c r="D60" s="41">
        <v>3500</v>
      </c>
      <c r="E60" s="41">
        <v>3500</v>
      </c>
      <c r="F60" s="41">
        <f>H60-E60</f>
        <v>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">
      <c r="A62" s="7" t="s">
        <v>51</v>
      </c>
      <c r="B62" s="7" t="s">
        <v>81</v>
      </c>
      <c r="C62" s="6"/>
      <c r="D62" s="41">
        <v>4455</v>
      </c>
      <c r="E62" s="41">
        <v>4455</v>
      </c>
      <c r="F62" s="41">
        <f t="shared" ref="F62:F68" si="2">H62-E62</f>
        <v>0</v>
      </c>
      <c r="G62" s="41"/>
      <c r="H62" s="42">
        <v>4455</v>
      </c>
      <c r="I62" s="43">
        <f t="shared" ref="I62:I68" si="3">H62/D62</f>
        <v>1</v>
      </c>
      <c r="J62" s="41">
        <f>D62-H62</f>
        <v>0</v>
      </c>
      <c r="K62" s="40">
        <f>0.05*H62</f>
        <v>222.75</v>
      </c>
    </row>
    <row r="63" spans="1:11" x14ac:dyDescent="0.2">
      <c r="A63" s="7" t="s">
        <v>52</v>
      </c>
      <c r="B63" s="7" t="s">
        <v>82</v>
      </c>
      <c r="C63" s="6"/>
      <c r="D63" s="41">
        <v>19300</v>
      </c>
      <c r="E63" s="41">
        <v>19300</v>
      </c>
      <c r="F63" s="41">
        <f t="shared" si="2"/>
        <v>0</v>
      </c>
      <c r="G63" s="41"/>
      <c r="H63" s="42">
        <v>19300</v>
      </c>
      <c r="I63" s="43">
        <f t="shared" si="3"/>
        <v>1</v>
      </c>
      <c r="J63" s="41">
        <f>D63-H63</f>
        <v>0</v>
      </c>
      <c r="K63" s="40">
        <f>0.05*H63</f>
        <v>965</v>
      </c>
    </row>
    <row r="64" spans="1:11" x14ac:dyDescent="0.2">
      <c r="A64" s="7" t="s">
        <v>53</v>
      </c>
      <c r="B64" s="7" t="s">
        <v>58</v>
      </c>
      <c r="C64" s="6"/>
      <c r="D64" s="41">
        <v>19300</v>
      </c>
      <c r="E64" s="41">
        <v>19300</v>
      </c>
      <c r="F64" s="41">
        <f t="shared" si="2"/>
        <v>0</v>
      </c>
      <c r="G64" s="41"/>
      <c r="H64" s="42">
        <v>19300</v>
      </c>
      <c r="I64" s="43">
        <f t="shared" si="3"/>
        <v>1</v>
      </c>
      <c r="J64" s="41">
        <f>D64-H64</f>
        <v>0</v>
      </c>
      <c r="K64" s="40">
        <f>0.05*H64</f>
        <v>965</v>
      </c>
    </row>
    <row r="65" spans="1:11" x14ac:dyDescent="0.2">
      <c r="A65" s="7" t="s">
        <v>54</v>
      </c>
      <c r="B65" s="7" t="s">
        <v>59</v>
      </c>
      <c r="C65" s="6"/>
      <c r="D65" s="41">
        <v>19300</v>
      </c>
      <c r="E65" s="41">
        <v>19300</v>
      </c>
      <c r="F65" s="41">
        <f t="shared" si="2"/>
        <v>0</v>
      </c>
      <c r="G65" s="41"/>
      <c r="H65" s="42">
        <v>19300</v>
      </c>
      <c r="I65" s="43">
        <f t="shared" si="3"/>
        <v>1</v>
      </c>
      <c r="J65" s="41">
        <f>D65-H65</f>
        <v>0</v>
      </c>
      <c r="K65" s="40">
        <f>0.05*H65</f>
        <v>965</v>
      </c>
    </row>
    <row r="66" spans="1:11" x14ac:dyDescent="0.2">
      <c r="A66" s="7" t="s">
        <v>90</v>
      </c>
      <c r="B66" s="7" t="s">
        <v>91</v>
      </c>
      <c r="C66" s="6"/>
      <c r="D66" s="41">
        <v>19300</v>
      </c>
      <c r="E66" s="41">
        <v>19300</v>
      </c>
      <c r="F66" s="41">
        <f t="shared" si="2"/>
        <v>0</v>
      </c>
      <c r="G66" s="41"/>
      <c r="H66" s="42">
        <v>19300</v>
      </c>
      <c r="I66" s="43">
        <f t="shared" si="3"/>
        <v>1</v>
      </c>
      <c r="J66" s="41">
        <f t="shared" ref="J66:J81" si="4">D66-H66</f>
        <v>0</v>
      </c>
      <c r="K66" s="40">
        <f t="shared" ref="K66:K81" si="5">0.05*H66</f>
        <v>965</v>
      </c>
    </row>
    <row r="67" spans="1:11" x14ac:dyDescent="0.2">
      <c r="A67" s="7" t="s">
        <v>88</v>
      </c>
      <c r="B67" s="7" t="s">
        <v>92</v>
      </c>
      <c r="C67" s="6"/>
      <c r="D67" s="41">
        <v>19300</v>
      </c>
      <c r="E67" s="41">
        <v>19300</v>
      </c>
      <c r="F67" s="41">
        <f t="shared" si="2"/>
        <v>0</v>
      </c>
      <c r="G67" s="41"/>
      <c r="H67" s="42">
        <v>19300</v>
      </c>
      <c r="I67" s="43">
        <f t="shared" si="3"/>
        <v>1</v>
      </c>
      <c r="J67" s="41">
        <f t="shared" si="4"/>
        <v>0</v>
      </c>
      <c r="K67" s="40">
        <f t="shared" si="5"/>
        <v>965</v>
      </c>
    </row>
    <row r="68" spans="1:11" x14ac:dyDescent="0.2">
      <c r="A68" s="7" t="s">
        <v>89</v>
      </c>
      <c r="B68" s="7" t="s">
        <v>93</v>
      </c>
      <c r="C68" s="6"/>
      <c r="D68" s="41">
        <v>19300</v>
      </c>
      <c r="E68" s="41">
        <v>19300</v>
      </c>
      <c r="F68" s="41">
        <f t="shared" si="2"/>
        <v>0</v>
      </c>
      <c r="G68" s="41"/>
      <c r="H68" s="42">
        <v>19300</v>
      </c>
      <c r="I68" s="43">
        <f t="shared" si="3"/>
        <v>1</v>
      </c>
      <c r="J68" s="41">
        <f t="shared" si="4"/>
        <v>0</v>
      </c>
      <c r="K68" s="40">
        <f t="shared" si="5"/>
        <v>965</v>
      </c>
    </row>
    <row r="69" spans="1:11" x14ac:dyDescent="0.2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5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1394655</v>
      </c>
      <c r="F70" s="38">
        <f>SUM(F15:F69)</f>
        <v>0</v>
      </c>
      <c r="G70" s="38">
        <f>SUM(G15:G69)</f>
        <v>0</v>
      </c>
      <c r="H70" s="38">
        <f>SUM(H15:H69)</f>
        <v>1394655</v>
      </c>
      <c r="I70" s="44"/>
      <c r="J70" s="38">
        <f>SUM(J15:J69)</f>
        <v>0</v>
      </c>
      <c r="K70" s="38">
        <f>SUM(K15:K69)</f>
        <v>69732.75</v>
      </c>
    </row>
    <row r="71" spans="1:11" ht="20.100000000000001" customHeight="1" x14ac:dyDescent="0.2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">
      <c r="A72" s="19" t="s">
        <v>41</v>
      </c>
      <c r="B72" s="52" t="s">
        <v>106</v>
      </c>
      <c r="C72" s="8"/>
      <c r="D72" s="41">
        <v>2754</v>
      </c>
      <c r="E72" s="41">
        <v>2754</v>
      </c>
      <c r="F72" s="41">
        <f t="shared" ref="F72:F81" si="6">H72-E72</f>
        <v>0</v>
      </c>
      <c r="G72" s="38"/>
      <c r="H72" s="42">
        <v>2754</v>
      </c>
      <c r="I72" s="43">
        <f t="shared" ref="I72:I81" si="7">H72/D72</f>
        <v>1</v>
      </c>
      <c r="J72" s="41">
        <f t="shared" si="4"/>
        <v>0</v>
      </c>
      <c r="K72" s="40">
        <f t="shared" si="5"/>
        <v>137.70000000000002</v>
      </c>
    </row>
    <row r="73" spans="1:11" x14ac:dyDescent="0.2">
      <c r="A73" s="52" t="s">
        <v>41</v>
      </c>
      <c r="B73" s="21" t="s">
        <v>109</v>
      </c>
      <c r="C73" s="6"/>
      <c r="D73" s="41">
        <v>-102</v>
      </c>
      <c r="E73" s="41">
        <v>-102</v>
      </c>
      <c r="F73" s="41">
        <f t="shared" si="6"/>
        <v>0</v>
      </c>
      <c r="G73" s="41"/>
      <c r="H73" s="42">
        <v>-102</v>
      </c>
      <c r="I73" s="43">
        <f t="shared" si="7"/>
        <v>1</v>
      </c>
      <c r="J73" s="41">
        <f t="shared" si="4"/>
        <v>0</v>
      </c>
      <c r="K73" s="40">
        <f t="shared" si="5"/>
        <v>-5.1000000000000005</v>
      </c>
    </row>
    <row r="74" spans="1:11" x14ac:dyDescent="0.2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">
      <c r="A75" s="52" t="s">
        <v>41</v>
      </c>
      <c r="B75" s="21" t="s">
        <v>108</v>
      </c>
      <c r="C75" s="6"/>
      <c r="D75" s="41">
        <v>4743</v>
      </c>
      <c r="E75" s="41">
        <v>4743</v>
      </c>
      <c r="F75" s="41">
        <f t="shared" si="6"/>
        <v>0</v>
      </c>
      <c r="G75" s="41"/>
      <c r="H75" s="42">
        <v>4743</v>
      </c>
      <c r="I75" s="43">
        <f t="shared" si="7"/>
        <v>1</v>
      </c>
      <c r="J75" s="41">
        <f t="shared" si="4"/>
        <v>0</v>
      </c>
      <c r="K75" s="40">
        <f t="shared" si="5"/>
        <v>237.15</v>
      </c>
    </row>
    <row r="76" spans="1:11" x14ac:dyDescent="0.2">
      <c r="A76" s="52" t="s">
        <v>42</v>
      </c>
      <c r="B76" s="21" t="s">
        <v>110</v>
      </c>
      <c r="C76" s="6"/>
      <c r="D76" s="41">
        <v>-14300</v>
      </c>
      <c r="E76" s="41">
        <v>-14300</v>
      </c>
      <c r="F76" s="41">
        <f t="shared" si="6"/>
        <v>0</v>
      </c>
      <c r="G76" s="41"/>
      <c r="H76" s="42">
        <v>-14300</v>
      </c>
      <c r="I76" s="43">
        <f t="shared" si="7"/>
        <v>1</v>
      </c>
      <c r="J76" s="41">
        <f t="shared" si="4"/>
        <v>0</v>
      </c>
      <c r="K76" s="40">
        <f t="shared" si="5"/>
        <v>-715</v>
      </c>
    </row>
    <row r="77" spans="1:11" x14ac:dyDescent="0.2">
      <c r="A77" s="52" t="s">
        <v>43</v>
      </c>
      <c r="B77" s="52" t="s">
        <v>111</v>
      </c>
      <c r="C77" s="6"/>
      <c r="D77" s="41">
        <v>1135</v>
      </c>
      <c r="E77" s="41">
        <v>0</v>
      </c>
      <c r="F77" s="41">
        <f t="shared" si="6"/>
        <v>1135</v>
      </c>
      <c r="G77" s="41"/>
      <c r="H77" s="42">
        <v>1135</v>
      </c>
      <c r="I77" s="43">
        <f t="shared" si="7"/>
        <v>1</v>
      </c>
      <c r="J77" s="41">
        <f t="shared" si="4"/>
        <v>0</v>
      </c>
      <c r="K77" s="40">
        <v>0</v>
      </c>
    </row>
    <row r="78" spans="1:11" x14ac:dyDescent="0.2">
      <c r="A78" s="52" t="s">
        <v>45</v>
      </c>
      <c r="B78" s="64" t="s">
        <v>112</v>
      </c>
      <c r="C78" s="6"/>
      <c r="D78" s="41">
        <v>726</v>
      </c>
      <c r="E78" s="41">
        <v>0</v>
      </c>
      <c r="F78" s="41">
        <f t="shared" si="6"/>
        <v>726</v>
      </c>
      <c r="G78" s="41"/>
      <c r="H78" s="42">
        <v>726</v>
      </c>
      <c r="I78" s="43">
        <f t="shared" si="7"/>
        <v>1</v>
      </c>
      <c r="J78" s="41">
        <f t="shared" si="4"/>
        <v>0</v>
      </c>
      <c r="K78" s="40">
        <v>0</v>
      </c>
    </row>
    <row r="79" spans="1:11" x14ac:dyDescent="0.2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5" x14ac:dyDescent="0.25">
      <c r="A82" s="51">
        <f>SUM(D72,D73,D74,D75,D76,D77,D78,D79,D80,D81)</f>
        <v>-1339</v>
      </c>
      <c r="B82" s="47" t="s">
        <v>22</v>
      </c>
      <c r="C82" s="48"/>
      <c r="D82" s="38">
        <f>SUM(D70:D81)</f>
        <v>1393316</v>
      </c>
      <c r="E82" s="38">
        <f>SUM(E70:E81)</f>
        <v>1391455</v>
      </c>
      <c r="F82" s="38">
        <f>SUM(F70:F81)</f>
        <v>1861</v>
      </c>
      <c r="G82" s="38">
        <f>SUM(G70:G81)</f>
        <v>0</v>
      </c>
      <c r="H82" s="38">
        <f>SUM(H70:H81)</f>
        <v>1393316</v>
      </c>
      <c r="I82" s="44"/>
      <c r="J82" s="38">
        <f>SUM(J70:J81)</f>
        <v>0</v>
      </c>
      <c r="K82" s="38">
        <f>SUM(K70:K81)</f>
        <v>69572.749999999985</v>
      </c>
    </row>
    <row r="83" spans="1:11" x14ac:dyDescent="0.2">
      <c r="I83" s="2"/>
    </row>
    <row r="84" spans="1:11" x14ac:dyDescent="0.2">
      <c r="I84" s="2"/>
    </row>
    <row r="85" spans="1:11" x14ac:dyDescent="0.2">
      <c r="C85" s="9"/>
      <c r="I85" s="2"/>
    </row>
    <row r="86" spans="1:11" x14ac:dyDescent="0.2">
      <c r="I86" s="2"/>
    </row>
    <row r="87" spans="1:11" ht="12" customHeight="1" x14ac:dyDescent="0.2">
      <c r="I87" s="2"/>
    </row>
    <row r="88" spans="1:11" ht="12" customHeight="1" x14ac:dyDescent="0.2">
      <c r="I88" s="2"/>
    </row>
    <row r="89" spans="1:11" ht="12" customHeight="1" x14ac:dyDescent="0.2">
      <c r="I89" s="2"/>
    </row>
    <row r="90" spans="1:11" ht="12" customHeight="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2013-12-12T15:56:28Z</cp:lastPrinted>
  <dcterms:created xsi:type="dcterms:W3CDTF">2001-02-05T15:33:02Z</dcterms:created>
  <dcterms:modified xsi:type="dcterms:W3CDTF">2014-07-14T23:18:40Z</dcterms:modified>
</cp:coreProperties>
</file>