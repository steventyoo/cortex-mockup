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[3]AIA!#REF!</definedName>
    <definedName name="__IntlFixup" hidden="1">TRUE</definedName>
    <definedName name="boxes">#REF!</definedName>
    <definedName name="boxes1">[4]Prestige!$D$37:$D$38</definedName>
    <definedName name="button_area_1">#REF!</definedName>
    <definedName name="CC">'[2]Customize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'[2]Customize Your Invoice'!$E$27</definedName>
    <definedName name="dflt6">'[2]Customize Your Invoice'!$D$28</definedName>
    <definedName name="display_area_2">#REF!</definedName>
    <definedName name="NO">[1]Invoice!#REF!</definedName>
    <definedName name="_PG3">[3]AIA!#REF!</definedName>
    <definedName name="_PG4">[1]AIA702!#REF!</definedName>
    <definedName name="PREVAPP3">[3]AIA!#REF!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_tax1">#REF!</definedName>
    <definedName name="_tax2">[1]Invoice!#REF!</definedName>
    <definedName name="_tax3">#REF!</definedName>
    <definedName name="_tax4">#REF!</definedName>
    <definedName name="TOT">#REF!</definedName>
    <definedName name="TOTCMPL3">[3]AIA!#REF!</definedName>
    <definedName name="TOTCMPL4">[1]AIA702!#REF!</definedName>
    <definedName name="values" localSheetId="0">'Schedule of V. Backup'!$A$1:$K$80</definedName>
    <definedName name="values">#REF!</definedName>
    <definedName name="vital5">'[2]Customize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 fullCalcOnLoad="1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/>
  <c r="G70" i="6"/>
  <c r="G82" i="6"/>
  <c r="H70" i="6"/>
  <c r="H82" i="6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F70" i="6" s="1"/>
  <c r="F82" i="6" s="1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/>
  <c r="K70" i="6"/>
  <c r="K82" i="6"/>
  <c r="J70" i="6"/>
  <c r="J82" i="6"/>
  <c r="J14" i="6"/>
  <c r="F14" i="6" l="1"/>
</calcChain>
</file>

<file path=xl/sharedStrings.xml><?xml version="1.0" encoding="utf-8"?>
<sst xmlns="http://schemas.openxmlformats.org/spreadsheetml/2006/main" count="173" uniqueCount="109">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</sst>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9" formatCode="mm/dd/yy"/>
    <numFmt numFmtId="172" formatCode="_-&quot;£&quot;* #,##0_-;\-&quot;£&quot;* #,##0_-;_-&quot;£&quot;* &quot;-&quot;_-;_-@_-"/>
    <numFmt numFmtId="173" formatCode="_-* #,##0_-;\-* #,##0_-;_-* &quot;-&quot;_-;_-@_-"/>
    <numFmt numFmtId="174" formatCode="_-&quot;£&quot;* #,##0.00_-;\-&quot;£&quot;* #,##0.00_-;_-&quot;£&quot;* &quot;-&quot;??_-;_-@_-"/>
    <numFmt numFmtId="175" formatCode="_-* #,##0.00_-;\-* #,##0.00_-;_-* &quot;-&quot;??_-;_-@_-"/>
    <numFmt numFmtId="187" formatCode="0.0%"/>
  </numFmts>
  <fonts count="11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6" fillId="0" borderId="0"/>
    <xf numFmtId="0" fontId="1" fillId="2" borderId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3" applyFont="1"/>
    <xf numFmtId="187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87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87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87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87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87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87" fontId="3" fillId="0" borderId="1" xfId="3" applyNumberFormat="1" applyFont="1" applyBorder="1" applyAlignment="1">
      <alignment horizontal="center"/>
    </xf>
    <xf numFmtId="187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9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topLeftCell="A55" zoomScaleNormal="75" zoomScaleSheetLayoutView="100" workbookViewId="0">
      <selection activeCell="F86" sqref="F86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49" t="s">
        <v>60</v>
      </c>
      <c r="E2" s="49"/>
      <c r="F2" s="49"/>
      <c r="G2" s="49"/>
      <c r="I2" s="2"/>
    </row>
    <row r="3" spans="1:11" ht="34.5" customHeight="1" thickBot="1" x14ac:dyDescent="0.45">
      <c r="A3" s="52" t="s">
        <v>52</v>
      </c>
      <c r="B3" s="53"/>
      <c r="C3" s="53"/>
      <c r="D3" s="53"/>
      <c r="E3" s="53"/>
      <c r="F3" s="53"/>
      <c r="G3" s="53"/>
      <c r="H3" s="53"/>
      <c r="I3" s="14"/>
      <c r="J3" s="13"/>
      <c r="K3" s="13"/>
    </row>
    <row r="4" spans="1:11" ht="22.8" x14ac:dyDescent="0.4">
      <c r="A4" s="50" t="s">
        <v>51</v>
      </c>
      <c r="B4" s="51"/>
      <c r="C4" s="51"/>
      <c r="D4" s="51"/>
      <c r="E4" s="51"/>
      <c r="I4" s="2"/>
    </row>
    <row r="5" spans="1:11" x14ac:dyDescent="0.25">
      <c r="A5" s="3" t="s">
        <v>86</v>
      </c>
      <c r="F5" s="11" t="s">
        <v>7</v>
      </c>
      <c r="G5" s="22"/>
      <c r="H5" s="60">
        <v>1</v>
      </c>
      <c r="I5" s="2"/>
      <c r="J5" s="12"/>
    </row>
    <row r="6" spans="1:11" x14ac:dyDescent="0.25">
      <c r="A6" s="3" t="s">
        <v>63</v>
      </c>
      <c r="F6" s="11" t="s">
        <v>23</v>
      </c>
      <c r="G6" s="23"/>
      <c r="H6" s="61">
        <v>41352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61">
        <v>41364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56" t="s">
        <v>30</v>
      </c>
      <c r="I10" s="57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4" t="s">
        <v>33</v>
      </c>
      <c r="F11" s="55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53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0</v>
      </c>
      <c r="F14" s="38">
        <f>SUM(F15:F69)</f>
        <v>48000</v>
      </c>
      <c r="G14" s="38"/>
      <c r="H14" s="38">
        <f>SUM(H15:H69)</f>
        <v>48000</v>
      </c>
      <c r="I14" s="39"/>
      <c r="J14" s="38">
        <f>SUM(J15:J69)</f>
        <v>1346655</v>
      </c>
      <c r="K14" s="37">
        <f>SUM(K15:K69)</f>
        <v>2400</v>
      </c>
    </row>
    <row r="15" spans="1:11" x14ac:dyDescent="0.25">
      <c r="A15" s="7" t="s">
        <v>6</v>
      </c>
      <c r="B15" s="7" t="s">
        <v>65</v>
      </c>
      <c r="C15" s="6" t="s">
        <v>17</v>
      </c>
      <c r="D15" s="40">
        <v>48000</v>
      </c>
      <c r="E15" s="41">
        <v>0</v>
      </c>
      <c r="F15" s="41">
        <f>H15-E15</f>
        <v>48000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82</v>
      </c>
      <c r="C16" s="6"/>
      <c r="D16" s="40">
        <v>11000</v>
      </c>
      <c r="E16" s="41">
        <v>0</v>
      </c>
      <c r="F16" s="41">
        <f>H16-E16</f>
        <v>0</v>
      </c>
      <c r="G16" s="41"/>
      <c r="H16" s="42">
        <v>0</v>
      </c>
      <c r="I16" s="43">
        <f>H16/D16</f>
        <v>0</v>
      </c>
      <c r="J16" s="41">
        <f>D16-H16</f>
        <v>11000</v>
      </c>
      <c r="K16" s="40">
        <f>0.05*H16</f>
        <v>0</v>
      </c>
    </row>
    <row r="17" spans="1:11" x14ac:dyDescent="0.25">
      <c r="A17" s="7" t="s">
        <v>66</v>
      </c>
      <c r="B17" s="45" t="s">
        <v>83</v>
      </c>
      <c r="C17" s="6" t="s">
        <v>17</v>
      </c>
      <c r="D17" s="41">
        <v>34000</v>
      </c>
      <c r="E17" s="41">
        <v>0</v>
      </c>
      <c r="F17" s="41">
        <f>H17-E17</f>
        <v>0</v>
      </c>
      <c r="G17" s="41"/>
      <c r="H17" s="42">
        <v>0</v>
      </c>
      <c r="I17" s="43">
        <f>H17/D17</f>
        <v>0</v>
      </c>
      <c r="J17" s="41">
        <f t="shared" ref="J17:J45" si="0">D17-H17</f>
        <v>34000</v>
      </c>
      <c r="K17" s="40">
        <f>0.05*H17</f>
        <v>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68</v>
      </c>
      <c r="B19" s="7" t="s">
        <v>67</v>
      </c>
      <c r="C19" s="6" t="s">
        <v>17</v>
      </c>
      <c r="D19" s="40">
        <v>12200</v>
      </c>
      <c r="E19" s="41">
        <v>0</v>
      </c>
      <c r="F19" s="41">
        <f>H19-E19</f>
        <v>0</v>
      </c>
      <c r="G19" s="41"/>
      <c r="H19" s="42">
        <v>0</v>
      </c>
      <c r="I19" s="43">
        <f>H19/D19</f>
        <v>0</v>
      </c>
      <c r="J19" s="41">
        <f>D19-H19</f>
        <v>12200</v>
      </c>
      <c r="K19" s="40">
        <f>0.05*H19</f>
        <v>0</v>
      </c>
    </row>
    <row r="20" spans="1:11" x14ac:dyDescent="0.25">
      <c r="A20" s="7" t="s">
        <v>87</v>
      </c>
      <c r="B20" s="7" t="s">
        <v>89</v>
      </c>
      <c r="C20" s="6" t="s">
        <v>17</v>
      </c>
      <c r="D20" s="40">
        <v>15900</v>
      </c>
      <c r="E20" s="41">
        <v>0</v>
      </c>
      <c r="F20" s="41">
        <f>H20-E20</f>
        <v>0</v>
      </c>
      <c r="G20" s="41"/>
      <c r="H20" s="42">
        <v>0</v>
      </c>
      <c r="I20" s="43">
        <f>H20/D20</f>
        <v>0</v>
      </c>
      <c r="J20" s="41">
        <f>D20-H20</f>
        <v>15900</v>
      </c>
      <c r="K20" s="40">
        <f>0.05*H20</f>
        <v>0</v>
      </c>
    </row>
    <row r="21" spans="1:11" x14ac:dyDescent="0.25">
      <c r="A21" s="7" t="s">
        <v>88</v>
      </c>
      <c r="B21" s="7" t="s">
        <v>90</v>
      </c>
      <c r="C21" s="6" t="s">
        <v>17</v>
      </c>
      <c r="D21" s="40">
        <v>15900</v>
      </c>
      <c r="E21" s="41">
        <v>0</v>
      </c>
      <c r="F21" s="41">
        <f>H21-E21</f>
        <v>0</v>
      </c>
      <c r="G21" s="41"/>
      <c r="H21" s="42">
        <v>0</v>
      </c>
      <c r="I21" s="43">
        <f>H21/D21</f>
        <v>0</v>
      </c>
      <c r="J21" s="41">
        <f>D21-H21</f>
        <v>15900</v>
      </c>
      <c r="K21" s="40">
        <f>0.05*H21</f>
        <v>0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106</v>
      </c>
      <c r="B23" s="7" t="s">
        <v>108</v>
      </c>
      <c r="C23" s="6" t="s">
        <v>17</v>
      </c>
      <c r="D23" s="41">
        <v>91600</v>
      </c>
      <c r="E23" s="41">
        <v>0</v>
      </c>
      <c r="F23" s="41">
        <f>H23-E23</f>
        <v>0</v>
      </c>
      <c r="G23" s="41"/>
      <c r="H23" s="42">
        <v>0</v>
      </c>
      <c r="I23" s="43">
        <f>H23/D23</f>
        <v>0</v>
      </c>
      <c r="J23" s="41">
        <f t="shared" si="0"/>
        <v>91600</v>
      </c>
      <c r="K23" s="40">
        <f>0.05*H23</f>
        <v>0</v>
      </c>
    </row>
    <row r="24" spans="1:11" x14ac:dyDescent="0.25">
      <c r="A24" s="7" t="s">
        <v>106</v>
      </c>
      <c r="B24" s="7" t="s">
        <v>64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106</v>
      </c>
      <c r="B25" s="7" t="s">
        <v>69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106</v>
      </c>
      <c r="B26" s="7" t="s">
        <v>107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70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54</v>
      </c>
      <c r="B29" s="7" t="s">
        <v>71</v>
      </c>
      <c r="C29" s="6"/>
      <c r="D29" s="41">
        <v>139600</v>
      </c>
      <c r="E29" s="41">
        <v>0</v>
      </c>
      <c r="F29" s="41">
        <f>H29-E29</f>
        <v>0</v>
      </c>
      <c r="G29" s="41"/>
      <c r="H29" s="42">
        <v>0</v>
      </c>
      <c r="I29" s="43">
        <f>H29/D29</f>
        <v>0</v>
      </c>
      <c r="J29" s="41">
        <f>D29-H29</f>
        <v>139600</v>
      </c>
      <c r="K29" s="40">
        <f>0.05*H29</f>
        <v>0</v>
      </c>
    </row>
    <row r="30" spans="1:11" x14ac:dyDescent="0.25">
      <c r="A30" s="7" t="s">
        <v>54</v>
      </c>
      <c r="B30" s="7" t="s">
        <v>72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54</v>
      </c>
      <c r="B31" s="7" t="s">
        <v>73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55</v>
      </c>
      <c r="B33" s="7" t="s">
        <v>74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55</v>
      </c>
      <c r="B34" s="7" t="s">
        <v>75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55</v>
      </c>
      <c r="B35" s="7" t="s">
        <v>76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56</v>
      </c>
      <c r="B37" s="7" t="s">
        <v>58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56</v>
      </c>
      <c r="B38" s="7" t="s">
        <v>81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56</v>
      </c>
      <c r="B39" s="7" t="s">
        <v>77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56</v>
      </c>
      <c r="B40" s="7" t="s">
        <v>78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57</v>
      </c>
      <c r="B42" s="7" t="s">
        <v>59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57</v>
      </c>
      <c r="B43" s="7" t="s">
        <v>81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57</v>
      </c>
      <c r="B44" s="7" t="s">
        <v>79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57</v>
      </c>
      <c r="B45" s="7" t="s">
        <v>80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93</v>
      </c>
      <c r="B47" s="7" t="s">
        <v>97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93</v>
      </c>
      <c r="B48" s="7" t="s">
        <v>81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93</v>
      </c>
      <c r="B49" s="7" t="s">
        <v>98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93</v>
      </c>
      <c r="B50" s="7" t="s">
        <v>99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91</v>
      </c>
      <c r="B52" s="7" t="s">
        <v>100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91</v>
      </c>
      <c r="B53" s="7" t="s">
        <v>81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91</v>
      </c>
      <c r="B54" s="7" t="s">
        <v>101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91</v>
      </c>
      <c r="B55" s="7" t="s">
        <v>102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92</v>
      </c>
      <c r="B57" s="7" t="s">
        <v>103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92</v>
      </c>
      <c r="B58" s="7" t="s">
        <v>81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92</v>
      </c>
      <c r="B59" s="7" t="s">
        <v>104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92</v>
      </c>
      <c r="B60" s="7" t="s">
        <v>105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54</v>
      </c>
      <c r="B62" s="7" t="s">
        <v>84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55</v>
      </c>
      <c r="B63" s="7" t="s">
        <v>85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56</v>
      </c>
      <c r="B64" s="7" t="s">
        <v>61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57</v>
      </c>
      <c r="B65" s="7" t="s">
        <v>62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93</v>
      </c>
      <c r="B66" s="7" t="s">
        <v>94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91</v>
      </c>
      <c r="B67" s="7" t="s">
        <v>95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92</v>
      </c>
      <c r="B68" s="7" t="s">
        <v>96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8" t="s">
        <v>21</v>
      </c>
      <c r="B70" s="59"/>
      <c r="C70" s="6"/>
      <c r="D70" s="38">
        <f>SUM(D15:D69)</f>
        <v>1394655</v>
      </c>
      <c r="E70" s="38">
        <f>SUM(E15:E69)</f>
        <v>0</v>
      </c>
      <c r="F70" s="38">
        <f>SUM(F15:F69)</f>
        <v>48000</v>
      </c>
      <c r="G70" s="38">
        <f>SUM(G15:G69)</f>
        <v>0</v>
      </c>
      <c r="H70" s="38">
        <f>SUM(H15:H69)</f>
        <v>48000</v>
      </c>
      <c r="I70" s="44"/>
      <c r="J70" s="38">
        <f>SUM(J15:J69)</f>
        <v>1346655</v>
      </c>
      <c r="K70" s="38">
        <f>SUM(K15:K69)</f>
        <v>2400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19" t="s">
        <v>6</v>
      </c>
      <c r="C72" s="8"/>
      <c r="D72" s="41">
        <v>0</v>
      </c>
      <c r="E72" s="41">
        <v>0</v>
      </c>
      <c r="F72" s="41">
        <f t="shared" ref="F72:F81" si="6">H72-E72</f>
        <v>0</v>
      </c>
      <c r="G72" s="38"/>
      <c r="H72" s="42">
        <v>0</v>
      </c>
      <c r="I72" s="43" t="e">
        <f t="shared" ref="I72:I81" si="7">H72/D72</f>
        <v>#DIV/0!</v>
      </c>
      <c r="J72" s="41">
        <f t="shared" si="4"/>
        <v>0</v>
      </c>
      <c r="K72" s="40">
        <f t="shared" si="5"/>
        <v>0</v>
      </c>
    </row>
    <row r="73" spans="1:11" x14ac:dyDescent="0.25">
      <c r="A73" s="19" t="s">
        <v>42</v>
      </c>
      <c r="B73" s="21" t="s">
        <v>6</v>
      </c>
      <c r="C73" s="6"/>
      <c r="D73" s="41">
        <v>0</v>
      </c>
      <c r="E73" s="41">
        <v>0</v>
      </c>
      <c r="F73" s="41">
        <f t="shared" si="6"/>
        <v>0</v>
      </c>
      <c r="G73" s="41"/>
      <c r="H73" s="42">
        <v>0</v>
      </c>
      <c r="I73" s="43" t="e">
        <f t="shared" si="7"/>
        <v>#DIV/0!</v>
      </c>
      <c r="J73" s="41">
        <f t="shared" si="4"/>
        <v>0</v>
      </c>
      <c r="K73" s="40">
        <f t="shared" si="5"/>
        <v>0</v>
      </c>
    </row>
    <row r="74" spans="1:11" x14ac:dyDescent="0.25">
      <c r="A74" s="19" t="s">
        <v>43</v>
      </c>
      <c r="B74" s="21" t="s">
        <v>6</v>
      </c>
      <c r="C74" s="6"/>
      <c r="D74" s="41">
        <v>0</v>
      </c>
      <c r="E74" s="41">
        <v>0</v>
      </c>
      <c r="F74" s="41">
        <f t="shared" si="6"/>
        <v>0</v>
      </c>
      <c r="G74" s="41"/>
      <c r="H74" s="42">
        <v>0</v>
      </c>
      <c r="I74" s="43" t="e">
        <f t="shared" si="7"/>
        <v>#DIV/0!</v>
      </c>
      <c r="J74" s="41">
        <f t="shared" si="4"/>
        <v>0</v>
      </c>
      <c r="K74" s="40">
        <f t="shared" si="5"/>
        <v>0</v>
      </c>
    </row>
    <row r="75" spans="1:11" x14ac:dyDescent="0.25">
      <c r="A75" s="19" t="s">
        <v>45</v>
      </c>
      <c r="B75" s="21" t="s">
        <v>6</v>
      </c>
      <c r="C75" s="6"/>
      <c r="D75" s="41">
        <v>0</v>
      </c>
      <c r="E75" s="41">
        <v>0</v>
      </c>
      <c r="F75" s="41">
        <f t="shared" si="6"/>
        <v>0</v>
      </c>
      <c r="G75" s="41"/>
      <c r="H75" s="42">
        <v>0</v>
      </c>
      <c r="I75" s="43" t="e">
        <f t="shared" si="7"/>
        <v>#DIV/0!</v>
      </c>
      <c r="J75" s="41">
        <f t="shared" si="4"/>
        <v>0</v>
      </c>
      <c r="K75" s="40">
        <f t="shared" si="5"/>
        <v>0</v>
      </c>
    </row>
    <row r="76" spans="1:11" x14ac:dyDescent="0.25">
      <c r="A76" s="19" t="s">
        <v>46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19" t="s">
        <v>47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19" t="s">
        <v>48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19" t="s">
        <v>49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19" t="s">
        <v>50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62">
        <f>SUM(D72,D73,D74,D75,D76,D77,D78,D79,D80,D81)</f>
        <v>0</v>
      </c>
      <c r="B82" s="47" t="s">
        <v>22</v>
      </c>
      <c r="C82" s="48"/>
      <c r="D82" s="38">
        <f>SUM(D70:D81)</f>
        <v>1394655</v>
      </c>
      <c r="E82" s="38">
        <f>SUM(E70:E81)</f>
        <v>0</v>
      </c>
      <c r="F82" s="38">
        <f>SUM(F70:F81)</f>
        <v>48000</v>
      </c>
      <c r="G82" s="38">
        <f>SUM(G70:G81)</f>
        <v>0</v>
      </c>
      <c r="H82" s="38">
        <f>SUM(H70:H81)</f>
        <v>48000</v>
      </c>
      <c r="I82" s="44"/>
      <c r="J82" s="38">
        <f>SUM(J70:J81)</f>
        <v>1346655</v>
      </c>
      <c r="K82" s="38">
        <f>SUM(K70:K81)</f>
        <v>2400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D2:G2"/>
    <mergeCell ref="A4:E4"/>
    <mergeCell ref="A3:H3"/>
    <mergeCell ref="E11:F11"/>
    <mergeCell ref="H10:I10"/>
    <mergeCell ref="A70:B7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5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6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6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2013-03-19T16:36:43Z</dcterms:modified>
</cp:coreProperties>
</file>