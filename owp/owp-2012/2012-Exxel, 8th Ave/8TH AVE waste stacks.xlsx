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08" windowWidth="11340" windowHeight="6552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Sheet1!$A$1:$N$80</definedName>
  </definedNames>
  <calcPr calcId="144525"/>
</workbook>
</file>

<file path=xl/calcChain.xml><?xml version="1.0" encoding="utf-8"?>
<calcChain xmlns="http://schemas.openxmlformats.org/spreadsheetml/2006/main">
  <c r="E39" i="1" l="1"/>
  <c r="E37" i="1"/>
  <c r="E35" i="1"/>
  <c r="E33" i="1"/>
  <c r="E31" i="1"/>
  <c r="E29" i="1"/>
  <c r="E27" i="1"/>
  <c r="E25" i="1"/>
  <c r="E23" i="1"/>
  <c r="E21" i="1"/>
  <c r="E19" i="1"/>
  <c r="D41" i="1"/>
  <c r="E41" i="1"/>
  <c r="E47" i="1"/>
  <c r="B29" i="1"/>
  <c r="C29" i="1"/>
  <c r="C51" i="1"/>
  <c r="D51" i="1"/>
  <c r="F51" i="1"/>
  <c r="G51" i="1"/>
  <c r="H51" i="1"/>
  <c r="C53" i="1"/>
  <c r="D53" i="1"/>
  <c r="F53" i="1"/>
  <c r="G53" i="1"/>
  <c r="H53" i="1"/>
  <c r="K53" i="1"/>
  <c r="C55" i="1"/>
  <c r="D55" i="1"/>
  <c r="F55" i="1"/>
  <c r="G55" i="1"/>
  <c r="H55" i="1"/>
  <c r="J55" i="1"/>
  <c r="B55" i="1"/>
  <c r="C49" i="1"/>
  <c r="D49" i="1"/>
  <c r="F49" i="1"/>
  <c r="J49" i="1"/>
  <c r="G49" i="1"/>
  <c r="H49" i="1"/>
  <c r="C47" i="1"/>
  <c r="D47" i="1"/>
  <c r="F47" i="1"/>
  <c r="G47" i="1"/>
  <c r="H47" i="1"/>
  <c r="C45" i="1"/>
  <c r="D45" i="1"/>
  <c r="F45" i="1"/>
  <c r="G45" i="1"/>
  <c r="H45" i="1"/>
  <c r="C43" i="1"/>
  <c r="D43" i="1"/>
  <c r="F43" i="1"/>
  <c r="G43" i="1"/>
  <c r="H43" i="1"/>
  <c r="C41" i="1"/>
  <c r="F41" i="1"/>
  <c r="G41" i="1"/>
  <c r="H41" i="1"/>
  <c r="K41" i="1"/>
  <c r="C39" i="1"/>
  <c r="D39" i="1"/>
  <c r="F39" i="1"/>
  <c r="G39" i="1"/>
  <c r="H39" i="1"/>
  <c r="J39" i="1"/>
  <c r="C37" i="1"/>
  <c r="D37" i="1"/>
  <c r="F37" i="1"/>
  <c r="G37" i="1"/>
  <c r="H37" i="1"/>
  <c r="C35" i="1"/>
  <c r="D35" i="1"/>
  <c r="F35" i="1"/>
  <c r="G35" i="1"/>
  <c r="H35" i="1"/>
  <c r="C33" i="1"/>
  <c r="D33" i="1"/>
  <c r="F33" i="1"/>
  <c r="G33" i="1"/>
  <c r="H33" i="1"/>
  <c r="B53" i="1"/>
  <c r="B51" i="1"/>
  <c r="B49" i="1"/>
  <c r="B47" i="1"/>
  <c r="B45" i="1"/>
  <c r="B43" i="1"/>
  <c r="J43" i="1"/>
  <c r="B41" i="1"/>
  <c r="B39" i="1"/>
  <c r="B37" i="1"/>
  <c r="B35" i="1"/>
  <c r="B33" i="1"/>
  <c r="C5" i="1"/>
  <c r="D5" i="1"/>
  <c r="F5" i="1"/>
  <c r="G5" i="1"/>
  <c r="H5" i="1"/>
  <c r="C7" i="1"/>
  <c r="D7" i="1"/>
  <c r="F7" i="1"/>
  <c r="G7" i="1"/>
  <c r="H7" i="1"/>
  <c r="C9" i="1"/>
  <c r="D9" i="1"/>
  <c r="F9" i="1"/>
  <c r="G9" i="1"/>
  <c r="H9" i="1"/>
  <c r="C11" i="1"/>
  <c r="D11" i="1"/>
  <c r="F11" i="1"/>
  <c r="G11" i="1"/>
  <c r="H11" i="1"/>
  <c r="K11" i="1"/>
  <c r="C13" i="1"/>
  <c r="D13" i="1"/>
  <c r="F13" i="1"/>
  <c r="G13" i="1"/>
  <c r="H13" i="1"/>
  <c r="C15" i="1"/>
  <c r="D15" i="1"/>
  <c r="F15" i="1"/>
  <c r="G15" i="1"/>
  <c r="H15" i="1"/>
  <c r="C17" i="1"/>
  <c r="D17" i="1"/>
  <c r="F17" i="1"/>
  <c r="G17" i="1"/>
  <c r="H17" i="1"/>
  <c r="C19" i="1"/>
  <c r="D19" i="1"/>
  <c r="F19" i="1"/>
  <c r="G19" i="1"/>
  <c r="H19" i="1"/>
  <c r="C21" i="1"/>
  <c r="D21" i="1"/>
  <c r="F21" i="1"/>
  <c r="G21" i="1"/>
  <c r="H21" i="1"/>
  <c r="C23" i="1"/>
  <c r="D23" i="1"/>
  <c r="F23" i="1"/>
  <c r="G23" i="1"/>
  <c r="H23" i="1"/>
  <c r="G25" i="1"/>
  <c r="H25" i="1"/>
  <c r="C25" i="1"/>
  <c r="D25" i="1"/>
  <c r="F25" i="1"/>
  <c r="C27" i="1"/>
  <c r="D27" i="1"/>
  <c r="J27" i="1"/>
  <c r="F27" i="1"/>
  <c r="G27" i="1"/>
  <c r="H27" i="1"/>
  <c r="D29" i="1"/>
  <c r="J29" i="1"/>
  <c r="F29" i="1"/>
  <c r="G29" i="1"/>
  <c r="H29" i="1"/>
  <c r="K29" i="1"/>
  <c r="C31" i="1"/>
  <c r="D31" i="1"/>
  <c r="F31" i="1"/>
  <c r="G31" i="1"/>
  <c r="H31" i="1"/>
  <c r="B31" i="1"/>
  <c r="B27" i="1"/>
  <c r="B25" i="1"/>
  <c r="B23" i="1"/>
  <c r="B21" i="1"/>
  <c r="B19" i="1"/>
  <c r="B17" i="1"/>
  <c r="B15" i="1"/>
  <c r="J15" i="1"/>
  <c r="B13" i="1"/>
  <c r="K13" i="1"/>
  <c r="B11" i="1"/>
  <c r="B9" i="1"/>
  <c r="B5" i="1"/>
  <c r="B7" i="1"/>
  <c r="G40" i="1"/>
  <c r="I37" i="1"/>
  <c r="I35" i="1"/>
  <c r="I33" i="1"/>
  <c r="J53" i="1"/>
  <c r="J47" i="1"/>
  <c r="J25" i="1"/>
  <c r="K25" i="1"/>
  <c r="K19" i="1"/>
  <c r="K55" i="1"/>
  <c r="K51" i="1"/>
  <c r="J51" i="1"/>
  <c r="K49" i="1"/>
  <c r="K47" i="1"/>
  <c r="K45" i="1"/>
  <c r="J45" i="1"/>
  <c r="K43" i="1"/>
  <c r="J37" i="1"/>
  <c r="J23" i="1"/>
  <c r="K39" i="1"/>
  <c r="K35" i="1"/>
  <c r="K33" i="1"/>
  <c r="K31" i="1"/>
  <c r="J33" i="1"/>
  <c r="J35" i="1"/>
  <c r="J41" i="1"/>
  <c r="K27" i="1"/>
  <c r="J21" i="1"/>
  <c r="K21" i="1"/>
  <c r="K37" i="1"/>
  <c r="K15" i="1"/>
  <c r="K23" i="1"/>
  <c r="J31" i="1"/>
  <c r="J19" i="1"/>
  <c r="K17" i="1"/>
  <c r="J17" i="1"/>
  <c r="J13" i="1"/>
  <c r="J11" i="1"/>
  <c r="K9" i="1"/>
  <c r="J9" i="1"/>
  <c r="J7" i="1"/>
  <c r="K7" i="1"/>
  <c r="J5" i="1"/>
  <c r="K5" i="1"/>
  <c r="J4" i="1"/>
  <c r="K4" i="1"/>
</calcChain>
</file>

<file path=xl/sharedStrings.xml><?xml version="1.0" encoding="utf-8"?>
<sst xmlns="http://schemas.openxmlformats.org/spreadsheetml/2006/main" count="70" uniqueCount="33">
  <si>
    <t>W.C.</t>
  </si>
  <si>
    <t>LAV</t>
  </si>
  <si>
    <t>TUB</t>
  </si>
  <si>
    <t>SHOW</t>
  </si>
  <si>
    <t>K.S.</t>
  </si>
  <si>
    <t>D.W.</t>
  </si>
  <si>
    <t>A.W.</t>
  </si>
  <si>
    <t>H.B.</t>
  </si>
  <si>
    <t>F.U.</t>
  </si>
  <si>
    <t>TOTAL</t>
  </si>
  <si>
    <t>L</t>
  </si>
  <si>
    <t>STACK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</si>
  <si>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</si>
  <si>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</si>
  <si>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</si>
  <si>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</si>
  <si>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</si>
  <si>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</si>
  <si>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</si>
  <si>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</si>
  <si>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</si>
  <si>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</si>
  <si>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</si>
  <si>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</si>
  <si>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</si>
  <si>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</si>
  <si>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26</t>
  </si>
  <si>
    <t>02&amp;104</t>
  </si>
  <si>
    <t>03&amp;103</t>
  </si>
  <si>
    <t>04&amp;102</t>
  </si>
  <si>
    <t>05&amp;101</t>
  </si>
  <si>
    <t>06&amp;100</t>
  </si>
  <si>
    <t>21&amp;105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</si>
</sst>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0"/>
      <name val="Arial"/>
    </font>
    <font>
      <b/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sz val="12"/>
      <color indexed="10"/>
      <name val="Arial"/>
      <family val="2"/>
    </font>
    <font>
      <sz val="10"/>
      <color indexed="10"/>
      <name val="Arial"/>
      <family val="2"/>
    </font>
    <font>
      <sz val="12"/>
      <color indexed="12"/>
      <name val="Arial"/>
      <family val="2"/>
    </font>
    <font>
      <b/>
      <sz val="12"/>
      <color indexed="12"/>
      <name val="Arial"/>
      <family val="2"/>
    </font>
    <font>
      <b/>
      <sz val="14"/>
      <color indexed="12"/>
      <name val="Arial"/>
      <family val="2"/>
    </font>
    <font>
      <sz val="10"/>
      <color indexed="12"/>
      <name val="Arial"/>
      <family val="2"/>
    </font>
    <font>
      <b/>
      <sz val="10"/>
      <color indexed="12"/>
      <name val="Arial"/>
      <family val="2"/>
    </font>
    <font>
      <b/>
      <i/>
      <sz val="12"/>
      <color indexed="20"/>
      <name val="Arial"/>
      <family val="2"/>
    </font>
    <font>
      <b/>
      <u/>
      <sz val="1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8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49" fontId="3" fillId="0" borderId="0" xfId="0" applyNumberFormat="1" applyFont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Border="1"/>
    <xf numFmtId="0" fontId="3" fillId="0" borderId="0" xfId="0" applyFont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3" fillId="3" borderId="0" xfId="0" applyFont="1" applyFill="1" applyBorder="1" applyAlignment="1">
      <alignment horizontal="center"/>
    </xf>
    <xf numFmtId="0" fontId="0" fillId="0" borderId="0" xfId="0" applyBorder="1"/>
    <xf numFmtId="0" fontId="2" fillId="0" borderId="0" xfId="0" applyFont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2" fillId="0" borderId="0" xfId="0" applyFont="1" applyBorder="1"/>
    <xf numFmtId="0" fontId="4" fillId="0" borderId="0" xfId="0" applyFont="1" applyFill="1" applyBorder="1" applyAlignment="1">
      <alignment horizontal="center"/>
    </xf>
    <xf numFmtId="0" fontId="3" fillId="0" borderId="0" xfId="0" applyFont="1" applyBorder="1"/>
    <xf numFmtId="0" fontId="1" fillId="0" borderId="0" xfId="0" applyFont="1" applyBorder="1"/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49" fontId="4" fillId="0" borderId="0" xfId="0" applyNumberFormat="1" applyFont="1" applyBorder="1" applyAlignment="1">
      <alignment horizontal="center"/>
    </xf>
    <xf numFmtId="49" fontId="3" fillId="0" borderId="0" xfId="0" applyNumberFormat="1" applyFont="1" applyBorder="1" applyAlignment="1">
      <alignment horizontal="center"/>
    </xf>
    <xf numFmtId="49" fontId="3" fillId="0" borderId="2" xfId="0" applyNumberFormat="1" applyFont="1" applyBorder="1" applyAlignment="1">
      <alignment horizontal="center"/>
    </xf>
    <xf numFmtId="49" fontId="3" fillId="0" borderId="3" xfId="0" applyNumberFormat="1" applyFont="1" applyBorder="1" applyAlignment="1">
      <alignment horizontal="center"/>
    </xf>
    <xf numFmtId="49" fontId="2" fillId="0" borderId="0" xfId="0" applyNumberFormat="1" applyFont="1"/>
    <xf numFmtId="49" fontId="2" fillId="0" borderId="0" xfId="0" applyNumberFormat="1" applyFont="1" applyAlignment="1">
      <alignment horizontal="center"/>
    </xf>
    <xf numFmtId="49" fontId="0" fillId="0" borderId="0" xfId="0" applyNumberFormat="1"/>
    <xf numFmtId="0" fontId="5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Fill="1" applyAlignment="1">
      <alignment horizontal="center"/>
    </xf>
    <xf numFmtId="0" fontId="6" fillId="0" borderId="0" xfId="0" applyFont="1"/>
    <xf numFmtId="0" fontId="7" fillId="0" borderId="0" xfId="0" applyFont="1"/>
    <xf numFmtId="0" fontId="8" fillId="0" borderId="0" xfId="0" applyFont="1" applyAlignment="1">
      <alignment horizontal="center"/>
    </xf>
    <xf numFmtId="0" fontId="9" fillId="0" borderId="0" xfId="0" applyFont="1" applyFill="1" applyAlignment="1">
      <alignment horizontal="center"/>
    </xf>
    <xf numFmtId="0" fontId="8" fillId="0" borderId="0" xfId="0" applyFont="1" applyFill="1" applyBorder="1" applyAlignment="1">
      <alignment horizontal="center"/>
    </xf>
    <xf numFmtId="0" fontId="10" fillId="0" borderId="0" xfId="0" applyFont="1"/>
    <xf numFmtId="0" fontId="12" fillId="0" borderId="0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2" fillId="0" borderId="4" xfId="0" applyFont="1" applyBorder="1" applyAlignment="1">
      <alignment horizontal="center"/>
    </xf>
    <xf numFmtId="1" fontId="8" fillId="0" borderId="0" xfId="0" applyNumberFormat="1" applyFont="1" applyFill="1" applyBorder="1" applyAlignment="1">
      <alignment horizontal="center"/>
    </xf>
    <xf numFmtId="1" fontId="4" fillId="0" borderId="5" xfId="0" applyNumberFormat="1" applyFont="1" applyFill="1" applyBorder="1" applyAlignment="1">
      <alignment horizontal="center"/>
    </xf>
    <xf numFmtId="0" fontId="0" fillId="0" borderId="0" xfId="0" applyFill="1" applyBorder="1"/>
    <xf numFmtId="49" fontId="3" fillId="0" borderId="0" xfId="0" applyNumberFormat="1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10" fillId="0" borderId="0" xfId="0" applyFont="1" applyBorder="1"/>
    <xf numFmtId="1" fontId="8" fillId="0" borderId="1" xfId="0" applyNumberFormat="1" applyFont="1" applyFill="1" applyBorder="1" applyAlignment="1">
      <alignment horizontal="center"/>
    </xf>
    <xf numFmtId="49" fontId="12" fillId="0" borderId="0" xfId="0" applyNumberFormat="1" applyFont="1" applyBorder="1" applyAlignment="1">
      <alignment horizontal="center"/>
    </xf>
    <xf numFmtId="1" fontId="11" fillId="4" borderId="0" xfId="0" applyNumberFormat="1" applyFont="1" applyFill="1" applyBorder="1" applyAlignment="1">
      <alignment horizontal="center"/>
    </xf>
    <xf numFmtId="0" fontId="13" fillId="0" borderId="0" xfId="0" applyFont="1" applyBorder="1" applyAlignment="1">
      <alignment horizontal="center"/>
    </xf>
    <xf numFmtId="0" fontId="10" fillId="0" borderId="0" xfId="0" applyFont="1" applyFill="1" applyBorder="1"/>
    <xf numFmtId="0" fontId="6" fillId="0" borderId="0" xfId="0" applyFont="1" applyFill="1" applyBorder="1"/>
    <xf numFmtId="49" fontId="0" fillId="0" borderId="0" xfId="0" applyNumberFormat="1" applyBorder="1"/>
    <xf numFmtId="1" fontId="4" fillId="0" borderId="0" xfId="0" applyNumberFormat="1" applyFont="1" applyFill="1" applyBorder="1" applyAlignment="1">
      <alignment horizontal="center"/>
    </xf>
    <xf numFmtId="1" fontId="11" fillId="0" borderId="0" xfId="0" applyNumberFormat="1" applyFont="1" applyFill="1" applyBorder="1" applyAlignment="1">
      <alignment horizontal="center"/>
    </xf>
    <xf numFmtId="1" fontId="3" fillId="4" borderId="0" xfId="0" applyNumberFormat="1" applyFont="1" applyFill="1" applyBorder="1" applyAlignment="1">
      <alignment horizontal="center"/>
    </xf>
    <xf numFmtId="1" fontId="3" fillId="0" borderId="0" xfId="0" applyNumberFormat="1" applyFont="1" applyBorder="1" applyAlignment="1">
      <alignment horizontal="center"/>
    </xf>
    <xf numFmtId="1" fontId="3" fillId="0" borderId="0" xfId="0" applyNumberFormat="1" applyFont="1" applyFill="1" applyBorder="1" applyAlignment="1">
      <alignment horizontal="center"/>
    </xf>
    <xf numFmtId="1" fontId="5" fillId="0" borderId="0" xfId="0" applyNumberFormat="1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1" fontId="8" fillId="4" borderId="2" xfId="0" applyNumberFormat="1" applyFont="1" applyFill="1" applyBorder="1" applyAlignment="1">
      <alignment horizontal="center"/>
    </xf>
    <xf numFmtId="0" fontId="3" fillId="0" borderId="6" xfId="0" applyFont="1" applyBorder="1" applyAlignment="1">
      <alignment horizontal="center"/>
    </xf>
    <xf numFmtId="1" fontId="8" fillId="0" borderId="6" xfId="0" applyNumberFormat="1" applyFont="1" applyFill="1" applyBorder="1" applyAlignment="1">
      <alignment horizontal="center"/>
    </xf>
    <xf numFmtId="1" fontId="4" fillId="0" borderId="6" xfId="0" applyNumberFormat="1" applyFont="1" applyFill="1" applyBorder="1" applyAlignment="1">
      <alignment horizontal="center"/>
    </xf>
    <xf numFmtId="0" fontId="0" fillId="0" borderId="6" xfId="0" applyBorder="1"/>
    <xf numFmtId="0" fontId="3" fillId="0" borderId="7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1" fontId="4" fillId="0" borderId="8" xfId="0" applyNumberFormat="1" applyFont="1" applyFill="1" applyBorder="1" applyAlignment="1">
      <alignment horizontal="center"/>
    </xf>
    <xf numFmtId="0" fontId="3" fillId="4" borderId="0" xfId="0" applyFont="1" applyFill="1" applyBorder="1" applyAlignment="1">
      <alignment horizontal="center"/>
    </xf>
    <xf numFmtId="0" fontId="3" fillId="0" borderId="9" xfId="0" applyFont="1" applyBorder="1" applyAlignment="1">
      <alignment horizontal="center"/>
    </xf>
    <xf numFmtId="49" fontId="4" fillId="0" borderId="3" xfId="0" applyNumberFormat="1" applyFont="1" applyBorder="1" applyAlignment="1">
      <alignment horizontal="center"/>
    </xf>
    <xf numFmtId="1" fontId="3" fillId="0" borderId="7" xfId="0" applyNumberFormat="1" applyFont="1" applyBorder="1" applyAlignment="1">
      <alignment horizontal="center"/>
    </xf>
    <xf numFmtId="1" fontId="2" fillId="0" borderId="4" xfId="0" applyNumberFormat="1" applyFont="1" applyBorder="1" applyAlignment="1">
      <alignment horizontal="center"/>
    </xf>
    <xf numFmtId="1" fontId="3" fillId="0" borderId="4" xfId="0" applyNumberFormat="1" applyFont="1" applyBorder="1" applyAlignment="1">
      <alignment horizontal="center"/>
    </xf>
    <xf numFmtId="1" fontId="8" fillId="0" borderId="4" xfId="0" applyNumberFormat="1" applyFont="1" applyFill="1" applyBorder="1" applyAlignment="1">
      <alignment horizontal="center"/>
    </xf>
    <xf numFmtId="1" fontId="3" fillId="0" borderId="7" xfId="0" applyNumberFormat="1" applyFont="1" applyFill="1" applyBorder="1" applyAlignment="1">
      <alignment horizontal="center"/>
    </xf>
    <xf numFmtId="1" fontId="3" fillId="0" borderId="4" xfId="0" applyNumberFormat="1" applyFont="1" applyFill="1" applyBorder="1" applyAlignment="1">
      <alignment horizontal="center"/>
    </xf>
    <xf numFmtId="1" fontId="3" fillId="0" borderId="9" xfId="0" applyNumberFormat="1" applyFont="1" applyFill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1" fontId="8" fillId="5" borderId="7" xfId="0" applyNumberFormat="1" applyFont="1" applyFill="1" applyBorder="1" applyAlignment="1">
      <alignment horizontal="center"/>
    </xf>
    <xf numFmtId="1" fontId="8" fillId="5" borderId="8" xfId="0" applyNumberFormat="1" applyFont="1" applyFill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1" fontId="4" fillId="0" borderId="1" xfId="0" applyNumberFormat="1" applyFont="1" applyFill="1" applyBorder="1" applyAlignment="1">
      <alignment horizontal="center"/>
    </xf>
    <xf numFmtId="49" fontId="1" fillId="0" borderId="0" xfId="0" applyNumberFormat="1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69"/>
  <sheetViews>
    <sheetView tabSelected="1" view="pageLayout" zoomScaleNormal="100" zoomScaleSheetLayoutView="100" workbookViewId="0">
      <selection activeCell="K4" sqref="K4"/>
    </sheetView>
  </sheetViews>
  <sheetFormatPr defaultRowHeight="13.2" x14ac:dyDescent="0.25"/>
  <cols>
    <col min="1" max="1" width="12.5546875" customWidth="1"/>
    <col min="2" max="2" width="7.88671875" customWidth="1"/>
    <col min="3" max="4" width="6.33203125" customWidth="1"/>
    <col min="5" max="5" width="8.6640625" customWidth="1"/>
    <col min="6" max="6" width="6.33203125" customWidth="1"/>
    <col min="7" max="7" width="6.33203125" hidden="1" customWidth="1"/>
    <col min="8" max="8" width="6.33203125" customWidth="1"/>
    <col min="9" max="9" width="6.33203125" hidden="1" customWidth="1"/>
    <col min="10" max="10" width="9.44140625" customWidth="1"/>
    <col min="11" max="11" width="7.44140625" style="38" customWidth="1"/>
    <col min="12" max="12" width="9" style="33" customWidth="1"/>
    <col min="13" max="13" width="10.44140625" hidden="1" customWidth="1"/>
    <col min="14" max="14" width="12.5546875" style="29" customWidth="1"/>
    <col min="21" max="21" width="0" hidden="1" customWidth="1"/>
    <col min="23" max="23" width="0" hidden="1" customWidth="1"/>
    <col min="27" max="27" width="0" hidden="1" customWidth="1"/>
  </cols>
  <sheetData>
    <row r="1" spans="1:28" ht="15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34"/>
      <c r="L1" s="30"/>
      <c r="M1" s="2"/>
      <c r="N1" s="27"/>
    </row>
    <row r="2" spans="1:28" ht="16.2" thickBot="1" x14ac:dyDescent="0.35">
      <c r="A2" s="3"/>
      <c r="B2" s="40" t="s">
        <v>0</v>
      </c>
      <c r="C2" s="40" t="s">
        <v>1</v>
      </c>
      <c r="D2" s="40" t="s">
        <v>2</v>
      </c>
      <c r="E2" s="40" t="s">
        <v>3</v>
      </c>
      <c r="F2" s="40" t="s">
        <v>4</v>
      </c>
      <c r="G2" s="40" t="s">
        <v>5</v>
      </c>
      <c r="H2" s="40" t="s">
        <v>6</v>
      </c>
      <c r="I2" s="4" t="s">
        <v>7</v>
      </c>
      <c r="J2" s="4"/>
      <c r="K2" s="35" t="s">
        <v>8</v>
      </c>
      <c r="L2" s="31"/>
      <c r="M2" s="5"/>
      <c r="N2" s="28"/>
    </row>
    <row r="3" spans="1:28" ht="18.600000000000001" thickTop="1" thickBot="1" x14ac:dyDescent="0.35">
      <c r="A3" s="6" t="s">
        <v>11</v>
      </c>
      <c r="B3" s="67">
        <v>3</v>
      </c>
      <c r="C3" s="63">
        <v>1</v>
      </c>
      <c r="D3" s="63">
        <v>2</v>
      </c>
      <c r="E3" s="63">
        <v>2</v>
      </c>
      <c r="F3" s="63">
        <v>2</v>
      </c>
      <c r="G3" s="63"/>
      <c r="H3" s="81">
        <v>3</v>
      </c>
      <c r="I3" s="3"/>
      <c r="J3" s="4"/>
      <c r="K3" s="36" t="s">
        <v>10</v>
      </c>
      <c r="L3" s="32"/>
      <c r="M3" s="2"/>
      <c r="N3" s="6" t="s">
        <v>11</v>
      </c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</row>
    <row r="4" spans="1:28" ht="16.8" thickTop="1" thickBot="1" x14ac:dyDescent="0.35">
      <c r="A4" s="26" t="s">
        <v>12</v>
      </c>
      <c r="B4" s="7">
        <v>6</v>
      </c>
      <c r="C4" s="7">
        <v>6</v>
      </c>
      <c r="D4" s="7">
        <v>6</v>
      </c>
      <c r="E4" s="7"/>
      <c r="F4" s="7">
        <v>6</v>
      </c>
      <c r="G4" s="7"/>
      <c r="H4" s="7">
        <v>6</v>
      </c>
      <c r="I4" s="8"/>
      <c r="J4" s="62">
        <f>SUM(J5:J77)</f>
        <v>1782</v>
      </c>
      <c r="K4" s="62">
        <f>SUM(K5:K77)</f>
        <v>1296</v>
      </c>
      <c r="L4" s="62"/>
      <c r="M4" s="9"/>
      <c r="N4" s="25" t="s">
        <v>9</v>
      </c>
      <c r="O4" s="24"/>
      <c r="P4" s="14"/>
      <c r="Q4" s="14"/>
      <c r="R4" s="14"/>
      <c r="S4" s="14"/>
      <c r="T4" s="14"/>
      <c r="U4" s="14"/>
      <c r="V4" s="14"/>
      <c r="W4" s="10"/>
      <c r="X4" s="10"/>
      <c r="Y4" s="15"/>
      <c r="Z4" s="15"/>
      <c r="AA4" s="13"/>
      <c r="AB4" s="24"/>
    </row>
    <row r="5" spans="1:28" ht="16.8" thickTop="1" thickBot="1" x14ac:dyDescent="0.35">
      <c r="A5" s="61" t="s">
        <v>9</v>
      </c>
      <c r="B5" s="61">
        <f>B4*B3</f>
        <v>18</v>
      </c>
      <c r="C5" s="61">
        <f t="shared" ref="C5:H5" si="0">C4*C3</f>
        <v>6</v>
      </c>
      <c r="D5" s="61">
        <f t="shared" si="0"/>
        <v>12</v>
      </c>
      <c r="E5" s="61"/>
      <c r="F5" s="61">
        <f t="shared" si="0"/>
        <v>12</v>
      </c>
      <c r="G5" s="61">
        <f t="shared" si="0"/>
        <v>0</v>
      </c>
      <c r="H5" s="61">
        <f t="shared" si="0"/>
        <v>18</v>
      </c>
      <c r="I5" s="63"/>
      <c r="J5" s="73">
        <f>SUM(B5,C5,D5,E5,F5,H5)</f>
        <v>66</v>
      </c>
      <c r="K5" s="64">
        <f>B5+F5+H5</f>
        <v>48</v>
      </c>
      <c r="L5" s="65"/>
      <c r="M5" s="66"/>
      <c r="N5" s="26" t="s">
        <v>12</v>
      </c>
      <c r="O5" s="10"/>
      <c r="P5" s="10"/>
      <c r="Q5" s="10"/>
      <c r="R5" s="10"/>
      <c r="S5" s="10"/>
      <c r="T5" s="10"/>
      <c r="U5" s="10"/>
      <c r="V5" s="10"/>
      <c r="W5" s="10"/>
      <c r="X5" s="10"/>
      <c r="Y5" s="11"/>
      <c r="Z5" s="12"/>
      <c r="AA5" s="13"/>
      <c r="AB5" s="10"/>
    </row>
    <row r="6" spans="1:28" ht="16.8" thickTop="1" thickBot="1" x14ac:dyDescent="0.35">
      <c r="A6" s="26" t="s">
        <v>27</v>
      </c>
      <c r="B6" s="14">
        <v>7</v>
      </c>
      <c r="C6" s="14">
        <v>7</v>
      </c>
      <c r="D6" s="14">
        <v>7</v>
      </c>
      <c r="E6" s="14"/>
      <c r="F6" s="14">
        <v>7</v>
      </c>
      <c r="G6" s="14"/>
      <c r="H6" s="14">
        <v>7</v>
      </c>
      <c r="I6" s="14"/>
      <c r="J6" s="74"/>
      <c r="K6" s="64"/>
      <c r="L6" s="60"/>
      <c r="M6" s="13"/>
      <c r="N6" s="72"/>
      <c r="O6" s="23"/>
      <c r="P6" s="16"/>
      <c r="Q6" s="16"/>
      <c r="R6" s="16"/>
      <c r="S6" s="16"/>
      <c r="T6" s="16"/>
      <c r="U6" s="16"/>
      <c r="V6" s="16"/>
      <c r="W6" s="10"/>
      <c r="X6" s="10"/>
      <c r="Y6" s="15"/>
      <c r="Z6" s="15"/>
      <c r="AA6" s="13"/>
      <c r="AB6" s="23"/>
    </row>
    <row r="7" spans="1:28" s="1" customFormat="1" ht="16.8" thickTop="1" thickBot="1" x14ac:dyDescent="0.35">
      <c r="A7" s="61" t="s">
        <v>9</v>
      </c>
      <c r="B7" s="61">
        <f>B6*B3</f>
        <v>21</v>
      </c>
      <c r="C7" s="61">
        <f t="shared" ref="C7:H7" si="1">C6*C3</f>
        <v>7</v>
      </c>
      <c r="D7" s="61">
        <f t="shared" si="1"/>
        <v>14</v>
      </c>
      <c r="E7" s="61"/>
      <c r="F7" s="61">
        <f t="shared" si="1"/>
        <v>14</v>
      </c>
      <c r="G7" s="61">
        <f t="shared" si="1"/>
        <v>0</v>
      </c>
      <c r="H7" s="61">
        <f t="shared" si="1"/>
        <v>21</v>
      </c>
      <c r="I7" s="63"/>
      <c r="J7" s="73">
        <f>SUM(B7,C7,D7,E7,F7,H7)</f>
        <v>77</v>
      </c>
      <c r="K7" s="64">
        <f>B7+F7+H7</f>
        <v>56</v>
      </c>
      <c r="L7" s="65"/>
      <c r="M7" s="66"/>
      <c r="N7" s="26" t="s">
        <v>13</v>
      </c>
      <c r="O7" s="10"/>
      <c r="P7" s="10"/>
      <c r="Q7" s="10"/>
      <c r="R7" s="10"/>
      <c r="S7" s="10"/>
      <c r="T7" s="10"/>
      <c r="U7" s="10"/>
      <c r="V7" s="10"/>
      <c r="W7" s="10"/>
      <c r="X7" s="10"/>
      <c r="Y7" s="11"/>
      <c r="Z7" s="12"/>
      <c r="AA7" s="13"/>
      <c r="AB7" s="10"/>
    </row>
    <row r="8" spans="1:28" ht="16.8" thickTop="1" thickBot="1" x14ac:dyDescent="0.35">
      <c r="A8" s="26" t="s">
        <v>28</v>
      </c>
      <c r="B8" s="14">
        <v>7</v>
      </c>
      <c r="C8" s="14">
        <v>7</v>
      </c>
      <c r="D8" s="14">
        <v>7</v>
      </c>
      <c r="E8" s="14"/>
      <c r="F8" s="14">
        <v>7</v>
      </c>
      <c r="G8" s="14"/>
      <c r="H8" s="14">
        <v>7</v>
      </c>
      <c r="I8" s="10"/>
      <c r="J8" s="75"/>
      <c r="K8" s="64"/>
      <c r="L8" s="55"/>
      <c r="M8" s="13"/>
      <c r="N8" s="61"/>
      <c r="O8" s="24"/>
      <c r="P8" s="14"/>
      <c r="Q8" s="14"/>
      <c r="R8" s="14"/>
      <c r="S8" s="14"/>
      <c r="T8" s="14"/>
      <c r="U8" s="14"/>
      <c r="V8" s="14"/>
      <c r="W8" s="10"/>
      <c r="X8" s="10"/>
      <c r="Y8" s="15"/>
      <c r="Z8" s="15"/>
      <c r="AA8" s="13"/>
      <c r="AB8" s="24"/>
    </row>
    <row r="9" spans="1:28" s="1" customFormat="1" ht="16.8" thickTop="1" thickBot="1" x14ac:dyDescent="0.35">
      <c r="A9" s="61" t="s">
        <v>9</v>
      </c>
      <c r="B9" s="61">
        <f>B8*B3</f>
        <v>21</v>
      </c>
      <c r="C9" s="61">
        <f t="shared" ref="C9:H9" si="2">C8*C3</f>
        <v>7</v>
      </c>
      <c r="D9" s="61">
        <f t="shared" si="2"/>
        <v>14</v>
      </c>
      <c r="E9" s="61"/>
      <c r="F9" s="61">
        <f t="shared" si="2"/>
        <v>14</v>
      </c>
      <c r="G9" s="61">
        <f t="shared" si="2"/>
        <v>0</v>
      </c>
      <c r="H9" s="61">
        <f t="shared" si="2"/>
        <v>21</v>
      </c>
      <c r="I9" s="63"/>
      <c r="J9" s="73">
        <f>SUM(B9,C9,D9,E9,F9,H9)</f>
        <v>77</v>
      </c>
      <c r="K9" s="64">
        <f>B9+F9+H9</f>
        <v>56</v>
      </c>
      <c r="L9" s="65"/>
      <c r="M9" s="66"/>
      <c r="N9" s="26" t="s">
        <v>14</v>
      </c>
      <c r="O9" s="10"/>
      <c r="P9" s="10"/>
      <c r="Q9" s="10"/>
      <c r="R9" s="10"/>
      <c r="S9" s="10"/>
      <c r="T9" s="10"/>
      <c r="U9" s="10"/>
      <c r="V9" s="10"/>
      <c r="W9" s="10"/>
      <c r="X9" s="10"/>
      <c r="Y9" s="11"/>
      <c r="Z9" s="12"/>
      <c r="AA9" s="13"/>
      <c r="AB9" s="10"/>
    </row>
    <row r="10" spans="1:28" ht="16.8" thickTop="1" thickBot="1" x14ac:dyDescent="0.35">
      <c r="A10" s="26" t="s">
        <v>29</v>
      </c>
      <c r="B10" s="41">
        <v>7</v>
      </c>
      <c r="C10" s="14">
        <v>7</v>
      </c>
      <c r="D10" s="14">
        <v>7</v>
      </c>
      <c r="E10" s="14"/>
      <c r="F10" s="14">
        <v>7</v>
      </c>
      <c r="G10" s="14"/>
      <c r="H10" s="14">
        <v>7</v>
      </c>
      <c r="I10" s="10"/>
      <c r="J10" s="76"/>
      <c r="K10" s="64"/>
      <c r="L10" s="42"/>
      <c r="M10" s="13"/>
      <c r="N10" s="61"/>
      <c r="O10" s="24"/>
      <c r="P10" s="14"/>
      <c r="Q10" s="14"/>
      <c r="R10" s="14"/>
      <c r="S10" s="14"/>
      <c r="T10" s="14"/>
      <c r="U10" s="14"/>
      <c r="V10" s="14"/>
      <c r="W10" s="10"/>
      <c r="X10" s="10"/>
      <c r="Y10" s="15"/>
      <c r="Z10" s="15"/>
      <c r="AA10" s="13"/>
      <c r="AB10" s="24"/>
    </row>
    <row r="11" spans="1:28" s="1" customFormat="1" ht="16.8" thickTop="1" thickBot="1" x14ac:dyDescent="0.35">
      <c r="A11" s="61" t="s">
        <v>9</v>
      </c>
      <c r="B11" s="61">
        <f>B10*B3</f>
        <v>21</v>
      </c>
      <c r="C11" s="61">
        <f t="shared" ref="C11:H11" si="3">C10*C3</f>
        <v>7</v>
      </c>
      <c r="D11" s="61">
        <f t="shared" si="3"/>
        <v>14</v>
      </c>
      <c r="E11" s="61"/>
      <c r="F11" s="61">
        <f t="shared" si="3"/>
        <v>14</v>
      </c>
      <c r="G11" s="61">
        <f t="shared" si="3"/>
        <v>0</v>
      </c>
      <c r="H11" s="61">
        <f t="shared" si="3"/>
        <v>21</v>
      </c>
      <c r="I11" s="63"/>
      <c r="J11" s="73">
        <f>SUM(B11,C11,D11,E11,F11,H11)</f>
        <v>77</v>
      </c>
      <c r="K11" s="64">
        <f>B11+F11+H11</f>
        <v>56</v>
      </c>
      <c r="L11" s="69"/>
      <c r="M11" s="66"/>
      <c r="N11" s="26" t="s">
        <v>15</v>
      </c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1"/>
      <c r="Z11" s="12"/>
      <c r="AA11" s="13"/>
      <c r="AB11" s="10"/>
    </row>
    <row r="12" spans="1:28" s="1" customFormat="1" ht="16.8" thickTop="1" thickBot="1" x14ac:dyDescent="0.35">
      <c r="A12" s="26" t="s">
        <v>30</v>
      </c>
      <c r="B12" s="41">
        <v>7</v>
      </c>
      <c r="C12" s="14">
        <v>7</v>
      </c>
      <c r="D12" s="14">
        <v>7</v>
      </c>
      <c r="E12" s="14"/>
      <c r="F12" s="14">
        <v>7</v>
      </c>
      <c r="G12" s="14"/>
      <c r="H12" s="14">
        <v>7</v>
      </c>
      <c r="I12" s="10"/>
      <c r="J12" s="75"/>
      <c r="K12" s="64"/>
      <c r="L12" s="43"/>
      <c r="M12" s="13"/>
      <c r="N12" s="61"/>
      <c r="O12" s="24"/>
      <c r="P12" s="14"/>
      <c r="Q12" s="14"/>
      <c r="R12" s="14"/>
      <c r="S12" s="14"/>
      <c r="T12" s="14"/>
      <c r="U12" s="14"/>
      <c r="V12" s="14"/>
      <c r="W12" s="10"/>
      <c r="X12" s="10"/>
      <c r="Y12" s="15"/>
      <c r="Z12" s="15"/>
      <c r="AA12" s="13"/>
      <c r="AB12" s="24"/>
    </row>
    <row r="13" spans="1:28" s="1" customFormat="1" ht="16.8" thickTop="1" thickBot="1" x14ac:dyDescent="0.35">
      <c r="A13" s="61" t="s">
        <v>9</v>
      </c>
      <c r="B13" s="67">
        <f>B12*B3</f>
        <v>21</v>
      </c>
      <c r="C13" s="67">
        <f t="shared" ref="C13:H13" si="4">C12*C3</f>
        <v>7</v>
      </c>
      <c r="D13" s="67">
        <f t="shared" si="4"/>
        <v>14</v>
      </c>
      <c r="E13" s="67"/>
      <c r="F13" s="67">
        <f t="shared" si="4"/>
        <v>14</v>
      </c>
      <c r="G13" s="67">
        <f t="shared" si="4"/>
        <v>0</v>
      </c>
      <c r="H13" s="63">
        <f t="shared" si="4"/>
        <v>21</v>
      </c>
      <c r="I13" s="63">
        <v>0</v>
      </c>
      <c r="J13" s="73">
        <f>SUM(B13,C13,D13,E13,F13,H13)</f>
        <v>77</v>
      </c>
      <c r="K13" s="64">
        <f>B13+F13+H13</f>
        <v>56</v>
      </c>
      <c r="L13" s="69"/>
      <c r="M13" s="66"/>
      <c r="N13" s="26" t="s">
        <v>16</v>
      </c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1"/>
      <c r="Z13" s="12"/>
      <c r="AA13" s="13"/>
      <c r="AB13" s="10"/>
    </row>
    <row r="14" spans="1:28" s="1" customFormat="1" ht="16.8" thickTop="1" thickBot="1" x14ac:dyDescent="0.35">
      <c r="A14" s="26" t="s">
        <v>31</v>
      </c>
      <c r="B14" s="41">
        <v>7</v>
      </c>
      <c r="C14" s="14">
        <v>7</v>
      </c>
      <c r="D14" s="14">
        <v>7</v>
      </c>
      <c r="E14" s="14"/>
      <c r="F14" s="14">
        <v>7</v>
      </c>
      <c r="G14" s="14"/>
      <c r="H14" s="14">
        <v>7</v>
      </c>
      <c r="I14" s="10"/>
      <c r="J14" s="75"/>
      <c r="K14" s="64"/>
      <c r="L14" s="43"/>
      <c r="M14" s="13"/>
      <c r="N14" s="61"/>
      <c r="O14" s="24"/>
      <c r="P14" s="14"/>
      <c r="Q14" s="14"/>
      <c r="R14" s="14"/>
      <c r="S14" s="14"/>
      <c r="T14" s="14"/>
      <c r="U14" s="14"/>
      <c r="V14" s="14"/>
      <c r="W14" s="10"/>
      <c r="X14" s="10"/>
      <c r="Y14" s="15"/>
      <c r="Z14" s="15"/>
      <c r="AA14" s="13"/>
      <c r="AB14" s="24"/>
    </row>
    <row r="15" spans="1:28" s="1" customFormat="1" ht="16.8" thickTop="1" thickBot="1" x14ac:dyDescent="0.35">
      <c r="A15" s="61" t="s">
        <v>9</v>
      </c>
      <c r="B15" s="67">
        <f>B14*B3</f>
        <v>21</v>
      </c>
      <c r="C15" s="67">
        <f t="shared" ref="C15:H15" si="5">C14*C3</f>
        <v>7</v>
      </c>
      <c r="D15" s="67">
        <f t="shared" si="5"/>
        <v>14</v>
      </c>
      <c r="E15" s="67"/>
      <c r="F15" s="67">
        <f t="shared" si="5"/>
        <v>14</v>
      </c>
      <c r="G15" s="67">
        <f t="shared" si="5"/>
        <v>0</v>
      </c>
      <c r="H15" s="63">
        <f t="shared" si="5"/>
        <v>21</v>
      </c>
      <c r="I15" s="68"/>
      <c r="J15" s="73">
        <f>SUM(B15,C15,D15,E15,F15,H15)</f>
        <v>77</v>
      </c>
      <c r="K15" s="64">
        <f>B15+F15+H15</f>
        <v>56</v>
      </c>
      <c r="L15" s="69"/>
      <c r="M15" s="66"/>
      <c r="N15" s="26" t="s">
        <v>17</v>
      </c>
      <c r="O15" s="10"/>
      <c r="P15" s="10"/>
      <c r="Q15" s="10"/>
      <c r="R15" s="10"/>
      <c r="S15" s="10"/>
      <c r="T15" s="10"/>
      <c r="U15" s="10"/>
      <c r="V15" s="10"/>
      <c r="W15" s="14"/>
      <c r="X15" s="10"/>
      <c r="Y15" s="11"/>
      <c r="Z15" s="12"/>
      <c r="AA15" s="13"/>
      <c r="AB15" s="10"/>
    </row>
    <row r="16" spans="1:28" s="1" customFormat="1" ht="16.8" thickTop="1" thickBot="1" x14ac:dyDescent="0.35">
      <c r="A16" s="26" t="s">
        <v>18</v>
      </c>
      <c r="B16" s="41">
        <v>6</v>
      </c>
      <c r="C16" s="14">
        <v>6</v>
      </c>
      <c r="D16" s="14">
        <v>6</v>
      </c>
      <c r="E16" s="14"/>
      <c r="F16" s="14">
        <v>6</v>
      </c>
      <c r="G16" s="14"/>
      <c r="H16" s="14">
        <v>6</v>
      </c>
      <c r="I16" s="10"/>
      <c r="J16" s="76"/>
      <c r="K16" s="64"/>
      <c r="L16" s="43"/>
      <c r="M16" s="13"/>
      <c r="N16" s="61"/>
      <c r="O16" s="24"/>
      <c r="P16" s="14"/>
      <c r="Q16" s="14"/>
      <c r="R16" s="14"/>
      <c r="S16" s="14"/>
      <c r="T16" s="14"/>
      <c r="U16" s="14"/>
      <c r="V16" s="14"/>
      <c r="W16" s="10"/>
      <c r="X16" s="10"/>
      <c r="Y16" s="15"/>
      <c r="Z16" s="15"/>
      <c r="AA16" s="13"/>
      <c r="AB16" s="24"/>
    </row>
    <row r="17" spans="1:28" s="1" customFormat="1" ht="16.8" thickTop="1" thickBot="1" x14ac:dyDescent="0.35">
      <c r="A17" s="61" t="s">
        <v>9</v>
      </c>
      <c r="B17" s="67">
        <f>B16*B3</f>
        <v>18</v>
      </c>
      <c r="C17" s="67">
        <f t="shared" ref="C17:H17" si="6">C16*C3</f>
        <v>6</v>
      </c>
      <c r="D17" s="67">
        <f t="shared" si="6"/>
        <v>12</v>
      </c>
      <c r="E17" s="67"/>
      <c r="F17" s="67">
        <f t="shared" si="6"/>
        <v>12</v>
      </c>
      <c r="G17" s="67">
        <f t="shared" si="6"/>
        <v>0</v>
      </c>
      <c r="H17" s="63">
        <f t="shared" si="6"/>
        <v>18</v>
      </c>
      <c r="I17" s="63"/>
      <c r="J17" s="73">
        <f>SUM(B17,C17,D17,E17,F17,H17)</f>
        <v>66</v>
      </c>
      <c r="K17" s="64">
        <f>B17+F17+H17</f>
        <v>48</v>
      </c>
      <c r="L17" s="69"/>
      <c r="M17" s="66"/>
      <c r="N17" s="26" t="s">
        <v>18</v>
      </c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1"/>
      <c r="Z17" s="12"/>
      <c r="AA17" s="13"/>
      <c r="AB17" s="10"/>
    </row>
    <row r="18" spans="1:28" s="1" customFormat="1" ht="16.8" thickTop="1" thickBot="1" x14ac:dyDescent="0.35">
      <c r="A18" s="26" t="s">
        <v>19</v>
      </c>
      <c r="B18" s="41">
        <v>6</v>
      </c>
      <c r="C18" s="14">
        <v>6</v>
      </c>
      <c r="D18" s="14">
        <v>2</v>
      </c>
      <c r="E18" s="14">
        <v>4</v>
      </c>
      <c r="F18" s="14">
        <v>6</v>
      </c>
      <c r="G18" s="14"/>
      <c r="H18" s="14">
        <v>6</v>
      </c>
      <c r="I18" s="10">
        <v>0</v>
      </c>
      <c r="J18" s="75"/>
      <c r="K18" s="64"/>
      <c r="L18" s="43"/>
      <c r="M18" s="13"/>
      <c r="N18" s="61"/>
      <c r="O18" s="24"/>
      <c r="P18" s="14"/>
      <c r="Q18" s="14"/>
      <c r="R18" s="14"/>
      <c r="S18" s="14"/>
      <c r="T18" s="14"/>
      <c r="U18" s="14"/>
      <c r="V18" s="14"/>
      <c r="W18" s="10"/>
      <c r="X18" s="10"/>
      <c r="Y18" s="15"/>
      <c r="Z18" s="15"/>
      <c r="AA18" s="13"/>
      <c r="AB18" s="24"/>
    </row>
    <row r="19" spans="1:28" s="1" customFormat="1" ht="16.8" thickTop="1" thickBot="1" x14ac:dyDescent="0.35">
      <c r="A19" s="61" t="s">
        <v>9</v>
      </c>
      <c r="B19" s="67">
        <f>B18*B3</f>
        <v>18</v>
      </c>
      <c r="C19" s="67">
        <f t="shared" ref="C19:H19" si="7">C18*C3</f>
        <v>6</v>
      </c>
      <c r="D19" s="67">
        <f>D18*D3</f>
        <v>4</v>
      </c>
      <c r="E19" s="67">
        <f>E18*E3</f>
        <v>8</v>
      </c>
      <c r="F19" s="67">
        <f t="shared" si="7"/>
        <v>12</v>
      </c>
      <c r="G19" s="67">
        <f t="shared" si="7"/>
        <v>0</v>
      </c>
      <c r="H19" s="63">
        <f t="shared" si="7"/>
        <v>18</v>
      </c>
      <c r="I19" s="68"/>
      <c r="J19" s="73">
        <f>SUM(B19,C19,D19,E19,F19,H19)</f>
        <v>66</v>
      </c>
      <c r="K19" s="64">
        <f>B19+F19+H19</f>
        <v>48</v>
      </c>
      <c r="L19" s="69"/>
      <c r="M19" s="66"/>
      <c r="N19" s="26" t="s">
        <v>19</v>
      </c>
      <c r="O19" s="10"/>
      <c r="P19" s="10"/>
      <c r="Q19" s="10"/>
      <c r="R19" s="10"/>
      <c r="S19" s="10"/>
      <c r="T19" s="10"/>
      <c r="U19" s="10"/>
      <c r="V19" s="10"/>
      <c r="W19" s="14"/>
      <c r="X19" s="10"/>
      <c r="Y19" s="11"/>
      <c r="Z19" s="12"/>
      <c r="AA19" s="13"/>
      <c r="AB19" s="10"/>
    </row>
    <row r="20" spans="1:28" s="1" customFormat="1" ht="16.8" thickTop="1" thickBot="1" x14ac:dyDescent="0.35">
      <c r="A20" s="26" t="s">
        <v>20</v>
      </c>
      <c r="B20" s="41">
        <v>6</v>
      </c>
      <c r="C20" s="14">
        <v>6</v>
      </c>
      <c r="D20" s="14">
        <v>0</v>
      </c>
      <c r="E20" s="14">
        <v>6</v>
      </c>
      <c r="F20" s="14">
        <v>6</v>
      </c>
      <c r="G20" s="14"/>
      <c r="H20" s="14">
        <v>6</v>
      </c>
      <c r="I20" s="14"/>
      <c r="J20" s="75"/>
      <c r="K20" s="64"/>
      <c r="L20" s="43"/>
      <c r="M20" s="13"/>
      <c r="N20" s="61"/>
      <c r="O20" s="24"/>
      <c r="P20" s="14"/>
      <c r="Q20" s="14"/>
      <c r="R20" s="14"/>
      <c r="S20" s="14"/>
      <c r="T20" s="14"/>
      <c r="U20" s="14"/>
      <c r="V20" s="14"/>
      <c r="W20" s="14"/>
      <c r="X20" s="10"/>
      <c r="Y20" s="15"/>
      <c r="Z20" s="15"/>
      <c r="AA20" s="13"/>
      <c r="AB20" s="24"/>
    </row>
    <row r="21" spans="1:28" s="1" customFormat="1" ht="16.8" thickTop="1" thickBot="1" x14ac:dyDescent="0.35">
      <c r="A21" s="61" t="s">
        <v>9</v>
      </c>
      <c r="B21" s="67">
        <f>B20*B3</f>
        <v>18</v>
      </c>
      <c r="C21" s="67">
        <f t="shared" ref="C21:H21" si="8">C20*C3</f>
        <v>6</v>
      </c>
      <c r="D21" s="67">
        <f t="shared" si="8"/>
        <v>0</v>
      </c>
      <c r="E21" s="67">
        <f t="shared" si="8"/>
        <v>12</v>
      </c>
      <c r="F21" s="67">
        <f t="shared" si="8"/>
        <v>12</v>
      </c>
      <c r="G21" s="67">
        <f t="shared" si="8"/>
        <v>0</v>
      </c>
      <c r="H21" s="63">
        <f t="shared" si="8"/>
        <v>18</v>
      </c>
      <c r="I21" s="63"/>
      <c r="J21" s="73">
        <f>SUM(B21,C21,D21,E21,F21,H21)</f>
        <v>66</v>
      </c>
      <c r="K21" s="64">
        <f>B21+F21+H21</f>
        <v>48</v>
      </c>
      <c r="L21" s="69"/>
      <c r="M21" s="66"/>
      <c r="N21" s="26" t="s">
        <v>20</v>
      </c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1"/>
      <c r="Z21" s="12"/>
      <c r="AA21" s="13"/>
      <c r="AB21" s="10"/>
    </row>
    <row r="22" spans="1:28" s="1" customFormat="1" ht="16.8" thickTop="1" thickBot="1" x14ac:dyDescent="0.35">
      <c r="A22" s="26" t="s">
        <v>21</v>
      </c>
      <c r="B22" s="41">
        <v>6</v>
      </c>
      <c r="C22" s="14">
        <v>6</v>
      </c>
      <c r="D22" s="14">
        <v>0</v>
      </c>
      <c r="E22" s="14">
        <v>6</v>
      </c>
      <c r="F22" s="14">
        <v>6</v>
      </c>
      <c r="G22" s="14"/>
      <c r="H22" s="14">
        <v>6</v>
      </c>
      <c r="I22" s="14"/>
      <c r="J22" s="76"/>
      <c r="K22" s="64"/>
      <c r="L22" s="42"/>
      <c r="M22" s="13"/>
      <c r="N22" s="61"/>
      <c r="O22" s="24"/>
      <c r="P22" s="14"/>
      <c r="Q22" s="14"/>
      <c r="R22" s="14"/>
      <c r="S22" s="14"/>
      <c r="T22" s="14"/>
      <c r="U22" s="14"/>
      <c r="V22" s="14"/>
      <c r="W22" s="14"/>
      <c r="X22" s="10"/>
      <c r="Y22" s="15"/>
      <c r="Z22" s="15"/>
      <c r="AA22" s="13"/>
      <c r="AB22" s="24"/>
    </row>
    <row r="23" spans="1:28" s="1" customFormat="1" ht="16.8" thickTop="1" thickBot="1" x14ac:dyDescent="0.35">
      <c r="A23" s="61" t="s">
        <v>9</v>
      </c>
      <c r="B23" s="67">
        <f>B22*B3</f>
        <v>18</v>
      </c>
      <c r="C23" s="67">
        <f t="shared" ref="C23:H23" si="9">C22*C3</f>
        <v>6</v>
      </c>
      <c r="D23" s="67">
        <f t="shared" si="9"/>
        <v>0</v>
      </c>
      <c r="E23" s="67">
        <f t="shared" si="9"/>
        <v>12</v>
      </c>
      <c r="F23" s="67">
        <f t="shared" si="9"/>
        <v>12</v>
      </c>
      <c r="G23" s="67">
        <f t="shared" si="9"/>
        <v>0</v>
      </c>
      <c r="H23" s="63">
        <f t="shared" si="9"/>
        <v>18</v>
      </c>
      <c r="I23" s="63"/>
      <c r="J23" s="73">
        <f>SUM(B23,C23,D23,E23,F23,H23)</f>
        <v>66</v>
      </c>
      <c r="K23" s="64">
        <f>B23+F23+H23</f>
        <v>48</v>
      </c>
      <c r="L23" s="69"/>
      <c r="M23" s="66"/>
      <c r="N23" s="26" t="s">
        <v>21</v>
      </c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1"/>
      <c r="Z23" s="12"/>
      <c r="AA23" s="13"/>
      <c r="AB23" s="10"/>
    </row>
    <row r="24" spans="1:28" s="1" customFormat="1" ht="16.8" thickTop="1" thickBot="1" x14ac:dyDescent="0.35">
      <c r="A24" s="26" t="s">
        <v>22</v>
      </c>
      <c r="B24" s="41">
        <v>6</v>
      </c>
      <c r="C24" s="14">
        <v>6</v>
      </c>
      <c r="D24" s="14">
        <v>0</v>
      </c>
      <c r="E24" s="14">
        <v>6</v>
      </c>
      <c r="F24" s="14">
        <v>6</v>
      </c>
      <c r="G24" s="14"/>
      <c r="H24" s="14">
        <v>6</v>
      </c>
      <c r="I24" s="14"/>
      <c r="J24" s="75"/>
      <c r="K24" s="64"/>
      <c r="L24" s="43"/>
      <c r="M24" s="13"/>
      <c r="N24" s="61"/>
      <c r="O24" s="24"/>
      <c r="P24" s="14"/>
      <c r="Q24" s="14"/>
      <c r="R24" s="14"/>
      <c r="S24" s="14"/>
      <c r="T24" s="14"/>
      <c r="U24" s="14"/>
      <c r="V24" s="14"/>
      <c r="W24" s="14"/>
      <c r="X24" s="10"/>
      <c r="Y24" s="15"/>
      <c r="Z24" s="15"/>
      <c r="AA24" s="13"/>
      <c r="AB24" s="24"/>
    </row>
    <row r="25" spans="1:28" ht="16.8" thickTop="1" thickBot="1" x14ac:dyDescent="0.35">
      <c r="A25" s="61" t="s">
        <v>9</v>
      </c>
      <c r="B25" s="67">
        <f t="shared" ref="B25:H25" si="10">B24*B3</f>
        <v>18</v>
      </c>
      <c r="C25" s="67">
        <f t="shared" si="10"/>
        <v>6</v>
      </c>
      <c r="D25" s="67">
        <f t="shared" si="10"/>
        <v>0</v>
      </c>
      <c r="E25" s="67">
        <f t="shared" si="10"/>
        <v>12</v>
      </c>
      <c r="F25" s="67">
        <f t="shared" si="10"/>
        <v>12</v>
      </c>
      <c r="G25" s="67">
        <f t="shared" si="10"/>
        <v>0</v>
      </c>
      <c r="H25" s="63">
        <f t="shared" si="10"/>
        <v>18</v>
      </c>
      <c r="I25" s="63">
        <v>0</v>
      </c>
      <c r="J25" s="73">
        <f>SUM(B25,C25,D25,E25,F25,H25)</f>
        <v>66</v>
      </c>
      <c r="K25" s="64">
        <f>B25+F25+H25</f>
        <v>48</v>
      </c>
      <c r="L25" s="69"/>
      <c r="M25" s="66"/>
      <c r="N25" s="26" t="s">
        <v>22</v>
      </c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1"/>
      <c r="Z25" s="12"/>
      <c r="AA25" s="13"/>
      <c r="AB25" s="10"/>
    </row>
    <row r="26" spans="1:28" s="1" customFormat="1" ht="16.8" thickTop="1" thickBot="1" x14ac:dyDescent="0.35">
      <c r="A26" s="26" t="s">
        <v>23</v>
      </c>
      <c r="B26" s="41">
        <v>6</v>
      </c>
      <c r="C26" s="14">
        <v>6</v>
      </c>
      <c r="D26" s="14">
        <v>0</v>
      </c>
      <c r="E26" s="14">
        <v>6</v>
      </c>
      <c r="F26" s="14">
        <v>6</v>
      </c>
      <c r="G26" s="14"/>
      <c r="H26" s="14">
        <v>6</v>
      </c>
      <c r="I26" s="14"/>
      <c r="J26" s="75"/>
      <c r="K26" s="64"/>
      <c r="L26" s="43"/>
      <c r="M26" s="13"/>
      <c r="N26" s="61"/>
      <c r="O26" s="24"/>
      <c r="P26" s="14"/>
      <c r="Q26" s="14"/>
      <c r="R26" s="14"/>
      <c r="S26" s="14"/>
      <c r="T26" s="14"/>
      <c r="U26" s="14"/>
      <c r="V26" s="14"/>
      <c r="W26" s="14"/>
      <c r="X26" s="10"/>
      <c r="Y26" s="15"/>
      <c r="Z26" s="15"/>
      <c r="AA26" s="13"/>
      <c r="AB26" s="24"/>
    </row>
    <row r="27" spans="1:28" ht="16.8" thickTop="1" thickBot="1" x14ac:dyDescent="0.35">
      <c r="A27" s="61" t="s">
        <v>9</v>
      </c>
      <c r="B27" s="67">
        <f>B26*B3</f>
        <v>18</v>
      </c>
      <c r="C27" s="67">
        <f t="shared" ref="C27:H27" si="11">C26*C3</f>
        <v>6</v>
      </c>
      <c r="D27" s="67">
        <f t="shared" si="11"/>
        <v>0</v>
      </c>
      <c r="E27" s="67">
        <f t="shared" si="11"/>
        <v>12</v>
      </c>
      <c r="F27" s="67">
        <f t="shared" si="11"/>
        <v>12</v>
      </c>
      <c r="G27" s="67">
        <f t="shared" si="11"/>
        <v>0</v>
      </c>
      <c r="H27" s="63">
        <f t="shared" si="11"/>
        <v>18</v>
      </c>
      <c r="I27" s="63">
        <v>0</v>
      </c>
      <c r="J27" s="73">
        <f>SUM(B27,C27,D27,E27,F27,H27)</f>
        <v>66</v>
      </c>
      <c r="K27" s="64">
        <f>B27+F27+H27</f>
        <v>48</v>
      </c>
      <c r="L27" s="69"/>
      <c r="M27" s="66"/>
      <c r="N27" s="26" t="s">
        <v>23</v>
      </c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1"/>
      <c r="Z27" s="12"/>
      <c r="AA27" s="13"/>
      <c r="AB27" s="10"/>
    </row>
    <row r="28" spans="1:28" s="1" customFormat="1" ht="16.8" thickTop="1" thickBot="1" x14ac:dyDescent="0.35">
      <c r="A28" s="26" t="s">
        <v>24</v>
      </c>
      <c r="B28" s="41">
        <v>6</v>
      </c>
      <c r="C28" s="14">
        <v>6</v>
      </c>
      <c r="D28" s="14">
        <v>0</v>
      </c>
      <c r="E28" s="14">
        <v>6</v>
      </c>
      <c r="F28" s="14">
        <v>6</v>
      </c>
      <c r="G28" s="14"/>
      <c r="H28" s="14">
        <v>6</v>
      </c>
      <c r="I28" s="10">
        <v>0</v>
      </c>
      <c r="J28" s="76"/>
      <c r="K28" s="64"/>
      <c r="L28" s="43"/>
      <c r="M28" s="13"/>
      <c r="N28" s="61"/>
      <c r="O28" s="24"/>
      <c r="P28" s="14"/>
      <c r="Q28" s="14"/>
      <c r="R28" s="14"/>
      <c r="S28" s="14"/>
      <c r="T28" s="14"/>
      <c r="U28" s="14"/>
      <c r="V28" s="14"/>
      <c r="W28" s="10"/>
      <c r="X28" s="10"/>
      <c r="Y28" s="15"/>
      <c r="Z28" s="15"/>
      <c r="AA28" s="13"/>
      <c r="AB28" s="24"/>
    </row>
    <row r="29" spans="1:28" ht="16.8" thickTop="1" thickBot="1" x14ac:dyDescent="0.35">
      <c r="A29" s="61" t="s">
        <v>9</v>
      </c>
      <c r="B29" s="67">
        <f>B28*B3</f>
        <v>18</v>
      </c>
      <c r="C29" s="67">
        <f t="shared" ref="C29:H29" si="12">C28*C3</f>
        <v>6</v>
      </c>
      <c r="D29" s="67">
        <f t="shared" si="12"/>
        <v>0</v>
      </c>
      <c r="E29" s="67">
        <f t="shared" si="12"/>
        <v>12</v>
      </c>
      <c r="F29" s="67">
        <f t="shared" si="12"/>
        <v>12</v>
      </c>
      <c r="G29" s="67">
        <f t="shared" si="12"/>
        <v>0</v>
      </c>
      <c r="H29" s="63">
        <f t="shared" si="12"/>
        <v>18</v>
      </c>
      <c r="I29" s="68"/>
      <c r="J29" s="77">
        <f>SUM(B29,C29,D29,E29,F29,H29)</f>
        <v>66</v>
      </c>
      <c r="K29" s="64">
        <f>B29+F29+H29</f>
        <v>48</v>
      </c>
      <c r="L29" s="69"/>
      <c r="M29" s="66"/>
      <c r="N29" s="26" t="s">
        <v>24</v>
      </c>
      <c r="O29" s="10"/>
      <c r="P29" s="10"/>
      <c r="Q29" s="10"/>
      <c r="R29" s="10"/>
      <c r="S29" s="10"/>
      <c r="T29" s="10"/>
      <c r="U29" s="10"/>
      <c r="V29" s="10"/>
      <c r="W29" s="14"/>
      <c r="X29" s="10"/>
      <c r="Y29" s="11"/>
      <c r="Z29" s="12"/>
      <c r="AA29" s="13"/>
      <c r="AB29" s="10"/>
    </row>
    <row r="30" spans="1:28" s="1" customFormat="1" ht="16.8" thickTop="1" thickBot="1" x14ac:dyDescent="0.35">
      <c r="A30" s="26" t="s">
        <v>25</v>
      </c>
      <c r="B30" s="41">
        <v>6</v>
      </c>
      <c r="C30" s="14">
        <v>6</v>
      </c>
      <c r="D30" s="14">
        <v>0</v>
      </c>
      <c r="E30" s="14">
        <v>6</v>
      </c>
      <c r="F30" s="14">
        <v>6</v>
      </c>
      <c r="G30" s="14"/>
      <c r="H30" s="14">
        <v>6</v>
      </c>
      <c r="I30" s="10"/>
      <c r="J30" s="78"/>
      <c r="K30" s="64"/>
      <c r="L30" s="69"/>
      <c r="M30" s="13"/>
      <c r="N30" s="61"/>
      <c r="O30" s="24"/>
      <c r="P30" s="14"/>
      <c r="Q30" s="14"/>
      <c r="R30" s="14"/>
      <c r="S30" s="14"/>
      <c r="T30" s="14"/>
      <c r="U30" s="14"/>
      <c r="V30" s="14"/>
      <c r="W30" s="10"/>
      <c r="X30" s="10"/>
      <c r="Y30" s="15"/>
      <c r="Z30" s="15"/>
      <c r="AA30" s="13"/>
      <c r="AB30" s="24"/>
    </row>
    <row r="31" spans="1:28" ht="16.8" thickTop="1" thickBot="1" x14ac:dyDescent="0.35">
      <c r="A31" s="61" t="s">
        <v>9</v>
      </c>
      <c r="B31" s="71">
        <f t="shared" ref="B31:H31" si="13">B30*B3</f>
        <v>18</v>
      </c>
      <c r="C31" s="71">
        <f t="shared" si="13"/>
        <v>6</v>
      </c>
      <c r="D31" s="71">
        <f t="shared" si="13"/>
        <v>0</v>
      </c>
      <c r="E31" s="71">
        <f t="shared" si="13"/>
        <v>12</v>
      </c>
      <c r="F31" s="71">
        <f t="shared" si="13"/>
        <v>12</v>
      </c>
      <c r="G31" s="71">
        <f t="shared" si="13"/>
        <v>0</v>
      </c>
      <c r="H31" s="8">
        <f t="shared" si="13"/>
        <v>18</v>
      </c>
      <c r="I31" s="8"/>
      <c r="J31" s="79">
        <f>SUM(B31,C31,D31,E31,F31,H31)</f>
        <v>66</v>
      </c>
      <c r="K31" s="64">
        <f>B31+F31+H31</f>
        <v>48</v>
      </c>
      <c r="L31" s="69"/>
      <c r="M31" s="9"/>
      <c r="N31" s="26" t="s">
        <v>25</v>
      </c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1"/>
      <c r="Z31" s="12"/>
      <c r="AA31" s="13"/>
      <c r="AB31" s="10"/>
    </row>
    <row r="32" spans="1:28" s="1" customFormat="1" ht="16.8" thickTop="1" thickBot="1" x14ac:dyDescent="0.35">
      <c r="A32" s="61">
        <v>15</v>
      </c>
      <c r="B32" s="71">
        <v>6</v>
      </c>
      <c r="C32" s="68">
        <v>6</v>
      </c>
      <c r="D32" s="68">
        <v>0</v>
      </c>
      <c r="E32" s="68">
        <v>6</v>
      </c>
      <c r="F32" s="68">
        <v>6</v>
      </c>
      <c r="G32" s="68"/>
      <c r="H32" s="68">
        <v>6</v>
      </c>
      <c r="I32" s="63"/>
      <c r="J32" s="79"/>
      <c r="K32" s="64"/>
      <c r="L32" s="69"/>
      <c r="M32" s="66"/>
      <c r="N32" s="61"/>
      <c r="O32" s="24"/>
      <c r="P32" s="14"/>
      <c r="Q32" s="14"/>
      <c r="R32" s="14"/>
      <c r="S32" s="14"/>
      <c r="T32" s="14"/>
      <c r="U32" s="14"/>
      <c r="V32" s="14"/>
      <c r="W32" s="10"/>
      <c r="X32" s="10"/>
      <c r="Y32" s="15"/>
      <c r="Z32" s="15"/>
      <c r="AA32" s="13"/>
      <c r="AB32" s="24"/>
    </row>
    <row r="33" spans="1:28" ht="16.8" thickTop="1" thickBot="1" x14ac:dyDescent="0.35">
      <c r="A33" s="61" t="s">
        <v>9</v>
      </c>
      <c r="B33" s="71">
        <f>B32*B3</f>
        <v>18</v>
      </c>
      <c r="C33" s="71">
        <f t="shared" ref="C33:H33" si="14">C32*C3</f>
        <v>6</v>
      </c>
      <c r="D33" s="71">
        <f t="shared" si="14"/>
        <v>0</v>
      </c>
      <c r="E33" s="71">
        <f t="shared" si="14"/>
        <v>12</v>
      </c>
      <c r="F33" s="71">
        <f t="shared" si="14"/>
        <v>12</v>
      </c>
      <c r="G33" s="71">
        <f t="shared" si="14"/>
        <v>0</v>
      </c>
      <c r="H33" s="71">
        <f t="shared" si="14"/>
        <v>18</v>
      </c>
      <c r="I33" s="63">
        <f>I32*2.5</f>
        <v>0</v>
      </c>
      <c r="J33" s="79">
        <f t="shared" ref="J33:J53" si="15">SUM(B33,C33,D33,E33,F33,H33)</f>
        <v>66</v>
      </c>
      <c r="K33" s="64">
        <f>B33+F33+H33</f>
        <v>48</v>
      </c>
      <c r="L33" s="69"/>
      <c r="M33" s="66"/>
      <c r="N33" s="61">
        <v>15</v>
      </c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1"/>
      <c r="Z33" s="12"/>
      <c r="AA33" s="13"/>
      <c r="AB33" s="10"/>
    </row>
    <row r="34" spans="1:28" ht="16.8" thickTop="1" thickBot="1" x14ac:dyDescent="0.35">
      <c r="A34" s="61">
        <v>16</v>
      </c>
      <c r="B34" s="71">
        <v>6</v>
      </c>
      <c r="C34" s="68">
        <v>6</v>
      </c>
      <c r="D34" s="68">
        <v>0</v>
      </c>
      <c r="E34" s="68">
        <v>6</v>
      </c>
      <c r="F34" s="68">
        <v>6</v>
      </c>
      <c r="G34" s="68"/>
      <c r="H34" s="68">
        <v>6</v>
      </c>
      <c r="I34" s="63"/>
      <c r="J34" s="79"/>
      <c r="K34" s="64"/>
      <c r="L34" s="69"/>
      <c r="M34" s="66"/>
      <c r="N34" s="61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1"/>
      <c r="Z34" s="12"/>
      <c r="AA34" s="13"/>
      <c r="AB34" s="10"/>
    </row>
    <row r="35" spans="1:28" ht="16.8" thickTop="1" thickBot="1" x14ac:dyDescent="0.35">
      <c r="A35" s="61" t="s">
        <v>9</v>
      </c>
      <c r="B35" s="71">
        <f>B34*B3</f>
        <v>18</v>
      </c>
      <c r="C35" s="71">
        <f t="shared" ref="C35:H35" si="16">C34*C3</f>
        <v>6</v>
      </c>
      <c r="D35" s="71">
        <f t="shared" si="16"/>
        <v>0</v>
      </c>
      <c r="E35" s="71">
        <f t="shared" si="16"/>
        <v>12</v>
      </c>
      <c r="F35" s="71">
        <f t="shared" si="16"/>
        <v>12</v>
      </c>
      <c r="G35" s="71">
        <f t="shared" si="16"/>
        <v>0</v>
      </c>
      <c r="H35" s="71">
        <f t="shared" si="16"/>
        <v>18</v>
      </c>
      <c r="I35" s="63">
        <f>I34*2.5</f>
        <v>0</v>
      </c>
      <c r="J35" s="79">
        <f t="shared" si="15"/>
        <v>66</v>
      </c>
      <c r="K35" s="64">
        <f>B35+F35+H35</f>
        <v>48</v>
      </c>
      <c r="L35" s="69"/>
      <c r="M35" s="66"/>
      <c r="N35" s="61">
        <v>16</v>
      </c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1"/>
      <c r="Z35" s="12"/>
      <c r="AA35" s="13"/>
      <c r="AB35" s="10"/>
    </row>
    <row r="36" spans="1:28" s="1" customFormat="1" ht="16.8" thickTop="1" thickBot="1" x14ac:dyDescent="0.35">
      <c r="A36" s="61">
        <v>17</v>
      </c>
      <c r="B36" s="71">
        <v>6</v>
      </c>
      <c r="C36" s="68">
        <v>6</v>
      </c>
      <c r="D36" s="68">
        <v>0</v>
      </c>
      <c r="E36" s="68">
        <v>6</v>
      </c>
      <c r="F36" s="68">
        <v>6</v>
      </c>
      <c r="G36" s="68"/>
      <c r="H36" s="68">
        <v>6</v>
      </c>
      <c r="I36" s="68"/>
      <c r="J36" s="79"/>
      <c r="K36" s="64"/>
      <c r="L36" s="69"/>
      <c r="M36" s="66"/>
      <c r="N36" s="61"/>
      <c r="O36" s="24"/>
      <c r="P36" s="14"/>
      <c r="Q36" s="14"/>
      <c r="R36" s="14"/>
      <c r="S36" s="14"/>
      <c r="T36" s="14"/>
      <c r="U36" s="14"/>
      <c r="V36" s="14"/>
      <c r="W36" s="10"/>
      <c r="X36" s="10"/>
      <c r="Y36" s="15"/>
      <c r="Z36" s="15"/>
      <c r="AA36" s="13"/>
      <c r="AB36" s="24"/>
    </row>
    <row r="37" spans="1:28" ht="16.8" thickTop="1" thickBot="1" x14ac:dyDescent="0.35">
      <c r="A37" s="61" t="s">
        <v>9</v>
      </c>
      <c r="B37" s="61">
        <f>B36*B3</f>
        <v>18</v>
      </c>
      <c r="C37" s="61">
        <f t="shared" ref="C37:H37" si="17">C36*C3</f>
        <v>6</v>
      </c>
      <c r="D37" s="61">
        <f t="shared" si="17"/>
        <v>0</v>
      </c>
      <c r="E37" s="61">
        <f t="shared" si="17"/>
        <v>12</v>
      </c>
      <c r="F37" s="61">
        <f t="shared" si="17"/>
        <v>12</v>
      </c>
      <c r="G37" s="61">
        <f t="shared" si="17"/>
        <v>0</v>
      </c>
      <c r="H37" s="61">
        <f t="shared" si="17"/>
        <v>18</v>
      </c>
      <c r="I37" s="63">
        <f>I36*2.5</f>
        <v>0</v>
      </c>
      <c r="J37" s="79">
        <f t="shared" si="15"/>
        <v>66</v>
      </c>
      <c r="K37" s="64">
        <f>B37+F37+H37</f>
        <v>48</v>
      </c>
      <c r="L37" s="69"/>
      <c r="M37" s="66"/>
      <c r="N37" s="61">
        <v>17</v>
      </c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1"/>
      <c r="Z37" s="12"/>
      <c r="AA37" s="13"/>
      <c r="AB37" s="10"/>
    </row>
    <row r="38" spans="1:28" s="1" customFormat="1" ht="16.8" thickTop="1" thickBot="1" x14ac:dyDescent="0.35">
      <c r="A38" s="61">
        <v>18</v>
      </c>
      <c r="B38" s="82">
        <v>6</v>
      </c>
      <c r="C38" s="14">
        <v>6</v>
      </c>
      <c r="D38" s="14">
        <v>0</v>
      </c>
      <c r="E38" s="14">
        <v>6</v>
      </c>
      <c r="F38" s="14">
        <v>6</v>
      </c>
      <c r="G38" s="14"/>
      <c r="H38" s="14">
        <v>6</v>
      </c>
      <c r="I38" s="10"/>
      <c r="J38" s="79"/>
      <c r="K38" s="64"/>
      <c r="L38" s="69"/>
      <c r="M38" s="13"/>
      <c r="N38" s="61"/>
      <c r="O38" s="24"/>
      <c r="P38" s="14"/>
      <c r="Q38" s="14"/>
      <c r="R38" s="14"/>
      <c r="S38" s="14"/>
      <c r="T38" s="14"/>
      <c r="U38" s="14"/>
      <c r="V38" s="14"/>
      <c r="W38" s="10"/>
      <c r="X38" s="10"/>
      <c r="Y38" s="15"/>
      <c r="Z38" s="15"/>
      <c r="AA38" s="13"/>
      <c r="AB38" s="24"/>
    </row>
    <row r="39" spans="1:28" ht="16.8" thickTop="1" thickBot="1" x14ac:dyDescent="0.35">
      <c r="A39" s="61" t="s">
        <v>9</v>
      </c>
      <c r="B39" s="61">
        <f>B38*B3</f>
        <v>18</v>
      </c>
      <c r="C39" s="61">
        <f t="shared" ref="C39:H39" si="18">C38*C3</f>
        <v>6</v>
      </c>
      <c r="D39" s="61">
        <f t="shared" si="18"/>
        <v>0</v>
      </c>
      <c r="E39" s="61">
        <f t="shared" si="18"/>
        <v>12</v>
      </c>
      <c r="F39" s="61">
        <f t="shared" si="18"/>
        <v>12</v>
      </c>
      <c r="G39" s="61">
        <f t="shared" si="18"/>
        <v>0</v>
      </c>
      <c r="H39" s="61">
        <f t="shared" si="18"/>
        <v>18</v>
      </c>
      <c r="I39" s="10"/>
      <c r="J39" s="79">
        <f t="shared" si="15"/>
        <v>66</v>
      </c>
      <c r="K39" s="64">
        <f>B39+F39+H39</f>
        <v>48</v>
      </c>
      <c r="L39" s="69"/>
      <c r="M39" s="13"/>
      <c r="N39" s="61">
        <v>18</v>
      </c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1"/>
      <c r="Z39" s="12"/>
      <c r="AA39" s="13"/>
      <c r="AB39" s="10"/>
    </row>
    <row r="40" spans="1:28" s="1" customFormat="1" ht="16.8" thickTop="1" thickBot="1" x14ac:dyDescent="0.35">
      <c r="A40" s="61">
        <v>19</v>
      </c>
      <c r="B40" s="82">
        <v>6</v>
      </c>
      <c r="C40" s="80">
        <v>6</v>
      </c>
      <c r="D40" s="80">
        <v>0</v>
      </c>
      <c r="E40" s="80">
        <v>6</v>
      </c>
      <c r="F40" s="80">
        <v>6</v>
      </c>
      <c r="G40" s="80">
        <f>SUM(G36,G34,G32,G30,G28,G26,G24,G22,G20,G18,G16,G14,G12,G10,G8,G6,G4)</f>
        <v>0</v>
      </c>
      <c r="H40" s="80">
        <v>6</v>
      </c>
      <c r="I40" s="10"/>
      <c r="J40" s="79"/>
      <c r="K40" s="64"/>
      <c r="L40" s="69"/>
      <c r="M40" s="13"/>
      <c r="N40" s="61"/>
      <c r="O40" s="24"/>
      <c r="P40" s="14"/>
      <c r="Q40" s="14"/>
      <c r="R40" s="14"/>
      <c r="S40" s="14"/>
      <c r="T40" s="14"/>
      <c r="U40" s="14"/>
      <c r="V40" s="14"/>
      <c r="W40" s="10"/>
      <c r="X40" s="10"/>
      <c r="Y40" s="15"/>
      <c r="Z40" s="15"/>
      <c r="AA40" s="13"/>
      <c r="AB40" s="24"/>
    </row>
    <row r="41" spans="1:28" ht="16.8" thickTop="1" thickBot="1" x14ac:dyDescent="0.35">
      <c r="A41" s="61" t="s">
        <v>9</v>
      </c>
      <c r="B41" s="61">
        <f>B40*B3</f>
        <v>18</v>
      </c>
      <c r="C41" s="61">
        <f t="shared" ref="C41:H41" si="19">C40*C3</f>
        <v>6</v>
      </c>
      <c r="D41" s="61">
        <f t="shared" si="19"/>
        <v>0</v>
      </c>
      <c r="E41" s="61">
        <f t="shared" si="19"/>
        <v>12</v>
      </c>
      <c r="F41" s="61">
        <f t="shared" si="19"/>
        <v>12</v>
      </c>
      <c r="G41" s="61">
        <f t="shared" si="19"/>
        <v>0</v>
      </c>
      <c r="H41" s="61">
        <f t="shared" si="19"/>
        <v>18</v>
      </c>
      <c r="I41" s="14"/>
      <c r="J41" s="79">
        <f t="shared" si="15"/>
        <v>66</v>
      </c>
      <c r="K41" s="64">
        <f>B41+F41+H41</f>
        <v>48</v>
      </c>
      <c r="L41" s="69"/>
      <c r="M41" s="13"/>
      <c r="N41" s="61">
        <v>19</v>
      </c>
      <c r="O41" s="10"/>
      <c r="P41" s="10"/>
      <c r="Q41" s="10"/>
      <c r="R41" s="10"/>
      <c r="S41" s="10"/>
      <c r="T41" s="10"/>
      <c r="U41" s="10"/>
      <c r="V41" s="10"/>
      <c r="W41" s="14"/>
      <c r="X41" s="10"/>
      <c r="Y41" s="11"/>
      <c r="Z41" s="12"/>
      <c r="AA41" s="13"/>
      <c r="AB41" s="10"/>
    </row>
    <row r="42" spans="1:28" s="1" customFormat="1" ht="16.8" thickTop="1" thickBot="1" x14ac:dyDescent="0.35">
      <c r="A42" s="61">
        <v>20</v>
      </c>
      <c r="B42" s="82">
        <v>6</v>
      </c>
      <c r="C42" s="82">
        <v>6</v>
      </c>
      <c r="D42" s="82">
        <v>6</v>
      </c>
      <c r="F42" s="80">
        <v>6</v>
      </c>
      <c r="H42" s="80">
        <v>6</v>
      </c>
      <c r="J42" s="79"/>
      <c r="K42" s="64"/>
      <c r="L42" s="69"/>
      <c r="N42" s="61"/>
      <c r="O42" s="23"/>
      <c r="P42" s="16"/>
      <c r="Q42" s="16"/>
      <c r="R42" s="16"/>
      <c r="S42" s="16"/>
      <c r="T42" s="16"/>
      <c r="U42" s="16"/>
      <c r="V42" s="16"/>
      <c r="W42" s="10"/>
      <c r="X42" s="10"/>
      <c r="Y42" s="15"/>
      <c r="Z42" s="15"/>
      <c r="AA42" s="13"/>
      <c r="AB42" s="23"/>
    </row>
    <row r="43" spans="1:28" ht="16.8" thickTop="1" thickBot="1" x14ac:dyDescent="0.35">
      <c r="A43" s="61" t="s">
        <v>9</v>
      </c>
      <c r="B43" s="61">
        <f>B42*B3</f>
        <v>18</v>
      </c>
      <c r="C43" s="61">
        <f t="shared" ref="C43:H43" si="20">C42*C3</f>
        <v>6</v>
      </c>
      <c r="D43" s="61">
        <f t="shared" si="20"/>
        <v>12</v>
      </c>
      <c r="E43" s="61"/>
      <c r="F43" s="61">
        <f t="shared" si="20"/>
        <v>12</v>
      </c>
      <c r="G43" s="61">
        <f t="shared" si="20"/>
        <v>0</v>
      </c>
      <c r="H43" s="61">
        <f t="shared" si="20"/>
        <v>18</v>
      </c>
      <c r="I43" s="13"/>
      <c r="J43" s="79">
        <f t="shared" si="15"/>
        <v>66</v>
      </c>
      <c r="K43" s="64">
        <f>B43+F43+H43</f>
        <v>48</v>
      </c>
      <c r="L43" s="69"/>
      <c r="M43" s="13"/>
      <c r="N43" s="61">
        <v>20</v>
      </c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1"/>
      <c r="Z43" s="12"/>
      <c r="AA43" s="13"/>
      <c r="AB43" s="10"/>
    </row>
    <row r="44" spans="1:28" ht="16.8" thickTop="1" thickBot="1" x14ac:dyDescent="0.35">
      <c r="A44" s="61" t="s">
        <v>32</v>
      </c>
      <c r="B44" s="82">
        <v>7</v>
      </c>
      <c r="C44" s="82">
        <v>7</v>
      </c>
      <c r="D44" s="82">
        <v>7</v>
      </c>
      <c r="E44" s="51"/>
      <c r="F44" s="80">
        <v>7</v>
      </c>
      <c r="G44" s="51"/>
      <c r="H44" s="80">
        <v>7</v>
      </c>
      <c r="I44" s="10"/>
      <c r="J44" s="79"/>
      <c r="K44" s="64"/>
      <c r="L44" s="69"/>
      <c r="M44" s="13"/>
      <c r="N44" s="61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1"/>
      <c r="Z44" s="12"/>
      <c r="AA44" s="13"/>
      <c r="AB44" s="10"/>
    </row>
    <row r="45" spans="1:28" s="1" customFormat="1" ht="16.8" thickTop="1" thickBot="1" x14ac:dyDescent="0.35">
      <c r="A45" s="61" t="s">
        <v>9</v>
      </c>
      <c r="B45" s="61">
        <f>B44*B3</f>
        <v>21</v>
      </c>
      <c r="C45" s="61">
        <f t="shared" ref="C45:H45" si="21">C44*C3</f>
        <v>7</v>
      </c>
      <c r="D45" s="61">
        <f t="shared" si="21"/>
        <v>14</v>
      </c>
      <c r="E45" s="61"/>
      <c r="F45" s="61">
        <f t="shared" si="21"/>
        <v>14</v>
      </c>
      <c r="G45" s="61">
        <f t="shared" si="21"/>
        <v>0</v>
      </c>
      <c r="H45" s="61">
        <f t="shared" si="21"/>
        <v>21</v>
      </c>
      <c r="I45" s="10"/>
      <c r="J45" s="79">
        <f t="shared" si="15"/>
        <v>77</v>
      </c>
      <c r="K45" s="64">
        <f>B45+F45+H45</f>
        <v>56</v>
      </c>
      <c r="L45" s="69"/>
      <c r="M45" s="13"/>
      <c r="N45" s="61">
        <v>21</v>
      </c>
      <c r="O45" s="24"/>
      <c r="P45" s="14"/>
      <c r="Q45" s="14"/>
      <c r="R45" s="14"/>
      <c r="S45" s="14"/>
      <c r="T45" s="14"/>
      <c r="U45" s="14"/>
      <c r="V45" s="14"/>
      <c r="W45" s="10"/>
      <c r="X45" s="10"/>
      <c r="Y45" s="15"/>
      <c r="Z45" s="15"/>
      <c r="AA45" s="13"/>
      <c r="AB45" s="24"/>
    </row>
    <row r="46" spans="1:28" ht="16.8" thickTop="1" thickBot="1" x14ac:dyDescent="0.35">
      <c r="A46" s="61">
        <v>22</v>
      </c>
      <c r="B46" s="80">
        <v>6</v>
      </c>
      <c r="C46" s="80">
        <v>6</v>
      </c>
      <c r="D46" s="80">
        <v>6</v>
      </c>
      <c r="E46" s="10">
        <v>0</v>
      </c>
      <c r="F46" s="80">
        <v>6</v>
      </c>
      <c r="G46" s="10"/>
      <c r="H46" s="80">
        <v>6</v>
      </c>
      <c r="I46" s="10"/>
      <c r="J46" s="79"/>
      <c r="K46" s="64"/>
      <c r="L46" s="69"/>
      <c r="M46" s="13"/>
      <c r="N46" s="61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1"/>
      <c r="Z46" s="12"/>
      <c r="AA46" s="13"/>
      <c r="AB46" s="10"/>
    </row>
    <row r="47" spans="1:28" s="1" customFormat="1" ht="16.8" thickTop="1" thickBot="1" x14ac:dyDescent="0.35">
      <c r="A47" s="61" t="s">
        <v>9</v>
      </c>
      <c r="B47" s="61">
        <f>B46*B3</f>
        <v>18</v>
      </c>
      <c r="C47" s="61">
        <f t="shared" ref="C47:H47" si="22">C46*C3</f>
        <v>6</v>
      </c>
      <c r="D47" s="61">
        <f t="shared" si="22"/>
        <v>12</v>
      </c>
      <c r="E47" s="61">
        <f t="shared" si="22"/>
        <v>0</v>
      </c>
      <c r="F47" s="61">
        <f t="shared" si="22"/>
        <v>12</v>
      </c>
      <c r="G47" s="61">
        <f t="shared" si="22"/>
        <v>0</v>
      </c>
      <c r="H47" s="61">
        <f t="shared" si="22"/>
        <v>18</v>
      </c>
      <c r="I47" s="10"/>
      <c r="J47" s="79">
        <f t="shared" si="15"/>
        <v>66</v>
      </c>
      <c r="K47" s="64">
        <f>B47+F47+H47</f>
        <v>48</v>
      </c>
      <c r="L47" s="69"/>
      <c r="M47" s="13"/>
      <c r="N47" s="61">
        <v>22</v>
      </c>
      <c r="O47" s="24"/>
      <c r="P47" s="14"/>
      <c r="Q47" s="14"/>
      <c r="R47" s="14"/>
      <c r="S47" s="14"/>
      <c r="T47" s="14"/>
      <c r="U47" s="14"/>
      <c r="V47" s="14"/>
      <c r="W47" s="10"/>
      <c r="X47" s="10"/>
      <c r="Y47" s="15"/>
      <c r="Z47" s="15"/>
      <c r="AA47" s="13"/>
      <c r="AB47" s="24"/>
    </row>
    <row r="48" spans="1:28" ht="16.8" thickTop="1" thickBot="1" x14ac:dyDescent="0.35">
      <c r="A48" s="61">
        <v>23</v>
      </c>
      <c r="B48" s="80">
        <v>6</v>
      </c>
      <c r="C48" s="80">
        <v>6</v>
      </c>
      <c r="D48" s="80">
        <v>6</v>
      </c>
      <c r="E48" s="10"/>
      <c r="F48" s="80">
        <v>6</v>
      </c>
      <c r="G48" s="10"/>
      <c r="H48" s="80">
        <v>6</v>
      </c>
      <c r="I48" s="10"/>
      <c r="J48" s="79"/>
      <c r="K48" s="64"/>
      <c r="L48" s="69"/>
      <c r="M48" s="13"/>
      <c r="N48" s="61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1"/>
      <c r="Z48" s="12"/>
      <c r="AA48" s="13"/>
      <c r="AB48" s="10"/>
    </row>
    <row r="49" spans="1:28" s="1" customFormat="1" ht="16.8" thickTop="1" thickBot="1" x14ac:dyDescent="0.35">
      <c r="A49" s="61" t="s">
        <v>9</v>
      </c>
      <c r="B49" s="61">
        <f>B48*B3</f>
        <v>18</v>
      </c>
      <c r="C49" s="61">
        <f t="shared" ref="C49:H49" si="23">C48*C3</f>
        <v>6</v>
      </c>
      <c r="D49" s="61">
        <f t="shared" si="23"/>
        <v>12</v>
      </c>
      <c r="E49" s="61"/>
      <c r="F49" s="61">
        <f t="shared" si="23"/>
        <v>12</v>
      </c>
      <c r="G49" s="61">
        <f t="shared" si="23"/>
        <v>0</v>
      </c>
      <c r="H49" s="61">
        <f t="shared" si="23"/>
        <v>18</v>
      </c>
      <c r="I49" s="10"/>
      <c r="J49" s="79">
        <f t="shared" si="15"/>
        <v>66</v>
      </c>
      <c r="K49" s="64">
        <f>B49+F49+H49</f>
        <v>48</v>
      </c>
      <c r="L49" s="69"/>
      <c r="M49" s="13"/>
      <c r="N49" s="61">
        <v>23</v>
      </c>
      <c r="O49" s="24"/>
      <c r="P49" s="14"/>
      <c r="Q49" s="14"/>
      <c r="R49" s="14"/>
      <c r="S49" s="14"/>
      <c r="T49" s="14"/>
      <c r="U49" s="14"/>
      <c r="V49" s="14"/>
      <c r="W49" s="10"/>
      <c r="X49" s="10"/>
      <c r="Y49" s="15"/>
      <c r="Z49" s="15"/>
      <c r="AA49" s="13"/>
      <c r="AB49" s="24"/>
    </row>
    <row r="50" spans="1:28" ht="16.8" thickTop="1" thickBot="1" x14ac:dyDescent="0.35">
      <c r="A50" s="61">
        <v>24</v>
      </c>
      <c r="B50" s="80">
        <v>6</v>
      </c>
      <c r="C50" s="80">
        <v>6</v>
      </c>
      <c r="D50" s="80">
        <v>6</v>
      </c>
      <c r="E50" s="10"/>
      <c r="F50" s="80">
        <v>6</v>
      </c>
      <c r="G50" s="10"/>
      <c r="H50" s="80">
        <v>6</v>
      </c>
      <c r="I50" s="10"/>
      <c r="J50" s="79"/>
      <c r="K50" s="64"/>
      <c r="L50" s="69"/>
      <c r="M50" s="13"/>
      <c r="N50" s="61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1"/>
      <c r="Z50" s="12"/>
      <c r="AA50" s="13"/>
      <c r="AB50" s="10"/>
    </row>
    <row r="51" spans="1:28" s="1" customFormat="1" ht="16.8" thickTop="1" thickBot="1" x14ac:dyDescent="0.35">
      <c r="A51" s="61" t="s">
        <v>9</v>
      </c>
      <c r="B51" s="61">
        <f>B50*B3</f>
        <v>18</v>
      </c>
      <c r="C51" s="61">
        <f t="shared" ref="C51:H51" si="24">C50*C3</f>
        <v>6</v>
      </c>
      <c r="D51" s="61">
        <f t="shared" si="24"/>
        <v>12</v>
      </c>
      <c r="E51" s="61"/>
      <c r="F51" s="61">
        <f t="shared" si="24"/>
        <v>12</v>
      </c>
      <c r="G51" s="61">
        <f t="shared" si="24"/>
        <v>0</v>
      </c>
      <c r="H51" s="61">
        <f t="shared" si="24"/>
        <v>18</v>
      </c>
      <c r="I51" s="10"/>
      <c r="J51" s="79">
        <f t="shared" si="15"/>
        <v>66</v>
      </c>
      <c r="K51" s="64">
        <f>B51+F51+H51</f>
        <v>48</v>
      </c>
      <c r="L51" s="69"/>
      <c r="M51" s="13"/>
      <c r="N51" s="61">
        <v>24</v>
      </c>
      <c r="O51" s="24"/>
      <c r="P51" s="14"/>
      <c r="Q51" s="14"/>
      <c r="R51" s="14"/>
      <c r="S51" s="14"/>
      <c r="T51" s="14"/>
      <c r="U51" s="14"/>
      <c r="V51" s="14"/>
      <c r="W51" s="10"/>
      <c r="X51" s="10"/>
      <c r="Y51" s="15"/>
      <c r="Z51" s="15"/>
      <c r="AA51" s="13"/>
      <c r="AB51" s="24"/>
    </row>
    <row r="52" spans="1:28" ht="16.8" thickTop="1" thickBot="1" x14ac:dyDescent="0.35">
      <c r="A52" s="61">
        <v>25</v>
      </c>
      <c r="B52" s="80">
        <v>6</v>
      </c>
      <c r="C52" s="80">
        <v>6</v>
      </c>
      <c r="D52" s="80">
        <v>6</v>
      </c>
      <c r="E52" s="10"/>
      <c r="F52" s="80">
        <v>6</v>
      </c>
      <c r="G52" s="10"/>
      <c r="H52" s="80">
        <v>6</v>
      </c>
      <c r="I52" s="10"/>
      <c r="J52" s="79"/>
      <c r="K52" s="64"/>
      <c r="L52" s="69"/>
      <c r="M52" s="13"/>
      <c r="N52" s="61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1"/>
      <c r="Z52" s="12"/>
      <c r="AA52" s="13"/>
      <c r="AB52" s="10"/>
    </row>
    <row r="53" spans="1:28" s="1" customFormat="1" ht="16.8" thickTop="1" thickBot="1" x14ac:dyDescent="0.35">
      <c r="A53" s="61" t="s">
        <v>9</v>
      </c>
      <c r="B53" s="61">
        <f>B52*B3</f>
        <v>18</v>
      </c>
      <c r="C53" s="61">
        <f t="shared" ref="C53:H53" si="25">C52*C3</f>
        <v>6</v>
      </c>
      <c r="D53" s="61">
        <f t="shared" si="25"/>
        <v>12</v>
      </c>
      <c r="E53" s="61"/>
      <c r="F53" s="61">
        <f t="shared" si="25"/>
        <v>12</v>
      </c>
      <c r="G53" s="61">
        <f t="shared" si="25"/>
        <v>0</v>
      </c>
      <c r="H53" s="61">
        <f t="shared" si="25"/>
        <v>18</v>
      </c>
      <c r="I53" s="10"/>
      <c r="J53" s="77">
        <f t="shared" si="15"/>
        <v>66</v>
      </c>
      <c r="K53" s="64">
        <f>B53+F53+H53</f>
        <v>48</v>
      </c>
      <c r="L53" s="69"/>
      <c r="M53" s="13"/>
      <c r="N53" s="61">
        <v>25</v>
      </c>
      <c r="O53" s="24"/>
      <c r="P53" s="14"/>
      <c r="Q53" s="14"/>
      <c r="R53" s="14"/>
      <c r="S53" s="14"/>
      <c r="T53" s="14"/>
      <c r="U53" s="14"/>
      <c r="V53" s="14"/>
      <c r="W53" s="10"/>
      <c r="X53" s="10"/>
      <c r="Y53" s="15"/>
      <c r="Z53" s="15"/>
      <c r="AA53" s="13"/>
      <c r="AB53" s="24"/>
    </row>
    <row r="54" spans="1:28" ht="16.8" thickTop="1" thickBot="1" x14ac:dyDescent="0.35">
      <c r="A54" s="26" t="s">
        <v>26</v>
      </c>
      <c r="B54" s="7">
        <v>6</v>
      </c>
      <c r="C54" s="7">
        <v>6</v>
      </c>
      <c r="D54" s="7">
        <v>6</v>
      </c>
      <c r="E54" s="7"/>
      <c r="F54" s="7">
        <v>6</v>
      </c>
      <c r="G54" s="7"/>
      <c r="H54" s="7">
        <v>6</v>
      </c>
      <c r="I54" s="8"/>
      <c r="J54" s="83"/>
      <c r="K54" s="64"/>
      <c r="L54" s="84"/>
      <c r="M54" s="9"/>
      <c r="N54" s="61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1"/>
      <c r="Z54" s="12"/>
      <c r="AA54" s="13"/>
      <c r="AB54" s="10"/>
    </row>
    <row r="55" spans="1:28" s="1" customFormat="1" ht="16.8" thickTop="1" thickBot="1" x14ac:dyDescent="0.35">
      <c r="A55" s="61" t="s">
        <v>9</v>
      </c>
      <c r="B55" s="61">
        <f>B54*B3</f>
        <v>18</v>
      </c>
      <c r="C55" s="61">
        <f t="shared" ref="C55:H55" si="26">C54*C3</f>
        <v>6</v>
      </c>
      <c r="D55" s="61">
        <f t="shared" si="26"/>
        <v>12</v>
      </c>
      <c r="E55" s="61"/>
      <c r="F55" s="61">
        <f t="shared" si="26"/>
        <v>12</v>
      </c>
      <c r="G55" s="61">
        <f t="shared" si="26"/>
        <v>0</v>
      </c>
      <c r="H55" s="61">
        <f t="shared" si="26"/>
        <v>18</v>
      </c>
      <c r="I55" s="63"/>
      <c r="J55" s="73">
        <f>SUM(B55,C55,D55,E55,F55,H55)</f>
        <v>66</v>
      </c>
      <c r="K55" s="64">
        <f>B55+F55+H55</f>
        <v>48</v>
      </c>
      <c r="L55" s="65"/>
      <c r="M55" s="66"/>
      <c r="N55" s="26" t="s">
        <v>26</v>
      </c>
      <c r="O55" s="24"/>
      <c r="P55" s="14"/>
      <c r="Q55" s="14"/>
      <c r="R55" s="14"/>
      <c r="S55" s="14"/>
      <c r="T55" s="14"/>
      <c r="U55" s="14"/>
      <c r="V55" s="14"/>
      <c r="W55" s="10"/>
      <c r="X55" s="10"/>
      <c r="Y55" s="15"/>
      <c r="Z55" s="15"/>
      <c r="AA55" s="13"/>
      <c r="AB55" s="24"/>
    </row>
    <row r="56" spans="1:28" ht="16.8" thickTop="1" thickBot="1" x14ac:dyDescent="0.35">
      <c r="A56" s="26"/>
      <c r="B56" s="14"/>
      <c r="C56" s="14"/>
      <c r="D56" s="14"/>
      <c r="E56" s="14"/>
      <c r="F56" s="14"/>
      <c r="G56" s="14"/>
      <c r="H56" s="14"/>
      <c r="I56" s="14"/>
      <c r="J56" s="74"/>
      <c r="K56" s="64"/>
      <c r="L56" s="60"/>
      <c r="M56" s="13"/>
      <c r="N56" s="61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1"/>
      <c r="Z56" s="12"/>
      <c r="AA56" s="13"/>
      <c r="AB56" s="10"/>
    </row>
    <row r="57" spans="1:28" s="1" customFormat="1" ht="16.8" thickTop="1" thickBot="1" x14ac:dyDescent="0.35">
      <c r="A57" s="61"/>
      <c r="B57" s="61"/>
      <c r="C57" s="61"/>
      <c r="D57" s="61"/>
      <c r="E57" s="61"/>
      <c r="F57" s="61"/>
      <c r="G57" s="61"/>
      <c r="H57" s="61"/>
      <c r="I57" s="63"/>
      <c r="J57" s="73"/>
      <c r="K57" s="64"/>
      <c r="L57" s="65"/>
      <c r="M57" s="66"/>
      <c r="N57" s="26"/>
      <c r="O57" s="24"/>
      <c r="P57" s="14"/>
      <c r="Q57" s="14"/>
      <c r="R57" s="14"/>
      <c r="S57" s="14"/>
      <c r="T57" s="14"/>
      <c r="U57" s="14"/>
      <c r="V57" s="14"/>
      <c r="W57" s="10"/>
      <c r="X57" s="10"/>
      <c r="Y57" s="15"/>
      <c r="Z57" s="15"/>
      <c r="AA57" s="13"/>
      <c r="AB57" s="24"/>
    </row>
    <row r="58" spans="1:28" ht="16.8" thickTop="1" thickBot="1" x14ac:dyDescent="0.35">
      <c r="A58" s="26"/>
      <c r="B58" s="14"/>
      <c r="C58" s="14"/>
      <c r="D58" s="14"/>
      <c r="E58" s="14"/>
      <c r="F58" s="14"/>
      <c r="G58" s="14"/>
      <c r="H58" s="14"/>
      <c r="I58" s="10"/>
      <c r="J58" s="75"/>
      <c r="K58" s="64"/>
      <c r="L58" s="55"/>
      <c r="M58" s="13"/>
      <c r="N58" s="61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1"/>
      <c r="Z58" s="12"/>
      <c r="AA58" s="13"/>
      <c r="AB58" s="10"/>
    </row>
    <row r="59" spans="1:28" ht="16.8" thickTop="1" thickBot="1" x14ac:dyDescent="0.35">
      <c r="A59" s="61"/>
      <c r="B59" s="61"/>
      <c r="C59" s="61"/>
      <c r="D59" s="61"/>
      <c r="E59" s="61"/>
      <c r="F59" s="61"/>
      <c r="G59" s="61"/>
      <c r="H59" s="61"/>
      <c r="I59" s="63"/>
      <c r="J59" s="73"/>
      <c r="K59" s="64"/>
      <c r="L59" s="65"/>
      <c r="M59" s="66"/>
      <c r="N59" s="26"/>
      <c r="O59" s="24"/>
      <c r="P59" s="14"/>
      <c r="Q59" s="14"/>
      <c r="R59" s="14"/>
      <c r="S59" s="14"/>
      <c r="T59" s="14"/>
      <c r="U59" s="14"/>
      <c r="V59" s="14"/>
      <c r="W59" s="14"/>
      <c r="X59" s="10"/>
      <c r="Y59" s="15"/>
      <c r="Z59" s="15"/>
      <c r="AA59" s="13"/>
      <c r="AB59" s="24"/>
    </row>
    <row r="60" spans="1:28" ht="16.8" thickTop="1" thickBot="1" x14ac:dyDescent="0.35">
      <c r="A60" s="26"/>
      <c r="B60" s="41"/>
      <c r="C60" s="14"/>
      <c r="D60" s="14"/>
      <c r="E60" s="14"/>
      <c r="F60" s="14"/>
      <c r="G60" s="14"/>
      <c r="H60" s="14"/>
      <c r="I60" s="10"/>
      <c r="J60" s="76"/>
      <c r="K60" s="64"/>
      <c r="L60" s="42"/>
      <c r="M60" s="13"/>
      <c r="N60" s="61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1"/>
      <c r="Z60" s="12"/>
      <c r="AA60" s="13"/>
      <c r="AB60" s="10"/>
    </row>
    <row r="61" spans="1:28" ht="16.8" thickTop="1" thickBot="1" x14ac:dyDescent="0.35">
      <c r="A61" s="61"/>
      <c r="B61" s="61"/>
      <c r="C61" s="61"/>
      <c r="D61" s="61"/>
      <c r="E61" s="61"/>
      <c r="F61" s="61"/>
      <c r="G61" s="61"/>
      <c r="H61" s="61"/>
      <c r="I61" s="63"/>
      <c r="J61" s="73"/>
      <c r="K61" s="64"/>
      <c r="L61" s="69"/>
      <c r="M61" s="66"/>
      <c r="N61" s="26"/>
      <c r="O61" s="23"/>
      <c r="P61" s="16"/>
      <c r="Q61" s="16"/>
      <c r="R61" s="16"/>
      <c r="S61" s="16"/>
      <c r="T61" s="16"/>
      <c r="U61" s="16"/>
      <c r="V61" s="16"/>
      <c r="W61" s="14"/>
      <c r="X61" s="10"/>
      <c r="Y61" s="15"/>
      <c r="Z61" s="15"/>
      <c r="AA61" s="13"/>
      <c r="AB61" s="23"/>
    </row>
    <row r="62" spans="1:28" ht="16.8" thickTop="1" thickBot="1" x14ac:dyDescent="0.35">
      <c r="A62" s="26"/>
      <c r="B62" s="41"/>
      <c r="C62" s="14"/>
      <c r="D62" s="14"/>
      <c r="E62" s="14"/>
      <c r="F62" s="14"/>
      <c r="G62" s="14"/>
      <c r="H62" s="14"/>
      <c r="I62" s="10"/>
      <c r="J62" s="75"/>
      <c r="K62" s="64"/>
      <c r="L62" s="43"/>
      <c r="M62" s="13"/>
      <c r="N62" s="61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1"/>
      <c r="Z62" s="12"/>
      <c r="AA62" s="13"/>
      <c r="AB62" s="10"/>
    </row>
    <row r="63" spans="1:28" ht="16.8" thickTop="1" thickBot="1" x14ac:dyDescent="0.35">
      <c r="A63" s="61"/>
      <c r="B63" s="67"/>
      <c r="C63" s="67"/>
      <c r="D63" s="67"/>
      <c r="E63" s="67"/>
      <c r="F63" s="67"/>
      <c r="G63" s="67"/>
      <c r="H63" s="67"/>
      <c r="I63" s="63"/>
      <c r="J63" s="73"/>
      <c r="K63" s="64"/>
      <c r="L63" s="69"/>
      <c r="M63" s="66"/>
      <c r="N63" s="26"/>
      <c r="O63" s="24"/>
      <c r="P63" s="14"/>
      <c r="Q63" s="14"/>
      <c r="R63" s="14"/>
      <c r="S63" s="14"/>
      <c r="T63" s="14"/>
      <c r="U63" s="14"/>
      <c r="V63" s="14"/>
      <c r="W63" s="10"/>
      <c r="X63" s="10"/>
      <c r="Y63" s="15"/>
      <c r="Z63" s="15"/>
      <c r="AA63" s="13"/>
      <c r="AB63" s="24"/>
    </row>
    <row r="64" spans="1:28" ht="16.2" thickTop="1" x14ac:dyDescent="0.3">
      <c r="A64" s="85"/>
      <c r="B64" s="7"/>
      <c r="C64" s="7"/>
      <c r="D64" s="7"/>
      <c r="E64" s="7"/>
      <c r="F64" s="7"/>
      <c r="G64" s="7"/>
      <c r="H64" s="7"/>
      <c r="I64" s="8"/>
      <c r="J64" s="86"/>
      <c r="K64" s="48"/>
      <c r="L64" s="87"/>
      <c r="M64" s="9"/>
      <c r="N64" s="8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1"/>
      <c r="Z64" s="12"/>
      <c r="AA64" s="13"/>
      <c r="AB64" s="10"/>
    </row>
    <row r="65" spans="1:28" ht="15.6" x14ac:dyDescent="0.3">
      <c r="A65" s="10"/>
      <c r="B65" s="10"/>
      <c r="C65" s="10"/>
      <c r="D65" s="10"/>
      <c r="E65" s="10"/>
      <c r="F65" s="10"/>
      <c r="G65" s="10"/>
      <c r="H65" s="10"/>
      <c r="I65" s="14"/>
      <c r="J65" s="58"/>
      <c r="K65" s="42"/>
      <c r="L65" s="55"/>
      <c r="M65" s="13"/>
      <c r="N65" s="24"/>
      <c r="O65" s="24"/>
      <c r="P65" s="14"/>
      <c r="Q65" s="14"/>
      <c r="R65" s="14"/>
      <c r="S65" s="14"/>
      <c r="T65" s="14"/>
      <c r="U65" s="14"/>
      <c r="V65" s="14"/>
      <c r="W65" s="10"/>
      <c r="X65" s="10"/>
      <c r="Y65" s="15"/>
      <c r="Z65" s="15"/>
      <c r="AA65" s="13"/>
      <c r="AB65" s="24"/>
    </row>
    <row r="66" spans="1:28" ht="15.6" x14ac:dyDescent="0.3">
      <c r="A66" s="88"/>
      <c r="B66" s="14"/>
      <c r="C66" s="14"/>
      <c r="D66" s="14"/>
      <c r="E66" s="14"/>
      <c r="F66" s="14"/>
      <c r="G66" s="14"/>
      <c r="H66" s="14"/>
      <c r="I66" s="10"/>
      <c r="J66" s="42"/>
      <c r="K66" s="42"/>
      <c r="L66" s="55"/>
      <c r="M66" s="13"/>
      <c r="N66" s="10"/>
      <c r="O66" s="10"/>
      <c r="P66" s="10"/>
      <c r="Q66" s="10"/>
      <c r="R66" s="10"/>
      <c r="S66" s="10"/>
      <c r="T66" s="10"/>
      <c r="U66" s="10"/>
      <c r="V66" s="10"/>
      <c r="W66" s="14"/>
      <c r="X66" s="10"/>
      <c r="Y66" s="11"/>
      <c r="Z66" s="12"/>
      <c r="AA66" s="13"/>
      <c r="AB66" s="10"/>
    </row>
    <row r="67" spans="1:28" ht="15.6" x14ac:dyDescent="0.3">
      <c r="A67" s="10"/>
      <c r="B67" s="10"/>
      <c r="C67" s="10"/>
      <c r="D67" s="10"/>
      <c r="E67" s="10"/>
      <c r="F67" s="10"/>
      <c r="G67" s="10"/>
      <c r="H67" s="10"/>
      <c r="I67" s="10"/>
      <c r="J67" s="58"/>
      <c r="K67" s="42"/>
      <c r="L67" s="55"/>
      <c r="M67" s="13"/>
      <c r="N67" s="88"/>
      <c r="O67" s="24"/>
      <c r="P67" s="14"/>
      <c r="Q67" s="14"/>
      <c r="R67" s="14"/>
      <c r="S67" s="14"/>
      <c r="T67" s="14"/>
      <c r="U67" s="14"/>
      <c r="V67" s="14"/>
      <c r="W67" s="10"/>
      <c r="X67" s="10"/>
      <c r="Y67" s="15"/>
      <c r="Z67" s="15"/>
      <c r="AA67" s="13"/>
      <c r="AB67" s="24"/>
    </row>
    <row r="68" spans="1:28" ht="15.6" x14ac:dyDescent="0.3">
      <c r="A68" s="24"/>
      <c r="B68" s="14"/>
      <c r="C68" s="14"/>
      <c r="D68" s="14"/>
      <c r="E68" s="14"/>
      <c r="F68" s="14"/>
      <c r="G68" s="14"/>
      <c r="H68" s="14"/>
      <c r="I68" s="10"/>
      <c r="J68" s="58"/>
      <c r="K68" s="42"/>
      <c r="L68" s="55"/>
      <c r="M68" s="13"/>
      <c r="N68" s="10"/>
      <c r="O68" s="10"/>
      <c r="P68" s="10"/>
      <c r="Q68" s="10"/>
      <c r="R68" s="10"/>
      <c r="S68" s="10"/>
      <c r="T68" s="10"/>
      <c r="U68" s="10"/>
      <c r="V68" s="10"/>
      <c r="W68" s="14"/>
      <c r="X68" s="10"/>
      <c r="Y68" s="11"/>
      <c r="Z68" s="12"/>
      <c r="AA68" s="13"/>
      <c r="AB68" s="10"/>
    </row>
    <row r="69" spans="1:28" ht="15.6" x14ac:dyDescent="0.3">
      <c r="A69" s="10"/>
      <c r="B69" s="10"/>
      <c r="C69" s="10"/>
      <c r="D69" s="10"/>
      <c r="E69" s="10"/>
      <c r="F69" s="10"/>
      <c r="G69" s="10"/>
      <c r="H69" s="10"/>
      <c r="I69" s="14"/>
      <c r="J69" s="58"/>
      <c r="K69" s="42"/>
      <c r="L69" s="55"/>
      <c r="M69" s="13"/>
      <c r="N69" s="24"/>
      <c r="O69" s="23"/>
      <c r="P69" s="16"/>
      <c r="Q69" s="16"/>
      <c r="R69" s="16"/>
      <c r="S69" s="16"/>
      <c r="T69" s="16"/>
      <c r="U69" s="16"/>
      <c r="V69" s="16"/>
      <c r="W69" s="14"/>
      <c r="X69" s="10"/>
      <c r="Y69" s="15"/>
      <c r="Z69" s="15"/>
      <c r="AA69" s="13"/>
      <c r="AB69" s="23"/>
    </row>
    <row r="70" spans="1:28" ht="15.6" x14ac:dyDescent="0.3">
      <c r="A70" s="24"/>
      <c r="B70" s="14"/>
      <c r="C70" s="14"/>
      <c r="D70" s="14"/>
      <c r="E70" s="14"/>
      <c r="F70" s="14"/>
      <c r="G70" s="14"/>
      <c r="H70" s="14"/>
      <c r="I70" s="14"/>
      <c r="J70" s="58"/>
      <c r="K70" s="42"/>
      <c r="L70" s="55"/>
      <c r="M70" s="13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1"/>
      <c r="Z70" s="12"/>
      <c r="AA70" s="13"/>
      <c r="AB70" s="10"/>
    </row>
    <row r="71" spans="1:28" ht="15.6" x14ac:dyDescent="0.3">
      <c r="A71" s="10"/>
      <c r="B71" s="10"/>
      <c r="C71" s="10"/>
      <c r="D71" s="10"/>
      <c r="E71" s="10"/>
      <c r="F71" s="10"/>
      <c r="G71" s="10"/>
      <c r="H71" s="10"/>
      <c r="I71" s="10"/>
      <c r="J71" s="58"/>
      <c r="K71" s="42"/>
      <c r="L71" s="55"/>
      <c r="M71" s="13"/>
      <c r="N71" s="24"/>
      <c r="O71" s="24"/>
      <c r="P71" s="14"/>
      <c r="Q71" s="14"/>
      <c r="R71" s="14"/>
      <c r="S71" s="14"/>
      <c r="T71" s="14"/>
      <c r="U71" s="14"/>
      <c r="V71" s="14"/>
      <c r="W71" s="14"/>
      <c r="X71" s="10"/>
      <c r="Y71" s="15"/>
      <c r="Z71" s="15"/>
      <c r="AA71" s="13"/>
      <c r="AB71" s="24"/>
    </row>
    <row r="72" spans="1:28" ht="15.6" x14ac:dyDescent="0.3">
      <c r="A72" s="24"/>
      <c r="B72" s="14"/>
      <c r="C72" s="14"/>
      <c r="D72" s="14"/>
      <c r="E72" s="14"/>
      <c r="F72" s="14"/>
      <c r="G72" s="14"/>
      <c r="H72" s="14"/>
      <c r="I72" s="14"/>
      <c r="J72" s="42"/>
      <c r="K72" s="42"/>
      <c r="L72" s="42"/>
      <c r="M72" s="13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1"/>
      <c r="Z72" s="12"/>
      <c r="AA72" s="13"/>
      <c r="AB72" s="10"/>
    </row>
    <row r="73" spans="1:28" ht="15.6" x14ac:dyDescent="0.3">
      <c r="A73" s="10"/>
      <c r="B73" s="10"/>
      <c r="C73" s="10"/>
      <c r="D73" s="10"/>
      <c r="E73" s="10"/>
      <c r="F73" s="10"/>
      <c r="G73" s="10"/>
      <c r="H73" s="10"/>
      <c r="I73" s="10"/>
      <c r="J73" s="58"/>
      <c r="K73" s="42"/>
      <c r="L73" s="55"/>
      <c r="M73" s="13"/>
      <c r="N73" s="24"/>
      <c r="O73" s="24"/>
      <c r="P73" s="14"/>
      <c r="Q73" s="14"/>
      <c r="R73" s="14"/>
      <c r="S73" s="14"/>
      <c r="T73" s="14"/>
      <c r="U73" s="14"/>
      <c r="V73" s="14"/>
      <c r="W73" s="10"/>
      <c r="X73" s="10"/>
      <c r="Y73" s="15"/>
      <c r="Z73" s="15"/>
      <c r="AA73" s="13"/>
      <c r="AB73" s="24"/>
    </row>
    <row r="74" spans="1:28" ht="15.6" x14ac:dyDescent="0.3">
      <c r="A74" s="24"/>
      <c r="B74" s="14"/>
      <c r="C74" s="14"/>
      <c r="D74" s="14"/>
      <c r="E74" s="14"/>
      <c r="F74" s="14"/>
      <c r="G74" s="14"/>
      <c r="H74" s="14"/>
      <c r="I74" s="14"/>
      <c r="J74" s="58"/>
      <c r="K74" s="42"/>
      <c r="L74" s="55"/>
      <c r="M74" s="13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1"/>
      <c r="Z74" s="12"/>
      <c r="AA74" s="13"/>
      <c r="AB74" s="10"/>
    </row>
    <row r="75" spans="1:28" ht="15.6" x14ac:dyDescent="0.3">
      <c r="A75" s="10"/>
      <c r="B75" s="10"/>
      <c r="C75" s="10"/>
      <c r="D75" s="10"/>
      <c r="E75" s="10"/>
      <c r="F75" s="10"/>
      <c r="G75" s="10"/>
      <c r="H75" s="10"/>
      <c r="I75" s="10"/>
      <c r="J75" s="58"/>
      <c r="K75" s="42"/>
      <c r="L75" s="55"/>
      <c r="M75" s="13"/>
      <c r="N75" s="24"/>
      <c r="O75" s="24"/>
      <c r="P75" s="14"/>
      <c r="Q75" s="14"/>
      <c r="R75" s="14"/>
      <c r="S75" s="14"/>
      <c r="T75" s="14"/>
      <c r="U75" s="14"/>
      <c r="V75" s="14"/>
      <c r="W75" s="10"/>
      <c r="X75" s="10"/>
      <c r="Y75" s="15"/>
      <c r="Z75" s="15"/>
      <c r="AA75" s="13"/>
      <c r="AB75" s="24"/>
    </row>
    <row r="76" spans="1:28" ht="15.6" x14ac:dyDescent="0.3">
      <c r="A76" s="24"/>
      <c r="B76" s="14"/>
      <c r="C76" s="14"/>
      <c r="D76" s="14"/>
      <c r="E76" s="14"/>
      <c r="F76" s="14"/>
      <c r="G76" s="14"/>
      <c r="H76" s="14"/>
      <c r="I76" s="14"/>
      <c r="J76" s="58"/>
      <c r="K76" s="42"/>
      <c r="L76" s="55"/>
      <c r="M76" s="13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1"/>
      <c r="Z76" s="12"/>
      <c r="AA76" s="13"/>
      <c r="AB76" s="10"/>
    </row>
    <row r="77" spans="1:28" ht="15.6" x14ac:dyDescent="0.3">
      <c r="A77" s="10"/>
      <c r="B77" s="10"/>
      <c r="C77" s="10"/>
      <c r="D77" s="10"/>
      <c r="E77" s="10"/>
      <c r="F77" s="10"/>
      <c r="G77" s="10"/>
      <c r="H77" s="10"/>
      <c r="I77" s="10"/>
      <c r="J77" s="58"/>
      <c r="K77" s="42"/>
      <c r="L77" s="55"/>
      <c r="M77" s="13"/>
      <c r="N77" s="24"/>
      <c r="O77" s="24"/>
      <c r="P77" s="14"/>
      <c r="Q77" s="14"/>
      <c r="R77" s="14"/>
      <c r="S77" s="14"/>
      <c r="T77" s="14"/>
      <c r="U77" s="14"/>
      <c r="V77" s="14"/>
      <c r="W77" s="14"/>
      <c r="X77" s="10"/>
      <c r="Y77" s="15"/>
      <c r="Z77" s="15"/>
      <c r="AA77" s="17"/>
      <c r="AB77" s="24"/>
    </row>
    <row r="78" spans="1:28" ht="15.6" x14ac:dyDescent="0.3">
      <c r="A78" s="10"/>
      <c r="B78" s="10"/>
      <c r="C78" s="10"/>
      <c r="D78" s="10"/>
      <c r="E78" s="10"/>
      <c r="F78" s="10"/>
      <c r="G78" s="10"/>
      <c r="H78" s="10"/>
      <c r="I78" s="14"/>
      <c r="J78" s="58"/>
      <c r="K78" s="42"/>
      <c r="L78" s="55"/>
      <c r="M78" s="17"/>
      <c r="N78" s="24"/>
      <c r="O78" s="10"/>
      <c r="P78" s="10"/>
      <c r="Q78" s="10"/>
      <c r="R78" s="10"/>
      <c r="S78" s="10"/>
      <c r="T78" s="10"/>
      <c r="U78" s="10"/>
      <c r="V78" s="10"/>
      <c r="W78" s="14"/>
      <c r="X78" s="10"/>
      <c r="Y78" s="11"/>
      <c r="Z78" s="12"/>
      <c r="AA78" s="17"/>
      <c r="AB78" s="10"/>
    </row>
    <row r="79" spans="1:28" ht="15.6" x14ac:dyDescent="0.3">
      <c r="A79" s="24"/>
      <c r="B79" s="14"/>
      <c r="C79" s="14"/>
      <c r="D79" s="14"/>
      <c r="E79" s="14"/>
      <c r="F79" s="14"/>
      <c r="G79" s="14"/>
      <c r="H79" s="14"/>
      <c r="I79" s="14"/>
      <c r="J79" s="58"/>
      <c r="K79" s="42"/>
      <c r="L79" s="55"/>
      <c r="M79" s="17"/>
      <c r="N79" s="24"/>
      <c r="O79" s="24"/>
      <c r="P79" s="14"/>
      <c r="Q79" s="14"/>
      <c r="R79" s="14"/>
      <c r="S79" s="14"/>
      <c r="T79" s="14"/>
      <c r="U79" s="14"/>
      <c r="V79" s="14"/>
      <c r="W79" s="14"/>
      <c r="X79" s="10"/>
      <c r="Y79" s="18"/>
      <c r="Z79" s="15"/>
      <c r="AA79" s="17"/>
      <c r="AB79" s="24"/>
    </row>
    <row r="80" spans="1:28" ht="15.6" x14ac:dyDescent="0.3">
      <c r="A80" s="10"/>
      <c r="B80" s="10"/>
      <c r="C80" s="10"/>
      <c r="D80" s="10"/>
      <c r="E80" s="10"/>
      <c r="F80" s="10"/>
      <c r="G80" s="10"/>
      <c r="H80" s="10"/>
      <c r="I80" s="10"/>
      <c r="J80" s="58"/>
      <c r="K80" s="42"/>
      <c r="L80" s="55"/>
      <c r="M80" s="19"/>
      <c r="N80" s="24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1"/>
      <c r="Z80" s="12"/>
      <c r="AA80" s="19"/>
      <c r="AB80" s="10"/>
    </row>
    <row r="81" spans="1:28" ht="15.6" x14ac:dyDescent="0.3">
      <c r="A81" s="24"/>
      <c r="B81" s="14"/>
      <c r="C81" s="14"/>
      <c r="D81" s="14"/>
      <c r="E81" s="14"/>
      <c r="F81" s="14"/>
      <c r="G81" s="14"/>
      <c r="H81" s="14"/>
      <c r="I81" s="14"/>
      <c r="J81" s="58"/>
      <c r="K81" s="42"/>
      <c r="L81" s="55"/>
      <c r="M81" s="17"/>
      <c r="N81" s="24"/>
      <c r="O81" s="24"/>
      <c r="P81" s="14"/>
      <c r="Q81" s="14"/>
      <c r="R81" s="14"/>
      <c r="S81" s="14"/>
      <c r="T81" s="14"/>
      <c r="U81" s="14"/>
      <c r="V81" s="14"/>
      <c r="W81" s="14"/>
      <c r="X81" s="10"/>
      <c r="Y81" s="15"/>
      <c r="Z81" s="15"/>
      <c r="AA81" s="17"/>
      <c r="AB81" s="24"/>
    </row>
    <row r="82" spans="1:28" ht="15.6" x14ac:dyDescent="0.3">
      <c r="A82" s="10"/>
      <c r="B82" s="10"/>
      <c r="C82" s="10"/>
      <c r="D82" s="10"/>
      <c r="E82" s="10"/>
      <c r="F82" s="10"/>
      <c r="G82" s="10"/>
      <c r="H82" s="10"/>
      <c r="I82" s="10"/>
      <c r="J82" s="58"/>
      <c r="K82" s="42"/>
      <c r="L82" s="55"/>
      <c r="M82" s="19"/>
      <c r="N82" s="24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1"/>
      <c r="Z82" s="12"/>
      <c r="AA82" s="19"/>
      <c r="AB82" s="10"/>
    </row>
    <row r="83" spans="1:28" ht="15.6" x14ac:dyDescent="0.3">
      <c r="A83" s="24"/>
      <c r="B83" s="14"/>
      <c r="C83" s="14"/>
      <c r="D83" s="14"/>
      <c r="E83" s="14"/>
      <c r="F83" s="14"/>
      <c r="G83" s="14"/>
      <c r="H83" s="14"/>
      <c r="I83" s="14"/>
      <c r="J83" s="58"/>
      <c r="K83" s="42"/>
      <c r="L83" s="55"/>
      <c r="M83" s="17"/>
      <c r="N83" s="24"/>
      <c r="O83" s="24"/>
      <c r="P83" s="14"/>
      <c r="Q83" s="14"/>
      <c r="R83" s="14"/>
      <c r="S83" s="14"/>
      <c r="T83" s="14"/>
      <c r="U83" s="14"/>
      <c r="V83" s="14"/>
      <c r="W83" s="14"/>
      <c r="X83" s="10"/>
      <c r="Y83" s="15"/>
      <c r="Z83" s="15"/>
      <c r="AA83" s="17"/>
      <c r="AB83" s="24"/>
    </row>
    <row r="84" spans="1:28" ht="15.6" x14ac:dyDescent="0.3">
      <c r="A84" s="10"/>
      <c r="B84" s="10"/>
      <c r="C84" s="10"/>
      <c r="D84" s="10"/>
      <c r="E84" s="10"/>
      <c r="F84" s="10"/>
      <c r="G84" s="10"/>
      <c r="H84" s="10"/>
      <c r="I84" s="10"/>
      <c r="J84" s="58"/>
      <c r="K84" s="42"/>
      <c r="L84" s="55"/>
      <c r="M84" s="19"/>
      <c r="N84" s="24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1"/>
      <c r="Z84" s="12"/>
      <c r="AA84" s="19"/>
      <c r="AB84" s="10"/>
    </row>
    <row r="85" spans="1:28" ht="15.6" x14ac:dyDescent="0.3">
      <c r="A85" s="10"/>
      <c r="B85" s="14"/>
      <c r="C85" s="14"/>
      <c r="D85" s="14"/>
      <c r="E85" s="14"/>
      <c r="F85" s="14"/>
      <c r="G85" s="14"/>
      <c r="H85" s="14"/>
      <c r="I85" s="14"/>
      <c r="J85" s="58"/>
      <c r="K85" s="42"/>
      <c r="L85" s="55"/>
      <c r="M85" s="13"/>
      <c r="N85" s="24"/>
      <c r="O85" s="10"/>
      <c r="P85" s="14"/>
      <c r="Q85" s="14"/>
      <c r="R85" s="14"/>
      <c r="S85" s="14"/>
      <c r="T85" s="14"/>
      <c r="U85" s="14"/>
      <c r="V85" s="14"/>
      <c r="W85" s="14"/>
      <c r="X85" s="10"/>
      <c r="Y85" s="15"/>
      <c r="Z85" s="15"/>
      <c r="AA85" s="13"/>
      <c r="AB85" s="10"/>
    </row>
    <row r="86" spans="1:28" ht="15.6" x14ac:dyDescent="0.3">
      <c r="A86" s="10"/>
      <c r="B86" s="10"/>
      <c r="C86" s="10"/>
      <c r="D86" s="10"/>
      <c r="E86" s="10"/>
      <c r="F86" s="10"/>
      <c r="G86" s="10"/>
      <c r="H86" s="10"/>
      <c r="I86" s="14"/>
      <c r="J86" s="58"/>
      <c r="K86" s="42"/>
      <c r="L86" s="55"/>
      <c r="M86" s="13"/>
      <c r="N86" s="24"/>
      <c r="O86" s="10"/>
      <c r="P86" s="10"/>
      <c r="Q86" s="10"/>
      <c r="R86" s="10"/>
      <c r="S86" s="10"/>
      <c r="T86" s="10"/>
      <c r="U86" s="10"/>
      <c r="V86" s="10"/>
      <c r="W86" s="14"/>
      <c r="X86" s="10"/>
      <c r="Y86" s="11"/>
      <c r="Z86" s="12"/>
      <c r="AA86" s="13"/>
      <c r="AB86" s="10"/>
    </row>
    <row r="87" spans="1:28" ht="15.6" x14ac:dyDescent="0.3">
      <c r="A87" s="24"/>
      <c r="B87" s="14"/>
      <c r="C87" s="14"/>
      <c r="D87" s="14"/>
      <c r="E87" s="14"/>
      <c r="F87" s="14"/>
      <c r="G87" s="14"/>
      <c r="H87" s="14"/>
      <c r="I87" s="14"/>
      <c r="J87" s="57"/>
      <c r="K87" s="57"/>
      <c r="L87" s="57"/>
      <c r="M87" s="13"/>
      <c r="N87" s="24"/>
      <c r="O87" s="24"/>
      <c r="P87" s="14"/>
      <c r="Q87" s="14"/>
      <c r="R87" s="14"/>
      <c r="S87" s="14"/>
      <c r="T87" s="14"/>
      <c r="U87" s="14"/>
      <c r="V87" s="14"/>
      <c r="W87" s="14"/>
      <c r="X87" s="10"/>
      <c r="Y87" s="15"/>
      <c r="Z87" s="15"/>
      <c r="AA87" s="13"/>
      <c r="AB87" s="24"/>
    </row>
    <row r="88" spans="1:28" ht="15.6" x14ac:dyDescent="0.3">
      <c r="A88" s="10"/>
      <c r="B88" s="10"/>
      <c r="C88" s="10"/>
      <c r="D88" s="10"/>
      <c r="E88" s="10"/>
      <c r="F88" s="10"/>
      <c r="G88" s="10"/>
      <c r="H88" s="10"/>
      <c r="I88" s="10"/>
      <c r="J88" s="58"/>
      <c r="K88" s="42"/>
      <c r="L88" s="55"/>
      <c r="M88" s="13"/>
      <c r="N88" s="24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1"/>
      <c r="Z88" s="12"/>
      <c r="AA88" s="13"/>
      <c r="AB88" s="10"/>
    </row>
    <row r="89" spans="1:28" ht="15.6" hidden="1" x14ac:dyDescent="0.3">
      <c r="A89" s="10"/>
      <c r="B89" s="13"/>
      <c r="C89" s="13"/>
      <c r="D89" s="13"/>
      <c r="E89" s="13"/>
      <c r="F89" s="13"/>
      <c r="G89" s="13"/>
      <c r="H89" s="13"/>
      <c r="I89" s="10"/>
      <c r="J89" s="58"/>
      <c r="K89" s="42"/>
      <c r="L89" s="55"/>
      <c r="M89" s="13"/>
      <c r="N89" s="24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1"/>
      <c r="Z89" s="12"/>
      <c r="AA89" s="13"/>
      <c r="AB89" s="10"/>
    </row>
    <row r="90" spans="1:28" ht="15.6" x14ac:dyDescent="0.3">
      <c r="A90" s="24"/>
      <c r="B90" s="14"/>
      <c r="C90" s="14"/>
      <c r="D90" s="14"/>
      <c r="E90" s="14"/>
      <c r="F90" s="14"/>
      <c r="G90" s="14"/>
      <c r="H90" s="14"/>
      <c r="I90" s="10"/>
      <c r="J90" s="42"/>
      <c r="K90" s="42"/>
      <c r="L90" s="55"/>
      <c r="M90" s="20"/>
      <c r="N90" s="24"/>
      <c r="O90" s="24"/>
      <c r="P90" s="14"/>
      <c r="Q90" s="14"/>
      <c r="R90" s="14"/>
      <c r="S90" s="14"/>
      <c r="T90" s="14"/>
      <c r="U90" s="14"/>
      <c r="V90" s="14"/>
      <c r="W90" s="10"/>
      <c r="X90" s="10"/>
      <c r="Y90" s="15"/>
      <c r="Z90" s="15"/>
      <c r="AA90" s="20"/>
      <c r="AB90" s="24"/>
    </row>
    <row r="91" spans="1:28" ht="15.6" x14ac:dyDescent="0.3">
      <c r="A91" s="10"/>
      <c r="B91" s="10"/>
      <c r="C91" s="10"/>
      <c r="D91" s="10"/>
      <c r="E91" s="10"/>
      <c r="F91" s="10"/>
      <c r="G91" s="10"/>
      <c r="H91" s="10"/>
      <c r="I91" s="14"/>
      <c r="J91" s="58"/>
      <c r="K91" s="42"/>
      <c r="L91" s="55"/>
      <c r="M91" s="13"/>
      <c r="N91" s="24"/>
      <c r="O91" s="10"/>
      <c r="P91" s="10"/>
      <c r="Q91" s="10"/>
      <c r="R91" s="10"/>
      <c r="S91" s="10"/>
      <c r="T91" s="10"/>
      <c r="U91" s="10"/>
      <c r="V91" s="10"/>
      <c r="W91" s="14"/>
      <c r="X91" s="10"/>
      <c r="Y91" s="11"/>
      <c r="Z91" s="12"/>
      <c r="AA91" s="13"/>
      <c r="AB91" s="10"/>
    </row>
    <row r="92" spans="1:28" ht="15.6" x14ac:dyDescent="0.3">
      <c r="A92" s="24"/>
      <c r="B92" s="14"/>
      <c r="C92" s="14"/>
      <c r="D92" s="14"/>
      <c r="E92" s="14"/>
      <c r="F92" s="14"/>
      <c r="G92" s="14"/>
      <c r="H92" s="14"/>
      <c r="I92" s="10"/>
      <c r="J92" s="58"/>
      <c r="K92" s="42"/>
      <c r="L92" s="55"/>
      <c r="M92" s="20"/>
      <c r="N92" s="24"/>
      <c r="O92" s="24"/>
      <c r="P92" s="14"/>
      <c r="Q92" s="14"/>
      <c r="R92" s="14"/>
      <c r="S92" s="14"/>
      <c r="T92" s="14"/>
      <c r="U92" s="14"/>
      <c r="V92" s="14"/>
      <c r="W92" s="10"/>
      <c r="X92" s="10"/>
      <c r="Y92" s="15"/>
      <c r="Z92" s="15"/>
      <c r="AA92" s="20"/>
      <c r="AB92" s="24"/>
    </row>
    <row r="93" spans="1:28" ht="15.6" x14ac:dyDescent="0.3">
      <c r="A93" s="10"/>
      <c r="B93" s="10"/>
      <c r="C93" s="10"/>
      <c r="D93" s="10"/>
      <c r="E93" s="10"/>
      <c r="F93" s="10"/>
      <c r="G93" s="10"/>
      <c r="H93" s="10"/>
      <c r="I93" s="14"/>
      <c r="J93" s="58"/>
      <c r="K93" s="42"/>
      <c r="L93" s="55"/>
      <c r="M93" s="13"/>
      <c r="N93" s="24"/>
      <c r="O93" s="10"/>
      <c r="P93" s="10"/>
      <c r="Q93" s="10"/>
      <c r="R93" s="10"/>
      <c r="S93" s="10"/>
      <c r="T93" s="10"/>
      <c r="U93" s="10"/>
      <c r="V93" s="10"/>
      <c r="W93" s="14"/>
      <c r="X93" s="10"/>
      <c r="Y93" s="11"/>
      <c r="Z93" s="12"/>
      <c r="AA93" s="13"/>
      <c r="AB93" s="10"/>
    </row>
    <row r="94" spans="1:28" ht="15.6" x14ac:dyDescent="0.3">
      <c r="A94" s="24"/>
      <c r="B94" s="14"/>
      <c r="C94" s="14"/>
      <c r="D94" s="14"/>
      <c r="E94" s="14"/>
      <c r="F94" s="14"/>
      <c r="G94" s="14"/>
      <c r="H94" s="14"/>
      <c r="I94" s="14"/>
      <c r="J94" s="58"/>
      <c r="K94" s="42"/>
      <c r="L94" s="55"/>
      <c r="M94" s="20"/>
      <c r="N94" s="24"/>
      <c r="O94" s="10"/>
      <c r="P94" s="14"/>
      <c r="Q94" s="14"/>
      <c r="R94" s="14"/>
      <c r="S94" s="14"/>
      <c r="T94" s="14"/>
      <c r="U94" s="14"/>
      <c r="V94" s="14"/>
      <c r="W94" s="14"/>
      <c r="X94" s="10"/>
      <c r="Y94" s="15"/>
      <c r="Z94" s="15"/>
      <c r="AA94" s="20"/>
      <c r="AB94" s="10"/>
    </row>
    <row r="95" spans="1:28" ht="15.6" x14ac:dyDescent="0.3">
      <c r="A95" s="10"/>
      <c r="B95" s="10"/>
      <c r="C95" s="10"/>
      <c r="D95" s="10"/>
      <c r="E95" s="10"/>
      <c r="F95" s="10"/>
      <c r="G95" s="10"/>
      <c r="H95" s="10"/>
      <c r="I95" s="14"/>
      <c r="J95" s="58"/>
      <c r="K95" s="42"/>
      <c r="L95" s="55"/>
      <c r="M95" s="13"/>
      <c r="N95" s="24"/>
      <c r="O95" s="10"/>
      <c r="P95" s="10"/>
      <c r="Q95" s="10"/>
      <c r="R95" s="10"/>
      <c r="S95" s="10"/>
      <c r="T95" s="10"/>
      <c r="U95" s="10"/>
      <c r="V95" s="10"/>
      <c r="W95" s="14"/>
      <c r="X95" s="10"/>
      <c r="Y95" s="11"/>
      <c r="Z95" s="12"/>
      <c r="AA95" s="13"/>
      <c r="AB95" s="10"/>
    </row>
    <row r="96" spans="1:28" ht="15.6" x14ac:dyDescent="0.3">
      <c r="A96" s="24"/>
      <c r="B96" s="14"/>
      <c r="C96" s="14"/>
      <c r="D96" s="14"/>
      <c r="E96" s="14"/>
      <c r="F96" s="14"/>
      <c r="G96" s="14"/>
      <c r="H96" s="14"/>
      <c r="I96" s="14"/>
      <c r="J96" s="58"/>
      <c r="K96" s="42"/>
      <c r="L96" s="55"/>
      <c r="M96" s="20"/>
      <c r="N96" s="24"/>
      <c r="O96" s="24"/>
      <c r="P96" s="14"/>
      <c r="Q96" s="14"/>
      <c r="R96" s="14"/>
      <c r="S96" s="14"/>
      <c r="T96" s="14"/>
      <c r="U96" s="14"/>
      <c r="V96" s="14"/>
      <c r="W96" s="14"/>
      <c r="X96" s="10"/>
      <c r="Y96" s="15"/>
      <c r="Z96" s="15"/>
      <c r="AA96" s="20"/>
      <c r="AB96" s="24"/>
    </row>
    <row r="97" spans="1:28" ht="15.6" x14ac:dyDescent="0.3">
      <c r="A97" s="10"/>
      <c r="B97" s="10"/>
      <c r="C97" s="10"/>
      <c r="D97" s="10"/>
      <c r="E97" s="10"/>
      <c r="F97" s="10"/>
      <c r="G97" s="10"/>
      <c r="H97" s="10"/>
      <c r="I97" s="10"/>
      <c r="J97" s="58"/>
      <c r="K97" s="42"/>
      <c r="L97" s="55"/>
      <c r="M97" s="13"/>
      <c r="N97" s="24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1"/>
      <c r="Z97" s="12"/>
      <c r="AA97" s="13"/>
      <c r="AB97" s="10"/>
    </row>
    <row r="98" spans="1:28" ht="15.6" x14ac:dyDescent="0.3">
      <c r="A98" s="24"/>
      <c r="B98" s="14"/>
      <c r="C98" s="14"/>
      <c r="D98" s="14"/>
      <c r="E98" s="14"/>
      <c r="F98" s="14"/>
      <c r="G98" s="14"/>
      <c r="H98" s="14"/>
      <c r="I98" s="14"/>
      <c r="J98" s="70"/>
      <c r="K98" s="70"/>
      <c r="L98" s="70"/>
      <c r="M98" s="13"/>
      <c r="N98" s="24"/>
      <c r="O98" s="24"/>
      <c r="P98" s="14"/>
      <c r="Q98" s="14"/>
      <c r="R98" s="14"/>
      <c r="S98" s="14"/>
      <c r="T98" s="14"/>
      <c r="U98" s="14"/>
      <c r="V98" s="14"/>
      <c r="W98" s="14"/>
      <c r="X98" s="10"/>
      <c r="Y98" s="15"/>
      <c r="Z98" s="15"/>
      <c r="AA98" s="13"/>
      <c r="AB98" s="24"/>
    </row>
    <row r="99" spans="1:28" ht="15.6" x14ac:dyDescent="0.3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37"/>
      <c r="L99" s="18"/>
      <c r="M99" s="13"/>
      <c r="N99" s="24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1"/>
      <c r="Z99" s="12"/>
      <c r="AA99" s="13"/>
      <c r="AB99" s="10"/>
    </row>
    <row r="100" spans="1:28" ht="15.6" x14ac:dyDescent="0.3">
      <c r="A100" s="24"/>
      <c r="B100" s="14"/>
      <c r="C100" s="14"/>
      <c r="D100" s="14"/>
      <c r="E100" s="14"/>
      <c r="F100" s="14"/>
      <c r="G100" s="14"/>
      <c r="H100" s="14"/>
      <c r="I100" s="10"/>
      <c r="J100" s="42"/>
      <c r="K100" s="42"/>
      <c r="L100" s="42"/>
      <c r="M100" s="19"/>
      <c r="N100" s="24"/>
      <c r="O100" s="24"/>
      <c r="P100" s="14"/>
      <c r="Q100" s="14"/>
      <c r="R100" s="14"/>
      <c r="S100" s="14"/>
      <c r="T100" s="14"/>
      <c r="U100" s="14"/>
      <c r="V100" s="14"/>
      <c r="W100" s="10"/>
      <c r="X100" s="10"/>
      <c r="Y100" s="15"/>
      <c r="Z100" s="15"/>
      <c r="AA100" s="19"/>
      <c r="AB100" s="24"/>
    </row>
    <row r="101" spans="1:28" ht="15.6" x14ac:dyDescent="0.3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37"/>
      <c r="L101" s="18"/>
      <c r="M101" s="17"/>
      <c r="N101" s="24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1"/>
      <c r="Z101" s="12"/>
      <c r="AA101" s="17"/>
      <c r="AB101" s="10"/>
    </row>
    <row r="102" spans="1:28" ht="15.6" x14ac:dyDescent="0.3">
      <c r="A102" s="24"/>
      <c r="B102" s="14"/>
      <c r="C102" s="14"/>
      <c r="D102" s="14"/>
      <c r="E102" s="14"/>
      <c r="F102" s="14"/>
      <c r="G102" s="14"/>
      <c r="H102" s="14"/>
      <c r="I102" s="10"/>
      <c r="J102" s="10"/>
      <c r="K102" s="37"/>
      <c r="L102" s="18"/>
      <c r="M102" s="19"/>
      <c r="N102" s="24"/>
      <c r="O102" s="24"/>
      <c r="P102" s="14"/>
      <c r="Q102" s="14"/>
      <c r="R102" s="14"/>
      <c r="S102" s="14"/>
      <c r="T102" s="14"/>
      <c r="U102" s="14"/>
      <c r="V102" s="14"/>
      <c r="W102" s="10"/>
      <c r="X102" s="10"/>
      <c r="Y102" s="15"/>
      <c r="Z102" s="15"/>
      <c r="AA102" s="19"/>
      <c r="AB102" s="24"/>
    </row>
    <row r="103" spans="1:28" ht="15.6" x14ac:dyDescent="0.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37"/>
      <c r="L103" s="18"/>
      <c r="M103" s="13"/>
      <c r="N103" s="24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1"/>
      <c r="Z103" s="12"/>
      <c r="AA103" s="13"/>
      <c r="AB103" s="10"/>
    </row>
    <row r="104" spans="1:28" ht="15.6" x14ac:dyDescent="0.3">
      <c r="A104" s="24"/>
      <c r="B104" s="14"/>
      <c r="C104" s="14"/>
      <c r="D104" s="14"/>
      <c r="E104" s="14"/>
      <c r="F104" s="14"/>
      <c r="G104" s="14"/>
      <c r="H104" s="14"/>
      <c r="I104" s="10"/>
      <c r="J104" s="42"/>
      <c r="K104" s="42"/>
      <c r="L104" s="55"/>
      <c r="M104" s="21"/>
      <c r="N104" s="24"/>
      <c r="O104" s="24"/>
      <c r="P104" s="14"/>
      <c r="Q104" s="14"/>
      <c r="R104" s="14"/>
      <c r="S104" s="14"/>
      <c r="T104" s="14"/>
      <c r="U104" s="14"/>
      <c r="V104" s="14"/>
      <c r="W104" s="10"/>
      <c r="X104" s="10"/>
      <c r="Y104" s="15"/>
      <c r="Z104" s="15"/>
      <c r="AA104" s="21"/>
      <c r="AB104" s="24"/>
    </row>
    <row r="105" spans="1:28" ht="15.6" x14ac:dyDescent="0.3">
      <c r="A105" s="10"/>
      <c r="B105" s="10"/>
      <c r="C105" s="10"/>
      <c r="D105" s="10"/>
      <c r="E105" s="10"/>
      <c r="F105" s="10"/>
      <c r="G105" s="10"/>
      <c r="H105" s="10"/>
      <c r="I105" s="10"/>
      <c r="J105" s="15"/>
      <c r="K105" s="37"/>
      <c r="L105" s="18"/>
      <c r="M105" s="17"/>
      <c r="N105" s="24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1"/>
      <c r="Z105" s="12"/>
      <c r="AA105" s="17"/>
      <c r="AB105" s="10"/>
    </row>
    <row r="106" spans="1:28" ht="15.6" x14ac:dyDescent="0.3">
      <c r="A106" s="24"/>
      <c r="B106" s="14"/>
      <c r="C106" s="14"/>
      <c r="D106" s="14"/>
      <c r="E106" s="14"/>
      <c r="F106" s="14"/>
      <c r="G106" s="14"/>
      <c r="H106" s="14"/>
      <c r="I106" s="14"/>
      <c r="J106" s="15"/>
      <c r="K106" s="37"/>
      <c r="L106" s="18"/>
      <c r="M106" s="13"/>
      <c r="N106" s="24"/>
      <c r="O106" s="24"/>
      <c r="P106" s="14"/>
      <c r="Q106" s="14"/>
      <c r="R106" s="14"/>
      <c r="S106" s="14"/>
      <c r="T106" s="14"/>
      <c r="U106" s="14"/>
      <c r="V106" s="14"/>
      <c r="W106" s="14"/>
      <c r="X106" s="10"/>
      <c r="Y106" s="15"/>
      <c r="Z106" s="15"/>
      <c r="AA106" s="13"/>
      <c r="AB106" s="24"/>
    </row>
    <row r="107" spans="1:28" ht="15.6" x14ac:dyDescent="0.3">
      <c r="A107" s="10"/>
      <c r="B107" s="10"/>
      <c r="C107" s="10"/>
      <c r="D107" s="10"/>
      <c r="E107" s="10"/>
      <c r="F107" s="10"/>
      <c r="G107" s="10"/>
      <c r="H107" s="10"/>
      <c r="I107" s="10"/>
      <c r="J107" s="15"/>
      <c r="K107" s="37"/>
      <c r="L107" s="18"/>
      <c r="M107" s="13"/>
      <c r="N107" s="24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1"/>
      <c r="Z107" s="12"/>
      <c r="AA107" s="13"/>
      <c r="AB107" s="10"/>
    </row>
    <row r="108" spans="1:28" ht="15.6" x14ac:dyDescent="0.3">
      <c r="A108" s="24"/>
      <c r="B108" s="14"/>
      <c r="C108" s="14"/>
      <c r="D108" s="14"/>
      <c r="E108" s="14"/>
      <c r="F108" s="14"/>
      <c r="G108" s="14"/>
      <c r="H108" s="14"/>
      <c r="I108" s="10"/>
      <c r="J108" s="42"/>
      <c r="K108" s="42"/>
      <c r="L108" s="55"/>
      <c r="M108" s="21"/>
      <c r="N108" s="24"/>
      <c r="O108" s="23"/>
      <c r="P108" s="16"/>
      <c r="Q108" s="16"/>
      <c r="R108" s="16"/>
      <c r="S108" s="16"/>
      <c r="T108" s="16"/>
      <c r="U108" s="16"/>
      <c r="V108" s="16"/>
      <c r="W108" s="10"/>
      <c r="X108" s="10"/>
      <c r="Y108" s="15"/>
      <c r="Z108" s="15"/>
      <c r="AA108" s="21"/>
      <c r="AB108" s="23"/>
    </row>
    <row r="109" spans="1:28" ht="15.6" x14ac:dyDescent="0.3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37"/>
      <c r="L109" s="18"/>
      <c r="M109" s="21"/>
      <c r="N109" s="24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1"/>
      <c r="Z109" s="12"/>
      <c r="AA109" s="21"/>
      <c r="AB109" s="10"/>
    </row>
    <row r="110" spans="1:28" ht="15.6" x14ac:dyDescent="0.3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37"/>
      <c r="L110" s="18"/>
      <c r="M110" s="21"/>
      <c r="N110" s="24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1"/>
      <c r="Z110" s="12"/>
      <c r="AA110" s="21"/>
      <c r="AB110" s="10"/>
    </row>
    <row r="111" spans="1:28" ht="15.6" x14ac:dyDescent="0.3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37"/>
      <c r="L111" s="18"/>
      <c r="M111" s="21"/>
      <c r="N111" s="24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1"/>
      <c r="Z111" s="12"/>
      <c r="AA111" s="21"/>
      <c r="AB111" s="10"/>
    </row>
    <row r="112" spans="1:28" ht="15.6" x14ac:dyDescent="0.3">
      <c r="A112" s="10"/>
      <c r="B112" s="51"/>
      <c r="C112" s="51"/>
      <c r="D112" s="51"/>
      <c r="E112" s="51"/>
      <c r="F112" s="51"/>
      <c r="G112" s="51"/>
      <c r="H112" s="51"/>
      <c r="I112" s="10"/>
      <c r="J112" s="10"/>
      <c r="K112" s="37"/>
      <c r="L112" s="18"/>
      <c r="M112" s="21"/>
      <c r="N112" s="24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1"/>
      <c r="Z112" s="12"/>
      <c r="AA112" s="21"/>
      <c r="AB112" s="10"/>
    </row>
    <row r="113" spans="1:28" ht="15.6" x14ac:dyDescent="0.3">
      <c r="A113" s="24"/>
      <c r="B113" s="14"/>
      <c r="C113" s="14"/>
      <c r="D113" s="14"/>
      <c r="E113" s="14"/>
      <c r="F113" s="14"/>
      <c r="G113" s="14"/>
      <c r="H113" s="14"/>
      <c r="I113" s="10"/>
      <c r="J113" s="57"/>
      <c r="K113" s="57"/>
      <c r="L113" s="57"/>
      <c r="M113" s="21"/>
      <c r="N113" s="24"/>
      <c r="O113" s="24"/>
      <c r="P113" s="14"/>
      <c r="Q113" s="14"/>
      <c r="R113" s="14"/>
      <c r="S113" s="14"/>
      <c r="T113" s="14"/>
      <c r="U113" s="14"/>
      <c r="V113" s="14"/>
      <c r="W113" s="10"/>
      <c r="X113" s="10"/>
      <c r="Y113" s="15"/>
      <c r="Z113" s="15"/>
      <c r="AA113" s="21"/>
      <c r="AB113" s="24"/>
    </row>
    <row r="114" spans="1:28" ht="15.6" x14ac:dyDescent="0.3">
      <c r="A114" s="10"/>
      <c r="B114" s="10"/>
      <c r="C114" s="10"/>
      <c r="D114" s="10"/>
      <c r="E114" s="10"/>
      <c r="F114" s="10"/>
      <c r="G114" s="10"/>
      <c r="H114" s="10"/>
      <c r="I114" s="10"/>
      <c r="J114" s="58"/>
      <c r="K114" s="42"/>
      <c r="L114" s="55"/>
      <c r="M114" s="21"/>
      <c r="N114" s="24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1"/>
      <c r="Z114" s="12"/>
      <c r="AA114" s="21"/>
      <c r="AB114" s="10"/>
    </row>
    <row r="115" spans="1:28" ht="15.6" x14ac:dyDescent="0.3">
      <c r="A115" s="24"/>
      <c r="B115" s="14"/>
      <c r="C115" s="14"/>
      <c r="D115" s="14"/>
      <c r="E115" s="14"/>
      <c r="F115" s="14"/>
      <c r="G115" s="14"/>
      <c r="H115" s="14"/>
      <c r="I115" s="14"/>
      <c r="J115" s="42"/>
      <c r="K115" s="42"/>
      <c r="L115" s="55"/>
      <c r="M115" s="21"/>
      <c r="N115" s="24"/>
      <c r="O115" s="24"/>
      <c r="P115" s="14"/>
      <c r="Q115" s="14"/>
      <c r="R115" s="14"/>
      <c r="S115" s="14"/>
      <c r="T115" s="14"/>
      <c r="U115" s="14"/>
      <c r="V115" s="14"/>
      <c r="W115" s="14"/>
      <c r="X115" s="10"/>
      <c r="Y115" s="15"/>
      <c r="Z115" s="15"/>
      <c r="AA115" s="21"/>
      <c r="AB115" s="24"/>
    </row>
    <row r="116" spans="1:28" ht="15.6" x14ac:dyDescent="0.3">
      <c r="A116" s="10"/>
      <c r="B116" s="10"/>
      <c r="C116" s="10"/>
      <c r="D116" s="10"/>
      <c r="E116" s="10"/>
      <c r="F116" s="10"/>
      <c r="G116" s="10"/>
      <c r="H116" s="10"/>
      <c r="I116" s="10"/>
      <c r="J116" s="59"/>
      <c r="K116" s="42"/>
      <c r="L116" s="55"/>
      <c r="M116" s="21"/>
      <c r="N116" s="24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1"/>
      <c r="Z116" s="12"/>
      <c r="AA116" s="21"/>
      <c r="AB116" s="10"/>
    </row>
    <row r="117" spans="1:28" ht="15.6" x14ac:dyDescent="0.3">
      <c r="A117" s="24"/>
      <c r="B117" s="14"/>
      <c r="C117" s="14"/>
      <c r="D117" s="14"/>
      <c r="E117" s="14"/>
      <c r="F117" s="14"/>
      <c r="G117" s="14"/>
      <c r="H117" s="14"/>
      <c r="I117" s="14"/>
      <c r="J117" s="59"/>
      <c r="K117" s="42"/>
      <c r="L117" s="55"/>
      <c r="M117" s="21"/>
      <c r="N117" s="24"/>
      <c r="O117" s="24"/>
      <c r="P117" s="14"/>
      <c r="Q117" s="14"/>
      <c r="R117" s="14"/>
      <c r="S117" s="14"/>
      <c r="T117" s="14"/>
      <c r="U117" s="14"/>
      <c r="V117" s="14"/>
      <c r="W117" s="14"/>
      <c r="X117" s="10"/>
      <c r="Y117" s="15"/>
      <c r="Z117" s="15"/>
      <c r="AA117" s="21"/>
      <c r="AB117" s="24"/>
    </row>
    <row r="118" spans="1:28" ht="15.6" x14ac:dyDescent="0.3">
      <c r="A118" s="10"/>
      <c r="B118" s="10"/>
      <c r="C118" s="10"/>
      <c r="D118" s="10"/>
      <c r="E118" s="10"/>
      <c r="F118" s="10"/>
      <c r="G118" s="10"/>
      <c r="H118" s="10"/>
      <c r="I118" s="10"/>
      <c r="J118" s="59"/>
      <c r="K118" s="42"/>
      <c r="L118" s="55"/>
      <c r="M118" s="21"/>
      <c r="N118" s="24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1"/>
      <c r="Z118" s="12"/>
      <c r="AA118" s="21"/>
      <c r="AB118" s="10"/>
    </row>
    <row r="119" spans="1:28" ht="15.6" x14ac:dyDescent="0.3">
      <c r="A119" s="24"/>
      <c r="B119" s="14"/>
      <c r="C119" s="14"/>
      <c r="D119" s="14"/>
      <c r="E119" s="14"/>
      <c r="F119" s="14"/>
      <c r="G119" s="14"/>
      <c r="H119" s="14"/>
      <c r="I119" s="10"/>
      <c r="J119" s="59"/>
      <c r="K119" s="42"/>
      <c r="L119" s="55"/>
      <c r="M119" s="21"/>
      <c r="N119" s="24"/>
      <c r="O119" s="24"/>
      <c r="P119" s="14"/>
      <c r="Q119" s="14"/>
      <c r="R119" s="14"/>
      <c r="S119" s="14"/>
      <c r="T119" s="14"/>
      <c r="U119" s="14"/>
      <c r="V119" s="14"/>
      <c r="W119" s="10"/>
      <c r="X119" s="10"/>
      <c r="Y119" s="15"/>
      <c r="Z119" s="15"/>
      <c r="AA119" s="21"/>
      <c r="AB119" s="24"/>
    </row>
    <row r="120" spans="1:28" ht="15.6" x14ac:dyDescent="0.3">
      <c r="A120" s="10"/>
      <c r="B120" s="10"/>
      <c r="C120" s="10"/>
      <c r="D120" s="10"/>
      <c r="E120" s="10"/>
      <c r="F120" s="10"/>
      <c r="G120" s="10"/>
      <c r="H120" s="10"/>
      <c r="I120" s="10"/>
      <c r="J120" s="59"/>
      <c r="K120" s="42"/>
      <c r="L120" s="55"/>
      <c r="M120" s="21"/>
      <c r="N120" s="24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1"/>
      <c r="Z120" s="12"/>
      <c r="AA120" s="21"/>
      <c r="AB120" s="10"/>
    </row>
    <row r="121" spans="1:28" ht="15.6" x14ac:dyDescent="0.3">
      <c r="A121" s="24"/>
      <c r="B121" s="14"/>
      <c r="C121" s="14"/>
      <c r="D121" s="14"/>
      <c r="E121" s="14"/>
      <c r="F121" s="14"/>
      <c r="G121" s="14"/>
      <c r="H121" s="14"/>
      <c r="I121" s="10"/>
      <c r="J121" s="59"/>
      <c r="K121" s="42"/>
      <c r="L121" s="55"/>
      <c r="M121" s="13"/>
      <c r="N121" s="23"/>
      <c r="O121" s="23"/>
      <c r="P121" s="16"/>
      <c r="Q121" s="16"/>
      <c r="R121" s="16"/>
      <c r="S121" s="16"/>
      <c r="T121" s="16"/>
      <c r="U121" s="16"/>
      <c r="V121" s="16"/>
      <c r="W121" s="10"/>
      <c r="X121" s="10"/>
      <c r="Y121" s="15"/>
      <c r="Z121" s="15"/>
      <c r="AA121" s="13"/>
      <c r="AB121" s="23"/>
    </row>
    <row r="122" spans="1:28" ht="15.6" x14ac:dyDescent="0.3">
      <c r="A122" s="10"/>
      <c r="B122" s="10"/>
      <c r="C122" s="10"/>
      <c r="D122" s="10"/>
      <c r="E122" s="10"/>
      <c r="F122" s="10"/>
      <c r="G122" s="10"/>
      <c r="H122" s="10"/>
      <c r="I122" s="10"/>
      <c r="J122" s="59"/>
      <c r="K122" s="42"/>
      <c r="L122" s="55"/>
      <c r="M122" s="13"/>
      <c r="N122" s="24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1"/>
      <c r="Z122" s="12"/>
      <c r="AA122" s="13"/>
      <c r="AB122" s="10"/>
    </row>
    <row r="123" spans="1:28" ht="15.6" x14ac:dyDescent="0.3">
      <c r="A123" s="24"/>
      <c r="B123" s="14"/>
      <c r="C123" s="14"/>
      <c r="D123" s="14"/>
      <c r="E123" s="14"/>
      <c r="F123" s="14"/>
      <c r="G123" s="14"/>
      <c r="H123" s="14"/>
      <c r="I123" s="14"/>
      <c r="J123" s="42"/>
      <c r="K123" s="42"/>
      <c r="L123" s="42"/>
      <c r="M123" s="21"/>
      <c r="N123" s="24"/>
      <c r="O123" s="24"/>
      <c r="P123" s="14"/>
      <c r="Q123" s="14"/>
      <c r="R123" s="14"/>
      <c r="S123" s="14"/>
      <c r="T123" s="14"/>
      <c r="U123" s="14"/>
      <c r="V123" s="14"/>
      <c r="W123" s="14"/>
      <c r="X123" s="10"/>
      <c r="Y123" s="15"/>
      <c r="Z123" s="15"/>
      <c r="AA123" s="21"/>
      <c r="AB123" s="24"/>
    </row>
    <row r="124" spans="1:28" ht="15.6" x14ac:dyDescent="0.3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37"/>
      <c r="L124" s="18"/>
      <c r="M124" s="21"/>
      <c r="N124" s="24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1"/>
      <c r="Z124" s="12"/>
      <c r="AA124" s="21"/>
      <c r="AB124" s="10"/>
    </row>
    <row r="125" spans="1:28" ht="15.6" x14ac:dyDescent="0.3">
      <c r="A125" s="24"/>
      <c r="B125" s="14"/>
      <c r="C125" s="14"/>
      <c r="D125" s="14"/>
      <c r="E125" s="14"/>
      <c r="F125" s="14"/>
      <c r="G125" s="14"/>
      <c r="H125" s="14"/>
      <c r="I125" s="10"/>
      <c r="J125" s="50"/>
      <c r="K125" s="50"/>
      <c r="L125" s="50"/>
      <c r="M125" s="13"/>
      <c r="N125" s="24"/>
      <c r="O125" s="24"/>
      <c r="P125" s="14"/>
      <c r="Q125" s="14"/>
      <c r="R125" s="14"/>
      <c r="S125" s="14"/>
      <c r="T125" s="14"/>
      <c r="U125" s="14"/>
      <c r="V125" s="14"/>
      <c r="W125" s="10"/>
      <c r="X125" s="10"/>
      <c r="Y125" s="15"/>
      <c r="Z125" s="15"/>
      <c r="AA125" s="13"/>
      <c r="AB125" s="24"/>
    </row>
    <row r="126" spans="1:28" ht="15.6" x14ac:dyDescent="0.3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37"/>
      <c r="L126" s="18"/>
      <c r="M126" s="13"/>
      <c r="N126" s="24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1"/>
      <c r="Z126" s="12"/>
      <c r="AA126" s="13"/>
      <c r="AB126" s="10"/>
    </row>
    <row r="127" spans="1:28" ht="15.6" x14ac:dyDescent="0.3">
      <c r="A127" s="24"/>
      <c r="B127" s="14"/>
      <c r="C127" s="14"/>
      <c r="D127" s="14"/>
      <c r="E127" s="14"/>
      <c r="F127" s="14"/>
      <c r="G127" s="14"/>
      <c r="H127" s="14"/>
      <c r="I127" s="10"/>
      <c r="J127" s="10"/>
      <c r="K127" s="37"/>
      <c r="L127" s="18"/>
      <c r="M127" s="13"/>
      <c r="N127" s="24"/>
      <c r="O127" s="24"/>
      <c r="P127" s="14"/>
      <c r="Q127" s="14"/>
      <c r="R127" s="14"/>
      <c r="S127" s="14"/>
      <c r="T127" s="14"/>
      <c r="U127" s="14"/>
      <c r="V127" s="14"/>
      <c r="W127" s="10"/>
      <c r="X127" s="10"/>
      <c r="Y127" s="15"/>
      <c r="Z127" s="15"/>
      <c r="AA127" s="13"/>
      <c r="AB127" s="24"/>
    </row>
    <row r="128" spans="1:28" ht="15.6" x14ac:dyDescent="0.3">
      <c r="A128" s="10"/>
      <c r="B128" s="10"/>
      <c r="C128" s="10"/>
      <c r="D128" s="10"/>
      <c r="E128" s="10"/>
      <c r="F128" s="10"/>
      <c r="G128" s="10"/>
      <c r="H128" s="10"/>
      <c r="I128" s="10"/>
      <c r="J128" s="15"/>
      <c r="K128" s="37"/>
      <c r="L128" s="18"/>
      <c r="M128" s="13"/>
      <c r="N128" s="24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1"/>
      <c r="Z128" s="12"/>
      <c r="AA128" s="13"/>
      <c r="AB128" s="10"/>
    </row>
    <row r="129" spans="1:28" ht="15.6" x14ac:dyDescent="0.3">
      <c r="A129" s="24"/>
      <c r="B129" s="14"/>
      <c r="C129" s="14"/>
      <c r="D129" s="14"/>
      <c r="E129" s="14"/>
      <c r="F129" s="14"/>
      <c r="G129" s="14"/>
      <c r="H129" s="14"/>
      <c r="I129" s="10"/>
      <c r="J129" s="42"/>
      <c r="K129" s="42"/>
      <c r="L129" s="55"/>
      <c r="M129" s="19"/>
      <c r="N129" s="24"/>
      <c r="O129" s="24"/>
      <c r="P129" s="14"/>
      <c r="Q129" s="14"/>
      <c r="R129" s="14"/>
      <c r="S129" s="14"/>
      <c r="T129" s="14"/>
      <c r="U129" s="14"/>
      <c r="V129" s="14"/>
      <c r="W129" s="10"/>
      <c r="X129" s="10"/>
      <c r="Y129" s="15"/>
      <c r="Z129" s="15"/>
      <c r="AA129" s="19"/>
      <c r="AB129" s="24"/>
    </row>
    <row r="130" spans="1:28" ht="15.6" x14ac:dyDescent="0.3">
      <c r="A130" s="10"/>
      <c r="B130" s="10"/>
      <c r="C130" s="10"/>
      <c r="D130" s="10"/>
      <c r="E130" s="10"/>
      <c r="F130" s="10"/>
      <c r="G130" s="10"/>
      <c r="H130" s="10"/>
      <c r="I130" s="10"/>
      <c r="J130" s="15"/>
      <c r="K130" s="37"/>
      <c r="L130" s="18"/>
      <c r="M130" s="19"/>
      <c r="N130" s="24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1"/>
      <c r="Z130" s="12"/>
      <c r="AA130" s="19"/>
      <c r="AB130" s="10"/>
    </row>
    <row r="131" spans="1:28" ht="15.6" x14ac:dyDescent="0.3">
      <c r="A131" s="24"/>
      <c r="B131" s="14"/>
      <c r="C131" s="14"/>
      <c r="D131" s="14"/>
      <c r="E131" s="14"/>
      <c r="F131" s="14"/>
      <c r="G131" s="14"/>
      <c r="H131" s="14"/>
      <c r="I131" s="10"/>
      <c r="J131" s="15"/>
      <c r="K131" s="37"/>
      <c r="L131" s="18"/>
      <c r="M131" s="19"/>
      <c r="N131" s="24"/>
      <c r="O131" s="24"/>
      <c r="P131" s="14"/>
      <c r="Q131" s="14"/>
      <c r="R131" s="14"/>
      <c r="S131" s="14"/>
      <c r="T131" s="14"/>
      <c r="U131" s="14"/>
      <c r="V131" s="14"/>
      <c r="W131" s="10"/>
      <c r="X131" s="10"/>
      <c r="Y131" s="15"/>
      <c r="Z131" s="15"/>
      <c r="AA131" s="19"/>
      <c r="AB131" s="24"/>
    </row>
    <row r="132" spans="1:28" ht="15.6" x14ac:dyDescent="0.3">
      <c r="A132" s="10"/>
      <c r="B132" s="10"/>
      <c r="C132" s="10"/>
      <c r="D132" s="10"/>
      <c r="E132" s="10"/>
      <c r="F132" s="10"/>
      <c r="G132" s="10"/>
      <c r="H132" s="10"/>
      <c r="I132" s="10"/>
      <c r="J132" s="15"/>
      <c r="K132" s="37"/>
      <c r="L132" s="18"/>
      <c r="M132" s="19"/>
      <c r="N132" s="24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1"/>
      <c r="Z132" s="12"/>
      <c r="AA132" s="19"/>
      <c r="AB132" s="10"/>
    </row>
    <row r="133" spans="1:28" ht="15.6" x14ac:dyDescent="0.3">
      <c r="A133" s="24"/>
      <c r="B133" s="14"/>
      <c r="C133" s="14"/>
      <c r="D133" s="14"/>
      <c r="E133" s="14"/>
      <c r="F133" s="14"/>
      <c r="G133" s="14"/>
      <c r="H133" s="14"/>
      <c r="I133" s="10"/>
      <c r="J133" s="15"/>
      <c r="K133" s="37"/>
      <c r="L133" s="18"/>
      <c r="M133" s="19"/>
      <c r="N133" s="24"/>
      <c r="O133" s="24"/>
      <c r="P133" s="14"/>
      <c r="Q133" s="14"/>
      <c r="R133" s="14"/>
      <c r="S133" s="14"/>
      <c r="T133" s="14"/>
      <c r="U133" s="14"/>
      <c r="V133" s="14"/>
      <c r="W133" s="10"/>
      <c r="X133" s="10"/>
      <c r="Y133" s="15"/>
      <c r="Z133" s="15"/>
      <c r="AA133" s="19"/>
      <c r="AB133" s="24"/>
    </row>
    <row r="134" spans="1:28" ht="15.6" x14ac:dyDescent="0.3">
      <c r="A134" s="10"/>
      <c r="B134" s="10"/>
      <c r="C134" s="10"/>
      <c r="D134" s="10"/>
      <c r="E134" s="10"/>
      <c r="F134" s="10"/>
      <c r="G134" s="10"/>
      <c r="H134" s="10"/>
      <c r="I134" s="14"/>
      <c r="J134" s="15"/>
      <c r="K134" s="37"/>
      <c r="L134" s="18"/>
      <c r="M134" s="17"/>
      <c r="N134" s="24"/>
      <c r="O134" s="10"/>
      <c r="P134" s="10"/>
      <c r="Q134" s="10"/>
      <c r="R134" s="10"/>
      <c r="S134" s="10"/>
      <c r="T134" s="10"/>
      <c r="U134" s="10"/>
      <c r="V134" s="10"/>
      <c r="W134" s="14"/>
      <c r="X134" s="10"/>
      <c r="Y134" s="11"/>
      <c r="Z134" s="12"/>
      <c r="AA134" s="17"/>
      <c r="AB134" s="10"/>
    </row>
    <row r="135" spans="1:28" ht="15.6" x14ac:dyDescent="0.3">
      <c r="A135" s="49"/>
      <c r="B135" s="39"/>
      <c r="C135" s="39"/>
      <c r="D135" s="39"/>
      <c r="E135" s="39"/>
      <c r="F135" s="39"/>
      <c r="G135" s="39"/>
      <c r="H135" s="39"/>
      <c r="I135" s="10"/>
      <c r="J135" s="15"/>
      <c r="K135" s="37"/>
      <c r="L135" s="18"/>
      <c r="M135" s="13"/>
      <c r="N135" s="23"/>
      <c r="O135" s="23"/>
      <c r="P135" s="16"/>
      <c r="Q135" s="16"/>
      <c r="R135" s="16"/>
      <c r="S135" s="16"/>
      <c r="T135" s="16"/>
      <c r="U135" s="16"/>
      <c r="V135" s="16"/>
      <c r="W135" s="10"/>
      <c r="X135" s="10"/>
      <c r="Y135" s="15"/>
      <c r="Z135" s="15"/>
      <c r="AA135" s="13"/>
      <c r="AB135" s="23"/>
    </row>
    <row r="136" spans="1:28" ht="15.6" x14ac:dyDescent="0.3">
      <c r="A136" s="10"/>
      <c r="B136" s="10"/>
      <c r="C136" s="10"/>
      <c r="D136" s="10"/>
      <c r="E136" s="10"/>
      <c r="F136" s="10"/>
      <c r="G136" s="10"/>
      <c r="H136" s="10"/>
      <c r="I136" s="10"/>
      <c r="J136" s="15"/>
      <c r="K136" s="37"/>
      <c r="L136" s="18"/>
      <c r="M136" s="13"/>
      <c r="N136" s="24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1"/>
      <c r="Z136" s="12"/>
      <c r="AA136" s="13"/>
      <c r="AB136" s="10"/>
    </row>
    <row r="137" spans="1:28" ht="15.6" x14ac:dyDescent="0.3">
      <c r="A137" s="10"/>
      <c r="B137" s="51"/>
      <c r="C137" s="51"/>
      <c r="D137" s="51"/>
      <c r="E137" s="51"/>
      <c r="F137" s="51"/>
      <c r="G137" s="51"/>
      <c r="H137" s="51"/>
      <c r="I137" s="10"/>
      <c r="J137" s="15"/>
      <c r="K137" s="37"/>
      <c r="L137" s="18"/>
      <c r="M137" s="13"/>
      <c r="N137" s="24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1"/>
      <c r="Z137" s="12"/>
      <c r="AA137" s="13"/>
      <c r="AB137" s="10"/>
    </row>
    <row r="138" spans="1:28" ht="15.6" x14ac:dyDescent="0.3">
      <c r="A138" s="24"/>
      <c r="B138" s="14"/>
      <c r="C138" s="14"/>
      <c r="D138" s="14"/>
      <c r="E138" s="14"/>
      <c r="F138" s="14"/>
      <c r="G138" s="14"/>
      <c r="H138" s="14"/>
      <c r="I138" s="10"/>
      <c r="J138" s="42"/>
      <c r="K138" s="42"/>
      <c r="L138" s="55"/>
      <c r="M138" s="19"/>
      <c r="N138" s="24"/>
      <c r="O138" s="24"/>
      <c r="P138" s="14"/>
      <c r="Q138" s="14"/>
      <c r="R138" s="14"/>
      <c r="S138" s="14"/>
      <c r="T138" s="14"/>
      <c r="U138" s="14"/>
      <c r="V138" s="14"/>
      <c r="W138" s="10"/>
      <c r="X138" s="10"/>
      <c r="Y138" s="15"/>
      <c r="Z138" s="15"/>
      <c r="AA138" s="19"/>
      <c r="AB138" s="24"/>
    </row>
    <row r="139" spans="1:28" ht="15.6" x14ac:dyDescent="0.3">
      <c r="A139" s="10"/>
      <c r="B139" s="10"/>
      <c r="C139" s="10"/>
      <c r="D139" s="10"/>
      <c r="E139" s="10"/>
      <c r="F139" s="10"/>
      <c r="G139" s="10"/>
      <c r="H139" s="10"/>
      <c r="I139" s="10"/>
      <c r="J139" s="15"/>
      <c r="K139" s="37"/>
      <c r="L139" s="18"/>
      <c r="M139" s="19"/>
      <c r="N139" s="24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1"/>
      <c r="Z139" s="12"/>
      <c r="AA139" s="19"/>
      <c r="AB139" s="10"/>
    </row>
    <row r="140" spans="1:28" ht="15.6" x14ac:dyDescent="0.3">
      <c r="A140" s="24"/>
      <c r="B140" s="14"/>
      <c r="C140" s="14"/>
      <c r="D140" s="14"/>
      <c r="E140" s="14"/>
      <c r="F140" s="14"/>
      <c r="G140" s="14"/>
      <c r="H140" s="14"/>
      <c r="I140" s="10"/>
      <c r="J140" s="15"/>
      <c r="K140" s="37"/>
      <c r="L140" s="18"/>
      <c r="M140" s="19"/>
      <c r="N140" s="24"/>
      <c r="O140" s="24"/>
      <c r="P140" s="14"/>
      <c r="Q140" s="14"/>
      <c r="R140" s="14"/>
      <c r="S140" s="14"/>
      <c r="T140" s="14"/>
      <c r="U140" s="14"/>
      <c r="V140" s="14"/>
      <c r="W140" s="10"/>
      <c r="X140" s="10"/>
      <c r="Y140" s="15"/>
      <c r="Z140" s="15"/>
      <c r="AA140" s="19"/>
      <c r="AB140" s="24"/>
    </row>
    <row r="141" spans="1:28" ht="15.6" x14ac:dyDescent="0.3">
      <c r="A141" s="10"/>
      <c r="B141" s="10"/>
      <c r="C141" s="10"/>
      <c r="D141" s="10"/>
      <c r="E141" s="10"/>
      <c r="F141" s="10"/>
      <c r="G141" s="10"/>
      <c r="H141" s="10"/>
      <c r="I141" s="10"/>
      <c r="J141" s="15"/>
      <c r="K141" s="37"/>
      <c r="L141" s="18"/>
      <c r="M141" s="19"/>
      <c r="N141" s="24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1"/>
      <c r="Z141" s="12"/>
      <c r="AA141" s="19"/>
      <c r="AB141" s="10"/>
    </row>
    <row r="142" spans="1:28" ht="15.6" x14ac:dyDescent="0.3">
      <c r="A142" s="49"/>
      <c r="B142" s="39"/>
      <c r="C142" s="39"/>
      <c r="D142" s="39"/>
      <c r="E142" s="39"/>
      <c r="F142" s="39"/>
      <c r="G142" s="39"/>
      <c r="H142" s="39"/>
      <c r="I142" s="22"/>
      <c r="J142" s="15"/>
      <c r="K142" s="37"/>
      <c r="L142" s="18"/>
      <c r="M142" s="19"/>
      <c r="N142" s="23"/>
      <c r="O142" s="23"/>
      <c r="P142" s="16"/>
      <c r="Q142" s="16"/>
      <c r="R142" s="16"/>
      <c r="S142" s="16"/>
      <c r="T142" s="16"/>
      <c r="U142" s="16"/>
      <c r="V142" s="16"/>
      <c r="W142" s="22"/>
      <c r="X142" s="22"/>
      <c r="Y142" s="15"/>
      <c r="Z142" s="15"/>
      <c r="AA142" s="19"/>
      <c r="AB142" s="23"/>
    </row>
    <row r="143" spans="1:28" ht="15.6" x14ac:dyDescent="0.3">
      <c r="A143" s="10"/>
      <c r="B143" s="10"/>
      <c r="C143" s="10"/>
      <c r="D143" s="10"/>
      <c r="E143" s="10"/>
      <c r="F143" s="10"/>
      <c r="G143" s="10"/>
      <c r="H143" s="10"/>
      <c r="I143" s="10"/>
      <c r="J143" s="15"/>
      <c r="K143" s="37"/>
      <c r="L143" s="18"/>
      <c r="M143" s="19"/>
      <c r="N143" s="24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1"/>
      <c r="Z143" s="12"/>
      <c r="AA143" s="19"/>
      <c r="AB143" s="10"/>
    </row>
    <row r="144" spans="1:28" ht="15.6" x14ac:dyDescent="0.3">
      <c r="A144" s="24"/>
      <c r="B144" s="14"/>
      <c r="C144" s="14"/>
      <c r="D144" s="14"/>
      <c r="E144" s="14"/>
      <c r="F144" s="14"/>
      <c r="G144" s="14"/>
      <c r="H144" s="14"/>
      <c r="I144" s="10"/>
      <c r="J144" s="15"/>
      <c r="K144" s="37"/>
      <c r="L144" s="18"/>
      <c r="M144" s="19"/>
      <c r="N144" s="24"/>
      <c r="O144" s="24"/>
      <c r="P144" s="14"/>
      <c r="Q144" s="14"/>
      <c r="R144" s="14"/>
      <c r="S144" s="14"/>
      <c r="T144" s="14"/>
      <c r="U144" s="14"/>
      <c r="V144" s="14"/>
      <c r="W144" s="10"/>
      <c r="X144" s="10"/>
      <c r="Y144" s="15"/>
      <c r="Z144" s="15"/>
      <c r="AA144" s="19"/>
      <c r="AB144" s="24"/>
    </row>
    <row r="145" spans="1:28" ht="15.6" x14ac:dyDescent="0.3">
      <c r="A145" s="10"/>
      <c r="B145" s="10"/>
      <c r="C145" s="10"/>
      <c r="D145" s="10"/>
      <c r="E145" s="10"/>
      <c r="F145" s="10"/>
      <c r="G145" s="10"/>
      <c r="H145" s="10"/>
      <c r="I145" s="10"/>
      <c r="J145" s="15"/>
      <c r="K145" s="37"/>
      <c r="L145" s="18"/>
      <c r="M145" s="19"/>
      <c r="N145" s="24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1"/>
      <c r="Z145" s="12"/>
      <c r="AA145" s="19"/>
      <c r="AB145" s="10"/>
    </row>
    <row r="146" spans="1:28" ht="15.6" x14ac:dyDescent="0.3">
      <c r="A146" s="24"/>
      <c r="B146" s="14"/>
      <c r="C146" s="14"/>
      <c r="D146" s="14"/>
      <c r="E146" s="14"/>
      <c r="F146" s="14"/>
      <c r="G146" s="14"/>
      <c r="H146" s="14"/>
      <c r="I146" s="10"/>
      <c r="J146" s="15"/>
      <c r="K146" s="37"/>
      <c r="L146" s="18"/>
      <c r="M146" s="13"/>
      <c r="N146" s="24"/>
      <c r="O146" s="24"/>
      <c r="P146" s="14"/>
      <c r="Q146" s="14"/>
      <c r="R146" s="14"/>
      <c r="S146" s="14"/>
      <c r="T146" s="14"/>
      <c r="U146" s="14"/>
      <c r="V146" s="14"/>
      <c r="W146" s="10"/>
      <c r="X146" s="10"/>
      <c r="Y146" s="15"/>
      <c r="Z146" s="15"/>
      <c r="AA146" s="13"/>
      <c r="AB146" s="24"/>
    </row>
    <row r="147" spans="1:28" ht="15.6" x14ac:dyDescent="0.3">
      <c r="A147" s="10"/>
      <c r="B147" s="10"/>
      <c r="C147" s="10"/>
      <c r="D147" s="10"/>
      <c r="E147" s="10"/>
      <c r="F147" s="10"/>
      <c r="G147" s="10"/>
      <c r="H147" s="10"/>
      <c r="I147" s="14"/>
      <c r="J147" s="15"/>
      <c r="K147" s="37"/>
      <c r="L147" s="18"/>
      <c r="M147" s="13"/>
      <c r="N147" s="24"/>
      <c r="O147" s="10"/>
      <c r="P147" s="10"/>
      <c r="Q147" s="10"/>
      <c r="R147" s="10"/>
      <c r="S147" s="10"/>
      <c r="T147" s="10"/>
      <c r="U147" s="10"/>
      <c r="V147" s="10"/>
      <c r="W147" s="14"/>
      <c r="X147" s="10"/>
      <c r="Y147" s="11"/>
      <c r="Z147" s="12"/>
      <c r="AA147" s="13"/>
      <c r="AB147" s="10"/>
    </row>
    <row r="148" spans="1:28" ht="15.6" x14ac:dyDescent="0.3">
      <c r="A148" s="24"/>
      <c r="B148" s="14"/>
      <c r="C148" s="14"/>
      <c r="D148" s="14"/>
      <c r="E148" s="14"/>
      <c r="F148" s="14"/>
      <c r="G148" s="14"/>
      <c r="H148" s="14"/>
      <c r="I148" s="10"/>
      <c r="J148" s="15"/>
      <c r="K148" s="37"/>
      <c r="L148" s="18"/>
      <c r="M148" s="13"/>
      <c r="N148" s="24"/>
      <c r="O148" s="24"/>
      <c r="P148" s="14"/>
      <c r="Q148" s="14"/>
      <c r="R148" s="14"/>
      <c r="S148" s="14"/>
      <c r="T148" s="14"/>
      <c r="U148" s="14"/>
      <c r="V148" s="14"/>
      <c r="W148" s="10"/>
      <c r="X148" s="10"/>
      <c r="Y148" s="15"/>
      <c r="Z148" s="15"/>
      <c r="AA148" s="13"/>
      <c r="AB148" s="24"/>
    </row>
    <row r="149" spans="1:28" ht="15.6" x14ac:dyDescent="0.3">
      <c r="A149" s="10"/>
      <c r="B149" s="10"/>
      <c r="C149" s="10"/>
      <c r="D149" s="10"/>
      <c r="E149" s="10"/>
      <c r="F149" s="10"/>
      <c r="G149" s="10"/>
      <c r="H149" s="10"/>
      <c r="I149" s="14"/>
      <c r="J149" s="15"/>
      <c r="K149" s="37"/>
      <c r="L149" s="18"/>
      <c r="M149" s="13"/>
      <c r="N149" s="24"/>
      <c r="O149" s="10"/>
      <c r="P149" s="10"/>
      <c r="Q149" s="10"/>
      <c r="R149" s="10"/>
      <c r="S149" s="10"/>
      <c r="T149" s="10"/>
      <c r="U149" s="10"/>
      <c r="V149" s="10"/>
      <c r="W149" s="14"/>
      <c r="X149" s="10"/>
      <c r="Y149" s="11"/>
      <c r="Z149" s="12"/>
      <c r="AA149" s="13"/>
      <c r="AB149" s="10"/>
    </row>
    <row r="150" spans="1:28" ht="15.6" x14ac:dyDescent="0.3">
      <c r="A150" s="24"/>
      <c r="B150" s="14"/>
      <c r="C150" s="14"/>
      <c r="D150" s="14"/>
      <c r="E150" s="14"/>
      <c r="F150" s="14"/>
      <c r="G150" s="14"/>
      <c r="H150" s="14"/>
      <c r="I150" s="10"/>
      <c r="J150" s="42"/>
      <c r="K150" s="42"/>
      <c r="L150" s="55"/>
      <c r="M150" s="19"/>
      <c r="N150" s="24"/>
      <c r="O150" s="24"/>
      <c r="P150" s="14"/>
      <c r="Q150" s="14"/>
      <c r="R150" s="14"/>
      <c r="S150" s="14"/>
      <c r="T150" s="14"/>
      <c r="U150" s="14"/>
      <c r="V150" s="14"/>
      <c r="W150" s="10"/>
      <c r="X150" s="10"/>
      <c r="Y150" s="15"/>
      <c r="Z150" s="15"/>
      <c r="AA150" s="19"/>
      <c r="AB150" s="24"/>
    </row>
    <row r="151" spans="1:28" ht="15.6" x14ac:dyDescent="0.3">
      <c r="A151" s="10"/>
      <c r="B151" s="10"/>
      <c r="C151" s="10"/>
      <c r="D151" s="10"/>
      <c r="E151" s="10"/>
      <c r="F151" s="10"/>
      <c r="G151" s="10"/>
      <c r="H151" s="10"/>
      <c r="I151" s="14"/>
      <c r="J151" s="15"/>
      <c r="K151" s="37"/>
      <c r="L151" s="18"/>
      <c r="M151" s="17"/>
      <c r="N151" s="24"/>
      <c r="O151" s="10"/>
      <c r="P151" s="10"/>
      <c r="Q151" s="10"/>
      <c r="R151" s="10"/>
      <c r="S151" s="10"/>
      <c r="T151" s="10"/>
      <c r="U151" s="10"/>
      <c r="V151" s="10"/>
      <c r="W151" s="14"/>
      <c r="X151" s="10"/>
      <c r="Y151" s="11"/>
      <c r="Z151" s="12"/>
      <c r="AA151" s="17"/>
      <c r="AB151" s="10"/>
    </row>
    <row r="152" spans="1:28" ht="15.6" x14ac:dyDescent="0.3">
      <c r="A152" s="24"/>
      <c r="B152" s="14"/>
      <c r="C152" s="14"/>
      <c r="D152" s="14"/>
      <c r="E152" s="14"/>
      <c r="F152" s="14"/>
      <c r="G152" s="14"/>
      <c r="H152" s="14"/>
      <c r="I152" s="14"/>
      <c r="J152" s="15"/>
      <c r="K152" s="37"/>
      <c r="L152" s="18"/>
      <c r="M152" s="21"/>
      <c r="N152" s="24"/>
      <c r="O152" s="24"/>
      <c r="P152" s="14"/>
      <c r="Q152" s="14"/>
      <c r="R152" s="14"/>
      <c r="S152" s="14"/>
      <c r="T152" s="14"/>
      <c r="U152" s="14"/>
      <c r="V152" s="14"/>
      <c r="W152" s="14"/>
      <c r="X152" s="10"/>
      <c r="Y152" s="15"/>
      <c r="Z152" s="15"/>
      <c r="AA152" s="21"/>
      <c r="AB152" s="24"/>
    </row>
    <row r="153" spans="1:28" ht="15.6" x14ac:dyDescent="0.3">
      <c r="A153" s="10"/>
      <c r="B153" s="10"/>
      <c r="C153" s="10"/>
      <c r="D153" s="10"/>
      <c r="E153" s="10"/>
      <c r="F153" s="10"/>
      <c r="G153" s="10"/>
      <c r="H153" s="10"/>
      <c r="I153" s="14"/>
      <c r="J153" s="15"/>
      <c r="K153" s="37"/>
      <c r="L153" s="18"/>
      <c r="M153" s="21"/>
      <c r="N153" s="24"/>
      <c r="O153" s="10"/>
      <c r="P153" s="10"/>
      <c r="Q153" s="10"/>
      <c r="R153" s="10"/>
      <c r="S153" s="10"/>
      <c r="T153" s="10"/>
      <c r="U153" s="10"/>
      <c r="V153" s="10"/>
      <c r="W153" s="14"/>
      <c r="X153" s="10"/>
      <c r="Y153" s="11"/>
      <c r="Z153" s="12"/>
      <c r="AA153" s="21"/>
      <c r="AB153" s="10"/>
    </row>
    <row r="154" spans="1:28" ht="15.6" x14ac:dyDescent="0.3">
      <c r="A154" s="24"/>
      <c r="B154" s="14"/>
      <c r="C154" s="14"/>
      <c r="D154" s="14"/>
      <c r="E154" s="14"/>
      <c r="F154" s="14"/>
      <c r="G154" s="14"/>
      <c r="H154" s="14"/>
      <c r="I154" s="10"/>
      <c r="J154" s="15"/>
      <c r="K154" s="37"/>
      <c r="L154" s="18"/>
      <c r="M154" s="13"/>
      <c r="N154" s="24"/>
      <c r="O154" s="24"/>
      <c r="P154" s="14"/>
      <c r="Q154" s="14"/>
      <c r="R154" s="14"/>
      <c r="S154" s="14"/>
      <c r="T154" s="14"/>
      <c r="U154" s="14"/>
      <c r="V154" s="14"/>
      <c r="W154" s="10"/>
      <c r="X154" s="10"/>
      <c r="Y154" s="15"/>
      <c r="Z154" s="15"/>
      <c r="AA154" s="13"/>
      <c r="AB154" s="24"/>
    </row>
    <row r="155" spans="1:28" ht="15.6" x14ac:dyDescent="0.3">
      <c r="A155" s="10"/>
      <c r="B155" s="10"/>
      <c r="C155" s="10"/>
      <c r="D155" s="10"/>
      <c r="E155" s="10"/>
      <c r="F155" s="10"/>
      <c r="G155" s="10"/>
      <c r="H155" s="10"/>
      <c r="I155" s="10"/>
      <c r="J155" s="15"/>
      <c r="K155" s="37"/>
      <c r="L155" s="18"/>
      <c r="M155" s="13"/>
      <c r="N155" s="24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1"/>
      <c r="Z155" s="12"/>
      <c r="AA155" s="13"/>
      <c r="AB155" s="10"/>
    </row>
    <row r="156" spans="1:28" ht="15.6" x14ac:dyDescent="0.3">
      <c r="A156" s="24"/>
      <c r="B156" s="14"/>
      <c r="C156" s="14"/>
      <c r="D156" s="14"/>
      <c r="E156" s="14"/>
      <c r="F156" s="14"/>
      <c r="G156" s="14"/>
      <c r="H156" s="14"/>
      <c r="I156" s="10"/>
      <c r="J156" s="15"/>
      <c r="K156" s="37"/>
      <c r="L156" s="18"/>
      <c r="M156" s="13"/>
      <c r="N156" s="24"/>
      <c r="O156" s="24"/>
      <c r="P156" s="14"/>
      <c r="Q156" s="14"/>
      <c r="R156" s="14"/>
      <c r="S156" s="14"/>
      <c r="T156" s="14"/>
      <c r="U156" s="14"/>
      <c r="V156" s="14"/>
      <c r="W156" s="10"/>
      <c r="X156" s="10"/>
      <c r="Y156" s="15"/>
      <c r="Z156" s="15"/>
      <c r="AA156" s="13"/>
      <c r="AB156" s="24"/>
    </row>
    <row r="157" spans="1:28" ht="15.6" x14ac:dyDescent="0.3">
      <c r="A157" s="10"/>
      <c r="B157" s="10"/>
      <c r="C157" s="10"/>
      <c r="D157" s="10"/>
      <c r="E157" s="10"/>
      <c r="F157" s="10"/>
      <c r="G157" s="10"/>
      <c r="H157" s="10"/>
      <c r="I157" s="10"/>
      <c r="J157" s="15"/>
      <c r="K157" s="37"/>
      <c r="L157" s="18"/>
      <c r="M157" s="13"/>
      <c r="N157" s="24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1"/>
      <c r="Z157" s="12"/>
      <c r="AA157" s="13"/>
      <c r="AB157" s="10"/>
    </row>
    <row r="158" spans="1:28" x14ac:dyDescent="0.25">
      <c r="A158" s="44"/>
      <c r="B158" s="44"/>
      <c r="C158" s="44"/>
      <c r="D158" s="44"/>
      <c r="E158" s="44"/>
      <c r="F158" s="44"/>
      <c r="G158" s="44"/>
      <c r="H158" s="44"/>
      <c r="I158" s="44"/>
      <c r="J158" s="44"/>
      <c r="K158" s="52"/>
      <c r="L158" s="53"/>
      <c r="M158" s="13"/>
      <c r="N158" s="54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</row>
    <row r="159" spans="1:28" ht="15.6" x14ac:dyDescent="0.3">
      <c r="A159" s="44"/>
      <c r="B159" s="44"/>
      <c r="C159" s="44"/>
      <c r="D159" s="44"/>
      <c r="E159" s="44"/>
      <c r="F159" s="44"/>
      <c r="G159" s="44"/>
      <c r="H159" s="44"/>
      <c r="I159" s="44"/>
      <c r="J159" s="56"/>
      <c r="K159" s="56"/>
      <c r="L159" s="56"/>
      <c r="M159" s="13"/>
      <c r="N159" s="24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</row>
    <row r="160" spans="1:28" ht="15.6" x14ac:dyDescent="0.3">
      <c r="A160" s="45"/>
      <c r="B160" s="46"/>
      <c r="C160" s="46"/>
      <c r="D160" s="46"/>
      <c r="E160" s="46"/>
      <c r="F160" s="46"/>
      <c r="G160" s="46"/>
      <c r="H160" s="46"/>
      <c r="I160" s="15"/>
      <c r="J160" s="15"/>
      <c r="K160" s="52"/>
      <c r="L160" s="18"/>
      <c r="M160" s="13"/>
      <c r="N160" s="24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</row>
    <row r="161" spans="1:28" ht="15.6" x14ac:dyDescent="0.3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52"/>
      <c r="L161" s="18"/>
      <c r="M161" s="13"/>
      <c r="N161" s="24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</row>
    <row r="162" spans="1:28" ht="15.6" x14ac:dyDescent="0.3">
      <c r="A162" s="24"/>
      <c r="B162" s="14"/>
      <c r="C162" s="14"/>
      <c r="D162" s="14"/>
      <c r="E162" s="14"/>
      <c r="F162" s="14"/>
      <c r="G162" s="14"/>
      <c r="H162" s="14"/>
      <c r="I162" s="10"/>
      <c r="J162" s="10"/>
      <c r="K162" s="47"/>
      <c r="L162" s="22"/>
      <c r="M162" s="13"/>
      <c r="N162" s="24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</row>
    <row r="163" spans="1:28" ht="15.6" x14ac:dyDescent="0.3">
      <c r="A163" s="4"/>
      <c r="B163" s="4"/>
      <c r="C163" s="4"/>
      <c r="D163" s="4"/>
      <c r="E163" s="4"/>
      <c r="F163" s="4"/>
      <c r="G163" s="4"/>
      <c r="H163" s="4"/>
      <c r="I163" s="4"/>
      <c r="J163" s="4"/>
      <c r="L163" s="31"/>
      <c r="N163" s="6"/>
    </row>
    <row r="164" spans="1:28" ht="15.6" x14ac:dyDescent="0.3">
      <c r="A164" s="6"/>
      <c r="B164" s="3"/>
      <c r="C164" s="3"/>
      <c r="D164" s="3"/>
      <c r="E164" s="3"/>
      <c r="F164" s="3"/>
      <c r="G164" s="3"/>
      <c r="H164" s="3"/>
      <c r="I164" s="4"/>
      <c r="J164" s="4"/>
      <c r="N164" s="6"/>
    </row>
    <row r="165" spans="1:28" ht="15.6" x14ac:dyDescent="0.3">
      <c r="A165" s="4"/>
      <c r="B165" s="4"/>
      <c r="C165" s="4"/>
      <c r="D165" s="4"/>
      <c r="E165" s="4"/>
      <c r="F165" s="4"/>
      <c r="G165" s="4"/>
      <c r="H165" s="4"/>
      <c r="I165" s="4"/>
      <c r="J165" s="4"/>
      <c r="N165" s="6"/>
    </row>
    <row r="166" spans="1:28" ht="15.6" x14ac:dyDescent="0.3">
      <c r="A166" s="6"/>
      <c r="B166" s="3"/>
      <c r="C166" s="3"/>
      <c r="D166" s="3"/>
      <c r="E166" s="3"/>
      <c r="F166" s="3"/>
      <c r="G166" s="3"/>
      <c r="H166" s="3"/>
      <c r="I166" s="4"/>
      <c r="J166" s="4"/>
      <c r="N166" s="6"/>
    </row>
    <row r="167" spans="1:28" ht="15.6" x14ac:dyDescent="0.3">
      <c r="A167" s="4"/>
      <c r="B167" s="4"/>
      <c r="C167" s="4"/>
      <c r="D167" s="4"/>
      <c r="E167" s="4"/>
      <c r="F167" s="4"/>
      <c r="G167" s="4"/>
      <c r="H167" s="4"/>
      <c r="I167" s="3"/>
      <c r="J167" s="4"/>
      <c r="N167" s="6"/>
    </row>
    <row r="168" spans="1:28" ht="15.6" x14ac:dyDescent="0.3">
      <c r="A168" s="6"/>
      <c r="B168" s="3"/>
      <c r="C168" s="3"/>
      <c r="D168" s="3"/>
      <c r="E168" s="3"/>
      <c r="F168" s="3"/>
      <c r="G168" s="3"/>
      <c r="H168" s="3"/>
      <c r="I168" s="4"/>
      <c r="J168" s="4"/>
      <c r="N168" s="6"/>
    </row>
    <row r="169" spans="1:28" ht="15.6" x14ac:dyDescent="0.3">
      <c r="A169" s="4"/>
      <c r="B169" s="4"/>
      <c r="C169" s="4"/>
      <c r="D169" s="4"/>
      <c r="E169" s="4"/>
      <c r="F169" s="4"/>
      <c r="G169" s="4"/>
      <c r="H169" s="4"/>
      <c r="I169" s="3"/>
      <c r="J169" s="4"/>
      <c r="N169" s="6"/>
    </row>
  </sheetData>
  <phoneticPr fontId="0" type="noConversion"/>
  <printOptions horizontalCentered="1" verticalCentered="1" gridLines="1"/>
  <pageMargins left="0.7" right="0.7" top="0.75" bottom="0.75" header="0.3" footer="0.3"/>
  <pageSetup scale="99" orientation="portrait" horizontalDpi="300" verticalDpi="300" r:id="rId1"/>
  <headerFooter alignWithMargins="0">
    <oddHeader>&amp;L&amp;"Arial,Bold"&amp;14 8TH AVE&amp;C&amp;"Arial,Bold"&amp;14WASTE STACKS&amp;R&amp;D</oddHeader>
    <oddFooter>&amp;L&amp;F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H73" sqref="H73"/>
    </sheetView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46" sqref="B46"/>
    </sheetView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One-Way Plumbing,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brettm</dc:creator>
  <cp:lastModifiedBy>Brett Mortimore</cp:lastModifiedBy>
  <cp:lastPrinted>2012-06-11T16:18:24Z</cp:lastPrinted>
  <dcterms:created xsi:type="dcterms:W3CDTF">2001-08-01T16:19:16Z</dcterms:created>
  <dcterms:modified xsi:type="dcterms:W3CDTF">2012-12-01T22:25:15Z</dcterms:modified>
</cp:coreProperties>
</file>