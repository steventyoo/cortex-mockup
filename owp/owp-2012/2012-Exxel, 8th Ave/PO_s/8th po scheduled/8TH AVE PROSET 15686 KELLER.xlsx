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3" i="1" l="1"/>
  <c r="K32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H40" i="1"/>
  <c r="K40" i="1"/>
  <c r="K10" i="1" l="1"/>
</calcChain>
</file>

<file path=xl/sharedStrings.xml><?xml version="1.0" encoding="utf-8"?>
<sst xmlns="http://schemas.openxmlformats.org/spreadsheetml/2006/main" count="47" uniqueCount="47">
  <si>
    <t>P.O.#</t>
  </si>
  <si>
    <t>PROSET P25620-2IN TUB BOX ONLY</t>
  </si>
  <si>
    <t>PROSET P35340 FLUSH FIT FLANGE</t>
  </si>
  <si>
    <t>PROSET 6B43 6'' BLACK SLEEVE</t>
  </si>
  <si>
    <t>PROSET 4B43 4'' BLACK SLEEVE</t>
  </si>
  <si>
    <t>PROSET 3B43 3'' BLACK SLEEVE-10'</t>
  </si>
  <si>
    <t>PROSET 3R43 3'' RED SLEEVE-10'</t>
  </si>
  <si>
    <t>PROSET 2B43 2'' BLACK SLEEVE-10'</t>
  </si>
  <si>
    <t>PROSET 2R43 2'' RED SLEEVE- 10'</t>
  </si>
  <si>
    <t>P8896B/R 6'' PROT CAP BLK</t>
  </si>
  <si>
    <t>P8894B/R 4'' PROT CAP BLK</t>
  </si>
  <si>
    <t>P8893B/R 3'' PROT CAP BLK</t>
  </si>
  <si>
    <t>P8892B/R 2'' PROT CAP BLK</t>
  </si>
  <si>
    <t>P45490 4'' SELF SEAL FASTENING FLANGE</t>
  </si>
  <si>
    <t>P35490 3'' SELF SEAL FASTENING FLANGE</t>
  </si>
  <si>
    <t>P25490 2'' SELF SEAL FASTENING FLANGE</t>
  </si>
  <si>
    <t xml:space="preserve">P6543 6'' F.R. FASTENING FLANGE </t>
  </si>
  <si>
    <t xml:space="preserve">P4543 4'' F.R. FASTENING FLANGE </t>
  </si>
  <si>
    <t xml:space="preserve">P3543 3'' F.R. FASTENING FLANGE </t>
  </si>
  <si>
    <t xml:space="preserve">P2543 2'' F.R. FASTENING FLANGE </t>
  </si>
  <si>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</si>
  <si>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</si>
  <si>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</si>
  <si>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</si>
  <si>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</si>
  <si>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</si>
  <si>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</si>
  <si>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</si>
  <si>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</si>
  <si>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</si>
  <si>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</si>
  <si>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</si>
  <si>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</si>
  <si>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</si>
  <si>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</si>
  <si>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</si>
  <si>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</si>
  <si>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</si>
  <si>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</si>
  <si>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 xml:space="preserve">PROSET </t>
  </si>
  <si>
    <t>P45650X 3'' &amp; 4'' AREA DRAIN</t>
  </si>
  <si>
    <t>2012-35</t>
  </si>
  <si>
    <t>8TH AVE APARTMENTS</t>
  </si>
  <si>
    <t>4545 8TH AVE NE SEATTLE WA 98105</t>
  </si>
  <si>
    <t>S006581228</t>
  </si>
  <si>
    <t>KELLER</t>
  </si>
  <si>
    <t>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</si>
</sst>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topLeftCell="A13" zoomScaleNormal="75" workbookViewId="0">
      <selection activeCell="E22" sqref="E22:I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69" t="s">
        <v>38</v>
      </c>
      <c r="B1" s="31"/>
      <c r="C1" s="70"/>
      <c r="D1" s="29"/>
      <c r="E1" s="28" t="s">
        <v>37</v>
      </c>
      <c r="F1" s="26"/>
      <c r="G1" s="26"/>
      <c r="H1" s="72"/>
      <c r="I1" s="74" t="s">
        <v>36</v>
      </c>
      <c r="J1" s="75"/>
      <c r="K1" s="78">
        <v>15686</v>
      </c>
    </row>
    <row r="2" spans="1:13" ht="18.600000000000001" customHeight="1" x14ac:dyDescent="0.25">
      <c r="A2" s="31"/>
      <c r="B2" s="31"/>
      <c r="C2" s="71"/>
      <c r="D2" s="27"/>
      <c r="E2" s="19" t="s">
        <v>39</v>
      </c>
      <c r="F2" s="26"/>
      <c r="G2" s="26"/>
      <c r="H2" s="73"/>
      <c r="I2" s="76"/>
      <c r="J2" s="77"/>
      <c r="K2" s="79"/>
    </row>
    <row r="3" spans="1:13" ht="13.95" customHeight="1" x14ac:dyDescent="0.25">
      <c r="A3" s="62" t="s">
        <v>35</v>
      </c>
      <c r="B3" s="63"/>
      <c r="C3" s="64" t="s">
        <v>45</v>
      </c>
      <c r="D3" s="31"/>
      <c r="E3" s="31"/>
      <c r="F3" s="25"/>
      <c r="G3" s="25"/>
      <c r="H3" s="65" t="s">
        <v>34</v>
      </c>
      <c r="I3" s="65" t="s">
        <v>44</v>
      </c>
      <c r="J3" s="31"/>
      <c r="K3" s="31"/>
    </row>
    <row r="4" spans="1:13" ht="7.95" customHeight="1" x14ac:dyDescent="0.25">
      <c r="A4" s="63"/>
      <c r="B4" s="6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6" t="s">
        <v>33</v>
      </c>
      <c r="B5" s="63"/>
      <c r="C5" s="65" t="s">
        <v>43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63"/>
      <c r="B6" s="63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43" t="s">
        <v>32</v>
      </c>
      <c r="B7" s="43"/>
      <c r="C7" s="43"/>
      <c r="D7" s="24"/>
      <c r="E7" s="44" t="s">
        <v>31</v>
      </c>
      <c r="F7" s="53"/>
      <c r="G7" s="53"/>
      <c r="H7" s="54"/>
      <c r="I7" s="23"/>
      <c r="J7" s="55" t="s">
        <v>30</v>
      </c>
      <c r="K7" s="56"/>
    </row>
    <row r="8" spans="1:13" ht="18.600000000000001" customHeight="1" x14ac:dyDescent="0.3">
      <c r="A8" s="57"/>
      <c r="B8" s="58"/>
      <c r="C8" s="58"/>
      <c r="D8" s="18"/>
      <c r="E8" s="59" t="s">
        <v>41</v>
      </c>
      <c r="F8" s="45"/>
      <c r="G8" s="45"/>
      <c r="H8" s="46"/>
      <c r="I8" s="22"/>
      <c r="J8" s="60">
        <v>41404</v>
      </c>
      <c r="K8" s="61"/>
      <c r="M8" s="21"/>
    </row>
    <row r="9" spans="1:13" ht="10.95" customHeight="1" x14ac:dyDescent="0.25">
      <c r="A9" s="43" t="s">
        <v>29</v>
      </c>
      <c r="B9" s="43"/>
      <c r="C9" s="43"/>
      <c r="D9" s="18" t="s">
        <v>28</v>
      </c>
      <c r="E9" s="44" t="s">
        <v>27</v>
      </c>
      <c r="F9" s="45"/>
      <c r="G9" s="45"/>
      <c r="H9" s="46"/>
      <c r="I9" s="20"/>
      <c r="J9" s="19" t="s">
        <v>26</v>
      </c>
      <c r="K9" s="19" t="s">
        <v>25</v>
      </c>
    </row>
    <row r="10" spans="1:13" ht="26.4" customHeight="1" x14ac:dyDescent="0.3">
      <c r="A10" s="47">
        <v>41423</v>
      </c>
      <c r="B10" s="48"/>
      <c r="C10" s="49"/>
      <c r="D10" s="18"/>
      <c r="E10" s="50" t="s">
        <v>42</v>
      </c>
      <c r="F10" s="45"/>
      <c r="G10" s="45"/>
      <c r="H10" s="46"/>
      <c r="I10" s="17"/>
      <c r="J10" s="17" t="s">
        <v>46</v>
      </c>
      <c r="K10" s="16">
        <f>SUM(K12:K39)</f>
        <v>10847.103999999998</v>
      </c>
    </row>
    <row r="11" spans="1:13" x14ac:dyDescent="0.25">
      <c r="A11" s="51" t="s">
        <v>24</v>
      </c>
      <c r="B11" s="52"/>
      <c r="C11" s="15" t="s">
        <v>23</v>
      </c>
      <c r="D11" s="14" t="s">
        <v>22</v>
      </c>
      <c r="E11" s="51" t="s">
        <v>21</v>
      </c>
      <c r="F11" s="31"/>
      <c r="G11" s="31"/>
      <c r="H11" s="31"/>
      <c r="I11" s="31"/>
      <c r="J11" s="41" t="s">
        <v>20</v>
      </c>
      <c r="K11" s="42"/>
    </row>
    <row r="12" spans="1:13" ht="18" customHeight="1" x14ac:dyDescent="0.25">
      <c r="A12" s="13">
        <v>1</v>
      </c>
      <c r="B12" s="5">
        <v>165</v>
      </c>
      <c r="C12" s="4"/>
      <c r="D12" s="4"/>
      <c r="E12" s="32" t="s">
        <v>19</v>
      </c>
      <c r="F12" s="33"/>
      <c r="G12" s="33"/>
      <c r="H12" s="33"/>
      <c r="I12" s="33"/>
      <c r="J12" s="10">
        <v>2.8130000000000002</v>
      </c>
      <c r="K12" s="9">
        <f t="shared" ref="K12:K33" si="0">B12*J12</f>
        <v>464.14500000000004</v>
      </c>
    </row>
    <row r="13" spans="1:13" ht="18" customHeight="1" x14ac:dyDescent="0.25">
      <c r="A13" s="13">
        <v>2</v>
      </c>
      <c r="B13" s="5">
        <v>175</v>
      </c>
      <c r="C13" s="4"/>
      <c r="D13" s="4"/>
      <c r="E13" s="32" t="s">
        <v>18</v>
      </c>
      <c r="F13" s="33"/>
      <c r="G13" s="33"/>
      <c r="H13" s="33"/>
      <c r="I13" s="33"/>
      <c r="J13" s="10">
        <v>3.6339999999999999</v>
      </c>
      <c r="K13" s="9">
        <f t="shared" si="0"/>
        <v>635.94999999999993</v>
      </c>
    </row>
    <row r="14" spans="1:13" ht="18" customHeight="1" x14ac:dyDescent="0.25">
      <c r="A14" s="13">
        <v>3</v>
      </c>
      <c r="B14" s="5">
        <v>45</v>
      </c>
      <c r="C14" s="4"/>
      <c r="D14" s="4"/>
      <c r="E14" s="32" t="s">
        <v>17</v>
      </c>
      <c r="F14" s="33"/>
      <c r="G14" s="33"/>
      <c r="H14" s="33"/>
      <c r="I14" s="33"/>
      <c r="J14" s="10">
        <v>4.1820000000000004</v>
      </c>
      <c r="K14" s="9">
        <f t="shared" si="0"/>
        <v>188.19000000000003</v>
      </c>
    </row>
    <row r="15" spans="1:13" ht="18" customHeight="1" x14ac:dyDescent="0.25">
      <c r="A15" s="13">
        <v>4</v>
      </c>
      <c r="B15" s="5">
        <v>5</v>
      </c>
      <c r="C15" s="4"/>
      <c r="D15" s="4"/>
      <c r="E15" s="32" t="s">
        <v>16</v>
      </c>
      <c r="F15" s="33"/>
      <c r="G15" s="33"/>
      <c r="H15" s="33"/>
      <c r="I15" s="33"/>
      <c r="J15" s="10">
        <v>4.6109999999999998</v>
      </c>
      <c r="K15" s="9">
        <f t="shared" si="0"/>
        <v>23.055</v>
      </c>
    </row>
    <row r="16" spans="1:13" ht="18" customHeight="1" x14ac:dyDescent="0.25">
      <c r="A16" s="13">
        <v>5</v>
      </c>
      <c r="B16" s="5">
        <v>369</v>
      </c>
      <c r="C16" s="4"/>
      <c r="D16" s="4"/>
      <c r="E16" s="32" t="s">
        <v>15</v>
      </c>
      <c r="F16" s="33"/>
      <c r="G16" s="33"/>
      <c r="H16" s="33"/>
      <c r="I16" s="33"/>
      <c r="J16" s="10">
        <v>8.4019999999999992</v>
      </c>
      <c r="K16" s="9">
        <f t="shared" si="0"/>
        <v>3100.3379999999997</v>
      </c>
    </row>
    <row r="17" spans="1:11" ht="18" customHeight="1" x14ac:dyDescent="0.25">
      <c r="A17" s="13">
        <v>6</v>
      </c>
      <c r="B17" s="5">
        <v>165</v>
      </c>
      <c r="C17" s="4"/>
      <c r="D17" s="4"/>
      <c r="E17" s="32" t="s">
        <v>14</v>
      </c>
      <c r="F17" s="33"/>
      <c r="G17" s="33"/>
      <c r="H17" s="33"/>
      <c r="I17" s="33"/>
      <c r="J17" s="10">
        <v>16.295000000000002</v>
      </c>
      <c r="K17" s="9">
        <f t="shared" si="0"/>
        <v>2688.6750000000002</v>
      </c>
    </row>
    <row r="18" spans="1:11" ht="18" customHeight="1" x14ac:dyDescent="0.25">
      <c r="A18" s="13">
        <v>7</v>
      </c>
      <c r="B18" s="5">
        <v>20</v>
      </c>
      <c r="C18" s="4"/>
      <c r="D18" s="4"/>
      <c r="E18" s="32" t="s">
        <v>13</v>
      </c>
      <c r="F18" s="33"/>
      <c r="G18" s="33"/>
      <c r="H18" s="33"/>
      <c r="I18" s="33"/>
      <c r="J18" s="10">
        <v>18.873999999999999</v>
      </c>
      <c r="K18" s="9">
        <f t="shared" si="0"/>
        <v>377.47999999999996</v>
      </c>
    </row>
    <row r="19" spans="1:11" ht="18" customHeight="1" x14ac:dyDescent="0.25">
      <c r="A19" s="13">
        <v>8</v>
      </c>
      <c r="B19" s="5">
        <v>500</v>
      </c>
      <c r="C19" s="4"/>
      <c r="D19" s="4"/>
      <c r="E19" s="30" t="s">
        <v>12</v>
      </c>
      <c r="F19" s="38"/>
      <c r="G19" s="38"/>
      <c r="H19" s="38"/>
      <c r="I19" s="38"/>
      <c r="J19" s="10">
        <v>0.23400000000000001</v>
      </c>
      <c r="K19" s="9">
        <f t="shared" si="0"/>
        <v>117</v>
      </c>
    </row>
    <row r="20" spans="1:11" ht="18" customHeight="1" x14ac:dyDescent="0.25">
      <c r="A20" s="13">
        <v>9</v>
      </c>
      <c r="B20" s="5">
        <v>335</v>
      </c>
      <c r="C20" s="4"/>
      <c r="D20" s="4"/>
      <c r="E20" s="30" t="s">
        <v>11</v>
      </c>
      <c r="F20" s="38"/>
      <c r="G20" s="38"/>
      <c r="H20" s="38"/>
      <c r="I20" s="38"/>
      <c r="J20" s="10">
        <v>0.313</v>
      </c>
      <c r="K20" s="9">
        <f t="shared" si="0"/>
        <v>104.855</v>
      </c>
    </row>
    <row r="21" spans="1:11" ht="18" customHeight="1" x14ac:dyDescent="0.25">
      <c r="A21" s="13">
        <v>10</v>
      </c>
      <c r="B21" s="5">
        <v>50</v>
      </c>
      <c r="C21" s="4"/>
      <c r="D21" s="4"/>
      <c r="E21" s="30" t="s">
        <v>10</v>
      </c>
      <c r="F21" s="38"/>
      <c r="G21" s="38"/>
      <c r="H21" s="38"/>
      <c r="I21" s="38"/>
      <c r="J21" s="10">
        <v>0.46899999999999997</v>
      </c>
      <c r="K21" s="9">
        <f t="shared" si="0"/>
        <v>23.45</v>
      </c>
    </row>
    <row r="22" spans="1:11" ht="18" customHeight="1" x14ac:dyDescent="0.25">
      <c r="A22" s="13">
        <v>11</v>
      </c>
      <c r="B22" s="5">
        <v>5</v>
      </c>
      <c r="C22" s="4"/>
      <c r="D22" s="4"/>
      <c r="E22" s="30" t="s">
        <v>9</v>
      </c>
      <c r="F22" s="38"/>
      <c r="G22" s="38"/>
      <c r="H22" s="38"/>
      <c r="I22" s="38"/>
      <c r="J22" s="10">
        <v>1.0940000000000001</v>
      </c>
      <c r="K22" s="9">
        <f t="shared" si="0"/>
        <v>5.4700000000000006</v>
      </c>
    </row>
    <row r="23" spans="1:11" ht="18" customHeight="1" x14ac:dyDescent="0.25">
      <c r="A23" s="13">
        <v>13</v>
      </c>
      <c r="B23" s="5">
        <v>1</v>
      </c>
      <c r="C23" s="4"/>
      <c r="D23" s="4"/>
      <c r="E23" s="30" t="s">
        <v>8</v>
      </c>
      <c r="F23" s="38"/>
      <c r="G23" s="38"/>
      <c r="H23" s="38"/>
      <c r="I23" s="38"/>
      <c r="J23" s="10">
        <v>28.134</v>
      </c>
      <c r="K23" s="9">
        <f t="shared" si="0"/>
        <v>28.134</v>
      </c>
    </row>
    <row r="24" spans="1:11" ht="18" customHeight="1" x14ac:dyDescent="0.25">
      <c r="A24" s="13">
        <v>14</v>
      </c>
      <c r="B24" s="5">
        <v>37</v>
      </c>
      <c r="C24" s="4"/>
      <c r="D24" s="4"/>
      <c r="E24" s="30" t="s">
        <v>7</v>
      </c>
      <c r="F24" s="38"/>
      <c r="G24" s="38"/>
      <c r="H24" s="38"/>
      <c r="I24" s="38"/>
      <c r="J24" s="10">
        <v>28.134</v>
      </c>
      <c r="K24" s="9">
        <f t="shared" si="0"/>
        <v>1040.9580000000001</v>
      </c>
    </row>
    <row r="25" spans="1:11" ht="18" customHeight="1" x14ac:dyDescent="0.25">
      <c r="A25" s="13">
        <v>15</v>
      </c>
      <c r="B25" s="5">
        <v>4</v>
      </c>
      <c r="C25" s="4"/>
      <c r="D25" s="4"/>
      <c r="E25" s="30" t="s">
        <v>6</v>
      </c>
      <c r="F25" s="38"/>
      <c r="G25" s="38"/>
      <c r="H25" s="38"/>
      <c r="I25" s="38"/>
      <c r="J25" s="10">
        <v>42.201000000000001</v>
      </c>
      <c r="K25" s="9">
        <f t="shared" si="0"/>
        <v>168.804</v>
      </c>
    </row>
    <row r="26" spans="1:11" ht="18" customHeight="1" x14ac:dyDescent="0.25">
      <c r="A26" s="13">
        <v>16</v>
      </c>
      <c r="B26" s="5">
        <v>21</v>
      </c>
      <c r="C26" s="4"/>
      <c r="D26" s="4"/>
      <c r="E26" s="30" t="s">
        <v>5</v>
      </c>
      <c r="F26" s="38"/>
      <c r="G26" s="38"/>
      <c r="H26" s="38"/>
      <c r="I26" s="38"/>
      <c r="J26" s="10">
        <v>42.201000000000001</v>
      </c>
      <c r="K26" s="9">
        <f t="shared" si="0"/>
        <v>886.221</v>
      </c>
    </row>
    <row r="27" spans="1:11" ht="18" customHeight="1" x14ac:dyDescent="0.25">
      <c r="A27" s="13">
        <v>17</v>
      </c>
      <c r="B27" s="5"/>
      <c r="C27" s="4"/>
      <c r="D27" s="4"/>
      <c r="E27" s="30"/>
      <c r="F27" s="38"/>
      <c r="G27" s="38"/>
      <c r="H27" s="38"/>
      <c r="I27" s="38"/>
      <c r="J27" s="10"/>
      <c r="K27" s="9">
        <f t="shared" si="0"/>
        <v>0</v>
      </c>
    </row>
    <row r="28" spans="1:11" ht="18" customHeight="1" x14ac:dyDescent="0.25">
      <c r="A28" s="13">
        <v>18</v>
      </c>
      <c r="B28" s="80">
        <v>3</v>
      </c>
      <c r="C28" s="4"/>
      <c r="D28" s="4"/>
      <c r="E28" s="30" t="s">
        <v>4</v>
      </c>
      <c r="F28" s="38"/>
      <c r="G28" s="38"/>
      <c r="H28" s="38"/>
      <c r="I28" s="38"/>
      <c r="J28" s="10">
        <v>60.957000000000001</v>
      </c>
      <c r="K28" s="9">
        <f t="shared" si="0"/>
        <v>182.87100000000001</v>
      </c>
    </row>
    <row r="29" spans="1:11" ht="18" customHeight="1" x14ac:dyDescent="0.25">
      <c r="A29" s="13">
        <v>19</v>
      </c>
      <c r="B29" s="80">
        <v>1</v>
      </c>
      <c r="C29" s="4"/>
      <c r="D29" s="4"/>
      <c r="E29" s="30" t="s">
        <v>3</v>
      </c>
      <c r="F29" s="38"/>
      <c r="G29" s="38"/>
      <c r="H29" s="38"/>
      <c r="I29" s="38"/>
      <c r="J29" s="10">
        <v>121.914</v>
      </c>
      <c r="K29" s="9">
        <f t="shared" si="0"/>
        <v>121.914</v>
      </c>
    </row>
    <row r="30" spans="1:11" ht="18" customHeight="1" x14ac:dyDescent="0.25">
      <c r="A30" s="13">
        <v>20</v>
      </c>
      <c r="B30" s="5">
        <v>60</v>
      </c>
      <c r="C30" s="4"/>
      <c r="D30" s="4"/>
      <c r="E30" s="30" t="s">
        <v>2</v>
      </c>
      <c r="F30" s="38"/>
      <c r="G30" s="38"/>
      <c r="H30" s="38"/>
      <c r="I30" s="38"/>
      <c r="J30" s="10">
        <v>4.1820000000000004</v>
      </c>
      <c r="K30" s="9">
        <f t="shared" si="0"/>
        <v>250.92000000000002</v>
      </c>
    </row>
    <row r="31" spans="1:11" ht="18" customHeight="1" x14ac:dyDescent="0.25">
      <c r="A31" s="13">
        <v>21</v>
      </c>
      <c r="B31" s="5">
        <v>35</v>
      </c>
      <c r="C31" s="4"/>
      <c r="D31" s="4"/>
      <c r="E31" s="30" t="s">
        <v>1</v>
      </c>
      <c r="F31" s="38"/>
      <c r="G31" s="38"/>
      <c r="H31" s="38"/>
      <c r="I31" s="38"/>
      <c r="J31" s="10">
        <v>7.5019999999999998</v>
      </c>
      <c r="K31" s="9">
        <f t="shared" si="0"/>
        <v>262.57</v>
      </c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>
        <f t="shared" si="0"/>
        <v>0</v>
      </c>
    </row>
    <row r="33" spans="1:11" ht="18" customHeight="1" x14ac:dyDescent="0.25">
      <c r="A33" s="13">
        <v>10</v>
      </c>
      <c r="B33" s="5">
        <v>4</v>
      </c>
      <c r="C33" s="4"/>
      <c r="D33" s="4"/>
      <c r="E33" s="30" t="s">
        <v>40</v>
      </c>
      <c r="F33" s="38"/>
      <c r="G33" s="38"/>
      <c r="H33" s="38"/>
      <c r="I33" s="38"/>
      <c r="J33" s="10">
        <v>44.026000000000003</v>
      </c>
      <c r="K33" s="9">
        <f t="shared" si="0"/>
        <v>176.10400000000001</v>
      </c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4" t="s">
        <v>0</v>
      </c>
      <c r="B40" s="35"/>
      <c r="C40" s="35"/>
      <c r="D40" s="35"/>
      <c r="E40" s="35"/>
      <c r="F40" s="8"/>
      <c r="G40" s="8"/>
      <c r="H40" s="36">
        <f>H1</f>
        <v>0</v>
      </c>
      <c r="I40" s="37"/>
      <c r="J40" s="37"/>
      <c r="K40" s="7">
        <f>K1</f>
        <v>15686</v>
      </c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2012-10-30T14:42:26Z</cp:lastPrinted>
  <dcterms:created xsi:type="dcterms:W3CDTF">2012-10-22T17:05:06Z</dcterms:created>
  <dcterms:modified xsi:type="dcterms:W3CDTF">2013-05-21T20:12:28Z</dcterms:modified>
</cp:coreProperties>
</file>