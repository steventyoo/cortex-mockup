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0" i="1" l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2" i="1"/>
  <c r="J40" i="1" l="1"/>
  <c r="H40" i="1" l="1"/>
</calcChain>
</file>

<file path=xl/sharedStrings.xml><?xml version="1.0" encoding="utf-8"?>
<sst xmlns="http://schemas.openxmlformats.org/spreadsheetml/2006/main" count="41" uniqueCount="40">
  <si>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</si>
  <si>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</si>
  <si>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</si>
  <si>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</si>
  <si>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</si>
  <si>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</si>
  <si>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</si>
  <si>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</si>
  <si>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</si>
  <si>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</si>
  <si>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</si>
  <si>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</si>
  <si>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</si>
  <si>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</si>
  <si>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</si>
  <si>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</si>
  <si>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</si>
  <si>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</si>
  <si>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</si>
  <si>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4" 90</t>
  </si>
  <si>
    <t>4" COUPLING</t>
  </si>
  <si>
    <t>4" 45</t>
  </si>
  <si>
    <t>2 1/2" 90</t>
  </si>
  <si>
    <t>2 1/2" COUPLING</t>
  </si>
  <si>
    <t>2 1/2" 45</t>
  </si>
  <si>
    <t>2 1/2" TEE</t>
  </si>
  <si>
    <t>2 1/2" x 2" BUSH</t>
  </si>
  <si>
    <t>4" PIPE</t>
  </si>
  <si>
    <t>2 1/2" PIPE</t>
  </si>
  <si>
    <t>CPVC SCH 80  CORZAN</t>
  </si>
  <si>
    <t>4545 8TH AVE NE SEATTLE, 98105</t>
  </si>
  <si>
    <t>2012-40</t>
  </si>
  <si>
    <t>8TH AVE APTS</t>
  </si>
  <si>
    <t>MAIN</t>
  </si>
  <si>
    <t>2" CTS x IPS</t>
  </si>
  <si>
    <t>QUART HEAVY DUTY GREY GLUE</t>
  </si>
  <si>
    <t>DAUBER</t>
  </si>
  <si>
    <t>TONY</t>
  </si>
  <si>
    <t>FEI</t>
  </si>
  <si>
    <t>2" FIP SS x CPVC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</si>
</sst>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3" t="s">
        <v>14</v>
      </c>
      <c r="B1" s="54"/>
      <c r="C1" s="55" t="s">
        <v>33</v>
      </c>
      <c r="D1" s="19"/>
      <c r="E1" s="57" t="s">
        <v>17</v>
      </c>
      <c r="F1" s="6"/>
      <c r="G1" s="6"/>
      <c r="H1" s="40" t="s">
        <v>16</v>
      </c>
      <c r="I1" s="34">
        <v>15643</v>
      </c>
      <c r="J1" s="35"/>
      <c r="K1" s="36"/>
    </row>
    <row r="2" spans="1:13" ht="16.95" customHeight="1" x14ac:dyDescent="0.25">
      <c r="A2" s="54"/>
      <c r="B2" s="54"/>
      <c r="C2" s="56"/>
      <c r="D2" s="20"/>
      <c r="E2" s="58"/>
      <c r="F2" s="6"/>
      <c r="G2" s="6"/>
      <c r="H2" s="41"/>
      <c r="I2" s="37"/>
      <c r="J2" s="38"/>
      <c r="K2" s="39"/>
    </row>
    <row r="3" spans="1:13" ht="13.95" customHeight="1" x14ac:dyDescent="0.25">
      <c r="A3" s="69" t="s">
        <v>4</v>
      </c>
      <c r="B3" s="70"/>
      <c r="C3" s="72" t="s">
        <v>38</v>
      </c>
      <c r="D3" s="54"/>
      <c r="E3" s="54"/>
      <c r="F3" s="13"/>
      <c r="G3" s="13"/>
      <c r="H3" s="68" t="s">
        <v>12</v>
      </c>
      <c r="I3" s="68">
        <v>2623205</v>
      </c>
      <c r="J3" s="54"/>
      <c r="K3" s="54"/>
    </row>
    <row r="4" spans="1:13" ht="7.95" customHeight="1" x14ac:dyDescent="0.25">
      <c r="A4" s="70"/>
      <c r="B4" s="70"/>
      <c r="C4" s="54"/>
      <c r="D4" s="54"/>
      <c r="E4" s="54"/>
      <c r="F4" s="13"/>
      <c r="G4" s="13"/>
      <c r="H4" s="54"/>
      <c r="I4" s="54"/>
      <c r="J4" s="54"/>
      <c r="K4" s="54"/>
    </row>
    <row r="5" spans="1:13" ht="16.2" customHeight="1" outlineLevel="1" x14ac:dyDescent="0.25">
      <c r="A5" s="71" t="s">
        <v>13</v>
      </c>
      <c r="B5" s="70"/>
      <c r="C5" s="80" t="s">
        <v>30</v>
      </c>
      <c r="D5" s="81"/>
      <c r="E5" s="81"/>
      <c r="F5" s="81"/>
      <c r="G5" s="81"/>
      <c r="H5" s="81"/>
      <c r="I5" s="81"/>
      <c r="J5" s="82"/>
      <c r="K5" s="82"/>
    </row>
    <row r="6" spans="1:13" ht="6" customHeight="1" outlineLevel="1" x14ac:dyDescent="0.25">
      <c r="A6" s="70"/>
      <c r="B6" s="70"/>
      <c r="C6" s="81"/>
      <c r="D6" s="81"/>
      <c r="E6" s="81"/>
      <c r="F6" s="81"/>
      <c r="G6" s="81"/>
      <c r="H6" s="81"/>
      <c r="I6" s="81"/>
      <c r="J6" s="82"/>
      <c r="K6" s="82"/>
    </row>
    <row r="7" spans="1:13" ht="10.199999999999999" customHeight="1" x14ac:dyDescent="0.25">
      <c r="A7" s="62" t="s">
        <v>5</v>
      </c>
      <c r="B7" s="62"/>
      <c r="C7" s="62"/>
      <c r="D7" s="14"/>
      <c r="E7" s="12" t="s">
        <v>6</v>
      </c>
      <c r="F7" s="14"/>
      <c r="G7" s="14"/>
      <c r="H7" s="62" t="s">
        <v>7</v>
      </c>
      <c r="I7" s="62"/>
      <c r="J7" s="54"/>
      <c r="K7" s="54"/>
    </row>
    <row r="8" spans="1:13" ht="18.600000000000001" customHeight="1" x14ac:dyDescent="0.3">
      <c r="A8" s="60"/>
      <c r="B8" s="61"/>
      <c r="C8" s="61"/>
      <c r="D8" s="7"/>
      <c r="E8" s="8" t="s">
        <v>31</v>
      </c>
      <c r="F8" s="7"/>
      <c r="G8" s="7"/>
      <c r="H8" s="77">
        <v>41327</v>
      </c>
      <c r="I8" s="78"/>
      <c r="J8" s="79"/>
      <c r="K8" s="79"/>
      <c r="M8" s="2"/>
    </row>
    <row r="9" spans="1:13" ht="10.95" customHeight="1" x14ac:dyDescent="0.25">
      <c r="A9" s="62" t="s">
        <v>9</v>
      </c>
      <c r="B9" s="62"/>
      <c r="C9" s="62"/>
      <c r="D9" s="7" t="s">
        <v>8</v>
      </c>
      <c r="E9" s="12" t="s">
        <v>10</v>
      </c>
      <c r="F9" s="7"/>
      <c r="G9" s="7"/>
      <c r="H9" s="45" t="s">
        <v>18</v>
      </c>
      <c r="I9" s="43"/>
      <c r="J9" s="46" t="s">
        <v>15</v>
      </c>
      <c r="K9" s="43"/>
    </row>
    <row r="10" spans="1:13" ht="26.4" customHeight="1" x14ac:dyDescent="0.25">
      <c r="A10" s="83">
        <v>41653</v>
      </c>
      <c r="B10" s="84"/>
      <c r="C10" s="85"/>
      <c r="D10" s="7"/>
      <c r="E10" s="25" t="s">
        <v>32</v>
      </c>
      <c r="F10" s="18"/>
      <c r="G10" s="18"/>
      <c r="H10" s="44" t="s">
        <v>37</v>
      </c>
      <c r="I10" s="43"/>
      <c r="J10" s="42">
        <f>SUM(J12:K31)</f>
        <v>6354.0095999999994</v>
      </c>
      <c r="K10" s="43"/>
    </row>
    <row r="11" spans="1:13" x14ac:dyDescent="0.25">
      <c r="A11" s="64" t="s">
        <v>0</v>
      </c>
      <c r="B11" s="65"/>
      <c r="C11" s="5" t="s">
        <v>11</v>
      </c>
      <c r="D11" s="9" t="s">
        <v>1</v>
      </c>
      <c r="E11" s="23" t="s">
        <v>2</v>
      </c>
      <c r="F11" s="18"/>
      <c r="G11" s="18"/>
      <c r="H11" s="32" t="s">
        <v>3</v>
      </c>
      <c r="I11" s="33"/>
      <c r="J11" s="32" t="s">
        <v>15</v>
      </c>
      <c r="K11" s="33"/>
    </row>
    <row r="12" spans="1:13" ht="18" customHeight="1" x14ac:dyDescent="0.25">
      <c r="A12" s="3">
        <v>1</v>
      </c>
      <c r="B12" s="17"/>
      <c r="C12" s="10"/>
      <c r="D12" s="10"/>
      <c r="E12" s="27" t="s">
        <v>29</v>
      </c>
      <c r="F12" s="24"/>
      <c r="G12" s="24"/>
      <c r="H12" s="51"/>
      <c r="I12" s="52"/>
      <c r="J12" s="47">
        <f>B12*H12</f>
        <v>0</v>
      </c>
      <c r="K12" s="48"/>
    </row>
    <row r="13" spans="1:13" ht="18" customHeight="1" x14ac:dyDescent="0.25">
      <c r="A13" s="3">
        <v>2</v>
      </c>
      <c r="B13" s="17">
        <v>6</v>
      </c>
      <c r="C13" s="10"/>
      <c r="D13" s="10"/>
      <c r="E13" s="17" t="s">
        <v>19</v>
      </c>
      <c r="F13" s="24"/>
      <c r="G13" s="24"/>
      <c r="H13" s="51">
        <v>23.442</v>
      </c>
      <c r="I13" s="52"/>
      <c r="J13" s="47">
        <f t="shared" ref="J13:J29" si="0">B13*H13</f>
        <v>140.65199999999999</v>
      </c>
      <c r="K13" s="48"/>
    </row>
    <row r="14" spans="1:13" ht="18" customHeight="1" x14ac:dyDescent="0.25">
      <c r="A14" s="3">
        <v>3</v>
      </c>
      <c r="B14" s="17">
        <v>5</v>
      </c>
      <c r="C14" s="10"/>
      <c r="D14" s="10"/>
      <c r="E14" s="17" t="s">
        <v>20</v>
      </c>
      <c r="F14" s="24"/>
      <c r="G14" s="24"/>
      <c r="H14" s="51">
        <v>11.676</v>
      </c>
      <c r="I14" s="52"/>
      <c r="J14" s="47">
        <f t="shared" si="0"/>
        <v>58.38</v>
      </c>
      <c r="K14" s="48"/>
    </row>
    <row r="15" spans="1:13" ht="18" customHeight="1" x14ac:dyDescent="0.25">
      <c r="A15" s="3">
        <v>4</v>
      </c>
      <c r="B15" s="17">
        <v>2</v>
      </c>
      <c r="C15" s="10"/>
      <c r="D15" s="10"/>
      <c r="E15" s="17" t="s">
        <v>21</v>
      </c>
      <c r="F15" s="24"/>
      <c r="G15" s="24"/>
      <c r="H15" s="51">
        <v>19.369</v>
      </c>
      <c r="I15" s="52"/>
      <c r="J15" s="47">
        <f t="shared" si="0"/>
        <v>38.738</v>
      </c>
      <c r="K15" s="48"/>
    </row>
    <row r="16" spans="1:13" ht="18" customHeight="1" x14ac:dyDescent="0.25">
      <c r="A16" s="3">
        <v>5</v>
      </c>
      <c r="B16" s="17">
        <v>30</v>
      </c>
      <c r="C16" s="10"/>
      <c r="D16" s="10"/>
      <c r="E16" s="29" t="s">
        <v>22</v>
      </c>
      <c r="F16" s="24"/>
      <c r="G16" s="24"/>
      <c r="H16" s="51">
        <v>11.494999999999999</v>
      </c>
      <c r="I16" s="52"/>
      <c r="J16" s="47">
        <f t="shared" si="0"/>
        <v>344.84999999999997</v>
      </c>
      <c r="K16" s="48"/>
    </row>
    <row r="17" spans="1:11" ht="18" customHeight="1" x14ac:dyDescent="0.25">
      <c r="A17" s="3">
        <v>6</v>
      </c>
      <c r="B17" s="17">
        <v>12</v>
      </c>
      <c r="C17" s="10"/>
      <c r="D17" s="10"/>
      <c r="E17" s="29" t="s">
        <v>23</v>
      </c>
      <c r="F17" s="24"/>
      <c r="G17" s="24"/>
      <c r="H17" s="51">
        <v>8.1999999999999993</v>
      </c>
      <c r="I17" s="52"/>
      <c r="J17" s="47">
        <f t="shared" si="0"/>
        <v>98.399999999999991</v>
      </c>
      <c r="K17" s="48"/>
    </row>
    <row r="18" spans="1:11" ht="18" customHeight="1" x14ac:dyDescent="0.25">
      <c r="A18" s="3">
        <v>7</v>
      </c>
      <c r="B18" s="17">
        <v>12</v>
      </c>
      <c r="C18" s="10"/>
      <c r="D18" s="10"/>
      <c r="E18" s="29" t="s">
        <v>24</v>
      </c>
      <c r="F18" s="24"/>
      <c r="G18" s="24"/>
      <c r="H18" s="51">
        <v>10.98</v>
      </c>
      <c r="I18" s="52"/>
      <c r="J18" s="47">
        <f t="shared" si="0"/>
        <v>131.76</v>
      </c>
      <c r="K18" s="48"/>
    </row>
    <row r="19" spans="1:11" ht="18" customHeight="1" x14ac:dyDescent="0.25">
      <c r="A19" s="3">
        <v>8</v>
      </c>
      <c r="B19" s="17">
        <v>14</v>
      </c>
      <c r="C19" s="10"/>
      <c r="D19" s="10"/>
      <c r="E19" s="29" t="s">
        <v>25</v>
      </c>
      <c r="F19" s="24"/>
      <c r="G19" s="24"/>
      <c r="H19" s="51">
        <v>16.927</v>
      </c>
      <c r="I19" s="52"/>
      <c r="J19" s="47">
        <f t="shared" si="0"/>
        <v>236.97800000000001</v>
      </c>
      <c r="K19" s="48"/>
    </row>
    <row r="20" spans="1:11" ht="18" customHeight="1" x14ac:dyDescent="0.25">
      <c r="A20" s="3">
        <v>9</v>
      </c>
      <c r="B20" s="17">
        <v>20</v>
      </c>
      <c r="C20" s="10"/>
      <c r="D20" s="10"/>
      <c r="E20" s="29" t="s">
        <v>26</v>
      </c>
      <c r="F20" s="24"/>
      <c r="G20" s="24"/>
      <c r="H20" s="51">
        <v>6.9820000000000002</v>
      </c>
      <c r="I20" s="52"/>
      <c r="J20" s="47">
        <f t="shared" si="0"/>
        <v>139.64000000000001</v>
      </c>
      <c r="K20" s="48"/>
    </row>
    <row r="21" spans="1:11" ht="18" customHeight="1" x14ac:dyDescent="0.25">
      <c r="A21" s="3">
        <v>10</v>
      </c>
      <c r="B21" s="17">
        <v>160</v>
      </c>
      <c r="C21" s="10"/>
      <c r="D21" s="10"/>
      <c r="E21" s="29" t="s">
        <v>27</v>
      </c>
      <c r="F21" s="24"/>
      <c r="G21" s="24"/>
      <c r="H21" s="51">
        <v>8.3271599999999992</v>
      </c>
      <c r="I21" s="52"/>
      <c r="J21" s="47">
        <f t="shared" si="0"/>
        <v>1332.3455999999999</v>
      </c>
      <c r="K21" s="48"/>
    </row>
    <row r="22" spans="1:11" ht="18" customHeight="1" x14ac:dyDescent="0.25">
      <c r="A22" s="3">
        <v>11</v>
      </c>
      <c r="B22" s="17">
        <v>600</v>
      </c>
      <c r="C22" s="10"/>
      <c r="D22" s="10"/>
      <c r="E22" s="29" t="s">
        <v>28</v>
      </c>
      <c r="F22" s="24"/>
      <c r="G22" s="24"/>
      <c r="H22" s="51">
        <v>4.7061299999999999</v>
      </c>
      <c r="I22" s="52"/>
      <c r="J22" s="47">
        <f t="shared" si="0"/>
        <v>2823.6779999999999</v>
      </c>
      <c r="K22" s="48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51"/>
      <c r="I23" s="52"/>
      <c r="J23" s="47">
        <f t="shared" si="0"/>
        <v>0</v>
      </c>
      <c r="K23" s="48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51"/>
      <c r="I24" s="52"/>
      <c r="J24" s="47">
        <f t="shared" si="0"/>
        <v>0</v>
      </c>
      <c r="K24" s="48"/>
    </row>
    <row r="25" spans="1:11" ht="18" customHeight="1" x14ac:dyDescent="0.25">
      <c r="A25" s="3">
        <v>15</v>
      </c>
      <c r="B25" s="17">
        <v>20</v>
      </c>
      <c r="C25" s="10"/>
      <c r="D25" s="10"/>
      <c r="E25" s="29" t="s">
        <v>34</v>
      </c>
      <c r="F25" s="24"/>
      <c r="G25" s="24"/>
      <c r="H25" s="51">
        <v>2.3460000000000001</v>
      </c>
      <c r="I25" s="52"/>
      <c r="J25" s="47">
        <f t="shared" si="0"/>
        <v>46.92</v>
      </c>
      <c r="K25" s="48"/>
    </row>
    <row r="26" spans="1:11" ht="18" customHeight="1" x14ac:dyDescent="0.25">
      <c r="A26" s="3">
        <v>16</v>
      </c>
      <c r="B26" s="17">
        <v>20</v>
      </c>
      <c r="C26" s="10"/>
      <c r="D26" s="10"/>
      <c r="E26" s="29" t="s">
        <v>39</v>
      </c>
      <c r="F26" s="24"/>
      <c r="G26" s="24"/>
      <c r="H26" s="51">
        <v>44.829000000000001</v>
      </c>
      <c r="I26" s="52"/>
      <c r="J26" s="47">
        <f t="shared" si="0"/>
        <v>896.58</v>
      </c>
      <c r="K26" s="48"/>
    </row>
    <row r="27" spans="1:11" ht="18" customHeight="1" x14ac:dyDescent="0.25">
      <c r="A27" s="3">
        <v>17</v>
      </c>
      <c r="B27" s="17">
        <v>4</v>
      </c>
      <c r="C27" s="10"/>
      <c r="D27" s="10"/>
      <c r="E27" s="29" t="s">
        <v>35</v>
      </c>
      <c r="F27" s="24"/>
      <c r="G27" s="24"/>
      <c r="H27" s="51">
        <v>14.749000000000001</v>
      </c>
      <c r="I27" s="52"/>
      <c r="J27" s="47">
        <f t="shared" si="0"/>
        <v>58.996000000000002</v>
      </c>
      <c r="K27" s="48"/>
    </row>
    <row r="28" spans="1:11" ht="18" customHeight="1" x14ac:dyDescent="0.25">
      <c r="A28" s="3">
        <v>18</v>
      </c>
      <c r="B28" s="17">
        <v>4</v>
      </c>
      <c r="C28" s="10"/>
      <c r="D28" s="10"/>
      <c r="E28" s="29" t="s">
        <v>36</v>
      </c>
      <c r="F28" s="24"/>
      <c r="G28" s="24"/>
      <c r="H28" s="51">
        <v>1.5229999999999999</v>
      </c>
      <c r="I28" s="52"/>
      <c r="J28" s="47">
        <f t="shared" si="0"/>
        <v>6.0919999999999996</v>
      </c>
      <c r="K28" s="48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51"/>
      <c r="I29" s="52"/>
      <c r="J29" s="47">
        <f t="shared" si="0"/>
        <v>0</v>
      </c>
      <c r="K29" s="48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49"/>
      <c r="I30" s="50"/>
      <c r="J30" s="30"/>
      <c r="K30" s="31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49"/>
      <c r="I31" s="50"/>
      <c r="J31" s="30"/>
      <c r="K31" s="31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49"/>
      <c r="I32" s="50"/>
      <c r="J32" s="30"/>
      <c r="K32" s="31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49"/>
      <c r="I33" s="50"/>
      <c r="J33" s="30"/>
      <c r="K33" s="31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49"/>
      <c r="I34" s="50"/>
      <c r="J34" s="30"/>
      <c r="K34" s="31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49"/>
      <c r="I35" s="50"/>
      <c r="J35" s="30"/>
      <c r="K35" s="31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49"/>
      <c r="I36" s="50"/>
      <c r="J36" s="30"/>
      <c r="K36" s="31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49"/>
      <c r="I37" s="50"/>
      <c r="J37" s="30"/>
      <c r="K37" s="31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49"/>
      <c r="I38" s="73"/>
      <c r="J38" s="30"/>
      <c r="K38" s="31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49"/>
      <c r="I39" s="73"/>
      <c r="J39" s="30"/>
      <c r="K39" s="31"/>
    </row>
    <row r="40" spans="1:11" ht="18" customHeight="1" x14ac:dyDescent="0.25">
      <c r="A40" s="66"/>
      <c r="B40" s="67"/>
      <c r="C40" s="67"/>
      <c r="D40" s="67"/>
      <c r="E40" s="67"/>
      <c r="F40" s="21"/>
      <c r="G40" s="21"/>
      <c r="H40" s="74" t="str">
        <f>H1</f>
        <v>PO#</v>
      </c>
      <c r="I40" s="75"/>
      <c r="J40" s="76">
        <f>SUM(I1)</f>
        <v>15643</v>
      </c>
      <c r="K40" s="43"/>
    </row>
    <row r="41" spans="1:11" ht="18" customHeight="1" x14ac:dyDescent="0.25">
      <c r="A41" s="4">
        <v>30</v>
      </c>
      <c r="B41" s="17"/>
      <c r="C41" s="10"/>
      <c r="D41" s="10"/>
      <c r="E41" s="63"/>
      <c r="F41" s="54"/>
      <c r="G41" s="54"/>
      <c r="H41" s="54"/>
      <c r="I41" s="54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9"/>
      <c r="F42" s="54"/>
      <c r="G42" s="54"/>
      <c r="H42" s="54"/>
      <c r="I42" s="54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9"/>
      <c r="F43" s="54"/>
      <c r="G43" s="54"/>
      <c r="H43" s="54"/>
      <c r="I43" s="54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9"/>
      <c r="F44" s="54"/>
      <c r="G44" s="54"/>
      <c r="H44" s="54"/>
      <c r="I44" s="54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9"/>
      <c r="F45" s="54"/>
      <c r="G45" s="54"/>
      <c r="H45" s="54"/>
      <c r="I45" s="54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9"/>
      <c r="F46" s="54"/>
      <c r="G46" s="54"/>
      <c r="H46" s="54"/>
      <c r="I46" s="54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9"/>
      <c r="F47" s="54"/>
      <c r="G47" s="54"/>
      <c r="H47" s="54"/>
      <c r="I47" s="54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9"/>
      <c r="F48" s="54"/>
      <c r="G48" s="54"/>
      <c r="H48" s="54"/>
      <c r="I48" s="54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9"/>
      <c r="F49" s="54"/>
      <c r="G49" s="54"/>
      <c r="H49" s="54"/>
      <c r="I49" s="54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9"/>
      <c r="F50" s="54"/>
      <c r="G50" s="54"/>
      <c r="H50" s="54"/>
      <c r="I50" s="54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9"/>
      <c r="F51" s="54"/>
      <c r="G51" s="54"/>
      <c r="H51" s="54"/>
      <c r="I51" s="54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9"/>
      <c r="F52" s="54"/>
      <c r="G52" s="54"/>
      <c r="H52" s="54"/>
      <c r="I52" s="54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9"/>
      <c r="F53" s="54"/>
      <c r="G53" s="54"/>
      <c r="H53" s="54"/>
      <c r="I53" s="54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9"/>
      <c r="F54" s="54"/>
      <c r="G54" s="54"/>
      <c r="H54" s="54"/>
      <c r="I54" s="54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9"/>
      <c r="F55" s="54"/>
      <c r="G55" s="54"/>
      <c r="H55" s="54"/>
      <c r="I55" s="54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9"/>
      <c r="F56" s="54"/>
      <c r="G56" s="54"/>
      <c r="H56" s="54"/>
      <c r="I56" s="54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9"/>
      <c r="F57" s="54"/>
      <c r="G57" s="54"/>
      <c r="H57" s="54"/>
      <c r="I57" s="54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9"/>
      <c r="F58" s="54"/>
      <c r="G58" s="54"/>
      <c r="H58" s="54"/>
      <c r="I58" s="54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9"/>
      <c r="F59" s="54"/>
      <c r="G59" s="54"/>
      <c r="H59" s="54"/>
      <c r="I59" s="54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9"/>
      <c r="F60" s="54"/>
      <c r="G60" s="54"/>
      <c r="H60" s="54"/>
      <c r="I60" s="54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9"/>
      <c r="F61" s="54"/>
      <c r="G61" s="54"/>
      <c r="H61" s="54"/>
      <c r="I61" s="54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9"/>
      <c r="F62" s="54"/>
      <c r="G62" s="54"/>
      <c r="H62" s="54"/>
      <c r="I62" s="54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9"/>
      <c r="F63" s="54"/>
      <c r="G63" s="54"/>
      <c r="H63" s="54"/>
      <c r="I63" s="54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9"/>
      <c r="F64" s="54"/>
      <c r="G64" s="54"/>
      <c r="H64" s="54"/>
      <c r="I64" s="54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9"/>
      <c r="F65" s="54"/>
      <c r="G65" s="54"/>
      <c r="H65" s="54"/>
      <c r="I65" s="54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9"/>
      <c r="F66" s="54"/>
      <c r="G66" s="54"/>
      <c r="H66" s="54"/>
      <c r="I66" s="54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9"/>
      <c r="F67" s="54"/>
      <c r="G67" s="54"/>
      <c r="H67" s="54"/>
      <c r="I67" s="54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9"/>
      <c r="F68" s="54"/>
      <c r="G68" s="54"/>
      <c r="H68" s="54"/>
      <c r="I68" s="54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9"/>
      <c r="F69" s="54"/>
      <c r="G69" s="54"/>
      <c r="H69" s="54"/>
      <c r="I69" s="54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9"/>
      <c r="F70" s="54"/>
      <c r="G70" s="54"/>
      <c r="H70" s="54"/>
      <c r="I70" s="54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9"/>
      <c r="F71" s="54"/>
      <c r="G71" s="54"/>
      <c r="H71" s="54"/>
      <c r="I71" s="54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9"/>
      <c r="F72" s="54"/>
      <c r="G72" s="54"/>
      <c r="H72" s="54"/>
      <c r="I72" s="54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9"/>
      <c r="F73" s="54"/>
      <c r="G73" s="54"/>
      <c r="H73" s="54"/>
      <c r="I73" s="54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9"/>
      <c r="F74" s="54"/>
      <c r="G74" s="54"/>
      <c r="H74" s="54"/>
      <c r="I74" s="54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9"/>
      <c r="F75" s="54"/>
      <c r="G75" s="54"/>
      <c r="H75" s="54"/>
      <c r="I75" s="54"/>
      <c r="J75" s="15"/>
      <c r="K75" s="16"/>
    </row>
  </sheetData>
  <mergeCells count="118"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2014-01-13T21:04:28Z</dcterms:modified>
</cp:coreProperties>
</file>