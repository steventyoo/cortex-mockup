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Sheet1!$A$1:$K$75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42" i="1" l="1"/>
  <c r="J43" i="1"/>
  <c r="J44" i="1"/>
  <c r="J45" i="1"/>
  <c r="J46" i="1"/>
  <c r="J47" i="1"/>
  <c r="J41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2" i="1"/>
  <c r="J10" i="1" l="1"/>
  <c r="H40" i="1"/>
  <c r="K40" i="1"/>
</calcChain>
</file>

<file path=xl/sharedStrings.xml><?xml version="1.0" encoding="utf-8"?>
<sst xmlns="http://schemas.openxmlformats.org/spreadsheetml/2006/main" count="62" uniqueCount="61">
  <si>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</si>
  <si>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</si>
  <si>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</si>
  <si>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</si>
  <si>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</si>
  <si>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</si>
  <si>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</si>
  <si>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</si>
  <si>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</si>
  <si>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</si>
  <si>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</si>
  <si>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</si>
  <si>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</si>
  <si>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</si>
  <si>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</si>
  <si>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TOTAL</t>
  </si>
  <si>
    <t>PO#</t>
  </si>
  <si>
    <t>OWP LLC</t>
  </si>
  <si>
    <t>ORDER</t>
  </si>
  <si>
    <t>6" COUPLING</t>
  </si>
  <si>
    <t>6" 45</t>
  </si>
  <si>
    <t>6" WYE</t>
  </si>
  <si>
    <t>6" x 4" WYE</t>
  </si>
  <si>
    <t>6" x 4" BUSH</t>
  </si>
  <si>
    <t>4" LT 90</t>
  </si>
  <si>
    <t>4" 45</t>
  </si>
  <si>
    <t>4" ST 45</t>
  </si>
  <si>
    <t>4" COUPLING</t>
  </si>
  <si>
    <t>4" WYE</t>
  </si>
  <si>
    <t>4" x 3" WYE</t>
  </si>
  <si>
    <t>4" x 2" WYE</t>
  </si>
  <si>
    <t>4" x 3" BUSH</t>
  </si>
  <si>
    <t>4" x 2" BUSH</t>
  </si>
  <si>
    <t>3" 90</t>
  </si>
  <si>
    <t>3" LT 90</t>
  </si>
  <si>
    <t>3" 45</t>
  </si>
  <si>
    <t>3" ST 45</t>
  </si>
  <si>
    <t>3" COUPLING</t>
  </si>
  <si>
    <t>3" WYE</t>
  </si>
  <si>
    <t>3" x 2" WYE</t>
  </si>
  <si>
    <t>3" x 2" BUSH</t>
  </si>
  <si>
    <t>3" x 2" COMBO</t>
  </si>
  <si>
    <t>2" LT 90</t>
  </si>
  <si>
    <t>2" 45</t>
  </si>
  <si>
    <t>2" ST 45</t>
  </si>
  <si>
    <t>2" WYE</t>
  </si>
  <si>
    <t>2" SANTEE</t>
  </si>
  <si>
    <t>2" COMBO</t>
  </si>
  <si>
    <t>2" P-TRAP</t>
  </si>
  <si>
    <t>6" PIPE</t>
  </si>
  <si>
    <t>4" PIPE</t>
  </si>
  <si>
    <t>3" PIPE</t>
  </si>
  <si>
    <t>2" PIPE</t>
  </si>
  <si>
    <r>
      <rPr>
        <sz val="10"/>
        <rFont val="Arial"/>
        <family val="2"/>
      </rPr>
      <t>6" 90</t>
    </r>
    <r>
      <rPr>
        <b/>
        <sz val="10"/>
        <rFont val="Arial"/>
        <family val="2"/>
      </rPr>
      <t xml:space="preserve">     PVC DWV</t>
    </r>
  </si>
  <si>
    <t>P-1 PVC GARAGE MATERIAL</t>
  </si>
  <si>
    <t>4545 8TH AVENUE NE SEATTLE WA 98105</t>
  </si>
  <si>
    <t>2012-34</t>
  </si>
  <si>
    <t>8TH AVE APARTMENTS</t>
  </si>
  <si>
    <t>ROSEN</t>
  </si>
  <si>
    <t>DON</t>
  </si>
  <si>
    <t>4175055/56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</si>
</sst>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topLeftCell="A28" zoomScaleNormal="75" workbookViewId="0">
      <selection activeCell="E48" sqref="E4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2" t="s">
        <v>17</v>
      </c>
      <c r="B1" s="53"/>
      <c r="C1" s="54"/>
      <c r="D1" s="18"/>
      <c r="E1" s="68" t="s">
        <v>54</v>
      </c>
      <c r="F1" s="6"/>
      <c r="G1" s="6"/>
      <c r="H1" s="42" t="s">
        <v>16</v>
      </c>
      <c r="I1" s="36">
        <v>15567</v>
      </c>
      <c r="J1" s="37"/>
      <c r="K1" s="38"/>
    </row>
    <row r="2" spans="1:13" ht="16.95" customHeight="1" x14ac:dyDescent="0.25">
      <c r="A2" s="55"/>
      <c r="B2" s="56"/>
      <c r="C2" s="57"/>
      <c r="D2" s="19"/>
      <c r="E2" s="69"/>
      <c r="F2" s="6"/>
      <c r="G2" s="6"/>
      <c r="H2" s="43"/>
      <c r="I2" s="39"/>
      <c r="J2" s="40"/>
      <c r="K2" s="41"/>
    </row>
    <row r="3" spans="1:13" ht="13.95" customHeight="1" x14ac:dyDescent="0.25">
      <c r="A3" s="78" t="s">
        <v>4</v>
      </c>
      <c r="B3" s="79"/>
      <c r="C3" s="48" t="s">
        <v>58</v>
      </c>
      <c r="D3" s="49"/>
      <c r="E3" s="49"/>
      <c r="F3" s="13"/>
      <c r="G3" s="13"/>
      <c r="H3" s="60" t="s">
        <v>13</v>
      </c>
      <c r="I3" s="60" t="s">
        <v>60</v>
      </c>
      <c r="J3" s="49"/>
      <c r="K3" s="49"/>
    </row>
    <row r="4" spans="1:13" ht="7.95" customHeight="1" x14ac:dyDescent="0.25">
      <c r="A4" s="79"/>
      <c r="B4" s="79"/>
      <c r="C4" s="49"/>
      <c r="D4" s="49"/>
      <c r="E4" s="49"/>
      <c r="F4" s="13"/>
      <c r="G4" s="13"/>
      <c r="H4" s="49"/>
      <c r="I4" s="49"/>
      <c r="J4" s="49"/>
      <c r="K4" s="49"/>
    </row>
    <row r="5" spans="1:13" ht="16.2" customHeight="1" outlineLevel="1" x14ac:dyDescent="0.25">
      <c r="A5" s="80" t="s">
        <v>14</v>
      </c>
      <c r="B5" s="79"/>
      <c r="C5" s="65" t="s">
        <v>55</v>
      </c>
      <c r="D5" s="66"/>
      <c r="E5" s="66"/>
      <c r="F5" s="66"/>
      <c r="G5" s="66"/>
      <c r="H5" s="66"/>
      <c r="I5" s="66"/>
      <c r="J5" s="67"/>
      <c r="K5" s="67"/>
    </row>
    <row r="6" spans="1:13" ht="6" customHeight="1" outlineLevel="1" x14ac:dyDescent="0.25">
      <c r="A6" s="79"/>
      <c r="B6" s="79"/>
      <c r="C6" s="66"/>
      <c r="D6" s="66"/>
      <c r="E6" s="66"/>
      <c r="F6" s="66"/>
      <c r="G6" s="66"/>
      <c r="H6" s="66"/>
      <c r="I6" s="66"/>
      <c r="J6" s="67"/>
      <c r="K6" s="67"/>
    </row>
    <row r="7" spans="1:13" ht="10.199999999999999" customHeight="1" x14ac:dyDescent="0.25">
      <c r="A7" s="64" t="s">
        <v>5</v>
      </c>
      <c r="B7" s="64"/>
      <c r="C7" s="64"/>
      <c r="D7" s="14"/>
      <c r="E7" s="12" t="s">
        <v>6</v>
      </c>
      <c r="F7" s="14"/>
      <c r="G7" s="14"/>
      <c r="H7" s="64" t="s">
        <v>7</v>
      </c>
      <c r="I7" s="64"/>
      <c r="J7" s="49"/>
      <c r="K7" s="49"/>
    </row>
    <row r="8" spans="1:13" ht="18.600000000000001" customHeight="1" x14ac:dyDescent="0.3">
      <c r="A8" s="70"/>
      <c r="B8" s="71"/>
      <c r="C8" s="71"/>
      <c r="D8" s="7"/>
      <c r="E8" s="8" t="s">
        <v>56</v>
      </c>
      <c r="F8" s="7"/>
      <c r="G8" s="7"/>
      <c r="H8" s="61">
        <v>41289</v>
      </c>
      <c r="I8" s="62"/>
      <c r="J8" s="63"/>
      <c r="K8" s="63"/>
      <c r="M8" s="2"/>
    </row>
    <row r="9" spans="1:13" ht="10.95" customHeight="1" x14ac:dyDescent="0.25">
      <c r="A9" s="64" t="s">
        <v>9</v>
      </c>
      <c r="B9" s="64"/>
      <c r="C9" s="64"/>
      <c r="D9" s="7" t="s">
        <v>8</v>
      </c>
      <c r="E9" s="12" t="s">
        <v>10</v>
      </c>
      <c r="F9" s="7"/>
      <c r="G9" s="7"/>
      <c r="H9" s="46" t="s">
        <v>18</v>
      </c>
      <c r="I9" s="30"/>
      <c r="J9" s="47" t="s">
        <v>15</v>
      </c>
      <c r="K9" s="30"/>
    </row>
    <row r="10" spans="1:13" ht="26.4" customHeight="1" x14ac:dyDescent="0.25">
      <c r="A10" s="76" t="s">
        <v>12</v>
      </c>
      <c r="B10" s="77"/>
      <c r="C10" s="77"/>
      <c r="D10" s="7"/>
      <c r="E10" s="24" t="s">
        <v>57</v>
      </c>
      <c r="F10" s="17"/>
      <c r="G10" s="17"/>
      <c r="H10" s="45" t="s">
        <v>59</v>
      </c>
      <c r="I10" s="30"/>
      <c r="J10" s="44">
        <f>SUM(J12:K39,J41:K53)</f>
        <v>2491.424</v>
      </c>
      <c r="K10" s="30"/>
    </row>
    <row r="11" spans="1:13" x14ac:dyDescent="0.25">
      <c r="A11" s="72" t="s">
        <v>0</v>
      </c>
      <c r="B11" s="73"/>
      <c r="C11" s="5" t="s">
        <v>11</v>
      </c>
      <c r="D11" s="9" t="s">
        <v>1</v>
      </c>
      <c r="E11" s="22" t="s">
        <v>2</v>
      </c>
      <c r="F11" s="17"/>
      <c r="G11" s="17"/>
      <c r="H11" s="34" t="s">
        <v>3</v>
      </c>
      <c r="I11" s="35"/>
      <c r="J11" s="34" t="s">
        <v>15</v>
      </c>
      <c r="K11" s="35"/>
    </row>
    <row r="12" spans="1:13" ht="18" customHeight="1" x14ac:dyDescent="0.25">
      <c r="A12" s="3">
        <v>1</v>
      </c>
      <c r="B12" s="15">
        <v>3</v>
      </c>
      <c r="C12" s="10"/>
      <c r="D12" s="10"/>
      <c r="E12" s="26" t="s">
        <v>53</v>
      </c>
      <c r="F12" s="23"/>
      <c r="G12" s="23"/>
      <c r="H12" s="50">
        <v>15.29</v>
      </c>
      <c r="I12" s="51"/>
      <c r="J12" s="31">
        <f>B12*H12</f>
        <v>45.87</v>
      </c>
      <c r="K12" s="32"/>
    </row>
    <row r="13" spans="1:13" ht="18" customHeight="1" x14ac:dyDescent="0.25">
      <c r="A13" s="3">
        <v>2</v>
      </c>
      <c r="B13" s="15">
        <v>2</v>
      </c>
      <c r="C13" s="10"/>
      <c r="D13" s="10"/>
      <c r="E13" s="15" t="s">
        <v>19</v>
      </c>
      <c r="F13" s="23"/>
      <c r="G13" s="23"/>
      <c r="H13" s="50">
        <v>6.1269999999999998</v>
      </c>
      <c r="I13" s="51"/>
      <c r="J13" s="31">
        <f t="shared" ref="J13:J39" si="0">B13*H13</f>
        <v>12.254</v>
      </c>
      <c r="K13" s="32"/>
    </row>
    <row r="14" spans="1:13" ht="18" customHeight="1" x14ac:dyDescent="0.25">
      <c r="A14" s="3">
        <v>3</v>
      </c>
      <c r="B14" s="15">
        <v>3</v>
      </c>
      <c r="C14" s="10"/>
      <c r="D14" s="10"/>
      <c r="E14" s="15" t="s">
        <v>20</v>
      </c>
      <c r="F14" s="23"/>
      <c r="G14" s="23"/>
      <c r="H14" s="50">
        <v>13.992000000000001</v>
      </c>
      <c r="I14" s="51"/>
      <c r="J14" s="31">
        <f t="shared" si="0"/>
        <v>41.975999999999999</v>
      </c>
      <c r="K14" s="32"/>
    </row>
    <row r="15" spans="1:13" ht="18" customHeight="1" x14ac:dyDescent="0.25">
      <c r="A15" s="3">
        <v>4</v>
      </c>
      <c r="B15" s="15">
        <v>5</v>
      </c>
      <c r="C15" s="10"/>
      <c r="D15" s="10"/>
      <c r="E15" s="15" t="s">
        <v>21</v>
      </c>
      <c r="F15" s="23"/>
      <c r="G15" s="23"/>
      <c r="H15" s="50">
        <v>22.814</v>
      </c>
      <c r="I15" s="51"/>
      <c r="J15" s="31">
        <f t="shared" si="0"/>
        <v>114.07</v>
      </c>
      <c r="K15" s="32"/>
    </row>
    <row r="16" spans="1:13" ht="18" customHeight="1" x14ac:dyDescent="0.25">
      <c r="A16" s="3">
        <v>5</v>
      </c>
      <c r="B16" s="15">
        <v>18</v>
      </c>
      <c r="C16" s="10"/>
      <c r="D16" s="10"/>
      <c r="E16" s="15" t="s">
        <v>22</v>
      </c>
      <c r="F16" s="23"/>
      <c r="G16" s="23"/>
      <c r="H16" s="50">
        <v>16.763999999999999</v>
      </c>
      <c r="I16" s="51"/>
      <c r="J16" s="31">
        <f t="shared" si="0"/>
        <v>301.75200000000001</v>
      </c>
      <c r="K16" s="32"/>
    </row>
    <row r="17" spans="1:11" ht="18" customHeight="1" x14ac:dyDescent="0.25">
      <c r="A17" s="3">
        <v>6</v>
      </c>
      <c r="B17" s="15">
        <v>8</v>
      </c>
      <c r="C17" s="10"/>
      <c r="D17" s="10"/>
      <c r="E17" s="15" t="s">
        <v>23</v>
      </c>
      <c r="F17" s="23"/>
      <c r="G17" s="23"/>
      <c r="H17" s="50">
        <v>9.0129999999999999</v>
      </c>
      <c r="I17" s="51"/>
      <c r="J17" s="31">
        <f t="shared" si="0"/>
        <v>72.103999999999999</v>
      </c>
      <c r="K17" s="32"/>
    </row>
    <row r="18" spans="1:11" ht="18" customHeight="1" x14ac:dyDescent="0.25">
      <c r="A18" s="3">
        <v>7</v>
      </c>
      <c r="B18" s="15">
        <v>15</v>
      </c>
      <c r="C18" s="10"/>
      <c r="D18" s="10"/>
      <c r="E18" s="15" t="s">
        <v>24</v>
      </c>
      <c r="F18" s="23"/>
      <c r="G18" s="23"/>
      <c r="H18" s="50">
        <v>5.5510000000000002</v>
      </c>
      <c r="I18" s="51"/>
      <c r="J18" s="31">
        <f t="shared" si="0"/>
        <v>83.265000000000001</v>
      </c>
      <c r="K18" s="32"/>
    </row>
    <row r="19" spans="1:11" ht="18" customHeight="1" x14ac:dyDescent="0.25">
      <c r="A19" s="3">
        <v>8</v>
      </c>
      <c r="B19" s="15">
        <v>15</v>
      </c>
      <c r="C19" s="10"/>
      <c r="D19" s="10"/>
      <c r="E19" s="25" t="s">
        <v>25</v>
      </c>
      <c r="F19" s="23"/>
      <c r="G19" s="23"/>
      <c r="H19" s="50">
        <v>3.47</v>
      </c>
      <c r="I19" s="51"/>
      <c r="J19" s="31">
        <f t="shared" si="0"/>
        <v>52.050000000000004</v>
      </c>
      <c r="K19" s="32"/>
    </row>
    <row r="20" spans="1:11" ht="18" customHeight="1" x14ac:dyDescent="0.25">
      <c r="A20" s="3">
        <v>9</v>
      </c>
      <c r="B20" s="15">
        <v>10</v>
      </c>
      <c r="C20" s="10"/>
      <c r="D20" s="10"/>
      <c r="E20" s="25" t="s">
        <v>26</v>
      </c>
      <c r="F20" s="23"/>
      <c r="G20" s="23"/>
      <c r="H20" s="50">
        <v>3.3130000000000002</v>
      </c>
      <c r="I20" s="51"/>
      <c r="J20" s="31">
        <f t="shared" si="0"/>
        <v>33.130000000000003</v>
      </c>
      <c r="K20" s="32"/>
    </row>
    <row r="21" spans="1:11" ht="18" customHeight="1" x14ac:dyDescent="0.25">
      <c r="A21" s="3">
        <v>10</v>
      </c>
      <c r="B21" s="15">
        <v>15</v>
      </c>
      <c r="C21" s="10"/>
      <c r="D21" s="10"/>
      <c r="E21" s="25" t="s">
        <v>27</v>
      </c>
      <c r="F21" s="23"/>
      <c r="G21" s="23"/>
      <c r="H21" s="50">
        <v>1.881</v>
      </c>
      <c r="I21" s="51"/>
      <c r="J21" s="31">
        <f t="shared" si="0"/>
        <v>28.215</v>
      </c>
      <c r="K21" s="32"/>
    </row>
    <row r="22" spans="1:11" ht="18" customHeight="1" x14ac:dyDescent="0.25">
      <c r="A22" s="3">
        <v>11</v>
      </c>
      <c r="B22" s="15">
        <v>5</v>
      </c>
      <c r="C22" s="10"/>
      <c r="D22" s="10"/>
      <c r="E22" s="25" t="s">
        <v>28</v>
      </c>
      <c r="F22" s="23"/>
      <c r="G22" s="23"/>
      <c r="H22" s="50">
        <v>7.5549999999999997</v>
      </c>
      <c r="I22" s="51"/>
      <c r="J22" s="31">
        <f t="shared" si="0"/>
        <v>37.774999999999999</v>
      </c>
      <c r="K22" s="32"/>
    </row>
    <row r="23" spans="1:11" ht="18" customHeight="1" x14ac:dyDescent="0.25">
      <c r="A23" s="3">
        <v>13</v>
      </c>
      <c r="B23" s="15">
        <v>15</v>
      </c>
      <c r="C23" s="10"/>
      <c r="D23" s="10"/>
      <c r="E23" s="25" t="s">
        <v>29</v>
      </c>
      <c r="F23" s="23"/>
      <c r="G23" s="23"/>
      <c r="H23" s="50">
        <v>6.1319999999999997</v>
      </c>
      <c r="I23" s="51"/>
      <c r="J23" s="31">
        <f t="shared" si="0"/>
        <v>91.97999999999999</v>
      </c>
      <c r="K23" s="32"/>
    </row>
    <row r="24" spans="1:11" ht="18" customHeight="1" x14ac:dyDescent="0.25">
      <c r="A24" s="3">
        <v>14</v>
      </c>
      <c r="B24" s="15">
        <v>10</v>
      </c>
      <c r="C24" s="10"/>
      <c r="D24" s="10"/>
      <c r="E24" s="25" t="s">
        <v>30</v>
      </c>
      <c r="F24" s="23"/>
      <c r="G24" s="23"/>
      <c r="H24" s="50">
        <v>4.548</v>
      </c>
      <c r="I24" s="51"/>
      <c r="J24" s="31">
        <f t="shared" si="0"/>
        <v>45.480000000000004</v>
      </c>
      <c r="K24" s="32"/>
    </row>
    <row r="25" spans="1:11" ht="18" customHeight="1" x14ac:dyDescent="0.25">
      <c r="A25" s="3">
        <v>15</v>
      </c>
      <c r="B25" s="15">
        <v>5</v>
      </c>
      <c r="C25" s="10"/>
      <c r="D25" s="10"/>
      <c r="E25" s="25" t="s">
        <v>31</v>
      </c>
      <c r="F25" s="23"/>
      <c r="G25" s="23"/>
      <c r="H25" s="50">
        <v>1.7330000000000001</v>
      </c>
      <c r="I25" s="51"/>
      <c r="J25" s="31">
        <f t="shared" si="0"/>
        <v>8.6650000000000009</v>
      </c>
      <c r="K25" s="32"/>
    </row>
    <row r="26" spans="1:11" ht="18" customHeight="1" x14ac:dyDescent="0.25">
      <c r="A26" s="3">
        <v>16</v>
      </c>
      <c r="B26" s="15">
        <v>5</v>
      </c>
      <c r="C26" s="10"/>
      <c r="D26" s="10"/>
      <c r="E26" s="25" t="s">
        <v>32</v>
      </c>
      <c r="F26" s="23"/>
      <c r="G26" s="23"/>
      <c r="H26" s="50">
        <v>3.3959999999999999</v>
      </c>
      <c r="I26" s="51"/>
      <c r="J26" s="31">
        <f t="shared" si="0"/>
        <v>16.98</v>
      </c>
      <c r="K26" s="32"/>
    </row>
    <row r="27" spans="1:11" ht="18" customHeight="1" x14ac:dyDescent="0.25">
      <c r="A27" s="3">
        <v>17</v>
      </c>
      <c r="B27" s="15">
        <v>10</v>
      </c>
      <c r="C27" s="10"/>
      <c r="D27" s="10"/>
      <c r="E27" s="25" t="s">
        <v>33</v>
      </c>
      <c r="F27" s="23"/>
      <c r="G27" s="23"/>
      <c r="H27" s="50">
        <v>2.21</v>
      </c>
      <c r="I27" s="51"/>
      <c r="J27" s="31">
        <f t="shared" si="0"/>
        <v>22.1</v>
      </c>
      <c r="K27" s="32"/>
    </row>
    <row r="28" spans="1:11" ht="18" customHeight="1" x14ac:dyDescent="0.25">
      <c r="A28" s="3">
        <v>18</v>
      </c>
      <c r="B28" s="15">
        <v>20</v>
      </c>
      <c r="C28" s="10"/>
      <c r="D28" s="10"/>
      <c r="E28" s="25" t="s">
        <v>34</v>
      </c>
      <c r="F28" s="23"/>
      <c r="G28" s="23"/>
      <c r="H28" s="50">
        <v>2.9079999999999999</v>
      </c>
      <c r="I28" s="51"/>
      <c r="J28" s="31">
        <f t="shared" si="0"/>
        <v>58.16</v>
      </c>
      <c r="K28" s="32"/>
    </row>
    <row r="29" spans="1:11" ht="18" customHeight="1" x14ac:dyDescent="0.25">
      <c r="A29" s="3">
        <v>19</v>
      </c>
      <c r="B29" s="15">
        <v>15</v>
      </c>
      <c r="C29" s="10"/>
      <c r="D29" s="10"/>
      <c r="E29" s="25" t="s">
        <v>35</v>
      </c>
      <c r="F29" s="23"/>
      <c r="G29" s="23"/>
      <c r="H29" s="50">
        <v>1.9770000000000001</v>
      </c>
      <c r="I29" s="51"/>
      <c r="J29" s="31">
        <f t="shared" si="0"/>
        <v>29.655000000000001</v>
      </c>
      <c r="K29" s="32"/>
    </row>
    <row r="30" spans="1:11" ht="18" customHeight="1" x14ac:dyDescent="0.25">
      <c r="A30" s="3">
        <v>20</v>
      </c>
      <c r="B30" s="15">
        <v>15</v>
      </c>
      <c r="C30" s="10"/>
      <c r="D30" s="10"/>
      <c r="E30" s="25" t="s">
        <v>36</v>
      </c>
      <c r="F30" s="23"/>
      <c r="G30" s="23"/>
      <c r="H30" s="50">
        <v>1.9390000000000001</v>
      </c>
      <c r="I30" s="51"/>
      <c r="J30" s="31">
        <f t="shared" si="0"/>
        <v>29.085000000000001</v>
      </c>
      <c r="K30" s="32"/>
    </row>
    <row r="31" spans="1:11" ht="18" customHeight="1" x14ac:dyDescent="0.25">
      <c r="A31" s="3">
        <v>21</v>
      </c>
      <c r="B31" s="15">
        <v>5</v>
      </c>
      <c r="C31" s="10"/>
      <c r="D31" s="10"/>
      <c r="E31" s="25" t="s">
        <v>37</v>
      </c>
      <c r="F31" s="23"/>
      <c r="G31" s="23"/>
      <c r="H31" s="50">
        <v>1.0620000000000001</v>
      </c>
      <c r="I31" s="51"/>
      <c r="J31" s="31">
        <f t="shared" si="0"/>
        <v>5.3100000000000005</v>
      </c>
      <c r="K31" s="32"/>
    </row>
    <row r="32" spans="1:11" ht="18" customHeight="1" x14ac:dyDescent="0.25">
      <c r="A32" s="3">
        <v>22</v>
      </c>
      <c r="B32" s="15">
        <v>10</v>
      </c>
      <c r="C32" s="10"/>
      <c r="D32" s="10"/>
      <c r="E32" s="25" t="s">
        <v>38</v>
      </c>
      <c r="F32" s="17"/>
      <c r="G32" s="17"/>
      <c r="H32" s="50">
        <v>4.1669999999999998</v>
      </c>
      <c r="I32" s="51"/>
      <c r="J32" s="31">
        <f t="shared" si="0"/>
        <v>41.67</v>
      </c>
      <c r="K32" s="32"/>
    </row>
    <row r="33" spans="1:11" ht="18" customHeight="1" x14ac:dyDescent="0.25">
      <c r="A33" s="3">
        <v>10</v>
      </c>
      <c r="B33" s="15">
        <v>10</v>
      </c>
      <c r="C33" s="10"/>
      <c r="D33" s="10"/>
      <c r="E33" s="15" t="s">
        <v>39</v>
      </c>
      <c r="F33" s="17"/>
      <c r="G33" s="17"/>
      <c r="H33" s="50">
        <v>3.08</v>
      </c>
      <c r="I33" s="51"/>
      <c r="J33" s="31">
        <f t="shared" si="0"/>
        <v>30.8</v>
      </c>
      <c r="K33" s="32"/>
    </row>
    <row r="34" spans="1:11" ht="18" customHeight="1" x14ac:dyDescent="0.25">
      <c r="A34" s="3">
        <v>24</v>
      </c>
      <c r="B34" s="15">
        <v>5</v>
      </c>
      <c r="C34" s="10"/>
      <c r="D34" s="10"/>
      <c r="E34" s="15" t="s">
        <v>40</v>
      </c>
      <c r="F34" s="17"/>
      <c r="G34" s="17"/>
      <c r="H34" s="50">
        <v>1.022</v>
      </c>
      <c r="I34" s="51"/>
      <c r="J34" s="31">
        <f t="shared" si="0"/>
        <v>5.1100000000000003</v>
      </c>
      <c r="K34" s="32"/>
    </row>
    <row r="35" spans="1:11" ht="18" customHeight="1" x14ac:dyDescent="0.25">
      <c r="A35" s="3">
        <v>25</v>
      </c>
      <c r="B35" s="15">
        <v>5</v>
      </c>
      <c r="C35" s="10"/>
      <c r="D35" s="10"/>
      <c r="E35" s="15" t="s">
        <v>41</v>
      </c>
      <c r="F35" s="17"/>
      <c r="G35" s="17"/>
      <c r="H35" s="50">
        <v>3.66</v>
      </c>
      <c r="I35" s="51"/>
      <c r="J35" s="31">
        <f t="shared" si="0"/>
        <v>18.3</v>
      </c>
      <c r="K35" s="32"/>
    </row>
    <row r="36" spans="1:11" ht="18" customHeight="1" x14ac:dyDescent="0.25">
      <c r="A36" s="3">
        <v>26</v>
      </c>
      <c r="B36" s="15">
        <v>30</v>
      </c>
      <c r="C36" s="10"/>
      <c r="D36" s="10"/>
      <c r="E36" s="15" t="s">
        <v>42</v>
      </c>
      <c r="F36" s="17"/>
      <c r="G36" s="17"/>
      <c r="H36" s="50">
        <v>1.2350000000000001</v>
      </c>
      <c r="I36" s="51"/>
      <c r="J36" s="31">
        <f t="shared" si="0"/>
        <v>37.050000000000004</v>
      </c>
      <c r="K36" s="32"/>
    </row>
    <row r="37" spans="1:11" ht="18" customHeight="1" x14ac:dyDescent="0.25">
      <c r="A37" s="3">
        <v>27</v>
      </c>
      <c r="B37" s="15">
        <v>15</v>
      </c>
      <c r="C37" s="10"/>
      <c r="D37" s="10"/>
      <c r="E37" s="15" t="s">
        <v>43</v>
      </c>
      <c r="F37" s="17"/>
      <c r="G37" s="17"/>
      <c r="H37" s="50">
        <v>0.67100000000000004</v>
      </c>
      <c r="I37" s="51"/>
      <c r="J37" s="31">
        <f t="shared" si="0"/>
        <v>10.065000000000001</v>
      </c>
      <c r="K37" s="32"/>
    </row>
    <row r="38" spans="1:11" ht="18" customHeight="1" x14ac:dyDescent="0.25">
      <c r="A38" s="3">
        <v>28</v>
      </c>
      <c r="B38" s="15">
        <v>10</v>
      </c>
      <c r="C38" s="10"/>
      <c r="D38" s="10"/>
      <c r="E38" s="15" t="s">
        <v>44</v>
      </c>
      <c r="F38" s="17"/>
      <c r="G38" s="17"/>
      <c r="H38" s="50">
        <v>0.71299999999999997</v>
      </c>
      <c r="I38" s="51"/>
      <c r="J38" s="31">
        <f t="shared" si="0"/>
        <v>7.13</v>
      </c>
      <c r="K38" s="32"/>
    </row>
    <row r="39" spans="1:11" ht="18" customHeight="1" x14ac:dyDescent="0.25">
      <c r="A39" s="21">
        <v>29</v>
      </c>
      <c r="B39" s="15">
        <v>5</v>
      </c>
      <c r="C39" s="10"/>
      <c r="D39" s="11"/>
      <c r="E39" s="15" t="s">
        <v>45</v>
      </c>
      <c r="F39" s="17"/>
      <c r="G39" s="17"/>
      <c r="H39" s="50">
        <v>1.5449999999999999</v>
      </c>
      <c r="I39" s="51"/>
      <c r="J39" s="31">
        <f t="shared" si="0"/>
        <v>7.7249999999999996</v>
      </c>
      <c r="K39" s="32"/>
    </row>
    <row r="40" spans="1:11" ht="18" customHeight="1" x14ac:dyDescent="0.25">
      <c r="A40" s="74"/>
      <c r="B40" s="75"/>
      <c r="C40" s="75"/>
      <c r="D40" s="75"/>
      <c r="E40" s="75"/>
      <c r="F40" s="20"/>
      <c r="G40" s="20"/>
      <c r="H40" s="58" t="str">
        <f>H1</f>
        <v>PO#</v>
      </c>
      <c r="I40" s="59"/>
      <c r="J40" s="59"/>
      <c r="K40" s="16">
        <f>K1</f>
        <v>0</v>
      </c>
    </row>
    <row r="41" spans="1:11" ht="18" customHeight="1" x14ac:dyDescent="0.25">
      <c r="A41" s="4">
        <v>30</v>
      </c>
      <c r="B41" s="15">
        <v>10</v>
      </c>
      <c r="C41" s="10"/>
      <c r="D41" s="10"/>
      <c r="E41" s="28" t="s">
        <v>46</v>
      </c>
      <c r="F41" s="27"/>
      <c r="G41" s="27"/>
      <c r="H41" s="33">
        <v>1.2669999999999999</v>
      </c>
      <c r="I41" s="30"/>
      <c r="J41" s="31">
        <f t="shared" ref="J41" si="1">B41*H41</f>
        <v>12.669999999999998</v>
      </c>
      <c r="K41" s="32"/>
    </row>
    <row r="42" spans="1:11" ht="18" customHeight="1" x14ac:dyDescent="0.25">
      <c r="A42" s="4">
        <v>31</v>
      </c>
      <c r="B42" s="15">
        <v>5</v>
      </c>
      <c r="C42" s="10"/>
      <c r="D42" s="10"/>
      <c r="E42" s="28" t="s">
        <v>47</v>
      </c>
      <c r="F42" s="27"/>
      <c r="G42" s="27"/>
      <c r="H42" s="33">
        <v>2.226</v>
      </c>
      <c r="I42" s="30"/>
      <c r="J42" s="31">
        <f t="shared" ref="J42:J47" si="2">B42*H42</f>
        <v>11.129999999999999</v>
      </c>
      <c r="K42" s="32"/>
    </row>
    <row r="43" spans="1:11" ht="18" customHeight="1" x14ac:dyDescent="0.25">
      <c r="A43" s="4">
        <v>32</v>
      </c>
      <c r="B43" s="15">
        <v>10</v>
      </c>
      <c r="C43" s="10"/>
      <c r="D43" s="10"/>
      <c r="E43" s="28" t="s">
        <v>48</v>
      </c>
      <c r="F43" s="27"/>
      <c r="G43" s="27"/>
      <c r="H43" s="33">
        <v>2.2269999999999999</v>
      </c>
      <c r="I43" s="30"/>
      <c r="J43" s="31">
        <f t="shared" si="2"/>
        <v>22.27</v>
      </c>
      <c r="K43" s="32"/>
    </row>
    <row r="44" spans="1:11" ht="18" customHeight="1" x14ac:dyDescent="0.25">
      <c r="A44" s="4">
        <v>33</v>
      </c>
      <c r="B44" s="15">
        <v>100</v>
      </c>
      <c r="C44" s="10"/>
      <c r="D44" s="10"/>
      <c r="E44" s="28" t="s">
        <v>49</v>
      </c>
      <c r="F44" s="27"/>
      <c r="G44" s="27"/>
      <c r="H44" s="33">
        <v>2.0316000000000001</v>
      </c>
      <c r="I44" s="30"/>
      <c r="J44" s="31">
        <f t="shared" si="2"/>
        <v>203.16</v>
      </c>
      <c r="K44" s="32"/>
    </row>
    <row r="45" spans="1:11" ht="18" customHeight="1" x14ac:dyDescent="0.25">
      <c r="A45" s="4">
        <v>34</v>
      </c>
      <c r="B45" s="15">
        <v>360</v>
      </c>
      <c r="C45" s="10"/>
      <c r="D45" s="10"/>
      <c r="E45" s="28" t="s">
        <v>50</v>
      </c>
      <c r="F45" s="27"/>
      <c r="G45" s="27"/>
      <c r="H45" s="33">
        <v>1.0612999999999999</v>
      </c>
      <c r="I45" s="30"/>
      <c r="J45" s="31">
        <f t="shared" si="2"/>
        <v>382.06799999999998</v>
      </c>
      <c r="K45" s="32"/>
    </row>
    <row r="46" spans="1:11" ht="18" customHeight="1" x14ac:dyDescent="0.25">
      <c r="A46" s="4">
        <v>35</v>
      </c>
      <c r="B46" s="15">
        <v>500</v>
      </c>
      <c r="C46" s="10"/>
      <c r="D46" s="10"/>
      <c r="E46" s="28" t="s">
        <v>51</v>
      </c>
      <c r="F46" s="27"/>
      <c r="G46" s="27"/>
      <c r="H46" s="33">
        <v>0.75729999999999997</v>
      </c>
      <c r="I46" s="30"/>
      <c r="J46" s="31">
        <f t="shared" si="2"/>
        <v>378.65</v>
      </c>
      <c r="K46" s="32"/>
    </row>
    <row r="47" spans="1:11" ht="18" customHeight="1" x14ac:dyDescent="0.25">
      <c r="A47" s="4">
        <v>36</v>
      </c>
      <c r="B47" s="15">
        <v>500</v>
      </c>
      <c r="C47" s="10"/>
      <c r="D47" s="10"/>
      <c r="E47" s="28" t="s">
        <v>52</v>
      </c>
      <c r="F47" s="27"/>
      <c r="G47" s="27"/>
      <c r="H47" s="33">
        <v>0.38750000000000001</v>
      </c>
      <c r="I47" s="30"/>
      <c r="J47" s="31">
        <f t="shared" si="2"/>
        <v>193.75</v>
      </c>
      <c r="K47" s="32"/>
    </row>
    <row r="48" spans="1:11" ht="18" customHeight="1" x14ac:dyDescent="0.25">
      <c r="A48" s="4">
        <v>37</v>
      </c>
      <c r="B48" s="15"/>
      <c r="C48" s="10"/>
      <c r="D48" s="10"/>
      <c r="E48" s="28"/>
      <c r="F48" s="27"/>
      <c r="G48" s="27"/>
      <c r="H48" s="33"/>
      <c r="I48" s="30"/>
      <c r="J48" s="31"/>
      <c r="K48" s="32"/>
    </row>
    <row r="49" spans="1:11" ht="18" customHeight="1" x14ac:dyDescent="0.25">
      <c r="A49" s="4">
        <v>38</v>
      </c>
      <c r="B49" s="15"/>
      <c r="C49" s="10"/>
      <c r="D49" s="10"/>
      <c r="E49" s="28"/>
      <c r="F49" s="27"/>
      <c r="G49" s="27"/>
      <c r="H49" s="33"/>
      <c r="I49" s="30"/>
      <c r="J49" s="31"/>
      <c r="K49" s="32"/>
    </row>
    <row r="50" spans="1:11" ht="18" customHeight="1" x14ac:dyDescent="0.25">
      <c r="A50" s="4">
        <v>39</v>
      </c>
      <c r="B50" s="15"/>
      <c r="C50" s="10"/>
      <c r="D50" s="10"/>
      <c r="E50" s="28"/>
      <c r="F50" s="27"/>
      <c r="G50" s="27"/>
      <c r="H50" s="33"/>
      <c r="I50" s="30"/>
      <c r="J50" s="31"/>
      <c r="K50" s="32"/>
    </row>
    <row r="51" spans="1:11" ht="18" customHeight="1" x14ac:dyDescent="0.25">
      <c r="A51" s="4">
        <v>40</v>
      </c>
      <c r="B51" s="15"/>
      <c r="C51" s="10"/>
      <c r="D51" s="10"/>
      <c r="E51" s="28"/>
      <c r="F51" s="27"/>
      <c r="G51" s="27"/>
      <c r="H51" s="33"/>
      <c r="I51" s="30"/>
      <c r="J51" s="31"/>
      <c r="K51" s="32"/>
    </row>
    <row r="52" spans="1:11" ht="18" customHeight="1" x14ac:dyDescent="0.25">
      <c r="A52" s="4">
        <v>41</v>
      </c>
      <c r="B52" s="15"/>
      <c r="C52" s="10"/>
      <c r="D52" s="10"/>
      <c r="E52" s="28"/>
      <c r="F52" s="27"/>
      <c r="G52" s="27"/>
      <c r="H52" s="33"/>
      <c r="I52" s="30"/>
      <c r="J52" s="31"/>
      <c r="K52" s="32"/>
    </row>
    <row r="53" spans="1:11" ht="18" customHeight="1" x14ac:dyDescent="0.25">
      <c r="A53" s="4">
        <v>42</v>
      </c>
      <c r="B53" s="15"/>
      <c r="C53" s="10"/>
      <c r="D53" s="10"/>
      <c r="E53" s="28"/>
      <c r="F53" s="27"/>
      <c r="G53" s="27"/>
      <c r="H53" s="33"/>
      <c r="I53" s="30"/>
      <c r="J53" s="29"/>
      <c r="K53" s="30"/>
    </row>
    <row r="54" spans="1:11" ht="18" customHeight="1" x14ac:dyDescent="0.25">
      <c r="A54" s="4">
        <v>43</v>
      </c>
      <c r="B54" s="15"/>
      <c r="C54" s="10"/>
      <c r="D54" s="10"/>
      <c r="E54" s="28"/>
      <c r="F54" s="27"/>
      <c r="G54" s="27"/>
      <c r="H54" s="33"/>
      <c r="I54" s="30"/>
      <c r="J54" s="29"/>
      <c r="K54" s="30"/>
    </row>
    <row r="55" spans="1:11" ht="18" customHeight="1" x14ac:dyDescent="0.25">
      <c r="A55" s="4">
        <v>44</v>
      </c>
      <c r="B55" s="15"/>
      <c r="C55" s="10"/>
      <c r="D55" s="10"/>
      <c r="E55" s="28"/>
      <c r="F55" s="27"/>
      <c r="G55" s="27"/>
      <c r="H55" s="33"/>
      <c r="I55" s="30"/>
      <c r="J55" s="29"/>
      <c r="K55" s="30"/>
    </row>
    <row r="56" spans="1:11" ht="18" customHeight="1" x14ac:dyDescent="0.25">
      <c r="A56" s="4">
        <v>45</v>
      </c>
      <c r="B56" s="15"/>
      <c r="C56" s="10"/>
      <c r="D56" s="10"/>
      <c r="E56" s="28"/>
      <c r="F56" s="27"/>
      <c r="G56" s="27"/>
      <c r="H56" s="33"/>
      <c r="I56" s="30"/>
      <c r="J56" s="29"/>
      <c r="K56" s="30"/>
    </row>
    <row r="57" spans="1:11" ht="18" customHeight="1" x14ac:dyDescent="0.25">
      <c r="A57" s="4">
        <v>46</v>
      </c>
      <c r="B57" s="15"/>
      <c r="C57" s="10"/>
      <c r="D57" s="10"/>
      <c r="E57" s="28"/>
      <c r="F57" s="27"/>
      <c r="G57" s="27"/>
      <c r="H57" s="33"/>
      <c r="I57" s="30"/>
      <c r="J57" s="29"/>
      <c r="K57" s="30"/>
    </row>
    <row r="58" spans="1:11" ht="18" customHeight="1" x14ac:dyDescent="0.25">
      <c r="A58" s="4">
        <v>47</v>
      </c>
      <c r="B58" s="15"/>
      <c r="C58" s="10"/>
      <c r="D58" s="10"/>
      <c r="E58" s="28"/>
      <c r="F58" s="27"/>
      <c r="G58" s="27"/>
      <c r="H58" s="33"/>
      <c r="I58" s="30"/>
      <c r="J58" s="29"/>
      <c r="K58" s="30"/>
    </row>
    <row r="59" spans="1:11" ht="18" customHeight="1" x14ac:dyDescent="0.25">
      <c r="A59" s="4">
        <v>48</v>
      </c>
      <c r="B59" s="15"/>
      <c r="C59" s="10"/>
      <c r="D59" s="10"/>
      <c r="E59" s="28"/>
      <c r="F59" s="27"/>
      <c r="G59" s="27"/>
      <c r="H59" s="33"/>
      <c r="I59" s="30"/>
      <c r="J59" s="29"/>
      <c r="K59" s="30"/>
    </row>
    <row r="60" spans="1:11" ht="18" customHeight="1" x14ac:dyDescent="0.25">
      <c r="A60" s="4">
        <v>49</v>
      </c>
      <c r="B60" s="15"/>
      <c r="C60" s="10"/>
      <c r="D60" s="10"/>
      <c r="E60" s="28"/>
      <c r="F60" s="27"/>
      <c r="G60" s="27"/>
      <c r="H60" s="33"/>
      <c r="I60" s="30"/>
      <c r="J60" s="29"/>
      <c r="K60" s="30"/>
    </row>
    <row r="61" spans="1:11" ht="18" customHeight="1" x14ac:dyDescent="0.25">
      <c r="A61" s="4">
        <v>50</v>
      </c>
      <c r="B61" s="15"/>
      <c r="C61" s="10"/>
      <c r="D61" s="10"/>
      <c r="E61" s="28"/>
      <c r="F61" s="27"/>
      <c r="G61" s="27"/>
      <c r="H61" s="33"/>
      <c r="I61" s="30"/>
      <c r="J61" s="29"/>
      <c r="K61" s="30"/>
    </row>
    <row r="62" spans="1:11" ht="18" customHeight="1" x14ac:dyDescent="0.25">
      <c r="A62" s="4">
        <v>51</v>
      </c>
      <c r="B62" s="15"/>
      <c r="C62" s="10"/>
      <c r="D62" s="10"/>
      <c r="E62" s="28"/>
      <c r="F62" s="27"/>
      <c r="G62" s="27"/>
      <c r="H62" s="33"/>
      <c r="I62" s="30"/>
      <c r="J62" s="29"/>
      <c r="K62" s="30"/>
    </row>
    <row r="63" spans="1:11" ht="18" customHeight="1" x14ac:dyDescent="0.25">
      <c r="A63" s="4">
        <v>52</v>
      </c>
      <c r="B63" s="15"/>
      <c r="C63" s="10"/>
      <c r="D63" s="10"/>
      <c r="E63" s="28"/>
      <c r="F63" s="27"/>
      <c r="G63" s="27"/>
      <c r="H63" s="33"/>
      <c r="I63" s="30"/>
      <c r="J63" s="29"/>
      <c r="K63" s="30"/>
    </row>
    <row r="64" spans="1:11" ht="18" customHeight="1" x14ac:dyDescent="0.25">
      <c r="A64" s="4">
        <v>53</v>
      </c>
      <c r="B64" s="15"/>
      <c r="C64" s="10"/>
      <c r="D64" s="10"/>
      <c r="E64" s="28"/>
      <c r="F64" s="27"/>
      <c r="G64" s="27"/>
      <c r="H64" s="33"/>
      <c r="I64" s="30"/>
      <c r="J64" s="29"/>
      <c r="K64" s="30"/>
    </row>
    <row r="65" spans="1:11" ht="18" customHeight="1" x14ac:dyDescent="0.25">
      <c r="A65" s="4">
        <v>54</v>
      </c>
      <c r="B65" s="15"/>
      <c r="C65" s="10"/>
      <c r="D65" s="10"/>
      <c r="E65" s="28"/>
      <c r="F65" s="27"/>
      <c r="G65" s="27"/>
      <c r="H65" s="33"/>
      <c r="I65" s="30"/>
      <c r="J65" s="29"/>
      <c r="K65" s="30"/>
    </row>
    <row r="66" spans="1:11" ht="18" customHeight="1" x14ac:dyDescent="0.25">
      <c r="A66" s="4">
        <v>55</v>
      </c>
      <c r="B66" s="15"/>
      <c r="C66" s="10"/>
      <c r="D66" s="10"/>
      <c r="E66" s="28"/>
      <c r="F66" s="27"/>
      <c r="G66" s="27"/>
      <c r="H66" s="33"/>
      <c r="I66" s="30"/>
      <c r="J66" s="29"/>
      <c r="K66" s="30"/>
    </row>
    <row r="67" spans="1:11" ht="18" customHeight="1" x14ac:dyDescent="0.25">
      <c r="A67" s="4">
        <v>56</v>
      </c>
      <c r="B67" s="15"/>
      <c r="C67" s="10"/>
      <c r="D67" s="10"/>
      <c r="E67" s="28"/>
      <c r="F67" s="27"/>
      <c r="G67" s="27"/>
      <c r="H67" s="33"/>
      <c r="I67" s="30"/>
      <c r="J67" s="29"/>
      <c r="K67" s="30"/>
    </row>
    <row r="68" spans="1:11" ht="18" customHeight="1" x14ac:dyDescent="0.25">
      <c r="A68" s="4">
        <v>57</v>
      </c>
      <c r="B68" s="15"/>
      <c r="C68" s="10"/>
      <c r="D68" s="10"/>
      <c r="E68" s="28"/>
      <c r="F68" s="27"/>
      <c r="G68" s="27"/>
      <c r="H68" s="33"/>
      <c r="I68" s="30"/>
      <c r="J68" s="29"/>
      <c r="K68" s="30"/>
    </row>
    <row r="69" spans="1:11" ht="16.95" customHeight="1" x14ac:dyDescent="0.25">
      <c r="A69" s="4">
        <v>58</v>
      </c>
      <c r="B69" s="15"/>
      <c r="C69" s="10"/>
      <c r="D69" s="10"/>
      <c r="E69" s="28"/>
      <c r="F69" s="27"/>
      <c r="G69" s="27"/>
      <c r="H69" s="33"/>
      <c r="I69" s="30"/>
      <c r="J69" s="29"/>
      <c r="K69" s="30"/>
    </row>
    <row r="70" spans="1:11" ht="16.95" customHeight="1" x14ac:dyDescent="0.25">
      <c r="A70" s="4">
        <v>59</v>
      </c>
      <c r="B70" s="15"/>
      <c r="C70" s="10"/>
      <c r="D70" s="10"/>
      <c r="E70" s="28"/>
      <c r="F70" s="27"/>
      <c r="G70" s="27"/>
      <c r="H70" s="33"/>
      <c r="I70" s="30"/>
      <c r="J70" s="29"/>
      <c r="K70" s="30"/>
    </row>
    <row r="71" spans="1:11" ht="16.95" customHeight="1" x14ac:dyDescent="0.25">
      <c r="A71" s="4">
        <v>60</v>
      </c>
      <c r="B71" s="15"/>
      <c r="C71" s="10"/>
      <c r="D71" s="10"/>
      <c r="E71" s="28"/>
      <c r="F71" s="27"/>
      <c r="G71" s="27"/>
      <c r="H71" s="33"/>
      <c r="I71" s="30"/>
      <c r="J71" s="29"/>
      <c r="K71" s="30"/>
    </row>
    <row r="72" spans="1:11" ht="18" customHeight="1" x14ac:dyDescent="0.25">
      <c r="A72" s="4">
        <v>61</v>
      </c>
      <c r="B72" s="15"/>
      <c r="C72" s="10"/>
      <c r="D72" s="10"/>
      <c r="E72" s="28"/>
      <c r="F72" s="27"/>
      <c r="G72" s="27"/>
      <c r="H72" s="33"/>
      <c r="I72" s="30"/>
      <c r="J72" s="29"/>
      <c r="K72" s="30"/>
    </row>
    <row r="73" spans="1:11" ht="18" customHeight="1" x14ac:dyDescent="0.25">
      <c r="A73" s="4">
        <v>62</v>
      </c>
      <c r="B73" s="15"/>
      <c r="C73" s="10"/>
      <c r="D73" s="10"/>
      <c r="E73" s="28"/>
      <c r="F73" s="27"/>
      <c r="G73" s="27"/>
      <c r="H73" s="33"/>
      <c r="I73" s="30"/>
      <c r="J73" s="29"/>
      <c r="K73" s="30"/>
    </row>
    <row r="74" spans="1:11" ht="18" customHeight="1" x14ac:dyDescent="0.25">
      <c r="A74" s="4">
        <v>63</v>
      </c>
      <c r="B74" s="15"/>
      <c r="C74" s="10"/>
      <c r="D74" s="10"/>
      <c r="E74" s="28"/>
      <c r="F74" s="27"/>
      <c r="G74" s="27"/>
      <c r="H74" s="33"/>
      <c r="I74" s="30"/>
      <c r="J74" s="29"/>
      <c r="K74" s="30"/>
    </row>
    <row r="75" spans="1:11" ht="18" customHeight="1" x14ac:dyDescent="0.25">
      <c r="A75" s="4">
        <v>64</v>
      </c>
      <c r="B75" s="15"/>
      <c r="C75" s="10"/>
      <c r="D75" s="10"/>
      <c r="E75" s="28"/>
      <c r="F75" s="27"/>
      <c r="G75" s="27"/>
      <c r="H75" s="33"/>
      <c r="I75" s="30"/>
      <c r="J75" s="29"/>
      <c r="K75" s="30"/>
    </row>
  </sheetData>
  <mergeCells count="151">
    <mergeCell ref="A1:C2"/>
    <mergeCell ref="H15:I15"/>
    <mergeCell ref="H16:I16"/>
    <mergeCell ref="H17:I17"/>
    <mergeCell ref="H18:I18"/>
    <mergeCell ref="H39:I39"/>
    <mergeCell ref="H40:J40"/>
    <mergeCell ref="I3:K4"/>
    <mergeCell ref="H8:K8"/>
    <mergeCell ref="H7:K7"/>
    <mergeCell ref="C5:K6"/>
    <mergeCell ref="J11:K11"/>
    <mergeCell ref="J25:K25"/>
    <mergeCell ref="J26:K26"/>
    <mergeCell ref="E1:E2"/>
    <mergeCell ref="A8:C8"/>
    <mergeCell ref="A9:C9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41:I41"/>
    <mergeCell ref="J41:K41"/>
    <mergeCell ref="H42:I42"/>
    <mergeCell ref="H43:I43"/>
    <mergeCell ref="H44:I44"/>
    <mergeCell ref="H45:I45"/>
    <mergeCell ref="H46:I46"/>
    <mergeCell ref="H47:I47"/>
    <mergeCell ref="H48:I48"/>
    <mergeCell ref="J42:K42"/>
    <mergeCell ref="J43:K43"/>
    <mergeCell ref="J44:K44"/>
    <mergeCell ref="J45:K45"/>
    <mergeCell ref="J46:K46"/>
    <mergeCell ref="J47:K47"/>
    <mergeCell ref="J48:K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2014-03-18T21:08:32Z</dcterms:modified>
</cp:coreProperties>
</file>