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12" i="1"/>
  <c r="J10" i="1" l="1"/>
  <c r="H40" i="1"/>
  <c r="K40" i="1"/>
</calcChain>
</file>

<file path=xl/sharedStrings.xml><?xml version="1.0" encoding="utf-8"?>
<sst xmlns="http://schemas.openxmlformats.org/spreadsheetml/2006/main" count="44" uniqueCount="43">
  <si>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</si>
  <si>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</si>
  <si>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</si>
  <si>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</si>
  <si>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</si>
  <si>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</si>
  <si>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</si>
  <si>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</si>
  <si>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</si>
  <si>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</si>
  <si>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</si>
  <si>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</si>
  <si>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</si>
  <si>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</si>
  <si>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</si>
  <si>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</si>
  <si>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</si>
  <si>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</si>
  <si>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</si>
  <si>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PEX</t>
  </si>
  <si>
    <t>MAIN</t>
  </si>
  <si>
    <r>
      <t xml:space="preserve">11/2 "x 11/2" x 3/4" TEE </t>
    </r>
    <r>
      <rPr>
        <b/>
        <sz val="10"/>
        <rFont val="Arial"/>
        <family val="2"/>
      </rPr>
      <t>Q4751557</t>
    </r>
  </si>
  <si>
    <r>
      <t xml:space="preserve">11/4" x 11/4" x 3/4" TEE </t>
    </r>
    <r>
      <rPr>
        <b/>
        <sz val="10"/>
        <rFont val="Arial"/>
        <family val="2"/>
      </rPr>
      <t>Q4751337</t>
    </r>
  </si>
  <si>
    <r>
      <t xml:space="preserve">3/4" 90 </t>
    </r>
    <r>
      <rPr>
        <b/>
        <sz val="10"/>
        <rFont val="Arial"/>
        <family val="2"/>
      </rPr>
      <t>Q4760750</t>
    </r>
  </si>
  <si>
    <r>
      <t xml:space="preserve">11/2" STRAIGHT CLEAR PIPE </t>
    </r>
    <r>
      <rPr>
        <b/>
        <sz val="10"/>
        <rFont val="Arial"/>
        <family val="2"/>
      </rPr>
      <t>F1921500</t>
    </r>
  </si>
  <si>
    <r>
      <t xml:space="preserve">11/4" STRAIGHT CLEAR PIPE </t>
    </r>
    <r>
      <rPr>
        <b/>
        <sz val="10"/>
        <rFont val="Arial"/>
        <family val="2"/>
      </rPr>
      <t>F1921250</t>
    </r>
  </si>
  <si>
    <r>
      <t>1" STRAIGHT CLEAR PIPE</t>
    </r>
    <r>
      <rPr>
        <b/>
        <sz val="10"/>
        <rFont val="Arial"/>
        <family val="2"/>
      </rPr>
      <t xml:space="preserve"> F1921000</t>
    </r>
  </si>
  <si>
    <r>
      <t xml:space="preserve">3/4"STRAIGHT CLEAR PIPE </t>
    </r>
    <r>
      <rPr>
        <b/>
        <sz val="10"/>
        <rFont val="Arial"/>
        <family val="2"/>
      </rPr>
      <t>F1930750</t>
    </r>
  </si>
  <si>
    <r>
      <t>11/2" RING W/ STOP</t>
    </r>
    <r>
      <rPr>
        <b/>
        <sz val="10"/>
        <rFont val="Arial"/>
        <family val="2"/>
      </rPr>
      <t xml:space="preserve"> Q4691500</t>
    </r>
  </si>
  <si>
    <r>
      <t>11/4" RING W/ STOP</t>
    </r>
    <r>
      <rPr>
        <b/>
        <sz val="10"/>
        <rFont val="Arial"/>
        <family val="2"/>
      </rPr>
      <t xml:space="preserve"> Q4691250</t>
    </r>
  </si>
  <si>
    <r>
      <t xml:space="preserve">1" RING W/ STOP </t>
    </r>
    <r>
      <rPr>
        <b/>
        <sz val="10"/>
        <rFont val="Arial"/>
        <family val="2"/>
      </rPr>
      <t>Q4691000</t>
    </r>
  </si>
  <si>
    <r>
      <t>3/4" RING W/ STOP</t>
    </r>
    <r>
      <rPr>
        <b/>
        <sz val="10"/>
        <rFont val="Arial"/>
        <family val="2"/>
      </rPr>
      <t xml:space="preserve"> Q4690756</t>
    </r>
  </si>
  <si>
    <r>
      <t xml:space="preserve">1/2" RING W/ STOP </t>
    </r>
    <r>
      <rPr>
        <b/>
        <sz val="10"/>
        <rFont val="Arial"/>
        <family val="2"/>
      </rPr>
      <t>Q4690512</t>
    </r>
  </si>
  <si>
    <t>4545 8TH AVE NE SEATTLE , 98105</t>
  </si>
  <si>
    <t>2012-40</t>
  </si>
  <si>
    <t>8TH AVE APTS</t>
  </si>
  <si>
    <r>
      <t xml:space="preserve">11/2" x 11/4" x 3/4" TEE </t>
    </r>
    <r>
      <rPr>
        <b/>
        <sz val="10"/>
        <rFont val="Arial"/>
        <family val="2"/>
      </rPr>
      <t>Q4751537</t>
    </r>
  </si>
  <si>
    <r>
      <t xml:space="preserve">1" x 1" x 3/4" TEE </t>
    </r>
    <r>
      <rPr>
        <b/>
        <sz val="10"/>
        <rFont val="Arial"/>
        <family val="2"/>
      </rPr>
      <t xml:space="preserve"> Q4751175</t>
    </r>
  </si>
  <si>
    <r>
      <t xml:space="preserve">1" x 3/4" x 3/4" TEE </t>
    </r>
    <r>
      <rPr>
        <b/>
        <sz val="10"/>
        <rFont val="Arial"/>
        <family val="2"/>
      </rPr>
      <t>Q4751775</t>
    </r>
  </si>
  <si>
    <r>
      <t>1/2" RED COIL 300'</t>
    </r>
    <r>
      <rPr>
        <b/>
        <sz val="10"/>
        <rFont val="Arial"/>
        <family val="2"/>
      </rPr>
      <t xml:space="preserve"> F2060500</t>
    </r>
  </si>
  <si>
    <t>JULY/AUG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</si>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</sst>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I3" sqref="I3:K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14</v>
      </c>
      <c r="B1" s="32"/>
      <c r="C1" s="63" t="s">
        <v>20</v>
      </c>
      <c r="D1" s="20"/>
      <c r="E1" s="65" t="s">
        <v>17</v>
      </c>
      <c r="F1" s="6"/>
      <c r="G1" s="6"/>
      <c r="H1" s="75" t="s">
        <v>16</v>
      </c>
      <c r="I1" s="69">
        <v>15638</v>
      </c>
      <c r="J1" s="70"/>
      <c r="K1" s="71"/>
    </row>
    <row r="2" spans="1:13" ht="16.95" customHeight="1" x14ac:dyDescent="0.25">
      <c r="A2" s="32"/>
      <c r="B2" s="32"/>
      <c r="C2" s="64"/>
      <c r="D2" s="21"/>
      <c r="E2" s="66"/>
      <c r="F2" s="6"/>
      <c r="G2" s="6"/>
      <c r="H2" s="76"/>
      <c r="I2" s="72"/>
      <c r="J2" s="73"/>
      <c r="K2" s="74"/>
    </row>
    <row r="3" spans="1:13" ht="13.95" customHeight="1" x14ac:dyDescent="0.25">
      <c r="A3" s="54" t="s">
        <v>4</v>
      </c>
      <c r="B3" s="55"/>
      <c r="C3" s="57" t="s">
        <v>42</v>
      </c>
      <c r="D3" s="32"/>
      <c r="E3" s="32"/>
      <c r="F3" s="13"/>
      <c r="G3" s="13"/>
      <c r="H3" s="35" t="s">
        <v>12</v>
      </c>
      <c r="I3" s="35">
        <v>2601866</v>
      </c>
      <c r="J3" s="32"/>
      <c r="K3" s="32"/>
    </row>
    <row r="4" spans="1:13" ht="7.95" customHeight="1" x14ac:dyDescent="0.25">
      <c r="A4" s="55"/>
      <c r="B4" s="5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6" t="s">
        <v>13</v>
      </c>
      <c r="B5" s="55"/>
      <c r="C5" s="40" t="s">
        <v>33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5"/>
      <c r="B6" s="55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67"/>
      <c r="B8" s="68"/>
      <c r="C8" s="68"/>
      <c r="D8" s="7"/>
      <c r="E8" s="8" t="s">
        <v>34</v>
      </c>
      <c r="F8" s="7"/>
      <c r="G8" s="7"/>
      <c r="H8" s="36">
        <v>41327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80" t="s">
        <v>18</v>
      </c>
      <c r="I9" s="78"/>
      <c r="J9" s="81" t="s">
        <v>15</v>
      </c>
      <c r="K9" s="78"/>
    </row>
    <row r="10" spans="1:13" ht="26.4" customHeight="1" x14ac:dyDescent="0.25">
      <c r="A10" s="51" t="s">
        <v>40</v>
      </c>
      <c r="B10" s="52"/>
      <c r="C10" s="53"/>
      <c r="D10" s="7"/>
      <c r="E10" s="26" t="s">
        <v>35</v>
      </c>
      <c r="F10" s="19"/>
      <c r="G10" s="19"/>
      <c r="H10" s="79" t="s">
        <v>41</v>
      </c>
      <c r="I10" s="78"/>
      <c r="J10" s="77">
        <f>SUM(J12:K33)</f>
        <v>7876.3509999999987</v>
      </c>
      <c r="K10" s="78"/>
    </row>
    <row r="11" spans="1:13" x14ac:dyDescent="0.25">
      <c r="A11" s="47" t="s">
        <v>0</v>
      </c>
      <c r="B11" s="48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15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7" t="s">
        <v>19</v>
      </c>
      <c r="F12" s="25"/>
      <c r="G12" s="25"/>
      <c r="H12" s="58"/>
      <c r="I12" s="59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52</v>
      </c>
      <c r="C13" s="10"/>
      <c r="D13" s="10"/>
      <c r="E13" s="30" t="s">
        <v>21</v>
      </c>
      <c r="F13" s="25"/>
      <c r="G13" s="25"/>
      <c r="H13" s="60">
        <v>6.2290000000000001</v>
      </c>
      <c r="I13" s="61"/>
      <c r="J13" s="45">
        <f t="shared" ref="J13:J32" si="0">B13*H13</f>
        <v>323.90800000000002</v>
      </c>
      <c r="K13" s="46"/>
    </row>
    <row r="14" spans="1:13" ht="18" customHeight="1" x14ac:dyDescent="0.25">
      <c r="A14" s="3">
        <v>3</v>
      </c>
      <c r="B14" s="17">
        <v>52</v>
      </c>
      <c r="C14" s="10"/>
      <c r="D14" s="10"/>
      <c r="E14" s="17" t="s">
        <v>36</v>
      </c>
      <c r="F14" s="25"/>
      <c r="G14" s="25"/>
      <c r="H14" s="60">
        <v>6.6269999999999998</v>
      </c>
      <c r="I14" s="61"/>
      <c r="J14" s="45">
        <f t="shared" si="0"/>
        <v>344.60399999999998</v>
      </c>
      <c r="K14" s="46"/>
    </row>
    <row r="15" spans="1:13" ht="18" customHeight="1" x14ac:dyDescent="0.25">
      <c r="A15" s="3">
        <v>4</v>
      </c>
      <c r="B15" s="17">
        <v>52</v>
      </c>
      <c r="C15" s="10"/>
      <c r="D15" s="10"/>
      <c r="E15" s="17" t="s">
        <v>22</v>
      </c>
      <c r="F15" s="25"/>
      <c r="G15" s="25"/>
      <c r="H15" s="60">
        <v>4.8559999999999999</v>
      </c>
      <c r="I15" s="61"/>
      <c r="J15" s="45">
        <f t="shared" si="0"/>
        <v>252.512</v>
      </c>
      <c r="K15" s="46"/>
    </row>
    <row r="16" spans="1:13" ht="18" customHeight="1" x14ac:dyDescent="0.25">
      <c r="A16" s="3">
        <v>5</v>
      </c>
      <c r="B16" s="17">
        <v>52</v>
      </c>
      <c r="C16" s="10"/>
      <c r="D16" s="10"/>
      <c r="E16" s="17" t="s">
        <v>37</v>
      </c>
      <c r="F16" s="25"/>
      <c r="G16" s="25"/>
      <c r="H16" s="60">
        <v>2.129</v>
      </c>
      <c r="I16" s="61"/>
      <c r="J16" s="45">
        <f t="shared" si="0"/>
        <v>110.708</v>
      </c>
      <c r="K16" s="46"/>
    </row>
    <row r="17" spans="1:11" ht="18" customHeight="1" x14ac:dyDescent="0.25">
      <c r="A17" s="3">
        <v>6</v>
      </c>
      <c r="B17" s="17">
        <v>52</v>
      </c>
      <c r="C17" s="10"/>
      <c r="D17" s="10"/>
      <c r="E17" s="17" t="s">
        <v>38</v>
      </c>
      <c r="F17" s="25"/>
      <c r="G17" s="25"/>
      <c r="H17" s="60">
        <v>1.831</v>
      </c>
      <c r="I17" s="61"/>
      <c r="J17" s="45">
        <f t="shared" si="0"/>
        <v>95.212000000000003</v>
      </c>
      <c r="K17" s="46"/>
    </row>
    <row r="18" spans="1:11" ht="18" customHeight="1" x14ac:dyDescent="0.25">
      <c r="A18" s="3">
        <v>7</v>
      </c>
      <c r="B18" s="17">
        <v>800</v>
      </c>
      <c r="C18" s="10"/>
      <c r="D18" s="10"/>
      <c r="E18" s="30" t="s">
        <v>23</v>
      </c>
      <c r="F18" s="25"/>
      <c r="G18" s="25"/>
      <c r="H18" s="60">
        <v>0.93500000000000005</v>
      </c>
      <c r="I18" s="61"/>
      <c r="J18" s="45">
        <f t="shared" si="0"/>
        <v>748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8"/>
      <c r="F19" s="25"/>
      <c r="G19" s="25"/>
      <c r="H19" s="60"/>
      <c r="I19" s="61"/>
      <c r="J19" s="45">
        <f t="shared" si="0"/>
        <v>0</v>
      </c>
      <c r="K19" s="46"/>
    </row>
    <row r="20" spans="1:11" ht="18" customHeight="1" x14ac:dyDescent="0.25">
      <c r="A20" s="3">
        <v>9</v>
      </c>
      <c r="B20" s="17">
        <v>900</v>
      </c>
      <c r="C20" s="10"/>
      <c r="D20" s="10"/>
      <c r="E20" s="30" t="s">
        <v>24</v>
      </c>
      <c r="F20" s="25"/>
      <c r="G20" s="25"/>
      <c r="H20" s="60">
        <v>1.974</v>
      </c>
      <c r="I20" s="61"/>
      <c r="J20" s="45">
        <f t="shared" si="0"/>
        <v>1776.6</v>
      </c>
      <c r="K20" s="46"/>
    </row>
    <row r="21" spans="1:11" ht="18" customHeight="1" x14ac:dyDescent="0.25">
      <c r="A21" s="3">
        <v>10</v>
      </c>
      <c r="B21" s="17">
        <v>1300</v>
      </c>
      <c r="C21" s="10"/>
      <c r="D21" s="10"/>
      <c r="E21" s="30" t="s">
        <v>25</v>
      </c>
      <c r="F21" s="25"/>
      <c r="G21" s="25"/>
      <c r="H21" s="60">
        <v>1.6759999999999999</v>
      </c>
      <c r="I21" s="61"/>
      <c r="J21" s="45">
        <f t="shared" si="0"/>
        <v>2178.7999999999997</v>
      </c>
      <c r="K21" s="46"/>
    </row>
    <row r="22" spans="1:11" ht="18" customHeight="1" x14ac:dyDescent="0.25">
      <c r="A22" s="3">
        <v>11</v>
      </c>
      <c r="B22" s="17">
        <v>800</v>
      </c>
      <c r="C22" s="10"/>
      <c r="D22" s="10"/>
      <c r="E22" s="30" t="s">
        <v>26</v>
      </c>
      <c r="F22" s="25"/>
      <c r="G22" s="25"/>
      <c r="H22" s="60">
        <v>0.82</v>
      </c>
      <c r="I22" s="61"/>
      <c r="J22" s="45">
        <f t="shared" si="0"/>
        <v>656</v>
      </c>
      <c r="K22" s="46"/>
    </row>
    <row r="23" spans="1:11" ht="18" customHeight="1" x14ac:dyDescent="0.25">
      <c r="A23" s="3">
        <v>13</v>
      </c>
      <c r="B23" s="17">
        <v>1200</v>
      </c>
      <c r="C23" s="10"/>
      <c r="D23" s="10"/>
      <c r="E23" s="30" t="s">
        <v>27</v>
      </c>
      <c r="F23" s="25"/>
      <c r="G23" s="25"/>
      <c r="H23" s="60">
        <v>0.47</v>
      </c>
      <c r="I23" s="61"/>
      <c r="J23" s="45">
        <f t="shared" si="0"/>
        <v>564</v>
      </c>
      <c r="K23" s="46"/>
    </row>
    <row r="24" spans="1:11" ht="18" customHeight="1" x14ac:dyDescent="0.25">
      <c r="A24" s="3">
        <v>14</v>
      </c>
      <c r="B24" s="17">
        <v>3</v>
      </c>
      <c r="C24" s="10"/>
      <c r="D24" s="10"/>
      <c r="E24" s="30" t="s">
        <v>39</v>
      </c>
      <c r="F24" s="25"/>
      <c r="G24" s="25"/>
      <c r="H24" s="60">
        <v>81.849000000000004</v>
      </c>
      <c r="I24" s="61"/>
      <c r="J24" s="45">
        <f t="shared" si="0"/>
        <v>245.54700000000003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30"/>
      <c r="F25" s="25"/>
      <c r="G25" s="25"/>
      <c r="H25" s="60"/>
      <c r="I25" s="61"/>
      <c r="J25" s="45">
        <f t="shared" si="0"/>
        <v>0</v>
      </c>
      <c r="K25" s="46"/>
    </row>
    <row r="26" spans="1:11" ht="18" customHeight="1" x14ac:dyDescent="0.25">
      <c r="A26" s="3">
        <v>16</v>
      </c>
      <c r="B26" s="17">
        <v>160</v>
      </c>
      <c r="C26" s="10"/>
      <c r="D26" s="10"/>
      <c r="E26" s="30" t="s">
        <v>28</v>
      </c>
      <c r="F26" s="25"/>
      <c r="G26" s="25"/>
      <c r="H26" s="60">
        <v>0.57699999999999996</v>
      </c>
      <c r="I26" s="61"/>
      <c r="J26" s="45">
        <f t="shared" si="0"/>
        <v>92.32</v>
      </c>
      <c r="K26" s="46"/>
    </row>
    <row r="27" spans="1:11" ht="18" customHeight="1" x14ac:dyDescent="0.25">
      <c r="A27" s="3">
        <v>17</v>
      </c>
      <c r="B27" s="17">
        <v>220</v>
      </c>
      <c r="C27" s="10"/>
      <c r="D27" s="10"/>
      <c r="E27" s="30" t="s">
        <v>29</v>
      </c>
      <c r="F27" s="25"/>
      <c r="G27" s="25"/>
      <c r="H27" s="60">
        <v>0.438</v>
      </c>
      <c r="I27" s="61"/>
      <c r="J27" s="45">
        <f t="shared" si="0"/>
        <v>96.36</v>
      </c>
      <c r="K27" s="46"/>
    </row>
    <row r="28" spans="1:11" ht="18" customHeight="1" x14ac:dyDescent="0.25">
      <c r="A28" s="3">
        <v>18</v>
      </c>
      <c r="B28" s="17">
        <v>220</v>
      </c>
      <c r="C28" s="10"/>
      <c r="D28" s="10"/>
      <c r="E28" s="30" t="s">
        <v>30</v>
      </c>
      <c r="F28" s="25"/>
      <c r="G28" s="25"/>
      <c r="H28" s="60">
        <v>0.29899999999999999</v>
      </c>
      <c r="I28" s="61"/>
      <c r="J28" s="45">
        <f t="shared" si="0"/>
        <v>65.78</v>
      </c>
      <c r="K28" s="46"/>
    </row>
    <row r="29" spans="1:11" ht="18" customHeight="1" x14ac:dyDescent="0.25">
      <c r="A29" s="3">
        <v>19</v>
      </c>
      <c r="B29" s="17">
        <v>2000</v>
      </c>
      <c r="C29" s="10"/>
      <c r="D29" s="10"/>
      <c r="E29" s="30" t="s">
        <v>31</v>
      </c>
      <c r="F29" s="25"/>
      <c r="G29" s="25"/>
      <c r="H29" s="60">
        <v>0.159</v>
      </c>
      <c r="I29" s="61"/>
      <c r="J29" s="45">
        <f t="shared" si="0"/>
        <v>318</v>
      </c>
      <c r="K29" s="46"/>
    </row>
    <row r="30" spans="1:11" ht="18" customHeight="1" x14ac:dyDescent="0.25">
      <c r="A30" s="3">
        <v>20</v>
      </c>
      <c r="B30" s="17">
        <v>100</v>
      </c>
      <c r="C30" s="10"/>
      <c r="D30" s="10"/>
      <c r="E30" s="30" t="s">
        <v>32</v>
      </c>
      <c r="F30" s="25"/>
      <c r="G30" s="25"/>
      <c r="H30" s="60">
        <v>0.08</v>
      </c>
      <c r="I30" s="61"/>
      <c r="J30" s="45">
        <f t="shared" si="0"/>
        <v>8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8"/>
      <c r="F31" s="25"/>
      <c r="G31" s="25"/>
      <c r="H31" s="60"/>
      <c r="I31" s="61"/>
      <c r="J31" s="45">
        <f t="shared" si="0"/>
        <v>0</v>
      </c>
      <c r="K31" s="46"/>
    </row>
    <row r="32" spans="1:11" ht="18" customHeight="1" x14ac:dyDescent="0.25">
      <c r="A32" s="3">
        <v>22</v>
      </c>
      <c r="B32" s="17"/>
      <c r="C32" s="10"/>
      <c r="D32" s="10"/>
      <c r="E32" s="28"/>
      <c r="F32" s="19"/>
      <c r="G32" s="19"/>
      <c r="H32" s="60"/>
      <c r="I32" s="61"/>
      <c r="J32" s="45">
        <f t="shared" si="0"/>
        <v>0</v>
      </c>
      <c r="K32" s="46"/>
    </row>
    <row r="33" spans="1:11" ht="18" customHeight="1" x14ac:dyDescent="0.25">
      <c r="A33" s="3">
        <v>10</v>
      </c>
      <c r="B33" s="17"/>
      <c r="C33" s="10"/>
      <c r="D33" s="10"/>
      <c r="E33" s="28"/>
      <c r="F33" s="19"/>
      <c r="G33" s="19"/>
      <c r="H33" s="60"/>
      <c r="I33" s="61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9"/>
      <c r="F34" s="19"/>
      <c r="G34" s="19"/>
      <c r="H34" s="60"/>
      <c r="I34" s="61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60"/>
      <c r="I35" s="61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9"/>
      <c r="F36" s="19"/>
      <c r="G36" s="19"/>
      <c r="H36" s="60"/>
      <c r="I36" s="61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9"/>
      <c r="F37" s="19"/>
      <c r="G37" s="19"/>
      <c r="H37" s="58"/>
      <c r="I37" s="59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9"/>
      <c r="F38" s="19"/>
      <c r="G38" s="19"/>
      <c r="H38" s="58"/>
      <c r="I38" s="59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29"/>
      <c r="F39" s="19"/>
      <c r="G39" s="19"/>
      <c r="H39" s="58"/>
      <c r="I39" s="59"/>
      <c r="J39" s="45"/>
      <c r="K39" s="46"/>
    </row>
    <row r="40" spans="1:11" ht="18" customHeight="1" x14ac:dyDescent="0.25">
      <c r="A40" s="49"/>
      <c r="B40" s="50"/>
      <c r="C40" s="50"/>
      <c r="D40" s="50"/>
      <c r="E40" s="50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2013-04-19T17:08:29Z</dcterms:modified>
</cp:coreProperties>
</file>