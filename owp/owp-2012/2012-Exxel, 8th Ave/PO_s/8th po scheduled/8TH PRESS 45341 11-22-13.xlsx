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<sst xmlns="http://schemas.openxmlformats.org/spreadsheetml/2006/main" count="29" uniqueCount="28">
  <si>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</si>
  <si>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</si>
  <si>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</si>
  <si>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</si>
  <si>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</si>
  <si>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</si>
  <si>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</si>
  <si>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</si>
  <si>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</si>
  <si>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</si>
  <si>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</si>
  <si>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</si>
  <si>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</si>
  <si>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</si>
  <si>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</si>
  <si>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</si>
  <si>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</si>
  <si>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</si>
  <si>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</si>
  <si>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</si>
  <si>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KELLER</t>
  </si>
  <si>
    <t>RICK</t>
  </si>
  <si>
    <t>2012-41</t>
  </si>
  <si>
    <t>4'' PRESS FLANGE</t>
  </si>
  <si>
    <t>4'' TYPE L COPPER</t>
  </si>
  <si>
    <t>4'' 1/16 150# GASKET</t>
  </si>
  <si>
    <t>S007121814</t>
  </si>
  <si>
    <t>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</si>
</sst>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27</v>
      </c>
      <c r="F1" s="6"/>
      <c r="G1" s="6"/>
      <c r="H1" s="43" t="s">
        <v>15</v>
      </c>
      <c r="I1" s="37">
        <v>45341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20</v>
      </c>
      <c r="D3" s="32"/>
      <c r="E3" s="32"/>
      <c r="F3" s="13"/>
      <c r="G3" s="13"/>
      <c r="H3" s="62" t="s">
        <v>12</v>
      </c>
      <c r="I3" s="62" t="s">
        <v>26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22</v>
      </c>
      <c r="F8" s="7"/>
      <c r="G8" s="7"/>
      <c r="H8" s="63">
        <v>41600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41600</v>
      </c>
      <c r="B10" s="72"/>
      <c r="C10" s="73"/>
      <c r="D10" s="7"/>
      <c r="E10" s="26" t="s">
        <v>19</v>
      </c>
      <c r="F10" s="19"/>
      <c r="G10" s="19"/>
      <c r="H10" s="46" t="s">
        <v>21</v>
      </c>
      <c r="I10" s="30"/>
      <c r="J10" s="45">
        <f>SUM(J12:K39)</f>
        <v>539.37800000000004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2</v>
      </c>
      <c r="C13" s="10"/>
      <c r="D13" s="10"/>
      <c r="E13" s="27" t="s">
        <v>23</v>
      </c>
      <c r="F13" s="25"/>
      <c r="G13" s="25"/>
      <c r="H13" s="29">
        <v>146.352</v>
      </c>
      <c r="I13" s="30"/>
      <c r="J13" s="33">
        <f t="shared" ref="J13:J30" si="0">B13*H13</f>
        <v>292.70400000000001</v>
      </c>
      <c r="K13" s="34"/>
    </row>
    <row r="14" spans="1:13" ht="18" customHeight="1" x14ac:dyDescent="0.25">
      <c r="A14" s="3">
        <v>3</v>
      </c>
      <c r="B14" s="17">
        <v>10</v>
      </c>
      <c r="C14" s="10"/>
      <c r="D14" s="10"/>
      <c r="E14" s="27" t="s">
        <v>24</v>
      </c>
      <c r="F14" s="25"/>
      <c r="G14" s="25"/>
      <c r="H14" s="29">
        <v>24.481000000000002</v>
      </c>
      <c r="I14" s="30"/>
      <c r="J14" s="33">
        <f t="shared" si="0"/>
        <v>244.81</v>
      </c>
      <c r="K14" s="34"/>
    </row>
    <row r="15" spans="1:13" ht="18" customHeight="1" x14ac:dyDescent="0.25">
      <c r="A15" s="3">
        <v>4</v>
      </c>
      <c r="B15" s="17">
        <v>2</v>
      </c>
      <c r="C15" s="10"/>
      <c r="D15" s="10"/>
      <c r="E15" s="27" t="s">
        <v>25</v>
      </c>
      <c r="F15" s="25"/>
      <c r="G15" s="25"/>
      <c r="H15" s="29">
        <v>0.93200000000000005</v>
      </c>
      <c r="I15" s="30"/>
      <c r="J15" s="33">
        <f t="shared" si="0"/>
        <v>1.8640000000000001</v>
      </c>
      <c r="K15" s="34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33">
        <f t="shared" si="0"/>
        <v>0</v>
      </c>
      <c r="K16" s="34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33">
        <f t="shared" si="0"/>
        <v>0</v>
      </c>
      <c r="K17" s="34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33">
        <f t="shared" si="0"/>
        <v>0</v>
      </c>
      <c r="K18" s="34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33">
        <f t="shared" si="0"/>
        <v>0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2013-11-22T17:29:42Z</cp:lastPrinted>
  <dcterms:created xsi:type="dcterms:W3CDTF">2000-09-01T14:58:39Z</dcterms:created>
  <dcterms:modified xsi:type="dcterms:W3CDTF">2013-11-22T17:32:58Z</dcterms:modified>
</cp:coreProperties>
</file>