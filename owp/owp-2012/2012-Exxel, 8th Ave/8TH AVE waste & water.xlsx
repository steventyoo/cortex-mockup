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1340" windowHeight="6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Sheet1!$A$1:$M$46</definedName>
  </definedNames>
  <calcPr calcId="144525"/>
</workbook>
</file>

<file path=xl/calcChain.xml><?xml version="1.0" encoding="utf-8"?>
<calcChain xmlns="http://schemas.openxmlformats.org/spreadsheetml/2006/main">
  <c r="I39" i="1" l="1"/>
  <c r="J39" i="1"/>
  <c r="B11" i="1"/>
  <c r="C11" i="1"/>
  <c r="D11" i="1"/>
  <c r="E11" i="1"/>
  <c r="F11" i="1"/>
  <c r="H11" i="1"/>
  <c r="I11" i="1"/>
  <c r="I15" i="1"/>
  <c r="B17" i="1"/>
  <c r="F17" i="1"/>
  <c r="H17" i="1"/>
  <c r="J17" i="1"/>
  <c r="I17" i="1"/>
  <c r="B33" i="1"/>
  <c r="C33" i="1"/>
  <c r="D33" i="1"/>
  <c r="E33" i="1"/>
  <c r="F33" i="1"/>
  <c r="H33" i="1"/>
  <c r="I33" i="1"/>
  <c r="J33" i="1"/>
  <c r="I35" i="1"/>
  <c r="I37" i="1"/>
  <c r="B39" i="1"/>
  <c r="C39" i="1"/>
  <c r="D39" i="1"/>
  <c r="F39" i="1"/>
  <c r="H39" i="1"/>
  <c r="I41" i="1"/>
  <c r="I43" i="1"/>
  <c r="K39" i="1"/>
  <c r="K33" i="1"/>
  <c r="J11" i="1"/>
</calcChain>
</file>

<file path=xl/sharedStrings.xml><?xml version="1.0" encoding="utf-8"?>
<sst xmlns="http://schemas.openxmlformats.org/spreadsheetml/2006/main" count="48" uniqueCount="31">
  <si>
    <t>W.C.</t>
  </si>
  <si>
    <t>LAV</t>
  </si>
  <si>
    <t>TUB</t>
  </si>
  <si>
    <t>SHOW</t>
  </si>
  <si>
    <t>K.S.</t>
  </si>
  <si>
    <t>D.W.</t>
  </si>
  <si>
    <t>A.W.</t>
  </si>
  <si>
    <t>H.B.</t>
  </si>
  <si>
    <t>F.U.</t>
  </si>
  <si>
    <t>TOTAL</t>
  </si>
  <si>
    <t>BLDG</t>
  </si>
  <si>
    <t>SIZE</t>
  </si>
  <si>
    <t>GPM</t>
  </si>
  <si>
    <t>WASTE</t>
  </si>
  <si>
    <t>WATER</t>
  </si>
  <si>
    <t>8''</t>
  </si>
  <si>
    <t>1/4''/FT</t>
  </si>
  <si>
    <t>1/8''/FT</t>
  </si>
  <si>
    <t>6''</t>
  </si>
  <si>
    <t>4''</t>
  </si>
  <si>
    <t>appendix</t>
  </si>
  <si>
    <t>L</t>
  </si>
  <si>
    <t>1 BATH</t>
  </si>
  <si>
    <t>1-1/2 BATH</t>
  </si>
  <si>
    <t>2 BATH</t>
  </si>
  <si>
    <t>KIT</t>
  </si>
  <si>
    <t>AW</t>
  </si>
  <si>
    <t>USE</t>
  </si>
  <si>
    <t>4'' service</t>
  </si>
  <si>
    <t>2 X 6''</t>
  </si>
  <si>
    <t>3''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</si>
</sst>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9"/>
  <sheetViews>
    <sheetView tabSelected="1" view="pageBreakPreview" zoomScaleNormal="100" zoomScaleSheetLayoutView="100" workbookViewId="0">
      <selection activeCell="L39" sqref="L39"/>
    </sheetView>
  </sheetViews>
  <sheetFormatPr defaultRowHeight="13.2" x14ac:dyDescent="0.25"/>
  <cols>
    <col min="2" max="2" width="9" customWidth="1"/>
    <col min="3" max="3" width="10.33203125" customWidth="1"/>
    <col min="4" max="4" width="8.6640625" customWidth="1"/>
    <col min="5" max="8" width="6.33203125" customWidth="1"/>
    <col min="9" max="9" width="6.33203125" hidden="1" customWidth="1"/>
    <col min="10" max="10" width="6.33203125" customWidth="1"/>
    <col min="11" max="11" width="6" customWidth="1"/>
    <col min="12" max="12" width="9" customWidth="1"/>
    <col min="13" max="13" width="10.44140625" customWidth="1"/>
  </cols>
  <sheetData>
    <row r="2" spans="1:13" x14ac:dyDescent="0.25">
      <c r="D2" s="21" t="s">
        <v>13</v>
      </c>
      <c r="E2" s="21"/>
      <c r="F2" s="21"/>
      <c r="G2" s="21"/>
      <c r="H2" s="21"/>
    </row>
    <row r="3" spans="1:13" x14ac:dyDescent="0.25">
      <c r="D3" s="21"/>
      <c r="E3" s="21"/>
      <c r="F3" s="21"/>
      <c r="G3" s="21"/>
      <c r="H3" s="21"/>
    </row>
    <row r="6" spans="1:13" x14ac:dyDescent="0.25">
      <c r="A6" s="1"/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10</v>
      </c>
      <c r="L6" s="2" t="s">
        <v>11</v>
      </c>
      <c r="M6" s="4"/>
    </row>
    <row r="7" spans="1:13" x14ac:dyDescent="0.25">
      <c r="A7" s="2"/>
      <c r="B7" s="1">
        <v>3</v>
      </c>
      <c r="C7" s="1">
        <v>1</v>
      </c>
      <c r="D7" s="1">
        <v>2</v>
      </c>
      <c r="E7" s="1">
        <v>2</v>
      </c>
      <c r="F7" s="1">
        <v>2</v>
      </c>
      <c r="G7" s="1"/>
      <c r="H7" s="1">
        <v>3</v>
      </c>
      <c r="I7" s="1"/>
      <c r="J7" s="1"/>
      <c r="K7" s="1"/>
      <c r="L7" s="1"/>
      <c r="M7" s="16"/>
    </row>
    <row r="8" spans="1:13" x14ac:dyDescent="0.25">
      <c r="A8" s="2"/>
      <c r="B8" s="1"/>
      <c r="C8" s="1"/>
      <c r="D8" s="1"/>
      <c r="E8" s="1"/>
      <c r="F8" s="1"/>
      <c r="G8" s="1"/>
      <c r="H8" s="1"/>
      <c r="I8" s="1"/>
      <c r="J8" s="2"/>
      <c r="K8" s="2"/>
      <c r="L8" s="1"/>
      <c r="M8" s="4" t="s">
        <v>13</v>
      </c>
    </row>
    <row r="9" spans="1:13" x14ac:dyDescent="0.25">
      <c r="A9" s="2"/>
      <c r="B9" s="1"/>
      <c r="C9" s="1"/>
      <c r="D9" s="1"/>
      <c r="E9" s="1"/>
      <c r="F9" s="1"/>
      <c r="G9" s="1"/>
      <c r="H9" s="1"/>
      <c r="I9" s="1"/>
      <c r="J9" s="2"/>
      <c r="K9" s="2"/>
      <c r="L9" s="1"/>
      <c r="M9" s="16"/>
    </row>
    <row r="10" spans="1:13" x14ac:dyDescent="0.25">
      <c r="A10" s="2"/>
      <c r="B10" s="1">
        <v>163</v>
      </c>
      <c r="C10" s="1">
        <v>163</v>
      </c>
      <c r="D10" s="1">
        <v>95</v>
      </c>
      <c r="E10" s="1">
        <v>67</v>
      </c>
      <c r="F10" s="1">
        <v>163</v>
      </c>
      <c r="G10" s="1"/>
      <c r="H10" s="1">
        <v>162</v>
      </c>
      <c r="I10" s="1"/>
      <c r="J10" s="2"/>
      <c r="K10" s="2"/>
      <c r="L10" s="1"/>
      <c r="M10" s="16"/>
    </row>
    <row r="11" spans="1:13" s="3" customFormat="1" x14ac:dyDescent="0.25">
      <c r="A11" s="2" t="s">
        <v>9</v>
      </c>
      <c r="B11" s="2">
        <f>B10*B7</f>
        <v>489</v>
      </c>
      <c r="C11" s="2">
        <f t="shared" ref="C11:I11" si="0">C10*C7</f>
        <v>163</v>
      </c>
      <c r="D11" s="2">
        <f t="shared" si="0"/>
        <v>190</v>
      </c>
      <c r="E11" s="2">
        <f t="shared" si="0"/>
        <v>134</v>
      </c>
      <c r="F11" s="2">
        <f t="shared" si="0"/>
        <v>326</v>
      </c>
      <c r="G11" s="2"/>
      <c r="H11" s="2">
        <f t="shared" si="0"/>
        <v>486</v>
      </c>
      <c r="I11" s="2">
        <f t="shared" si="0"/>
        <v>0</v>
      </c>
      <c r="J11" s="2">
        <f>SUM(B11:I11)</f>
        <v>1788</v>
      </c>
      <c r="K11" s="2"/>
      <c r="L11" s="2"/>
      <c r="M11" s="4" t="s">
        <v>15</v>
      </c>
    </row>
    <row r="12" spans="1:13" x14ac:dyDescent="0.25">
      <c r="A12" s="2"/>
      <c r="B12" s="1"/>
      <c r="C12" s="1"/>
      <c r="D12" s="1"/>
      <c r="E12" s="1"/>
      <c r="F12" s="1"/>
      <c r="G12" s="1"/>
      <c r="H12" s="1"/>
      <c r="I12" s="1"/>
      <c r="J12" s="2"/>
      <c r="K12" s="2"/>
      <c r="L12" s="1"/>
      <c r="M12" s="16"/>
    </row>
    <row r="13" spans="1:13" s="3" customForma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</row>
    <row r="14" spans="1:13" x14ac:dyDescent="0.25">
      <c r="A14" s="2"/>
      <c r="B14" s="1"/>
      <c r="C14" s="1"/>
      <c r="D14" s="1"/>
      <c r="E14" s="1"/>
      <c r="F14" s="1"/>
      <c r="G14" s="1"/>
      <c r="H14" s="1"/>
      <c r="I14" s="1"/>
      <c r="J14" s="2"/>
      <c r="K14" s="2"/>
      <c r="L14" s="1"/>
      <c r="M14" s="16"/>
    </row>
    <row r="15" spans="1:13" s="3" customFormat="1" x14ac:dyDescent="0.25">
      <c r="A15" s="2"/>
      <c r="B15" s="2"/>
      <c r="C15" s="2"/>
      <c r="D15" s="2"/>
      <c r="E15" s="2"/>
      <c r="F15" s="2"/>
      <c r="G15" s="2"/>
      <c r="H15" s="2"/>
      <c r="I15" s="2">
        <f>I14*I7</f>
        <v>0</v>
      </c>
      <c r="J15" s="2"/>
      <c r="K15" s="2"/>
      <c r="L15" s="2"/>
      <c r="M15" s="4"/>
    </row>
    <row r="16" spans="1:13" x14ac:dyDescent="0.25">
      <c r="A16" s="2"/>
      <c r="B16" s="1">
        <v>163</v>
      </c>
      <c r="C16" s="1"/>
      <c r="D16" s="1"/>
      <c r="E16" s="1"/>
      <c r="F16" s="1">
        <v>163</v>
      </c>
      <c r="G16" s="1"/>
      <c r="H16" s="1">
        <v>162</v>
      </c>
      <c r="I16" s="1"/>
      <c r="J16" s="2"/>
      <c r="K16" s="2"/>
      <c r="L16" s="1"/>
      <c r="M16" s="16"/>
    </row>
    <row r="17" spans="1:13" s="3" customFormat="1" x14ac:dyDescent="0.25">
      <c r="A17" s="2" t="s">
        <v>9</v>
      </c>
      <c r="B17" s="2">
        <f>B16*B7</f>
        <v>489</v>
      </c>
      <c r="C17" s="2"/>
      <c r="D17" s="2"/>
      <c r="E17" s="2"/>
      <c r="F17" s="2">
        <f>F16*F7</f>
        <v>326</v>
      </c>
      <c r="G17" s="2"/>
      <c r="H17" s="2">
        <f>H16*H7</f>
        <v>486</v>
      </c>
      <c r="I17" s="2">
        <f>I16*I7</f>
        <v>0</v>
      </c>
      <c r="J17" s="2">
        <f>SUM(B17:I17)</f>
        <v>1301</v>
      </c>
      <c r="K17" s="2"/>
      <c r="L17" s="2"/>
      <c r="M17" s="4" t="s">
        <v>29</v>
      </c>
    </row>
    <row r="18" spans="1:13" ht="13.8" thickBo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6"/>
    </row>
    <row r="19" spans="1:13" s="3" customFormat="1" ht="13.8" thickTop="1" x14ac:dyDescent="0.25">
      <c r="A19" s="2"/>
      <c r="B19" s="2"/>
      <c r="C19" s="2"/>
      <c r="D19" s="2"/>
      <c r="E19" s="2"/>
      <c r="F19" s="2"/>
      <c r="G19" s="2"/>
      <c r="H19" s="1"/>
      <c r="I19" s="1"/>
      <c r="J19" s="1"/>
      <c r="K19" s="6"/>
      <c r="L19" s="7" t="s">
        <v>16</v>
      </c>
      <c r="M19" s="8" t="s">
        <v>17</v>
      </c>
    </row>
    <row r="20" spans="1:13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9" t="s">
        <v>15</v>
      </c>
      <c r="L20" s="10">
        <v>2640</v>
      </c>
      <c r="M20" s="11">
        <v>2112</v>
      </c>
    </row>
    <row r="21" spans="1:13" s="3" customFormat="1" x14ac:dyDescent="0.25">
      <c r="A21" s="2"/>
      <c r="B21" s="2"/>
      <c r="C21" s="2"/>
      <c r="D21" s="2"/>
      <c r="E21" s="2"/>
      <c r="F21" s="2"/>
      <c r="G21" s="2"/>
      <c r="H21" s="1"/>
      <c r="I21" s="1"/>
      <c r="J21" s="1"/>
      <c r="K21" s="9" t="s">
        <v>18</v>
      </c>
      <c r="L21" s="10">
        <v>720</v>
      </c>
      <c r="M21" s="11">
        <v>576</v>
      </c>
    </row>
    <row r="22" spans="1:13" ht="13.8" thickBot="1" x14ac:dyDescent="0.3">
      <c r="A22" s="10"/>
      <c r="B22" s="15"/>
      <c r="C22" s="15"/>
      <c r="D22" s="15"/>
      <c r="E22" s="15"/>
      <c r="F22" s="15"/>
      <c r="G22" s="15"/>
      <c r="H22" s="1"/>
      <c r="I22" s="1"/>
      <c r="J22" s="1"/>
      <c r="K22" s="9" t="s">
        <v>19</v>
      </c>
      <c r="L22" s="10">
        <v>216</v>
      </c>
      <c r="M22" s="11">
        <v>172</v>
      </c>
    </row>
    <row r="23" spans="1:13" s="3" customFormat="1" ht="13.8" thickTop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</row>
    <row r="24" spans="1:13" x14ac:dyDescent="0.25">
      <c r="A24" s="2"/>
      <c r="B24" s="1"/>
      <c r="C24" s="1"/>
      <c r="D24" s="21" t="s">
        <v>14</v>
      </c>
      <c r="E24" s="21"/>
      <c r="F24" s="21"/>
      <c r="G24" s="21"/>
      <c r="H24" s="21"/>
      <c r="I24" s="1"/>
      <c r="J24" s="2"/>
      <c r="K24" s="2"/>
      <c r="L24" s="1"/>
      <c r="M24" s="4"/>
    </row>
    <row r="25" spans="1:13" s="3" customFormat="1" x14ac:dyDescent="0.25">
      <c r="A25" s="2"/>
      <c r="B25" s="2"/>
      <c r="C25" s="2"/>
      <c r="D25" s="21"/>
      <c r="E25" s="21"/>
      <c r="F25" s="21"/>
      <c r="G25" s="21"/>
      <c r="H25" s="21"/>
      <c r="I25" s="2"/>
      <c r="J25" s="2"/>
      <c r="K25" s="2"/>
      <c r="L25" s="2"/>
      <c r="M25" s="4"/>
    </row>
    <row r="26" spans="1:13" x14ac:dyDescent="0.25">
      <c r="A26" s="2"/>
      <c r="B26" s="1"/>
      <c r="C26" s="1"/>
      <c r="D26" s="1"/>
      <c r="E26" s="1"/>
      <c r="F26" s="23"/>
      <c r="G26" s="23"/>
      <c r="H26" s="23"/>
      <c r="I26" s="1"/>
      <c r="J26" s="2"/>
      <c r="K26" s="2"/>
      <c r="L26" s="1"/>
      <c r="M26" s="4"/>
    </row>
    <row r="27" spans="1:13" s="3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</row>
    <row r="28" spans="1:13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/>
      <c r="H28" s="2" t="s">
        <v>6</v>
      </c>
      <c r="I28" s="2" t="s">
        <v>7</v>
      </c>
      <c r="J28" s="2" t="s">
        <v>7</v>
      </c>
      <c r="K28" s="2" t="s">
        <v>8</v>
      </c>
      <c r="L28" s="2" t="s">
        <v>11</v>
      </c>
      <c r="M28" s="4" t="s">
        <v>14</v>
      </c>
    </row>
    <row r="29" spans="1:13" s="3" customFormat="1" x14ac:dyDescent="0.25">
      <c r="A29" s="2"/>
      <c r="B29" s="1">
        <v>2.5</v>
      </c>
      <c r="C29" s="1">
        <v>1</v>
      </c>
      <c r="D29" s="1">
        <v>4</v>
      </c>
      <c r="E29" s="1">
        <v>2</v>
      </c>
      <c r="F29" s="1">
        <v>1.5</v>
      </c>
      <c r="G29" s="1"/>
      <c r="H29" s="1">
        <v>4</v>
      </c>
      <c r="I29" s="1"/>
      <c r="J29" s="1">
        <v>2</v>
      </c>
      <c r="K29" s="1"/>
      <c r="L29" s="1"/>
      <c r="M29" s="16"/>
    </row>
    <row r="30" spans="1:13" x14ac:dyDescent="0.25">
      <c r="A30" s="2"/>
      <c r="B30" s="1"/>
      <c r="C30" s="1"/>
      <c r="D30" s="1"/>
      <c r="E30" s="1"/>
      <c r="F30" s="1"/>
      <c r="G30" s="1"/>
      <c r="H30" s="1"/>
      <c r="I30" s="1"/>
      <c r="J30" s="2"/>
      <c r="K30" s="2"/>
      <c r="L30" s="1"/>
      <c r="M30" s="16"/>
    </row>
    <row r="31" spans="1:13" s="3" customFormat="1" x14ac:dyDescent="0.25">
      <c r="A31" s="2"/>
      <c r="B31" s="1"/>
      <c r="C31" s="1"/>
      <c r="D31" s="1"/>
      <c r="E31" s="1"/>
      <c r="F31" s="1"/>
      <c r="G31" s="1"/>
      <c r="H31" s="1"/>
      <c r="I31" s="1"/>
      <c r="J31" s="2"/>
      <c r="K31" s="2"/>
      <c r="L31" s="1"/>
      <c r="M31" s="16"/>
    </row>
    <row r="32" spans="1:13" x14ac:dyDescent="0.25">
      <c r="A32" s="2"/>
      <c r="B32" s="1">
        <v>163</v>
      </c>
      <c r="C32" s="1">
        <v>163</v>
      </c>
      <c r="D32" s="1">
        <v>95</v>
      </c>
      <c r="E32" s="1">
        <v>67</v>
      </c>
      <c r="F32" s="1">
        <v>163</v>
      </c>
      <c r="G32" s="1"/>
      <c r="H32" s="1">
        <v>162</v>
      </c>
      <c r="I32" s="1"/>
      <c r="J32" s="5">
        <v>8</v>
      </c>
      <c r="K32" s="2"/>
      <c r="L32" s="1"/>
      <c r="M32" s="4" t="s">
        <v>12</v>
      </c>
    </row>
    <row r="33" spans="1:13" s="3" customFormat="1" x14ac:dyDescent="0.25">
      <c r="A33" s="2" t="s">
        <v>9</v>
      </c>
      <c r="B33" s="2">
        <f>B32*B29</f>
        <v>407.5</v>
      </c>
      <c r="C33" s="2">
        <f>C32*C29</f>
        <v>163</v>
      </c>
      <c r="D33" s="2">
        <f>D32*D29</f>
        <v>380</v>
      </c>
      <c r="E33" s="2">
        <f>E32*E29</f>
        <v>134</v>
      </c>
      <c r="F33" s="2">
        <f>F32*F29</f>
        <v>244.5</v>
      </c>
      <c r="G33" s="2"/>
      <c r="H33" s="2">
        <f>H32*H29</f>
        <v>648</v>
      </c>
      <c r="I33" s="2">
        <f>I32*I29</f>
        <v>0</v>
      </c>
      <c r="J33" s="2">
        <f>J32*J29</f>
        <v>16</v>
      </c>
      <c r="K33" s="2">
        <f>SUM(B33:J33)</f>
        <v>1993</v>
      </c>
      <c r="L33" s="2"/>
      <c r="M33" s="4">
        <v>320</v>
      </c>
    </row>
    <row r="34" spans="1:13" ht="13.8" thickBot="1" x14ac:dyDescent="0.3">
      <c r="A34" s="2"/>
      <c r="B34" s="1"/>
      <c r="C34" s="1"/>
      <c r="D34" s="1"/>
      <c r="E34" s="1"/>
      <c r="F34" s="1"/>
      <c r="G34" s="1"/>
      <c r="H34" s="1"/>
      <c r="I34" s="1"/>
      <c r="J34" s="2"/>
      <c r="K34" s="2"/>
      <c r="L34" s="1"/>
      <c r="M34" s="4"/>
    </row>
    <row r="35" spans="1:13" s="3" customFormat="1" ht="13.8" thickTop="1" x14ac:dyDescent="0.25">
      <c r="A35" s="6"/>
      <c r="B35" s="7" t="s">
        <v>22</v>
      </c>
      <c r="C35" s="7" t="s">
        <v>23</v>
      </c>
      <c r="D35" s="7" t="s">
        <v>24</v>
      </c>
      <c r="E35" s="7"/>
      <c r="F35" s="7" t="s">
        <v>25</v>
      </c>
      <c r="G35" s="7"/>
      <c r="H35" s="7" t="s">
        <v>26</v>
      </c>
      <c r="I35" s="7">
        <f>I34*I29</f>
        <v>0</v>
      </c>
      <c r="J35" s="7"/>
      <c r="K35" s="7"/>
      <c r="L35" s="7"/>
      <c r="M35" s="8" t="s">
        <v>20</v>
      </c>
    </row>
    <row r="36" spans="1:13" x14ac:dyDescent="0.25">
      <c r="A36" s="9"/>
      <c r="B36" s="15">
        <v>3.5</v>
      </c>
      <c r="C36" s="15">
        <v>5</v>
      </c>
      <c r="D36" s="15">
        <v>7</v>
      </c>
      <c r="E36" s="15"/>
      <c r="F36" s="15">
        <v>1.5</v>
      </c>
      <c r="G36" s="15"/>
      <c r="H36" s="15">
        <v>4</v>
      </c>
      <c r="I36" s="15"/>
      <c r="J36" s="10">
        <v>2</v>
      </c>
      <c r="K36" s="10"/>
      <c r="L36" s="15"/>
      <c r="M36" s="11" t="s">
        <v>21</v>
      </c>
    </row>
    <row r="37" spans="1:13" s="3" customFormat="1" x14ac:dyDescent="0.25">
      <c r="A37" s="9"/>
      <c r="B37" s="10"/>
      <c r="C37" s="10"/>
      <c r="D37" s="10"/>
      <c r="E37" s="10"/>
      <c r="F37" s="10"/>
      <c r="G37" s="10"/>
      <c r="H37" s="10"/>
      <c r="I37" s="10">
        <f>I36*I29</f>
        <v>0</v>
      </c>
      <c r="J37" s="10"/>
      <c r="K37" s="10"/>
      <c r="L37" s="10"/>
      <c r="M37" s="11"/>
    </row>
    <row r="38" spans="1:13" x14ac:dyDescent="0.25">
      <c r="A38" s="9"/>
      <c r="B38" s="15">
        <v>162</v>
      </c>
      <c r="C38" s="15"/>
      <c r="D38" s="15"/>
      <c r="E38" s="15"/>
      <c r="F38" s="15">
        <v>163</v>
      </c>
      <c r="G38" s="15"/>
      <c r="H38" s="15">
        <v>162</v>
      </c>
      <c r="I38" s="15"/>
      <c r="J38" s="10">
        <v>7</v>
      </c>
      <c r="K38" s="10"/>
      <c r="L38" s="15"/>
      <c r="M38" s="11" t="s">
        <v>12</v>
      </c>
    </row>
    <row r="39" spans="1:13" s="3" customFormat="1" ht="13.8" thickBot="1" x14ac:dyDescent="0.3">
      <c r="A39" s="12" t="s">
        <v>9</v>
      </c>
      <c r="B39" s="13">
        <f>B38*B36</f>
        <v>567</v>
      </c>
      <c r="C39" s="13">
        <f>C38*C36</f>
        <v>0</v>
      </c>
      <c r="D39" s="13">
        <f>D38*D36</f>
        <v>0</v>
      </c>
      <c r="E39" s="13"/>
      <c r="F39" s="13">
        <f>F38*F36</f>
        <v>244.5</v>
      </c>
      <c r="G39" s="13"/>
      <c r="H39" s="13">
        <f>H38*H36</f>
        <v>648</v>
      </c>
      <c r="I39" s="13">
        <f>I38*I36</f>
        <v>0</v>
      </c>
      <c r="J39" s="13">
        <f>J38*J36</f>
        <v>14</v>
      </c>
      <c r="K39" s="13">
        <f>SUM(B39:J39)</f>
        <v>1473.5</v>
      </c>
      <c r="L39" s="13"/>
      <c r="M39" s="14">
        <v>270</v>
      </c>
    </row>
    <row r="40" spans="1:13" ht="13.8" thickTop="1" x14ac:dyDescent="0.25">
      <c r="A40" s="2"/>
      <c r="B40" s="1"/>
      <c r="C40" s="1"/>
      <c r="D40" s="1"/>
      <c r="E40" s="1"/>
      <c r="F40" s="1"/>
      <c r="G40" s="1"/>
      <c r="H40" s="1"/>
      <c r="I40" s="1"/>
      <c r="J40" s="2"/>
      <c r="K40" s="2"/>
      <c r="L40" s="17"/>
      <c r="M40" s="8"/>
    </row>
    <row r="41" spans="1:13" s="3" customFormat="1" x14ac:dyDescent="0.25">
      <c r="A41" s="2"/>
      <c r="B41" s="2"/>
      <c r="C41" s="2"/>
      <c r="D41" s="2"/>
      <c r="E41" s="2"/>
      <c r="F41" s="2"/>
      <c r="G41" s="2"/>
      <c r="H41" s="2"/>
      <c r="I41" s="2">
        <f>I40*I29</f>
        <v>0</v>
      </c>
      <c r="J41" s="2"/>
      <c r="K41" s="2"/>
      <c r="L41" s="9" t="s">
        <v>27</v>
      </c>
      <c r="M41" s="11" t="s">
        <v>30</v>
      </c>
    </row>
    <row r="42" spans="1:13" ht="13.8" thickBot="1" x14ac:dyDescent="0.3">
      <c r="A42" s="2"/>
      <c r="B42" s="1"/>
      <c r="C42" s="1"/>
      <c r="D42" s="1"/>
      <c r="E42" s="1"/>
      <c r="F42" s="1"/>
      <c r="G42" s="1"/>
      <c r="H42" s="1"/>
      <c r="I42" s="1"/>
      <c r="J42" s="2"/>
      <c r="K42" s="2"/>
      <c r="L42" s="18"/>
      <c r="M42" s="14" t="s">
        <v>28</v>
      </c>
    </row>
    <row r="43" spans="1:13" s="3" customFormat="1" ht="13.8" thickTop="1" x14ac:dyDescent="0.25">
      <c r="A43" s="2"/>
      <c r="B43" s="2"/>
      <c r="C43" s="2"/>
      <c r="D43" s="2"/>
      <c r="E43" s="2"/>
      <c r="F43" s="2"/>
      <c r="G43" s="2"/>
      <c r="H43" s="2"/>
      <c r="I43" s="2">
        <f>I42*I29</f>
        <v>0</v>
      </c>
      <c r="J43" s="2"/>
      <c r="K43" s="2"/>
      <c r="L43" s="2"/>
      <c r="M43" s="4"/>
    </row>
    <row r="44" spans="1:13" x14ac:dyDescent="0.25">
      <c r="A44" s="2"/>
      <c r="B44" s="1"/>
      <c r="C44" s="1"/>
      <c r="D44" s="1"/>
      <c r="E44" s="1"/>
      <c r="F44" s="1"/>
      <c r="G44" s="1"/>
      <c r="H44" s="1"/>
      <c r="I44" s="1"/>
      <c r="J44" s="2"/>
      <c r="K44" s="2"/>
      <c r="L44" s="1"/>
      <c r="M44" s="4"/>
    </row>
    <row r="45" spans="1:13" s="3" customForma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</row>
    <row r="46" spans="1:13" x14ac:dyDescent="0.25">
      <c r="A46" s="2"/>
      <c r="B46" s="1"/>
      <c r="C46" s="1"/>
      <c r="D46" s="1"/>
      <c r="E46" s="1"/>
      <c r="F46" s="23"/>
      <c r="G46" s="23"/>
      <c r="H46" s="23"/>
      <c r="I46" s="1"/>
      <c r="J46" s="2"/>
      <c r="K46" s="2"/>
      <c r="L46" s="1"/>
      <c r="M46" s="4"/>
    </row>
    <row r="47" spans="1:13" x14ac:dyDescent="0.25">
      <c r="A47" s="2"/>
      <c r="B47" s="2"/>
      <c r="C47" s="2"/>
      <c r="D47" s="2"/>
      <c r="E47" s="2"/>
      <c r="F47" s="22"/>
      <c r="G47" s="22"/>
      <c r="H47" s="22"/>
      <c r="I47" s="2"/>
      <c r="J47" s="2"/>
      <c r="K47" s="2"/>
      <c r="L47" s="2"/>
      <c r="M47" s="4"/>
    </row>
    <row r="48" spans="1:13" x14ac:dyDescent="0.25">
      <c r="A48" s="2"/>
      <c r="B48" s="1"/>
      <c r="C48" s="1"/>
      <c r="D48" s="1"/>
      <c r="E48" s="1"/>
      <c r="F48" s="23"/>
      <c r="G48" s="23"/>
      <c r="H48" s="23"/>
      <c r="I48" s="1"/>
      <c r="J48" s="2"/>
      <c r="K48" s="2"/>
      <c r="L48" s="1"/>
      <c r="M48" s="4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6">
    <mergeCell ref="D2:H3"/>
    <mergeCell ref="F47:H47"/>
    <mergeCell ref="F48:H48"/>
    <mergeCell ref="F26:H26"/>
    <mergeCell ref="F46:H46"/>
    <mergeCell ref="D24:H25"/>
  </mergeCells>
  <phoneticPr fontId="0" type="noConversion"/>
  <printOptions horizontalCentered="1" verticalCentered="1"/>
  <pageMargins left="0.75" right="0.75" top="1" bottom="1" header="0.5" footer="0.5"/>
  <pageSetup scale="96" orientation="portrait" r:id="rId1"/>
  <headerFooter alignWithMargins="0">
    <oddHeader>&amp;L&amp;"Arial,Bold"&amp;14 8TH AVE. APARTMENTS&amp;R&amp;D</oddHead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One-Way Plumbing,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brettm</dc:creator>
  <cp:lastModifiedBy>Brett Mortimore</cp:lastModifiedBy>
  <cp:lastPrinted>2012-11-03T22:56:08Z</cp:lastPrinted>
  <dcterms:created xsi:type="dcterms:W3CDTF">2001-08-01T16:19:16Z</dcterms:created>
  <dcterms:modified xsi:type="dcterms:W3CDTF">2012-12-01T22:25:01Z</dcterms:modified>
</cp:coreProperties>
</file>