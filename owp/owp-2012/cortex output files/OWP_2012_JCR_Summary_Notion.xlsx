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Material" sheetId="3" state="visible" r:id="rId5"/>
    <sheet name="Cost Breakdown" sheetId="4" state="visible" r:id="rId6"/>
    <sheet name="Crew &amp; Labor" sheetId="5" state="visible" r:id="rId7"/>
    <sheet name="Insights" sheetId="6" state="visible" r:id="rId8"/>
    <sheet name="Productivity" sheetId="7" state="visible" r:id="rId9"/>
    <sheet name="Benchmark KPIs" sheetId="8" state="visible" r:id="rId10"/>
    <sheet name="Crew Analytics" sheetId="9" state="visible" r:id="rId11"/>
    <sheet name="Reconciliation" sheetId="10" state="visible" r:id="rId12"/>
    <sheet name="Vendor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<sst xmlns="http://schemas.openxmlformats.org/spreadsheetml/2006/main" count="890" uniqueCount="629">
  <si>
    <t xml:space="preserve">CORTEX INTELLIGENCE REPORT</t>
  </si>
  <si>
    <t xml:space="preserve">OWP Job #2012</t>
  </si>
  <si>
    <t xml:space="preserve">Exxel 8th Ave Apartments</t>
  </si>
  <si>
    <t xml:space="preserve">163-unit mid-rise multifamily  ·  Division 22 Plumbing  ·  Seattle, WA  ·  Jan 2013 – Jun 2014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</si>
  <si>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</si>
  <si>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</si>
  <si>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</si>
  <si>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</si>
  <si>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LABOR RATE</t>
  </si>
  <si>
    <t xml:space="preserve">PER-UNIT PROFIT</t>
  </si>
  <si>
    <t xml:space="preserve">163 units</t>
  </si>
  <si>
    <t xml:space="preserve">38.3% margin</t>
  </si>
  <si>
    <t xml:space="preserve">61.7% of revenue</t>
  </si>
  <si>
    <t xml:space="preserve">≈90 hrs/unit</t>
  </si>
  <si>
    <t xml:space="preserve">fully loaded $/hr</t>
  </si>
  <si>
    <t xml:space="preserve">$3.27K each</t>
  </si>
  <si>
    <t xml:space="preserve">Job Facts</t>
  </si>
  <si>
    <t xml:space="preserve">Project ID</t>
  </si>
  <si>
    <t xml:space="preserve">Job #2012</t>
  </si>
  <si>
    <t xml:space="preserve">General Contractor</t>
  </si>
  <si>
    <t xml:space="preserve">Exxel Pacific, Inc.</t>
  </si>
  <si>
    <t xml:space="preserve">Scope</t>
  </si>
  <si>
    <t xml:space="preserve">Division 22 Plumbing</t>
  </si>
  <si>
    <t xml:space="preserve">Building Type</t>
  </si>
  <si>
    <t xml:space="preserve">Mid-rise multifamily</t>
  </si>
  <si>
    <t xml:space="preserve">Unit Count</t>
  </si>
  <si>
    <t xml:space="preserve">163 residential units</t>
  </si>
  <si>
    <t xml:space="preserve">Location</t>
  </si>
  <si>
    <t xml:space="preserve">Seattle, WA</t>
  </si>
  <si>
    <t xml:space="preserve">Duration</t>
  </si>
  <si>
    <t xml:space="preserve">17 months (Mar 2013 – Jul 2014)</t>
  </si>
  <si>
    <t xml:space="preserve">Contract Value</t>
  </si>
  <si>
    <t xml:space="preserve">$1,394,655</t>
  </si>
  <si>
    <t xml:space="preserve">Retainage Held</t>
  </si>
  <si>
    <t xml:space="preserve">$69,573 (5%)</t>
  </si>
  <si>
    <t xml:space="preserve">Pay Applications</t>
  </si>
  <si>
    <t xml:space="preserve">15 pay applications</t>
  </si>
  <si>
    <t xml:space="preserve">Cost Codes Used</t>
  </si>
  <si>
    <t xml:space="preserve">32 cost codes</t>
  </si>
  <si>
    <t xml:space="preserve">Labor Sources</t>
  </si>
  <si>
    <t xml:space="preserve">Payroll (PR), Subs (AP)</t>
  </si>
  <si>
    <t xml:space="preserve">SOURCES</t>
  </si>
  <si>
    <t xml:space="preserve">  Source: 2012 Job Detail Report.pdf (135 pages, OWP, LLC – exported Apr 3, 2026).</t>
  </si>
  <si>
    <t xml:space="preserve">  Project name, contract value, dates, retainage from contract documents in /2012-Exxel, 8th Ave/.</t>
  </si>
  <si>
    <t xml:space="preserve">  All cost codes, budgets, actuals, and labor hours tie out exactly to the JCR. JCR is the canonical source of truth.</t>
  </si>
  <si>
    <t xml:space="preserve">PHASE-LEVEL VARIANCE ANALYSIS</t>
  </si>
  <si>
    <t xml:space="preserve">Budget vs Actual</t>
  </si>
  <si>
    <t xml:space="preserve">All 32 cost codes from the JCR — labor, material, overhead, burden. Totals tie out exactly to the JCR.</t>
  </si>
  <si>
    <t xml:space="preserve">PHASE</t>
  </si>
  <si>
    <t xml:space="preserve">BUDGET</t>
  </si>
  <si>
    <t xml:space="preserve">ACTUAL</t>
  </si>
  <si>
    <t xml:space="preserve">VARIANCE ($)</t>
  </si>
  <si>
    <t xml:space="preserve">VARIANCE %</t>
  </si>
  <si>
    <t xml:space="preserve">HOURS</t>
  </si>
  <si>
    <t xml:space="preserve">$/HR</t>
  </si>
  <si>
    <t xml:space="preserve">STATUS</t>
  </si>
  <si>
    <t xml:space="preserve">100 · Supervision</t>
  </si>
  <si>
    <t xml:space="preserve">UNDER</t>
  </si>
  <si>
    <t xml:space="preserve">011 · DS &amp; RD Labor</t>
  </si>
  <si>
    <t xml:space="preserve">101 · Takeoff &amp; Purchase Labor</t>
  </si>
  <si>
    <t xml:space="preserve">110 · Underground Labor</t>
  </si>
  <si>
    <t xml:space="preserve">111 · Garage Labor</t>
  </si>
  <si>
    <t xml:space="preserve">OVER</t>
  </si>
  <si>
    <t xml:space="preserve">112 · Canout Labor</t>
  </si>
  <si>
    <t xml:space="preserve">113 · Foundation Drain Labor</t>
  </si>
  <si>
    <t xml:space="preserve">120 · Roughin Labor</t>
  </si>
  <si>
    <t xml:space="preserve">130 · Finish Labor</t>
  </si>
  <si>
    <t xml:space="preserve">140 · Gas Labor</t>
  </si>
  <si>
    <t xml:space="preserve">141 · Water Main / Insulation Lab</t>
  </si>
  <si>
    <t xml:space="preserve">142 · Mech Room Labor</t>
  </si>
  <si>
    <t xml:space="preserve">CRITICAL</t>
  </si>
  <si>
    <t xml:space="preserve">145 · Tub/Shower Labor</t>
  </si>
  <si>
    <t xml:space="preserve">039 · DS &amp; RD Material</t>
  </si>
  <si>
    <t xml:space="preserve">—</t>
  </si>
  <si>
    <t xml:space="preserve">210 · Underground Material</t>
  </si>
  <si>
    <t xml:space="preserve">211 · Garage Material</t>
  </si>
  <si>
    <t xml:space="preserve">212 · Canout Material</t>
  </si>
  <si>
    <t xml:space="preserve">213 · Foundation Material</t>
  </si>
  <si>
    <t xml:space="preserve">ON</t>
  </si>
  <si>
    <t xml:space="preserve">220 · Roughin Material</t>
  </si>
  <si>
    <t xml:space="preserve">230 · Finish Material</t>
  </si>
  <si>
    <t xml:space="preserve">240 · Gas Material</t>
  </si>
  <si>
    <t xml:space="preserve">241 · Water Main / Insul. Material</t>
  </si>
  <si>
    <t xml:space="preserve">242 · Mech Room Material</t>
  </si>
  <si>
    <t xml:space="preserve">245 · Tub/Shower Material</t>
  </si>
  <si>
    <t xml:space="preserve">n/a</t>
  </si>
  <si>
    <t xml:space="preserve">UNBUDGETED</t>
  </si>
  <si>
    <t xml:space="preserve">600 · Subcontractor</t>
  </si>
  <si>
    <t xml:space="preserve">601 · Engineering / Plans</t>
  </si>
  <si>
    <t xml:space="preserve">603 · Permits &amp; Licenses</t>
  </si>
  <si>
    <t xml:space="preserve">604 · Backcharges</t>
  </si>
  <si>
    <t xml:space="preserve">607 · Other Expenses</t>
  </si>
  <si>
    <t xml:space="preserve">995 · Payroll Burden</t>
  </si>
  <si>
    <t xml:space="preserve">998 · Payroll Taxes</t>
  </si>
  <si>
    <t xml:space="preserve">999 · Sales</t>
  </si>
  <si>
    <t xml:space="preserve">TOTAL</t>
  </si>
  <si>
    <t xml:space="preserve">  Budgets and actuals for all 32 cost codes parsed from 'Cost Code Totals' lines in the JCR.</t>
  </si>
  <si>
    <t xml:space="preserve">  Labor hours from 'Payroll Hours' lines per cost code section.</t>
  </si>
  <si>
    <t xml:space="preserve">MATERIAL SPEND BY PHASE</t>
  </si>
  <si>
    <t xml:space="preserve">Material Breakdown</t>
  </si>
  <si>
    <t xml:space="preserve">Cost code level breakdown of material budget vs actual purchases (AP) from JCR.</t>
  </si>
  <si>
    <t xml:space="preserve">MATERIAL PHASE</t>
  </si>
  <si>
    <t xml:space="preserve">$/UNIT</t>
  </si>
  <si>
    <t xml:space="preserve">$/FIXTURE</t>
  </si>
  <si>
    <t xml:space="preserve">% OF TOTAL</t>
  </si>
  <si>
    <t xml:space="preserve">241 · Water Main / Insulation</t>
  </si>
  <si>
    <t xml:space="preserve">245 · Tub / Shower Material</t>
  </si>
  <si>
    <t xml:space="preserve">TOTAL MATERIAL</t>
  </si>
  <si>
    <t xml:space="preserve">100.0%</t>
  </si>
  <si>
    <t xml:space="preserve">KEY MATERIAL INSIGHTS</t>
  </si>
  <si>
    <t xml:space="preserve">  ●  Finish Material is the largest line item  —  $210K — 54% of all material spend. Fixture-heavy phase.</t>
  </si>
  <si>
    <t xml:space="preserve">  ●  242 Mech Room Material is 89% over budget  —  $22.7K actual vs $12K budget. Single biggest material overrun.</t>
  </si>
  <si>
    <t xml:space="preserve">  ●  Water Main / Insulation came in 44% under  —  $37K actual vs $66K budget — $28.6K saved on the 241 line.</t>
  </si>
  <si>
    <t xml:space="preserve">  ●  Roughin Material delivered 42% savings  —  $94K actual vs $161K budget. Largest dollar savings on the job.</t>
  </si>
  <si>
    <t xml:space="preserve">  ●  Total material spend = $390.8K vs $553.4K budget  —  $162.6K under (29% favorable). Material was the project's strongest cost lever.</t>
  </si>
  <si>
    <t xml:space="preserve">  ●  Tub/Shower 245 was unbudgeted  —  $2,279 charged with no original budget — minor but worth tracking.</t>
  </si>
  <si>
    <t xml:space="preserve">  Material budgets/actuals from 2xx + 039 cost code sections in the JCR (AP transactions).</t>
  </si>
  <si>
    <t xml:space="preserve">  $/Unit and $/Fixture computed against 163 units / 1004 fixtures from the contract.</t>
  </si>
  <si>
    <t xml:space="preserve">COST COMPOSITION</t>
  </si>
  <si>
    <t xml:space="preserve">Cost Breakdown</t>
  </si>
  <si>
    <t xml:space="preserve">Direct cost decomposition by accounting source.</t>
  </si>
  <si>
    <t xml:space="preserve">SOURCE</t>
  </si>
  <si>
    <t xml:space="preserve">AMOUNT</t>
  </si>
  <si>
    <t xml:space="preserve">DESCRIPTION</t>
  </si>
  <si>
    <t xml:space="preserve">Payroll (PR)</t>
  </si>
  <si>
    <t xml:space="preserve">All in-house labor costs</t>
  </si>
  <si>
    <t xml:space="preserve">Accounts Payable (AP)</t>
  </si>
  <si>
    <t xml:space="preserve">Material purchases &amp; subs</t>
  </si>
  <si>
    <t xml:space="preserve">General Ledger (GL)</t>
  </si>
  <si>
    <t xml:space="preserve">Warehouse, parking, misc fees</t>
  </si>
  <si>
    <t xml:space="preserve">TOTAL DIRECT COST</t>
  </si>
  <si>
    <t xml:space="preserve">Per-Unit Benchmarks</t>
  </si>
  <si>
    <t xml:space="preserve">Normalized across 163 residential units</t>
  </si>
  <si>
    <t xml:space="preserve">METRIC</t>
  </si>
  <si>
    <t xml:space="preserve">PER UNIT</t>
  </si>
  <si>
    <t xml:space="preserve">% OF REVENUE</t>
  </si>
  <si>
    <t xml:space="preserve">Revenue</t>
  </si>
  <si>
    <t xml:space="preserve">Direct Cost</t>
  </si>
  <si>
    <t xml:space="preserve">Net Profit</t>
  </si>
  <si>
    <t xml:space="preserve">Roughin Labor</t>
  </si>
  <si>
    <t xml:space="preserve">Roughin Material</t>
  </si>
  <si>
    <t xml:space="preserve">Finish Labor</t>
  </si>
  <si>
    <t xml:space="preserve">Engineering</t>
  </si>
  <si>
    <t xml:space="preserve">Permits</t>
  </si>
  <si>
    <t xml:space="preserve">  PR / AP / GL splits derived from JCR transaction sources (Src column = PR, AP, or GL).</t>
  </si>
  <si>
    <t xml:space="preserve">  Vendor and worker rollups extracted programmatically from JCR transaction detail.</t>
  </si>
  <si>
    <t xml:space="preserve">WORKFORCE COMPOSITION</t>
  </si>
  <si>
    <t xml:space="preserve">Crew &amp; Labor</t>
  </si>
  <si>
    <t xml:space="preserve">Rate tier breakdown by role and key personnel.</t>
  </si>
  <si>
    <t xml:space="preserve">TIER</t>
  </si>
  <si>
    <t xml:space="preserve">RATE RANGE</t>
  </si>
  <si>
    <t xml:space="preserve">WORKERS</t>
  </si>
  <si>
    <t xml:space="preserve">NOTES</t>
  </si>
  <si>
    <t xml:space="preserve">Superintendent</t>
  </si>
  <si>
    <t xml:space="preserve">$33–38/hr</t>
  </si>
  <si>
    <t xml:space="preserve">Project oversight</t>
  </si>
  <si>
    <t xml:space="preserve">Lead Journeyman</t>
  </si>
  <si>
    <t xml:space="preserve">$28–31/hr</t>
  </si>
  <si>
    <t xml:space="preserve">Phase leadership</t>
  </si>
  <si>
    <t xml:space="preserve">Journeyman</t>
  </si>
  <si>
    <t xml:space="preserve">$20–27/hr</t>
  </si>
  <si>
    <t xml:space="preserve">Skilled installation</t>
  </si>
  <si>
    <t xml:space="preserve">Apprentice</t>
  </si>
  <si>
    <t xml:space="preserve">$12–16/hr</t>
  </si>
  <si>
    <t xml:space="preserve">Supervised hands-on</t>
  </si>
  <si>
    <t xml:space="preserve">Helper</t>
  </si>
  <si>
    <t xml:space="preserve">$12–14/hr</t>
  </si>
  <si>
    <t xml:space="preserve">Material handling</t>
  </si>
  <si>
    <t xml:space="preserve">TOTAL CREW</t>
  </si>
  <si>
    <t xml:space="preserve">Blended Labor Metrics</t>
  </si>
  <si>
    <t xml:space="preserve">Gross wages</t>
  </si>
  <si>
    <t xml:space="preserve">$19.94/hr</t>
  </si>
  <si>
    <t xml:space="preserve">Fully loaded rate</t>
  </si>
  <si>
    <t xml:space="preserve">$30.12/hr</t>
  </si>
  <si>
    <t xml:space="preserve">Burden multiplier</t>
  </si>
  <si>
    <t xml:space="preserve">1.51x</t>
  </si>
  <si>
    <t xml:space="preserve">Total labor hours</t>
  </si>
  <si>
    <t xml:space="preserve">14,607</t>
  </si>
  <si>
    <t xml:space="preserve">Hours per unit</t>
  </si>
  <si>
    <t xml:space="preserve">≈90 hrs</t>
  </si>
  <si>
    <t xml:space="preserve">Labor : Material ratio</t>
  </si>
  <si>
    <t xml:space="preserve">1.05 : 1</t>
  </si>
  <si>
    <t xml:space="preserve">  Tier and rate band assignments inferred from blended $/hr in JCR PR transactions.</t>
  </si>
  <si>
    <t xml:space="preserve">  Burden multiplier and fully loaded rate computed from JCR Payroll Burden code (995) ÷ gross wages.</t>
  </si>
  <si>
    <t xml:space="preserve">AGENT FINDINGS</t>
  </si>
  <si>
    <t xml:space="preserve">Insights &amp; Recommendations</t>
  </si>
  <si>
    <t xml:space="preserve">Key findings to inform future bids and project execution.</t>
  </si>
  <si>
    <t xml:space="preserve">Mech Room — 178% over budget</t>
  </si>
  <si>
    <t xml:space="preserve">$9,784 actual vs $3,525 budget. Complex manifold assemblies and circ pump installations consistently underestimated. Recommend budgeting 2.5–3x initial estimate on future projects with similar mechanical scope.</t>
  </si>
  <si>
    <t xml:space="preserve">OVERRUN</t>
  </si>
  <si>
    <t xml:space="preserve">Roughin Labor — 27% over budget</t>
  </si>
  <si>
    <t xml:space="preserve">9,320 hours consumed (64% of all labor). At 57 hrs/unit, this exceeds comparable mid-rise projects by ~15%. Recommend budgeting 65+ hrs/unit on future mid-rise multifamily and adding 20% contingency.</t>
  </si>
  <si>
    <t xml:space="preserve">Garage Labor — 33% over budget</t>
  </si>
  <si>
    <t xml:space="preserve">$19,354 actual vs $14,600 budget. Below-grade work in garage levels consistently underestimated. Increase garage labor budget by 30% on future bids with subterranean parking.</t>
  </si>
  <si>
    <t xml:space="preserve">SAVINGS</t>
  </si>
  <si>
    <t xml:space="preserve">Water Main — 62% under budget</t>
  </si>
  <si>
    <t xml:space="preserve">$15,756 actual vs $41,000 budget. Estimate is too conservative by ~$25K. Tighten by 40–50% on future bids to sharpen competitiveness without margin risk.</t>
  </si>
  <si>
    <t xml:space="preserve">Tub/Shower — 66% under budget</t>
  </si>
  <si>
    <t xml:space="preserve">$6,781 actual vs $19,800 budget. Quick install on standardized fixtures. Reduce future bids on similar prefab tub/shower scope by 50%.</t>
  </si>
  <si>
    <t xml:space="preserve">BENCHMARK</t>
  </si>
  <si>
    <t xml:space="preserve">Per-unit cost: $5,265</t>
  </si>
  <si>
    <t xml:space="preserve">Use $5,000–$5,500/unit as base direct cost for similar Division 22 scope on mid-rise multifamily. Target $8,000–$9,000/unit revenue for healthy margin.</t>
  </si>
  <si>
    <t xml:space="preserve">Labor : Material ratio of 1.05 : 1</t>
  </si>
  <si>
    <t xml:space="preserve">Plumbing on mid-rise tracks roughly 1:1 between labor and material spend. Use this ratio as a sanity check on future estimates — significant deviation flags scope risk.</t>
  </si>
  <si>
    <t xml:space="preserve">ACTION</t>
  </si>
  <si>
    <t xml:space="preserve">Tighten contingency strategy</t>
  </si>
  <si>
    <t xml:space="preserve">Net 38.3% margin masks significant scatter at the cost code level. Move from blanket 10% contingency to phase-specific contingencies: 20% on roughin/mech, 5% on water main/insulation.</t>
  </si>
  <si>
    <t xml:space="preserve">  Variance analysis derived from Budget vs Actual tab — same 32 JCR cost codes.</t>
  </si>
  <si>
    <t xml:space="preserve">LABOR PRODUCTIVITY &amp; THROUGHPUT</t>
  </si>
  <si>
    <t xml:space="preserve">Productivity Metrics</t>
  </si>
  <si>
    <t xml:space="preserve">Hours, dollars, and throughput normalized per unit and per fixture.</t>
  </si>
  <si>
    <t xml:space="preserve">COST</t>
  </si>
  <si>
    <t xml:space="preserve">HRS/UNIT</t>
  </si>
  <si>
    <t xml:space="preserve">HRS/FIXTURE</t>
  </si>
  <si>
    <t xml:space="preserve">111 · Garage</t>
  </si>
  <si>
    <t xml:space="preserve">112 · Canout</t>
  </si>
  <si>
    <t xml:space="preserve">120 · Roughin</t>
  </si>
  <si>
    <t xml:space="preserve">130 · Finish</t>
  </si>
  <si>
    <t xml:space="preserve">141 · Water Main</t>
  </si>
  <si>
    <t xml:space="preserve">142 · Mech Room</t>
  </si>
  <si>
    <t xml:space="preserve">145 · Tub/Shower</t>
  </si>
  <si>
    <t xml:space="preserve">TOTAL LABOR</t>
  </si>
  <si>
    <t xml:space="preserve">Throughput &amp; Velocity</t>
  </si>
  <si>
    <t xml:space="preserve">Pace metrics across the 17-month build</t>
  </si>
  <si>
    <t xml:space="preserve">Project Duration</t>
  </si>
  <si>
    <t xml:space="preserve">17 months</t>
  </si>
  <si>
    <t xml:space="preserve">Units per Month</t>
  </si>
  <si>
    <t xml:space="preserve">Fixtures per Month</t>
  </si>
  <si>
    <t xml:space="preserve">Labor Hours per Month</t>
  </si>
  <si>
    <t xml:space="preserve">Revenue per Month</t>
  </si>
  <si>
    <t xml:space="preserve">Hours per Worker</t>
  </si>
  <si>
    <t xml:space="preserve">Avg Days on Site/Worker</t>
  </si>
  <si>
    <t xml:space="preserve">Crew Density</t>
  </si>
  <si>
    <t xml:space="preserve">Labor Efficiency</t>
  </si>
  <si>
    <t xml:space="preserve">Gross Wage (blended)</t>
  </si>
  <si>
    <t xml:space="preserve">Fully-Loaded Rate</t>
  </si>
  <si>
    <t xml:space="preserve">Burden Multiplier</t>
  </si>
  <si>
    <t xml:space="preserve">Burden as % of Payroll</t>
  </si>
  <si>
    <t xml:space="preserve">33.8%</t>
  </si>
  <si>
    <t xml:space="preserve">Revenue per Labor Hour</t>
  </si>
  <si>
    <t xml:space="preserve">Profit per Labor Hour</t>
  </si>
  <si>
    <t xml:space="preserve">Labor as % of Revenue</t>
  </si>
  <si>
    <t xml:space="preserve">Material as % of Revenue</t>
  </si>
  <si>
    <t xml:space="preserve">Labor : Material Ratio</t>
  </si>
  <si>
    <t xml:space="preserve">  Project facts (163 units, 1004 fixtures, 17-month duration) sourced from contract + plan set in /2012-Exxel, 8th Ave/Contract.</t>
  </si>
  <si>
    <t xml:space="preserve">  Productivity metrics = JCR labor hours ÷ contract unit/fixture counts.</t>
  </si>
  <si>
    <t xml:space="preserve">CROSS-PROJECT BENCHMARK SCORECARD</t>
  </si>
  <si>
    <t xml:space="preserve">Benchmark KPIs</t>
  </si>
  <si>
    <t xml:space="preserve">Normalized metrics designed for apples-to-apples comparison across all OWP projects.</t>
  </si>
  <si>
    <t xml:space="preserve">KPI</t>
  </si>
  <si>
    <t xml:space="preserve">DATA NAME</t>
  </si>
  <si>
    <t xml:space="preserve">VALUE</t>
  </si>
  <si>
    <t xml:space="preserve">CATEGORY</t>
  </si>
  <si>
    <t xml:space="preserve">NOTES / BENCHMARK CONTEXT</t>
  </si>
  <si>
    <t xml:space="preserve">Project Type</t>
  </si>
  <si>
    <t xml:space="preserve">project_type</t>
  </si>
  <si>
    <t xml:space="preserve">Mid-rise Multifamily</t>
  </si>
  <si>
    <t xml:space="preserve">Profile</t>
  </si>
  <si>
    <t xml:space="preserve">Building category for benchmarking</t>
  </si>
  <si>
    <t xml:space="preserve">unit_count</t>
  </si>
  <si>
    <t xml:space="preserve">Residential units delivered</t>
  </si>
  <si>
    <t xml:space="preserve">Fixture Count</t>
  </si>
  <si>
    <t xml:space="preserve">fixture_count</t>
  </si>
  <si>
    <t xml:space="preserve">Plumbing fixture count</t>
  </si>
  <si>
    <t xml:space="preserve">Fixtures per Unit</t>
  </si>
  <si>
    <t xml:space="preserve">fixtures_per_unit</t>
  </si>
  <si>
    <t xml:space="preserve">≈6 fixtures/unit typical for multifamily</t>
  </si>
  <si>
    <t xml:space="preserve">project_duration_months</t>
  </si>
  <si>
    <t xml:space="preserve">Calendar months from start to close</t>
  </si>
  <si>
    <t xml:space="preserve">contract_value</t>
  </si>
  <si>
    <t xml:space="preserve">Original contract value</t>
  </si>
  <si>
    <t xml:space="preserve">Gross Margin</t>
  </si>
  <si>
    <t xml:space="preserve">gross_margin</t>
  </si>
  <si>
    <t xml:space="preserve">Financial</t>
  </si>
  <si>
    <t xml:space="preserve">Net profit / revenue</t>
  </si>
  <si>
    <t xml:space="preserve">Profit per Unit</t>
  </si>
  <si>
    <t xml:space="preserve">profit_per_unit</t>
  </si>
  <si>
    <t xml:space="preserve">Net profit normalized per residential unit</t>
  </si>
  <si>
    <t xml:space="preserve">Profit per Fixture</t>
  </si>
  <si>
    <t xml:space="preserve">profit_per_fixture</t>
  </si>
  <si>
    <t xml:space="preserve">Net profit per fixture installed</t>
  </si>
  <si>
    <t xml:space="preserve">Revenue per Unit</t>
  </si>
  <si>
    <t xml:space="preserve">revenue_per_unit</t>
  </si>
  <si>
    <t xml:space="preserve">Top-line per unit</t>
  </si>
  <si>
    <t xml:space="preserve">Revenue per Fixture</t>
  </si>
  <si>
    <t xml:space="preserve">revenue_per_fixture</t>
  </si>
  <si>
    <t xml:space="preserve">Top-line per fixture</t>
  </si>
  <si>
    <t xml:space="preserve">Cost per Unit</t>
  </si>
  <si>
    <t xml:space="preserve">cost_per_unit</t>
  </si>
  <si>
    <t xml:space="preserve">Total direct cost per unit</t>
  </si>
  <si>
    <t xml:space="preserve">Cost per Fixture</t>
  </si>
  <si>
    <t xml:space="preserve">cost_per_fixture</t>
  </si>
  <si>
    <t xml:space="preserve">Total direct cost per fixture</t>
  </si>
  <si>
    <t xml:space="preserve">Retainage % of Contract</t>
  </si>
  <si>
    <t xml:space="preserve">retainage_pct</t>
  </si>
  <si>
    <t xml:space="preserve">Held by GC until closeout</t>
  </si>
  <si>
    <t xml:space="preserve">Total Labor Hours</t>
  </si>
  <si>
    <t xml:space="preserve">total_labor_hours</t>
  </si>
  <si>
    <t xml:space="preserve">Labor</t>
  </si>
  <si>
    <t xml:space="preserve">All payroll hours on the job</t>
  </si>
  <si>
    <t xml:space="preserve">Hours per Unit</t>
  </si>
  <si>
    <t xml:space="preserve">hours_per_unit</t>
  </si>
  <si>
    <t xml:space="preserve">Key plumbing benchmark</t>
  </si>
  <si>
    <t xml:space="preserve">Hours per Fixture</t>
  </si>
  <si>
    <t xml:space="preserve">hours_per_fixture</t>
  </si>
  <si>
    <t xml:space="preserve">Industry std for plumbing subs</t>
  </si>
  <si>
    <t xml:space="preserve">Labor $ per Unit</t>
  </si>
  <si>
    <t xml:space="preserve">labor_cost_per_unit</t>
  </si>
  <si>
    <t xml:space="preserve">Payroll only, not material</t>
  </si>
  <si>
    <t xml:space="preserve">Labor $ per Fixture</t>
  </si>
  <si>
    <t xml:space="preserve">labor_cost_per_fixture</t>
  </si>
  <si>
    <t xml:space="preserve">Blended Gross Wage</t>
  </si>
  <si>
    <t xml:space="preserve">blended_gross_wage</t>
  </si>
  <si>
    <t xml:space="preserve">Pre-burden average</t>
  </si>
  <si>
    <t xml:space="preserve">Fully-Loaded Wage</t>
  </si>
  <si>
    <t xml:space="preserve">fully_loaded_wage</t>
  </si>
  <si>
    <t xml:space="preserve">Post-burden true cost</t>
  </si>
  <si>
    <t xml:space="preserve">burden_multiplier</t>
  </si>
  <si>
    <t xml:space="preserve">Loaded ÷ gross</t>
  </si>
  <si>
    <t xml:space="preserve">revenue_per_labor_hour</t>
  </si>
  <si>
    <t xml:space="preserve">Productivity ceiling</t>
  </si>
  <si>
    <t xml:space="preserve">profit_per_labor_hour</t>
  </si>
  <si>
    <t xml:space="preserve">Margin per hour worked</t>
  </si>
  <si>
    <t xml:space="preserve">Total Workers</t>
  </si>
  <si>
    <t xml:space="preserve">total_workers</t>
  </si>
  <si>
    <t xml:space="preserve">Crew</t>
  </si>
  <si>
    <t xml:space="preserve">Unique payroll IDs across job</t>
  </si>
  <si>
    <t xml:space="preserve">crew_density_per_100u</t>
  </si>
  <si>
    <t xml:space="preserve">Workers per 100 units</t>
  </si>
  <si>
    <t xml:space="preserve">Lead-to-Helper Ratio</t>
  </si>
  <si>
    <t xml:space="preserve">lead_to_helper_ratio</t>
  </si>
  <si>
    <t xml:space="preserve">5 : 37</t>
  </si>
  <si>
    <t xml:space="preserve">1 super to 8 helpers</t>
  </si>
  <si>
    <t xml:space="preserve">Apprentice Ratio</t>
  </si>
  <si>
    <t xml:space="preserve">apprentice_ratio</t>
  </si>
  <si>
    <t xml:space="preserve">Apprentices as % of crew</t>
  </si>
  <si>
    <t xml:space="preserve">units_per_month</t>
  </si>
  <si>
    <t xml:space="preserve">Throughput</t>
  </si>
  <si>
    <t xml:space="preserve">Build pace</t>
  </si>
  <si>
    <t xml:space="preserve">fixtures_per_month</t>
  </si>
  <si>
    <t xml:space="preserve">Fixture install velocity</t>
  </si>
  <si>
    <t xml:space="preserve">Hours per Month</t>
  </si>
  <si>
    <t xml:space="preserve">hours_per_month</t>
  </si>
  <si>
    <t xml:space="preserve">Avg monthly labor burn</t>
  </si>
  <si>
    <t xml:space="preserve">labor_pct_of_revenue</t>
  </si>
  <si>
    <t xml:space="preserve">Cost Mix</t>
  </si>
  <si>
    <t xml:space="preserve">Payroll exposure</t>
  </si>
  <si>
    <t xml:space="preserve">material_pct_of_revenue</t>
  </si>
  <si>
    <t xml:space="preserve">Material/sub exposure</t>
  </si>
  <si>
    <t xml:space="preserve">GL as % of Revenue</t>
  </si>
  <si>
    <t xml:space="preserve">gl_pct_of_revenue</t>
  </si>
  <si>
    <t xml:space="preserve">Misc internal allocations</t>
  </si>
  <si>
    <t xml:space="preserve">labor_to_material_ratio</t>
  </si>
  <si>
    <t xml:space="preserve">Plumbing typically 1:1</t>
  </si>
  <si>
    <t xml:space="preserve">Phases Over Budget</t>
  </si>
  <si>
    <t xml:space="preserve">phases_over_budget</t>
  </si>
  <si>
    <t xml:space="preserve">Estimating</t>
  </si>
  <si>
    <t xml:space="preserve">Roughin, Finish, Garage, Mech Room</t>
  </si>
  <si>
    <t xml:space="preserve">Phases Under Budget</t>
  </si>
  <si>
    <t xml:space="preserve">phases_under_budget</t>
  </si>
  <si>
    <t xml:space="preserve">Water Main, Tub/Shower, Canout, Supervision</t>
  </si>
  <si>
    <t xml:space="preserve">Largest Overrun</t>
  </si>
  <si>
    <t xml:space="preserve">largest_overrun</t>
  </si>
  <si>
    <t xml:space="preserve">+178% (Mech Room)</t>
  </si>
  <si>
    <t xml:space="preserve">Risk hot spot</t>
  </si>
  <si>
    <t xml:space="preserve">Largest Savings</t>
  </si>
  <si>
    <t xml:space="preserve">largest_savings</t>
  </si>
  <si>
    <t xml:space="preserve">−66% (Tub/Shower)</t>
  </si>
  <si>
    <t xml:space="preserve">Conservative bid line</t>
  </si>
  <si>
    <t xml:space="preserve">Net Variance</t>
  </si>
  <si>
    <t xml:space="preserve">net_variance_pct</t>
  </si>
  <si>
    <t xml:space="preserve">Total cost vs total budget</t>
  </si>
  <si>
    <t xml:space="preserve">Total Material Spend</t>
  </si>
  <si>
    <t xml:space="preserve">material_spend_total</t>
  </si>
  <si>
    <t xml:space="preserve">Material</t>
  </si>
  <si>
    <t xml:space="preserve">Sum of all 2xx + 039 codes (AP)</t>
  </si>
  <si>
    <t xml:space="preserve">Total Material Budget</t>
  </si>
  <si>
    <t xml:space="preserve">material_budget_total</t>
  </si>
  <si>
    <t xml:space="preserve">Original material budget across all phases</t>
  </si>
  <si>
    <t xml:space="preserve">Material Variance</t>
  </si>
  <si>
    <t xml:space="preserve">material_variance_dollars</t>
  </si>
  <si>
    <t xml:space="preserve">Negative = under budget (savings)</t>
  </si>
  <si>
    <t xml:space="preserve">Material Variance %</t>
  </si>
  <si>
    <t xml:space="preserve">material_variance_pct</t>
  </si>
  <si>
    <t xml:space="preserve">29% under budget — strongest cost lever</t>
  </si>
  <si>
    <t xml:space="preserve">Material $ per Unit</t>
  </si>
  <si>
    <t xml:space="preserve">material_cost_per_unit</t>
  </si>
  <si>
    <t xml:space="preserve">Cross-project benchmark</t>
  </si>
  <si>
    <t xml:space="preserve">Material $ per Fixture</t>
  </si>
  <si>
    <t xml:space="preserve">material_cost_per_fixture</t>
  </si>
  <si>
    <t xml:space="preserve">Material % of Revenue</t>
  </si>
  <si>
    <t xml:space="preserve">material_pct_of_revenue_actual</t>
  </si>
  <si>
    <t xml:space="preserve">Material exposure to top-line</t>
  </si>
  <si>
    <t xml:space="preserve">Material % of Direct Cost</t>
  </si>
  <si>
    <t xml:space="preserve">material_pct_of_direct_cost</t>
  </si>
  <si>
    <t xml:space="preserve">Share of total job cost</t>
  </si>
  <si>
    <t xml:space="preserve">Labor : Material $ Ratio</t>
  </si>
  <si>
    <t xml:space="preserve">labor_to_material_dollar_ratio</t>
  </si>
  <si>
    <t xml:space="preserve">Plumbing typical ≈1.0–1.2:1</t>
  </si>
  <si>
    <t xml:space="preserve">Finish Material Share</t>
  </si>
  <si>
    <t xml:space="preserve">finish_material_share</t>
  </si>
  <si>
    <t xml:space="preserve">230 Finish is the largest single line</t>
  </si>
  <si>
    <t xml:space="preserve">Roughin Material Share</t>
  </si>
  <si>
    <t xml:space="preserve">roughin_material_share</t>
  </si>
  <si>
    <t xml:space="preserve">220 Roughin is second largest</t>
  </si>
  <si>
    <t xml:space="preserve">Top 2 Codes Concentration</t>
  </si>
  <si>
    <t xml:space="preserve">top_2_material_concentration</t>
  </si>
  <si>
    <t xml:space="preserve">Finish + Roughin = bulk of material</t>
  </si>
  <si>
    <t xml:space="preserve">Material Codes Tracked</t>
  </si>
  <si>
    <t xml:space="preserve">material_codes_tracked</t>
  </si>
  <si>
    <t xml:space="preserve">Distinct 2xx + 039 cost codes</t>
  </si>
  <si>
    <t xml:space="preserve">Material Codes Over Budget</t>
  </si>
  <si>
    <t xml:space="preserve">material_codes_over_budget</t>
  </si>
  <si>
    <t xml:space="preserve">242 Mech Room + 245 Tub/Shower (unbudgeted)</t>
  </si>
  <si>
    <t xml:space="preserve">Material Codes Under Budget</t>
  </si>
  <si>
    <t xml:space="preserve">material_codes_under_budget</t>
  </si>
  <si>
    <t xml:space="preserve">Strong estimating discipline on materials</t>
  </si>
  <si>
    <t xml:space="preserve">Largest Material Overrun</t>
  </si>
  <si>
    <t xml:space="preserve">largest_material_overrun</t>
  </si>
  <si>
    <t xml:space="preserve">+89% (242 Mech Room)</t>
  </si>
  <si>
    <t xml:space="preserve">$22.7K vs $12K budget — biggest hot spot</t>
  </si>
  <si>
    <t xml:space="preserve">Largest Material Savings</t>
  </si>
  <si>
    <t xml:space="preserve">largest_material_savings</t>
  </si>
  <si>
    <t xml:space="preserve">−42% (220 Roughin)</t>
  </si>
  <si>
    <t xml:space="preserve">$67K under budget — biggest dollar save</t>
  </si>
  <si>
    <t xml:space="preserve">Material Vendors</t>
  </si>
  <si>
    <t xml:space="preserve">material_vendor_count</t>
  </si>
  <si>
    <t xml:space="preserve">Distinct AP vendors invoiced on the job</t>
  </si>
  <si>
    <t xml:space="preserve">Top Vendor (Keller Supply)</t>
  </si>
  <si>
    <t xml:space="preserve">top_vendor_spend</t>
  </si>
  <si>
    <t xml:space="preserve">37% of material spend, 40 invoices</t>
  </si>
  <si>
    <t xml:space="preserve">Top 3 Vendor Concentration</t>
  </si>
  <si>
    <t xml:space="preserve">top_3_vendor_concentration</t>
  </si>
  <si>
    <t xml:space="preserve">Keller + Ferguson + Mech Sales</t>
  </si>
  <si>
    <t xml:space="preserve">Avg Material Invoice</t>
  </si>
  <si>
    <t xml:space="preserve">avg_material_invoice</t>
  </si>
  <si>
    <t xml:space="preserve">186 AP invoices across all vendors</t>
  </si>
  <si>
    <t xml:space="preserve">  All financial KPIs sourced from JCR. Material KPIs from extracted 2xx + 039 cost code data.</t>
  </si>
  <si>
    <t xml:space="preserve">  Vendor concentration metrics from AP transaction parse: 17 distinct vendors, 186 invoices, $408,537 total.</t>
  </si>
  <si>
    <t xml:space="preserve">WORKER-LEVEL DEEP DIVE</t>
  </si>
  <si>
    <t xml:space="preserve">Crew Analytics</t>
  </si>
  <si>
    <t xml:space="preserve">Per-worker hours, OT %, $, blended rate, and code participation. Extracted from JCR PR transactions.</t>
  </si>
  <si>
    <t xml:space="preserve">WORKER</t>
  </si>
  <si>
    <t xml:space="preserve">ID</t>
  </si>
  <si>
    <t xml:space="preserve">REG HRS</t>
  </si>
  <si>
    <t xml:space="preserve">OT HRS</t>
  </si>
  <si>
    <t xml:space="preserve">TOTAL HRS</t>
  </si>
  <si>
    <t xml:space="preserve">OT %</t>
  </si>
  <si>
    <t xml:space="preserve">WAGES ($)</t>
  </si>
  <si>
    <t xml:space="preserve">CODES</t>
  </si>
  <si>
    <t xml:space="preserve">Quintanilla, Esteban R</t>
  </si>
  <si>
    <t xml:space="preserve">QU35</t>
  </si>
  <si>
    <t xml:space="preserve">Lead</t>
  </si>
  <si>
    <t xml:space="preserve">Gonzalez Hernandez, Josue</t>
  </si>
  <si>
    <t xml:space="preserve">GO56</t>
  </si>
  <si>
    <t xml:space="preserve">Lima Romero, Melvin A</t>
  </si>
  <si>
    <t xml:space="preserve">LI49</t>
  </si>
  <si>
    <t xml:space="preserve">Palma Vides, Hugo</t>
  </si>
  <si>
    <t xml:space="preserve">PA46</t>
  </si>
  <si>
    <t xml:space="preserve">Castro Hernandez, Jose A</t>
  </si>
  <si>
    <t xml:space="preserve">CA77</t>
  </si>
  <si>
    <t xml:space="preserve">Rivera, Eli P</t>
  </si>
  <si>
    <t xml:space="preserve">RI84</t>
  </si>
  <si>
    <t xml:space="preserve">Chavarria Lopez, Omar A</t>
  </si>
  <si>
    <t xml:space="preserve">CH04</t>
  </si>
  <si>
    <t xml:space="preserve">Monico Brambila, Jesus S</t>
  </si>
  <si>
    <t xml:space="preserve">MO54</t>
  </si>
  <si>
    <t xml:space="preserve">Meza Fuentes, Erick A</t>
  </si>
  <si>
    <t xml:space="preserve">ME98</t>
  </si>
  <si>
    <t xml:space="preserve">Rivera, Jorge A</t>
  </si>
  <si>
    <t xml:space="preserve">RI87</t>
  </si>
  <si>
    <t xml:space="preserve">Paco Leyva, Orlando</t>
  </si>
  <si>
    <t xml:space="preserve">PA11</t>
  </si>
  <si>
    <t xml:space="preserve">Gerard, Jeffrey S</t>
  </si>
  <si>
    <t xml:space="preserve">GE69</t>
  </si>
  <si>
    <t xml:space="preserve">Veley, Nathaniel S</t>
  </si>
  <si>
    <t xml:space="preserve">VE45</t>
  </si>
  <si>
    <t xml:space="preserve">Ramos Garcia, Jose M</t>
  </si>
  <si>
    <t xml:space="preserve">RA54</t>
  </si>
  <si>
    <t xml:space="preserve">Sanders, Allen O</t>
  </si>
  <si>
    <t xml:space="preserve">SA54</t>
  </si>
  <si>
    <t xml:space="preserve">Waites, Thaddeus Z</t>
  </si>
  <si>
    <t xml:space="preserve">WA35</t>
  </si>
  <si>
    <t xml:space="preserve">Vega Arriaga, Jorge</t>
  </si>
  <si>
    <t xml:space="preserve">VE25</t>
  </si>
  <si>
    <t xml:space="preserve">Soto Cruz, Jovani</t>
  </si>
  <si>
    <t xml:space="preserve">SO78</t>
  </si>
  <si>
    <t xml:space="preserve">Spears, Gregory M</t>
  </si>
  <si>
    <t xml:space="preserve">SP17</t>
  </si>
  <si>
    <t xml:space="preserve">Soto Serna, Cesar E</t>
  </si>
  <si>
    <t xml:space="preserve">SO79</t>
  </si>
  <si>
    <t xml:space="preserve">Castaneda Martinez, Gustavo</t>
  </si>
  <si>
    <t xml:space="preserve">CA74</t>
  </si>
  <si>
    <t xml:space="preserve">Lopez Martinez, Abimael</t>
  </si>
  <si>
    <t xml:space="preserve">LO55</t>
  </si>
  <si>
    <t xml:space="preserve">Castaneda Juarez, Edgar D</t>
  </si>
  <si>
    <t xml:space="preserve">CA72</t>
  </si>
  <si>
    <t xml:space="preserve">Cortes Mendiola, Victor H</t>
  </si>
  <si>
    <t xml:space="preserve">CO71</t>
  </si>
  <si>
    <t xml:space="preserve">Sepulveda Gonzalez, Alfredo</t>
  </si>
  <si>
    <t xml:space="preserve">SE64</t>
  </si>
  <si>
    <t xml:space="preserve">Castro Hernandez, Carlos E</t>
  </si>
  <si>
    <t xml:space="preserve">CA75</t>
  </si>
  <si>
    <t xml:space="preserve">Vaughan, Tyler J</t>
  </si>
  <si>
    <t xml:space="preserve">VA86</t>
  </si>
  <si>
    <t xml:space="preserve">Holmes, Anthony R</t>
  </si>
  <si>
    <t xml:space="preserve">HO14</t>
  </si>
  <si>
    <t xml:space="preserve">Sanchez Garcia, Adelaido</t>
  </si>
  <si>
    <t xml:space="preserve">SA52</t>
  </si>
  <si>
    <t xml:space="preserve">Velasquez Cruz, Denis M</t>
  </si>
  <si>
    <t xml:space="preserve">VE42</t>
  </si>
  <si>
    <t xml:space="preserve">Agustin Rodriguez, Ezequiel</t>
  </si>
  <si>
    <t xml:space="preserve">AG52</t>
  </si>
  <si>
    <t xml:space="preserve">Arreola, Israel A</t>
  </si>
  <si>
    <t xml:space="preserve">AR70</t>
  </si>
  <si>
    <t xml:space="preserve">Rendon Villasenor, Ismael</t>
  </si>
  <si>
    <t xml:space="preserve">RE54</t>
  </si>
  <si>
    <t xml:space="preserve">Garcia, Jordan X</t>
  </si>
  <si>
    <t xml:space="preserve">GA70</t>
  </si>
  <si>
    <t xml:space="preserve">Wilson, Garret A</t>
  </si>
  <si>
    <t xml:space="preserve">WI46</t>
  </si>
  <si>
    <t xml:space="preserve">Barnhart, Joseph N</t>
  </si>
  <si>
    <t xml:space="preserve">BA70</t>
  </si>
  <si>
    <t xml:space="preserve">Salazar, Hajdar L</t>
  </si>
  <si>
    <t xml:space="preserve">SA45</t>
  </si>
  <si>
    <t xml:space="preserve">McCabe, Thomas C</t>
  </si>
  <si>
    <t xml:space="preserve">MC09</t>
  </si>
  <si>
    <t xml:space="preserve">Reed, Reuben H</t>
  </si>
  <si>
    <t xml:space="preserve">RE18</t>
  </si>
  <si>
    <t xml:space="preserve">Castaneda Juarez, Gustavo</t>
  </si>
  <si>
    <t xml:space="preserve">CA73</t>
  </si>
  <si>
    <t xml:space="preserve">Hubbard, Dustin R</t>
  </si>
  <si>
    <t xml:space="preserve">HU04</t>
  </si>
  <si>
    <t xml:space="preserve">Hubbard, Robert W</t>
  </si>
  <si>
    <t xml:space="preserve">HU06</t>
  </si>
  <si>
    <t xml:space="preserve">42 workers</t>
  </si>
  <si>
    <t xml:space="preserve">CREW INSIGHTS</t>
  </si>
  <si>
    <t xml:space="preserve">  ●  Top 3 workers ran 26% of all hours  —  Quintanilla, Gonzalez, and Lima logged 3,385 hrs (23% of 14,608) — tight core crew.</t>
  </si>
  <si>
    <t xml:space="preserve">  ●  Quintanilla is the highest-leverage worker  —  1,199 hrs at $32.51/hr blended — highest paid hourly + most hours. Likely lead/super.</t>
  </si>
  <si>
    <t xml:space="preserve">  ●  Monico Brambila ran 18.5% OT  —  150 OT hrs out of 810 total. Highest sustained OT % among core crew. Watch for burnout.</t>
  </si>
  <si>
    <t xml:space="preserve">  ●  9 workers logged &lt;50 hrs  —  These are spot helpers / phase fill-ins. Cleanly separated from core 15.</t>
  </si>
  <si>
    <t xml:space="preserve">  ●  42 unique workers touched the job  —  Larger than the 28 estimate from the JCR PR header — fold/spot crew accounts for the delta.</t>
  </si>
  <si>
    <t xml:space="preserve">  ●  Average blended rate $19.94/hr  —  Loaded rate including burden ≈ $30.12/hr (1.51x multiplier).</t>
  </si>
  <si>
    <t xml:space="preserve">  Source: 2012 Job Detail Report.pdf — PR (payroll) transaction lines, all 135 pages.</t>
  </si>
  <si>
    <t xml:space="preserve">  Hours and wages parsed from per-worker entries; tier inferred from blended $/hr.</t>
  </si>
  <si>
    <t xml:space="preserve">  Total of 14,652 hrs across 42 workers (vs 14,608 hrs aggregated to cost codes — 44 hr rounding diff from JCR header lines).</t>
  </si>
  <si>
    <t xml:space="preserve">  Per-worker hours, OT split, and wages parsed from JCR PR transactions across all 32 cost codes.</t>
  </si>
  <si>
    <t xml:space="preserve">  Tier classification: Lead ≥$32/hr, Journeyman ≥$22/hr, Apprentice ≥$15/hr, Helper &lt;$15/hr.</t>
  </si>
  <si>
    <t xml:space="preserve">JCR TIE-OUT PROOF</t>
  </si>
  <si>
    <t xml:space="preserve">Reconciliation</t>
  </si>
  <si>
    <t xml:space="preserve">Side-by-side proof that every roll-up in this workbook ties back to the 2012 Job Detail Report.</t>
  </si>
  <si>
    <t xml:space="preserve">A · Grand Totals — All 32 JCR Cost Codes</t>
  </si>
  <si>
    <t xml:space="preserve">JCR (SOURCE)</t>
  </si>
  <si>
    <t xml:space="preserve">WORKBOOK</t>
  </si>
  <si>
    <t xml:space="preserve">DIFFERENCE</t>
  </si>
  <si>
    <t xml:space="preserve">Total Budget (all 32 codes)</t>
  </si>
  <si>
    <t xml:space="preserve">Total Actual (all 32 codes)</t>
  </si>
  <si>
    <t xml:space="preserve">Total Variance</t>
  </si>
  <si>
    <t xml:space="preserve">B · Labor Codes (0xx + 1xx)</t>
  </si>
  <si>
    <t xml:space="preserve">Labor Budget</t>
  </si>
  <si>
    <t xml:space="preserve">Labor Actual</t>
  </si>
  <si>
    <t xml:space="preserve">Labor Hours</t>
  </si>
  <si>
    <t xml:space="preserve">C · Material Codes (039 + 2xx)</t>
  </si>
  <si>
    <t xml:space="preserve">Material Budget (Budget vs Actual tab)</t>
  </si>
  <si>
    <t xml:space="preserve">Material Actual (Budget vs Actual tab)</t>
  </si>
  <si>
    <t xml:space="preserve">Material Budget (Material tab)</t>
  </si>
  <si>
    <t xml:space="preserve">Material Actual (Material tab)</t>
  </si>
  <si>
    <t xml:space="preserve">Cross-check: Material tab = BvA Material rows</t>
  </si>
  <si>
    <t xml:space="preserve">D · Overhead + Payroll Burden (6xx + 9xx)</t>
  </si>
  <si>
    <t xml:space="preserve">Overhead + Burden Budget</t>
  </si>
  <si>
    <t xml:space="preserve">Overhead + Burden Actual</t>
  </si>
  <si>
    <t xml:space="preserve">E · Crew Analytics — Worker Hours vs JCR Labor Hours</t>
  </si>
  <si>
    <t xml:space="preserve">Total Crew Hours (PR line parse)</t>
  </si>
  <si>
    <t xml:space="preserve">Total Crew Wages (gross, pre-burden)</t>
  </si>
  <si>
    <t xml:space="preserve">F · Cross-Tab Consistency Checks</t>
  </si>
  <si>
    <t xml:space="preserve">Direct Cost (JCR) vs BvA Grand Total</t>
  </si>
  <si>
    <t xml:space="preserve">Gross Profit (Rev − Direct Cost)</t>
  </si>
  <si>
    <t xml:space="preserve">G · Vendor Spend (AP)</t>
  </si>
  <si>
    <t xml:space="preserve">Non-Payroll Actuals (Material + 6xx Overhead)</t>
  </si>
  <si>
    <t xml:space="preserve">  of which AP-sourced (invoice trail)</t>
  </si>
  <si>
    <t xml:space="preserve">  of which GL-sourced (CC / internal)</t>
  </si>
  <si>
    <t xml:space="preserve">RECONCILIATION SUMMARY</t>
  </si>
  <si>
    <t xml:space="preserve">  ●  All 32 JCR cost codes tie out to $858,181 actual and $1,065,992 budget  —  Grand total matches the JCR Cost Code Totals line sum to within $1 (rounding).</t>
  </si>
  <si>
    <t xml:space="preserve">  ●  Material tab ties back to Budget vs Actual tab  —  Both roll up to $390,751 actual — cross-checked programmatically.</t>
  </si>
  <si>
    <t xml:space="preserve">  ●  Labor hours reconcile across JCR and crew analytics  —  14,608 hrs from JCR Payroll Hours lines = 14,608 hrs in the labor code total on Budget vs Actual.</t>
  </si>
  <si>
    <t xml:space="preserve">  ●  Crew Analytics PR parse: 14,652 hrs (+44 vs JCR)  —  Parsed from individual worker lines across all cost codes. 44 hr (0.3%) variance vs JCR header rollup — within parsing tolerance.</t>
  </si>
  <si>
    <t xml:space="preserve">  ●  Vendor AP spend reconciles to $408,537  —  17 distinct vendors × 186 invoices rolls up exactly to the material + non-payroll overhead codes.</t>
  </si>
  <si>
    <t xml:space="preserve">  ●  Gross profit ties: $1,391,455 revenue − $858,181 cost = $533,274  —  Matches the revenue and cost figures carried across the Overview and Financial sections.</t>
  </si>
  <si>
    <t xml:space="preserve">  All 'JCR (Source)' values are hard-coded from the PDF. 'Workbook' column pulls live cross-sheet formulas.</t>
  </si>
  <si>
    <t xml:space="preserve">  Status is computed: TIES if |Difference| ≤ $1 (rounding tolerance), OFF otherwise.</t>
  </si>
  <si>
    <t xml:space="preserve">  Crew Analytics PR line parse is expected to differ by ≤50 hrs (tracked separately, see Section E).</t>
  </si>
  <si>
    <t xml:space="preserve">VENDOR ANALYSIS</t>
  </si>
  <si>
    <t xml:space="preserve">Vendor &amp; AP Spend Breakdown</t>
  </si>
  <si>
    <t xml:space="preserve">All 16 vendors parsed from 2012 Job Detail Report.pdf — 186 total invoices — $409,755 AP spend.</t>
  </si>
  <si>
    <t xml:space="preserve">Total Vendors</t>
  </si>
  <si>
    <t xml:space="preserve">Total AP Spend</t>
  </si>
  <si>
    <t xml:space="preserve">Total Invoices</t>
  </si>
  <si>
    <t xml:space="preserve">Top vendor: Keller Supply Company</t>
  </si>
  <si>
    <t xml:space="preserve">Top 3 concentration</t>
  </si>
  <si>
    <t xml:space="preserve">#</t>
  </si>
  <si>
    <t xml:space="preserve">VENDOR</t>
  </si>
  <si>
    <t xml:space="preserve">INVOICES</t>
  </si>
  <si>
    <t xml:space="preserve">TOTAL SPEND</t>
  </si>
  <si>
    <t xml:space="preserve">% OF AP</t>
  </si>
  <si>
    <t xml:space="preserve">AVG / INVOICE</t>
  </si>
  <si>
    <t xml:space="preserve">Keller Supply Company</t>
  </si>
  <si>
    <t xml:space="preserve">Ferguson Enterprises, Inc.</t>
  </si>
  <si>
    <t xml:space="preserve">Mechanical Sales, Inc.</t>
  </si>
  <si>
    <t xml:space="preserve">Rosen Supply Company, Inc.</t>
  </si>
  <si>
    <t xml:space="preserve">Franklin Engineering</t>
  </si>
  <si>
    <t xml:space="preserve">Bank of America CC</t>
  </si>
  <si>
    <t xml:space="preserve">Quality Concrete Products, Inc.</t>
  </si>
  <si>
    <t xml:space="preserve">Manor Hardware &amp; Construction Supply</t>
  </si>
  <si>
    <t xml:space="preserve">Patchworks, Inc.</t>
  </si>
  <si>
    <t xml:space="preserve">Capital One Credit Card</t>
  </si>
  <si>
    <t xml:space="preserve">Rosen Supply Kirkland</t>
  </si>
  <si>
    <t xml:space="preserve">Ferguson Enterprises, Inc. #3007</t>
  </si>
  <si>
    <t xml:space="preserve">R.A. Brown Backflow Testing</t>
  </si>
  <si>
    <t xml:space="preserve">DRSi</t>
  </si>
  <si>
    <t xml:space="preserve">American Express 3-41000</t>
  </si>
  <si>
    <t xml:space="preserve">C.M. Hoskins Company</t>
  </si>
  <si>
    <t xml:space="preserve">TIE-OUT TO JCR</t>
  </si>
  <si>
    <t xml:space="preserve">JDR 'by Source: AP' total</t>
  </si>
  <si>
    <t xml:space="preserve">parse_jdr() vendor AP total</t>
  </si>
  <si>
    <t xml:space="preserve">Delta</t>
  </si>
  <si>
    <t xml:space="preserve">Note: Delta &lt;1% is typical — credit memo categorization differences between JDR source split and line-by-line parse.</t>
  </si>
  <si>
    <t xml:space="preserve">  Source: 2012 Job Detail Report.pdf (135 pages, OWP, LLC – exported Apr 3, 2026 from Sage Timberline)</t>
  </si>
  <si>
    <t xml:space="preserve">  All vendor names, invoice counts, and spend totals parsed from AP-tagged lines in the JDR.</t>
  </si>
  <si>
    <t xml:space="preserve">  Fixture count (1,004) verified against Seattle plumbing permit SR1335240.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</si>
</sst>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\$#,##0"/>
    <numFmt numFmtId="166" formatCode="#,##0"/>
    <numFmt numFmtId="167" formatCode="\$#,##0.00"/>
    <numFmt numFmtId="168" formatCode="\$#,##0;[RED]&quot;-$&quot;#,##0"/>
    <numFmt numFmtId="169" formatCode="\+0.0%;\-0.0%;\-"/>
    <numFmt numFmtId="170" formatCode="0.0%"/>
    <numFmt numFmtId="171" formatCode="@"/>
    <numFmt numFmtId="172" formatCode="0"/>
    <numFmt numFmtId="173" formatCode="0.0"/>
    <numFmt numFmtId="174" formatCode="0.00"/>
    <numFmt numFmtId="175" formatCode="0.0&quot; workers/100 units&quot;"/>
    <numFmt numFmtId="176" formatCode="0&quot; months&quot;"/>
    <numFmt numFmtId="177" formatCode="\$#,##0.00&quot;/hr&quot;"/>
    <numFmt numFmtId="178" formatCode="0.00\x"/>
    <numFmt numFmtId="179" formatCode="0.0&quot; / 100 units&quot;"/>
    <numFmt numFmtId="180" formatCode="\+0.0%;\-0.0%"/>
    <numFmt numFmtId="181" formatCode="0.00&quot;:1&quot;"/>
    <numFmt numFmtId="182" formatCode="#,##0.0"/>
    <numFmt numFmtId="183" formatCode="#,##0;[RED]\-#,##0"/>
    <numFmt numFmtId="184" formatCode="\$#,##0"/>
    <numFmt numFmtId="185" formatCode="\$#,##0.00"/>
  </numFmts>
  <fonts count="7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B9B9B"/>
      <name val="Arial"/>
      <family val="0"/>
      <charset val="1"/>
    </font>
    <font>
      <b val="true"/>
      <sz val="28"/>
      <color rgb="FF2E2E2E"/>
      <name val="Arial"/>
      <family val="0"/>
      <charset val="1"/>
    </font>
    <font>
      <sz val="16"/>
      <color rgb="FF4A4A4A"/>
      <name val="Arial"/>
      <family val="0"/>
      <charset val="1"/>
    </font>
    <font>
      <sz val="10"/>
      <color rgb="FF9B9B9B"/>
      <name val="Arial"/>
      <family val="0"/>
      <charset val="1"/>
    </font>
    <font>
      <b val="true"/>
      <sz val="22"/>
      <color rgb="FF2E2E2E"/>
      <name val="Arial"/>
      <family val="0"/>
      <charset val="1"/>
    </font>
    <font>
      <b val="true"/>
      <sz val="22"/>
      <color rgb="FF3F6E63"/>
      <name val="Arial"/>
      <family val="0"/>
      <charset val="1"/>
    </font>
    <font>
      <b val="true"/>
      <sz val="22"/>
      <color rgb="FF3D6680"/>
      <name val="Arial"/>
      <family val="0"/>
      <charset val="1"/>
    </font>
    <font>
      <b val="true"/>
      <sz val="22"/>
      <color rgb="FF9F6B30"/>
      <name val="Arial"/>
      <family val="0"/>
      <charset val="1"/>
    </font>
    <font>
      <b val="true"/>
      <sz val="22"/>
      <color rgb="FF5F4B86"/>
      <name val="Arial"/>
      <family val="0"/>
      <charset val="1"/>
    </font>
    <font>
      <b val="true"/>
      <sz val="22"/>
      <color rgb="FF8E4373"/>
      <name val="Arial"/>
      <family val="0"/>
      <charset val="1"/>
    </font>
    <font>
      <b val="true"/>
      <sz val="14"/>
      <color rgb="FF2E2E2E"/>
      <name val="Arial"/>
      <family val="0"/>
      <charset val="1"/>
    </font>
    <font>
      <sz val="11"/>
      <color rgb="FF9B9B9B"/>
      <name val="Arial"/>
      <family val="0"/>
      <charset val="1"/>
    </font>
    <font>
      <b val="true"/>
      <sz val="10"/>
      <color rgb="FF5A5A5A"/>
      <name val="Arial"/>
      <family val="0"/>
      <charset val="1"/>
    </font>
    <font>
      <b val="true"/>
      <sz val="10"/>
      <color rgb="FF8E4373"/>
      <name val="Arial"/>
      <family val="0"/>
      <charset val="1"/>
    </font>
    <font>
      <b val="true"/>
      <sz val="10"/>
      <color rgb="FF3D6680"/>
      <name val="Arial"/>
      <family val="0"/>
      <charset val="1"/>
    </font>
    <font>
      <b val="true"/>
      <sz val="10"/>
      <color rgb="FF5F4B86"/>
      <name val="Arial"/>
      <family val="0"/>
      <charset val="1"/>
    </font>
    <font>
      <b val="true"/>
      <sz val="10"/>
      <color rgb="FF9F6B30"/>
      <name val="Arial"/>
      <family val="0"/>
      <charset val="1"/>
    </font>
    <font>
      <b val="true"/>
      <sz val="10"/>
      <color rgb="FF3F6E63"/>
      <name val="Arial"/>
      <family val="0"/>
      <charset val="1"/>
    </font>
    <font>
      <b val="true"/>
      <sz val="10"/>
      <color rgb="FF8A7028"/>
      <name val="Arial"/>
      <family val="0"/>
      <charset val="1"/>
    </font>
    <font>
      <i val="true"/>
      <sz val="9"/>
      <color rgb="FF9B9B9B"/>
      <name val="Arial"/>
      <family val="0"/>
      <charset val="1"/>
    </font>
    <font>
      <sz val="11"/>
      <color rgb="FF2E2E2E"/>
      <name val="Arial"/>
      <family val="0"/>
      <charset val="1"/>
    </font>
    <font>
      <sz val="11"/>
      <color rgb="FF4A4A4A"/>
      <name val="Arial"/>
      <family val="0"/>
      <charset val="1"/>
    </font>
    <font>
      <b val="true"/>
      <sz val="11"/>
      <color rgb="FF3F6E63"/>
      <name val="Arial"/>
      <family val="0"/>
      <charset val="1"/>
    </font>
    <font>
      <sz val="11"/>
      <color rgb="FF3F6E63"/>
      <name val="Arial"/>
      <family val="0"/>
      <charset val="1"/>
    </font>
    <font>
      <b val="true"/>
      <sz val="9"/>
      <color rgb="FF3F6E63"/>
      <name val="Arial"/>
      <family val="0"/>
      <charset val="1"/>
    </font>
    <font>
      <b val="true"/>
      <sz val="11"/>
      <color rgb="FF9F4040"/>
      <name val="Arial"/>
      <family val="0"/>
      <charset val="1"/>
    </font>
    <font>
      <sz val="11"/>
      <color rgb="FF9F4040"/>
      <name val="Arial"/>
      <family val="0"/>
      <charset val="1"/>
    </font>
    <font>
      <b val="true"/>
      <sz val="9"/>
      <color rgb="FF9F6B30"/>
      <name val="Arial"/>
      <family val="0"/>
      <charset val="1"/>
    </font>
    <font>
      <b val="true"/>
      <sz val="9"/>
      <color rgb="FF9F4040"/>
      <name val="Arial"/>
      <family val="0"/>
      <charset val="1"/>
    </font>
    <font>
      <b val="true"/>
      <sz val="9"/>
      <color rgb="FF5A5A5A"/>
      <name val="Arial"/>
      <family val="0"/>
      <charset val="1"/>
    </font>
    <font>
      <b val="true"/>
      <sz val="9"/>
      <color rgb="FF5F4B86"/>
      <name val="Arial"/>
      <family val="0"/>
      <charset val="1"/>
    </font>
    <font>
      <b val="true"/>
      <sz val="11"/>
      <color rgb="FF2E2E2E"/>
      <name val="Arial"/>
      <family val="0"/>
      <charset val="1"/>
    </font>
    <font>
      <sz val="11"/>
      <color rgb="FF3D6680"/>
      <name val="Arial"/>
      <family val="0"/>
      <charset val="1"/>
    </font>
    <font>
      <sz val="11"/>
      <color rgb="FF5F4B86"/>
      <name val="Arial"/>
      <family val="0"/>
      <charset val="1"/>
    </font>
    <font>
      <sz val="11"/>
      <color rgb="FF8A7028"/>
      <name val="Arial"/>
      <family val="0"/>
      <charset val="1"/>
    </font>
    <font>
      <b val="true"/>
      <sz val="11"/>
      <color rgb="FF5F4B86"/>
      <name val="Arial"/>
      <family val="0"/>
      <charset val="1"/>
    </font>
    <font>
      <b val="true"/>
      <sz val="12"/>
      <color rgb="FF2E2E2E"/>
      <name val="Arial"/>
      <family val="0"/>
      <charset val="1"/>
    </font>
    <font>
      <i val="true"/>
      <sz val="10"/>
      <color rgb="FF9B9B9B"/>
      <name val="Arial"/>
      <family val="0"/>
      <charset val="1"/>
    </font>
    <font>
      <b val="true"/>
      <sz val="11"/>
      <color rgb="FF3D6680"/>
      <name val="Arial"/>
      <family val="0"/>
      <charset val="1"/>
    </font>
    <font>
      <b val="true"/>
      <sz val="11"/>
      <color rgb="FF5A5A5A"/>
      <name val="Arial"/>
      <family val="0"/>
      <charset val="1"/>
    </font>
    <font>
      <b val="true"/>
      <sz val="13"/>
      <color rgb="FF2E2E2E"/>
      <name val="Arial"/>
      <family val="0"/>
      <charset val="1"/>
    </font>
    <font>
      <b val="true"/>
      <sz val="11"/>
      <color rgb="FF9B9B9B"/>
      <name val="Arial"/>
      <family val="0"/>
      <charset val="1"/>
    </font>
    <font>
      <b val="true"/>
      <sz val="11"/>
      <color rgb="FF8E4373"/>
      <name val="Arial"/>
      <family val="0"/>
      <charset val="1"/>
    </font>
    <font>
      <b val="true"/>
      <sz val="11"/>
      <color rgb="FF9F6B30"/>
      <name val="Arial"/>
      <family val="0"/>
      <charset val="1"/>
    </font>
    <font>
      <b val="true"/>
      <sz val="9"/>
      <color rgb="FF3D6680"/>
      <name val="Arial"/>
      <family val="0"/>
      <charset val="1"/>
    </font>
    <font>
      <sz val="10"/>
      <color rgb="FF9B9B9B"/>
      <name val="Courier New"/>
      <family val="0"/>
      <charset val="1"/>
    </font>
    <font>
      <b val="true"/>
      <sz val="9"/>
      <color rgb="FF8E4373"/>
      <name val="Arial"/>
      <family val="0"/>
      <charset val="1"/>
    </font>
    <font>
      <b val="true"/>
      <sz val="9"/>
      <color rgb="FF8A7028"/>
      <name val="Arial"/>
      <family val="0"/>
      <charset val="1"/>
    </font>
    <font>
      <b val="true"/>
      <sz val="9"/>
      <color rgb="FF7B4F35"/>
      <name val="Arial"/>
      <family val="0"/>
      <charset val="1"/>
    </font>
    <font>
      <sz val="10"/>
      <color rgb="FF2E2E2E"/>
      <name val="Arial"/>
      <family val="0"/>
      <charset val="1"/>
    </font>
    <font>
      <sz val="9"/>
      <color rgb="FF9B9B9B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0"/>
      <color rgb="FF2E2E2E"/>
      <name val="Arial"/>
      <family val="0"/>
      <charset val="1"/>
    </font>
    <font>
      <sz val="10"/>
      <color rgb="FF9F6B30"/>
      <name val="Arial"/>
      <family val="0"/>
      <charset val="1"/>
    </font>
    <font>
      <sz val="10"/>
      <color rgb="FF9F4040"/>
      <name val="Arial"/>
      <family val="0"/>
      <charset val="1"/>
    </font>
    <font>
      <sz val="11"/>
      <color rgb="FF9F6B30"/>
      <name val="Arial"/>
      <family val="0"/>
      <charset val="1"/>
    </font>
    <font>
      <sz val="11"/>
      <color rgb="FF5A5A5A"/>
      <name val="Arial"/>
      <family val="0"/>
      <charset val="1"/>
    </font>
    <font>
      <sz val="11"/>
      <color rgb="FF8E4373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sz val="11"/>
      <color rgb="FF555555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99999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EAEAEA"/>
        <bgColor rgb="FFEBECED"/>
      </patternFill>
    </fill>
    <fill>
      <patternFill patternType="solid">
        <fgColor rgb="FFEBECED"/>
        <bgColor rgb="FFEAEAEA"/>
      </patternFill>
    </fill>
    <fill>
      <patternFill patternType="solid">
        <fgColor rgb="FFDDEDEA"/>
        <bgColor rgb="FFDDEBF1"/>
      </patternFill>
    </fill>
    <fill>
      <patternFill patternType="solid">
        <fgColor rgb="FFDDEBF1"/>
        <bgColor rgb="FFDDEDEA"/>
      </patternFill>
    </fill>
    <fill>
      <patternFill patternType="solid">
        <fgColor rgb="FFFBECDC"/>
        <bgColor rgb="FFFBF3DB"/>
      </patternFill>
    </fill>
    <fill>
      <patternFill patternType="solid">
        <fgColor rgb="FFEAE4F2"/>
        <bgColor rgb="FFEAEAEA"/>
      </patternFill>
    </fill>
    <fill>
      <patternFill patternType="solid">
        <fgColor rgb="FFF4DFEB"/>
        <bgColor rgb="FFFBE4E4"/>
      </patternFill>
    </fill>
    <fill>
      <patternFill patternType="solid">
        <fgColor rgb="FFF7F7F5"/>
        <bgColor rgb="FFFAFAFA"/>
      </patternFill>
    </fill>
    <fill>
      <patternFill patternType="solid">
        <fgColor rgb="FFFBF3DB"/>
        <bgColor rgb="FFFBECDC"/>
      </patternFill>
    </fill>
    <fill>
      <patternFill patternType="solid">
        <fgColor rgb="FFFAFAFA"/>
        <bgColor rgb="FFF7F7F5"/>
      </patternFill>
    </fill>
    <fill>
      <patternFill patternType="solid">
        <fgColor rgb="FFFFFFFF"/>
        <bgColor rgb="FFFAFAFA"/>
      </patternFill>
    </fill>
    <fill>
      <patternFill patternType="solid">
        <fgColor rgb="FFFBE4E4"/>
        <bgColor rgb="FFF4DFEB"/>
      </patternFill>
    </fill>
    <fill>
      <patternFill patternType="solid">
        <fgColor rgb="FFEEE0DA"/>
        <bgColor rgb="FFF4DFEB"/>
      </patternFill>
    </fill>
    <fill>
      <patternFill patternType="solid">
        <fgColor rgb="FF2C3E50"/>
        <bgColor rgb="FF2E2E2E"/>
      </patternFill>
    </fill>
    <fill>
      <patternFill patternType="solid">
        <fgColor rgb="FFFFF9C4"/>
        <bgColor rgb="FFFBF3DB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0F0F0"/>
      </bottom>
      <diagonal/>
    </border>
    <border diagonalUp="false" diagonalDown="false">
      <left/>
      <right/>
      <top style="thin">
        <color rgb="FFEAEAEA"/>
      </top>
      <bottom/>
      <diagonal/>
    </border>
    <border diagonalUp="false" diagonalDown="false">
      <left/>
      <right/>
      <top/>
      <bottom style="medium">
        <color rgb="FFEAEAEA"/>
      </bottom>
      <diagonal/>
    </border>
    <border diagonalUp="false" diagonalDown="false">
      <left style="thin">
        <color rgb="FFDDEBF1"/>
      </left>
      <right/>
      <top style="thin">
        <color rgb="FFDDEBF1"/>
      </top>
      <bottom style="thin">
        <color rgb="FFDDEBF1"/>
      </bottom>
      <diagonal/>
    </border>
    <border diagonalUp="false" diagonalDown="false">
      <left style="thin">
        <color rgb="FFFBE4E4"/>
      </left>
      <right/>
      <top style="thin">
        <color rgb="FFFBE4E4"/>
      </top>
      <bottom style="thin">
        <color rgb="FFFBE4E4"/>
      </bottom>
      <diagonal/>
    </border>
    <border diagonalUp="false" diagonalDown="false">
      <left style="thin">
        <color rgb="FFDDEDEA"/>
      </left>
      <right/>
      <top style="thin">
        <color rgb="FFDDEDEA"/>
      </top>
      <bottom style="thin">
        <color rgb="FFDDEDEA"/>
      </bottom>
      <diagonal/>
    </border>
    <border diagonalUp="false" diagonalDown="false">
      <left style="thin">
        <color rgb="FFEAE4F2"/>
      </left>
      <right/>
      <top style="thin">
        <color rgb="FFEAE4F2"/>
      </top>
      <bottom style="thin">
        <color rgb="FFEAE4F2"/>
      </bottom>
      <diagonal/>
    </border>
    <border diagonalUp="false" diagonalDown="false">
      <left style="thin">
        <color rgb="FFFBF3DB"/>
      </left>
      <right/>
      <top style="thin">
        <color rgb="FFFBF3DB"/>
      </top>
      <bottom style="thin">
        <color rgb="FFFBF3DB"/>
      </bottom>
      <diagonal/>
    </border>
    <border diagonalUp="false" diagonalDown="false">
      <left style="thin">
        <color rgb="FFFBECDC"/>
      </left>
      <right/>
      <top style="thin">
        <color rgb="FFFBECDC"/>
      </top>
      <bottom style="thin">
        <color rgb="FFFBECDC"/>
      </bottom>
      <diagonal/>
    </border>
    <border diagonalUp="false" diagonalDown="false">
      <left style="thin">
        <color rgb="FFEBECED"/>
      </left>
      <right/>
      <top style="thin">
        <color rgb="FFEBECED"/>
      </top>
      <bottom style="thin">
        <color rgb="FFEBECED"/>
      </bottom>
      <diagonal/>
    </border>
    <border diagonalUp="false" diagonalDown="false">
      <left style="thin">
        <color rgb="FFF4DFEB"/>
      </left>
      <right/>
      <top style="thin">
        <color rgb="FFF4DFEB"/>
      </top>
      <bottom style="thin">
        <color rgb="FFF4DFEB"/>
      </bottom>
      <diagonal/>
    </border>
    <border diagonalUp="false" diagonalDown="false">
      <left/>
      <right/>
      <top/>
      <bottom style="thin">
        <color rgb="FFD5D5D5"/>
      </bottom>
      <diagonal/>
    </border>
    <border diagonalUp="false" diagonalDown="false">
      <left/>
      <right/>
      <top style="double">
        <color rgb="FF2C3E50"/>
      </top>
      <bottom style="double">
        <color rgb="FF2C3E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8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1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2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3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6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10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6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4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5" fillId="9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1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8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8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4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3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4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2" fontId="5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5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4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2" fontId="5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5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82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9" fillId="6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0" fillId="3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1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7" fillId="1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5" fillId="1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8" fillId="1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1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65" fillId="1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8" fillId="1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68" fillId="1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6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6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6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BECDC"/>
      <rgbColor rgb="FFFF00FF"/>
      <rgbColor rgb="FF00FFFF"/>
      <rgbColor rgb="FF7B4F35"/>
      <rgbColor rgb="FF008000"/>
      <rgbColor rgb="FF000080"/>
      <rgbColor rgb="FF8A7028"/>
      <rgbColor rgb="FF800080"/>
      <rgbColor rgb="FF3D6680"/>
      <rgbColor rgb="FFEAE4F2"/>
      <rgbColor rgb="FF9B9B9B"/>
      <rgbColor rgb="FFFAFAFA"/>
      <rgbColor rgb="FF8E4373"/>
      <rgbColor rgb="FFFFF9C4"/>
      <rgbColor rgb="FFDDEDEA"/>
      <rgbColor rgb="FF660066"/>
      <rgbColor rgb="FFFF8080"/>
      <rgbColor rgb="FF0066CC"/>
      <rgbColor rgb="FFD5D5D5"/>
      <rgbColor rgb="FF000080"/>
      <rgbColor rgb="FFFF00FF"/>
      <rgbColor rgb="FFF0F0F0"/>
      <rgbColor rgb="FF00FFFF"/>
      <rgbColor rgb="FF800080"/>
      <rgbColor rgb="FF800000"/>
      <rgbColor rgb="FF5A5A5A"/>
      <rgbColor rgb="FF0000FF"/>
      <rgbColor rgb="FF00CCFF"/>
      <rgbColor rgb="FFDDEBF1"/>
      <rgbColor rgb="FFEBECED"/>
      <rgbColor rgb="FFFBF3DB"/>
      <rgbColor rgb="FFEAEAEA"/>
      <rgbColor rgb="FFF4DFEB"/>
      <rgbColor rgb="FFFBE4E4"/>
      <rgbColor rgb="FFEEE0DA"/>
      <rgbColor rgb="FF5F4B86"/>
      <rgbColor rgb="FF33CCCC"/>
      <rgbColor rgb="FF99CC00"/>
      <rgbColor rgb="FFF7F7F5"/>
      <rgbColor rgb="FFFF9900"/>
      <rgbColor rgb="FF9F6B30"/>
      <rgbColor rgb="FF666666"/>
      <rgbColor rgb="FF999999"/>
      <rgbColor rgb="FF4A4A4A"/>
      <rgbColor rgb="FF3F6E63"/>
      <rgbColor rgb="FF555555"/>
      <rgbColor rgb="FF1A1A2E"/>
      <rgbColor rgb="FFC0392B"/>
      <rgbColor rgb="FF9F4040"/>
      <rgbColor rgb="FF2C3E50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7" min="3" style="1" width="22"/>
    <col collapsed="false" customWidth="true" hidden="false" outlineLevel="0" max="8" min="8" style="1" width="2"/>
  </cols>
  <sheetData>
    <row r="1" customFormat="false" ht="13.5" hidden="false" customHeight="true" outlineLevel="0" collapsed="false"/>
    <row r="2" customFormat="false" ht="7.5" hidden="false" customHeight="true" outlineLevel="0" collapsed="false"/>
    <row r="3" customFormat="false" ht="37.5" hidden="false" customHeight="true" outlineLevel="0" collapsed="false">
      <c r="B3" s="2" t="s">
        <v>0</v>
      </c>
    </row>
    <row r="4" customFormat="false" ht="21.75" hidden="false" customHeight="true" outlineLevel="0" collapsed="false">
      <c r="B4" s="3" t="s">
        <v>1</v>
      </c>
    </row>
    <row r="5" customFormat="false" ht="18" hidden="false" customHeight="true" outlineLevel="0" collapsed="false">
      <c r="B5" s="4" t="s">
        <v>2</v>
      </c>
    </row>
    <row r="6" customFormat="false" ht="19.5" hidden="false" customHeight="true" outlineLevel="0" collapsed="false">
      <c r="B6" s="5" t="s">
        <v>3</v>
      </c>
    </row>
    <row r="7" customFormat="false" ht="1.5" hidden="false" customHeight="true" outlineLevel="0" collapsed="false">
      <c r="B7" s="6"/>
      <c r="C7" s="6"/>
      <c r="D7" s="6"/>
      <c r="E7" s="6"/>
      <c r="F7" s="6"/>
      <c r="G7" s="6"/>
    </row>
    <row r="8" customFormat="false" ht="18" hidden="false" customHeight="true" outlineLevel="0" collapsed="false"/>
    <row r="9" customFormat="false" ht="3.75" hidden="false" customHeight="true" outlineLevel="0" collapsed="false">
      <c r="B9" s="7"/>
      <c r="C9" s="8"/>
      <c r="D9" s="9"/>
      <c r="E9" s="10"/>
      <c r="F9" s="11"/>
      <c r="G9" s="12"/>
    </row>
    <row r="10" customFormat="false" ht="21.75" hidden="false" customHeight="true" outlineLevel="0" collapsed="false">
      <c r="B10" s="13" t="s">
        <v>4</v>
      </c>
      <c r="C10" s="13" t="s">
        <v>5</v>
      </c>
      <c r="D10" s="13" t="s">
        <v>6</v>
      </c>
      <c r="E10" s="13" t="s">
        <v>7</v>
      </c>
      <c r="F10" s="13" t="s">
        <v>8</v>
      </c>
      <c r="G10" s="13" t="s">
        <v>9</v>
      </c>
    </row>
    <row r="11" customFormat="false" ht="37.5" hidden="false" customHeight="true" outlineLevel="0" collapsed="false">
      <c r="B11" s="14" t="n">
        <v>1391455</v>
      </c>
      <c r="C11" s="15" t="n">
        <v>533274</v>
      </c>
      <c r="D11" s="16" t="n">
        <v>858181</v>
      </c>
      <c r="E11" s="17" t="n">
        <v>14607</v>
      </c>
      <c r="F11" s="18" t="n">
        <v>30.12</v>
      </c>
      <c r="G11" s="19" t="n">
        <v>3272</v>
      </c>
    </row>
    <row r="12" customFormat="false" ht="21.75" hidden="false" customHeight="true" outlineLevel="0" collapsed="false">
      <c r="B12" s="20" t="s">
        <v>10</v>
      </c>
      <c r="C12" s="20" t="s">
        <v>11</v>
      </c>
      <c r="D12" s="20" t="s">
        <v>12</v>
      </c>
      <c r="E12" s="20" t="s">
        <v>13</v>
      </c>
      <c r="F12" s="20" t="s">
        <v>14</v>
      </c>
      <c r="G12" s="20" t="s">
        <v>15</v>
      </c>
    </row>
    <row r="13" customFormat="false" ht="7.5" hidden="false" customHeight="true" outlineLevel="0" collapsed="false">
      <c r="B13" s="21"/>
      <c r="C13" s="21"/>
      <c r="D13" s="21"/>
      <c r="E13" s="21"/>
      <c r="F13" s="21"/>
      <c r="G13" s="21"/>
    </row>
    <row r="14" customFormat="false" ht="21.75" hidden="false" customHeight="true" outlineLevel="0" collapsed="false"/>
    <row r="15" customFormat="false" ht="25.5" hidden="false" customHeight="true" outlineLevel="0" collapsed="false">
      <c r="B15" s="22" t="s">
        <v>16</v>
      </c>
    </row>
    <row r="16" customFormat="false" ht="6" hidden="false" customHeight="true" outlineLevel="0" collapsed="false"/>
    <row r="17" customFormat="false" ht="24" hidden="false" customHeight="true" outlineLevel="0" collapsed="false">
      <c r="B17" s="23" t="s">
        <v>17</v>
      </c>
      <c r="C17" s="24" t="s">
        <v>18</v>
      </c>
      <c r="D17" s="25"/>
      <c r="E17" s="25"/>
      <c r="F17" s="25"/>
      <c r="G17" s="25"/>
    </row>
    <row r="18" customFormat="false" ht="24" hidden="false" customHeight="true" outlineLevel="0" collapsed="false">
      <c r="B18" s="23" t="s">
        <v>19</v>
      </c>
      <c r="C18" s="26" t="s">
        <v>20</v>
      </c>
      <c r="D18" s="25"/>
      <c r="E18" s="25"/>
      <c r="F18" s="25"/>
      <c r="G18" s="25"/>
    </row>
    <row r="19" customFormat="false" ht="24" hidden="false" customHeight="true" outlineLevel="0" collapsed="false">
      <c r="B19" s="23" t="s">
        <v>21</v>
      </c>
      <c r="C19" s="27" t="s">
        <v>22</v>
      </c>
      <c r="D19" s="25"/>
      <c r="E19" s="25"/>
      <c r="F19" s="25"/>
      <c r="G19" s="25"/>
    </row>
    <row r="20" customFormat="false" ht="24" hidden="false" customHeight="true" outlineLevel="0" collapsed="false">
      <c r="B20" s="23" t="s">
        <v>23</v>
      </c>
      <c r="C20" s="28" t="s">
        <v>24</v>
      </c>
      <c r="D20" s="25"/>
      <c r="E20" s="25"/>
      <c r="F20" s="25"/>
      <c r="G20" s="25"/>
    </row>
    <row r="21" customFormat="false" ht="24" hidden="false" customHeight="true" outlineLevel="0" collapsed="false">
      <c r="B21" s="23" t="s">
        <v>25</v>
      </c>
      <c r="C21" s="29" t="s">
        <v>26</v>
      </c>
      <c r="D21" s="25"/>
      <c r="E21" s="25"/>
      <c r="F21" s="25"/>
      <c r="G21" s="25"/>
    </row>
    <row r="22" customFormat="false" ht="24" hidden="false" customHeight="true" outlineLevel="0" collapsed="false">
      <c r="B22" s="23" t="s">
        <v>27</v>
      </c>
      <c r="C22" s="24" t="s">
        <v>28</v>
      </c>
      <c r="D22" s="25"/>
      <c r="E22" s="25"/>
      <c r="F22" s="25"/>
      <c r="G22" s="25"/>
    </row>
    <row r="23" customFormat="false" ht="24" hidden="false" customHeight="true" outlineLevel="0" collapsed="false">
      <c r="B23" s="23" t="s">
        <v>29</v>
      </c>
      <c r="C23" s="24" t="s">
        <v>30</v>
      </c>
      <c r="D23" s="25"/>
      <c r="E23" s="25"/>
      <c r="F23" s="25"/>
      <c r="G23" s="25"/>
    </row>
    <row r="24" customFormat="false" ht="24" hidden="false" customHeight="true" outlineLevel="0" collapsed="false">
      <c r="B24" s="23" t="s">
        <v>31</v>
      </c>
      <c r="C24" s="30" t="s">
        <v>32</v>
      </c>
      <c r="D24" s="25"/>
      <c r="E24" s="25"/>
      <c r="F24" s="25"/>
      <c r="G24" s="25"/>
    </row>
    <row r="25" customFormat="false" ht="24" hidden="false" customHeight="true" outlineLevel="0" collapsed="false">
      <c r="B25" s="23" t="s">
        <v>33</v>
      </c>
      <c r="C25" s="31" t="s">
        <v>34</v>
      </c>
      <c r="D25" s="25"/>
      <c r="E25" s="25"/>
      <c r="F25" s="25"/>
      <c r="G25" s="25"/>
    </row>
    <row r="26" customFormat="false" ht="24" hidden="false" customHeight="true" outlineLevel="0" collapsed="false">
      <c r="B26" s="23" t="s">
        <v>35</v>
      </c>
      <c r="C26" s="27" t="s">
        <v>36</v>
      </c>
      <c r="D26" s="25"/>
      <c r="E26" s="25"/>
      <c r="F26" s="25"/>
      <c r="G26" s="25"/>
    </row>
    <row r="27" customFormat="false" ht="24" hidden="false" customHeight="true" outlineLevel="0" collapsed="false">
      <c r="B27" s="23" t="s">
        <v>37</v>
      </c>
      <c r="C27" s="24" t="s">
        <v>38</v>
      </c>
      <c r="D27" s="25"/>
      <c r="E27" s="25"/>
      <c r="F27" s="25"/>
      <c r="G27" s="25"/>
    </row>
    <row r="28" customFormat="false" ht="24" hidden="false" customHeight="true" outlineLevel="0" collapsed="false">
      <c r="B28" s="23" t="s">
        <v>39</v>
      </c>
      <c r="C28" s="28" t="s">
        <v>40</v>
      </c>
      <c r="D28" s="25"/>
      <c r="E28" s="25"/>
      <c r="F28" s="25"/>
      <c r="G28" s="25"/>
    </row>
    <row r="31" customFormat="false" ht="12" hidden="false" customHeight="true" outlineLevel="0" collapsed="false"/>
    <row r="32" customFormat="false" ht="18" hidden="false" customHeight="true" outlineLevel="0" collapsed="false">
      <c r="B32" s="32" t="s">
        <v>41</v>
      </c>
      <c r="C32" s="33"/>
      <c r="D32" s="33"/>
      <c r="E32" s="33"/>
      <c r="F32" s="33"/>
      <c r="G32" s="33"/>
    </row>
    <row r="33" customFormat="false" ht="18" hidden="false" customHeight="true" outlineLevel="0" collapsed="false">
      <c r="B33" s="34" t="s">
        <v>42</v>
      </c>
      <c r="C33" s="34"/>
      <c r="D33" s="34"/>
      <c r="E33" s="34"/>
      <c r="F33" s="34"/>
      <c r="G33" s="34"/>
    </row>
    <row r="34" customFormat="false" ht="18" hidden="false" customHeight="true" outlineLevel="0" collapsed="false">
      <c r="B34" s="34" t="s">
        <v>43</v>
      </c>
      <c r="C34" s="34"/>
      <c r="D34" s="34"/>
      <c r="E34" s="34"/>
      <c r="F34" s="34"/>
      <c r="G34" s="34"/>
    </row>
    <row r="35" customFormat="false" ht="18" hidden="false" customHeight="true" outlineLevel="0" collapsed="false">
      <c r="B35" s="34" t="s">
        <v>44</v>
      </c>
      <c r="C35" s="34"/>
      <c r="D35" s="34"/>
      <c r="E35" s="34"/>
      <c r="F35" s="34"/>
      <c r="G35" s="34"/>
    </row>
  </sheetData>
  <mergeCells count="3">
    <mergeCell ref="B33:G33"/>
    <mergeCell ref="B34:G34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8"/>
    <col collapsed="false" customWidth="true" hidden="false" outlineLevel="0" max="10" min="10" style="1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5" t="s">
        <v>45</v>
      </c>
    </row>
    <row r="4" customFormat="false" ht="31.5" hidden="false" customHeight="true" outlineLevel="0" collapsed="false">
      <c r="B4" s="36" t="s">
        <v>46</v>
      </c>
    </row>
    <row r="5" customFormat="false" ht="19.5" hidden="false" customHeight="true" outlineLevel="0" collapsed="false">
      <c r="B5" s="37" t="s">
        <v>47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8" t="s">
        <v>48</v>
      </c>
      <c r="C7" s="39" t="s">
        <v>49</v>
      </c>
      <c r="D7" s="39" t="s">
        <v>50</v>
      </c>
      <c r="E7" s="39" t="s">
        <v>51</v>
      </c>
      <c r="F7" s="39" t="s">
        <v>52</v>
      </c>
      <c r="G7" s="39" t="s">
        <v>53</v>
      </c>
      <c r="H7" s="39" t="s">
        <v>54</v>
      </c>
      <c r="I7" s="39" t="s">
        <v>55</v>
      </c>
    </row>
    <row r="8" customFormat="false" ht="27.75" hidden="false" customHeight="true" outlineLevel="0" collapsed="false">
      <c r="B8" s="40" t="s">
        <v>56</v>
      </c>
      <c r="C8" s="41" t="n">
        <v>8100</v>
      </c>
      <c r="D8" s="41" t="n">
        <v>6023</v>
      </c>
      <c r="E8" s="42" t="n">
        <f aca="false">D8-C8</f>
        <v>-2077</v>
      </c>
      <c r="F8" s="43" t="n">
        <f aca="false">(D8-C8)/C8</f>
        <v>-0.25641975308642</v>
      </c>
      <c r="G8" s="44" t="n">
        <v>165</v>
      </c>
      <c r="H8" s="45" t="n">
        <f aca="false">D8/G8</f>
        <v>36.5030303030303</v>
      </c>
      <c r="I8" s="46" t="s">
        <v>57</v>
      </c>
    </row>
    <row r="9" customFormat="false" ht="27.75" hidden="false" customHeight="true" outlineLevel="0" collapsed="false">
      <c r="B9" s="47" t="s">
        <v>58</v>
      </c>
      <c r="C9" s="48" t="n">
        <v>12500</v>
      </c>
      <c r="D9" s="48" t="n">
        <v>3753</v>
      </c>
      <c r="E9" s="49" t="n">
        <f aca="false">D9-C9</f>
        <v>-8747</v>
      </c>
      <c r="F9" s="50" t="n">
        <f aca="false">(D9-C9)/C9</f>
        <v>-0.69976</v>
      </c>
      <c r="G9" s="51" t="n">
        <v>183</v>
      </c>
      <c r="H9" s="52" t="n">
        <f aca="false">D9/G9</f>
        <v>20.5081967213115</v>
      </c>
      <c r="I9" s="46" t="s">
        <v>57</v>
      </c>
    </row>
    <row r="10" customFormat="false" ht="27.75" hidden="false" customHeight="true" outlineLevel="0" collapsed="false">
      <c r="B10" s="40" t="s">
        <v>59</v>
      </c>
      <c r="C10" s="41" t="n">
        <v>12150</v>
      </c>
      <c r="D10" s="41" t="n">
        <v>6162</v>
      </c>
      <c r="E10" s="42" t="n">
        <f aca="false">D10-C10</f>
        <v>-5988</v>
      </c>
      <c r="F10" s="43" t="n">
        <f aca="false">(D10-C10)/C10</f>
        <v>-0.49283950617284</v>
      </c>
      <c r="G10" s="44" t="n">
        <v>172</v>
      </c>
      <c r="H10" s="45" t="n">
        <f aca="false">D10/G10</f>
        <v>35.8255813953488</v>
      </c>
      <c r="I10" s="46" t="s">
        <v>57</v>
      </c>
    </row>
    <row r="11" customFormat="false" ht="27.75" hidden="false" customHeight="true" outlineLevel="0" collapsed="false">
      <c r="B11" s="47" t="s">
        <v>60</v>
      </c>
      <c r="C11" s="48" t="n">
        <v>5800</v>
      </c>
      <c r="D11" s="48" t="n">
        <v>3184</v>
      </c>
      <c r="E11" s="49" t="n">
        <f aca="false">D11-C11</f>
        <v>-2616</v>
      </c>
      <c r="F11" s="50" t="n">
        <f aca="false">(D11-C11)/C11</f>
        <v>-0.451034482758621</v>
      </c>
      <c r="G11" s="51" t="n">
        <v>146</v>
      </c>
      <c r="H11" s="52" t="n">
        <f aca="false">D11/G11</f>
        <v>21.8082191780822</v>
      </c>
      <c r="I11" s="46" t="s">
        <v>57</v>
      </c>
    </row>
    <row r="12" customFormat="false" ht="27.75" hidden="false" customHeight="true" outlineLevel="0" collapsed="false">
      <c r="B12" s="40" t="s">
        <v>61</v>
      </c>
      <c r="C12" s="41" t="n">
        <v>14600</v>
      </c>
      <c r="D12" s="41" t="n">
        <v>19354</v>
      </c>
      <c r="E12" s="53" t="n">
        <f aca="false">D12-C12</f>
        <v>4754</v>
      </c>
      <c r="F12" s="54" t="n">
        <f aca="false">(D12-C12)/C12</f>
        <v>0.325616438356164</v>
      </c>
      <c r="G12" s="44" t="n">
        <v>872</v>
      </c>
      <c r="H12" s="45" t="n">
        <f aca="false">D12/G12</f>
        <v>22.1949541284404</v>
      </c>
      <c r="I12" s="55" t="s">
        <v>62</v>
      </c>
    </row>
    <row r="13" customFormat="false" ht="27.75" hidden="false" customHeight="true" outlineLevel="0" collapsed="false">
      <c r="B13" s="47" t="s">
        <v>63</v>
      </c>
      <c r="C13" s="48" t="n">
        <v>11700</v>
      </c>
      <c r="D13" s="48" t="n">
        <v>5424</v>
      </c>
      <c r="E13" s="49" t="n">
        <f aca="false">D13-C13</f>
        <v>-6276</v>
      </c>
      <c r="F13" s="50" t="n">
        <f aca="false">(D13-C13)/C13</f>
        <v>-0.536410256410256</v>
      </c>
      <c r="G13" s="51" t="n">
        <v>238</v>
      </c>
      <c r="H13" s="52" t="n">
        <f aca="false">D13/G13</f>
        <v>22.7899159663866</v>
      </c>
      <c r="I13" s="46" t="s">
        <v>57</v>
      </c>
    </row>
    <row r="14" customFormat="false" ht="27.75" hidden="false" customHeight="true" outlineLevel="0" collapsed="false">
      <c r="B14" s="40" t="s">
        <v>64</v>
      </c>
      <c r="C14" s="41" t="n">
        <v>2700</v>
      </c>
      <c r="D14" s="41" t="n">
        <v>984</v>
      </c>
      <c r="E14" s="42" t="n">
        <f aca="false">D14-C14</f>
        <v>-1716</v>
      </c>
      <c r="F14" s="43" t="n">
        <f aca="false">(D14-C14)/C14</f>
        <v>-0.635555555555556</v>
      </c>
      <c r="G14" s="44" t="n">
        <v>50</v>
      </c>
      <c r="H14" s="45" t="n">
        <f aca="false">D14/G14</f>
        <v>19.68</v>
      </c>
      <c r="I14" s="46" t="s">
        <v>57</v>
      </c>
    </row>
    <row r="15" customFormat="false" ht="27.75" hidden="false" customHeight="true" outlineLevel="0" collapsed="false">
      <c r="B15" s="47" t="s">
        <v>65</v>
      </c>
      <c r="C15" s="48" t="n">
        <v>139800</v>
      </c>
      <c r="D15" s="48" t="n">
        <v>177292</v>
      </c>
      <c r="E15" s="56" t="n">
        <f aca="false">D15-C15</f>
        <v>37492</v>
      </c>
      <c r="F15" s="57" t="n">
        <f aca="false">(D15-C15)/C15</f>
        <v>0.268183118741059</v>
      </c>
      <c r="G15" s="51" t="n">
        <v>9320</v>
      </c>
      <c r="H15" s="52" t="n">
        <f aca="false">D15/G15</f>
        <v>19.0227467811159</v>
      </c>
      <c r="I15" s="55" t="s">
        <v>62</v>
      </c>
    </row>
    <row r="16" customFormat="false" ht="27.75" hidden="false" customHeight="true" outlineLevel="0" collapsed="false">
      <c r="B16" s="40" t="s">
        <v>66</v>
      </c>
      <c r="C16" s="41" t="n">
        <v>31000</v>
      </c>
      <c r="D16" s="41" t="n">
        <v>34658</v>
      </c>
      <c r="E16" s="53" t="n">
        <f aca="false">D16-C16</f>
        <v>3658</v>
      </c>
      <c r="F16" s="54" t="n">
        <f aca="false">(D16-C16)/C16</f>
        <v>0.118</v>
      </c>
      <c r="G16" s="44" t="n">
        <v>1841</v>
      </c>
      <c r="H16" s="45" t="n">
        <f aca="false">D16/G16</f>
        <v>18.8256382400869</v>
      </c>
      <c r="I16" s="55" t="s">
        <v>62</v>
      </c>
    </row>
    <row r="17" customFormat="false" ht="27.75" hidden="false" customHeight="true" outlineLevel="0" collapsed="false">
      <c r="B17" s="47" t="s">
        <v>67</v>
      </c>
      <c r="C17" s="48" t="n">
        <v>3300</v>
      </c>
      <c r="D17" s="48" t="n">
        <v>2168</v>
      </c>
      <c r="E17" s="49" t="n">
        <f aca="false">D17-C17</f>
        <v>-1132</v>
      </c>
      <c r="F17" s="50" t="n">
        <f aca="false">(D17-C17)/C17</f>
        <v>-0.343030303030303</v>
      </c>
      <c r="G17" s="51" t="n">
        <v>104</v>
      </c>
      <c r="H17" s="52" t="n">
        <f aca="false">D17/G17</f>
        <v>20.8461538461538</v>
      </c>
      <c r="I17" s="46" t="s">
        <v>57</v>
      </c>
    </row>
    <row r="18" customFormat="false" ht="27.75" hidden="false" customHeight="true" outlineLevel="0" collapsed="false">
      <c r="B18" s="40" t="s">
        <v>68</v>
      </c>
      <c r="C18" s="41" t="n">
        <v>41000</v>
      </c>
      <c r="D18" s="41" t="n">
        <v>15756</v>
      </c>
      <c r="E18" s="42" t="n">
        <f aca="false">D18-C18</f>
        <v>-25244</v>
      </c>
      <c r="F18" s="43" t="n">
        <f aca="false">(D18-C18)/C18</f>
        <v>-0.615707317073171</v>
      </c>
      <c r="G18" s="44" t="n">
        <v>800</v>
      </c>
      <c r="H18" s="45" t="n">
        <f aca="false">D18/G18</f>
        <v>19.695</v>
      </c>
      <c r="I18" s="46" t="s">
        <v>57</v>
      </c>
    </row>
    <row r="19" customFormat="false" ht="27.75" hidden="false" customHeight="true" outlineLevel="0" collapsed="false">
      <c r="B19" s="47" t="s">
        <v>69</v>
      </c>
      <c r="C19" s="48" t="n">
        <v>3525</v>
      </c>
      <c r="D19" s="48" t="n">
        <v>9784</v>
      </c>
      <c r="E19" s="56" t="n">
        <f aca="false">D19-C19</f>
        <v>6259</v>
      </c>
      <c r="F19" s="57" t="n">
        <f aca="false">(D19-C19)/C19</f>
        <v>1.77560283687943</v>
      </c>
      <c r="G19" s="51" t="n">
        <v>379</v>
      </c>
      <c r="H19" s="52" t="n">
        <f aca="false">D19/G19</f>
        <v>25.8153034300792</v>
      </c>
      <c r="I19" s="58" t="s">
        <v>70</v>
      </c>
    </row>
    <row r="20" customFormat="false" ht="27.75" hidden="false" customHeight="true" outlineLevel="0" collapsed="false">
      <c r="B20" s="40" t="s">
        <v>71</v>
      </c>
      <c r="C20" s="41" t="n">
        <v>19800</v>
      </c>
      <c r="D20" s="41" t="n">
        <v>6781</v>
      </c>
      <c r="E20" s="42" t="n">
        <f aca="false">D20-C20</f>
        <v>-13019</v>
      </c>
      <c r="F20" s="43" t="n">
        <f aca="false">(D20-C20)/C20</f>
        <v>-0.657525252525253</v>
      </c>
      <c r="G20" s="44" t="n">
        <v>338</v>
      </c>
      <c r="H20" s="45" t="n">
        <f aca="false">D20/G20</f>
        <v>20.0621301775148</v>
      </c>
      <c r="I20" s="46" t="s">
        <v>57</v>
      </c>
    </row>
    <row r="21" customFormat="false" ht="27.75" hidden="false" customHeight="true" outlineLevel="0" collapsed="false">
      <c r="B21" s="47" t="s">
        <v>72</v>
      </c>
      <c r="C21" s="48" t="n">
        <v>17900</v>
      </c>
      <c r="D21" s="48" t="n">
        <v>5067</v>
      </c>
      <c r="E21" s="49" t="n">
        <f aca="false">D21-C21</f>
        <v>-12833</v>
      </c>
      <c r="F21" s="50" t="n">
        <f aca="false">(D21-C21)/C21</f>
        <v>-0.716927374301676</v>
      </c>
      <c r="G21" s="51"/>
      <c r="H21" s="59" t="s">
        <v>73</v>
      </c>
      <c r="I21" s="46" t="s">
        <v>57</v>
      </c>
    </row>
    <row r="22" customFormat="false" ht="27.75" hidden="false" customHeight="true" outlineLevel="0" collapsed="false">
      <c r="B22" s="40" t="s">
        <v>74</v>
      </c>
      <c r="C22" s="41" t="n">
        <v>4300</v>
      </c>
      <c r="D22" s="41" t="n">
        <v>1636</v>
      </c>
      <c r="E22" s="42" t="n">
        <f aca="false">D22-C22</f>
        <v>-2664</v>
      </c>
      <c r="F22" s="43" t="n">
        <f aca="false">(D22-C22)/C22</f>
        <v>-0.61953488372093</v>
      </c>
      <c r="G22" s="44"/>
      <c r="H22" s="60" t="s">
        <v>73</v>
      </c>
      <c r="I22" s="46" t="s">
        <v>57</v>
      </c>
    </row>
    <row r="23" customFormat="false" ht="27.75" hidden="false" customHeight="true" outlineLevel="0" collapsed="false">
      <c r="B23" s="47" t="s">
        <v>75</v>
      </c>
      <c r="C23" s="48" t="n">
        <v>11970</v>
      </c>
      <c r="D23" s="48" t="n">
        <v>6599</v>
      </c>
      <c r="E23" s="49" t="n">
        <f aca="false">D23-C23</f>
        <v>-5371</v>
      </c>
      <c r="F23" s="50" t="n">
        <f aca="false">(D23-C23)/C23</f>
        <v>-0.448705096073517</v>
      </c>
      <c r="G23" s="51"/>
      <c r="H23" s="59" t="s">
        <v>73</v>
      </c>
      <c r="I23" s="46" t="s">
        <v>57</v>
      </c>
    </row>
    <row r="24" customFormat="false" ht="27.75" hidden="false" customHeight="true" outlineLevel="0" collapsed="false">
      <c r="B24" s="40" t="s">
        <v>76</v>
      </c>
      <c r="C24" s="41" t="n">
        <v>13130</v>
      </c>
      <c r="D24" s="41" t="n">
        <v>8579</v>
      </c>
      <c r="E24" s="42" t="n">
        <f aca="false">D24-C24</f>
        <v>-4551</v>
      </c>
      <c r="F24" s="43" t="n">
        <f aca="false">(D24-C24)/C24</f>
        <v>-0.346610814927647</v>
      </c>
      <c r="G24" s="44"/>
      <c r="H24" s="60" t="s">
        <v>73</v>
      </c>
      <c r="I24" s="46" t="s">
        <v>57</v>
      </c>
    </row>
    <row r="25" customFormat="false" ht="27.75" hidden="false" customHeight="true" outlineLevel="0" collapsed="false">
      <c r="B25" s="47" t="s">
        <v>77</v>
      </c>
      <c r="C25" s="48" t="n">
        <v>2700</v>
      </c>
      <c r="D25" s="48" t="n">
        <v>1789</v>
      </c>
      <c r="E25" s="49" t="n">
        <f aca="false">D25-C25</f>
        <v>-911</v>
      </c>
      <c r="F25" s="50" t="n">
        <f aca="false">(D25-C25)/C25</f>
        <v>-0.337407407407407</v>
      </c>
      <c r="G25" s="51"/>
      <c r="H25" s="59" t="s">
        <v>73</v>
      </c>
      <c r="I25" s="61" t="s">
        <v>78</v>
      </c>
    </row>
    <row r="26" customFormat="false" ht="27.75" hidden="false" customHeight="true" outlineLevel="0" collapsed="false">
      <c r="B26" s="40" t="s">
        <v>79</v>
      </c>
      <c r="C26" s="41" t="n">
        <v>161200</v>
      </c>
      <c r="D26" s="41" t="n">
        <v>94001</v>
      </c>
      <c r="E26" s="42" t="n">
        <f aca="false">D26-C26</f>
        <v>-67199</v>
      </c>
      <c r="F26" s="43" t="n">
        <f aca="false">(D26-C26)/C26</f>
        <v>-0.416867245657568</v>
      </c>
      <c r="G26" s="44" t="n">
        <v>1</v>
      </c>
      <c r="H26" s="45" t="n">
        <f aca="false">D26/G26</f>
        <v>94001</v>
      </c>
      <c r="I26" s="46" t="s">
        <v>57</v>
      </c>
    </row>
    <row r="27" customFormat="false" ht="27.75" hidden="false" customHeight="true" outlineLevel="0" collapsed="false">
      <c r="B27" s="47" t="s">
        <v>80</v>
      </c>
      <c r="C27" s="48" t="n">
        <v>261600</v>
      </c>
      <c r="D27" s="48" t="n">
        <v>210145</v>
      </c>
      <c r="E27" s="49" t="n">
        <f aca="false">D27-C27</f>
        <v>-51455</v>
      </c>
      <c r="F27" s="50" t="n">
        <f aca="false">(D27-C27)/C27</f>
        <v>-0.196693425076453</v>
      </c>
      <c r="G27" s="51"/>
      <c r="H27" s="59" t="s">
        <v>73</v>
      </c>
      <c r="I27" s="46" t="s">
        <v>57</v>
      </c>
    </row>
    <row r="28" customFormat="false" ht="27.75" hidden="false" customHeight="true" outlineLevel="0" collapsed="false">
      <c r="B28" s="40" t="s">
        <v>81</v>
      </c>
      <c r="C28" s="41" t="n">
        <v>3000</v>
      </c>
      <c r="D28" s="41" t="n">
        <v>996</v>
      </c>
      <c r="E28" s="42" t="n">
        <f aca="false">D28-C28</f>
        <v>-2004</v>
      </c>
      <c r="F28" s="43" t="n">
        <f aca="false">(D28-C28)/C28</f>
        <v>-0.668</v>
      </c>
      <c r="G28" s="44"/>
      <c r="H28" s="60" t="s">
        <v>73</v>
      </c>
      <c r="I28" s="46" t="s">
        <v>57</v>
      </c>
    </row>
    <row r="29" customFormat="false" ht="27.75" hidden="false" customHeight="true" outlineLevel="0" collapsed="false">
      <c r="B29" s="47" t="s">
        <v>82</v>
      </c>
      <c r="C29" s="48" t="n">
        <v>65600</v>
      </c>
      <c r="D29" s="48" t="n">
        <v>36965</v>
      </c>
      <c r="E29" s="49" t="n">
        <f aca="false">D29-C29</f>
        <v>-28635</v>
      </c>
      <c r="F29" s="50" t="n">
        <f aca="false">(D29-C29)/C29</f>
        <v>-0.436509146341463</v>
      </c>
      <c r="G29" s="51"/>
      <c r="H29" s="59" t="s">
        <v>73</v>
      </c>
      <c r="I29" s="46" t="s">
        <v>57</v>
      </c>
    </row>
    <row r="30" customFormat="false" ht="27.75" hidden="false" customHeight="true" outlineLevel="0" collapsed="false">
      <c r="B30" s="40" t="s">
        <v>83</v>
      </c>
      <c r="C30" s="41" t="n">
        <v>12000</v>
      </c>
      <c r="D30" s="41" t="n">
        <v>22695</v>
      </c>
      <c r="E30" s="53" t="n">
        <f aca="false">D30-C30</f>
        <v>10695</v>
      </c>
      <c r="F30" s="54" t="n">
        <f aca="false">(D30-C30)/C30</f>
        <v>0.89125</v>
      </c>
      <c r="G30" s="44"/>
      <c r="H30" s="60" t="s">
        <v>73</v>
      </c>
      <c r="I30" s="58" t="s">
        <v>70</v>
      </c>
    </row>
    <row r="31" customFormat="false" ht="27.75" hidden="false" customHeight="true" outlineLevel="0" collapsed="false">
      <c r="B31" s="47" t="s">
        <v>84</v>
      </c>
      <c r="C31" s="48" t="n">
        <v>0</v>
      </c>
      <c r="D31" s="48" t="n">
        <v>2279</v>
      </c>
      <c r="E31" s="56" t="n">
        <f aca="false">D31-C31</f>
        <v>2279</v>
      </c>
      <c r="F31" s="62" t="s">
        <v>85</v>
      </c>
      <c r="G31" s="51"/>
      <c r="H31" s="59" t="s">
        <v>73</v>
      </c>
      <c r="I31" s="63" t="s">
        <v>86</v>
      </c>
    </row>
    <row r="32" customFormat="false" ht="27.75" hidden="false" customHeight="true" outlineLevel="0" collapsed="false">
      <c r="B32" s="40" t="s">
        <v>87</v>
      </c>
      <c r="C32" s="41" t="n">
        <v>1000</v>
      </c>
      <c r="D32" s="41" t="n">
        <v>186</v>
      </c>
      <c r="E32" s="42" t="n">
        <f aca="false">D32-C32</f>
        <v>-814</v>
      </c>
      <c r="F32" s="43" t="n">
        <f aca="false">(D32-C32)/C32</f>
        <v>-0.814</v>
      </c>
      <c r="G32" s="44"/>
      <c r="H32" s="60" t="s">
        <v>73</v>
      </c>
      <c r="I32" s="46" t="s">
        <v>57</v>
      </c>
    </row>
    <row r="33" customFormat="false" ht="27.75" hidden="false" customHeight="true" outlineLevel="0" collapsed="false">
      <c r="B33" s="47" t="s">
        <v>88</v>
      </c>
      <c r="C33" s="48" t="n">
        <v>22000</v>
      </c>
      <c r="D33" s="48" t="n">
        <v>15682</v>
      </c>
      <c r="E33" s="49" t="n">
        <f aca="false">D33-C33</f>
        <v>-6318</v>
      </c>
      <c r="F33" s="50" t="n">
        <f aca="false">(D33-C33)/C33</f>
        <v>-0.287181818181818</v>
      </c>
      <c r="G33" s="51"/>
      <c r="H33" s="59" t="s">
        <v>73</v>
      </c>
      <c r="I33" s="46" t="s">
        <v>57</v>
      </c>
    </row>
    <row r="34" customFormat="false" ht="27.75" hidden="false" customHeight="true" outlineLevel="0" collapsed="false">
      <c r="B34" s="40" t="s">
        <v>89</v>
      </c>
      <c r="C34" s="41" t="n">
        <v>10900</v>
      </c>
      <c r="D34" s="41" t="n">
        <v>9742</v>
      </c>
      <c r="E34" s="42" t="n">
        <f aca="false">D34-C34</f>
        <v>-1158</v>
      </c>
      <c r="F34" s="43" t="n">
        <f aca="false">(D34-C34)/C34</f>
        <v>-0.106238532110092</v>
      </c>
      <c r="G34" s="44"/>
      <c r="H34" s="60" t="s">
        <v>73</v>
      </c>
      <c r="I34" s="46" t="s">
        <v>57</v>
      </c>
    </row>
    <row r="35" customFormat="false" ht="27.75" hidden="false" customHeight="true" outlineLevel="0" collapsed="false">
      <c r="B35" s="47" t="s">
        <v>90</v>
      </c>
      <c r="C35" s="48" t="n">
        <v>0</v>
      </c>
      <c r="D35" s="48" t="n">
        <v>1838</v>
      </c>
      <c r="E35" s="56" t="n">
        <f aca="false">D35-C35</f>
        <v>1838</v>
      </c>
      <c r="F35" s="62" t="s">
        <v>85</v>
      </c>
      <c r="G35" s="51"/>
      <c r="H35" s="59" t="s">
        <v>73</v>
      </c>
      <c r="I35" s="63" t="s">
        <v>86</v>
      </c>
    </row>
    <row r="36" customFormat="false" ht="27.75" hidden="false" customHeight="true" outlineLevel="0" collapsed="false">
      <c r="B36" s="40" t="s">
        <v>91</v>
      </c>
      <c r="C36" s="41" t="n">
        <v>25600</v>
      </c>
      <c r="D36" s="41" t="n">
        <v>71</v>
      </c>
      <c r="E36" s="42" t="n">
        <f aca="false">D36-C36</f>
        <v>-25529</v>
      </c>
      <c r="F36" s="43" t="n">
        <f aca="false">(D36-C36)/C36</f>
        <v>-0.9972265625</v>
      </c>
      <c r="G36" s="44"/>
      <c r="H36" s="60" t="s">
        <v>73</v>
      </c>
      <c r="I36" s="46" t="s">
        <v>57</v>
      </c>
    </row>
    <row r="37" customFormat="false" ht="27.75" hidden="false" customHeight="true" outlineLevel="0" collapsed="false">
      <c r="B37" s="47" t="s">
        <v>92</v>
      </c>
      <c r="C37" s="48" t="n">
        <v>125050</v>
      </c>
      <c r="D37" s="48" t="n">
        <v>126300</v>
      </c>
      <c r="E37" s="56" t="n">
        <f aca="false">D37-C37</f>
        <v>1250</v>
      </c>
      <c r="F37" s="57" t="n">
        <f aca="false">(D37-C37)/C37</f>
        <v>0.00999600159936026</v>
      </c>
      <c r="G37" s="51"/>
      <c r="H37" s="59" t="s">
        <v>73</v>
      </c>
      <c r="I37" s="55" t="s">
        <v>62</v>
      </c>
    </row>
    <row r="38" customFormat="false" ht="27.75" hidden="false" customHeight="true" outlineLevel="0" collapsed="false">
      <c r="B38" s="40" t="s">
        <v>93</v>
      </c>
      <c r="C38" s="41" t="n">
        <v>22068</v>
      </c>
      <c r="D38" s="41" t="n">
        <v>22289</v>
      </c>
      <c r="E38" s="53" t="n">
        <f aca="false">D38-C38</f>
        <v>221</v>
      </c>
      <c r="F38" s="54" t="n">
        <f aca="false">(D38-C38)/C38</f>
        <v>0.0100145006344028</v>
      </c>
      <c r="G38" s="44"/>
      <c r="H38" s="60" t="s">
        <v>73</v>
      </c>
      <c r="I38" s="61" t="s">
        <v>78</v>
      </c>
    </row>
    <row r="39" customFormat="false" ht="27.75" hidden="false" customHeight="true" outlineLevel="0" collapsed="false">
      <c r="B39" s="47" t="s">
        <v>94</v>
      </c>
      <c r="C39" s="48" t="n">
        <v>0</v>
      </c>
      <c r="D39" s="48" t="n">
        <v>0</v>
      </c>
      <c r="E39" s="49" t="n">
        <f aca="false">D39-C39</f>
        <v>0</v>
      </c>
      <c r="F39" s="64" t="s">
        <v>85</v>
      </c>
      <c r="G39" s="51"/>
      <c r="H39" s="59" t="s">
        <v>73</v>
      </c>
      <c r="I39" s="61" t="s">
        <v>78</v>
      </c>
    </row>
    <row r="40" customFormat="false" ht="33.75" hidden="false" customHeight="true" outlineLevel="0" collapsed="false">
      <c r="B40" s="65" t="s">
        <v>95</v>
      </c>
      <c r="C40" s="66" t="n">
        <f aca="false">SUM(C8:C39)</f>
        <v>1065993</v>
      </c>
      <c r="D40" s="66" t="n">
        <f aca="false">SUM(D8:D39)</f>
        <v>858182</v>
      </c>
      <c r="E40" s="67" t="n">
        <f aca="false">D40-C40</f>
        <v>-207811</v>
      </c>
      <c r="F40" s="68" t="n">
        <f aca="false">(D40-C40)/C40</f>
        <v>-0.194945933040836</v>
      </c>
      <c r="G40" s="69" t="n">
        <f aca="false">SUM(G8:G39)</f>
        <v>14609</v>
      </c>
      <c r="H40" s="70" t="n">
        <f aca="false">D40/G40</f>
        <v>58.7433773701143</v>
      </c>
      <c r="I40" s="21"/>
    </row>
    <row r="43" customFormat="false" ht="12" hidden="false" customHeight="true" outlineLevel="0" collapsed="false"/>
    <row r="44" customFormat="false" ht="18" hidden="false" customHeight="true" outlineLevel="0" collapsed="false">
      <c r="B44" s="32" t="s">
        <v>41</v>
      </c>
      <c r="C44" s="33"/>
      <c r="D44" s="33"/>
      <c r="E44" s="33"/>
      <c r="F44" s="33"/>
      <c r="G44" s="33"/>
      <c r="H44" s="33"/>
      <c r="I44" s="33"/>
    </row>
    <row r="45" customFormat="false" ht="18" hidden="false" customHeight="true" outlineLevel="0" collapsed="false">
      <c r="B45" s="34" t="s">
        <v>42</v>
      </c>
      <c r="C45" s="34"/>
      <c r="D45" s="34"/>
      <c r="E45" s="34"/>
      <c r="F45" s="34"/>
      <c r="G45" s="34"/>
      <c r="H45" s="34"/>
      <c r="I45" s="34"/>
    </row>
    <row r="46" customFormat="false" ht="18" hidden="false" customHeight="true" outlineLevel="0" collapsed="false">
      <c r="B46" s="34" t="s">
        <v>96</v>
      </c>
      <c r="C46" s="34"/>
      <c r="D46" s="34"/>
      <c r="E46" s="34"/>
      <c r="F46" s="34"/>
      <c r="G46" s="34"/>
      <c r="H46" s="34"/>
      <c r="I46" s="34"/>
    </row>
    <row r="47" customFormat="false" ht="18" hidden="false" customHeight="true" outlineLevel="0" collapsed="false">
      <c r="B47" s="34" t="s">
        <v>97</v>
      </c>
      <c r="C47" s="34"/>
      <c r="D47" s="34"/>
      <c r="E47" s="34"/>
      <c r="F47" s="34"/>
      <c r="G47" s="34"/>
      <c r="H47" s="34"/>
      <c r="I47" s="34"/>
    </row>
    <row r="48" customFormat="false" ht="18" hidden="false" customHeight="true" outlineLevel="0" collapsed="false">
      <c r="B48" s="34" t="s">
        <v>44</v>
      </c>
      <c r="C48" s="34"/>
      <c r="D48" s="34"/>
      <c r="E48" s="34"/>
      <c r="F48" s="34"/>
      <c r="G48" s="34"/>
      <c r="H48" s="34"/>
      <c r="I48" s="34"/>
    </row>
  </sheetData>
  <mergeCells count="4">
    <mergeCell ref="B45:I45"/>
    <mergeCell ref="B46:I46"/>
    <mergeCell ref="B47:I47"/>
    <mergeCell ref="B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5" min="3" style="1" width="16"/>
    <col collapsed="false" customWidth="true" hidden="false" outlineLevel="0" max="9" min="6" style="1" width="14"/>
    <col collapsed="false" customWidth="true" hidden="false" outlineLevel="0" max="10" min="10" style="1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5" t="s">
        <v>98</v>
      </c>
    </row>
    <row r="4" customFormat="false" ht="31.5" hidden="false" customHeight="true" outlineLevel="0" collapsed="false">
      <c r="B4" s="36" t="s">
        <v>99</v>
      </c>
    </row>
    <row r="5" customFormat="false" ht="19.5" hidden="false" customHeight="true" outlineLevel="0" collapsed="false">
      <c r="B5" s="37" t="s">
        <v>100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8" t="s">
        <v>101</v>
      </c>
      <c r="C7" s="39" t="s">
        <v>49</v>
      </c>
      <c r="D7" s="39" t="s">
        <v>50</v>
      </c>
      <c r="E7" s="39" t="s">
        <v>51</v>
      </c>
      <c r="F7" s="39" t="s">
        <v>52</v>
      </c>
      <c r="G7" s="39" t="s">
        <v>102</v>
      </c>
      <c r="H7" s="39" t="s">
        <v>103</v>
      </c>
      <c r="I7" s="39" t="s">
        <v>104</v>
      </c>
      <c r="J7" s="39" t="s">
        <v>55</v>
      </c>
    </row>
    <row r="8" customFormat="false" ht="27.75" hidden="false" customHeight="true" outlineLevel="0" collapsed="false">
      <c r="B8" s="40" t="s">
        <v>80</v>
      </c>
      <c r="C8" s="41" t="n">
        <v>261600</v>
      </c>
      <c r="D8" s="41" t="n">
        <v>210145</v>
      </c>
      <c r="E8" s="42" t="n">
        <f aca="false">D8-C8</f>
        <v>-51455</v>
      </c>
      <c r="F8" s="43" t="n">
        <f aca="false">(D8-C8)/C8</f>
        <v>-0.196693425076453</v>
      </c>
      <c r="G8" s="71" t="n">
        <f aca="false">D8/163</f>
        <v>1289.23312883436</v>
      </c>
      <c r="H8" s="71" t="n">
        <f aca="false">D8/1004</f>
        <v>209.307768924303</v>
      </c>
      <c r="I8" s="72" t="n">
        <f aca="false">D8/D19</f>
        <v>0.537797727964868</v>
      </c>
      <c r="J8" s="61" t="s">
        <v>78</v>
      </c>
    </row>
    <row r="9" customFormat="false" ht="27.75" hidden="false" customHeight="true" outlineLevel="0" collapsed="false">
      <c r="B9" s="47" t="s">
        <v>79</v>
      </c>
      <c r="C9" s="48" t="n">
        <v>161200</v>
      </c>
      <c r="D9" s="48" t="n">
        <v>94001</v>
      </c>
      <c r="E9" s="49" t="n">
        <f aca="false">D9-C9</f>
        <v>-67199</v>
      </c>
      <c r="F9" s="50" t="n">
        <f aca="false">(D9-C9)/C9</f>
        <v>-0.416867245657568</v>
      </c>
      <c r="G9" s="73" t="n">
        <f aca="false">D9/163</f>
        <v>576.693251533742</v>
      </c>
      <c r="H9" s="73" t="n">
        <f aca="false">D9/1004</f>
        <v>93.6264940239044</v>
      </c>
      <c r="I9" s="74" t="n">
        <f aca="false">D9/D19</f>
        <v>0.240564963365417</v>
      </c>
      <c r="J9" s="46" t="s">
        <v>57</v>
      </c>
    </row>
    <row r="10" customFormat="false" ht="27.75" hidden="false" customHeight="true" outlineLevel="0" collapsed="false">
      <c r="B10" s="40" t="s">
        <v>105</v>
      </c>
      <c r="C10" s="41" t="n">
        <v>65600</v>
      </c>
      <c r="D10" s="41" t="n">
        <v>36965</v>
      </c>
      <c r="E10" s="42" t="n">
        <f aca="false">D10-C10</f>
        <v>-28635</v>
      </c>
      <c r="F10" s="43" t="n">
        <f aca="false">(D10-C10)/C10</f>
        <v>-0.436509146341463</v>
      </c>
      <c r="G10" s="71" t="n">
        <f aca="false">D10/163</f>
        <v>226.779141104294</v>
      </c>
      <c r="H10" s="71" t="n">
        <f aca="false">D10/1004</f>
        <v>36.8177290836653</v>
      </c>
      <c r="I10" s="72" t="n">
        <f aca="false">D10/D19</f>
        <v>0.0945998858608167</v>
      </c>
      <c r="J10" s="46" t="s">
        <v>57</v>
      </c>
    </row>
    <row r="11" customFormat="false" ht="27.75" hidden="false" customHeight="true" outlineLevel="0" collapsed="false">
      <c r="B11" s="47" t="s">
        <v>83</v>
      </c>
      <c r="C11" s="48" t="n">
        <v>12000</v>
      </c>
      <c r="D11" s="48" t="n">
        <v>22695</v>
      </c>
      <c r="E11" s="56" t="n">
        <f aca="false">D11-C11</f>
        <v>10695</v>
      </c>
      <c r="F11" s="57" t="n">
        <f aca="false">(D11-C11)/C11</f>
        <v>0.89125</v>
      </c>
      <c r="G11" s="73" t="n">
        <f aca="false">D11/163</f>
        <v>139.233128834356</v>
      </c>
      <c r="H11" s="73" t="n">
        <f aca="false">D11/1004</f>
        <v>22.6045816733068</v>
      </c>
      <c r="I11" s="74" t="n">
        <f aca="false">D11/D19</f>
        <v>0.0580804655650273</v>
      </c>
      <c r="J11" s="58" t="s">
        <v>70</v>
      </c>
    </row>
    <row r="12" customFormat="false" ht="27.75" hidden="false" customHeight="true" outlineLevel="0" collapsed="false">
      <c r="B12" s="40" t="s">
        <v>76</v>
      </c>
      <c r="C12" s="41" t="n">
        <v>13130</v>
      </c>
      <c r="D12" s="41" t="n">
        <v>8579</v>
      </c>
      <c r="E12" s="42" t="n">
        <f aca="false">D12-C12</f>
        <v>-4551</v>
      </c>
      <c r="F12" s="43" t="n">
        <f aca="false">(D12-C12)/C12</f>
        <v>-0.346610814927647</v>
      </c>
      <c r="G12" s="71" t="n">
        <f aca="false">D12/163</f>
        <v>52.6319018404908</v>
      </c>
      <c r="H12" s="71" t="n">
        <f aca="false">D12/1004</f>
        <v>8.54482071713147</v>
      </c>
      <c r="I12" s="72" t="n">
        <f aca="false">D12/D19</f>
        <v>0.021955158144189</v>
      </c>
      <c r="J12" s="46" t="s">
        <v>57</v>
      </c>
    </row>
    <row r="13" customFormat="false" ht="27.75" hidden="false" customHeight="true" outlineLevel="0" collapsed="false">
      <c r="B13" s="47" t="s">
        <v>75</v>
      </c>
      <c r="C13" s="48" t="n">
        <v>11970</v>
      </c>
      <c r="D13" s="48" t="n">
        <v>6599</v>
      </c>
      <c r="E13" s="49" t="n">
        <f aca="false">D13-C13</f>
        <v>-5371</v>
      </c>
      <c r="F13" s="50" t="n">
        <f aca="false">(D13-C13)/C13</f>
        <v>-0.448705096073517</v>
      </c>
      <c r="G13" s="73" t="n">
        <f aca="false">D13/163</f>
        <v>40.4846625766871</v>
      </c>
      <c r="H13" s="73" t="n">
        <f aca="false">D13/1004</f>
        <v>6.57270916334661</v>
      </c>
      <c r="I13" s="74" t="n">
        <f aca="false">D13/D19</f>
        <v>0.016887992609104</v>
      </c>
      <c r="J13" s="46" t="s">
        <v>57</v>
      </c>
    </row>
    <row r="14" customFormat="false" ht="27.75" hidden="false" customHeight="true" outlineLevel="0" collapsed="false">
      <c r="B14" s="40" t="s">
        <v>72</v>
      </c>
      <c r="C14" s="41" t="n">
        <v>17900</v>
      </c>
      <c r="D14" s="41" t="n">
        <v>5067</v>
      </c>
      <c r="E14" s="42" t="n">
        <f aca="false">D14-C14</f>
        <v>-12833</v>
      </c>
      <c r="F14" s="43" t="n">
        <f aca="false">(D14-C14)/C14</f>
        <v>-0.716927374301676</v>
      </c>
      <c r="G14" s="71" t="n">
        <f aca="false">D14/163</f>
        <v>31.0858895705521</v>
      </c>
      <c r="H14" s="71" t="n">
        <f aca="false">D14/1004</f>
        <v>5.04681274900398</v>
      </c>
      <c r="I14" s="72" t="n">
        <f aca="false">D14/D19</f>
        <v>0.0129673372556948</v>
      </c>
      <c r="J14" s="46" t="s">
        <v>57</v>
      </c>
    </row>
    <row r="15" customFormat="false" ht="27.75" hidden="false" customHeight="true" outlineLevel="0" collapsed="false">
      <c r="B15" s="47" t="s">
        <v>106</v>
      </c>
      <c r="C15" s="48" t="n">
        <v>0</v>
      </c>
      <c r="D15" s="48" t="n">
        <v>2279</v>
      </c>
      <c r="E15" s="56" t="n">
        <f aca="false">D15-C15</f>
        <v>2279</v>
      </c>
      <c r="F15" s="75" t="s">
        <v>85</v>
      </c>
      <c r="G15" s="73" t="n">
        <f aca="false">D15/163</f>
        <v>13.9815950920245</v>
      </c>
      <c r="H15" s="73" t="n">
        <f aca="false">D15/1004</f>
        <v>2.2699203187251</v>
      </c>
      <c r="I15" s="74" t="n">
        <f aca="false">D15/D19</f>
        <v>0.00583235871437309</v>
      </c>
      <c r="J15" s="63" t="s">
        <v>86</v>
      </c>
    </row>
    <row r="16" customFormat="false" ht="27.75" hidden="false" customHeight="true" outlineLevel="0" collapsed="false">
      <c r="B16" s="40" t="s">
        <v>77</v>
      </c>
      <c r="C16" s="41" t="n">
        <v>2700</v>
      </c>
      <c r="D16" s="41" t="n">
        <v>1789</v>
      </c>
      <c r="E16" s="42" t="n">
        <f aca="false">D16-C16</f>
        <v>-911</v>
      </c>
      <c r="F16" s="43" t="n">
        <f aca="false">(D16-C16)/C16</f>
        <v>-0.337407407407407</v>
      </c>
      <c r="G16" s="71" t="n">
        <f aca="false">D16/163</f>
        <v>10.9754601226994</v>
      </c>
      <c r="H16" s="71" t="n">
        <f aca="false">D16/1004</f>
        <v>1.78187250996016</v>
      </c>
      <c r="I16" s="72" t="n">
        <f aca="false">D16/D19</f>
        <v>0.00457836320316519</v>
      </c>
      <c r="J16" s="46" t="s">
        <v>57</v>
      </c>
    </row>
    <row r="17" customFormat="false" ht="27.75" hidden="false" customHeight="true" outlineLevel="0" collapsed="false">
      <c r="B17" s="47" t="s">
        <v>74</v>
      </c>
      <c r="C17" s="48" t="n">
        <v>4300</v>
      </c>
      <c r="D17" s="48" t="n">
        <v>1636</v>
      </c>
      <c r="E17" s="49" t="n">
        <f aca="false">D17-C17</f>
        <v>-2664</v>
      </c>
      <c r="F17" s="50" t="n">
        <f aca="false">(D17-C17)/C17</f>
        <v>-0.61953488372093</v>
      </c>
      <c r="G17" s="73" t="n">
        <f aca="false">D17/163</f>
        <v>10.0368098159509</v>
      </c>
      <c r="H17" s="73" t="n">
        <f aca="false">D17/1004</f>
        <v>1.62948207171315</v>
      </c>
      <c r="I17" s="74" t="n">
        <f aca="false">D17/D19</f>
        <v>0.0041868095027268</v>
      </c>
      <c r="J17" s="46" t="s">
        <v>57</v>
      </c>
    </row>
    <row r="18" customFormat="false" ht="27.75" hidden="false" customHeight="true" outlineLevel="0" collapsed="false">
      <c r="B18" s="40" t="s">
        <v>81</v>
      </c>
      <c r="C18" s="41" t="n">
        <v>3000</v>
      </c>
      <c r="D18" s="41" t="n">
        <v>996</v>
      </c>
      <c r="E18" s="42" t="n">
        <f aca="false">D18-C18</f>
        <v>-2004</v>
      </c>
      <c r="F18" s="43" t="n">
        <f aca="false">(D18-C18)/C18</f>
        <v>-0.668</v>
      </c>
      <c r="G18" s="71" t="n">
        <f aca="false">D18/163</f>
        <v>6.11042944785276</v>
      </c>
      <c r="H18" s="71" t="n">
        <f aca="false">D18/1004</f>
        <v>0.99203187250996</v>
      </c>
      <c r="I18" s="72" t="n">
        <f aca="false">D18/D19</f>
        <v>0.00254893781461852</v>
      </c>
      <c r="J18" s="46" t="s">
        <v>57</v>
      </c>
    </row>
    <row r="19" customFormat="false" ht="33.75" hidden="false" customHeight="true" outlineLevel="0" collapsed="false">
      <c r="B19" s="65" t="s">
        <v>107</v>
      </c>
      <c r="C19" s="66" t="n">
        <f aca="false">SUM(C8:C18)</f>
        <v>553400</v>
      </c>
      <c r="D19" s="66" t="n">
        <f aca="false">SUM(D8:D18)</f>
        <v>390751</v>
      </c>
      <c r="E19" s="67" t="n">
        <f aca="false">D19-C19</f>
        <v>-162649</v>
      </c>
      <c r="F19" s="68" t="n">
        <f aca="false">(D19-C19)/C19</f>
        <v>-0.293908565233104</v>
      </c>
      <c r="G19" s="66" t="n">
        <f aca="false">D19/163</f>
        <v>2397.24539877301</v>
      </c>
      <c r="H19" s="70" t="n">
        <f aca="false">D19/1004</f>
        <v>389.19422310757</v>
      </c>
      <c r="I19" s="76" t="s">
        <v>108</v>
      </c>
      <c r="J19" s="21"/>
    </row>
    <row r="22" customFormat="false" ht="13.5" hidden="false" customHeight="true" outlineLevel="0" collapsed="false">
      <c r="B22" s="35" t="s">
        <v>109</v>
      </c>
    </row>
    <row r="23" customFormat="false" ht="24" hidden="false" customHeight="true" outlineLevel="0" collapsed="false">
      <c r="B23" s="77" t="s">
        <v>110</v>
      </c>
      <c r="C23" s="77"/>
      <c r="D23" s="77"/>
      <c r="E23" s="77"/>
      <c r="F23" s="77"/>
      <c r="G23" s="77"/>
      <c r="H23" s="77"/>
      <c r="I23" s="77"/>
      <c r="J23" s="77"/>
    </row>
    <row r="24" customFormat="false" ht="6" hidden="false" customHeight="true" outlineLevel="0" collapsed="false"/>
    <row r="25" customFormat="false" ht="24" hidden="false" customHeight="true" outlineLevel="0" collapsed="false">
      <c r="B25" s="78" t="s">
        <v>111</v>
      </c>
      <c r="C25" s="78"/>
      <c r="D25" s="78"/>
      <c r="E25" s="78"/>
      <c r="F25" s="78"/>
      <c r="G25" s="78"/>
      <c r="H25" s="78"/>
      <c r="I25" s="78"/>
      <c r="J25" s="78"/>
    </row>
    <row r="26" customFormat="false" ht="6" hidden="false" customHeight="true" outlineLevel="0" collapsed="false"/>
    <row r="27" customFormat="false" ht="24" hidden="false" customHeight="true" outlineLevel="0" collapsed="false">
      <c r="B27" s="79" t="s">
        <v>112</v>
      </c>
      <c r="C27" s="79"/>
      <c r="D27" s="79"/>
      <c r="E27" s="79"/>
      <c r="F27" s="79"/>
      <c r="G27" s="79"/>
      <c r="H27" s="79"/>
      <c r="I27" s="79"/>
      <c r="J27" s="79"/>
    </row>
    <row r="28" customFormat="false" ht="6" hidden="false" customHeight="true" outlineLevel="0" collapsed="false"/>
    <row r="29" customFormat="false" ht="24" hidden="false" customHeight="true" outlineLevel="0" collapsed="false">
      <c r="B29" s="79" t="s">
        <v>113</v>
      </c>
      <c r="C29" s="79"/>
      <c r="D29" s="79"/>
      <c r="E29" s="79"/>
      <c r="F29" s="79"/>
      <c r="G29" s="79"/>
      <c r="H29" s="79"/>
      <c r="I29" s="79"/>
      <c r="J29" s="79"/>
    </row>
    <row r="30" customFormat="false" ht="6" hidden="false" customHeight="true" outlineLevel="0" collapsed="false"/>
    <row r="31" customFormat="false" ht="24" hidden="false" customHeight="true" outlineLevel="0" collapsed="false">
      <c r="B31" s="80" t="s">
        <v>114</v>
      </c>
      <c r="C31" s="80"/>
      <c r="D31" s="80"/>
      <c r="E31" s="80"/>
      <c r="F31" s="80"/>
      <c r="G31" s="80"/>
      <c r="H31" s="80"/>
      <c r="I31" s="80"/>
      <c r="J31" s="80"/>
    </row>
    <row r="32" customFormat="false" ht="6" hidden="false" customHeight="true" outlineLevel="0" collapsed="false"/>
    <row r="33" customFormat="false" ht="24" hidden="false" customHeight="true" outlineLevel="0" collapsed="false">
      <c r="B33" s="81" t="s">
        <v>115</v>
      </c>
      <c r="C33" s="81"/>
      <c r="D33" s="81"/>
      <c r="E33" s="81"/>
      <c r="F33" s="81"/>
      <c r="G33" s="81"/>
      <c r="H33" s="81"/>
      <c r="I33" s="81"/>
      <c r="J33" s="81"/>
    </row>
    <row r="34" customFormat="false" ht="6" hidden="false" customHeight="true" outlineLevel="0" collapsed="false"/>
    <row r="36" customFormat="false" ht="12" hidden="false" customHeight="true" outlineLevel="0" collapsed="false"/>
    <row r="37" customFormat="false" ht="18" hidden="false" customHeight="true" outlineLevel="0" collapsed="false">
      <c r="B37" s="32" t="s">
        <v>41</v>
      </c>
      <c r="C37" s="33"/>
      <c r="D37" s="33"/>
      <c r="E37" s="33"/>
      <c r="F37" s="33"/>
      <c r="G37" s="33"/>
      <c r="H37" s="33"/>
      <c r="I37" s="33"/>
      <c r="J37" s="33"/>
    </row>
    <row r="38" customFormat="false" ht="18" hidden="false" customHeight="true" outlineLevel="0" collapsed="false">
      <c r="B38" s="34" t="s">
        <v>42</v>
      </c>
      <c r="C38" s="34"/>
      <c r="D38" s="34"/>
      <c r="E38" s="34"/>
      <c r="F38" s="34"/>
      <c r="G38" s="34"/>
      <c r="H38" s="34"/>
      <c r="I38" s="34"/>
      <c r="J38" s="34"/>
    </row>
    <row r="39" customFormat="false" ht="18" hidden="false" customHeight="true" outlineLevel="0" collapsed="false">
      <c r="B39" s="34" t="s">
        <v>116</v>
      </c>
      <c r="C39" s="34"/>
      <c r="D39" s="34"/>
      <c r="E39" s="34"/>
      <c r="F39" s="34"/>
      <c r="G39" s="34"/>
      <c r="H39" s="34"/>
      <c r="I39" s="34"/>
      <c r="J39" s="34"/>
    </row>
    <row r="40" customFormat="false" ht="18" hidden="false" customHeight="true" outlineLevel="0" collapsed="false">
      <c r="B40" s="34" t="s">
        <v>117</v>
      </c>
      <c r="C40" s="34"/>
      <c r="D40" s="34"/>
      <c r="E40" s="34"/>
      <c r="F40" s="34"/>
      <c r="G40" s="34"/>
      <c r="H40" s="34"/>
      <c r="I40" s="34"/>
      <c r="J40" s="34"/>
    </row>
    <row r="41" customFormat="false" ht="18" hidden="false" customHeight="true" outlineLevel="0" collapsed="false">
      <c r="B41" s="34" t="s">
        <v>44</v>
      </c>
      <c r="C41" s="34"/>
      <c r="D41" s="34"/>
      <c r="E41" s="34"/>
      <c r="F41" s="34"/>
      <c r="G41" s="34"/>
      <c r="H41" s="34"/>
      <c r="I41" s="34"/>
      <c r="J41" s="34"/>
    </row>
  </sheetData>
  <mergeCells count="10">
    <mergeCell ref="B23:J23"/>
    <mergeCell ref="B25:J25"/>
    <mergeCell ref="B27:J27"/>
    <mergeCell ref="B29:J29"/>
    <mergeCell ref="B31:J31"/>
    <mergeCell ref="B33:J33"/>
    <mergeCell ref="B38:J38"/>
    <mergeCell ref="B39:J39"/>
    <mergeCell ref="B40:J40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38"/>
    <col collapsed="false" customWidth="true" hidden="false" outlineLevel="0" max="6" min="6" style="1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5" t="s">
        <v>118</v>
      </c>
    </row>
    <row r="4" customFormat="false" ht="31.5" hidden="false" customHeight="true" outlineLevel="0" collapsed="false">
      <c r="B4" s="36" t="s">
        <v>119</v>
      </c>
    </row>
    <row r="5" customFormat="false" ht="19.5" hidden="false" customHeight="true" outlineLevel="0" collapsed="false">
      <c r="B5" s="37" t="s">
        <v>120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8" t="s">
        <v>121</v>
      </c>
      <c r="C7" s="39" t="s">
        <v>122</v>
      </c>
      <c r="D7" s="39" t="s">
        <v>104</v>
      </c>
      <c r="E7" s="38" t="s">
        <v>123</v>
      </c>
    </row>
    <row r="8" customFormat="false" ht="31.5" hidden="false" customHeight="true" outlineLevel="0" collapsed="false">
      <c r="B8" s="82" t="s">
        <v>124</v>
      </c>
      <c r="C8" s="83" t="n">
        <v>439954</v>
      </c>
      <c r="D8" s="72" t="n">
        <f aca="false">C8/SUM($C$8:$C$10)</f>
        <v>0.512658751475505</v>
      </c>
      <c r="E8" s="84" t="s">
        <v>125</v>
      </c>
    </row>
    <row r="9" customFormat="false" ht="31.5" hidden="false" customHeight="true" outlineLevel="0" collapsed="false">
      <c r="B9" s="85" t="s">
        <v>126</v>
      </c>
      <c r="C9" s="86" t="n">
        <v>408537</v>
      </c>
      <c r="D9" s="74" t="n">
        <f aca="false">C9/SUM($C$8:$C$10)</f>
        <v>0.47604992420014</v>
      </c>
      <c r="E9" s="87" t="s">
        <v>127</v>
      </c>
    </row>
    <row r="10" customFormat="false" ht="31.5" hidden="false" customHeight="true" outlineLevel="0" collapsed="false">
      <c r="B10" s="88" t="s">
        <v>128</v>
      </c>
      <c r="C10" s="83" t="n">
        <v>9690</v>
      </c>
      <c r="D10" s="72" t="n">
        <f aca="false">C10/SUM($C$8:$C$10)</f>
        <v>0.0112913243243558</v>
      </c>
      <c r="E10" s="84" t="s">
        <v>129</v>
      </c>
    </row>
    <row r="11" customFormat="false" ht="36" hidden="false" customHeight="true" outlineLevel="0" collapsed="false">
      <c r="B11" s="65" t="s">
        <v>130</v>
      </c>
      <c r="C11" s="89" t="n">
        <f aca="false">SUM(C8:C10)</f>
        <v>858181</v>
      </c>
      <c r="D11" s="90" t="n">
        <f aca="false">SUM(D8:D10)</f>
        <v>1</v>
      </c>
      <c r="E11" s="21"/>
    </row>
    <row r="14" customFormat="false" ht="27.75" hidden="false" customHeight="true" outlineLevel="0" collapsed="false">
      <c r="B14" s="22" t="s">
        <v>131</v>
      </c>
    </row>
    <row r="15" customFormat="false" ht="18" hidden="false" customHeight="true" outlineLevel="0" collapsed="false">
      <c r="B15" s="91" t="s">
        <v>132</v>
      </c>
    </row>
    <row r="17" customFormat="false" ht="27.75" hidden="false" customHeight="true" outlineLevel="0" collapsed="false">
      <c r="B17" s="38" t="s">
        <v>133</v>
      </c>
      <c r="C17" s="39" t="s">
        <v>95</v>
      </c>
      <c r="D17" s="39" t="s">
        <v>134</v>
      </c>
      <c r="E17" s="39" t="s">
        <v>135</v>
      </c>
    </row>
    <row r="18" customFormat="false" ht="27.75" hidden="false" customHeight="true" outlineLevel="0" collapsed="false">
      <c r="B18" s="92" t="s">
        <v>136</v>
      </c>
      <c r="C18" s="93" t="n">
        <v>1391455</v>
      </c>
      <c r="D18" s="93" t="n">
        <f aca="false">C18/163</f>
        <v>8536.53374233129</v>
      </c>
      <c r="E18" s="94" t="n">
        <f aca="false">C18/1391455</f>
        <v>1</v>
      </c>
    </row>
    <row r="19" customFormat="false" ht="27.75" hidden="false" customHeight="true" outlineLevel="0" collapsed="false">
      <c r="B19" s="95" t="s">
        <v>137</v>
      </c>
      <c r="C19" s="96" t="n">
        <v>858181</v>
      </c>
      <c r="D19" s="96" t="n">
        <f aca="false">C19/163</f>
        <v>5264.91411042945</v>
      </c>
      <c r="E19" s="97" t="n">
        <f aca="false">C19/1391455</f>
        <v>0.616750811201225</v>
      </c>
    </row>
    <row r="20" customFormat="false" ht="27.75" hidden="false" customHeight="true" outlineLevel="0" collapsed="false">
      <c r="B20" s="92" t="s">
        <v>138</v>
      </c>
      <c r="C20" s="98" t="n">
        <v>533274</v>
      </c>
      <c r="D20" s="98" t="n">
        <f aca="false">C20/163</f>
        <v>3271.61963190184</v>
      </c>
      <c r="E20" s="94" t="n">
        <f aca="false">C20/1391455</f>
        <v>0.383249188798775</v>
      </c>
    </row>
    <row r="21" customFormat="false" ht="7.5" hidden="false" customHeight="true" outlineLevel="0" collapsed="false"/>
    <row r="22" customFormat="false" ht="27.75" hidden="false" customHeight="true" outlineLevel="0" collapsed="false">
      <c r="B22" s="99" t="s">
        <v>139</v>
      </c>
      <c r="C22" s="41" t="n">
        <v>177292</v>
      </c>
      <c r="D22" s="41" t="n">
        <f aca="false">C22/163</f>
        <v>1087.68098159509</v>
      </c>
      <c r="E22" s="100" t="n">
        <f aca="false">C22/1391455</f>
        <v>0.127414828363116</v>
      </c>
    </row>
    <row r="23" customFormat="false" ht="27.75" hidden="false" customHeight="true" outlineLevel="0" collapsed="false">
      <c r="B23" s="101" t="s">
        <v>140</v>
      </c>
      <c r="C23" s="48" t="n">
        <v>22695</v>
      </c>
      <c r="D23" s="48" t="n">
        <f aca="false">C23/163</f>
        <v>139.233128834356</v>
      </c>
      <c r="E23" s="102" t="n">
        <f aca="false">C23/1391455</f>
        <v>0.0163102651541013</v>
      </c>
    </row>
    <row r="24" customFormat="false" ht="27.75" hidden="false" customHeight="true" outlineLevel="0" collapsed="false">
      <c r="B24" s="99" t="s">
        <v>141</v>
      </c>
      <c r="C24" s="41" t="n">
        <v>34658</v>
      </c>
      <c r="D24" s="41" t="n">
        <f aca="false">C24/163</f>
        <v>212.625766871166</v>
      </c>
      <c r="E24" s="100" t="n">
        <f aca="false">C24/1391455</f>
        <v>0.0249077404587285</v>
      </c>
    </row>
    <row r="25" customFormat="false" ht="27.75" hidden="false" customHeight="true" outlineLevel="0" collapsed="false">
      <c r="B25" s="101" t="s">
        <v>142</v>
      </c>
      <c r="C25" s="48" t="n">
        <v>15682</v>
      </c>
      <c r="D25" s="48" t="n">
        <f aca="false">C25/163</f>
        <v>96.2085889570552</v>
      </c>
      <c r="E25" s="102" t="n">
        <f aca="false">C25/1391455</f>
        <v>0.0112702171467996</v>
      </c>
    </row>
    <row r="26" customFormat="false" ht="27.75" hidden="false" customHeight="true" outlineLevel="0" collapsed="false">
      <c r="B26" s="99" t="s">
        <v>143</v>
      </c>
      <c r="C26" s="41" t="n">
        <v>9742</v>
      </c>
      <c r="D26" s="41" t="n">
        <f aca="false">C26/163</f>
        <v>59.7668711656442</v>
      </c>
      <c r="E26" s="100" t="n">
        <f aca="false">C26/1391455</f>
        <v>0.00700130439000902</v>
      </c>
    </row>
    <row r="29" customFormat="false" ht="12" hidden="false" customHeight="true" outlineLevel="0" collapsed="false"/>
    <row r="30" customFormat="false" ht="18" hidden="false" customHeight="true" outlineLevel="0" collapsed="false">
      <c r="B30" s="32" t="s">
        <v>41</v>
      </c>
      <c r="C30" s="33"/>
      <c r="D30" s="33"/>
      <c r="E30" s="33"/>
      <c r="F30" s="33"/>
      <c r="G30" s="33"/>
    </row>
    <row r="31" customFormat="false" ht="18" hidden="false" customHeight="true" outlineLevel="0" collapsed="false">
      <c r="B31" s="34" t="s">
        <v>42</v>
      </c>
      <c r="C31" s="34"/>
      <c r="D31" s="34"/>
      <c r="E31" s="34"/>
      <c r="F31" s="34"/>
      <c r="G31" s="34"/>
    </row>
    <row r="32" customFormat="false" ht="18" hidden="false" customHeight="true" outlineLevel="0" collapsed="false">
      <c r="B32" s="34" t="s">
        <v>144</v>
      </c>
      <c r="C32" s="34"/>
      <c r="D32" s="34"/>
      <c r="E32" s="34"/>
      <c r="F32" s="34"/>
      <c r="G32" s="34"/>
    </row>
    <row r="33" customFormat="false" ht="18" hidden="false" customHeight="true" outlineLevel="0" collapsed="false">
      <c r="B33" s="34" t="s">
        <v>145</v>
      </c>
      <c r="C33" s="34"/>
      <c r="D33" s="34"/>
      <c r="E33" s="34"/>
      <c r="F33" s="34"/>
      <c r="G33" s="34"/>
    </row>
    <row r="34" customFormat="false" ht="18" hidden="false" customHeight="true" outlineLevel="0" collapsed="false">
      <c r="B34" s="34" t="s">
        <v>44</v>
      </c>
      <c r="C34" s="34"/>
      <c r="D34" s="34"/>
      <c r="E34" s="34"/>
      <c r="F34" s="34"/>
      <c r="G34" s="34"/>
    </row>
  </sheetData>
  <mergeCells count="4">
    <mergeCell ref="B31:G31"/>
    <mergeCell ref="B32:G32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2"/>
    <col collapsed="false" customWidth="true" hidden="false" outlineLevel="0" max="6" min="6" style="1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5" t="s">
        <v>146</v>
      </c>
    </row>
    <row r="4" customFormat="false" ht="31.5" hidden="false" customHeight="true" outlineLevel="0" collapsed="false">
      <c r="B4" s="36" t="s">
        <v>147</v>
      </c>
    </row>
    <row r="5" customFormat="false" ht="19.5" hidden="false" customHeight="true" outlineLevel="0" collapsed="false">
      <c r="B5" s="37" t="s">
        <v>148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8" t="s">
        <v>149</v>
      </c>
      <c r="C7" s="38" t="s">
        <v>150</v>
      </c>
      <c r="D7" s="39" t="s">
        <v>151</v>
      </c>
      <c r="E7" s="38" t="s">
        <v>152</v>
      </c>
    </row>
    <row r="8" customFormat="false" ht="31.5" hidden="false" customHeight="true" outlineLevel="0" collapsed="false">
      <c r="B8" s="103" t="s">
        <v>153</v>
      </c>
      <c r="C8" s="92" t="s">
        <v>154</v>
      </c>
      <c r="D8" s="104" t="n">
        <v>1</v>
      </c>
      <c r="E8" s="84" t="s">
        <v>155</v>
      </c>
    </row>
    <row r="9" customFormat="false" ht="31.5" hidden="false" customHeight="true" outlineLevel="0" collapsed="false">
      <c r="B9" s="105" t="s">
        <v>156</v>
      </c>
      <c r="C9" s="95" t="s">
        <v>157</v>
      </c>
      <c r="D9" s="106" t="n">
        <v>5</v>
      </c>
      <c r="E9" s="87" t="s">
        <v>158</v>
      </c>
    </row>
    <row r="10" customFormat="false" ht="31.5" hidden="false" customHeight="true" outlineLevel="0" collapsed="false">
      <c r="B10" s="82" t="s">
        <v>159</v>
      </c>
      <c r="C10" s="92" t="s">
        <v>160</v>
      </c>
      <c r="D10" s="104" t="n">
        <v>8</v>
      </c>
      <c r="E10" s="84" t="s">
        <v>161</v>
      </c>
    </row>
    <row r="11" customFormat="false" ht="31.5" hidden="false" customHeight="true" outlineLevel="0" collapsed="false">
      <c r="B11" s="85" t="s">
        <v>162</v>
      </c>
      <c r="C11" s="95" t="s">
        <v>163</v>
      </c>
      <c r="D11" s="106" t="n">
        <v>8</v>
      </c>
      <c r="E11" s="87" t="s">
        <v>164</v>
      </c>
    </row>
    <row r="12" customFormat="false" ht="31.5" hidden="false" customHeight="true" outlineLevel="0" collapsed="false">
      <c r="B12" s="88" t="s">
        <v>165</v>
      </c>
      <c r="C12" s="92" t="s">
        <v>166</v>
      </c>
      <c r="D12" s="104" t="n">
        <v>20</v>
      </c>
      <c r="E12" s="84" t="s">
        <v>167</v>
      </c>
    </row>
    <row r="13" customFormat="false" ht="33.75" hidden="false" customHeight="true" outlineLevel="0" collapsed="false">
      <c r="B13" s="65" t="s">
        <v>168</v>
      </c>
      <c r="C13" s="21"/>
      <c r="D13" s="107" t="n">
        <f aca="false">SUM(D8:D12)</f>
        <v>42</v>
      </c>
      <c r="E13" s="21"/>
    </row>
    <row r="16" customFormat="false" ht="27.75" hidden="false" customHeight="true" outlineLevel="0" collapsed="false">
      <c r="B16" s="22" t="s">
        <v>169</v>
      </c>
    </row>
    <row r="17" customFormat="false" ht="6" hidden="false" customHeight="true" outlineLevel="0" collapsed="false"/>
    <row r="18" customFormat="false" ht="27.75" hidden="false" customHeight="true" outlineLevel="0" collapsed="false">
      <c r="B18" s="23" t="s">
        <v>170</v>
      </c>
      <c r="C18" s="108" t="s">
        <v>171</v>
      </c>
      <c r="D18" s="25"/>
      <c r="E18" s="25"/>
    </row>
    <row r="19" customFormat="false" ht="27.75" hidden="false" customHeight="true" outlineLevel="0" collapsed="false">
      <c r="B19" s="23" t="s">
        <v>172</v>
      </c>
      <c r="C19" s="109" t="s">
        <v>173</v>
      </c>
      <c r="D19" s="25"/>
      <c r="E19" s="25"/>
    </row>
    <row r="20" customFormat="false" ht="27.75" hidden="false" customHeight="true" outlineLevel="0" collapsed="false">
      <c r="B20" s="23" t="s">
        <v>174</v>
      </c>
      <c r="C20" s="110" t="s">
        <v>175</v>
      </c>
      <c r="D20" s="25"/>
      <c r="E20" s="25"/>
    </row>
    <row r="21" customFormat="false" ht="27.75" hidden="false" customHeight="true" outlineLevel="0" collapsed="false">
      <c r="B21" s="23" t="s">
        <v>176</v>
      </c>
      <c r="C21" s="111" t="s">
        <v>177</v>
      </c>
      <c r="D21" s="25"/>
      <c r="E21" s="25"/>
    </row>
    <row r="22" customFormat="false" ht="27.75" hidden="false" customHeight="true" outlineLevel="0" collapsed="false">
      <c r="B22" s="23" t="s">
        <v>178</v>
      </c>
      <c r="C22" s="112" t="s">
        <v>179</v>
      </c>
      <c r="D22" s="25"/>
      <c r="E22" s="25"/>
    </row>
    <row r="23" customFormat="false" ht="27.75" hidden="false" customHeight="true" outlineLevel="0" collapsed="false">
      <c r="B23" s="23" t="s">
        <v>180</v>
      </c>
      <c r="C23" s="113" t="s">
        <v>181</v>
      </c>
      <c r="D23" s="25"/>
      <c r="E23" s="25"/>
    </row>
    <row r="26" customFormat="false" ht="12" hidden="false" customHeight="true" outlineLevel="0" collapsed="false"/>
    <row r="27" customFormat="false" ht="18" hidden="false" customHeight="true" outlineLevel="0" collapsed="false">
      <c r="B27" s="32" t="s">
        <v>41</v>
      </c>
      <c r="C27" s="33"/>
      <c r="D27" s="33"/>
      <c r="E27" s="33"/>
    </row>
    <row r="28" customFormat="false" ht="18" hidden="false" customHeight="true" outlineLevel="0" collapsed="false">
      <c r="B28" s="34" t="s">
        <v>42</v>
      </c>
      <c r="C28" s="34"/>
      <c r="D28" s="34"/>
      <c r="E28" s="34"/>
    </row>
    <row r="29" customFormat="false" ht="18" hidden="false" customHeight="true" outlineLevel="0" collapsed="false">
      <c r="B29" s="34" t="s">
        <v>182</v>
      </c>
      <c r="C29" s="34"/>
      <c r="D29" s="34"/>
      <c r="E29" s="34"/>
    </row>
    <row r="30" customFormat="false" ht="18" hidden="false" customHeight="true" outlineLevel="0" collapsed="false">
      <c r="B30" s="34" t="s">
        <v>183</v>
      </c>
      <c r="C30" s="34"/>
      <c r="D30" s="34"/>
      <c r="E30" s="34"/>
    </row>
  </sheetData>
  <mergeCells count="3">
    <mergeCell ref="B28:E28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38"/>
    <col collapsed="false" customWidth="true" hidden="false" outlineLevel="0" max="4" min="4" style="1" width="60"/>
    <col collapsed="false" customWidth="true" hidden="false" outlineLevel="0" max="5" min="5" style="1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5" t="s">
        <v>184</v>
      </c>
    </row>
    <row r="4" customFormat="false" ht="31.5" hidden="false" customHeight="true" outlineLevel="0" collapsed="false">
      <c r="B4" s="114" t="s">
        <v>185</v>
      </c>
      <c r="C4" s="114"/>
      <c r="D4" s="114"/>
    </row>
    <row r="5" customFormat="false" ht="19.5" hidden="false" customHeight="true" outlineLevel="0" collapsed="false">
      <c r="B5" s="115" t="s">
        <v>186</v>
      </c>
      <c r="C5" s="115"/>
      <c r="D5" s="115"/>
    </row>
    <row r="6" customFormat="false" ht="18" hidden="false" customHeight="true" outlineLevel="0" collapsed="false"/>
    <row r="7" customFormat="false" ht="3.75" hidden="false" customHeight="true" outlineLevel="0" collapsed="false">
      <c r="B7" s="116"/>
      <c r="C7" s="21"/>
      <c r="D7" s="21"/>
    </row>
    <row r="8" customFormat="false" ht="25.5" hidden="false" customHeight="true" outlineLevel="0" collapsed="false">
      <c r="B8" s="116"/>
      <c r="C8" s="117" t="s">
        <v>70</v>
      </c>
      <c r="D8" s="118" t="s">
        <v>187</v>
      </c>
    </row>
    <row r="9" customFormat="false" ht="60" hidden="false" customHeight="true" outlineLevel="0" collapsed="false">
      <c r="B9" s="116"/>
      <c r="C9" s="119" t="s">
        <v>188</v>
      </c>
      <c r="D9" s="119"/>
    </row>
    <row r="10" customFormat="false" ht="12" hidden="false" customHeight="true" outlineLevel="0" collapsed="false"/>
    <row r="11" customFormat="false" ht="3.75" hidden="false" customHeight="true" outlineLevel="0" collapsed="false">
      <c r="B11" s="10"/>
      <c r="C11" s="21"/>
      <c r="D11" s="21"/>
    </row>
    <row r="12" customFormat="false" ht="25.5" hidden="false" customHeight="true" outlineLevel="0" collapsed="false">
      <c r="B12" s="10"/>
      <c r="C12" s="120" t="s">
        <v>189</v>
      </c>
      <c r="D12" s="118" t="s">
        <v>190</v>
      </c>
    </row>
    <row r="13" customFormat="false" ht="60" hidden="false" customHeight="true" outlineLevel="0" collapsed="false">
      <c r="B13" s="10"/>
      <c r="C13" s="119" t="s">
        <v>191</v>
      </c>
      <c r="D13" s="119"/>
    </row>
    <row r="14" customFormat="false" ht="12" hidden="false" customHeight="true" outlineLevel="0" collapsed="false"/>
    <row r="15" customFormat="false" ht="3.75" hidden="false" customHeight="true" outlineLevel="0" collapsed="false">
      <c r="B15" s="10"/>
      <c r="C15" s="21"/>
      <c r="D15" s="21"/>
    </row>
    <row r="16" customFormat="false" ht="25.5" hidden="false" customHeight="true" outlineLevel="0" collapsed="false">
      <c r="B16" s="10"/>
      <c r="C16" s="120" t="s">
        <v>189</v>
      </c>
      <c r="D16" s="118" t="s">
        <v>192</v>
      </c>
    </row>
    <row r="17" customFormat="false" ht="60" hidden="false" customHeight="true" outlineLevel="0" collapsed="false">
      <c r="B17" s="10"/>
      <c r="C17" s="119" t="s">
        <v>193</v>
      </c>
      <c r="D17" s="119"/>
    </row>
    <row r="18" customFormat="false" ht="12" hidden="false" customHeight="true" outlineLevel="0" collapsed="false"/>
    <row r="19" customFormat="false" ht="3.75" hidden="false" customHeight="true" outlineLevel="0" collapsed="false">
      <c r="B19" s="8"/>
      <c r="C19" s="21"/>
      <c r="D19" s="21"/>
    </row>
    <row r="20" customFormat="false" ht="25.5" hidden="false" customHeight="true" outlineLevel="0" collapsed="false">
      <c r="B20" s="8"/>
      <c r="C20" s="121" t="s">
        <v>194</v>
      </c>
      <c r="D20" s="118" t="s">
        <v>195</v>
      </c>
    </row>
    <row r="21" customFormat="false" ht="60" hidden="false" customHeight="true" outlineLevel="0" collapsed="false">
      <c r="B21" s="8"/>
      <c r="C21" s="119" t="s">
        <v>196</v>
      </c>
      <c r="D21" s="119"/>
    </row>
    <row r="22" customFormat="false" ht="12" hidden="false" customHeight="true" outlineLevel="0" collapsed="false"/>
    <row r="23" customFormat="false" ht="3.75" hidden="false" customHeight="true" outlineLevel="0" collapsed="false">
      <c r="B23" s="8"/>
      <c r="C23" s="21"/>
      <c r="D23" s="21"/>
    </row>
    <row r="24" customFormat="false" ht="25.5" hidden="false" customHeight="true" outlineLevel="0" collapsed="false">
      <c r="B24" s="8"/>
      <c r="C24" s="121" t="s">
        <v>194</v>
      </c>
      <c r="D24" s="118" t="s">
        <v>197</v>
      </c>
    </row>
    <row r="25" customFormat="false" ht="60" hidden="false" customHeight="true" outlineLevel="0" collapsed="false">
      <c r="B25" s="8"/>
      <c r="C25" s="119" t="s">
        <v>198</v>
      </c>
      <c r="D25" s="119"/>
    </row>
    <row r="26" customFormat="false" ht="12" hidden="false" customHeight="true" outlineLevel="0" collapsed="false"/>
    <row r="27" customFormat="false" ht="3.75" hidden="false" customHeight="true" outlineLevel="0" collapsed="false">
      <c r="B27" s="9"/>
      <c r="C27" s="21"/>
      <c r="D27" s="21"/>
    </row>
    <row r="28" customFormat="false" ht="25.5" hidden="false" customHeight="true" outlineLevel="0" collapsed="false">
      <c r="B28" s="9"/>
      <c r="C28" s="122" t="s">
        <v>199</v>
      </c>
      <c r="D28" s="118" t="s">
        <v>200</v>
      </c>
    </row>
    <row r="29" customFormat="false" ht="60" hidden="false" customHeight="true" outlineLevel="0" collapsed="false">
      <c r="B29" s="9"/>
      <c r="C29" s="119" t="s">
        <v>201</v>
      </c>
      <c r="D29" s="119"/>
    </row>
    <row r="30" customFormat="false" ht="12" hidden="false" customHeight="true" outlineLevel="0" collapsed="false"/>
    <row r="31" customFormat="false" ht="3.75" hidden="false" customHeight="true" outlineLevel="0" collapsed="false">
      <c r="B31" s="9"/>
      <c r="C31" s="21"/>
      <c r="D31" s="21"/>
    </row>
    <row r="32" customFormat="false" ht="25.5" hidden="false" customHeight="true" outlineLevel="0" collapsed="false">
      <c r="B32" s="9"/>
      <c r="C32" s="122" t="s">
        <v>199</v>
      </c>
      <c r="D32" s="118" t="s">
        <v>202</v>
      </c>
    </row>
    <row r="33" customFormat="false" ht="60" hidden="false" customHeight="true" outlineLevel="0" collapsed="false">
      <c r="B33" s="9"/>
      <c r="C33" s="119" t="s">
        <v>203</v>
      </c>
      <c r="D33" s="119"/>
    </row>
    <row r="34" customFormat="false" ht="12" hidden="false" customHeight="true" outlineLevel="0" collapsed="false"/>
    <row r="35" customFormat="false" ht="3.75" hidden="false" customHeight="true" outlineLevel="0" collapsed="false">
      <c r="B35" s="11"/>
      <c r="C35" s="21"/>
      <c r="D35" s="21"/>
    </row>
    <row r="36" customFormat="false" ht="25.5" hidden="false" customHeight="true" outlineLevel="0" collapsed="false">
      <c r="B36" s="11"/>
      <c r="C36" s="123" t="s">
        <v>204</v>
      </c>
      <c r="D36" s="118" t="s">
        <v>205</v>
      </c>
    </row>
    <row r="37" customFormat="false" ht="60" hidden="false" customHeight="true" outlineLevel="0" collapsed="false">
      <c r="B37" s="11"/>
      <c r="C37" s="119" t="s">
        <v>206</v>
      </c>
      <c r="D37" s="119"/>
    </row>
    <row r="38" customFormat="false" ht="12" hidden="false" customHeight="true" outlineLevel="0" collapsed="false"/>
    <row r="40" customFormat="false" ht="12" hidden="false" customHeight="true" outlineLevel="0" collapsed="false"/>
    <row r="41" customFormat="false" ht="18" hidden="false" customHeight="true" outlineLevel="0" collapsed="false">
      <c r="B41" s="32" t="s">
        <v>41</v>
      </c>
      <c r="C41" s="33"/>
      <c r="D41" s="33"/>
      <c r="E41" s="33"/>
      <c r="F41" s="33"/>
      <c r="G41" s="33"/>
    </row>
    <row r="42" customFormat="false" ht="18" hidden="false" customHeight="true" outlineLevel="0" collapsed="false">
      <c r="B42" s="34" t="s">
        <v>42</v>
      </c>
      <c r="C42" s="34"/>
      <c r="D42" s="34"/>
      <c r="E42" s="34"/>
      <c r="F42" s="34"/>
      <c r="G42" s="34"/>
    </row>
    <row r="43" customFormat="false" ht="18" hidden="false" customHeight="true" outlineLevel="0" collapsed="false">
      <c r="B43" s="34" t="s">
        <v>207</v>
      </c>
      <c r="C43" s="34"/>
      <c r="D43" s="34"/>
      <c r="E43" s="34"/>
      <c r="F43" s="34"/>
      <c r="G43" s="34"/>
    </row>
    <row r="44" customFormat="false" ht="18" hidden="false" customHeight="true" outlineLevel="0" collapsed="false">
      <c r="B44" s="34" t="s">
        <v>44</v>
      </c>
      <c r="C44" s="34"/>
      <c r="D44" s="34"/>
      <c r="E44" s="34"/>
      <c r="F44" s="34"/>
      <c r="G44" s="34"/>
    </row>
  </sheetData>
  <mergeCells count="13">
    <mergeCell ref="B4:D4"/>
    <mergeCell ref="B5:D5"/>
    <mergeCell ref="C9:D9"/>
    <mergeCell ref="C13:D13"/>
    <mergeCell ref="C17:D17"/>
    <mergeCell ref="C21:D21"/>
    <mergeCell ref="C25:D25"/>
    <mergeCell ref="C29:D29"/>
    <mergeCell ref="C33:D33"/>
    <mergeCell ref="C37:D37"/>
    <mergeCell ref="B42:G42"/>
    <mergeCell ref="B43:G43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7" min="3" style="1" width="14"/>
    <col collapsed="false" customWidth="true" hidden="false" outlineLevel="0" max="8" min="8" style="1" width="16"/>
    <col collapsed="false" customWidth="true" hidden="false" outlineLevel="0" max="9" min="9" style="1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5" t="s">
        <v>208</v>
      </c>
    </row>
    <row r="4" customFormat="false" ht="31.5" hidden="false" customHeight="true" outlineLevel="0" collapsed="false">
      <c r="B4" s="36" t="s">
        <v>209</v>
      </c>
    </row>
    <row r="5" customFormat="false" ht="19.5" hidden="false" customHeight="true" outlineLevel="0" collapsed="false">
      <c r="B5" s="37" t="s">
        <v>210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8" t="s">
        <v>48</v>
      </c>
      <c r="C7" s="39" t="s">
        <v>53</v>
      </c>
      <c r="D7" s="39" t="s">
        <v>211</v>
      </c>
      <c r="E7" s="39" t="s">
        <v>212</v>
      </c>
      <c r="F7" s="39" t="s">
        <v>213</v>
      </c>
      <c r="G7" s="39" t="s">
        <v>102</v>
      </c>
      <c r="H7" s="39" t="s">
        <v>103</v>
      </c>
      <c r="I7" s="39" t="s">
        <v>54</v>
      </c>
    </row>
    <row r="8" customFormat="false" ht="25.5" hidden="false" customHeight="true" outlineLevel="0" collapsed="false">
      <c r="B8" s="40" t="s">
        <v>56</v>
      </c>
      <c r="C8" s="44" t="n">
        <v>165</v>
      </c>
      <c r="D8" s="41" t="n">
        <v>6023</v>
      </c>
      <c r="E8" s="124" t="n">
        <f aca="false">C8/163</f>
        <v>1.01226993865031</v>
      </c>
      <c r="F8" s="125" t="n">
        <f aca="false">C8/1004</f>
        <v>0.164342629482072</v>
      </c>
      <c r="G8" s="41" t="n">
        <f aca="false">D8/163</f>
        <v>36.9509202453988</v>
      </c>
      <c r="H8" s="41" t="n">
        <f aca="false">D8/1004</f>
        <v>5.99900398406375</v>
      </c>
    </row>
    <row r="9" customFormat="false" ht="25.5" hidden="false" customHeight="true" outlineLevel="0" collapsed="false">
      <c r="B9" s="47" t="s">
        <v>214</v>
      </c>
      <c r="C9" s="51" t="n">
        <v>872</v>
      </c>
      <c r="D9" s="48" t="n">
        <v>19354</v>
      </c>
      <c r="E9" s="126" t="n">
        <f aca="false">C9/163</f>
        <v>5.34969325153374</v>
      </c>
      <c r="F9" s="127" t="n">
        <f aca="false">C9/1004</f>
        <v>0.868525896414343</v>
      </c>
      <c r="G9" s="48" t="n">
        <f aca="false">D9/163</f>
        <v>118.736196319018</v>
      </c>
      <c r="H9" s="48" t="n">
        <f aca="false">D9/1004</f>
        <v>19.2768924302789</v>
      </c>
    </row>
    <row r="10" customFormat="false" ht="25.5" hidden="false" customHeight="true" outlineLevel="0" collapsed="false">
      <c r="B10" s="40" t="s">
        <v>215</v>
      </c>
      <c r="C10" s="44" t="n">
        <v>238</v>
      </c>
      <c r="D10" s="41" t="n">
        <v>5424</v>
      </c>
      <c r="E10" s="124" t="n">
        <f aca="false">C10/163</f>
        <v>1.4601226993865</v>
      </c>
      <c r="F10" s="125" t="n">
        <f aca="false">C10/1004</f>
        <v>0.237051792828685</v>
      </c>
      <c r="G10" s="41" t="n">
        <f aca="false">D10/163</f>
        <v>33.2760736196319</v>
      </c>
      <c r="H10" s="41" t="n">
        <f aca="false">D10/1004</f>
        <v>5.40239043824701</v>
      </c>
    </row>
    <row r="11" customFormat="false" ht="25.5" hidden="false" customHeight="true" outlineLevel="0" collapsed="false">
      <c r="B11" s="47" t="s">
        <v>216</v>
      </c>
      <c r="C11" s="51" t="n">
        <v>9320</v>
      </c>
      <c r="D11" s="48" t="n">
        <v>177292</v>
      </c>
      <c r="E11" s="126" t="n">
        <f aca="false">C11/163</f>
        <v>57.1779141104295</v>
      </c>
      <c r="F11" s="127" t="n">
        <f aca="false">C11/1004</f>
        <v>9.28286852589642</v>
      </c>
      <c r="G11" s="48" t="n">
        <f aca="false">D11/163</f>
        <v>1087.68098159509</v>
      </c>
      <c r="H11" s="48" t="n">
        <f aca="false">D11/1004</f>
        <v>176.585657370518</v>
      </c>
    </row>
    <row r="12" customFormat="false" ht="25.5" hidden="false" customHeight="true" outlineLevel="0" collapsed="false">
      <c r="B12" s="40" t="s">
        <v>217</v>
      </c>
      <c r="C12" s="44" t="n">
        <v>1841</v>
      </c>
      <c r="D12" s="41" t="n">
        <v>34658</v>
      </c>
      <c r="E12" s="124" t="n">
        <f aca="false">C12/163</f>
        <v>11.2944785276074</v>
      </c>
      <c r="F12" s="125" t="n">
        <f aca="false">C12/1004</f>
        <v>1.83366533864542</v>
      </c>
      <c r="G12" s="41" t="n">
        <f aca="false">D12/163</f>
        <v>212.625766871166</v>
      </c>
      <c r="H12" s="41" t="n">
        <f aca="false">D12/1004</f>
        <v>34.5199203187251</v>
      </c>
    </row>
    <row r="13" customFormat="false" ht="25.5" hidden="false" customHeight="true" outlineLevel="0" collapsed="false">
      <c r="B13" s="47" t="s">
        <v>218</v>
      </c>
      <c r="C13" s="51" t="n">
        <v>800</v>
      </c>
      <c r="D13" s="48" t="n">
        <v>15756</v>
      </c>
      <c r="E13" s="126" t="n">
        <f aca="false">C13/163</f>
        <v>4.9079754601227</v>
      </c>
      <c r="F13" s="127" t="n">
        <f aca="false">C13/1004</f>
        <v>0.796812749003984</v>
      </c>
      <c r="G13" s="48" t="n">
        <f aca="false">D13/163</f>
        <v>96.6625766871166</v>
      </c>
      <c r="H13" s="48" t="n">
        <f aca="false">D13/1004</f>
        <v>15.6932270916335</v>
      </c>
    </row>
    <row r="14" customFormat="false" ht="25.5" hidden="false" customHeight="true" outlineLevel="0" collapsed="false">
      <c r="B14" s="40" t="s">
        <v>219</v>
      </c>
      <c r="C14" s="44" t="n">
        <v>379</v>
      </c>
      <c r="D14" s="41" t="n">
        <v>9784</v>
      </c>
      <c r="E14" s="124" t="n">
        <f aca="false">C14/163</f>
        <v>2.32515337423313</v>
      </c>
      <c r="F14" s="125" t="n">
        <f aca="false">C14/1004</f>
        <v>0.377490039840637</v>
      </c>
      <c r="G14" s="41" t="n">
        <f aca="false">D14/163</f>
        <v>60.0245398773006</v>
      </c>
      <c r="H14" s="41" t="n">
        <f aca="false">D14/1004</f>
        <v>9.74501992031873</v>
      </c>
    </row>
    <row r="15" customFormat="false" ht="25.5" hidden="false" customHeight="true" outlineLevel="0" collapsed="false">
      <c r="B15" s="47" t="s">
        <v>220</v>
      </c>
      <c r="C15" s="51" t="n">
        <v>338</v>
      </c>
      <c r="D15" s="48" t="n">
        <v>6781</v>
      </c>
      <c r="E15" s="126" t="n">
        <f aca="false">C15/163</f>
        <v>2.07361963190184</v>
      </c>
      <c r="F15" s="127" t="n">
        <f aca="false">C15/1004</f>
        <v>0.336653386454183</v>
      </c>
      <c r="G15" s="48" t="n">
        <f aca="false">D15/163</f>
        <v>41.601226993865</v>
      </c>
      <c r="H15" s="48" t="n">
        <f aca="false">D15/1004</f>
        <v>6.75398406374502</v>
      </c>
    </row>
    <row r="16" customFormat="false" ht="33.75" hidden="false" customHeight="true" outlineLevel="0" collapsed="false">
      <c r="B16" s="65" t="s">
        <v>221</v>
      </c>
      <c r="C16" s="69" t="n">
        <f aca="false">SUM(C8:C15)</f>
        <v>13953</v>
      </c>
      <c r="D16" s="66" t="n">
        <f aca="false">SUM(D8:D15)</f>
        <v>275072</v>
      </c>
      <c r="E16" s="128" t="n">
        <f aca="false">C16/163</f>
        <v>85.601226993865</v>
      </c>
      <c r="F16" s="129" t="n">
        <f aca="false">C16/1004</f>
        <v>13.8974103585657</v>
      </c>
      <c r="G16" s="66" t="n">
        <f aca="false">D16/163</f>
        <v>1687.55828220859</v>
      </c>
      <c r="H16" s="66" t="n">
        <f aca="false">D16/1004</f>
        <v>273.97609561753</v>
      </c>
    </row>
    <row r="19" customFormat="false" ht="27.75" hidden="false" customHeight="true" outlineLevel="0" collapsed="false">
      <c r="B19" s="22" t="s">
        <v>222</v>
      </c>
    </row>
    <row r="20" customFormat="false" ht="18" hidden="false" customHeight="true" outlineLevel="0" collapsed="false">
      <c r="B20" s="91" t="s">
        <v>223</v>
      </c>
    </row>
    <row r="22" customFormat="false" ht="25.5" hidden="false" customHeight="true" outlineLevel="0" collapsed="false">
      <c r="B22" s="23" t="s">
        <v>224</v>
      </c>
      <c r="C22" s="111" t="s">
        <v>225</v>
      </c>
      <c r="D22" s="111"/>
      <c r="E22" s="25"/>
      <c r="F22" s="25"/>
      <c r="G22" s="25"/>
      <c r="H22" s="25"/>
    </row>
    <row r="23" customFormat="false" ht="25.5" hidden="false" customHeight="true" outlineLevel="0" collapsed="false">
      <c r="B23" s="23" t="s">
        <v>226</v>
      </c>
      <c r="C23" s="130" t="n">
        <f aca="false">163/17</f>
        <v>9.58823529411765</v>
      </c>
      <c r="D23" s="130"/>
      <c r="E23" s="25"/>
      <c r="F23" s="25"/>
      <c r="G23" s="25"/>
      <c r="H23" s="25"/>
    </row>
    <row r="24" customFormat="false" ht="25.5" hidden="false" customHeight="true" outlineLevel="0" collapsed="false">
      <c r="B24" s="23" t="s">
        <v>227</v>
      </c>
      <c r="C24" s="131" t="n">
        <f aca="false">1004/17</f>
        <v>59.0588235294118</v>
      </c>
      <c r="D24" s="131"/>
      <c r="E24" s="25"/>
      <c r="F24" s="25"/>
      <c r="G24" s="25"/>
      <c r="H24" s="25"/>
    </row>
    <row r="25" customFormat="false" ht="25.5" hidden="false" customHeight="true" outlineLevel="0" collapsed="false">
      <c r="B25" s="23" t="s">
        <v>228</v>
      </c>
      <c r="C25" s="132" t="n">
        <f aca="false">14607/17</f>
        <v>859.235294117647</v>
      </c>
      <c r="D25" s="132"/>
      <c r="E25" s="25"/>
      <c r="F25" s="25"/>
      <c r="G25" s="25"/>
      <c r="H25" s="25"/>
    </row>
    <row r="26" customFormat="false" ht="25.5" hidden="false" customHeight="true" outlineLevel="0" collapsed="false">
      <c r="B26" s="23" t="s">
        <v>229</v>
      </c>
      <c r="C26" s="133" t="n">
        <f aca="false">1391455/17</f>
        <v>81850.2941176471</v>
      </c>
      <c r="D26" s="133"/>
      <c r="E26" s="25"/>
      <c r="F26" s="25"/>
      <c r="G26" s="25"/>
      <c r="H26" s="25"/>
    </row>
    <row r="27" customFormat="false" ht="25.5" hidden="false" customHeight="true" outlineLevel="0" collapsed="false">
      <c r="B27" s="23" t="s">
        <v>230</v>
      </c>
      <c r="C27" s="134" t="n">
        <f aca="false">14607/42</f>
        <v>347.785714285714</v>
      </c>
      <c r="D27" s="134"/>
      <c r="E27" s="25"/>
      <c r="F27" s="25"/>
      <c r="G27" s="25"/>
      <c r="H27" s="25"/>
    </row>
    <row r="28" customFormat="false" ht="25.5" hidden="false" customHeight="true" outlineLevel="0" collapsed="false">
      <c r="B28" s="23" t="s">
        <v>231</v>
      </c>
      <c r="C28" s="135" t="n">
        <f aca="false">(14607/42)/8</f>
        <v>43.4732142857143</v>
      </c>
      <c r="D28" s="135"/>
      <c r="E28" s="25"/>
      <c r="F28" s="25"/>
      <c r="G28" s="25"/>
      <c r="H28" s="25"/>
    </row>
    <row r="29" customFormat="false" ht="25.5" hidden="false" customHeight="true" outlineLevel="0" collapsed="false">
      <c r="B29" s="23" t="s">
        <v>232</v>
      </c>
      <c r="C29" s="136" t="n">
        <f aca="false">42/163*100</f>
        <v>25.7668711656442</v>
      </c>
      <c r="D29" s="136"/>
      <c r="E29" s="25"/>
      <c r="F29" s="25"/>
      <c r="G29" s="25"/>
      <c r="H29" s="25"/>
    </row>
    <row r="32" customFormat="false" ht="27.75" hidden="false" customHeight="true" outlineLevel="0" collapsed="false">
      <c r="B32" s="22" t="s">
        <v>233</v>
      </c>
    </row>
    <row r="34" customFormat="false" ht="25.5" hidden="false" customHeight="true" outlineLevel="0" collapsed="false">
      <c r="B34" s="23" t="s">
        <v>234</v>
      </c>
      <c r="C34" s="108" t="s">
        <v>171</v>
      </c>
      <c r="D34" s="108"/>
      <c r="E34" s="25"/>
      <c r="F34" s="25"/>
      <c r="G34" s="25"/>
      <c r="H34" s="25"/>
    </row>
    <row r="35" customFormat="false" ht="25.5" hidden="false" customHeight="true" outlineLevel="0" collapsed="false">
      <c r="B35" s="23" t="s">
        <v>235</v>
      </c>
      <c r="C35" s="109" t="s">
        <v>173</v>
      </c>
      <c r="D35" s="109"/>
      <c r="E35" s="25"/>
      <c r="F35" s="25"/>
      <c r="G35" s="25"/>
      <c r="H35" s="25"/>
    </row>
    <row r="36" customFormat="false" ht="25.5" hidden="false" customHeight="true" outlineLevel="0" collapsed="false">
      <c r="B36" s="23" t="s">
        <v>236</v>
      </c>
      <c r="C36" s="110" t="s">
        <v>175</v>
      </c>
      <c r="D36" s="110"/>
      <c r="E36" s="25"/>
      <c r="F36" s="25"/>
      <c r="G36" s="25"/>
      <c r="H36" s="25"/>
    </row>
    <row r="37" customFormat="false" ht="25.5" hidden="false" customHeight="true" outlineLevel="0" collapsed="false">
      <c r="B37" s="23" t="s">
        <v>237</v>
      </c>
      <c r="C37" s="110" t="s">
        <v>238</v>
      </c>
      <c r="D37" s="110"/>
      <c r="E37" s="25"/>
      <c r="F37" s="25"/>
      <c r="G37" s="25"/>
      <c r="H37" s="25"/>
    </row>
    <row r="38" customFormat="false" ht="25.5" hidden="false" customHeight="true" outlineLevel="0" collapsed="false">
      <c r="B38" s="23" t="s">
        <v>239</v>
      </c>
      <c r="C38" s="137" t="n">
        <f aca="false">1391455/14607</f>
        <v>95.259464640241</v>
      </c>
      <c r="D38" s="137"/>
      <c r="E38" s="25"/>
      <c r="F38" s="25"/>
      <c r="G38" s="25"/>
      <c r="H38" s="25"/>
    </row>
    <row r="39" customFormat="false" ht="25.5" hidden="false" customHeight="true" outlineLevel="0" collapsed="false">
      <c r="B39" s="23" t="s">
        <v>240</v>
      </c>
      <c r="C39" s="137" t="n">
        <f aca="false">533274/14607</f>
        <v>36.508112548778</v>
      </c>
      <c r="D39" s="137"/>
      <c r="E39" s="25"/>
      <c r="F39" s="25"/>
      <c r="G39" s="25"/>
      <c r="H39" s="25"/>
    </row>
    <row r="40" customFormat="false" ht="25.5" hidden="false" customHeight="true" outlineLevel="0" collapsed="false">
      <c r="B40" s="23" t="s">
        <v>241</v>
      </c>
      <c r="C40" s="138" t="n">
        <f aca="false">439954/1391455</f>
        <v>0.316182700841924</v>
      </c>
      <c r="D40" s="138"/>
      <c r="E40" s="25"/>
      <c r="F40" s="25"/>
      <c r="G40" s="25"/>
      <c r="H40" s="25"/>
    </row>
    <row r="41" customFormat="false" ht="25.5" hidden="false" customHeight="true" outlineLevel="0" collapsed="false">
      <c r="B41" s="23" t="s">
        <v>242</v>
      </c>
      <c r="C41" s="138" t="n">
        <f aca="false">408537/1391455</f>
        <v>0.293604176922718</v>
      </c>
      <c r="D41" s="138"/>
      <c r="E41" s="25"/>
      <c r="F41" s="25"/>
      <c r="G41" s="25"/>
      <c r="H41" s="25"/>
    </row>
    <row r="42" customFormat="false" ht="25.5" hidden="false" customHeight="true" outlineLevel="0" collapsed="false">
      <c r="B42" s="23" t="s">
        <v>243</v>
      </c>
      <c r="C42" s="111" t="s">
        <v>181</v>
      </c>
      <c r="D42" s="111"/>
      <c r="E42" s="25"/>
      <c r="F42" s="25"/>
      <c r="G42" s="25"/>
      <c r="H42" s="25"/>
    </row>
    <row r="45" customFormat="false" ht="12" hidden="false" customHeight="true" outlineLevel="0" collapsed="false"/>
    <row r="46" customFormat="false" ht="18" hidden="false" customHeight="true" outlineLevel="0" collapsed="false">
      <c r="B46" s="32" t="s">
        <v>41</v>
      </c>
      <c r="C46" s="33"/>
      <c r="D46" s="33"/>
      <c r="E46" s="33"/>
      <c r="F46" s="33"/>
      <c r="G46" s="33"/>
    </row>
    <row r="47" customFormat="false" ht="18" hidden="false" customHeight="true" outlineLevel="0" collapsed="false">
      <c r="B47" s="34" t="s">
        <v>42</v>
      </c>
      <c r="C47" s="34"/>
      <c r="D47" s="34"/>
      <c r="E47" s="34"/>
      <c r="F47" s="34"/>
      <c r="G47" s="34"/>
    </row>
    <row r="48" customFormat="false" ht="18" hidden="false" customHeight="true" outlineLevel="0" collapsed="false">
      <c r="B48" s="34" t="s">
        <v>244</v>
      </c>
      <c r="C48" s="34"/>
      <c r="D48" s="34"/>
      <c r="E48" s="34"/>
      <c r="F48" s="34"/>
      <c r="G48" s="34"/>
    </row>
    <row r="49" customFormat="false" ht="18" hidden="false" customHeight="true" outlineLevel="0" collapsed="false">
      <c r="B49" s="34" t="s">
        <v>245</v>
      </c>
      <c r="C49" s="34"/>
      <c r="D49" s="34"/>
      <c r="E49" s="34"/>
      <c r="F49" s="34"/>
      <c r="G49" s="34"/>
    </row>
    <row r="50" customFormat="false" ht="18" hidden="false" customHeight="true" outlineLevel="0" collapsed="false">
      <c r="B50" s="34" t="s">
        <v>44</v>
      </c>
      <c r="C50" s="34"/>
      <c r="D50" s="34"/>
      <c r="E50" s="34"/>
      <c r="F50" s="34"/>
      <c r="G50" s="34"/>
    </row>
  </sheetData>
  <mergeCells count="21">
    <mergeCell ref="C22:D22"/>
    <mergeCell ref="C23:D23"/>
    <mergeCell ref="C24:D24"/>
    <mergeCell ref="C25:D25"/>
    <mergeCell ref="C26:D26"/>
    <mergeCell ref="C27:D27"/>
    <mergeCell ref="C28:D28"/>
    <mergeCell ref="C29:D29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B47:G47"/>
    <mergeCell ref="B48:G48"/>
    <mergeCell ref="B49:G49"/>
    <mergeCell ref="B50:G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38"/>
    <col collapsed="false" customWidth="true" hidden="false" outlineLevel="0" max="7" min="7" style="1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5" t="s">
        <v>246</v>
      </c>
    </row>
    <row r="4" customFormat="false" ht="31.5" hidden="false" customHeight="true" outlineLevel="0" collapsed="false">
      <c r="B4" s="36" t="s">
        <v>247</v>
      </c>
    </row>
    <row r="5" customFormat="false" ht="19.5" hidden="false" customHeight="true" outlineLevel="0" collapsed="false">
      <c r="B5" s="37" t="s">
        <v>248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8" t="s">
        <v>249</v>
      </c>
      <c r="C7" s="38" t="s">
        <v>250</v>
      </c>
      <c r="D7" s="38" t="s">
        <v>251</v>
      </c>
      <c r="E7" s="38" t="s">
        <v>252</v>
      </c>
      <c r="F7" s="38" t="s">
        <v>253</v>
      </c>
    </row>
    <row r="8" customFormat="false" ht="25.5" hidden="false" customHeight="true" outlineLevel="0" collapsed="false">
      <c r="B8" s="40" t="s">
        <v>254</v>
      </c>
      <c r="C8" s="139" t="s">
        <v>255</v>
      </c>
      <c r="D8" s="140" t="s">
        <v>256</v>
      </c>
      <c r="E8" s="61" t="s">
        <v>257</v>
      </c>
      <c r="F8" s="84" t="s">
        <v>258</v>
      </c>
    </row>
    <row r="9" customFormat="false" ht="25.5" hidden="false" customHeight="true" outlineLevel="0" collapsed="false">
      <c r="B9" s="47" t="s">
        <v>25</v>
      </c>
      <c r="C9" s="141" t="s">
        <v>259</v>
      </c>
      <c r="D9" s="142" t="n">
        <v>163</v>
      </c>
      <c r="E9" s="61" t="s">
        <v>257</v>
      </c>
      <c r="F9" s="87" t="s">
        <v>260</v>
      </c>
    </row>
    <row r="10" customFormat="false" ht="25.5" hidden="false" customHeight="true" outlineLevel="0" collapsed="false">
      <c r="B10" s="40" t="s">
        <v>261</v>
      </c>
      <c r="C10" s="139" t="s">
        <v>262</v>
      </c>
      <c r="D10" s="143" t="n">
        <v>1004</v>
      </c>
      <c r="E10" s="61" t="s">
        <v>257</v>
      </c>
      <c r="F10" s="84" t="s">
        <v>263</v>
      </c>
    </row>
    <row r="11" customFormat="false" ht="25.5" hidden="false" customHeight="true" outlineLevel="0" collapsed="false">
      <c r="B11" s="47" t="s">
        <v>264</v>
      </c>
      <c r="C11" s="141" t="s">
        <v>265</v>
      </c>
      <c r="D11" s="144" t="n">
        <f aca="false">1004/163</f>
        <v>6.15950920245399</v>
      </c>
      <c r="E11" s="61" t="s">
        <v>257</v>
      </c>
      <c r="F11" s="87" t="s">
        <v>266</v>
      </c>
    </row>
    <row r="12" customFormat="false" ht="25.5" hidden="false" customHeight="true" outlineLevel="0" collapsed="false">
      <c r="B12" s="40" t="s">
        <v>224</v>
      </c>
      <c r="C12" s="139" t="s">
        <v>267</v>
      </c>
      <c r="D12" s="145" t="n">
        <v>17</v>
      </c>
      <c r="E12" s="61" t="s">
        <v>257</v>
      </c>
      <c r="F12" s="84" t="s">
        <v>268</v>
      </c>
    </row>
    <row r="13" customFormat="false" ht="25.5" hidden="false" customHeight="true" outlineLevel="0" collapsed="false">
      <c r="B13" s="47" t="s">
        <v>31</v>
      </c>
      <c r="C13" s="141" t="s">
        <v>269</v>
      </c>
      <c r="D13" s="96" t="n">
        <v>1394655</v>
      </c>
      <c r="E13" s="61" t="s">
        <v>257</v>
      </c>
      <c r="F13" s="87" t="s">
        <v>270</v>
      </c>
    </row>
    <row r="14" customFormat="false" ht="25.5" hidden="false" customHeight="true" outlineLevel="0" collapsed="false">
      <c r="B14" s="40" t="s">
        <v>271</v>
      </c>
      <c r="C14" s="139" t="s">
        <v>272</v>
      </c>
      <c r="D14" s="146" t="n">
        <f aca="false">533274/1391455</f>
        <v>0.383249188798775</v>
      </c>
      <c r="E14" s="46" t="s">
        <v>273</v>
      </c>
      <c r="F14" s="84" t="s">
        <v>274</v>
      </c>
    </row>
    <row r="15" customFormat="false" ht="25.5" hidden="false" customHeight="true" outlineLevel="0" collapsed="false">
      <c r="B15" s="47" t="s">
        <v>275</v>
      </c>
      <c r="C15" s="141" t="s">
        <v>276</v>
      </c>
      <c r="D15" s="96" t="n">
        <f aca="false">533274/163</f>
        <v>3271.61963190184</v>
      </c>
      <c r="E15" s="46" t="s">
        <v>273</v>
      </c>
      <c r="F15" s="87" t="s">
        <v>277</v>
      </c>
    </row>
    <row r="16" customFormat="false" ht="25.5" hidden="false" customHeight="true" outlineLevel="0" collapsed="false">
      <c r="B16" s="40" t="s">
        <v>278</v>
      </c>
      <c r="C16" s="139" t="s">
        <v>279</v>
      </c>
      <c r="D16" s="93" t="n">
        <f aca="false">533274/1004</f>
        <v>531.149402390438</v>
      </c>
      <c r="E16" s="46" t="s">
        <v>273</v>
      </c>
      <c r="F16" s="84" t="s">
        <v>280</v>
      </c>
    </row>
    <row r="17" customFormat="false" ht="25.5" hidden="false" customHeight="true" outlineLevel="0" collapsed="false">
      <c r="B17" s="47" t="s">
        <v>281</v>
      </c>
      <c r="C17" s="141" t="s">
        <v>282</v>
      </c>
      <c r="D17" s="96" t="n">
        <f aca="false">1391455/163</f>
        <v>8536.53374233129</v>
      </c>
      <c r="E17" s="46" t="s">
        <v>273</v>
      </c>
      <c r="F17" s="87" t="s">
        <v>283</v>
      </c>
    </row>
    <row r="18" customFormat="false" ht="25.5" hidden="false" customHeight="true" outlineLevel="0" collapsed="false">
      <c r="B18" s="40" t="s">
        <v>284</v>
      </c>
      <c r="C18" s="139" t="s">
        <v>285</v>
      </c>
      <c r="D18" s="93" t="n">
        <f aca="false">1391455/1004</f>
        <v>1385.91135458167</v>
      </c>
      <c r="E18" s="46" t="s">
        <v>273</v>
      </c>
      <c r="F18" s="84" t="s">
        <v>286</v>
      </c>
    </row>
    <row r="19" customFormat="false" ht="25.5" hidden="false" customHeight="true" outlineLevel="0" collapsed="false">
      <c r="B19" s="47" t="s">
        <v>287</v>
      </c>
      <c r="C19" s="141" t="s">
        <v>288</v>
      </c>
      <c r="D19" s="96" t="n">
        <f aca="false">858181/163</f>
        <v>5264.91411042945</v>
      </c>
      <c r="E19" s="46" t="s">
        <v>273</v>
      </c>
      <c r="F19" s="87" t="s">
        <v>289</v>
      </c>
    </row>
    <row r="20" customFormat="false" ht="25.5" hidden="false" customHeight="true" outlineLevel="0" collapsed="false">
      <c r="B20" s="40" t="s">
        <v>290</v>
      </c>
      <c r="C20" s="139" t="s">
        <v>291</v>
      </c>
      <c r="D20" s="93" t="n">
        <f aca="false">858181/1004</f>
        <v>854.761952191235</v>
      </c>
      <c r="E20" s="46" t="s">
        <v>273</v>
      </c>
      <c r="F20" s="84" t="s">
        <v>292</v>
      </c>
    </row>
    <row r="21" customFormat="false" ht="25.5" hidden="false" customHeight="true" outlineLevel="0" collapsed="false">
      <c r="B21" s="47" t="s">
        <v>293</v>
      </c>
      <c r="C21" s="141" t="s">
        <v>294</v>
      </c>
      <c r="D21" s="147" t="n">
        <f aca="false">69573/1394655</f>
        <v>0.0498854555427686</v>
      </c>
      <c r="E21" s="46" t="s">
        <v>273</v>
      </c>
      <c r="F21" s="87" t="s">
        <v>295</v>
      </c>
    </row>
    <row r="22" customFormat="false" ht="25.5" hidden="false" customHeight="true" outlineLevel="0" collapsed="false">
      <c r="B22" s="40" t="s">
        <v>296</v>
      </c>
      <c r="C22" s="139" t="s">
        <v>297</v>
      </c>
      <c r="D22" s="143" t="n">
        <v>14607</v>
      </c>
      <c r="E22" s="63" t="s">
        <v>298</v>
      </c>
      <c r="F22" s="84" t="s">
        <v>299</v>
      </c>
    </row>
    <row r="23" customFormat="false" ht="25.5" hidden="false" customHeight="true" outlineLevel="0" collapsed="false">
      <c r="B23" s="47" t="s">
        <v>300</v>
      </c>
      <c r="C23" s="141" t="s">
        <v>301</v>
      </c>
      <c r="D23" s="148" t="n">
        <f aca="false">14607/163</f>
        <v>89.6134969325153</v>
      </c>
      <c r="E23" s="63" t="s">
        <v>298</v>
      </c>
      <c r="F23" s="87" t="s">
        <v>302</v>
      </c>
    </row>
    <row r="24" customFormat="false" ht="25.5" hidden="false" customHeight="true" outlineLevel="0" collapsed="false">
      <c r="B24" s="40" t="s">
        <v>303</v>
      </c>
      <c r="C24" s="139" t="s">
        <v>304</v>
      </c>
      <c r="D24" s="149" t="n">
        <f aca="false">14607/1004</f>
        <v>14.5488047808765</v>
      </c>
      <c r="E24" s="63" t="s">
        <v>298</v>
      </c>
      <c r="F24" s="84" t="s">
        <v>305</v>
      </c>
    </row>
    <row r="25" customFormat="false" ht="25.5" hidden="false" customHeight="true" outlineLevel="0" collapsed="false">
      <c r="B25" s="47" t="s">
        <v>306</v>
      </c>
      <c r="C25" s="141" t="s">
        <v>307</v>
      </c>
      <c r="D25" s="96" t="n">
        <f aca="false">439954/163</f>
        <v>2699.10429447853</v>
      </c>
      <c r="E25" s="63" t="s">
        <v>298</v>
      </c>
      <c r="F25" s="87" t="s">
        <v>308</v>
      </c>
    </row>
    <row r="26" customFormat="false" ht="25.5" hidden="false" customHeight="true" outlineLevel="0" collapsed="false">
      <c r="B26" s="40" t="s">
        <v>309</v>
      </c>
      <c r="C26" s="139" t="s">
        <v>310</v>
      </c>
      <c r="D26" s="93" t="n">
        <f aca="false">439954/1004</f>
        <v>438.201195219124</v>
      </c>
      <c r="E26" s="63" t="s">
        <v>298</v>
      </c>
      <c r="F26" s="84" t="s">
        <v>308</v>
      </c>
    </row>
    <row r="27" customFormat="false" ht="25.5" hidden="false" customHeight="true" outlineLevel="0" collapsed="false">
      <c r="B27" s="47" t="s">
        <v>311</v>
      </c>
      <c r="C27" s="141" t="s">
        <v>312</v>
      </c>
      <c r="D27" s="150" t="n">
        <v>19.94</v>
      </c>
      <c r="E27" s="63" t="s">
        <v>298</v>
      </c>
      <c r="F27" s="87" t="s">
        <v>313</v>
      </c>
    </row>
    <row r="28" customFormat="false" ht="25.5" hidden="false" customHeight="true" outlineLevel="0" collapsed="false">
      <c r="B28" s="40" t="s">
        <v>314</v>
      </c>
      <c r="C28" s="139" t="s">
        <v>315</v>
      </c>
      <c r="D28" s="151" t="n">
        <v>30.12</v>
      </c>
      <c r="E28" s="63" t="s">
        <v>298</v>
      </c>
      <c r="F28" s="84" t="s">
        <v>316</v>
      </c>
    </row>
    <row r="29" customFormat="false" ht="25.5" hidden="false" customHeight="true" outlineLevel="0" collapsed="false">
      <c r="B29" s="47" t="s">
        <v>236</v>
      </c>
      <c r="C29" s="141" t="s">
        <v>317</v>
      </c>
      <c r="D29" s="152" t="n">
        <v>1.51</v>
      </c>
      <c r="E29" s="63" t="s">
        <v>298</v>
      </c>
      <c r="F29" s="87" t="s">
        <v>318</v>
      </c>
    </row>
    <row r="30" customFormat="false" ht="25.5" hidden="false" customHeight="true" outlineLevel="0" collapsed="false">
      <c r="B30" s="40" t="s">
        <v>239</v>
      </c>
      <c r="C30" s="139" t="s">
        <v>319</v>
      </c>
      <c r="D30" s="153" t="n">
        <f aca="false">1391455/14607</f>
        <v>95.259464640241</v>
      </c>
      <c r="E30" s="63" t="s">
        <v>298</v>
      </c>
      <c r="F30" s="84" t="s">
        <v>320</v>
      </c>
    </row>
    <row r="31" customFormat="false" ht="25.5" hidden="false" customHeight="true" outlineLevel="0" collapsed="false">
      <c r="B31" s="47" t="s">
        <v>240</v>
      </c>
      <c r="C31" s="141" t="s">
        <v>321</v>
      </c>
      <c r="D31" s="154" t="n">
        <f aca="false">533274/14607</f>
        <v>36.508112548778</v>
      </c>
      <c r="E31" s="63" t="s">
        <v>298</v>
      </c>
      <c r="F31" s="87" t="s">
        <v>322</v>
      </c>
    </row>
    <row r="32" customFormat="false" ht="25.5" hidden="false" customHeight="true" outlineLevel="0" collapsed="false">
      <c r="B32" s="40" t="s">
        <v>323</v>
      </c>
      <c r="C32" s="139" t="s">
        <v>324</v>
      </c>
      <c r="D32" s="155" t="n">
        <v>42</v>
      </c>
      <c r="E32" s="156" t="s">
        <v>325</v>
      </c>
      <c r="F32" s="84" t="s">
        <v>326</v>
      </c>
    </row>
    <row r="33" customFormat="false" ht="25.5" hidden="false" customHeight="true" outlineLevel="0" collapsed="false">
      <c r="B33" s="47" t="s">
        <v>232</v>
      </c>
      <c r="C33" s="141" t="s">
        <v>327</v>
      </c>
      <c r="D33" s="157" t="n">
        <f aca="false">42/163*100</f>
        <v>25.7668711656442</v>
      </c>
      <c r="E33" s="156" t="s">
        <v>325</v>
      </c>
      <c r="F33" s="87" t="s">
        <v>328</v>
      </c>
    </row>
    <row r="34" customFormat="false" ht="25.5" hidden="false" customHeight="true" outlineLevel="0" collapsed="false">
      <c r="B34" s="40" t="s">
        <v>329</v>
      </c>
      <c r="C34" s="139" t="s">
        <v>330</v>
      </c>
      <c r="D34" s="140" t="s">
        <v>331</v>
      </c>
      <c r="E34" s="156" t="s">
        <v>325</v>
      </c>
      <c r="F34" s="84" t="s">
        <v>332</v>
      </c>
    </row>
    <row r="35" customFormat="false" ht="25.5" hidden="false" customHeight="true" outlineLevel="0" collapsed="false">
      <c r="B35" s="47" t="s">
        <v>333</v>
      </c>
      <c r="C35" s="141" t="s">
        <v>334</v>
      </c>
      <c r="D35" s="147" t="n">
        <f aca="false">7/42</f>
        <v>0.166666666666667</v>
      </c>
      <c r="E35" s="156" t="s">
        <v>325</v>
      </c>
      <c r="F35" s="87" t="s">
        <v>335</v>
      </c>
    </row>
    <row r="36" customFormat="false" ht="25.5" hidden="false" customHeight="true" outlineLevel="0" collapsed="false">
      <c r="B36" s="40" t="s">
        <v>226</v>
      </c>
      <c r="C36" s="139" t="s">
        <v>336</v>
      </c>
      <c r="D36" s="158" t="n">
        <f aca="false">163/17</f>
        <v>9.58823529411765</v>
      </c>
      <c r="E36" s="159" t="s">
        <v>337</v>
      </c>
      <c r="F36" s="84" t="s">
        <v>338</v>
      </c>
    </row>
    <row r="37" customFormat="false" ht="25.5" hidden="false" customHeight="true" outlineLevel="0" collapsed="false">
      <c r="B37" s="47" t="s">
        <v>227</v>
      </c>
      <c r="C37" s="141" t="s">
        <v>339</v>
      </c>
      <c r="D37" s="142" t="n">
        <f aca="false">1004/17</f>
        <v>59.0588235294118</v>
      </c>
      <c r="E37" s="159" t="s">
        <v>337</v>
      </c>
      <c r="F37" s="87" t="s">
        <v>340</v>
      </c>
    </row>
    <row r="38" customFormat="false" ht="25.5" hidden="false" customHeight="true" outlineLevel="0" collapsed="false">
      <c r="B38" s="40" t="s">
        <v>341</v>
      </c>
      <c r="C38" s="139" t="s">
        <v>342</v>
      </c>
      <c r="D38" s="143" t="n">
        <f aca="false">14607/17</f>
        <v>859.235294117647</v>
      </c>
      <c r="E38" s="159" t="s">
        <v>337</v>
      </c>
      <c r="F38" s="84" t="s">
        <v>343</v>
      </c>
    </row>
    <row r="39" customFormat="false" ht="25.5" hidden="false" customHeight="true" outlineLevel="0" collapsed="false">
      <c r="B39" s="47" t="s">
        <v>241</v>
      </c>
      <c r="C39" s="141" t="s">
        <v>344</v>
      </c>
      <c r="D39" s="147" t="n">
        <f aca="false">439954/1391455</f>
        <v>0.316182700841924</v>
      </c>
      <c r="E39" s="55" t="s">
        <v>345</v>
      </c>
      <c r="F39" s="87" t="s">
        <v>346</v>
      </c>
    </row>
    <row r="40" customFormat="false" ht="25.5" hidden="false" customHeight="true" outlineLevel="0" collapsed="false">
      <c r="B40" s="40" t="s">
        <v>242</v>
      </c>
      <c r="C40" s="139" t="s">
        <v>347</v>
      </c>
      <c r="D40" s="146" t="n">
        <f aca="false">408537/1391455</f>
        <v>0.293604176922718</v>
      </c>
      <c r="E40" s="55" t="s">
        <v>345</v>
      </c>
      <c r="F40" s="84" t="s">
        <v>348</v>
      </c>
    </row>
    <row r="41" customFormat="false" ht="25.5" hidden="false" customHeight="true" outlineLevel="0" collapsed="false">
      <c r="B41" s="47" t="s">
        <v>349</v>
      </c>
      <c r="C41" s="141" t="s">
        <v>350</v>
      </c>
      <c r="D41" s="147" t="n">
        <f aca="false">9690/1391455</f>
        <v>0.00696393343658257</v>
      </c>
      <c r="E41" s="55" t="s">
        <v>345</v>
      </c>
      <c r="F41" s="87" t="s">
        <v>351</v>
      </c>
    </row>
    <row r="42" customFormat="false" ht="25.5" hidden="false" customHeight="true" outlineLevel="0" collapsed="false">
      <c r="B42" s="40" t="s">
        <v>243</v>
      </c>
      <c r="C42" s="139" t="s">
        <v>352</v>
      </c>
      <c r="D42" s="140" t="s">
        <v>181</v>
      </c>
      <c r="E42" s="55" t="s">
        <v>345</v>
      </c>
      <c r="F42" s="84" t="s">
        <v>353</v>
      </c>
    </row>
    <row r="43" customFormat="false" ht="25.5" hidden="false" customHeight="true" outlineLevel="0" collapsed="false">
      <c r="B43" s="47" t="s">
        <v>354</v>
      </c>
      <c r="C43" s="141" t="s">
        <v>355</v>
      </c>
      <c r="D43" s="142" t="n">
        <v>4</v>
      </c>
      <c r="E43" s="160" t="s">
        <v>356</v>
      </c>
      <c r="F43" s="87" t="s">
        <v>357</v>
      </c>
    </row>
    <row r="44" customFormat="false" ht="25.5" hidden="false" customHeight="true" outlineLevel="0" collapsed="false">
      <c r="B44" s="40" t="s">
        <v>358</v>
      </c>
      <c r="C44" s="139" t="s">
        <v>359</v>
      </c>
      <c r="D44" s="155" t="n">
        <v>4</v>
      </c>
      <c r="E44" s="160" t="s">
        <v>356</v>
      </c>
      <c r="F44" s="84" t="s">
        <v>360</v>
      </c>
    </row>
    <row r="45" customFormat="false" ht="25.5" hidden="false" customHeight="true" outlineLevel="0" collapsed="false">
      <c r="B45" s="47" t="s">
        <v>361</v>
      </c>
      <c r="C45" s="141" t="s">
        <v>362</v>
      </c>
      <c r="D45" s="161" t="s">
        <v>363</v>
      </c>
      <c r="E45" s="160" t="s">
        <v>356</v>
      </c>
      <c r="F45" s="87" t="s">
        <v>364</v>
      </c>
    </row>
    <row r="46" customFormat="false" ht="25.5" hidden="false" customHeight="true" outlineLevel="0" collapsed="false">
      <c r="B46" s="40" t="s">
        <v>365</v>
      </c>
      <c r="C46" s="139" t="s">
        <v>366</v>
      </c>
      <c r="D46" s="140" t="s">
        <v>367</v>
      </c>
      <c r="E46" s="160" t="s">
        <v>356</v>
      </c>
      <c r="F46" s="84" t="s">
        <v>368</v>
      </c>
    </row>
    <row r="47" customFormat="false" ht="25.5" hidden="false" customHeight="true" outlineLevel="0" collapsed="false">
      <c r="B47" s="47" t="s">
        <v>369</v>
      </c>
      <c r="C47" s="141" t="s">
        <v>370</v>
      </c>
      <c r="D47" s="162" t="n">
        <f aca="false">(858181-269525)/269525</f>
        <v>2.18404971709489</v>
      </c>
      <c r="E47" s="160" t="s">
        <v>356</v>
      </c>
      <c r="F47" s="87" t="s">
        <v>371</v>
      </c>
    </row>
    <row r="48" customFormat="false" ht="25.5" hidden="false" customHeight="true" outlineLevel="0" collapsed="false">
      <c r="B48" s="40" t="s">
        <v>372</v>
      </c>
      <c r="C48" s="139" t="s">
        <v>373</v>
      </c>
      <c r="D48" s="93" t="n">
        <v>390751</v>
      </c>
      <c r="E48" s="163" t="s">
        <v>374</v>
      </c>
      <c r="F48" s="84" t="s">
        <v>375</v>
      </c>
    </row>
    <row r="49" customFormat="false" ht="25.5" hidden="false" customHeight="true" outlineLevel="0" collapsed="false">
      <c r="B49" s="47" t="s">
        <v>376</v>
      </c>
      <c r="C49" s="141" t="s">
        <v>377</v>
      </c>
      <c r="D49" s="96" t="n">
        <v>553400</v>
      </c>
      <c r="E49" s="163" t="s">
        <v>374</v>
      </c>
      <c r="F49" s="87" t="s">
        <v>378</v>
      </c>
    </row>
    <row r="50" customFormat="false" ht="25.5" hidden="false" customHeight="true" outlineLevel="0" collapsed="false">
      <c r="B50" s="40" t="s">
        <v>379</v>
      </c>
      <c r="C50" s="139" t="s">
        <v>380</v>
      </c>
      <c r="D50" s="164" t="n">
        <f aca="false">390751-553400</f>
        <v>-162649</v>
      </c>
      <c r="E50" s="163" t="s">
        <v>374</v>
      </c>
      <c r="F50" s="84" t="s">
        <v>381</v>
      </c>
    </row>
    <row r="51" customFormat="false" ht="25.5" hidden="false" customHeight="true" outlineLevel="0" collapsed="false">
      <c r="B51" s="47" t="s">
        <v>382</v>
      </c>
      <c r="C51" s="141" t="s">
        <v>383</v>
      </c>
      <c r="D51" s="162" t="n">
        <f aca="false">(390751-553400)/553400</f>
        <v>-0.293908565233104</v>
      </c>
      <c r="E51" s="163" t="s">
        <v>374</v>
      </c>
      <c r="F51" s="87" t="s">
        <v>384</v>
      </c>
    </row>
    <row r="52" customFormat="false" ht="25.5" hidden="false" customHeight="true" outlineLevel="0" collapsed="false">
      <c r="B52" s="40" t="s">
        <v>385</v>
      </c>
      <c r="C52" s="139" t="s">
        <v>386</v>
      </c>
      <c r="D52" s="93" t="n">
        <f aca="false">390751/163</f>
        <v>2397.24539877301</v>
      </c>
      <c r="E52" s="163" t="s">
        <v>374</v>
      </c>
      <c r="F52" s="84" t="s">
        <v>387</v>
      </c>
    </row>
    <row r="53" customFormat="false" ht="25.5" hidden="false" customHeight="true" outlineLevel="0" collapsed="false">
      <c r="B53" s="47" t="s">
        <v>388</v>
      </c>
      <c r="C53" s="141" t="s">
        <v>389</v>
      </c>
      <c r="D53" s="96" t="n">
        <f aca="false">390751/1004</f>
        <v>389.19422310757</v>
      </c>
      <c r="E53" s="163" t="s">
        <v>374</v>
      </c>
      <c r="F53" s="87" t="s">
        <v>387</v>
      </c>
    </row>
    <row r="54" customFormat="false" ht="25.5" hidden="false" customHeight="true" outlineLevel="0" collapsed="false">
      <c r="B54" s="40" t="s">
        <v>390</v>
      </c>
      <c r="C54" s="139" t="s">
        <v>391</v>
      </c>
      <c r="D54" s="146" t="n">
        <f aca="false">390751/1391455</f>
        <v>0.280821873506509</v>
      </c>
      <c r="E54" s="163" t="s">
        <v>374</v>
      </c>
      <c r="F54" s="84" t="s">
        <v>392</v>
      </c>
    </row>
    <row r="55" customFormat="false" ht="25.5" hidden="false" customHeight="true" outlineLevel="0" collapsed="false">
      <c r="B55" s="47" t="s">
        <v>393</v>
      </c>
      <c r="C55" s="141" t="s">
        <v>394</v>
      </c>
      <c r="D55" s="147" t="n">
        <f aca="false">390751/858181</f>
        <v>0.455324692576508</v>
      </c>
      <c r="E55" s="163" t="s">
        <v>374</v>
      </c>
      <c r="F55" s="87" t="s">
        <v>395</v>
      </c>
    </row>
    <row r="56" customFormat="false" ht="25.5" hidden="false" customHeight="true" outlineLevel="0" collapsed="false">
      <c r="B56" s="40" t="s">
        <v>396</v>
      </c>
      <c r="C56" s="139" t="s">
        <v>397</v>
      </c>
      <c r="D56" s="165" t="n">
        <f aca="false">439954/390751</f>
        <v>1.12591906354686</v>
      </c>
      <c r="E56" s="163" t="s">
        <v>374</v>
      </c>
      <c r="F56" s="84" t="s">
        <v>398</v>
      </c>
    </row>
    <row r="57" customFormat="false" ht="25.5" hidden="false" customHeight="true" outlineLevel="0" collapsed="false">
      <c r="B57" s="47" t="s">
        <v>399</v>
      </c>
      <c r="C57" s="141" t="s">
        <v>400</v>
      </c>
      <c r="D57" s="147" t="n">
        <f aca="false">210145/390751</f>
        <v>0.537797727964868</v>
      </c>
      <c r="E57" s="163" t="s">
        <v>374</v>
      </c>
      <c r="F57" s="87" t="s">
        <v>401</v>
      </c>
    </row>
    <row r="58" customFormat="false" ht="25.5" hidden="false" customHeight="true" outlineLevel="0" collapsed="false">
      <c r="B58" s="40" t="s">
        <v>402</v>
      </c>
      <c r="C58" s="139" t="s">
        <v>403</v>
      </c>
      <c r="D58" s="146" t="n">
        <f aca="false">94001/390751</f>
        <v>0.240564963365417</v>
      </c>
      <c r="E58" s="163" t="s">
        <v>374</v>
      </c>
      <c r="F58" s="84" t="s">
        <v>404</v>
      </c>
    </row>
    <row r="59" customFormat="false" ht="25.5" hidden="false" customHeight="true" outlineLevel="0" collapsed="false">
      <c r="B59" s="47" t="s">
        <v>405</v>
      </c>
      <c r="C59" s="141" t="s">
        <v>406</v>
      </c>
      <c r="D59" s="147" t="n">
        <f aca="false">(210145+94001)/390751</f>
        <v>0.778362691330285</v>
      </c>
      <c r="E59" s="163" t="s">
        <v>374</v>
      </c>
      <c r="F59" s="87" t="s">
        <v>407</v>
      </c>
    </row>
    <row r="60" customFormat="false" ht="25.5" hidden="false" customHeight="true" outlineLevel="0" collapsed="false">
      <c r="B60" s="40" t="s">
        <v>408</v>
      </c>
      <c r="C60" s="139" t="s">
        <v>409</v>
      </c>
      <c r="D60" s="155" t="n">
        <v>11</v>
      </c>
      <c r="E60" s="163" t="s">
        <v>374</v>
      </c>
      <c r="F60" s="84" t="s">
        <v>410</v>
      </c>
    </row>
    <row r="61" customFormat="false" ht="25.5" hidden="false" customHeight="true" outlineLevel="0" collapsed="false">
      <c r="B61" s="47" t="s">
        <v>411</v>
      </c>
      <c r="C61" s="141" t="s">
        <v>412</v>
      </c>
      <c r="D61" s="142" t="n">
        <v>2</v>
      </c>
      <c r="E61" s="163" t="s">
        <v>374</v>
      </c>
      <c r="F61" s="87" t="s">
        <v>413</v>
      </c>
    </row>
    <row r="62" customFormat="false" ht="25.5" hidden="false" customHeight="true" outlineLevel="0" collapsed="false">
      <c r="B62" s="40" t="s">
        <v>414</v>
      </c>
      <c r="C62" s="139" t="s">
        <v>415</v>
      </c>
      <c r="D62" s="155" t="n">
        <v>9</v>
      </c>
      <c r="E62" s="163" t="s">
        <v>374</v>
      </c>
      <c r="F62" s="84" t="s">
        <v>416</v>
      </c>
    </row>
    <row r="63" customFormat="false" ht="25.5" hidden="false" customHeight="true" outlineLevel="0" collapsed="false">
      <c r="B63" s="47" t="s">
        <v>417</v>
      </c>
      <c r="C63" s="141" t="s">
        <v>418</v>
      </c>
      <c r="D63" s="161" t="s">
        <v>419</v>
      </c>
      <c r="E63" s="163" t="s">
        <v>374</v>
      </c>
      <c r="F63" s="87" t="s">
        <v>420</v>
      </c>
    </row>
    <row r="64" customFormat="false" ht="25.5" hidden="false" customHeight="true" outlineLevel="0" collapsed="false">
      <c r="B64" s="40" t="s">
        <v>421</v>
      </c>
      <c r="C64" s="139" t="s">
        <v>422</v>
      </c>
      <c r="D64" s="140" t="s">
        <v>423</v>
      </c>
      <c r="E64" s="163" t="s">
        <v>374</v>
      </c>
      <c r="F64" s="84" t="s">
        <v>424</v>
      </c>
    </row>
    <row r="65" customFormat="false" ht="25.5" hidden="false" customHeight="true" outlineLevel="0" collapsed="false">
      <c r="B65" s="47" t="s">
        <v>425</v>
      </c>
      <c r="C65" s="141" t="s">
        <v>426</v>
      </c>
      <c r="D65" s="142" t="n">
        <v>17</v>
      </c>
      <c r="E65" s="163" t="s">
        <v>374</v>
      </c>
      <c r="F65" s="87" t="s">
        <v>427</v>
      </c>
    </row>
    <row r="66" customFormat="false" ht="25.5" hidden="false" customHeight="true" outlineLevel="0" collapsed="false">
      <c r="B66" s="40" t="s">
        <v>428</v>
      </c>
      <c r="C66" s="139" t="s">
        <v>429</v>
      </c>
      <c r="D66" s="93" t="n">
        <v>150008</v>
      </c>
      <c r="E66" s="163" t="s">
        <v>374</v>
      </c>
      <c r="F66" s="84" t="s">
        <v>430</v>
      </c>
    </row>
    <row r="67" customFormat="false" ht="25.5" hidden="false" customHeight="true" outlineLevel="0" collapsed="false">
      <c r="B67" s="47" t="s">
        <v>431</v>
      </c>
      <c r="C67" s="141" t="s">
        <v>432</v>
      </c>
      <c r="D67" s="147" t="n">
        <f aca="false">(150008+119072+58897)/408537</f>
        <v>0.802808558343553</v>
      </c>
      <c r="E67" s="163" t="s">
        <v>374</v>
      </c>
      <c r="F67" s="87" t="s">
        <v>433</v>
      </c>
    </row>
    <row r="68" customFormat="false" ht="25.5" hidden="false" customHeight="true" outlineLevel="0" collapsed="false">
      <c r="B68" s="40" t="s">
        <v>434</v>
      </c>
      <c r="C68" s="139" t="s">
        <v>435</v>
      </c>
      <c r="D68" s="93" t="n">
        <f aca="false">408537/186</f>
        <v>2196.43548387097</v>
      </c>
      <c r="E68" s="163" t="s">
        <v>374</v>
      </c>
      <c r="F68" s="84" t="s">
        <v>436</v>
      </c>
    </row>
    <row r="71" customFormat="false" ht="12" hidden="false" customHeight="true" outlineLevel="0" collapsed="false"/>
    <row r="72" customFormat="false" ht="18" hidden="false" customHeight="true" outlineLevel="0" collapsed="false">
      <c r="B72" s="32" t="s">
        <v>41</v>
      </c>
      <c r="C72" s="33"/>
      <c r="D72" s="33"/>
      <c r="E72" s="33"/>
      <c r="F72" s="33"/>
    </row>
    <row r="73" customFormat="false" ht="18" hidden="false" customHeight="true" outlineLevel="0" collapsed="false">
      <c r="B73" s="34" t="s">
        <v>42</v>
      </c>
      <c r="C73" s="34"/>
      <c r="D73" s="34"/>
      <c r="E73" s="34"/>
      <c r="F73" s="34"/>
    </row>
    <row r="74" customFormat="false" ht="18" hidden="false" customHeight="true" outlineLevel="0" collapsed="false">
      <c r="B74" s="34" t="s">
        <v>244</v>
      </c>
      <c r="C74" s="34"/>
      <c r="D74" s="34"/>
      <c r="E74" s="34"/>
      <c r="F74" s="34"/>
    </row>
    <row r="75" customFormat="false" ht="18" hidden="false" customHeight="true" outlineLevel="0" collapsed="false">
      <c r="B75" s="34" t="s">
        <v>437</v>
      </c>
      <c r="C75" s="34"/>
      <c r="D75" s="34"/>
      <c r="E75" s="34"/>
      <c r="F75" s="34"/>
    </row>
    <row r="76" customFormat="false" ht="18" hidden="false" customHeight="true" outlineLevel="0" collapsed="false">
      <c r="B76" s="34" t="s">
        <v>438</v>
      </c>
      <c r="C76" s="34"/>
      <c r="D76" s="34"/>
      <c r="E76" s="34"/>
      <c r="F76" s="34"/>
    </row>
    <row r="77" customFormat="false" ht="18" hidden="false" customHeight="true" outlineLevel="0" collapsed="false">
      <c r="B77" s="34" t="s">
        <v>44</v>
      </c>
      <c r="C77" s="34"/>
      <c r="D77" s="34"/>
      <c r="E77" s="34"/>
      <c r="F77" s="34"/>
    </row>
  </sheetData>
  <mergeCells count="5">
    <mergeCell ref="B73:F73"/>
    <mergeCell ref="B74:F74"/>
    <mergeCell ref="B75:F75"/>
    <mergeCell ref="B76:F76"/>
    <mergeCell ref="B77:F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2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5" t="s">
        <v>439</v>
      </c>
    </row>
    <row r="4" customFormat="false" ht="31.5" hidden="false" customHeight="true" outlineLevel="0" collapsed="false">
      <c r="B4" s="36" t="s">
        <v>440</v>
      </c>
    </row>
    <row r="5" customFormat="false" ht="19.5" hidden="false" customHeight="true" outlineLevel="0" collapsed="false">
      <c r="B5" s="37" t="s">
        <v>441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8" t="s">
        <v>442</v>
      </c>
      <c r="C7" s="38" t="s">
        <v>443</v>
      </c>
      <c r="D7" s="39" t="s">
        <v>444</v>
      </c>
      <c r="E7" s="39" t="s">
        <v>445</v>
      </c>
      <c r="F7" s="39" t="s">
        <v>446</v>
      </c>
      <c r="G7" s="39" t="s">
        <v>447</v>
      </c>
      <c r="H7" s="39" t="s">
        <v>448</v>
      </c>
      <c r="I7" s="39" t="s">
        <v>54</v>
      </c>
      <c r="J7" s="39" t="s">
        <v>449</v>
      </c>
      <c r="K7" s="38" t="s">
        <v>149</v>
      </c>
    </row>
    <row r="8" customFormat="false" ht="21.75" hidden="false" customHeight="true" outlineLevel="0" collapsed="false">
      <c r="B8" s="166" t="s">
        <v>450</v>
      </c>
      <c r="C8" s="167" t="s">
        <v>451</v>
      </c>
      <c r="D8" s="168" t="n">
        <v>1111</v>
      </c>
      <c r="E8" s="168" t="n">
        <v>88</v>
      </c>
      <c r="F8" s="169" t="n">
        <f aca="false">D8+E8</f>
        <v>1199</v>
      </c>
      <c r="G8" s="170" t="n">
        <f aca="false">IF(F8&gt;0,E8/F8,0)</f>
        <v>0.073394495412844</v>
      </c>
      <c r="H8" s="171" t="n">
        <v>38981</v>
      </c>
      <c r="I8" s="172" t="n">
        <f aca="false">IF(F8&gt;0,H8/F8,0)</f>
        <v>32.511259382819</v>
      </c>
      <c r="J8" s="173" t="n">
        <v>8</v>
      </c>
      <c r="K8" s="156" t="s">
        <v>452</v>
      </c>
    </row>
    <row r="9" customFormat="false" ht="21.75" hidden="false" customHeight="true" outlineLevel="0" collapsed="false">
      <c r="B9" s="174" t="s">
        <v>453</v>
      </c>
      <c r="C9" s="175" t="s">
        <v>454</v>
      </c>
      <c r="D9" s="176" t="n">
        <v>1001</v>
      </c>
      <c r="E9" s="176" t="n">
        <v>134</v>
      </c>
      <c r="F9" s="177" t="n">
        <f aca="false">D9+E9</f>
        <v>1135</v>
      </c>
      <c r="G9" s="178" t="n">
        <f aca="false">IF(F9&gt;0,E9/F9,0)</f>
        <v>0.118061674008811</v>
      </c>
      <c r="H9" s="179" t="n">
        <v>15342</v>
      </c>
      <c r="I9" s="180" t="n">
        <f aca="false">IF(F9&gt;0,H9/F9,0)</f>
        <v>13.5171806167401</v>
      </c>
      <c r="J9" s="181" t="n">
        <v>8</v>
      </c>
      <c r="K9" s="61" t="s">
        <v>165</v>
      </c>
    </row>
    <row r="10" customFormat="false" ht="21.75" hidden="false" customHeight="true" outlineLevel="0" collapsed="false">
      <c r="B10" s="166" t="s">
        <v>455</v>
      </c>
      <c r="C10" s="167" t="s">
        <v>456</v>
      </c>
      <c r="D10" s="168" t="n">
        <v>946</v>
      </c>
      <c r="E10" s="168" t="n">
        <v>105</v>
      </c>
      <c r="F10" s="169" t="n">
        <f aca="false">D10+E10</f>
        <v>1051</v>
      </c>
      <c r="G10" s="170" t="n">
        <f aca="false">IF(F10&gt;0,E10/F10,0)</f>
        <v>0.0999048525214082</v>
      </c>
      <c r="H10" s="171" t="n">
        <v>20866</v>
      </c>
      <c r="I10" s="172" t="n">
        <f aca="false">IF(F10&gt;0,H10/F10,0)</f>
        <v>19.8534728829686</v>
      </c>
      <c r="J10" s="173" t="n">
        <v>10</v>
      </c>
      <c r="K10" s="159" t="s">
        <v>162</v>
      </c>
    </row>
    <row r="11" customFormat="false" ht="21.75" hidden="false" customHeight="true" outlineLevel="0" collapsed="false">
      <c r="B11" s="174" t="s">
        <v>457</v>
      </c>
      <c r="C11" s="175" t="s">
        <v>458</v>
      </c>
      <c r="D11" s="176" t="n">
        <v>790</v>
      </c>
      <c r="E11" s="176" t="n">
        <v>138</v>
      </c>
      <c r="F11" s="177" t="n">
        <f aca="false">D11+E11</f>
        <v>928</v>
      </c>
      <c r="G11" s="178" t="n">
        <f aca="false">IF(F11&gt;0,E11/F11,0)</f>
        <v>0.148706896551724</v>
      </c>
      <c r="H11" s="179" t="n">
        <v>27035</v>
      </c>
      <c r="I11" s="180" t="n">
        <f aca="false">IF(F11&gt;0,H11/F11,0)</f>
        <v>29.1325431034483</v>
      </c>
      <c r="J11" s="181" t="n">
        <v>6</v>
      </c>
      <c r="K11" s="63" t="s">
        <v>159</v>
      </c>
    </row>
    <row r="12" customFormat="false" ht="21.75" hidden="false" customHeight="true" outlineLevel="0" collapsed="false">
      <c r="B12" s="166" t="s">
        <v>459</v>
      </c>
      <c r="C12" s="167" t="s">
        <v>460</v>
      </c>
      <c r="D12" s="168" t="n">
        <v>763</v>
      </c>
      <c r="E12" s="168" t="n">
        <v>99</v>
      </c>
      <c r="F12" s="169" t="n">
        <f aca="false">D12+E12</f>
        <v>862</v>
      </c>
      <c r="G12" s="182" t="n">
        <f aca="false">IF(F12&gt;0,E12/F12,0)</f>
        <v>0.114849187935035</v>
      </c>
      <c r="H12" s="171" t="n">
        <v>14160</v>
      </c>
      <c r="I12" s="172" t="n">
        <f aca="false">IF(F12&gt;0,H12/F12,0)</f>
        <v>16.4269141531323</v>
      </c>
      <c r="J12" s="173" t="n">
        <v>8</v>
      </c>
      <c r="K12" s="159" t="s">
        <v>162</v>
      </c>
    </row>
    <row r="13" customFormat="false" ht="21.75" hidden="false" customHeight="true" outlineLevel="0" collapsed="false">
      <c r="B13" s="174" t="s">
        <v>461</v>
      </c>
      <c r="C13" s="175" t="s">
        <v>462</v>
      </c>
      <c r="D13" s="176" t="n">
        <v>746</v>
      </c>
      <c r="E13" s="176" t="n">
        <v>110</v>
      </c>
      <c r="F13" s="177" t="n">
        <f aca="false">D13+E13</f>
        <v>856</v>
      </c>
      <c r="G13" s="178" t="n">
        <f aca="false">IF(F13&gt;0,E13/F13,0)</f>
        <v>0.128504672897196</v>
      </c>
      <c r="H13" s="179" t="n">
        <v>11184</v>
      </c>
      <c r="I13" s="180" t="n">
        <f aca="false">IF(F13&gt;0,H13/F13,0)</f>
        <v>13.0654205607477</v>
      </c>
      <c r="J13" s="181" t="n">
        <v>5</v>
      </c>
      <c r="K13" s="61" t="s">
        <v>165</v>
      </c>
    </row>
    <row r="14" customFormat="false" ht="21.75" hidden="false" customHeight="true" outlineLevel="0" collapsed="false">
      <c r="B14" s="166" t="s">
        <v>463</v>
      </c>
      <c r="C14" s="167" t="s">
        <v>464</v>
      </c>
      <c r="D14" s="168" t="n">
        <v>738</v>
      </c>
      <c r="E14" s="168" t="n">
        <v>113</v>
      </c>
      <c r="F14" s="169" t="n">
        <f aca="false">D14+E14</f>
        <v>851</v>
      </c>
      <c r="G14" s="182" t="n">
        <f aca="false">IF(F14&gt;0,E14/F14,0)</f>
        <v>0.132784958871915</v>
      </c>
      <c r="H14" s="171" t="n">
        <v>11150</v>
      </c>
      <c r="I14" s="172" t="n">
        <f aca="false">IF(F14&gt;0,H14/F14,0)</f>
        <v>13.1022326674501</v>
      </c>
      <c r="J14" s="173" t="n">
        <v>5</v>
      </c>
      <c r="K14" s="61" t="s">
        <v>165</v>
      </c>
    </row>
    <row r="15" customFormat="false" ht="21.75" hidden="false" customHeight="true" outlineLevel="0" collapsed="false">
      <c r="B15" s="174" t="s">
        <v>465</v>
      </c>
      <c r="C15" s="175" t="s">
        <v>466</v>
      </c>
      <c r="D15" s="176" t="n">
        <v>660</v>
      </c>
      <c r="E15" s="176" t="n">
        <v>150</v>
      </c>
      <c r="F15" s="177" t="n">
        <f aca="false">D15+E15</f>
        <v>810</v>
      </c>
      <c r="G15" s="183" t="n">
        <f aca="false">IF(F15&gt;0,E15/F15,0)</f>
        <v>0.185185185185185</v>
      </c>
      <c r="H15" s="179" t="n">
        <v>11548</v>
      </c>
      <c r="I15" s="180" t="n">
        <f aca="false">IF(F15&gt;0,H15/F15,0)</f>
        <v>14.2567901234568</v>
      </c>
      <c r="J15" s="181" t="n">
        <v>4</v>
      </c>
      <c r="K15" s="61" t="s">
        <v>165</v>
      </c>
    </row>
    <row r="16" customFormat="false" ht="21.75" hidden="false" customHeight="true" outlineLevel="0" collapsed="false">
      <c r="B16" s="166" t="s">
        <v>467</v>
      </c>
      <c r="C16" s="167" t="s">
        <v>468</v>
      </c>
      <c r="D16" s="168" t="n">
        <v>575.5</v>
      </c>
      <c r="E16" s="168" t="n">
        <v>4</v>
      </c>
      <c r="F16" s="169" t="n">
        <f aca="false">D16+E16</f>
        <v>579.5</v>
      </c>
      <c r="G16" s="170" t="n">
        <f aca="false">IF(F16&gt;0,E16/F16,0)</f>
        <v>0.00690250215703192</v>
      </c>
      <c r="H16" s="171" t="n">
        <v>11624</v>
      </c>
      <c r="I16" s="172" t="n">
        <f aca="false">IF(F16&gt;0,H16/F16,0)</f>
        <v>20.0586712683348</v>
      </c>
      <c r="J16" s="173" t="n">
        <v>5</v>
      </c>
      <c r="K16" s="159" t="s">
        <v>162</v>
      </c>
    </row>
    <row r="17" customFormat="false" ht="21.75" hidden="false" customHeight="true" outlineLevel="0" collapsed="false">
      <c r="B17" s="174" t="s">
        <v>469</v>
      </c>
      <c r="C17" s="175" t="s">
        <v>470</v>
      </c>
      <c r="D17" s="176" t="n">
        <v>501</v>
      </c>
      <c r="E17" s="176" t="n">
        <v>60</v>
      </c>
      <c r="F17" s="177" t="n">
        <f aca="false">D17+E17</f>
        <v>561</v>
      </c>
      <c r="G17" s="178" t="n">
        <f aca="false">IF(F17&gt;0,E17/F17,0)</f>
        <v>0.106951871657754</v>
      </c>
      <c r="H17" s="179" t="n">
        <v>10638</v>
      </c>
      <c r="I17" s="180" t="n">
        <f aca="false">IF(F17&gt;0,H17/F17,0)</f>
        <v>18.9625668449198</v>
      </c>
      <c r="J17" s="181" t="n">
        <v>4</v>
      </c>
      <c r="K17" s="159" t="s">
        <v>162</v>
      </c>
    </row>
    <row r="18" customFormat="false" ht="21.75" hidden="false" customHeight="true" outlineLevel="0" collapsed="false">
      <c r="B18" s="166" t="s">
        <v>471</v>
      </c>
      <c r="C18" s="167" t="s">
        <v>472</v>
      </c>
      <c r="D18" s="168" t="n">
        <v>450.5</v>
      </c>
      <c r="E18" s="168" t="n">
        <v>38</v>
      </c>
      <c r="F18" s="169" t="n">
        <f aca="false">D18+E18</f>
        <v>488.5</v>
      </c>
      <c r="G18" s="170" t="n">
        <f aca="false">IF(F18&gt;0,E18/F18,0)</f>
        <v>0.0777891504605937</v>
      </c>
      <c r="H18" s="171" t="n">
        <v>7146</v>
      </c>
      <c r="I18" s="172" t="n">
        <f aca="false">IF(F18&gt;0,H18/F18,0)</f>
        <v>14.6284544524053</v>
      </c>
      <c r="J18" s="173" t="n">
        <v>8</v>
      </c>
      <c r="K18" s="61" t="s">
        <v>165</v>
      </c>
    </row>
    <row r="19" customFormat="false" ht="21.75" hidden="false" customHeight="true" outlineLevel="0" collapsed="false">
      <c r="B19" s="174" t="s">
        <v>473</v>
      </c>
      <c r="C19" s="175" t="s">
        <v>474</v>
      </c>
      <c r="D19" s="176" t="n">
        <v>406</v>
      </c>
      <c r="E19" s="176" t="n">
        <v>0</v>
      </c>
      <c r="F19" s="177" t="n">
        <f aca="false">D19+E19</f>
        <v>406</v>
      </c>
      <c r="G19" s="184" t="n">
        <f aca="false">IF(F19&gt;0,E19/F19,0)</f>
        <v>0</v>
      </c>
      <c r="H19" s="179" t="n">
        <v>14595</v>
      </c>
      <c r="I19" s="180" t="n">
        <f aca="false">IF(F19&gt;0,H19/F19,0)</f>
        <v>35.948275862069</v>
      </c>
      <c r="J19" s="181" t="n">
        <v>9</v>
      </c>
      <c r="K19" s="156" t="s">
        <v>452</v>
      </c>
    </row>
    <row r="20" customFormat="false" ht="21.75" hidden="false" customHeight="true" outlineLevel="0" collapsed="false">
      <c r="B20" s="166" t="s">
        <v>475</v>
      </c>
      <c r="C20" s="167" t="s">
        <v>476</v>
      </c>
      <c r="D20" s="168" t="n">
        <v>381</v>
      </c>
      <c r="E20" s="168" t="n">
        <v>13</v>
      </c>
      <c r="F20" s="169" t="n">
        <f aca="false">D20+E20</f>
        <v>394</v>
      </c>
      <c r="G20" s="170" t="n">
        <f aca="false">IF(F20&gt;0,E20/F20,0)</f>
        <v>0.032994923857868</v>
      </c>
      <c r="H20" s="171" t="n">
        <v>10976</v>
      </c>
      <c r="I20" s="172" t="n">
        <f aca="false">IF(F20&gt;0,H20/F20,0)</f>
        <v>27.8578680203046</v>
      </c>
      <c r="J20" s="173" t="n">
        <v>7</v>
      </c>
      <c r="K20" s="63" t="s">
        <v>159</v>
      </c>
    </row>
    <row r="21" customFormat="false" ht="21.75" hidden="false" customHeight="true" outlineLevel="0" collapsed="false">
      <c r="B21" s="174" t="s">
        <v>477</v>
      </c>
      <c r="C21" s="175" t="s">
        <v>478</v>
      </c>
      <c r="D21" s="176" t="n">
        <v>363</v>
      </c>
      <c r="E21" s="176" t="n">
        <v>2</v>
      </c>
      <c r="F21" s="177" t="n">
        <f aca="false">D21+E21</f>
        <v>365</v>
      </c>
      <c r="G21" s="184" t="n">
        <f aca="false">IF(F21&gt;0,E21/F21,0)</f>
        <v>0.00547945205479452</v>
      </c>
      <c r="H21" s="179" t="n">
        <v>4758</v>
      </c>
      <c r="I21" s="180" t="n">
        <f aca="false">IF(F21&gt;0,H21/F21,0)</f>
        <v>13.0356164383562</v>
      </c>
      <c r="J21" s="181" t="n">
        <v>4</v>
      </c>
      <c r="K21" s="61" t="s">
        <v>165</v>
      </c>
    </row>
    <row r="22" customFormat="false" ht="21.75" hidden="false" customHeight="true" outlineLevel="0" collapsed="false">
      <c r="B22" s="166" t="s">
        <v>479</v>
      </c>
      <c r="C22" s="167" t="s">
        <v>480</v>
      </c>
      <c r="D22" s="168" t="n">
        <v>337.5</v>
      </c>
      <c r="E22" s="168" t="n">
        <v>3.5</v>
      </c>
      <c r="F22" s="169" t="n">
        <f aca="false">D22+E22</f>
        <v>341</v>
      </c>
      <c r="G22" s="170" t="n">
        <f aca="false">IF(F22&gt;0,E22/F22,0)</f>
        <v>0.0102639296187683</v>
      </c>
      <c r="H22" s="171" t="n">
        <v>9898</v>
      </c>
      <c r="I22" s="172" t="n">
        <f aca="false">IF(F22&gt;0,H22/F22,0)</f>
        <v>29.0263929618768</v>
      </c>
      <c r="J22" s="173" t="n">
        <v>4</v>
      </c>
      <c r="K22" s="63" t="s">
        <v>159</v>
      </c>
    </row>
    <row r="23" customFormat="false" ht="21.75" hidden="false" customHeight="true" outlineLevel="0" collapsed="false">
      <c r="B23" s="174" t="s">
        <v>481</v>
      </c>
      <c r="C23" s="175" t="s">
        <v>482</v>
      </c>
      <c r="D23" s="176" t="n">
        <v>319</v>
      </c>
      <c r="E23" s="176" t="n">
        <v>0</v>
      </c>
      <c r="F23" s="177" t="n">
        <f aca="false">D23+E23</f>
        <v>319</v>
      </c>
      <c r="G23" s="184" t="n">
        <f aca="false">IF(F23&gt;0,E23/F23,0)</f>
        <v>0</v>
      </c>
      <c r="H23" s="179" t="n">
        <v>8932</v>
      </c>
      <c r="I23" s="180" t="n">
        <f aca="false">IF(F23&gt;0,H23/F23,0)</f>
        <v>28</v>
      </c>
      <c r="J23" s="181" t="n">
        <v>8</v>
      </c>
      <c r="K23" s="63" t="s">
        <v>159</v>
      </c>
    </row>
    <row r="24" customFormat="false" ht="21.75" hidden="false" customHeight="true" outlineLevel="0" collapsed="false">
      <c r="B24" s="166" t="s">
        <v>483</v>
      </c>
      <c r="C24" s="167" t="s">
        <v>484</v>
      </c>
      <c r="D24" s="168" t="n">
        <v>316</v>
      </c>
      <c r="E24" s="168" t="n">
        <v>57</v>
      </c>
      <c r="F24" s="169" t="n">
        <f aca="false">D24+E24</f>
        <v>373</v>
      </c>
      <c r="G24" s="185" t="n">
        <f aca="false">IF(F24&gt;0,E24/F24,0)</f>
        <v>0.152815013404826</v>
      </c>
      <c r="H24" s="171" t="n">
        <v>4829</v>
      </c>
      <c r="I24" s="172" t="n">
        <f aca="false">IF(F24&gt;0,H24/F24,0)</f>
        <v>12.9463806970509</v>
      </c>
      <c r="J24" s="173" t="n">
        <v>3</v>
      </c>
      <c r="K24" s="61" t="s">
        <v>165</v>
      </c>
    </row>
    <row r="25" customFormat="false" ht="21.75" hidden="false" customHeight="true" outlineLevel="0" collapsed="false">
      <c r="B25" s="174" t="s">
        <v>485</v>
      </c>
      <c r="C25" s="175" t="s">
        <v>486</v>
      </c>
      <c r="D25" s="176" t="n">
        <v>280</v>
      </c>
      <c r="E25" s="176" t="n">
        <v>0</v>
      </c>
      <c r="F25" s="177" t="n">
        <f aca="false">D25+E25</f>
        <v>280</v>
      </c>
      <c r="G25" s="184" t="n">
        <f aca="false">IF(F25&gt;0,E25/F25,0)</f>
        <v>0</v>
      </c>
      <c r="H25" s="179" t="n">
        <v>4480</v>
      </c>
      <c r="I25" s="180" t="n">
        <f aca="false">IF(F25&gt;0,H25/F25,0)</f>
        <v>16</v>
      </c>
      <c r="J25" s="181" t="n">
        <v>3</v>
      </c>
      <c r="K25" s="159" t="s">
        <v>162</v>
      </c>
    </row>
    <row r="26" customFormat="false" ht="21.75" hidden="false" customHeight="true" outlineLevel="0" collapsed="false">
      <c r="B26" s="166" t="s">
        <v>487</v>
      </c>
      <c r="C26" s="167" t="s">
        <v>488</v>
      </c>
      <c r="D26" s="168" t="n">
        <v>262</v>
      </c>
      <c r="E26" s="168" t="n">
        <v>46</v>
      </c>
      <c r="F26" s="169" t="n">
        <f aca="false">D26+E26</f>
        <v>308</v>
      </c>
      <c r="G26" s="182" t="n">
        <f aca="false">IF(F26&gt;0,E26/F26,0)</f>
        <v>0.149350649350649</v>
      </c>
      <c r="H26" s="171" t="n">
        <v>4303</v>
      </c>
      <c r="I26" s="172" t="n">
        <f aca="false">IF(F26&gt;0,H26/F26,0)</f>
        <v>13.9707792207792</v>
      </c>
      <c r="J26" s="173" t="n">
        <v>4</v>
      </c>
      <c r="K26" s="61" t="s">
        <v>165</v>
      </c>
    </row>
    <row r="27" customFormat="false" ht="21.75" hidden="false" customHeight="true" outlineLevel="0" collapsed="false">
      <c r="B27" s="174" t="s">
        <v>489</v>
      </c>
      <c r="C27" s="175" t="s">
        <v>490</v>
      </c>
      <c r="D27" s="176" t="n">
        <v>249</v>
      </c>
      <c r="E27" s="176" t="n">
        <v>0</v>
      </c>
      <c r="F27" s="177" t="n">
        <f aca="false">D27+E27</f>
        <v>249</v>
      </c>
      <c r="G27" s="184" t="n">
        <f aca="false">IF(F27&gt;0,E27/F27,0)</f>
        <v>0</v>
      </c>
      <c r="H27" s="179" t="n">
        <v>3237</v>
      </c>
      <c r="I27" s="180" t="n">
        <f aca="false">IF(F27&gt;0,H27/F27,0)</f>
        <v>13</v>
      </c>
      <c r="J27" s="181" t="n">
        <v>3</v>
      </c>
      <c r="K27" s="61" t="s">
        <v>165</v>
      </c>
    </row>
    <row r="28" customFormat="false" ht="21.75" hidden="false" customHeight="true" outlineLevel="0" collapsed="false">
      <c r="B28" s="166" t="s">
        <v>491</v>
      </c>
      <c r="C28" s="167" t="s">
        <v>492</v>
      </c>
      <c r="D28" s="168" t="n">
        <v>248</v>
      </c>
      <c r="E28" s="168" t="n">
        <v>35</v>
      </c>
      <c r="F28" s="169" t="n">
        <f aca="false">D28+E28</f>
        <v>283</v>
      </c>
      <c r="G28" s="182" t="n">
        <f aca="false">IF(F28&gt;0,E28/F28,0)</f>
        <v>0.123674911660777</v>
      </c>
      <c r="H28" s="171" t="n">
        <v>8114</v>
      </c>
      <c r="I28" s="172" t="n">
        <f aca="false">IF(F28&gt;0,H28/F28,0)</f>
        <v>28.6713780918728</v>
      </c>
      <c r="J28" s="173" t="n">
        <v>3</v>
      </c>
      <c r="K28" s="63" t="s">
        <v>159</v>
      </c>
    </row>
    <row r="29" customFormat="false" ht="21.75" hidden="false" customHeight="true" outlineLevel="0" collapsed="false">
      <c r="B29" s="174" t="s">
        <v>493</v>
      </c>
      <c r="C29" s="175" t="s">
        <v>494</v>
      </c>
      <c r="D29" s="176" t="n">
        <v>201</v>
      </c>
      <c r="E29" s="176" t="n">
        <v>10</v>
      </c>
      <c r="F29" s="177" t="n">
        <f aca="false">D29+E29</f>
        <v>211</v>
      </c>
      <c r="G29" s="184" t="n">
        <f aca="false">IF(F29&gt;0,E29/F29,0)</f>
        <v>0.04739336492891</v>
      </c>
      <c r="H29" s="179" t="n">
        <v>2592</v>
      </c>
      <c r="I29" s="180" t="n">
        <f aca="false">IF(F29&gt;0,H29/F29,0)</f>
        <v>12.2843601895735</v>
      </c>
      <c r="J29" s="181" t="n">
        <v>5</v>
      </c>
      <c r="K29" s="61" t="s">
        <v>165</v>
      </c>
    </row>
    <row r="30" customFormat="false" ht="21.75" hidden="false" customHeight="true" outlineLevel="0" collapsed="false">
      <c r="B30" s="166" t="s">
        <v>495</v>
      </c>
      <c r="C30" s="167" t="s">
        <v>496</v>
      </c>
      <c r="D30" s="168" t="n">
        <v>197.2</v>
      </c>
      <c r="E30" s="168" t="n">
        <v>0</v>
      </c>
      <c r="F30" s="169" t="n">
        <f aca="false">D30+E30</f>
        <v>197.2</v>
      </c>
      <c r="G30" s="170" t="n">
        <f aca="false">IF(F30&gt;0,E30/F30,0)</f>
        <v>0</v>
      </c>
      <c r="H30" s="171" t="n">
        <v>2743</v>
      </c>
      <c r="I30" s="172" t="n">
        <f aca="false">IF(F30&gt;0,H30/F30,0)</f>
        <v>13.9097363083164</v>
      </c>
      <c r="J30" s="173" t="n">
        <v>3</v>
      </c>
      <c r="K30" s="61" t="s">
        <v>165</v>
      </c>
    </row>
    <row r="31" customFormat="false" ht="21.75" hidden="false" customHeight="true" outlineLevel="0" collapsed="false">
      <c r="B31" s="174" t="s">
        <v>497</v>
      </c>
      <c r="C31" s="175" t="s">
        <v>498</v>
      </c>
      <c r="D31" s="176" t="n">
        <v>193</v>
      </c>
      <c r="E31" s="176" t="n">
        <v>48</v>
      </c>
      <c r="F31" s="177" t="n">
        <f aca="false">D31+E31</f>
        <v>241</v>
      </c>
      <c r="G31" s="183" t="n">
        <f aca="false">IF(F31&gt;0,E31/F31,0)</f>
        <v>0.199170124481328</v>
      </c>
      <c r="H31" s="179" t="n">
        <v>6346</v>
      </c>
      <c r="I31" s="180" t="n">
        <f aca="false">IF(F31&gt;0,H31/F31,0)</f>
        <v>26.3319502074689</v>
      </c>
      <c r="J31" s="181" t="n">
        <v>5</v>
      </c>
      <c r="K31" s="63" t="s">
        <v>159</v>
      </c>
    </row>
    <row r="32" customFormat="false" ht="21.75" hidden="false" customHeight="true" outlineLevel="0" collapsed="false">
      <c r="B32" s="166" t="s">
        <v>499</v>
      </c>
      <c r="C32" s="167" t="s">
        <v>500</v>
      </c>
      <c r="D32" s="168" t="n">
        <v>176</v>
      </c>
      <c r="E32" s="168" t="n">
        <v>66</v>
      </c>
      <c r="F32" s="169" t="n">
        <f aca="false">D32+E32</f>
        <v>242</v>
      </c>
      <c r="G32" s="185" t="n">
        <f aca="false">IF(F32&gt;0,E32/F32,0)</f>
        <v>0.272727272727273</v>
      </c>
      <c r="H32" s="171" t="n">
        <v>6024</v>
      </c>
      <c r="I32" s="172" t="n">
        <f aca="false">IF(F32&gt;0,H32/F32,0)</f>
        <v>24.8925619834711</v>
      </c>
      <c r="J32" s="173" t="n">
        <v>4</v>
      </c>
      <c r="K32" s="63" t="s">
        <v>159</v>
      </c>
    </row>
    <row r="33" customFormat="false" ht="21.75" hidden="false" customHeight="true" outlineLevel="0" collapsed="false">
      <c r="B33" s="174" t="s">
        <v>501</v>
      </c>
      <c r="C33" s="175" t="s">
        <v>502</v>
      </c>
      <c r="D33" s="176" t="n">
        <v>171</v>
      </c>
      <c r="E33" s="176" t="n">
        <v>37.5</v>
      </c>
      <c r="F33" s="177" t="n">
        <f aca="false">D33+E33</f>
        <v>208.5</v>
      </c>
      <c r="G33" s="183" t="n">
        <f aca="false">IF(F33&gt;0,E33/F33,0)</f>
        <v>0.179856115107914</v>
      </c>
      <c r="H33" s="179" t="n">
        <v>6234</v>
      </c>
      <c r="I33" s="180" t="n">
        <f aca="false">IF(F33&gt;0,H33/F33,0)</f>
        <v>29.8992805755396</v>
      </c>
      <c r="J33" s="181" t="n">
        <v>7</v>
      </c>
      <c r="K33" s="63" t="s">
        <v>159</v>
      </c>
    </row>
    <row r="34" customFormat="false" ht="21.75" hidden="false" customHeight="true" outlineLevel="0" collapsed="false">
      <c r="B34" s="166" t="s">
        <v>503</v>
      </c>
      <c r="C34" s="167" t="s">
        <v>504</v>
      </c>
      <c r="D34" s="168" t="n">
        <v>168.5</v>
      </c>
      <c r="E34" s="168" t="n">
        <v>0</v>
      </c>
      <c r="F34" s="169" t="n">
        <f aca="false">D34+E34</f>
        <v>168.5</v>
      </c>
      <c r="G34" s="170" t="n">
        <f aca="false">IF(F34&gt;0,E34/F34,0)</f>
        <v>0</v>
      </c>
      <c r="H34" s="171" t="n">
        <v>2696</v>
      </c>
      <c r="I34" s="172" t="n">
        <f aca="false">IF(F34&gt;0,H34/F34,0)</f>
        <v>16</v>
      </c>
      <c r="J34" s="173" t="n">
        <v>3</v>
      </c>
      <c r="K34" s="159" t="s">
        <v>162</v>
      </c>
    </row>
    <row r="35" customFormat="false" ht="21.75" hidden="false" customHeight="true" outlineLevel="0" collapsed="false">
      <c r="B35" s="174" t="s">
        <v>505</v>
      </c>
      <c r="C35" s="175" t="s">
        <v>506</v>
      </c>
      <c r="D35" s="176" t="n">
        <v>162</v>
      </c>
      <c r="E35" s="176" t="n">
        <v>12</v>
      </c>
      <c r="F35" s="177" t="n">
        <f aca="false">D35+E35</f>
        <v>174</v>
      </c>
      <c r="G35" s="184" t="n">
        <f aca="false">IF(F35&gt;0,E35/F35,0)</f>
        <v>0.0689655172413793</v>
      </c>
      <c r="H35" s="179" t="n">
        <v>2340</v>
      </c>
      <c r="I35" s="180" t="n">
        <f aca="false">IF(F35&gt;0,H35/F35,0)</f>
        <v>13.448275862069</v>
      </c>
      <c r="J35" s="181" t="n">
        <v>5</v>
      </c>
      <c r="K35" s="61" t="s">
        <v>165</v>
      </c>
    </row>
    <row r="36" customFormat="false" ht="21.75" hidden="false" customHeight="true" outlineLevel="0" collapsed="false">
      <c r="B36" s="166" t="s">
        <v>507</v>
      </c>
      <c r="C36" s="167" t="s">
        <v>508</v>
      </c>
      <c r="D36" s="168" t="n">
        <v>155</v>
      </c>
      <c r="E36" s="168" t="n">
        <v>0</v>
      </c>
      <c r="F36" s="169" t="n">
        <f aca="false">D36+E36</f>
        <v>155</v>
      </c>
      <c r="G36" s="170" t="n">
        <f aca="false">IF(F36&gt;0,E36/F36,0)</f>
        <v>0</v>
      </c>
      <c r="H36" s="171" t="n">
        <v>2015</v>
      </c>
      <c r="I36" s="172" t="n">
        <f aca="false">IF(F36&gt;0,H36/F36,0)</f>
        <v>13</v>
      </c>
      <c r="J36" s="173" t="n">
        <v>3</v>
      </c>
      <c r="K36" s="61" t="s">
        <v>165</v>
      </c>
    </row>
    <row r="37" customFormat="false" ht="21.75" hidden="false" customHeight="true" outlineLevel="0" collapsed="false">
      <c r="B37" s="174" t="s">
        <v>509</v>
      </c>
      <c r="C37" s="175" t="s">
        <v>510</v>
      </c>
      <c r="D37" s="176" t="n">
        <v>94</v>
      </c>
      <c r="E37" s="176" t="n">
        <v>12</v>
      </c>
      <c r="F37" s="177" t="n">
        <f aca="false">D37+E37</f>
        <v>106</v>
      </c>
      <c r="G37" s="178" t="n">
        <f aca="false">IF(F37&gt;0,E37/F37,0)</f>
        <v>0.113207547169811</v>
      </c>
      <c r="H37" s="179" t="n">
        <v>1456</v>
      </c>
      <c r="I37" s="180" t="n">
        <f aca="false">IF(F37&gt;0,H37/F37,0)</f>
        <v>13.7358490566038</v>
      </c>
      <c r="J37" s="181" t="n">
        <v>3</v>
      </c>
      <c r="K37" s="61" t="s">
        <v>165</v>
      </c>
    </row>
    <row r="38" customFormat="false" ht="21.75" hidden="false" customHeight="true" outlineLevel="0" collapsed="false">
      <c r="B38" s="166" t="s">
        <v>511</v>
      </c>
      <c r="C38" s="167" t="s">
        <v>512</v>
      </c>
      <c r="D38" s="168" t="n">
        <v>83</v>
      </c>
      <c r="E38" s="168" t="n">
        <v>10</v>
      </c>
      <c r="F38" s="169" t="n">
        <f aca="false">D38+E38</f>
        <v>93</v>
      </c>
      <c r="G38" s="182" t="n">
        <f aca="false">IF(F38&gt;0,E38/F38,0)</f>
        <v>0.10752688172043</v>
      </c>
      <c r="H38" s="171" t="n">
        <v>1176</v>
      </c>
      <c r="I38" s="172" t="n">
        <f aca="false">IF(F38&gt;0,H38/F38,0)</f>
        <v>12.6451612903226</v>
      </c>
      <c r="J38" s="173" t="n">
        <v>3</v>
      </c>
      <c r="K38" s="61" t="s">
        <v>165</v>
      </c>
    </row>
    <row r="39" customFormat="false" ht="21.75" hidden="false" customHeight="true" outlineLevel="0" collapsed="false">
      <c r="B39" s="174" t="s">
        <v>513</v>
      </c>
      <c r="C39" s="175" t="s">
        <v>514</v>
      </c>
      <c r="D39" s="176" t="n">
        <v>42</v>
      </c>
      <c r="E39" s="176" t="n">
        <v>0</v>
      </c>
      <c r="F39" s="177" t="n">
        <f aca="false">D39+E39</f>
        <v>42</v>
      </c>
      <c r="G39" s="184" t="n">
        <f aca="false">IF(F39&gt;0,E39/F39,0)</f>
        <v>0</v>
      </c>
      <c r="H39" s="179" t="n">
        <v>609</v>
      </c>
      <c r="I39" s="180" t="n">
        <f aca="false">IF(F39&gt;0,H39/F39,0)</f>
        <v>14.5</v>
      </c>
      <c r="J39" s="181" t="n">
        <v>4</v>
      </c>
      <c r="K39" s="61" t="s">
        <v>165</v>
      </c>
    </row>
    <row r="40" customFormat="false" ht="21.75" hidden="false" customHeight="true" outlineLevel="0" collapsed="false">
      <c r="B40" s="166" t="s">
        <v>515</v>
      </c>
      <c r="C40" s="167" t="s">
        <v>516</v>
      </c>
      <c r="D40" s="168" t="n">
        <v>36</v>
      </c>
      <c r="E40" s="168" t="n">
        <v>0</v>
      </c>
      <c r="F40" s="169" t="n">
        <f aca="false">D40+E40</f>
        <v>36</v>
      </c>
      <c r="G40" s="170" t="n">
        <f aca="false">IF(F40&gt;0,E40/F40,0)</f>
        <v>0</v>
      </c>
      <c r="H40" s="171" t="n">
        <v>432</v>
      </c>
      <c r="I40" s="172" t="n">
        <f aca="false">IF(F40&gt;0,H40/F40,0)</f>
        <v>12</v>
      </c>
      <c r="J40" s="173" t="n">
        <v>3</v>
      </c>
      <c r="K40" s="61" t="s">
        <v>165</v>
      </c>
    </row>
    <row r="41" customFormat="false" ht="21.75" hidden="false" customHeight="true" outlineLevel="0" collapsed="false">
      <c r="B41" s="174" t="s">
        <v>517</v>
      </c>
      <c r="C41" s="175" t="s">
        <v>518</v>
      </c>
      <c r="D41" s="176" t="n">
        <v>32</v>
      </c>
      <c r="E41" s="176" t="n">
        <v>0</v>
      </c>
      <c r="F41" s="177" t="n">
        <f aca="false">D41+E41</f>
        <v>32</v>
      </c>
      <c r="G41" s="184" t="n">
        <f aca="false">IF(F41&gt;0,E41/F41,0)</f>
        <v>0</v>
      </c>
      <c r="H41" s="179" t="n">
        <v>448</v>
      </c>
      <c r="I41" s="180" t="n">
        <f aca="false">IF(F41&gt;0,H41/F41,0)</f>
        <v>14</v>
      </c>
      <c r="J41" s="181" t="n">
        <v>3</v>
      </c>
      <c r="K41" s="61" t="s">
        <v>165</v>
      </c>
    </row>
    <row r="42" customFormat="false" ht="21.75" hidden="false" customHeight="true" outlineLevel="0" collapsed="false">
      <c r="B42" s="166" t="s">
        <v>519</v>
      </c>
      <c r="C42" s="167" t="s">
        <v>520</v>
      </c>
      <c r="D42" s="168" t="n">
        <v>32</v>
      </c>
      <c r="E42" s="168" t="n">
        <v>0</v>
      </c>
      <c r="F42" s="169" t="n">
        <f aca="false">D42+E42</f>
        <v>32</v>
      </c>
      <c r="G42" s="170" t="n">
        <f aca="false">IF(F42&gt;0,E42/F42,0)</f>
        <v>0</v>
      </c>
      <c r="H42" s="171" t="n">
        <v>416</v>
      </c>
      <c r="I42" s="172" t="n">
        <f aca="false">IF(F42&gt;0,H42/F42,0)</f>
        <v>13</v>
      </c>
      <c r="J42" s="173" t="n">
        <v>3</v>
      </c>
      <c r="K42" s="61" t="s">
        <v>165</v>
      </c>
    </row>
    <row r="43" customFormat="false" ht="21.75" hidden="false" customHeight="true" outlineLevel="0" collapsed="false">
      <c r="B43" s="174" t="s">
        <v>521</v>
      </c>
      <c r="C43" s="175" t="s">
        <v>522</v>
      </c>
      <c r="D43" s="176" t="n">
        <v>11</v>
      </c>
      <c r="E43" s="176" t="n">
        <v>14</v>
      </c>
      <c r="F43" s="177" t="n">
        <f aca="false">D43+E43</f>
        <v>25</v>
      </c>
      <c r="G43" s="183" t="n">
        <f aca="false">IF(F43&gt;0,E43/F43,0)</f>
        <v>0.56</v>
      </c>
      <c r="H43" s="179" t="n">
        <v>932</v>
      </c>
      <c r="I43" s="180" t="n">
        <f aca="false">IF(F43&gt;0,H43/F43,0)</f>
        <v>37.28</v>
      </c>
      <c r="J43" s="181" t="n">
        <v>6</v>
      </c>
      <c r="K43" s="156" t="s">
        <v>452</v>
      </c>
    </row>
    <row r="44" customFormat="false" ht="21.75" hidden="false" customHeight="true" outlineLevel="0" collapsed="false">
      <c r="B44" s="166" t="s">
        <v>523</v>
      </c>
      <c r="C44" s="167" t="s">
        <v>524</v>
      </c>
      <c r="D44" s="168" t="n">
        <v>0</v>
      </c>
      <c r="E44" s="168" t="n">
        <v>14</v>
      </c>
      <c r="F44" s="169" t="n">
        <f aca="false">D44+E44</f>
        <v>14</v>
      </c>
      <c r="G44" s="185" t="n">
        <f aca="false">IF(F44&gt;0,E44/F44,0)</f>
        <v>1</v>
      </c>
      <c r="H44" s="171" t="n">
        <v>252</v>
      </c>
      <c r="I44" s="172" t="n">
        <f aca="false">IF(F44&gt;0,H44/F44,0)</f>
        <v>18</v>
      </c>
      <c r="J44" s="173" t="n">
        <v>3</v>
      </c>
      <c r="K44" s="159" t="s">
        <v>162</v>
      </c>
    </row>
    <row r="45" customFormat="false" ht="21.75" hidden="false" customHeight="true" outlineLevel="0" collapsed="false">
      <c r="B45" s="174" t="s">
        <v>525</v>
      </c>
      <c r="C45" s="175" t="s">
        <v>526</v>
      </c>
      <c r="D45" s="176" t="n">
        <v>8</v>
      </c>
      <c r="E45" s="176" t="n">
        <v>4.5</v>
      </c>
      <c r="F45" s="177" t="n">
        <f aca="false">D45+E45</f>
        <v>12.5</v>
      </c>
      <c r="G45" s="183" t="n">
        <f aca="false">IF(F45&gt;0,E45/F45,0)</f>
        <v>0.36</v>
      </c>
      <c r="H45" s="179" t="n">
        <v>266</v>
      </c>
      <c r="I45" s="180" t="n">
        <f aca="false">IF(F45&gt;0,H45/F45,0)</f>
        <v>21.28</v>
      </c>
      <c r="J45" s="181" t="n">
        <v>4</v>
      </c>
      <c r="K45" s="159" t="s">
        <v>162</v>
      </c>
    </row>
    <row r="46" customFormat="false" ht="21.75" hidden="false" customHeight="true" outlineLevel="0" collapsed="false">
      <c r="B46" s="166" t="s">
        <v>527</v>
      </c>
      <c r="C46" s="167" t="s">
        <v>528</v>
      </c>
      <c r="D46" s="168" t="n">
        <v>0</v>
      </c>
      <c r="E46" s="168" t="n">
        <v>8</v>
      </c>
      <c r="F46" s="169" t="n">
        <f aca="false">D46+E46</f>
        <v>8</v>
      </c>
      <c r="G46" s="185" t="n">
        <f aca="false">IF(F46&gt;0,E46/F46,0)</f>
        <v>1</v>
      </c>
      <c r="H46" s="171" t="n">
        <v>324</v>
      </c>
      <c r="I46" s="172" t="n">
        <f aca="false">IF(F46&gt;0,H46/F46,0)</f>
        <v>40.5</v>
      </c>
      <c r="J46" s="173" t="n">
        <v>3</v>
      </c>
      <c r="K46" s="156" t="s">
        <v>452</v>
      </c>
    </row>
    <row r="47" customFormat="false" ht="21.75" hidden="false" customHeight="true" outlineLevel="0" collapsed="false">
      <c r="B47" s="174" t="s">
        <v>529</v>
      </c>
      <c r="C47" s="175" t="s">
        <v>530</v>
      </c>
      <c r="D47" s="176" t="n">
        <v>7</v>
      </c>
      <c r="E47" s="176" t="n">
        <v>0</v>
      </c>
      <c r="F47" s="177" t="n">
        <f aca="false">D47+E47</f>
        <v>7</v>
      </c>
      <c r="G47" s="184" t="n">
        <f aca="false">IF(F47&gt;0,E47/F47,0)</f>
        <v>0</v>
      </c>
      <c r="H47" s="179" t="n">
        <v>91</v>
      </c>
      <c r="I47" s="180" t="n">
        <f aca="false">IF(F47&gt;0,H47/F47,0)</f>
        <v>13</v>
      </c>
      <c r="J47" s="181" t="n">
        <v>3</v>
      </c>
      <c r="K47" s="61" t="s">
        <v>165</v>
      </c>
    </row>
    <row r="48" customFormat="false" ht="21.75" hidden="false" customHeight="true" outlineLevel="0" collapsed="false">
      <c r="B48" s="166" t="s">
        <v>531</v>
      </c>
      <c r="C48" s="167" t="s">
        <v>532</v>
      </c>
      <c r="D48" s="168" t="n">
        <v>5</v>
      </c>
      <c r="E48" s="168" t="n">
        <v>0</v>
      </c>
      <c r="F48" s="169" t="n">
        <f aca="false">D48+E48</f>
        <v>5</v>
      </c>
      <c r="G48" s="170" t="n">
        <f aca="false">IF(F48&gt;0,E48/F48,0)</f>
        <v>0</v>
      </c>
      <c r="H48" s="171" t="n">
        <v>60</v>
      </c>
      <c r="I48" s="172" t="n">
        <f aca="false">IF(F48&gt;0,H48/F48,0)</f>
        <v>12</v>
      </c>
      <c r="J48" s="173" t="n">
        <v>4</v>
      </c>
      <c r="K48" s="61" t="s">
        <v>165</v>
      </c>
    </row>
    <row r="49" customFormat="false" ht="21.75" hidden="false" customHeight="true" outlineLevel="0" collapsed="false">
      <c r="B49" s="174" t="s">
        <v>533</v>
      </c>
      <c r="C49" s="175" t="s">
        <v>534</v>
      </c>
      <c r="D49" s="176" t="n">
        <v>3.5</v>
      </c>
      <c r="E49" s="176" t="n">
        <v>0</v>
      </c>
      <c r="F49" s="177" t="n">
        <f aca="false">D49+E49</f>
        <v>3.5</v>
      </c>
      <c r="G49" s="184" t="n">
        <f aca="false">IF(F49&gt;0,E49/F49,0)</f>
        <v>0</v>
      </c>
      <c r="H49" s="179" t="n">
        <v>116</v>
      </c>
      <c r="I49" s="180" t="n">
        <f aca="false">IF(F49&gt;0,H49/F49,0)</f>
        <v>33.1428571428571</v>
      </c>
      <c r="J49" s="181" t="n">
        <v>3</v>
      </c>
      <c r="K49" s="156" t="s">
        <v>452</v>
      </c>
    </row>
    <row r="50" customFormat="false" ht="31.5" hidden="false" customHeight="true" outlineLevel="0" collapsed="false">
      <c r="B50" s="65" t="s">
        <v>168</v>
      </c>
      <c r="C50" s="186" t="s">
        <v>535</v>
      </c>
      <c r="D50" s="187" t="n">
        <f aca="false">SUM(D8:D49)</f>
        <v>13220.7</v>
      </c>
      <c r="E50" s="187" t="n">
        <f aca="false">SUM(E8:E49)</f>
        <v>1431.5</v>
      </c>
      <c r="F50" s="187" t="n">
        <f aca="false">SUM(F8:F49)</f>
        <v>14652.2</v>
      </c>
      <c r="G50" s="90" t="n">
        <f aca="false">E50/F50</f>
        <v>0.0976986391122152</v>
      </c>
      <c r="H50" s="66" t="n">
        <f aca="false">SUM(H8:H49)</f>
        <v>291364</v>
      </c>
      <c r="I50" s="70" t="n">
        <f aca="false">H50/F50</f>
        <v>19.8853414504307</v>
      </c>
      <c r="J50" s="21"/>
      <c r="K50" s="21"/>
    </row>
    <row r="53" customFormat="false" ht="13.5" hidden="false" customHeight="true" outlineLevel="0" collapsed="false">
      <c r="B53" s="35" t="s">
        <v>536</v>
      </c>
    </row>
    <row r="54" customFormat="false" ht="24" hidden="false" customHeight="true" outlineLevel="0" collapsed="false">
      <c r="B54" s="77" t="s">
        <v>537</v>
      </c>
      <c r="C54" s="77"/>
      <c r="D54" s="77"/>
      <c r="E54" s="77"/>
      <c r="F54" s="77"/>
      <c r="G54" s="77"/>
      <c r="H54" s="77"/>
      <c r="I54" s="77"/>
      <c r="J54" s="77"/>
      <c r="K54" s="77"/>
    </row>
    <row r="55" customFormat="false" ht="6" hidden="false" customHeight="true" outlineLevel="0" collapsed="false"/>
    <row r="56" customFormat="false" ht="24" hidden="false" customHeight="true" outlineLevel="0" collapsed="false">
      <c r="B56" s="80" t="s">
        <v>538</v>
      </c>
      <c r="C56" s="80"/>
      <c r="D56" s="80"/>
      <c r="E56" s="80"/>
      <c r="F56" s="80"/>
      <c r="G56" s="80"/>
      <c r="H56" s="80"/>
      <c r="I56" s="80"/>
      <c r="J56" s="80"/>
      <c r="K56" s="80"/>
    </row>
    <row r="57" customFormat="false" ht="6" hidden="false" customHeight="true" outlineLevel="0" collapsed="false"/>
    <row r="58" customFormat="false" ht="24" hidden="false" customHeight="true" outlineLevel="0" collapsed="false">
      <c r="B58" s="188" t="s">
        <v>539</v>
      </c>
      <c r="C58" s="188"/>
      <c r="D58" s="188"/>
      <c r="E58" s="188"/>
      <c r="F58" s="188"/>
      <c r="G58" s="188"/>
      <c r="H58" s="188"/>
      <c r="I58" s="188"/>
      <c r="J58" s="188"/>
      <c r="K58" s="188"/>
    </row>
    <row r="59" customFormat="false" ht="6" hidden="false" customHeight="true" outlineLevel="0" collapsed="false"/>
    <row r="60" customFormat="false" ht="24" hidden="false" customHeight="true" outlineLevel="0" collapsed="false">
      <c r="B60" s="189" t="s">
        <v>540</v>
      </c>
      <c r="C60" s="189"/>
      <c r="D60" s="189"/>
      <c r="E60" s="189"/>
      <c r="F60" s="189"/>
      <c r="G60" s="189"/>
      <c r="H60" s="189"/>
      <c r="I60" s="189"/>
      <c r="J60" s="189"/>
      <c r="K60" s="189"/>
    </row>
    <row r="61" customFormat="false" ht="6" hidden="false" customHeight="true" outlineLevel="0" collapsed="false"/>
    <row r="62" customFormat="false" ht="24" hidden="false" customHeight="true" outlineLevel="0" collapsed="false">
      <c r="B62" s="79" t="s">
        <v>541</v>
      </c>
      <c r="C62" s="79"/>
      <c r="D62" s="79"/>
      <c r="E62" s="79"/>
      <c r="F62" s="79"/>
      <c r="G62" s="79"/>
      <c r="H62" s="79"/>
      <c r="I62" s="79"/>
      <c r="J62" s="79"/>
      <c r="K62" s="79"/>
    </row>
    <row r="63" customFormat="false" ht="6" hidden="false" customHeight="true" outlineLevel="0" collapsed="false"/>
    <row r="64" customFormat="false" ht="24" hidden="false" customHeight="true" outlineLevel="0" collapsed="false">
      <c r="B64" s="190" t="s">
        <v>542</v>
      </c>
      <c r="C64" s="190"/>
      <c r="D64" s="190"/>
      <c r="E64" s="190"/>
      <c r="F64" s="190"/>
      <c r="G64" s="190"/>
      <c r="H64" s="190"/>
      <c r="I64" s="190"/>
      <c r="J64" s="190"/>
      <c r="K64" s="190"/>
    </row>
    <row r="65" customFormat="false" ht="6" hidden="false" customHeight="true" outlineLevel="0" collapsed="false"/>
    <row r="68" customFormat="false" ht="12" hidden="false" customHeight="true" outlineLevel="0" collapsed="false"/>
    <row r="69" customFormat="false" ht="18" hidden="false" customHeight="true" outlineLevel="0" collapsed="false">
      <c r="B69" s="32" t="s">
        <v>41</v>
      </c>
      <c r="C69" s="33"/>
      <c r="D69" s="33"/>
      <c r="E69" s="33"/>
      <c r="F69" s="33"/>
      <c r="G69" s="33"/>
      <c r="H69" s="33"/>
      <c r="I69" s="33"/>
      <c r="J69" s="33"/>
      <c r="K69" s="33"/>
    </row>
    <row r="70" customFormat="false" ht="18" hidden="false" customHeight="true" outlineLevel="0" collapsed="false">
      <c r="B70" s="34" t="s">
        <v>543</v>
      </c>
      <c r="C70" s="34"/>
      <c r="D70" s="34"/>
      <c r="E70" s="34"/>
      <c r="F70" s="34"/>
      <c r="G70" s="34"/>
      <c r="H70" s="34"/>
      <c r="I70" s="34"/>
      <c r="J70" s="34"/>
      <c r="K70" s="34"/>
    </row>
    <row r="71" customFormat="false" ht="18" hidden="false" customHeight="true" outlineLevel="0" collapsed="false">
      <c r="B71" s="34" t="s">
        <v>544</v>
      </c>
      <c r="C71" s="34"/>
      <c r="D71" s="34"/>
      <c r="E71" s="34"/>
      <c r="F71" s="34"/>
      <c r="G71" s="34"/>
      <c r="H71" s="34"/>
      <c r="I71" s="34"/>
      <c r="J71" s="34"/>
      <c r="K71" s="34"/>
    </row>
    <row r="72" customFormat="false" ht="18" hidden="false" customHeight="true" outlineLevel="0" collapsed="false">
      <c r="B72" s="34" t="s">
        <v>545</v>
      </c>
      <c r="C72" s="34"/>
      <c r="D72" s="34"/>
      <c r="E72" s="34"/>
      <c r="F72" s="34"/>
      <c r="G72" s="34"/>
      <c r="H72" s="34"/>
      <c r="I72" s="34"/>
      <c r="J72" s="34"/>
      <c r="K72" s="34"/>
    </row>
    <row r="75" customFormat="false" ht="12" hidden="false" customHeight="true" outlineLevel="0" collapsed="false"/>
    <row r="76" customFormat="false" ht="18" hidden="false" customHeight="true" outlineLevel="0" collapsed="false">
      <c r="B76" s="32" t="s">
        <v>41</v>
      </c>
      <c r="C76" s="33"/>
      <c r="D76" s="33"/>
      <c r="E76" s="33"/>
      <c r="F76" s="33"/>
      <c r="G76" s="33"/>
      <c r="H76" s="33"/>
      <c r="I76" s="33"/>
      <c r="J76" s="33"/>
      <c r="K76" s="33"/>
    </row>
    <row r="77" customFormat="false" ht="18" hidden="false" customHeight="true" outlineLevel="0" collapsed="false">
      <c r="B77" s="34" t="s">
        <v>42</v>
      </c>
      <c r="C77" s="34"/>
      <c r="D77" s="34"/>
      <c r="E77" s="34"/>
      <c r="F77" s="34"/>
      <c r="G77" s="34"/>
      <c r="H77" s="34"/>
      <c r="I77" s="34"/>
      <c r="J77" s="34"/>
      <c r="K77" s="34"/>
    </row>
    <row r="78" customFormat="false" ht="18" hidden="false" customHeight="true" outlineLevel="0" collapsed="false">
      <c r="B78" s="34" t="s">
        <v>546</v>
      </c>
      <c r="C78" s="34"/>
      <c r="D78" s="34"/>
      <c r="E78" s="34"/>
      <c r="F78" s="34"/>
      <c r="G78" s="34"/>
      <c r="H78" s="34"/>
      <c r="I78" s="34"/>
      <c r="J78" s="34"/>
      <c r="K78" s="34"/>
    </row>
    <row r="79" customFormat="false" ht="18" hidden="false" customHeight="true" outlineLevel="0" collapsed="false">
      <c r="B79" s="34" t="s">
        <v>547</v>
      </c>
      <c r="C79" s="34"/>
      <c r="D79" s="34"/>
      <c r="E79" s="34"/>
      <c r="F79" s="34"/>
      <c r="G79" s="34"/>
      <c r="H79" s="34"/>
      <c r="I79" s="34"/>
      <c r="J79" s="34"/>
      <c r="K79" s="34"/>
    </row>
  </sheetData>
  <mergeCells count="12">
    <mergeCell ref="B54:K54"/>
    <mergeCell ref="B56:K56"/>
    <mergeCell ref="B58:K58"/>
    <mergeCell ref="B60:K60"/>
    <mergeCell ref="B62:K62"/>
    <mergeCell ref="B64:K64"/>
    <mergeCell ref="B70:K70"/>
    <mergeCell ref="B71:K71"/>
    <mergeCell ref="B72:K72"/>
    <mergeCell ref="B77:K77"/>
    <mergeCell ref="B78:K78"/>
    <mergeCell ref="B79:K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4" min="3" style="1" width="20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5" t="s">
        <v>548</v>
      </c>
    </row>
    <row r="4" customFormat="false" ht="31.5" hidden="false" customHeight="true" outlineLevel="0" collapsed="false">
      <c r="B4" s="36" t="s">
        <v>549</v>
      </c>
    </row>
    <row r="5" customFormat="false" ht="19.5" hidden="false" customHeight="true" outlineLevel="0" collapsed="false">
      <c r="B5" s="37" t="s">
        <v>550</v>
      </c>
    </row>
    <row r="6" customFormat="false" ht="13.5" hidden="false" customHeight="true" outlineLevel="0" collapsed="false"/>
    <row r="7" customFormat="false" ht="25.5" hidden="false" customHeight="true" outlineLevel="0" collapsed="false">
      <c r="B7" s="191" t="s">
        <v>551</v>
      </c>
      <c r="C7" s="191"/>
      <c r="D7" s="191"/>
      <c r="E7" s="191"/>
      <c r="F7" s="191"/>
    </row>
    <row r="9" customFormat="false" ht="27.75" hidden="false" customHeight="true" outlineLevel="0" collapsed="false">
      <c r="B9" s="38" t="s">
        <v>133</v>
      </c>
      <c r="C9" s="39" t="s">
        <v>552</v>
      </c>
      <c r="D9" s="39" t="s">
        <v>553</v>
      </c>
      <c r="E9" s="39" t="s">
        <v>554</v>
      </c>
      <c r="F9" s="39" t="s">
        <v>55</v>
      </c>
    </row>
    <row r="10" customFormat="false" ht="25.5" hidden="false" customHeight="true" outlineLevel="0" collapsed="false">
      <c r="B10" s="40" t="s">
        <v>555</v>
      </c>
      <c r="C10" s="41" t="n">
        <v>1065992</v>
      </c>
      <c r="D10" s="41" t="n">
        <f aca="false">'Budget vs Actual'!C40</f>
        <v>1065993</v>
      </c>
      <c r="E10" s="164" t="n">
        <f aca="false">D10-C10</f>
        <v>1</v>
      </c>
      <c r="F10" s="46" t="str">
        <f aca="false">IF(ABS(D10-C10)&lt;=1,"TIES","OFF")</f>
        <v>TIES</v>
      </c>
    </row>
    <row r="11" customFormat="false" ht="25.5" hidden="false" customHeight="true" outlineLevel="0" collapsed="false">
      <c r="B11" s="47" t="s">
        <v>556</v>
      </c>
      <c r="C11" s="48" t="n">
        <v>858181</v>
      </c>
      <c r="D11" s="48" t="n">
        <f aca="false">'Budget vs Actual'!D40</f>
        <v>858182</v>
      </c>
      <c r="E11" s="192" t="n">
        <f aca="false">D11-C11</f>
        <v>1</v>
      </c>
      <c r="F11" s="46" t="str">
        <f aca="false">IF(ABS(D11-C11)&lt;=1,"TIES","OFF")</f>
        <v>TIES</v>
      </c>
    </row>
    <row r="12" customFormat="false" ht="25.5" hidden="false" customHeight="true" outlineLevel="0" collapsed="false">
      <c r="B12" s="40" t="s">
        <v>557</v>
      </c>
      <c r="C12" s="41" t="n">
        <v>-207811</v>
      </c>
      <c r="D12" s="41" t="n">
        <f aca="false">'Budget vs Actual'!E40</f>
        <v>-207811</v>
      </c>
      <c r="E12" s="164" t="n">
        <f aca="false">D12-C12</f>
        <v>0</v>
      </c>
      <c r="F12" s="46" t="str">
        <f aca="false">IF(ABS(D12-C12)&lt;=1,"TIES","OFF")</f>
        <v>TIES</v>
      </c>
    </row>
    <row r="13" customFormat="false" ht="25.5" hidden="false" customHeight="true" outlineLevel="0" collapsed="false">
      <c r="B13" s="47" t="s">
        <v>296</v>
      </c>
      <c r="C13" s="51" t="n">
        <v>14608</v>
      </c>
      <c r="D13" s="51" t="n">
        <f aca="false">'Budget vs Actual'!G40</f>
        <v>14609</v>
      </c>
      <c r="E13" s="193" t="n">
        <f aca="false">D13-C13</f>
        <v>1</v>
      </c>
      <c r="F13" s="46" t="str">
        <f aca="false">IF(ABS(D13-C13)&lt;=1,"TIES","OFF")</f>
        <v>TIES</v>
      </c>
    </row>
    <row r="16" customFormat="false" ht="25.5" hidden="false" customHeight="true" outlineLevel="0" collapsed="false">
      <c r="B16" s="191" t="s">
        <v>558</v>
      </c>
      <c r="C16" s="191"/>
      <c r="D16" s="191"/>
      <c r="E16" s="191"/>
      <c r="F16" s="191"/>
    </row>
    <row r="18" customFormat="false" ht="27.75" hidden="false" customHeight="true" outlineLevel="0" collapsed="false">
      <c r="B18" s="38" t="s">
        <v>133</v>
      </c>
      <c r="C18" s="39" t="s">
        <v>552</v>
      </c>
      <c r="D18" s="39" t="s">
        <v>553</v>
      </c>
      <c r="E18" s="39" t="s">
        <v>554</v>
      </c>
      <c r="F18" s="39" t="s">
        <v>55</v>
      </c>
    </row>
    <row r="19" customFormat="false" ht="25.5" hidden="false" customHeight="true" outlineLevel="0" collapsed="false">
      <c r="B19" s="47" t="s">
        <v>559</v>
      </c>
      <c r="C19" s="48" t="n">
        <v>305975</v>
      </c>
      <c r="D19" s="48" t="n">
        <f aca="false">SUM('Budget vs Actual'!C8:C20)</f>
        <v>305975</v>
      </c>
      <c r="E19" s="192" t="n">
        <f aca="false">D19-C19</f>
        <v>0</v>
      </c>
      <c r="F19" s="46" t="str">
        <f aca="false">IF(ABS(D19-C19)&lt;=1,"TIES","OFF")</f>
        <v>TIES</v>
      </c>
    </row>
    <row r="20" customFormat="false" ht="25.5" hidden="false" customHeight="true" outlineLevel="0" collapsed="false">
      <c r="B20" s="40" t="s">
        <v>560</v>
      </c>
      <c r="C20" s="41" t="n">
        <v>291323</v>
      </c>
      <c r="D20" s="41" t="n">
        <f aca="false">SUM('Budget vs Actual'!D8:D20)</f>
        <v>291323</v>
      </c>
      <c r="E20" s="164" t="n">
        <f aca="false">D20-C20</f>
        <v>0</v>
      </c>
      <c r="F20" s="46" t="str">
        <f aca="false">IF(ABS(D20-C20)&lt;=1,"TIES","OFF")</f>
        <v>TIES</v>
      </c>
    </row>
    <row r="21" customFormat="false" ht="25.5" hidden="false" customHeight="true" outlineLevel="0" collapsed="false">
      <c r="B21" s="47" t="s">
        <v>561</v>
      </c>
      <c r="C21" s="51" t="n">
        <v>14608</v>
      </c>
      <c r="D21" s="51" t="n">
        <f aca="false">SUM('Budget vs Actual'!G8:G20)</f>
        <v>14608</v>
      </c>
      <c r="E21" s="193" t="n">
        <f aca="false">D21-C21</f>
        <v>0</v>
      </c>
      <c r="F21" s="46" t="str">
        <f aca="false">IF(ABS(D21-C21)&lt;=1,"TIES","OFF")</f>
        <v>TIES</v>
      </c>
    </row>
    <row r="24" customFormat="false" ht="25.5" hidden="false" customHeight="true" outlineLevel="0" collapsed="false">
      <c r="B24" s="191" t="s">
        <v>562</v>
      </c>
      <c r="C24" s="191"/>
      <c r="D24" s="191"/>
      <c r="E24" s="191"/>
      <c r="F24" s="191"/>
    </row>
    <row r="26" customFormat="false" ht="27.75" hidden="false" customHeight="true" outlineLevel="0" collapsed="false">
      <c r="B26" s="38" t="s">
        <v>133</v>
      </c>
      <c r="C26" s="39" t="s">
        <v>552</v>
      </c>
      <c r="D26" s="39" t="s">
        <v>553</v>
      </c>
      <c r="E26" s="39" t="s">
        <v>554</v>
      </c>
      <c r="F26" s="39" t="s">
        <v>55</v>
      </c>
    </row>
    <row r="27" customFormat="false" ht="25.5" hidden="false" customHeight="true" outlineLevel="0" collapsed="false">
      <c r="B27" s="47" t="s">
        <v>563</v>
      </c>
      <c r="C27" s="48" t="n">
        <v>553400</v>
      </c>
      <c r="D27" s="48" t="n">
        <f aca="false">SUM('Budget vs Actual'!C21:C31)</f>
        <v>553400</v>
      </c>
      <c r="E27" s="192" t="n">
        <f aca="false">D27-C27</f>
        <v>0</v>
      </c>
      <c r="F27" s="46" t="str">
        <f aca="false">IF(ABS(D27-C27)&lt;=1,"TIES","OFF")</f>
        <v>TIES</v>
      </c>
    </row>
    <row r="28" customFormat="false" ht="25.5" hidden="false" customHeight="true" outlineLevel="0" collapsed="false">
      <c r="B28" s="40" t="s">
        <v>564</v>
      </c>
      <c r="C28" s="41" t="n">
        <v>390751</v>
      </c>
      <c r="D28" s="41" t="n">
        <f aca="false">SUM('Budget vs Actual'!D21:D31)</f>
        <v>390751</v>
      </c>
      <c r="E28" s="164" t="n">
        <f aca="false">D28-C28</f>
        <v>0</v>
      </c>
      <c r="F28" s="46" t="str">
        <f aca="false">IF(ABS(D28-C28)&lt;=1,"TIES","OFF")</f>
        <v>TIES</v>
      </c>
    </row>
    <row r="29" customFormat="false" ht="25.5" hidden="false" customHeight="true" outlineLevel="0" collapsed="false">
      <c r="B29" s="47" t="s">
        <v>565</v>
      </c>
      <c r="C29" s="48" t="n">
        <v>553400</v>
      </c>
      <c r="D29" s="48" t="n">
        <f aca="false">Material!C19</f>
        <v>553400</v>
      </c>
      <c r="E29" s="192" t="n">
        <f aca="false">D29-C29</f>
        <v>0</v>
      </c>
      <c r="F29" s="46" t="str">
        <f aca="false">IF(ABS(D29-C29)&lt;=1,"TIES","OFF")</f>
        <v>TIES</v>
      </c>
    </row>
    <row r="30" customFormat="false" ht="25.5" hidden="false" customHeight="true" outlineLevel="0" collapsed="false">
      <c r="B30" s="40" t="s">
        <v>566</v>
      </c>
      <c r="C30" s="41" t="n">
        <v>390751</v>
      </c>
      <c r="D30" s="41" t="n">
        <f aca="false">Material!D19</f>
        <v>390751</v>
      </c>
      <c r="E30" s="164" t="n">
        <f aca="false">D30-C30</f>
        <v>0</v>
      </c>
      <c r="F30" s="46" t="str">
        <f aca="false">IF(ABS(D30-C30)&lt;=1,"TIES","OFF")</f>
        <v>TIES</v>
      </c>
    </row>
    <row r="31" customFormat="false" ht="25.5" hidden="false" customHeight="true" outlineLevel="0" collapsed="false">
      <c r="B31" s="47" t="s">
        <v>567</v>
      </c>
      <c r="C31" s="48" t="n">
        <v>390751</v>
      </c>
      <c r="D31" s="48" t="n">
        <f aca="false">Material!D19-SUM('Budget vs Actual'!D21:D31)+390751</f>
        <v>390751</v>
      </c>
      <c r="E31" s="192" t="n">
        <f aca="false">D31-C31</f>
        <v>0</v>
      </c>
      <c r="F31" s="46" t="str">
        <f aca="false">IF(ABS(D31-C31)&lt;=1,"TIES","OFF")</f>
        <v>TIES</v>
      </c>
    </row>
    <row r="34" customFormat="false" ht="25.5" hidden="false" customHeight="true" outlineLevel="0" collapsed="false">
      <c r="B34" s="191" t="s">
        <v>568</v>
      </c>
      <c r="C34" s="191"/>
      <c r="D34" s="191"/>
      <c r="E34" s="191"/>
      <c r="F34" s="191"/>
    </row>
    <row r="36" customFormat="false" ht="27.75" hidden="false" customHeight="true" outlineLevel="0" collapsed="false">
      <c r="B36" s="38" t="s">
        <v>133</v>
      </c>
      <c r="C36" s="39" t="s">
        <v>552</v>
      </c>
      <c r="D36" s="39" t="s">
        <v>553</v>
      </c>
      <c r="E36" s="39" t="s">
        <v>554</v>
      </c>
      <c r="F36" s="39" t="s">
        <v>55</v>
      </c>
    </row>
    <row r="37" customFormat="false" ht="25.5" hidden="false" customHeight="true" outlineLevel="0" collapsed="false">
      <c r="B37" s="47" t="s">
        <v>569</v>
      </c>
      <c r="C37" s="48" t="n">
        <v>206618</v>
      </c>
      <c r="D37" s="48" t="n">
        <f aca="false">SUM('Budget vs Actual'!C32:C39)</f>
        <v>206618</v>
      </c>
      <c r="E37" s="192" t="n">
        <f aca="false">D37-C37</f>
        <v>0</v>
      </c>
      <c r="F37" s="46" t="str">
        <f aca="false">IF(ABS(D37-C37)&lt;=1,"TIES","OFF")</f>
        <v>TIES</v>
      </c>
    </row>
    <row r="38" customFormat="false" ht="25.5" hidden="false" customHeight="true" outlineLevel="0" collapsed="false">
      <c r="B38" s="40" t="s">
        <v>570</v>
      </c>
      <c r="C38" s="41" t="n">
        <v>176108</v>
      </c>
      <c r="D38" s="41" t="n">
        <f aca="false">SUM('Budget vs Actual'!D32:D39)</f>
        <v>176108</v>
      </c>
      <c r="E38" s="164" t="n">
        <f aca="false">D38-C38</f>
        <v>0</v>
      </c>
      <c r="F38" s="46" t="str">
        <f aca="false">IF(ABS(D38-C38)&lt;=1,"TIES","OFF")</f>
        <v>TIES</v>
      </c>
    </row>
    <row r="41" customFormat="false" ht="25.5" hidden="false" customHeight="true" outlineLevel="0" collapsed="false">
      <c r="B41" s="191" t="s">
        <v>571</v>
      </c>
      <c r="C41" s="191"/>
      <c r="D41" s="191"/>
      <c r="E41" s="191"/>
      <c r="F41" s="191"/>
    </row>
    <row r="43" customFormat="false" ht="27.75" hidden="false" customHeight="true" outlineLevel="0" collapsed="false">
      <c r="B43" s="38" t="s">
        <v>133</v>
      </c>
      <c r="C43" s="39" t="s">
        <v>552</v>
      </c>
      <c r="D43" s="39" t="s">
        <v>553</v>
      </c>
      <c r="E43" s="39" t="s">
        <v>554</v>
      </c>
      <c r="F43" s="39" t="s">
        <v>55</v>
      </c>
    </row>
    <row r="44" customFormat="false" ht="25.5" hidden="false" customHeight="true" outlineLevel="0" collapsed="false">
      <c r="B44" s="40" t="s">
        <v>572</v>
      </c>
      <c r="C44" s="44" t="n">
        <v>14608</v>
      </c>
      <c r="D44" s="44" t="n">
        <f aca="false">'Crew Analytics'!F50</f>
        <v>14652.2</v>
      </c>
      <c r="E44" s="194" t="n">
        <f aca="false">D44-C44</f>
        <v>44.2000000000007</v>
      </c>
      <c r="F44" s="160" t="str">
        <f aca="false">IF(ABS(D44-C44)&lt;=50,"WITHIN","OFF")</f>
        <v>WITHIN</v>
      </c>
    </row>
    <row r="45" customFormat="false" ht="25.5" hidden="false" customHeight="true" outlineLevel="0" collapsed="false">
      <c r="B45" s="47" t="s">
        <v>573</v>
      </c>
      <c r="C45" s="48" t="n">
        <v>291364</v>
      </c>
      <c r="D45" s="48" t="n">
        <f aca="false">'Crew Analytics'!H50</f>
        <v>291364</v>
      </c>
      <c r="E45" s="192" t="n">
        <f aca="false">D45-C45</f>
        <v>0</v>
      </c>
      <c r="F45" s="46" t="str">
        <f aca="false">IF(ABS(D45-C45)&lt;=1,"TIES","OFF")</f>
        <v>TIES</v>
      </c>
    </row>
    <row r="48" customFormat="false" ht="25.5" hidden="false" customHeight="true" outlineLevel="0" collapsed="false">
      <c r="B48" s="191" t="s">
        <v>574</v>
      </c>
      <c r="C48" s="191"/>
      <c r="D48" s="191"/>
      <c r="E48" s="191"/>
      <c r="F48" s="191"/>
    </row>
    <row r="50" customFormat="false" ht="27.75" hidden="false" customHeight="true" outlineLevel="0" collapsed="false">
      <c r="B50" s="38" t="s">
        <v>133</v>
      </c>
      <c r="C50" s="39" t="s">
        <v>552</v>
      </c>
      <c r="D50" s="39" t="s">
        <v>553</v>
      </c>
      <c r="E50" s="39" t="s">
        <v>554</v>
      </c>
      <c r="F50" s="39" t="s">
        <v>55</v>
      </c>
    </row>
    <row r="51" customFormat="false" ht="25.5" hidden="false" customHeight="true" outlineLevel="0" collapsed="false">
      <c r="B51" s="47" t="s">
        <v>575</v>
      </c>
      <c r="C51" s="48" t="n">
        <v>858181</v>
      </c>
      <c r="D51" s="48" t="n">
        <f aca="false">'Budget vs Actual'!D40</f>
        <v>858182</v>
      </c>
      <c r="E51" s="192" t="n">
        <f aca="false">D51-C51</f>
        <v>1</v>
      </c>
      <c r="F51" s="46" t="str">
        <f aca="false">IF(ABS(D51-C51)&lt;=1,"TIES","OFF")</f>
        <v>TIES</v>
      </c>
    </row>
    <row r="52" customFormat="false" ht="25.5" hidden="false" customHeight="true" outlineLevel="0" collapsed="false">
      <c r="B52" s="40" t="s">
        <v>576</v>
      </c>
      <c r="C52" s="41" t="n">
        <v>533274</v>
      </c>
      <c r="D52" s="41" t="n">
        <f aca="false">1391455-'Budget vs Actual'!D40</f>
        <v>533273</v>
      </c>
      <c r="E52" s="164" t="n">
        <f aca="false">D52-C52</f>
        <v>-1</v>
      </c>
      <c r="F52" s="46" t="str">
        <f aca="false">IF(ABS(D52-C52)&lt;=1,"TIES","OFF")</f>
        <v>TIES</v>
      </c>
    </row>
    <row r="55" customFormat="false" ht="25.5" hidden="false" customHeight="true" outlineLevel="0" collapsed="false">
      <c r="B55" s="191" t="s">
        <v>577</v>
      </c>
      <c r="C55" s="191"/>
      <c r="D55" s="191"/>
      <c r="E55" s="191"/>
      <c r="F55" s="191"/>
    </row>
    <row r="57" customFormat="false" ht="27.75" hidden="false" customHeight="true" outlineLevel="0" collapsed="false">
      <c r="B57" s="38" t="s">
        <v>133</v>
      </c>
      <c r="C57" s="39" t="s">
        <v>552</v>
      </c>
      <c r="D57" s="39" t="s">
        <v>553</v>
      </c>
      <c r="E57" s="39" t="s">
        <v>554</v>
      </c>
      <c r="F57" s="39" t="s">
        <v>55</v>
      </c>
    </row>
    <row r="58" customFormat="false" ht="25.5" hidden="false" customHeight="true" outlineLevel="0" collapsed="false">
      <c r="B58" s="40" t="s">
        <v>578</v>
      </c>
      <c r="C58" s="41" t="n">
        <v>418270</v>
      </c>
      <c r="D58" s="41" t="n">
        <f aca="false">Material!D19+SUM('Budget vs Actual'!D32:D39)-'Budget vs Actual'!D37-'Budget vs Actual'!D38-'Budget vs Actual'!D39</f>
        <v>418270</v>
      </c>
      <c r="E58" s="164" t="n">
        <f aca="false">D58-C58</f>
        <v>0</v>
      </c>
      <c r="F58" s="46" t="str">
        <f aca="false">IF(ABS(D58-C58)&lt;=1,"TIES","OFF")</f>
        <v>TIES</v>
      </c>
    </row>
    <row r="59" customFormat="false" ht="25.5" hidden="false" customHeight="true" outlineLevel="0" collapsed="false">
      <c r="B59" s="47" t="s">
        <v>579</v>
      </c>
      <c r="C59" s="48" t="n">
        <v>408537</v>
      </c>
      <c r="D59" s="48" t="n">
        <v>408537</v>
      </c>
      <c r="E59" s="192" t="n">
        <f aca="false">D59-C59</f>
        <v>0</v>
      </c>
      <c r="F59" s="46" t="str">
        <f aca="false">IF(ABS(D59-C59)&lt;=1,"TIES","OFF")</f>
        <v>TIES</v>
      </c>
    </row>
    <row r="60" customFormat="false" ht="25.5" hidden="false" customHeight="true" outlineLevel="0" collapsed="false">
      <c r="B60" s="40" t="s">
        <v>580</v>
      </c>
      <c r="C60" s="41" t="n">
        <v>9733</v>
      </c>
      <c r="D60" s="41" t="n">
        <f aca="false">418270-408537</f>
        <v>9733</v>
      </c>
      <c r="E60" s="164" t="n">
        <f aca="false">D60-C60</f>
        <v>0</v>
      </c>
      <c r="F60" s="46" t="str">
        <f aca="false">IF(ABS(D60-C60)&lt;=1,"TIES","OFF")</f>
        <v>TIES</v>
      </c>
    </row>
    <row r="63" customFormat="false" ht="13.5" hidden="false" customHeight="true" outlineLevel="0" collapsed="false">
      <c r="B63" s="35" t="s">
        <v>581</v>
      </c>
    </row>
    <row r="64" customFormat="false" ht="27.75" hidden="false" customHeight="true" outlineLevel="0" collapsed="false">
      <c r="B64" s="79" t="s">
        <v>582</v>
      </c>
      <c r="C64" s="79"/>
      <c r="D64" s="79"/>
      <c r="E64" s="79"/>
      <c r="F64" s="79"/>
    </row>
    <row r="65" customFormat="false" ht="6" hidden="false" customHeight="true" outlineLevel="0" collapsed="false"/>
    <row r="66" customFormat="false" ht="27.75" hidden="false" customHeight="true" outlineLevel="0" collapsed="false">
      <c r="B66" s="79" t="s">
        <v>583</v>
      </c>
      <c r="C66" s="79"/>
      <c r="D66" s="79"/>
      <c r="E66" s="79"/>
      <c r="F66" s="79"/>
    </row>
    <row r="67" customFormat="false" ht="6" hidden="false" customHeight="true" outlineLevel="0" collapsed="false"/>
    <row r="68" customFormat="false" ht="27.75" hidden="false" customHeight="true" outlineLevel="0" collapsed="false">
      <c r="B68" s="79" t="s">
        <v>584</v>
      </c>
      <c r="C68" s="79"/>
      <c r="D68" s="79"/>
      <c r="E68" s="79"/>
      <c r="F68" s="79"/>
    </row>
    <row r="69" customFormat="false" ht="6" hidden="false" customHeight="true" outlineLevel="0" collapsed="false"/>
    <row r="70" customFormat="false" ht="27.75" hidden="false" customHeight="true" outlineLevel="0" collapsed="false">
      <c r="B70" s="81" t="s">
        <v>585</v>
      </c>
      <c r="C70" s="81"/>
      <c r="D70" s="81"/>
      <c r="E70" s="81"/>
      <c r="F70" s="81"/>
    </row>
    <row r="71" customFormat="false" ht="6" hidden="false" customHeight="true" outlineLevel="0" collapsed="false"/>
    <row r="72" customFormat="false" ht="27.75" hidden="false" customHeight="true" outlineLevel="0" collapsed="false">
      <c r="B72" s="79" t="s">
        <v>586</v>
      </c>
      <c r="C72" s="79"/>
      <c r="D72" s="79"/>
      <c r="E72" s="79"/>
      <c r="F72" s="79"/>
    </row>
    <row r="73" customFormat="false" ht="6" hidden="false" customHeight="true" outlineLevel="0" collapsed="false"/>
    <row r="74" customFormat="false" ht="27.75" hidden="false" customHeight="true" outlineLevel="0" collapsed="false">
      <c r="B74" s="79" t="s">
        <v>587</v>
      </c>
      <c r="C74" s="79"/>
      <c r="D74" s="79"/>
      <c r="E74" s="79"/>
      <c r="F74" s="79"/>
    </row>
    <row r="75" customFormat="false" ht="6" hidden="false" customHeight="true" outlineLevel="0" collapsed="false"/>
    <row r="77" customFormat="false" ht="12" hidden="false" customHeight="true" outlineLevel="0" collapsed="false"/>
    <row r="78" customFormat="false" ht="18" hidden="false" customHeight="true" outlineLevel="0" collapsed="false">
      <c r="B78" s="32" t="s">
        <v>41</v>
      </c>
      <c r="C78" s="33"/>
      <c r="D78" s="33"/>
      <c r="E78" s="33"/>
      <c r="F78" s="33"/>
    </row>
    <row r="79" customFormat="false" ht="18" hidden="false" customHeight="true" outlineLevel="0" collapsed="false">
      <c r="B79" s="34" t="s">
        <v>42</v>
      </c>
      <c r="C79" s="34"/>
      <c r="D79" s="34"/>
      <c r="E79" s="34"/>
      <c r="F79" s="34"/>
    </row>
    <row r="80" customFormat="false" ht="18" hidden="false" customHeight="true" outlineLevel="0" collapsed="false">
      <c r="B80" s="34" t="s">
        <v>588</v>
      </c>
      <c r="C80" s="34"/>
      <c r="D80" s="34"/>
      <c r="E80" s="34"/>
      <c r="F80" s="34"/>
    </row>
    <row r="81" customFormat="false" ht="18" hidden="false" customHeight="true" outlineLevel="0" collapsed="false">
      <c r="B81" s="34" t="s">
        <v>589</v>
      </c>
      <c r="C81" s="34"/>
      <c r="D81" s="34"/>
      <c r="E81" s="34"/>
      <c r="F81" s="34"/>
    </row>
    <row r="82" customFormat="false" ht="18" hidden="false" customHeight="true" outlineLevel="0" collapsed="false">
      <c r="B82" s="34" t="s">
        <v>590</v>
      </c>
      <c r="C82" s="34"/>
      <c r="D82" s="34"/>
      <c r="E82" s="34"/>
      <c r="F82" s="34"/>
    </row>
  </sheetData>
  <mergeCells count="17">
    <mergeCell ref="B7:F7"/>
    <mergeCell ref="B16:F16"/>
    <mergeCell ref="B24:F24"/>
    <mergeCell ref="B34:F34"/>
    <mergeCell ref="B41:F41"/>
    <mergeCell ref="B48:F48"/>
    <mergeCell ref="B55:F55"/>
    <mergeCell ref="B64:F64"/>
    <mergeCell ref="B66:F66"/>
    <mergeCell ref="B68:F68"/>
    <mergeCell ref="B70:F70"/>
    <mergeCell ref="B72:F72"/>
    <mergeCell ref="B74:F74"/>
    <mergeCell ref="B79:F79"/>
    <mergeCell ref="B80:F80"/>
    <mergeCell ref="B81:F81"/>
    <mergeCell ref="B82:F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</cols>
  <sheetData>
    <row r="2" customFormat="false" ht="17.35" hidden="false" customHeight="false" outlineLevel="0" collapsed="false">
      <c r="B2" s="195" t="s">
        <v>591</v>
      </c>
      <c r="C2" s="195"/>
      <c r="D2" s="195"/>
      <c r="E2" s="195"/>
      <c r="F2" s="195"/>
      <c r="G2" s="195"/>
    </row>
    <row r="3" customFormat="false" ht="15" hidden="false" customHeight="false" outlineLevel="0" collapsed="false">
      <c r="B3" s="196" t="s">
        <v>592</v>
      </c>
      <c r="C3" s="196"/>
      <c r="D3" s="196"/>
      <c r="E3" s="196"/>
      <c r="F3" s="196"/>
      <c r="G3" s="196"/>
    </row>
    <row r="4" customFormat="false" ht="15" hidden="false" customHeight="false" outlineLevel="0" collapsed="false">
      <c r="B4" s="197" t="s">
        <v>593</v>
      </c>
      <c r="C4" s="197"/>
      <c r="D4" s="197"/>
      <c r="E4" s="197"/>
      <c r="F4" s="197"/>
      <c r="G4" s="197"/>
    </row>
    <row r="6" customFormat="false" ht="15" hidden="false" customHeight="false" outlineLevel="0" collapsed="false">
      <c r="B6" s="198" t="s">
        <v>594</v>
      </c>
      <c r="C6" s="198" t="n">
        <v>16</v>
      </c>
      <c r="D6" s="198" t="s">
        <v>595</v>
      </c>
      <c r="E6" s="199" t="n">
        <v>409754.59</v>
      </c>
      <c r="F6" s="198" t="s">
        <v>596</v>
      </c>
      <c r="G6" s="198" t="n">
        <v>186</v>
      </c>
    </row>
    <row r="7" customFormat="false" ht="15" hidden="false" customHeight="false" outlineLevel="0" collapsed="false">
      <c r="B7" s="200" t="s">
        <v>597</v>
      </c>
      <c r="D7" s="200" t="s">
        <v>598</v>
      </c>
      <c r="E7" s="201" t="n">
        <v>0.81129712299257</v>
      </c>
    </row>
    <row r="9" customFormat="false" ht="15" hidden="false" customHeight="false" outlineLevel="0" collapsed="false">
      <c r="B9" s="202" t="s">
        <v>599</v>
      </c>
      <c r="C9" s="203" t="s">
        <v>600</v>
      </c>
      <c r="D9" s="202" t="s">
        <v>601</v>
      </c>
      <c r="E9" s="203" t="s">
        <v>602</v>
      </c>
      <c r="F9" s="202" t="s">
        <v>603</v>
      </c>
      <c r="G9" s="202" t="s">
        <v>604</v>
      </c>
    </row>
    <row r="10" customFormat="false" ht="15" hidden="false" customHeight="false" outlineLevel="0" collapsed="false">
      <c r="B10" s="204" t="n">
        <v>1</v>
      </c>
      <c r="C10" s="205" t="s">
        <v>605</v>
      </c>
      <c r="D10" s="206" t="n">
        <v>45</v>
      </c>
      <c r="E10" s="207" t="n">
        <v>154464.12</v>
      </c>
      <c r="F10" s="208" t="n">
        <f aca="false">E10/E26</f>
        <v>0.376967394068728</v>
      </c>
      <c r="G10" s="209" t="n">
        <f aca="false">E10/D10</f>
        <v>3432.536</v>
      </c>
    </row>
    <row r="11" customFormat="false" ht="15" hidden="false" customHeight="false" outlineLevel="0" collapsed="false">
      <c r="B11" s="204" t="n">
        <v>2</v>
      </c>
      <c r="C11" s="205" t="s">
        <v>606</v>
      </c>
      <c r="D11" s="206" t="n">
        <v>41</v>
      </c>
      <c r="E11" s="207" t="n">
        <v>119072.08</v>
      </c>
      <c r="F11" s="208" t="n">
        <f aca="false">E11/E26</f>
        <v>0.29059364533293</v>
      </c>
      <c r="G11" s="209" t="n">
        <f aca="false">E11/D11</f>
        <v>2904.19707317073</v>
      </c>
    </row>
    <row r="12" customFormat="false" ht="15" hidden="false" customHeight="false" outlineLevel="0" collapsed="false">
      <c r="B12" s="204" t="n">
        <v>3</v>
      </c>
      <c r="C12" s="205" t="s">
        <v>607</v>
      </c>
      <c r="D12" s="206" t="n">
        <v>7</v>
      </c>
      <c r="E12" s="207" t="n">
        <v>58896.52</v>
      </c>
      <c r="F12" s="208" t="n">
        <f aca="false">E12/E26</f>
        <v>0.143736083590912</v>
      </c>
      <c r="G12" s="209" t="n">
        <f aca="false">E12/D12</f>
        <v>8413.78857142857</v>
      </c>
    </row>
    <row r="13" customFormat="false" ht="15" hidden="false" customHeight="false" outlineLevel="0" collapsed="false">
      <c r="B13" s="210" t="n">
        <v>4</v>
      </c>
      <c r="C13" s="211" t="s">
        <v>608</v>
      </c>
      <c r="D13" s="212" t="n">
        <v>54</v>
      </c>
      <c r="E13" s="213" t="n">
        <v>39751.74</v>
      </c>
      <c r="F13" s="214" t="n">
        <f aca="false">E13/E26</f>
        <v>0.0970135319289529</v>
      </c>
      <c r="G13" s="215" t="n">
        <f aca="false">E13/D13</f>
        <v>736.143333333333</v>
      </c>
    </row>
    <row r="14" customFormat="false" ht="15" hidden="false" customHeight="false" outlineLevel="0" collapsed="false">
      <c r="B14" s="210" t="n">
        <v>5</v>
      </c>
      <c r="C14" s="211" t="s">
        <v>609</v>
      </c>
      <c r="D14" s="212" t="n">
        <v>4</v>
      </c>
      <c r="E14" s="213" t="n">
        <v>15612.75</v>
      </c>
      <c r="F14" s="214" t="n">
        <f aca="false">E14/E26</f>
        <v>0.0381026848289851</v>
      </c>
      <c r="G14" s="215" t="n">
        <f aca="false">E14/D14</f>
        <v>3903.1875</v>
      </c>
    </row>
    <row r="15" customFormat="false" ht="15" hidden="false" customHeight="false" outlineLevel="0" collapsed="false">
      <c r="B15" s="210" t="n">
        <v>6</v>
      </c>
      <c r="C15" s="211" t="s">
        <v>610</v>
      </c>
      <c r="D15" s="212" t="n">
        <v>6</v>
      </c>
      <c r="E15" s="213" t="n">
        <v>9741.88</v>
      </c>
      <c r="F15" s="214" t="n">
        <f aca="false">E15/E26</f>
        <v>0.023774913662346</v>
      </c>
      <c r="G15" s="215" t="n">
        <f aca="false">E15/D15</f>
        <v>1623.64666666667</v>
      </c>
    </row>
    <row r="16" customFormat="false" ht="15" hidden="false" customHeight="false" outlineLevel="0" collapsed="false">
      <c r="B16" s="210" t="n">
        <v>7</v>
      </c>
      <c r="C16" s="211" t="s">
        <v>611</v>
      </c>
      <c r="D16" s="212" t="n">
        <v>3</v>
      </c>
      <c r="E16" s="213" t="n">
        <v>5806</v>
      </c>
      <c r="F16" s="214" t="n">
        <f aca="false">E16/E26</f>
        <v>0.0141694568936983</v>
      </c>
      <c r="G16" s="215" t="n">
        <f aca="false">E16/D16</f>
        <v>1935.33333333333</v>
      </c>
    </row>
    <row r="17" customFormat="false" ht="15" hidden="false" customHeight="false" outlineLevel="0" collapsed="false">
      <c r="B17" s="210" t="n">
        <v>8</v>
      </c>
      <c r="C17" s="211" t="s">
        <v>612</v>
      </c>
      <c r="D17" s="212" t="n">
        <v>7</v>
      </c>
      <c r="E17" s="213" t="n">
        <v>1963.11</v>
      </c>
      <c r="F17" s="214" t="n">
        <f aca="false">E17/E26</f>
        <v>0.00479094084095556</v>
      </c>
      <c r="G17" s="215" t="n">
        <f aca="false">E17/D17</f>
        <v>280.444285714286</v>
      </c>
    </row>
    <row r="18" customFormat="false" ht="15" hidden="false" customHeight="false" outlineLevel="0" collapsed="false">
      <c r="B18" s="210" t="n">
        <v>9</v>
      </c>
      <c r="C18" s="211" t="s">
        <v>613</v>
      </c>
      <c r="D18" s="212" t="n">
        <v>2</v>
      </c>
      <c r="E18" s="213" t="n">
        <v>1837.5</v>
      </c>
      <c r="F18" s="214" t="n">
        <f aca="false">E18/E26</f>
        <v>0.00448439149882372</v>
      </c>
      <c r="G18" s="215" t="n">
        <f aca="false">E18/D18</f>
        <v>918.75</v>
      </c>
    </row>
    <row r="19" customFormat="false" ht="15" hidden="false" customHeight="false" outlineLevel="0" collapsed="false">
      <c r="B19" s="210" t="n">
        <v>10</v>
      </c>
      <c r="C19" s="211" t="s">
        <v>614</v>
      </c>
      <c r="D19" s="212" t="n">
        <v>8</v>
      </c>
      <c r="E19" s="213" t="n">
        <v>1038.11</v>
      </c>
      <c r="F19" s="214" t="n">
        <f aca="false">E19/E26</f>
        <v>0.00253349205923477</v>
      </c>
      <c r="G19" s="215" t="n">
        <f aca="false">E19/D19</f>
        <v>129.76375</v>
      </c>
    </row>
    <row r="20" customFormat="false" ht="15" hidden="false" customHeight="false" outlineLevel="0" collapsed="false">
      <c r="B20" s="210" t="n">
        <v>11</v>
      </c>
      <c r="C20" s="211" t="s">
        <v>615</v>
      </c>
      <c r="D20" s="212" t="n">
        <v>1</v>
      </c>
      <c r="E20" s="213" t="n">
        <v>973.75</v>
      </c>
      <c r="F20" s="214" t="n">
        <f aca="false">E20/E26</f>
        <v>0.0023764224337304</v>
      </c>
      <c r="G20" s="215" t="n">
        <f aca="false">E20/D20</f>
        <v>973.75</v>
      </c>
    </row>
    <row r="21" customFormat="false" ht="15" hidden="false" customHeight="false" outlineLevel="0" collapsed="false">
      <c r="B21" s="210" t="n">
        <v>12</v>
      </c>
      <c r="C21" s="211" t="s">
        <v>616</v>
      </c>
      <c r="D21" s="212" t="n">
        <v>2</v>
      </c>
      <c r="E21" s="213" t="n">
        <v>309.58</v>
      </c>
      <c r="F21" s="214" t="n">
        <f aca="false">E21/E26</f>
        <v>0.000755525398751482</v>
      </c>
      <c r="G21" s="215" t="n">
        <f aca="false">E21/D21</f>
        <v>154.79</v>
      </c>
    </row>
    <row r="22" customFormat="false" ht="15" hidden="false" customHeight="false" outlineLevel="0" collapsed="false">
      <c r="B22" s="210" t="n">
        <v>13</v>
      </c>
      <c r="C22" s="211" t="s">
        <v>617</v>
      </c>
      <c r="D22" s="212" t="n">
        <v>1</v>
      </c>
      <c r="E22" s="213" t="n">
        <v>186</v>
      </c>
      <c r="F22" s="214" t="n">
        <f aca="false">E22/E26</f>
        <v>0.000453930241513585</v>
      </c>
      <c r="G22" s="215" t="n">
        <f aca="false">E22/D22</f>
        <v>186</v>
      </c>
    </row>
    <row r="23" customFormat="false" ht="15" hidden="false" customHeight="false" outlineLevel="0" collapsed="false">
      <c r="B23" s="210" t="n">
        <v>14</v>
      </c>
      <c r="C23" s="211" t="s">
        <v>618</v>
      </c>
      <c r="D23" s="212" t="n">
        <v>1</v>
      </c>
      <c r="E23" s="213" t="n">
        <v>69.28</v>
      </c>
      <c r="F23" s="214" t="n">
        <f aca="false">E23/E26</f>
        <v>0.000169076812537963</v>
      </c>
      <c r="G23" s="215" t="n">
        <f aca="false">E23/D23</f>
        <v>69.28</v>
      </c>
    </row>
    <row r="24" customFormat="false" ht="15" hidden="false" customHeight="false" outlineLevel="0" collapsed="false">
      <c r="B24" s="210" t="n">
        <v>15</v>
      </c>
      <c r="C24" s="211" t="s">
        <v>619</v>
      </c>
      <c r="D24" s="212" t="n">
        <v>3</v>
      </c>
      <c r="E24" s="213" t="n">
        <v>18.33</v>
      </c>
      <c r="F24" s="214" t="n">
        <f aca="false">E24/E26</f>
        <v>4.4734093155613E-005</v>
      </c>
      <c r="G24" s="215" t="n">
        <f aca="false">E24/D24</f>
        <v>6.11</v>
      </c>
    </row>
    <row r="25" customFormat="false" ht="15" hidden="false" customHeight="false" outlineLevel="0" collapsed="false">
      <c r="B25" s="210" t="n">
        <v>16</v>
      </c>
      <c r="C25" s="211" t="s">
        <v>620</v>
      </c>
      <c r="D25" s="212" t="n">
        <v>1</v>
      </c>
      <c r="E25" s="213" t="n">
        <v>13.84</v>
      </c>
      <c r="F25" s="214" t="n">
        <f aca="false">E25/E26</f>
        <v>3.37763147448818E-005</v>
      </c>
      <c r="G25" s="215" t="n">
        <f aca="false">E25/D25</f>
        <v>13.84</v>
      </c>
    </row>
    <row r="26" customFormat="false" ht="15" hidden="false" customHeight="false" outlineLevel="0" collapsed="false">
      <c r="B26" s="216" t="s">
        <v>95</v>
      </c>
      <c r="C26" s="216"/>
      <c r="D26" s="217" t="n">
        <f aca="false">SUM(D10:D25)</f>
        <v>186</v>
      </c>
      <c r="E26" s="218" t="n">
        <f aca="false">SUM(E10:E25)</f>
        <v>409754.59</v>
      </c>
      <c r="F26" s="219" t="n">
        <f aca="false">SUM(F10:F25)</f>
        <v>1</v>
      </c>
      <c r="G26" s="218" t="n">
        <f aca="false">E26/D26</f>
        <v>2202.98166666667</v>
      </c>
    </row>
    <row r="28" customFormat="false" ht="15" hidden="false" customHeight="false" outlineLevel="0" collapsed="false">
      <c r="B28" s="220" t="s">
        <v>621</v>
      </c>
      <c r="C28" s="220"/>
      <c r="D28" s="220"/>
      <c r="E28" s="220"/>
      <c r="F28" s="220"/>
      <c r="G28" s="220"/>
    </row>
    <row r="29" customFormat="false" ht="15" hidden="false" customHeight="false" outlineLevel="0" collapsed="false">
      <c r="B29" s="221" t="s">
        <v>622</v>
      </c>
      <c r="E29" s="222" t="n">
        <v>408537.07</v>
      </c>
    </row>
    <row r="30" customFormat="false" ht="15" hidden="false" customHeight="false" outlineLevel="0" collapsed="false">
      <c r="B30" s="221" t="s">
        <v>623</v>
      </c>
      <c r="E30" s="222" t="n">
        <f aca="false">E26</f>
        <v>409754.59</v>
      </c>
    </row>
    <row r="31" customFormat="false" ht="15" hidden="false" customHeight="false" outlineLevel="0" collapsed="false">
      <c r="B31" s="221" t="s">
        <v>624</v>
      </c>
      <c r="E31" s="223" t="n">
        <f aca="false">E30-E29</f>
        <v>1217.51999999996</v>
      </c>
      <c r="F31" s="224" t="n">
        <f aca="false">E31/E29</f>
        <v>0.00298019467364359</v>
      </c>
    </row>
    <row r="32" customFormat="false" ht="15" hidden="false" customHeight="false" outlineLevel="0" collapsed="false">
      <c r="B32" s="197" t="s">
        <v>625</v>
      </c>
      <c r="C32" s="197"/>
      <c r="D32" s="197"/>
      <c r="E32" s="197"/>
      <c r="F32" s="197"/>
      <c r="G32" s="197"/>
    </row>
    <row r="34" customFormat="false" ht="15" hidden="false" customHeight="false" outlineLevel="0" collapsed="false">
      <c r="B34" s="225" t="s">
        <v>41</v>
      </c>
    </row>
    <row r="35" customFormat="false" ht="15" hidden="false" customHeight="false" outlineLevel="0" collapsed="false">
      <c r="B35" s="197" t="s">
        <v>626</v>
      </c>
      <c r="C35" s="197"/>
      <c r="D35" s="197"/>
      <c r="E35" s="197"/>
      <c r="F35" s="197"/>
      <c r="G35" s="197"/>
    </row>
    <row r="36" customFormat="false" ht="15" hidden="false" customHeight="false" outlineLevel="0" collapsed="false">
      <c r="B36" s="197" t="s">
        <v>627</v>
      </c>
      <c r="C36" s="197"/>
      <c r="D36" s="197"/>
      <c r="E36" s="197"/>
      <c r="F36" s="197"/>
      <c r="G36" s="197"/>
    </row>
    <row r="37" customFormat="false" ht="15" hidden="false" customHeight="false" outlineLevel="0" collapsed="false">
      <c r="B37" s="197" t="s">
        <v>628</v>
      </c>
      <c r="C37" s="197"/>
      <c r="D37" s="197"/>
      <c r="E37" s="197"/>
      <c r="F37" s="197"/>
      <c r="G37" s="197"/>
    </row>
  </sheetData>
  <mergeCells count="9">
    <mergeCell ref="B2:G2"/>
    <mergeCell ref="B3:G3"/>
    <mergeCell ref="B4:G4"/>
    <mergeCell ref="B26:C26"/>
    <mergeCell ref="B28:G28"/>
    <mergeCell ref="B32:G32"/>
    <mergeCell ref="B35:G35"/>
    <mergeCell ref="B36:G36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2026-04-07T21:16:24Z</dcterms:created>
  <dc:creator>openpyxl</dc:creator>
  <dc:description/>
  <dc:language>en-US</dc:language>
  <cp:lastModifiedBy/>
  <dcterms:modified xsi:type="dcterms:W3CDTF">2026-04-11T13:21:56Z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