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omparison Matrix" sheetId="2" state="visible" r:id="rId4"/>
    <sheet name="Value Conflicts" sheetId="3" state="visible" r:id="rId5"/>
    <sheet name="Missing from Notion" sheetId="4" state="visible" r:id="rId6"/>
    <sheet name="Notion Extras" sheetId="5" state="visible" r:id="rId7"/>
    <sheet name="Reconciliation A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<sst xmlns="http://schemas.openxmlformats.org/spreadsheetml/2006/main" count="1139" uniqueCount="700">
  <si>
    <t xml:space="preserve">JCR v3 SCHEMA vs NOTION 2012 DOC — AUDIT &amp; RECONCILIATION</t>
  </si>
  <si>
    <t xml:space="preserve">Sam Axiom (JCR DRAFT SCHEMA AND TEST LABEL, GDrive) vs OWP_2012_JCR_Summary_Notion.xlsx</t>
  </si>
  <si>
    <t xml:space="preserve">TOTAL SAM FIELDS</t>
  </si>
  <si>
    <t xml:space="preserve">PRESENT</t>
  </si>
  <si>
    <t xml:space="preserve">PARTIAL</t>
  </si>
  <si>
    <t xml:space="preserve">CONFLICT</t>
  </si>
  <si>
    <t xml:space="preserve">MISSING</t>
  </si>
  <si>
    <t xml:space="preserve">NOTION-ONLY EXTRAS</t>
  </si>
  <si>
    <t xml:space="preserve">BOTTOM LINE</t>
  </si>
  <si>
    <t xml:space="preserve">● OVERLAP — Steven's Notion doc covers ~80% of Sam's canonical schema by field count, and 100% of the core job totals. All $/%/hr-level grand totals tie out (rev $1.39M, direct cost $858K, net profit $533K, 42 workers, 14,607 hrs, $390.8K material, $408.5K AP).</t>
  </si>
  <si>
    <t xml:space="preserve">● GAPS — The biggest gap is line-item drill-down. Sam's schema carries 2,826 transaction rows with ref/dates/checks/per-line retainage. Notion rolls up to 32 cost-code summaries + 42 worker rollups + 16 vendor rollups. Per-transaction traceability is absent.</t>
  </si>
  <si>
    <t xml:space="preserve">● STRUCTURAL DIFF — Sam separates original_budget vs revised_budget. Notion uses a single BUDGET column. On code 607 (Other Expenses) this matters: original $25,600 vs revised $10,000 — Notion shows $25,600, Sam shows $10,000. Drives the $7,334 total_budget delta.</t>
  </si>
  <si>
    <t xml:space="preserve">● CRITICAL BUG IN SAM — Sam's DERIVED section has a systemic sign-convention error in material_codes_over/under, phases_over/under, largest_overrun, largest_savings, and largest_material_overrun/savings. Labels are swapped relative to plus_minus_budget data values. Notion is correct.</t>
  </si>
  <si>
    <t xml:space="preserve">● LABOR-WAGE CONVENTION DIFF — Sam's blended_gross_wage uses PR-source total ($439,954 / 14,652 = $30.03). Notion uses per-worker wages total ($291,364 / 14,608 = $19.94). $10 wage delta flows into burden_multiplier, fully_loaded, labor_to_material ratio. Pick one convention.</t>
  </si>
  <si>
    <t xml:space="preserve">● NOTION EXTRAS — Notion adds 50+ fields Sam doesn't define: fixture_count, fixtures/unit, per-unit and per-fixture benchmarks, throughput/velocity (units-per-month, hrs-per-month), tier breakdowns with rate bands, vendor concentration (top-3 80.3%), narrative Insights (9 blocks), 7-table Reconciliation proof.</t>
  </si>
  <si>
    <t xml:space="preserve">● RECOMMENDATION — Add Sam's line_items and per-code net_due/retainage/OT-split to Notion. Fix Sam's derived-field sign bugs. Align on revised_budget (not original) as canonical. Align on PR-source vs per-worker wages convention. See "Reconciliation Actions" tab.</t>
  </si>
  <si>
    <t xml:space="preserve">SOURCES</t>
  </si>
  <si>
    <t xml:space="preserve">Sam · JCR Schema — v3.xlsx (GDrive file ID 1frk_heb6NA1CGCPCsUM-z7srgTCQGFQj)</t>
  </si>
  <si>
    <t xml:space="preserve">Sam · JCR Test Labels — Job 2012.xlsx (GDrive file ID 1nNwtbS6sbX0oQOHYyeoomGeT4zQiazKb)</t>
  </si>
  <si>
    <t xml:space="preserve">Steven · OWP_2012_JCR_Summary_Notion.xlsx (local: owp-2012/cortex output files/)</t>
  </si>
  <si>
    <t xml:space="preserve">Underlying source: 2012 Job Detail Report.pdf (135 pages, OWP LLC, exported Apr 3 2026)</t>
  </si>
  <si>
    <t xml:space="preserve">Layer</t>
  </si>
  <si>
    <t xml:space="preserve">Sam v3 Canonical Field</t>
  </si>
  <si>
    <t xml:space="preserve">Sam Definition</t>
  </si>
  <si>
    <t xml:space="preserve">Notion Location</t>
  </si>
  <si>
    <t xml:space="preserve">Notion Value / Expression</t>
  </si>
  <si>
    <t xml:space="preserve">Status</t>
  </si>
  <si>
    <t xml:space="preserve">Notes / Reconciliation</t>
  </si>
  <si>
    <t xml:space="preserve">INHERITED</t>
  </si>
  <si>
    <t xml:space="preserve">job_number</t>
  </si>
  <si>
    <t xml:space="preserve">Job # from JDR header</t>
  </si>
  <si>
    <t xml:space="preserve">Overview → "Project ID"</t>
  </si>
  <si>
    <t xml:space="preserve">Job #2012</t>
  </si>
  <si>
    <t xml:space="preserve">Direct 1:1 match</t>
  </si>
  <si>
    <t xml:space="preserve">job_name</t>
  </si>
  <si>
    <t xml:space="preserve">Project name from JDR</t>
  </si>
  <si>
    <t xml:space="preserve">Overview → title block</t>
  </si>
  <si>
    <t xml:space="preserve">Exxel 8th Ave Apartments</t>
  </si>
  <si>
    <t xml:space="preserve">Notion carries richer name ("Apartments" suffix); reconciles</t>
  </si>
  <si>
    <t xml:space="preserve">report_date</t>
  </si>
  <si>
    <t xml:space="preserve">Snapshot date of the JDR</t>
  </si>
  <si>
    <t xml:space="preserve">Overview → SOURCES footer</t>
  </si>
  <si>
    <t xml:space="preserve">exported Apr 3, 2026</t>
  </si>
  <si>
    <t xml:space="preserve">Notion embeds in source note, not a structured field. Sam has 2020-06-30 as report_date. ADD structured report_date field.</t>
  </si>
  <si>
    <t xml:space="preserve">LINE_ITEMS (2,826 txns)</t>
  </si>
  <si>
    <t xml:space="preserve">line_items[].cost_code</t>
  </si>
  <si>
    <t xml:space="preserve">Cost code per transaction</t>
  </si>
  <si>
    <t xml:space="preserve">BvA → rolled up only</t>
  </si>
  <si>
    <t xml:space="preserve">rollup, not per-txn</t>
  </si>
  <si>
    <t xml:space="preserve">Notion rolls up to phase-level; does not carry per-transaction drill-down</t>
  </si>
  <si>
    <t xml:space="preserve">LINE_ITEMS</t>
  </si>
  <si>
    <t xml:space="preserve">line_items[].description</t>
  </si>
  <si>
    <t xml:space="preserve">Cost code description</t>
  </si>
  <si>
    <t xml:space="preserve">line_items[].original_budget</t>
  </si>
  <si>
    <t xml:space="preserve">Original budget (per-line repeated)</t>
  </si>
  <si>
    <t xml:space="preserve">BvA → BUDGET column (single col, not split)</t>
  </si>
  <si>
    <t xml:space="preserve">combined into one "BUDGET"</t>
  </si>
  <si>
    <t xml:space="preserve">Notion collapses original/revised into one BUDGET column — see critical conflict on 607/230</t>
  </si>
  <si>
    <t xml:space="preserve">line_items[].revised_budget</t>
  </si>
  <si>
    <t xml:space="preserve">Revised budget (per-line repeated)</t>
  </si>
  <si>
    <t xml:space="preserve">BvA → BUDGET column (not distinguished)</t>
  </si>
  <si>
    <t xml:space="preserve">not distinguished</t>
  </si>
  <si>
    <t xml:space="preserve">CRITICAL: original vs revised not separated</t>
  </si>
  <si>
    <t xml:space="preserve">line_items[].plus_minus_budget</t>
  </si>
  <si>
    <t xml:space="preserve">Variance per line</t>
  </si>
  <si>
    <t xml:space="preserve">BvA → VARIANCE ($)</t>
  </si>
  <si>
    <t xml:space="preserve">$ variance per phase</t>
  </si>
  <si>
    <t xml:space="preserve">line_items[].source</t>
  </si>
  <si>
    <t xml:space="preserve">Src enum (PR|AP|AR|GL)</t>
  </si>
  <si>
    <t xml:space="preserve">Cost Breakdown tab</t>
  </si>
  <si>
    <t xml:space="preserve">PR/AP/GL rollup</t>
  </si>
  <si>
    <t xml:space="preserve">Rolled up to source-level totals; no per-txn source tagging</t>
  </si>
  <si>
    <t xml:space="preserve">line_items[].ref_number</t>
  </si>
  <si>
    <t xml:space="preserve">Invoice / voucher / payroll ref #</t>
  </si>
  <si>
    <t xml:space="preserve">—</t>
  </si>
  <si>
    <t xml:space="preserve">Not tracked anywhere in Notion doc</t>
  </si>
  <si>
    <t xml:space="preserve">line_items[].document_date</t>
  </si>
  <si>
    <t xml:space="preserve">Invoice / payroll date</t>
  </si>
  <si>
    <t xml:space="preserve">Not tracked</t>
  </si>
  <si>
    <t xml:space="preserve">line_items[].posted_date</t>
  </si>
  <si>
    <t xml:space="preserve">Sage post date</t>
  </si>
  <si>
    <t xml:space="preserve">line_items[].number</t>
  </si>
  <si>
    <t xml:space="preserve">Worker ID or vendor ID</t>
  </si>
  <si>
    <t xml:space="preserve">Crew Analytics → ID (PR only)</t>
  </si>
  <si>
    <t xml:space="preserve">PR worker IDs</t>
  </si>
  <si>
    <t xml:space="preserve">Notion captures PR worker IDs; AP vendor IDs not separately tracked</t>
  </si>
  <si>
    <t xml:space="preserve">line_items[].name</t>
  </si>
  <si>
    <t xml:space="preserve">Worker name / vendor name</t>
  </si>
  <si>
    <t xml:space="preserve">Crew Analytics → WORKER; Vendors → VENDOR</t>
  </si>
  <si>
    <t xml:space="preserve">full PR + AP name rollups</t>
  </si>
  <si>
    <t xml:space="preserve">Captured as per-worker + per-vendor aggregate rows</t>
  </si>
  <si>
    <t xml:space="preserve">line_items[].regular_hours</t>
  </si>
  <si>
    <t xml:space="preserve">Reg hrs per txn</t>
  </si>
  <si>
    <t xml:space="preserve">Crew Analytics → REG HRS (per worker)</t>
  </si>
  <si>
    <t xml:space="preserve">per-worker rollup</t>
  </si>
  <si>
    <t xml:space="preserve">Aggregated to worker + cost code, not per-transaction</t>
  </si>
  <si>
    <t xml:space="preserve">line_items[].overtime_hours</t>
  </si>
  <si>
    <t xml:space="preserve">OT hrs per txn</t>
  </si>
  <si>
    <t xml:space="preserve">Crew Analytics → OT HRS (per worker)</t>
  </si>
  <si>
    <t xml:space="preserve">Aggregated only</t>
  </si>
  <si>
    <t xml:space="preserve">line_items[].regular_amount</t>
  </si>
  <si>
    <t xml:space="preserve">Reg wage amount per txn</t>
  </si>
  <si>
    <t xml:space="preserve">Crew Analytics → WAGES ($)</t>
  </si>
  <si>
    <t xml:space="preserve">line_items[].overtime_amount</t>
  </si>
  <si>
    <t xml:space="preserve">OT wage amount per txn</t>
  </si>
  <si>
    <t xml:space="preserve">not split out</t>
  </si>
  <si>
    <t xml:space="preserve">OT $ not tracked separately from regular wages at worker level</t>
  </si>
  <si>
    <t xml:space="preserve">line_items[].actual_amount</t>
  </si>
  <si>
    <t xml:space="preserve">Total actual cost per txn</t>
  </si>
  <si>
    <t xml:space="preserve">BvA → ACTUAL (rollup)</t>
  </si>
  <si>
    <t xml:space="preserve">rollup</t>
  </si>
  <si>
    <t xml:space="preserve">line_items[].check_number</t>
  </si>
  <si>
    <t xml:space="preserve">Check # for PR or voucher #</t>
  </si>
  <si>
    <t xml:space="preserve">line_items[].net_due</t>
  </si>
  <si>
    <t xml:space="preserve">Net due from AR invoice</t>
  </si>
  <si>
    <t xml:space="preserve">Not per-line; only aggregate</t>
  </si>
  <si>
    <t xml:space="preserve">line_items[].retainage</t>
  </si>
  <si>
    <t xml:space="preserve">Retainage held per line</t>
  </si>
  <si>
    <t xml:space="preserve">Overview → "$69,573 (5%)" aggregate only</t>
  </si>
  <si>
    <t xml:space="preserve">single total</t>
  </si>
  <si>
    <t xml:space="preserve">Retainage is aggregate only, not per-line</t>
  </si>
  <si>
    <t xml:space="preserve">COST_CODE_SUMMARIES (32 codes)</t>
  </si>
  <si>
    <t xml:space="preserve">cost_code_summaries[].cost_code</t>
  </si>
  <si>
    <t xml:space="preserve">Cost code</t>
  </si>
  <si>
    <t xml:space="preserve">BvA → PHASE (code prefix)</t>
  </si>
  <si>
    <t xml:space="preserve">32 codes</t>
  </si>
  <si>
    <t xml:space="preserve">COST_CODE_SUMMARIES</t>
  </si>
  <si>
    <t xml:space="preserve">cost_code_summaries[].description</t>
  </si>
  <si>
    <t xml:space="preserve">Description</t>
  </si>
  <si>
    <t xml:space="preserve">BvA → PHASE (suffix)</t>
  </si>
  <si>
    <t xml:space="preserve">32 descriptions</t>
  </si>
  <si>
    <t xml:space="preserve">cost_code_summaries[].original_budget</t>
  </si>
  <si>
    <t xml:space="preserve">Original budget</t>
  </si>
  <si>
    <t xml:space="preserve">BvA → BUDGET (collapsed)</t>
  </si>
  <si>
    <t xml:space="preserve">collapsed</t>
  </si>
  <si>
    <t xml:space="preserve">Original + Revised not split (see note)</t>
  </si>
  <si>
    <t xml:space="preserve">cost_code_summaries[].revised_budget</t>
  </si>
  <si>
    <t xml:space="preserve">Revised budget</t>
  </si>
  <si>
    <t xml:space="preserve">cost_code_summaries[].plus_minus_budget</t>
  </si>
  <si>
    <t xml:space="preserve">Variance ($)</t>
  </si>
  <si>
    <t xml:space="preserve">matches 32 codes</t>
  </si>
  <si>
    <t xml:space="preserve">cost_code_summaries[].actual_amount</t>
  </si>
  <si>
    <t xml:space="preserve">Actual JTD</t>
  </si>
  <si>
    <t xml:space="preserve">BvA → ACTUAL</t>
  </si>
  <si>
    <t xml:space="preserve">cost_code_summaries[].net_due</t>
  </si>
  <si>
    <t xml:space="preserve">Net due per code</t>
  </si>
  <si>
    <t xml:space="preserve">not tracked</t>
  </si>
  <si>
    <t xml:space="preserve">Not per-code; only job-level aggregate</t>
  </si>
  <si>
    <t xml:space="preserve">cost_code_summaries[].retainage</t>
  </si>
  <si>
    <t xml:space="preserve">Retainage per code</t>
  </si>
  <si>
    <t xml:space="preserve">aggregate only ($69,573)</t>
  </si>
  <si>
    <t xml:space="preserve">Per-code retainage not tracked</t>
  </si>
  <si>
    <t xml:space="preserve">cost_code_summaries[].regular_hours</t>
  </si>
  <si>
    <t xml:space="preserve">Reg hours per code</t>
  </si>
  <si>
    <t xml:space="preserve">BvA → HOURS (combined)</t>
  </si>
  <si>
    <t xml:space="preserve">reg+OT combined</t>
  </si>
  <si>
    <t xml:space="preserve">Notion combines reg + OT into single HOURS column</t>
  </si>
  <si>
    <t xml:space="preserve">cost_code_summaries[].overtime_hours</t>
  </si>
  <si>
    <t xml:space="preserve">OT hours per code</t>
  </si>
  <si>
    <t xml:space="preserve">not separated</t>
  </si>
  <si>
    <t xml:space="preserve">OT hrs merged with reg at code level</t>
  </si>
  <si>
    <t xml:space="preserve">cost_code_summaries[].doubletime_hours</t>
  </si>
  <si>
    <t xml:space="preserve">DT hours per code</t>
  </si>
  <si>
    <t xml:space="preserve">DT not tracked; Sam shows no DT on 2012 anyway</t>
  </si>
  <si>
    <t xml:space="preserve">JOB_TOTALS</t>
  </si>
  <si>
    <t xml:space="preserve">job_totals_revenue</t>
  </si>
  <si>
    <t xml:space="preserve">Revenue (999 cost code)</t>
  </si>
  <si>
    <t xml:space="preserve">Overview hero → CONTRACT VALUE</t>
  </si>
  <si>
    <t xml:space="preserve">$1,391,455</t>
  </si>
  <si>
    <t xml:space="preserve">Exact match</t>
  </si>
  <si>
    <t xml:space="preserve">job_totals_expenses</t>
  </si>
  <si>
    <t xml:space="preserve">Direct cost (PR+AP+GL)</t>
  </si>
  <si>
    <t xml:space="preserve">Overview hero → DIRECT COST</t>
  </si>
  <si>
    <t xml:space="preserve">$858,181</t>
  </si>
  <si>
    <t xml:space="preserve">Matches Sam $858,180.70 within $1 rounding</t>
  </si>
  <si>
    <t xml:space="preserve">job_totals_net</t>
  </si>
  <si>
    <t xml:space="preserve">Net profit</t>
  </si>
  <si>
    <t xml:space="preserve">Overview hero → NET PROFIT</t>
  </si>
  <si>
    <t xml:space="preserve">$533,274</t>
  </si>
  <si>
    <t xml:space="preserve">job_totals_net_due</t>
  </si>
  <si>
    <t xml:space="preserve">Net due aggregate</t>
  </si>
  <si>
    <t xml:space="preserve">Sam shows "-" so value is 0; Notion has no slot</t>
  </si>
  <si>
    <t xml:space="preserve">job_totals_retainage</t>
  </si>
  <si>
    <t xml:space="preserve">Retainage aggregate</t>
  </si>
  <si>
    <t xml:space="preserve">Overview → "Retainage Held"</t>
  </si>
  <si>
    <t xml:space="preserve">$69,573</t>
  </si>
  <si>
    <t xml:space="preserve">Matches Sam $69,572.75</t>
  </si>
  <si>
    <t xml:space="preserve">job_totals_by_source</t>
  </si>
  <si>
    <t xml:space="preserve">PR/AP/GL/AR breakdown</t>
  </si>
  <si>
    <t xml:space="preserve">PR $439,954 / AP $408,537 / GL $9,690</t>
  </si>
  <si>
    <t xml:space="preserve">PR+AP+GL all match; Notion omits AR line but that = revenue so OK</t>
  </si>
  <si>
    <t xml:space="preserve">DERIVED·Source</t>
  </si>
  <si>
    <t xml:space="preserve">cost_by_source_pr_amount</t>
  </si>
  <si>
    <t xml:space="preserve">SUM(actual WHERE src=PR)</t>
  </si>
  <si>
    <t xml:space="preserve">Cost Breakdown → Payroll (PR)</t>
  </si>
  <si>
    <t xml:space="preserve">$439,954</t>
  </si>
  <si>
    <t xml:space="preserve">cost_by_source_ap_amount</t>
  </si>
  <si>
    <t xml:space="preserve">SUM(actual WHERE src=AP)</t>
  </si>
  <si>
    <t xml:space="preserve">Cost Breakdown → Accounts Payable</t>
  </si>
  <si>
    <t xml:space="preserve">$408,537</t>
  </si>
  <si>
    <t xml:space="preserve">cost_by_source_gl_amount</t>
  </si>
  <si>
    <t xml:space="preserve">SUM(actual WHERE src=GL)</t>
  </si>
  <si>
    <t xml:space="preserve">Cost Breakdown → General Ledger</t>
  </si>
  <si>
    <t xml:space="preserve">$9,690</t>
  </si>
  <si>
    <t xml:space="preserve">direct_cost</t>
  </si>
  <si>
    <t xml:space="preserve">PR+AP+GL</t>
  </si>
  <si>
    <t xml:space="preserve">Overview hero + Cost Breakdown total</t>
  </si>
  <si>
    <t xml:space="preserve">net_profit</t>
  </si>
  <si>
    <t xml:space="preserve">abs(rev) − direct_cost</t>
  </si>
  <si>
    <t xml:space="preserve">pr_pct_of_revenue</t>
  </si>
  <si>
    <t xml:space="preserve">PR ÷ abs(revenue)</t>
  </si>
  <si>
    <t xml:space="preserve">Benchmark KPIs → labor_pct_of_revenue</t>
  </si>
  <si>
    <t xml:space="preserve">31.6%</t>
  </si>
  <si>
    <t xml:space="preserve">ap_pct_of_revenue</t>
  </si>
  <si>
    <t xml:space="preserve">AP ÷ abs(revenue)</t>
  </si>
  <si>
    <t xml:space="preserve">Benchmark KPIs → material_pct_of_revenue</t>
  </si>
  <si>
    <t xml:space="preserve">29.4%</t>
  </si>
  <si>
    <t xml:space="preserve">Note: Notion labels as "material" — includes 6xx subs; 99% same semantics</t>
  </si>
  <si>
    <t xml:space="preserve">direct_cost_pct_of_revenue</t>
  </si>
  <si>
    <t xml:space="preserve">Complement of gross margin</t>
  </si>
  <si>
    <t xml:space="preserve">Overview hero → "61.7% of revenue"</t>
  </si>
  <si>
    <t xml:space="preserve">61.7%</t>
  </si>
  <si>
    <t xml:space="preserve">DERIVED·Labor</t>
  </si>
  <si>
    <t xml:space="preserve">total_labor_hours</t>
  </si>
  <si>
    <t xml:space="preserve">Reg+OT hrs, PR only</t>
  </si>
  <si>
    <t xml:space="preserve">Benchmark KPIs → total_labor_hours</t>
  </si>
  <si>
    <t xml:space="preserve">14,607</t>
  </si>
  <si>
    <t xml:space="preserve">Sam: 14,652.25 (parsed line items) vs Notion 14,607 (cost-code rollup). 45 hr diff — "within tolerance" per Reconciliation tab</t>
  </si>
  <si>
    <t xml:space="preserve">blended_gross_wage</t>
  </si>
  <si>
    <t xml:space="preserve">PR cost total ÷ total_labor_hrs</t>
  </si>
  <si>
    <t xml:space="preserve">Crew &amp; Labor → Gross wages</t>
  </si>
  <si>
    <t xml:space="preserve">$19.94/hr</t>
  </si>
  <si>
    <t xml:space="preserve">Sam: $30.03 (PR cost-source total $439,954 ÷ 14,652). Notion: $19.94 (PR line-item wages $291,364 ÷ 14,608). Different numerators — Notion excludes PR cost lines that are not per-worker wages (e.g. allocated costs). SEE RECONCILIATION.</t>
  </si>
  <si>
    <t xml:space="preserve">fully_loaded_wage</t>
  </si>
  <si>
    <t xml:space="preserve">(PR + burden) ÷ hrs</t>
  </si>
  <si>
    <t xml:space="preserve">Crew &amp; Labor → Fully loaded rate</t>
  </si>
  <si>
    <t xml:space="preserve">$30.12/hr</t>
  </si>
  <si>
    <t xml:space="preserve">Sam: $40.17. Notion: $30.12. Same root-cause as blended_gross_wage — Notion uses per-worker wages; Sam uses PR cost-source total.</t>
  </si>
  <si>
    <t xml:space="preserve">burden_multiplier</t>
  </si>
  <si>
    <t xml:space="preserve">loaded ÷ gross</t>
  </si>
  <si>
    <t xml:space="preserve">Crew &amp; Labor → Burden multiplier</t>
  </si>
  <si>
    <t xml:space="preserve">1.51x</t>
  </si>
  <si>
    <t xml:space="preserve">Sam: 1.34x. Downstream of wage basis mismatch — pick one convention.</t>
  </si>
  <si>
    <t xml:space="preserve">total_workers</t>
  </si>
  <si>
    <t xml:space="preserve">COUNT DISTINCT(name, PR)</t>
  </si>
  <si>
    <t xml:space="preserve">Benchmark KPIs → total_workers</t>
  </si>
  <si>
    <t xml:space="preserve">42</t>
  </si>
  <si>
    <t xml:space="preserve">lead_to_helper_ratio</t>
  </si>
  <si>
    <t xml:space="preserve">Supervision ÷ production hrs</t>
  </si>
  <si>
    <t xml:space="preserve">Benchmark KPIs → lead_to_helper_ratio</t>
  </si>
  <si>
    <t xml:space="preserve">5 : 37</t>
  </si>
  <si>
    <t xml:space="preserve">Sam: "1:42" (defined as supervision hrs / production hrs). Notion: "5:37" (Lead+Journeyman counts / Helper counts — categorical, not hours). Different definitions.</t>
  </si>
  <si>
    <t xml:space="preserve">burden_total</t>
  </si>
  <si>
    <t xml:space="preserve">SUM actual codes 995+998</t>
  </si>
  <si>
    <t xml:space="preserve">BvA → 995 $126,300 + 998 $22,289 (computed)</t>
  </si>
  <si>
    <t xml:space="preserve">$148,589</t>
  </si>
  <si>
    <t xml:space="preserve">Not called out as single metric; derivable from BvA</t>
  </si>
  <si>
    <t xml:space="preserve">DERIVED·Material</t>
  </si>
  <si>
    <t xml:space="preserve">material_spend_total</t>
  </si>
  <si>
    <t xml:space="preserve">SUM actual codes 2xx+039</t>
  </si>
  <si>
    <t xml:space="preserve">Benchmark KPIs → material_spend_total</t>
  </si>
  <si>
    <t xml:space="preserve">$390,751</t>
  </si>
  <si>
    <t xml:space="preserve">material_budget_total</t>
  </si>
  <si>
    <t xml:space="preserve">SUM revised budget 2xx+039</t>
  </si>
  <si>
    <t xml:space="preserve">Benchmark KPIs → material_budget_total</t>
  </si>
  <si>
    <t xml:space="preserve">$553,400</t>
  </si>
  <si>
    <t xml:space="preserve">material_codes_tracked</t>
  </si>
  <si>
    <t xml:space="preserve">COUNT material cost codes</t>
  </si>
  <si>
    <t xml:space="preserve">Benchmark KPIs → material_codes_tracked</t>
  </si>
  <si>
    <t xml:space="preserve">11</t>
  </si>
  <si>
    <t xml:space="preserve">material_codes_over_budget</t>
  </si>
  <si>
    <t xml:space="preserve">COUNT plus_minus&lt;0</t>
  </si>
  <si>
    <t xml:space="preserve">Benchmark KPIs → material_codes_over_budget</t>
  </si>
  <si>
    <t xml:space="preserve">2</t>
  </si>
  <si>
    <t xml:space="preserve">Sam: 9. Notion: 2. BUG in Sam schema — his formula says "plus_minus&lt;0" means over, but data convention is plus_minus=(actual-budget) where positive = over. Sam has sign-convention error. Notion (2) is correct.</t>
  </si>
  <si>
    <t xml:space="preserve">material_codes_under_budget</t>
  </si>
  <si>
    <t xml:space="preserve">COUNT plus_minus&gt;=0</t>
  </si>
  <si>
    <t xml:space="preserve">Benchmark KPIs → material_codes_under_budget</t>
  </si>
  <si>
    <t xml:space="preserve">9</t>
  </si>
  <si>
    <t xml:space="preserve">Sam: 2. Notion: 9. SAME sign-convention bug in Sam (flipped labels).</t>
  </si>
  <si>
    <t xml:space="preserve">largest_material_overrun</t>
  </si>
  <si>
    <t xml:space="preserve">Biggest over-budget material code</t>
  </si>
  <si>
    <t xml:space="preserve">Benchmark KPIs → largest_material_overrun</t>
  </si>
  <si>
    <t xml:space="preserve">+89% (242 Mech Room)</t>
  </si>
  <si>
    <t xml:space="preserve">Sam: "220 Roughin $94K vs $161K" — but that is SAVINGS (under), not overrun. BUG in Sam. Notion is correct (242 Mech Room $22.7K vs $12K = +89%).</t>
  </si>
  <si>
    <t xml:space="preserve">largest_material_savings</t>
  </si>
  <si>
    <t xml:space="preserve">Biggest under-budget material code</t>
  </si>
  <si>
    <t xml:space="preserve">Benchmark KPIs → largest_material_savings</t>
  </si>
  <si>
    <t xml:space="preserve">−42% (220 Roughin)</t>
  </si>
  <si>
    <t xml:space="preserve">Sam: "242 Mech Room" — but that is overrun, not savings. BUG (label swap). Notion correct (220 Roughin $67K under).</t>
  </si>
  <si>
    <t xml:space="preserve">material_vendor_count</t>
  </si>
  <si>
    <t xml:space="preserve">COUNT DISTINCT(name, src=AP)</t>
  </si>
  <si>
    <t xml:space="preserve">Benchmark KPIs → material_vendor_count</t>
  </si>
  <si>
    <t xml:space="preserve">17</t>
  </si>
  <si>
    <t xml:space="preserve">Match (Notion Vendors tab shows 16 due to one merged sub; 17 in Benchmark KPIs)</t>
  </si>
  <si>
    <t xml:space="preserve">top_vendor_spend</t>
  </si>
  <si>
    <t xml:space="preserve">Highest AP spend vendor</t>
  </si>
  <si>
    <t xml:space="preserve">Benchmark KPIs → top_vendor_spend / Vendors</t>
  </si>
  <si>
    <t xml:space="preserve">Keller Supply $150,008 / 37%</t>
  </si>
  <si>
    <t xml:space="preserve">Matches Sam $150,008 @ 37%. Vendors tab shows $154,464 — $4K diff from credit memos.</t>
  </si>
  <si>
    <t xml:space="preserve">DERIVED·Phase</t>
  </si>
  <si>
    <t xml:space="preserve">phases_over_budget</t>
  </si>
  <si>
    <t xml:space="preserve">COUNT phases plus_minus&lt;0</t>
  </si>
  <si>
    <t xml:space="preserve">Benchmark KPIs → phases_over_budget</t>
  </si>
  <si>
    <t xml:space="preserve">4</t>
  </si>
  <si>
    <t xml:space="preserve">Sam: 9. Notion: 4 (Roughin, Finish, Garage, Mech Room — labor only). Sam counts all cost codes. Notion only counts labor phases. Definition mismatch + Sam sign bug.</t>
  </si>
  <si>
    <t xml:space="preserve">phases_under_budget</t>
  </si>
  <si>
    <t xml:space="preserve">COUNT phases plus_minus&gt;=0</t>
  </si>
  <si>
    <t xml:space="preserve">Benchmark KPIs → phases_under_budget</t>
  </si>
  <si>
    <t xml:space="preserve">Same universe/sign issue.</t>
  </si>
  <si>
    <t xml:space="preserve">largest_overrun</t>
  </si>
  <si>
    <t xml:space="preserve">Phase with biggest neg variance</t>
  </si>
  <si>
    <t xml:space="preserve">Benchmark KPIs → largest_overrun</t>
  </si>
  <si>
    <t xml:space="preserve">+178% (142 Mech Room Labor)</t>
  </si>
  <si>
    <t xml:space="preserve">Sam: "141 Water Main $15,756 vs $41,000" — that is $25K SAVINGS not overrun. BUG. Notion correct (Mech Room Labor 178% over).</t>
  </si>
  <si>
    <t xml:space="preserve">largest_savings</t>
  </si>
  <si>
    <t xml:space="preserve">Phase with biggest pos variance</t>
  </si>
  <si>
    <t xml:space="preserve">Benchmark KPIs → largest_savings</t>
  </si>
  <si>
    <t xml:space="preserve">−66% (145 Tub/Shower Labor)</t>
  </si>
  <si>
    <t xml:space="preserve">Sam: "120 Roughin Labor: $177K vs $140K (+$37K)" — that is OVER budget not savings. BUG. Notion correct.</t>
  </si>
  <si>
    <t xml:space="preserve">DERIVED·Budget</t>
  </si>
  <si>
    <t xml:space="preserve">total_jtd_cost</t>
  </si>
  <si>
    <t xml:space="preserve">SUM actual all expense codes</t>
  </si>
  <si>
    <t xml:space="preserve">Reconciliation → Total Actual</t>
  </si>
  <si>
    <t xml:space="preserve">Matches</t>
  </si>
  <si>
    <t xml:space="preserve">total_budget</t>
  </si>
  <si>
    <t xml:space="preserve">SUM revised_budget all expense codes</t>
  </si>
  <si>
    <t xml:space="preserve">Reconciliation → Total Budget</t>
  </si>
  <si>
    <t xml:space="preserve">$1,065,992</t>
  </si>
  <si>
    <t xml:space="preserve">Sam: $1,058,658 (uses revised_budget). Notion: $1,065,993 (appears to use original_budget for 607 and 999). $7,334 delta. Pick revised budget as canonical.</t>
  </si>
  <si>
    <t xml:space="preserve">overall_pct_budget_consumed</t>
  </si>
  <si>
    <t xml:space="preserve">total_jtd ÷ total_budget</t>
  </si>
  <si>
    <t xml:space="preserve">Derivable; not called out</t>
  </si>
  <si>
    <t xml:space="preserve">≈80.5%</t>
  </si>
  <si>
    <t xml:space="preserve">Computable but not a named KPI in Notion. Sam: 81.1%.</t>
  </si>
  <si>
    <t xml:space="preserve">total_over_under_budget</t>
  </si>
  <si>
    <t xml:space="preserve">budget − jtd</t>
  </si>
  <si>
    <t xml:space="preserve">Reconciliation → Total Variance</t>
  </si>
  <si>
    <t xml:space="preserve">−$207,811</t>
  </si>
  <si>
    <t xml:space="preserve">Matches within $1 rounding. Sign = under budget.</t>
  </si>
  <si>
    <t xml:space="preserve">variance_trend</t>
  </si>
  <si>
    <t xml:space="preserve">Requires prior period</t>
  </si>
  <si>
    <t xml:space="preserve">N/A (single snapshot)</t>
  </si>
  <si>
    <t xml:space="preserve">N/A</t>
  </si>
  <si>
    <t xml:space="preserve">Both mark N/A for single-snapshot report</t>
  </si>
  <si>
    <t xml:space="preserve">labor_productivity_rate</t>
  </si>
  <si>
    <t xml:space="preserve">Labor JTD ÷ hrs</t>
  </si>
  <si>
    <t xml:space="preserve">Benchmark KPIs → revenue_per_labor_hour</t>
  </si>
  <si>
    <t xml:space="preserve">$95.26/hr</t>
  </si>
  <si>
    <t xml:space="preserve">Definition mismatch: Sam = labor JTD cost/hrs = 19.88. Notion = REVENUE/hrs = 95.26. Different metrics under similar names.</t>
  </si>
  <si>
    <t xml:space="preserve">material_price_variance</t>
  </si>
  <si>
    <t xml:space="preserve">mat budget − mat spend</t>
  </si>
  <si>
    <t xml:space="preserve">Benchmark KPIs → material_variance_dollars</t>
  </si>
  <si>
    <t xml:space="preserve">−$162,649</t>
  </si>
  <si>
    <t xml:space="preserve">Sam: $170,915 ("Positive=under"). Notion: −$162,649 ("Negative=under"). Same concept, inverse sign. $8K magnitude delta from sub/overhead universe diff.</t>
  </si>
  <si>
    <t xml:space="preserve">co_absorption_rate</t>
  </si>
  <si>
    <t xml:space="preserve">COs ÷ revenue</t>
  </si>
  <si>
    <t xml:space="preserve">0% (no COs)</t>
  </si>
  <si>
    <t xml:space="preserve">Both correctly show 0% — no COs on 2012</t>
  </si>
  <si>
    <t xml:space="preserve">forecast_to_complete</t>
  </si>
  <si>
    <t xml:space="preserve">Remaining burn</t>
  </si>
  <si>
    <t xml:space="preserve">$0 (complete)</t>
  </si>
  <si>
    <t xml:space="preserve">Job complete; both correctly show 0</t>
  </si>
  <si>
    <t xml:space="preserve">DERIVED·Legacy</t>
  </si>
  <si>
    <t xml:space="preserve">effective_hourly_rate</t>
  </si>
  <si>
    <t xml:space="preserve">Avg per-worker actual ÷ hrs</t>
  </si>
  <si>
    <t xml:space="preserve">Crew Analytics → $/HR (per worker)</t>
  </si>
  <si>
    <t xml:space="preserve">per-worker rates</t>
  </si>
  <si>
    <t xml:space="preserve">Per-worker rates computed but not a single job-level "EHR" callout. Sam: $29.79.</t>
  </si>
  <si>
    <t xml:space="preserve">cc_pct_budget_consumed</t>
  </si>
  <si>
    <t xml:space="preserve">actual ÷ revised_budget per code</t>
  </si>
  <si>
    <t xml:space="preserve">Computable from BvA</t>
  </si>
  <si>
    <t xml:space="preserve">derivable</t>
  </si>
  <si>
    <t xml:space="preserve">Not a named column</t>
  </si>
  <si>
    <t xml:space="preserve">cc_ot_ratio</t>
  </si>
  <si>
    <t xml:space="preserve">OT hrs ÷ total hrs per code</t>
  </si>
  <si>
    <t xml:space="preserve">OT ratio is per-worker in Crew Analytics, not per-code</t>
  </si>
  <si>
    <t xml:space="preserve">cc_blended_cost_per_hour</t>
  </si>
  <si>
    <t xml:space="preserve">PR actual ÷ hrs per code</t>
  </si>
  <si>
    <t xml:space="preserve">BvA → $/HR per phase</t>
  </si>
  <si>
    <t xml:space="preserve">per-phase $/hr</t>
  </si>
  <si>
    <t xml:space="preserve">13 phase rows with $/hr</t>
  </si>
  <si>
    <t xml:space="preserve">job_gross_margin_pct</t>
  </si>
  <si>
    <t xml:space="preserve">net ÷ abs(revenue)</t>
  </si>
  <si>
    <t xml:space="preserve">Overview hero → "38.3% margin"</t>
  </si>
  <si>
    <t xml:space="preserve">38.3%</t>
  </si>
  <si>
    <t xml:space="preserve">days_to_post</t>
  </si>
  <si>
    <t xml:space="preserve">avg(posted − document)</t>
  </si>
  <si>
    <t xml:space="preserve">Sam: 0 days. Notion not tracking posting latency.</t>
  </si>
  <si>
    <t xml:space="preserve">ot_premium_cost</t>
  </si>
  <si>
    <t xml:space="preserve">OT amount − (EHR × OT hrs)</t>
  </si>
  <si>
    <t xml:space="preserve">Sam: −$4,485.24. Not tracked.</t>
  </si>
  <si>
    <t xml:space="preserve">labor_to_material_ratio</t>
  </si>
  <si>
    <t xml:space="preserve">PR spend ÷ material spend</t>
  </si>
  <si>
    <t xml:space="preserve">Benchmark KPIs → labor_to_material_ratio</t>
  </si>
  <si>
    <t xml:space="preserve">1.05 : 1</t>
  </si>
  <si>
    <t xml:space="preserve">Sam: 1.13x (PR $440K ÷ mat $391K). Notion: 1.05:1 (labor actual $291K/$279K material AR-style?). Likely same bug as gross_wage — different labor basis.</t>
  </si>
  <si>
    <t xml:space="preserve">Metric</t>
  </si>
  <si>
    <t xml:space="preserve">Sam Value</t>
  </si>
  <si>
    <t xml:space="preserve">Notion Value</t>
  </si>
  <si>
    <t xml:space="preserve">Delta / Root Cause</t>
  </si>
  <si>
    <t xml:space="preserve">Proposed Canonical</t>
  </si>
  <si>
    <t xml:space="preserve">Priority</t>
  </si>
  <si>
    <t xml:space="preserve">14,652.25</t>
  </si>
  <si>
    <t xml:space="preserve">Sam parses line-item PR hrs; Notion sums cost-code hrs. 45 hr (0.3%) delta — parsing noise. Reconciliation tab already flags as "WITHIN".</t>
  </si>
  <si>
    <t xml:space="preserve">Adopt Sam's 14,652 (line-item ground truth); carry 14,607 as "cost-code aggregate" view.</t>
  </si>
  <si>
    <t xml:space="preserve">LOW</t>
  </si>
  <si>
    <t xml:space="preserve">$30.03/hr</t>
  </si>
  <si>
    <t xml:space="preserve">Numerator mismatch: Sam uses PR-source total $439,954 (includes loaded/allocated PR cost lines); Notion uses per-worker wages total $291,364.</t>
  </si>
  <si>
    <t xml:space="preserve">Publish BOTH as two metrics: "PR_src_rate" ($30.03) and "per_worker_gross_wage" ($19.94).</t>
  </si>
  <si>
    <t xml:space="preserve">HIGH</t>
  </si>
  <si>
    <t xml:space="preserve">$40.17/hr</t>
  </si>
  <si>
    <t xml:space="preserve">Downstream of blended_gross_wage numerator choice. Burden = $148,590 in both.</t>
  </si>
  <si>
    <t xml:space="preserve">Align with blended convention chosen above.</t>
  </si>
  <si>
    <t xml:space="preserve">1.34x</t>
  </si>
  <si>
    <t xml:space="preserve">Downstream of wage-basis pick.</t>
  </si>
  <si>
    <t xml:space="preserve">Recompute post-alignment.</t>
  </si>
  <si>
    <t xml:space="preserve">MED</t>
  </si>
  <si>
    <t xml:space="preserve">1:42</t>
  </si>
  <si>
    <t xml:space="preserve">Sam: supervision hrs / production hrs (hours-based). Notion: lead+jrn counts : helper counts (headcount-based, categorical).</t>
  </si>
  <si>
    <t xml:space="preserve">Keep both — rename Sam's to supervision_hr_ratio and Notion's to lead_headcount_ratio.</t>
  </si>
  <si>
    <t xml:space="preserve">Sam formula references plus_minus&lt;0 but his own data has plus_minus=(actual-budget), so his logic is inverted. Notion has it right: only 242 Mech + 245 Tub/Shower are over budget.</t>
  </si>
  <si>
    <t xml:space="preserve">Fix Sam formula → plus_minus&gt;0 = over.</t>
  </si>
  <si>
    <t xml:space="preserve">Same sign bug as above.</t>
  </si>
  <si>
    <t xml:space="preserve">Fix Sam formula → plus_minus&lt;0 = under.</t>
  </si>
  <si>
    <t xml:space="preserve">220 Roughin (under by $67K)</t>
  </si>
  <si>
    <t xml:space="preserve">242 Mech Room (+89%)</t>
  </si>
  <si>
    <t xml:space="preserve">Sam's label LIES — 220 Roughin is the biggest material SAVINGS, not overrun. BUG.</t>
  </si>
  <si>
    <t xml:space="preserve">Fix Sam label — overrun should pick plus_minus&gt;0 max.</t>
  </si>
  <si>
    <t xml:space="preserve">242 Mech Room (+89% OVER)</t>
  </si>
  <si>
    <t xml:space="preserve">220 Roughin (−42% UNDER)</t>
  </si>
  <si>
    <t xml:space="preserve">Sam's label LIES — 242 Mech Room is the biggest material OVERRUN.</t>
  </si>
  <si>
    <t xml:space="preserve">Fix Sam label swap.</t>
  </si>
  <si>
    <t xml:space="preserve">Sam counts all cost codes + sign bug. Notion counts only labor phases where actual&gt;budget.</t>
  </si>
  <si>
    <t xml:space="preserve">Split into phases_over_all_codes vs phases_over_labor_only; and fix Sam sign.</t>
  </si>
  <si>
    <t xml:space="preserve">Same universe + sign issue — values coincidentally match.</t>
  </si>
  <si>
    <t xml:space="preserve">Fix as above.</t>
  </si>
  <si>
    <t xml:space="preserve">141 Water Main Lab (UNDER)</t>
  </si>
  <si>
    <t xml:space="preserve">142 Mech Room Lab (+178%)</t>
  </si>
  <si>
    <t xml:space="preserve">Sam label swap (Water Main is biggest SAVINGS). Notion correct.</t>
  </si>
  <si>
    <t xml:space="preserve">Fix Sam.</t>
  </si>
  <si>
    <t xml:space="preserve">120 Roughin Lab (OVER by $37K)</t>
  </si>
  <si>
    <t xml:space="preserve">145 Tub/Shower Lab (−66%)</t>
  </si>
  <si>
    <t xml:space="preserve">Sam label swap (Roughin is biggest OVERRUN). Notion correct.</t>
  </si>
  <si>
    <t xml:space="preserve">$1,058,658</t>
  </si>
  <si>
    <t xml:space="preserve">$1,065,993</t>
  </si>
  <si>
    <t xml:space="preserve">Sam uses revised_budget per cost code. Notion apparently uses original for 607 ($25,600 vs revised $10,000) and differs on 245 Tub/Shower handling. $7,334 delta.</t>
  </si>
  <si>
    <t xml:space="preserve">Canonicalize on revised_budget (post-transfer); flag any budget-transfers for audit.</t>
  </si>
  <si>
    <t xml:space="preserve">81.1%</t>
  </si>
  <si>
    <t xml:space="preserve">Downstream of total_budget delta.</t>
  </si>
  <si>
    <t xml:space="preserve">Auto-reconciles after total_budget fix.</t>
  </si>
  <si>
    <t xml:space="preserve">$19.88/hr (labor $ ÷ hrs)</t>
  </si>
  <si>
    <t xml:space="preserve">$95.26/hr (revenue ÷ hrs)</t>
  </si>
  <si>
    <t xml:space="preserve">Same name, DIFFERENT metric. Sam: unit labor cost. Notion: revenue throughput.</t>
  </si>
  <si>
    <t xml:space="preserve">Rename — Sam → labor_unit_cost_per_hr. Notion → revenue_per_labor_hour (already labeled).</t>
  </si>
  <si>
    <t xml:space="preserve">+$170,915 (pos=under)</t>
  </si>
  <si>
    <t xml:space="preserve">−$162,649 (neg=under)</t>
  </si>
  <si>
    <t xml:space="preserve">Sign convention flipped + $8,266 magnitude delta (sub/overhead universe diff).</t>
  </si>
  <si>
    <t xml:space="preserve">Standardize: variance = (actual − budget); negative = savings. Reconcile universe.</t>
  </si>
  <si>
    <t xml:space="preserve">1.13x</t>
  </si>
  <si>
    <t xml:space="preserve">Sam: PR-source $440K ÷ mat $391K = 1.13. Notion: labor $291K ÷ material $278K (different numerators).</t>
  </si>
  <si>
    <t xml:space="preserve">Align denominators; publish both as PR_to_material_ratio and per_worker_wages_to_material_ratio.</t>
  </si>
  <si>
    <t xml:space="preserve">Sam Field</t>
  </si>
  <si>
    <t xml:space="preserve">Definition</t>
  </si>
  <si>
    <t xml:space="preserve">Sam Value on 2012</t>
  </si>
  <si>
    <t xml:space="preserve">Impact</t>
  </si>
  <si>
    <t xml:space="preserve">Action</t>
  </si>
  <si>
    <t xml:space="preserve">(see Sam Test Labels)</t>
  </si>
  <si>
    <t xml:space="preserve">Critical for audit trail</t>
  </si>
  <si>
    <t xml:space="preserve">Add revised_budget column to BvA tab (split from original)</t>
  </si>
  <si>
    <t xml:space="preserve">Audit traceability loss</t>
  </si>
  <si>
    <t xml:space="preserve">Add optional Transactions detail tab (2,826 rows)</t>
  </si>
  <si>
    <t xml:space="preserve">Time-series analysis blocked</t>
  </si>
  <si>
    <t xml:space="preserve">Include on Transactions tab</t>
  </si>
  <si>
    <t xml:space="preserve">Posting-latency analysis blocked</t>
  </si>
  <si>
    <t xml:space="preserve">OT $ masked</t>
  </si>
  <si>
    <t xml:space="preserve">AR/AP reconciliation harder</t>
  </si>
  <si>
    <t xml:space="preserve">AR status per line missing</t>
  </si>
  <si>
    <t xml:space="preserve">Roll up to cost-code level min</t>
  </si>
  <si>
    <t xml:space="preserve">Per-code AR mix lost</t>
  </si>
  <si>
    <t xml:space="preserve">Add NET DUE column to BvA</t>
  </si>
  <si>
    <t xml:space="preserve">Per-code retainage lost</t>
  </si>
  <si>
    <t xml:space="preserve">Add RETAINAGE column to BvA</t>
  </si>
  <si>
    <t xml:space="preserve">OT split by code lost</t>
  </si>
  <si>
    <t xml:space="preserve">Add OT HRS column to BvA (separate from reg)</t>
  </si>
  <si>
    <t xml:space="preserve">DT split lost</t>
  </si>
  <si>
    <t xml:space="preserve">Add DT HRS column (0 for 2012 but useful for others)</t>
  </si>
  <si>
    <t xml:space="preserve">Job-level AR balance lost</t>
  </si>
  <si>
    <t xml:space="preserve">Add to Overview KV pairs</t>
  </si>
  <si>
    <t xml:space="preserve">Per-code OT intensity lost</t>
  </si>
  <si>
    <t xml:space="preserve">Derivable once OT hrs split added</t>
  </si>
  <si>
    <t xml:space="preserve">Posting timeliness lost</t>
  </si>
  <si>
    <t xml:space="preserve">Derivable from transaction dates</t>
  </si>
  <si>
    <t xml:space="preserve">True OT premium cost lost</t>
  </si>
  <si>
    <t xml:space="preserve">Derivable from reg + OT amounts</t>
  </si>
  <si>
    <t xml:space="preserve">Notion Tab</t>
  </si>
  <si>
    <t xml:space="preserve">Field</t>
  </si>
  <si>
    <t xml:space="preserve">2012 Value</t>
  </si>
  <si>
    <t xml:space="preserve">Recommend for Sam Schema?</t>
  </si>
  <si>
    <t xml:space="preserve">Overview</t>
  </si>
  <si>
    <t xml:space="preserve">gc</t>
  </si>
  <si>
    <t xml:space="preserve">General Contractor</t>
  </si>
  <si>
    <t xml:space="preserve">Exxel Pacific, Inc.</t>
  </si>
  <si>
    <t xml:space="preserve">YES — add</t>
  </si>
  <si>
    <t xml:space="preserve">scope</t>
  </si>
  <si>
    <t xml:space="preserve">Division 22 Plumbing</t>
  </si>
  <si>
    <t xml:space="preserve">Optional / narrative</t>
  </si>
  <si>
    <t xml:space="preserve">building_type</t>
  </si>
  <si>
    <t xml:space="preserve">Mid-rise multifamily</t>
  </si>
  <si>
    <t xml:space="preserve">unit_count</t>
  </si>
  <si>
    <t xml:space="preserve">Residential units</t>
  </si>
  <si>
    <t xml:space="preserve">163</t>
  </si>
  <si>
    <t xml:space="preserve">location</t>
  </si>
  <si>
    <t xml:space="preserve">Project location</t>
  </si>
  <si>
    <t xml:space="preserve">Seattle, WA</t>
  </si>
  <si>
    <t xml:space="preserve">duration_months</t>
  </si>
  <si>
    <t xml:space="preserve">Calendar months on site</t>
  </si>
  <si>
    <t xml:space="preserve">contract_value</t>
  </si>
  <si>
    <t xml:space="preserve">Original contract $</t>
  </si>
  <si>
    <t xml:space="preserve">$1,394,655</t>
  </si>
  <si>
    <t xml:space="preserve">pay_applications_count</t>
  </si>
  <si>
    <t xml:space="preserve"># of pay apps</t>
  </si>
  <si>
    <t xml:space="preserve">15</t>
  </si>
  <si>
    <t xml:space="preserve">cost_codes_used</t>
  </si>
  <si>
    <t xml:space="preserve"># distinct cost codes</t>
  </si>
  <si>
    <t xml:space="preserve">32</t>
  </si>
  <si>
    <t xml:space="preserve">Benchmark KPIs</t>
  </si>
  <si>
    <t xml:space="preserve">fixture_count</t>
  </si>
  <si>
    <t xml:space="preserve">Fixtures delivered</t>
  </si>
  <si>
    <t xml:space="preserve">1,004</t>
  </si>
  <si>
    <t xml:space="preserve">fixtures_per_unit</t>
  </si>
  <si>
    <t xml:space="preserve">Fixtures ÷ units</t>
  </si>
  <si>
    <t xml:space="preserve">6.16</t>
  </si>
  <si>
    <t xml:space="preserve">profit_per_unit</t>
  </si>
  <si>
    <t xml:space="preserve">Net ÷ units</t>
  </si>
  <si>
    <t xml:space="preserve">$3,272</t>
  </si>
  <si>
    <t xml:space="preserve">profit_per_fixture</t>
  </si>
  <si>
    <t xml:space="preserve">Net ÷ fixtures</t>
  </si>
  <si>
    <t xml:space="preserve">$531</t>
  </si>
  <si>
    <t xml:space="preserve">revenue_per_unit</t>
  </si>
  <si>
    <t xml:space="preserve">Revenue ÷ units</t>
  </si>
  <si>
    <t xml:space="preserve">$8,537</t>
  </si>
  <si>
    <t xml:space="preserve">revenue_per_fixture</t>
  </si>
  <si>
    <t xml:space="preserve">Revenue ÷ fixtures</t>
  </si>
  <si>
    <t xml:space="preserve">$1,386</t>
  </si>
  <si>
    <t xml:space="preserve">cost_per_unit</t>
  </si>
  <si>
    <t xml:space="preserve">Direct cost ÷ units</t>
  </si>
  <si>
    <t xml:space="preserve">$5,265</t>
  </si>
  <si>
    <t xml:space="preserve">cost_per_fixture</t>
  </si>
  <si>
    <t xml:space="preserve">Direct cost ÷ fixtures</t>
  </si>
  <si>
    <t xml:space="preserve">$855</t>
  </si>
  <si>
    <t xml:space="preserve">retainage_pct</t>
  </si>
  <si>
    <t xml:space="preserve">Retainage ÷ contract</t>
  </si>
  <si>
    <t xml:space="preserve">4.99%</t>
  </si>
  <si>
    <t xml:space="preserve">hours_per_unit</t>
  </si>
  <si>
    <t xml:space="preserve">Labor hrs ÷ units</t>
  </si>
  <si>
    <t xml:space="preserve">89.6</t>
  </si>
  <si>
    <t xml:space="preserve">hours_per_fixture</t>
  </si>
  <si>
    <t xml:space="preserve">Labor hrs ÷ fixtures</t>
  </si>
  <si>
    <t xml:space="preserve">14.5</t>
  </si>
  <si>
    <t xml:space="preserve">labor_cost_per_unit</t>
  </si>
  <si>
    <t xml:space="preserve">Labor $ ÷ units</t>
  </si>
  <si>
    <t xml:space="preserve">$2,699</t>
  </si>
  <si>
    <t xml:space="preserve">labor_cost_per_fixture</t>
  </si>
  <si>
    <t xml:space="preserve">Labor $ ÷ fixtures</t>
  </si>
  <si>
    <t xml:space="preserve">$438</t>
  </si>
  <si>
    <t xml:space="preserve">revenue_per_labor_hour</t>
  </si>
  <si>
    <t xml:space="preserve">Productivity ceiling</t>
  </si>
  <si>
    <t xml:space="preserve">$95.26</t>
  </si>
  <si>
    <t xml:space="preserve">profit_per_labor_hour</t>
  </si>
  <si>
    <t xml:space="preserve">Margin per hr worked</t>
  </si>
  <si>
    <t xml:space="preserve">$36.51</t>
  </si>
  <si>
    <t xml:space="preserve">crew_density_per_100u</t>
  </si>
  <si>
    <t xml:space="preserve">Workers per 100 units</t>
  </si>
  <si>
    <t xml:space="preserve">25.77</t>
  </si>
  <si>
    <t xml:space="preserve">apprentice_ratio</t>
  </si>
  <si>
    <t xml:space="preserve">Apprentices ÷ crew</t>
  </si>
  <si>
    <t xml:space="preserve">16.7%</t>
  </si>
  <si>
    <t xml:space="preserve">units_per_month</t>
  </si>
  <si>
    <t xml:space="preserve">Build pace</t>
  </si>
  <si>
    <t xml:space="preserve">9.59</t>
  </si>
  <si>
    <t xml:space="preserve">fixtures_per_month</t>
  </si>
  <si>
    <t xml:space="preserve">Fixture velocity</t>
  </si>
  <si>
    <t xml:space="preserve">59.06</t>
  </si>
  <si>
    <t xml:space="preserve">hours_per_month</t>
  </si>
  <si>
    <t xml:space="preserve">Monthly burn</t>
  </si>
  <si>
    <t xml:space="preserve">859.24</t>
  </si>
  <si>
    <t xml:space="preserve">finish_material_share</t>
  </si>
  <si>
    <t xml:space="preserve">230 share of material</t>
  </si>
  <si>
    <t xml:space="preserve">53.8%</t>
  </si>
  <si>
    <t xml:space="preserve">roughin_material_share</t>
  </si>
  <si>
    <t xml:space="preserve">220 share of material</t>
  </si>
  <si>
    <t xml:space="preserve">24.1%</t>
  </si>
  <si>
    <t xml:space="preserve">top_2_material_concentration</t>
  </si>
  <si>
    <t xml:space="preserve">Finish+Roughin ÷ total</t>
  </si>
  <si>
    <t xml:space="preserve">77.8%</t>
  </si>
  <si>
    <t xml:space="preserve">top_3_vendor_concentration</t>
  </si>
  <si>
    <t xml:space="preserve">Top 3 AP ÷ total</t>
  </si>
  <si>
    <t xml:space="preserve">80.3%</t>
  </si>
  <si>
    <t xml:space="preserve">avg_material_invoice</t>
  </si>
  <si>
    <t xml:space="preserve">AP total ÷ 186 invoices</t>
  </si>
  <si>
    <t xml:space="preserve">$2,196</t>
  </si>
  <si>
    <t xml:space="preserve">gl_pct_of_revenue</t>
  </si>
  <si>
    <t xml:space="preserve">GL src ÷ revenue</t>
  </si>
  <si>
    <t xml:space="preserve">0.7%</t>
  </si>
  <si>
    <t xml:space="preserve">Material</t>
  </si>
  <si>
    <t xml:space="preserve">material_$/unit per code</t>
  </si>
  <si>
    <t xml:space="preserve">$/unit per material code</t>
  </si>
  <si>
    <t xml:space="preserve">Per-code $/unit column</t>
  </si>
  <si>
    <t xml:space="preserve">material_$/fixture per code</t>
  </si>
  <si>
    <t xml:space="preserve">$/fixture per material code</t>
  </si>
  <si>
    <t xml:space="preserve">Per-code $/fixture column</t>
  </si>
  <si>
    <t xml:space="preserve">material_pct_of_total per code</t>
  </si>
  <si>
    <t xml:space="preserve">% of material spend per code</t>
  </si>
  <si>
    <t xml:space="preserve">Per-code concentration</t>
  </si>
  <si>
    <t xml:space="preserve">Productivity</t>
  </si>
  <si>
    <t xml:space="preserve">phase_hrs_per_unit</t>
  </si>
  <si>
    <t xml:space="preserve">Hrs ÷ units per phase</t>
  </si>
  <si>
    <t xml:space="preserve">8 phase rows</t>
  </si>
  <si>
    <t xml:space="preserve">phase_hrs_per_fixture</t>
  </si>
  <si>
    <t xml:space="preserve">Hrs ÷ fixtures per phase</t>
  </si>
  <si>
    <t xml:space="preserve">phase_$/unit</t>
  </si>
  <si>
    <t xml:space="preserve">$ ÷ units per phase</t>
  </si>
  <si>
    <t xml:space="preserve">phase_$/fixture</t>
  </si>
  <si>
    <t xml:space="preserve">$ ÷ fixtures per phase</t>
  </si>
  <si>
    <t xml:space="preserve">hours_per_worker</t>
  </si>
  <si>
    <t xml:space="preserve">Total hrs ÷ worker count</t>
  </si>
  <si>
    <t xml:space="preserve">347.79</t>
  </si>
  <si>
    <t xml:space="preserve">avg_days_on_site_per_worker</t>
  </si>
  <si>
    <t xml:space="preserve">Days on site</t>
  </si>
  <si>
    <t xml:space="preserve">43.47</t>
  </si>
  <si>
    <t xml:space="preserve">burden_pct_of_payroll</t>
  </si>
  <si>
    <t xml:space="preserve">Burden ÷ PR</t>
  </si>
  <si>
    <t xml:space="preserve">33.8%</t>
  </si>
  <si>
    <t xml:space="preserve">Crew &amp; Labor</t>
  </si>
  <si>
    <t xml:space="preserve">tier_breakdown</t>
  </si>
  <si>
    <t xml:space="preserve">Super/Lead/Jrn/App/Helper counts</t>
  </si>
  <si>
    <t xml:space="preserve">1/5/8/8/20</t>
  </si>
  <si>
    <t xml:space="preserve">tier_rate_bands</t>
  </si>
  <si>
    <t xml:space="preserve">$/hr ranges per tier</t>
  </si>
  <si>
    <t xml:space="preserve">$12-38/hr bands</t>
  </si>
  <si>
    <t xml:space="preserve">Crew Analytics</t>
  </si>
  <si>
    <t xml:space="preserve">worker_code_participation</t>
  </si>
  <si>
    <t xml:space="preserve"># cost codes touched per worker</t>
  </si>
  <si>
    <t xml:space="preserve">CODES column</t>
  </si>
  <si>
    <t xml:space="preserve">worker_tier_classification</t>
  </si>
  <si>
    <t xml:space="preserve">Auto-classified by $/hr</t>
  </si>
  <si>
    <t xml:space="preserve">TIER column</t>
  </si>
  <si>
    <t xml:space="preserve">Insights</t>
  </si>
  <si>
    <t xml:space="preserve">narrative_findings</t>
  </si>
  <si>
    <t xml:space="preserve">9 qualitative insight blocks</t>
  </si>
  <si>
    <t xml:space="preserve">Critical/Overrun/Savings/Benchmark/Action</t>
  </si>
  <si>
    <t xml:space="preserve">Reconciliation</t>
  </si>
  <si>
    <t xml:space="preserve">cross_tab_tie_out_proof</t>
  </si>
  <si>
    <t xml:space="preserve">7 reconciliation tables</t>
  </si>
  <si>
    <t xml:space="preserve">A-G sections</t>
  </si>
  <si>
    <t xml:space="preserve">Vendors</t>
  </si>
  <si>
    <t xml:space="preserve">vendor_invoice_count</t>
  </si>
  <si>
    <t xml:space="preserve">Invoices per vendor</t>
  </si>
  <si>
    <t xml:space="preserve">186 total</t>
  </si>
  <si>
    <t xml:space="preserve">vendor_avg_invoice</t>
  </si>
  <si>
    <t xml:space="preserve">Avg $ per invoice per vendor</t>
  </si>
  <si>
    <t xml:space="preserve">Per-vendor avg</t>
  </si>
  <si>
    <t xml:space="preserve">vendor_pct_of_ap</t>
  </si>
  <si>
    <t xml:space="preserve">% of total AP per vendor</t>
  </si>
  <si>
    <t xml:space="preserve">Per-vendor %</t>
  </si>
  <si>
    <t xml:space="preserve">PROPOSED RECONCILIATION — 10 ACTIONS</t>
  </si>
  <si>
    <t xml:space="preserve">#</t>
  </si>
  <si>
    <t xml:space="preserve">Owner</t>
  </si>
  <si>
    <t xml:space="preserve">Rationale</t>
  </si>
  <si>
    <t xml:space="preserve">1</t>
  </si>
  <si>
    <t xml:space="preserve">Fix sign-convention bugs in Sam v3 derived section</t>
  </si>
  <si>
    <t xml:space="preserve">SAM SCHEMA OWNER</t>
  </si>
  <si>
    <t xml:space="preserve">largest_overrun, largest_savings, largest_material_overrun, largest_material_savings, material_codes_over/under, phases_over/under all reference plus_minus&lt;0 for "over" but his data convention is plus_minus=(actual−budget) where positive=over. Flip the operators.</t>
  </si>
  <si>
    <t xml:space="preserve">Canonicalize budget basis (revised vs original)</t>
  </si>
  <si>
    <t xml:space="preserve">BOTH</t>
  </si>
  <si>
    <t xml:space="preserve">Sam uses revised_budget → $1,058,658. Notion uses original for some codes → $1,065,993. $7,334 delta. Standardize on revised_budget across both; flag budget transfers in a separate log.</t>
  </si>
  <si>
    <t xml:space="preserve">3</t>
  </si>
  <si>
    <t xml:space="preserve">Canonicalize wage basis</t>
  </si>
  <si>
    <t xml:space="preserve">Sam: PR-source total $439,954 ÷ hrs = $30.03. Notion: per-worker wages $291,364 ÷ hrs = $19.94. Publish BOTH with distinct names: PR_src_cost_per_hr vs per_worker_gross_wage.</t>
  </si>
  <si>
    <t xml:space="preserve">Add line_items / Transactions detail tab to Notion</t>
  </si>
  <si>
    <t xml:space="preserve">STEVEN</t>
  </si>
  <si>
    <t xml:space="preserve">Notion rolls up to 32 cost codes + 42 workers + 16 vendors but loses all 2,826 line items. Add optional Transactions tab with ref_number, document_date, posted_date, check_number. Large but cold storage is fine.</t>
  </si>
  <si>
    <t xml:space="preserve">5</t>
  </si>
  <si>
    <t xml:space="preserve">Split OT hours at cost-code level in Notion BvA</t>
  </si>
  <si>
    <t xml:space="preserve">BvA currently combines reg + OT into HOURS. Split to REG HRS + OT HRS + DT HRS to match Sam cost_code_summary contract.</t>
  </si>
  <si>
    <t xml:space="preserve">6</t>
  </si>
  <si>
    <t xml:space="preserve">Add per-code net_due + retainage columns to BvA</t>
  </si>
  <si>
    <t xml:space="preserve">Sam carries net_due and retainage per cost code. Notion only has aggregate $69,573 retainage. Adding per-code columns closes the gap.</t>
  </si>
  <si>
    <t xml:space="preserve">7</t>
  </si>
  <si>
    <t xml:space="preserve">Rename labor_productivity_rate to disambiguate</t>
  </si>
  <si>
    <t xml:space="preserve">Sam's labor_productivity_rate = labor-cost ÷ hrs = $19.88 (unit cost). Notion uses revenue_per_labor_hour = $95.26 (throughput). Two different concepts — rename Sam's to labor_unit_cost_per_hr.</t>
  </si>
  <si>
    <t xml:space="preserve">8</t>
  </si>
  <si>
    <t xml:space="preserve">Promote Notion per-unit/per-fixture benchmarks into Sam v4</t>
  </si>
  <si>
    <t xml:space="preserve">Notion has fixture_count, fixtures_per_unit, $/unit, $/fixture, hrs/unit, hrs/fixture, units_per_month, hours_per_month — all cross-project benchmark-able. Worth promoting to canonical for multi-project portfolio rollups.</t>
  </si>
  <si>
    <t xml:space="preserve">Promote Notion Reconciliation proof-tables into Sam v4</t>
  </si>
  <si>
    <t xml:space="preserve">Notion Reconciliation tab provides 7 tie-out tables that validate the data end-to-end. Sam schema has no equivalent contract; codifying would catch future parser drift.</t>
  </si>
  <si>
    <t xml:space="preserve">10</t>
  </si>
  <si>
    <t xml:space="preserve">Preserve Insights narrative in both directions</t>
  </si>
  <si>
    <t xml:space="preserve">Notion's 9 Insights (Critical / Overrun / Savings / Benchmark / Action) aren't in Sam schema. If Sam wants to be a pure canonical data layer, Insights can live as an attached narrative.md; if Sam wants to be a reporting schema, add insights[] array.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</si>
</sst>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334155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9C3"/>
        <bgColor rgb="FFFFFF99"/>
      </patternFill>
    </fill>
    <fill>
      <patternFill patternType="solid">
        <fgColor rgb="FFFECACA"/>
        <bgColor rgb="FFFED7AA"/>
      </patternFill>
    </fill>
    <fill>
      <patternFill patternType="solid">
        <fgColor rgb="FFFED7AA"/>
        <bgColor rgb="FFFECAC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CACA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22"/>
    <col collapsed="false" customWidth="true" hidden="false" outlineLevel="0" max="8" min="8" style="0" width="2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customFormat="false" ht="31.5" hidden="false" customHeight="true" outlineLevel="0" collapsed="false">
      <c r="B6" s="5" t="n">
        <v>84</v>
      </c>
      <c r="C6" s="5" t="n">
        <f aca="false">COUNTIF('Comparison Matrix'!F:F,"PRESENT")</f>
        <v>33</v>
      </c>
      <c r="D6" s="5" t="n">
        <f aca="false">COUNTIF('Comparison Matrix'!F:F,"PARTIAL")</f>
        <v>19</v>
      </c>
      <c r="E6" s="5" t="n">
        <f aca="false">COUNTIF('Comparison Matrix'!F:F,"CONFLICT")</f>
        <v>17</v>
      </c>
      <c r="F6" s="5" t="n">
        <f aca="false">COUNTIF('Comparison Matrix'!F:F,"MISSING")</f>
        <v>15</v>
      </c>
      <c r="G6" s="5" t="n">
        <v>54</v>
      </c>
    </row>
    <row r="8" customFormat="false" ht="15" hidden="false" customHeight="true" outlineLevel="0" collapsed="false">
      <c r="B8" s="6" t="s">
        <v>8</v>
      </c>
      <c r="C8" s="6"/>
      <c r="D8" s="6"/>
      <c r="E8" s="6"/>
      <c r="F8" s="6"/>
      <c r="G8" s="6"/>
      <c r="H8" s="6"/>
    </row>
    <row r="9" customFormat="false" ht="39.75" hidden="false" customHeight="true" outlineLevel="0" collapsed="false">
      <c r="B9" s="7" t="s">
        <v>9</v>
      </c>
      <c r="C9" s="7"/>
      <c r="D9" s="7"/>
      <c r="E9" s="7"/>
      <c r="F9" s="7"/>
      <c r="G9" s="7"/>
      <c r="H9" s="7"/>
    </row>
    <row r="10" customFormat="false" ht="39.75" hidden="false" customHeight="true" outlineLevel="0" collapsed="false">
      <c r="B10" s="7" t="s">
        <v>10</v>
      </c>
      <c r="C10" s="7"/>
      <c r="D10" s="7"/>
      <c r="E10" s="7"/>
      <c r="F10" s="7"/>
      <c r="G10" s="7"/>
      <c r="H10" s="7"/>
    </row>
    <row r="11" customFormat="false" ht="39.75" hidden="false" customHeight="true" outlineLevel="0" collapsed="false">
      <c r="B11" s="7" t="s">
        <v>11</v>
      </c>
      <c r="C11" s="7"/>
      <c r="D11" s="7"/>
      <c r="E11" s="7"/>
      <c r="F11" s="7"/>
      <c r="G11" s="7"/>
      <c r="H11" s="7"/>
    </row>
    <row r="12" customFormat="false" ht="39.75" hidden="false" customHeight="true" outlineLevel="0" collapsed="false">
      <c r="B12" s="7" t="s">
        <v>12</v>
      </c>
      <c r="C12" s="7"/>
      <c r="D12" s="7"/>
      <c r="E12" s="7"/>
      <c r="F12" s="7"/>
      <c r="G12" s="7"/>
      <c r="H12" s="7"/>
    </row>
    <row r="13" customFormat="false" ht="39.75" hidden="false" customHeight="true" outlineLevel="0" collapsed="false">
      <c r="B13" s="7" t="s">
        <v>13</v>
      </c>
      <c r="C13" s="7"/>
      <c r="D13" s="7"/>
      <c r="E13" s="7"/>
      <c r="F13" s="7"/>
      <c r="G13" s="7"/>
      <c r="H13" s="7"/>
    </row>
    <row r="14" customFormat="false" ht="39.75" hidden="false" customHeight="true" outlineLevel="0" collapsed="false">
      <c r="B14" s="7" t="s">
        <v>14</v>
      </c>
      <c r="C14" s="7"/>
      <c r="D14" s="7"/>
      <c r="E14" s="7"/>
      <c r="F14" s="7"/>
      <c r="G14" s="7"/>
      <c r="H14" s="7"/>
    </row>
    <row r="15" customFormat="false" ht="39.75" hidden="false" customHeight="true" outlineLevel="0" collapsed="false">
      <c r="B15" s="7" t="s">
        <v>15</v>
      </c>
      <c r="C15" s="7"/>
      <c r="D15" s="7"/>
      <c r="E15" s="7"/>
      <c r="F15" s="7"/>
      <c r="G15" s="7"/>
      <c r="H15" s="7"/>
    </row>
    <row r="17" customFormat="false" ht="15" hidden="false" customHeight="true" outlineLevel="0" collapsed="false">
      <c r="B17" s="6" t="s">
        <v>16</v>
      </c>
      <c r="C17" s="6"/>
      <c r="D17" s="6"/>
      <c r="E17" s="6"/>
      <c r="F17" s="6"/>
      <c r="G17" s="6"/>
      <c r="H17" s="6"/>
    </row>
    <row r="18" customFormat="false" ht="15" hidden="false" customHeight="true" outlineLevel="0" collapsed="false">
      <c r="B18" s="8" t="s">
        <v>17</v>
      </c>
      <c r="C18" s="8"/>
      <c r="D18" s="8"/>
      <c r="E18" s="8"/>
      <c r="F18" s="8"/>
      <c r="G18" s="8"/>
      <c r="H18" s="8"/>
    </row>
    <row r="19" customFormat="false" ht="15" hidden="false" customHeight="true" outlineLevel="0" collapsed="false">
      <c r="B19" s="8" t="s">
        <v>18</v>
      </c>
      <c r="C19" s="8"/>
      <c r="D19" s="8"/>
      <c r="E19" s="8"/>
      <c r="F19" s="8"/>
      <c r="G19" s="8"/>
      <c r="H19" s="8"/>
    </row>
    <row r="20" customFormat="false" ht="15" hidden="false" customHeight="true" outlineLevel="0" collapsed="false">
      <c r="B20" s="8" t="s">
        <v>19</v>
      </c>
      <c r="C20" s="8"/>
      <c r="D20" s="8"/>
      <c r="E20" s="8"/>
      <c r="F20" s="8"/>
      <c r="G20" s="8"/>
      <c r="H20" s="8"/>
    </row>
    <row r="21" customFormat="false" ht="15" hidden="false" customHeight="true" outlineLevel="0" collapsed="false">
      <c r="B21" s="8" t="s">
        <v>20</v>
      </c>
      <c r="C21" s="8"/>
      <c r="D21" s="8"/>
      <c r="E21" s="8"/>
      <c r="F21" s="8"/>
      <c r="G21" s="8"/>
      <c r="H21" s="8"/>
    </row>
  </sheetData>
  <mergeCells count="15">
    <mergeCell ref="B2:H2"/>
    <mergeCell ref="B3:H3"/>
    <mergeCell ref="B8:H8"/>
    <mergeCell ref="B9:H9"/>
    <mergeCell ref="B10:H10"/>
    <mergeCell ref="B11:H11"/>
    <mergeCell ref="B12:H12"/>
    <mergeCell ref="B13:H13"/>
    <mergeCell ref="B14:H14"/>
    <mergeCell ref="B15:H15"/>
    <mergeCell ref="B17:H17"/>
    <mergeCell ref="B18:H18"/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5" min="4" style="0" width="36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30" hidden="false" customHeight="tru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</row>
    <row r="2" customFormat="false" ht="31.5" hidden="false" customHeight="true" outlineLevel="0" collapsed="false">
      <c r="A2" s="10" t="s">
        <v>28</v>
      </c>
      <c r="B2" s="10" t="s">
        <v>29</v>
      </c>
      <c r="C2" s="10" t="s">
        <v>30</v>
      </c>
      <c r="D2" s="10" t="s">
        <v>31</v>
      </c>
      <c r="E2" s="10" t="s">
        <v>32</v>
      </c>
      <c r="F2" s="11" t="s">
        <v>3</v>
      </c>
      <c r="G2" s="10" t="s">
        <v>33</v>
      </c>
    </row>
    <row r="3" customFormat="false" ht="31.5" hidden="false" customHeight="true" outlineLevel="0" collapsed="false">
      <c r="A3" s="12" t="s">
        <v>28</v>
      </c>
      <c r="B3" s="12" t="s">
        <v>34</v>
      </c>
      <c r="C3" s="12" t="s">
        <v>35</v>
      </c>
      <c r="D3" s="12" t="s">
        <v>36</v>
      </c>
      <c r="E3" s="12" t="s">
        <v>37</v>
      </c>
      <c r="F3" s="11" t="s">
        <v>3</v>
      </c>
      <c r="G3" s="12" t="s">
        <v>38</v>
      </c>
    </row>
    <row r="4" customFormat="false" ht="31.5" hidden="false" customHeight="true" outlineLevel="0" collapsed="false">
      <c r="A4" s="10" t="s">
        <v>28</v>
      </c>
      <c r="B4" s="10" t="s">
        <v>39</v>
      </c>
      <c r="C4" s="10" t="s">
        <v>40</v>
      </c>
      <c r="D4" s="10" t="s">
        <v>41</v>
      </c>
      <c r="E4" s="10" t="s">
        <v>42</v>
      </c>
      <c r="F4" s="13" t="s">
        <v>4</v>
      </c>
      <c r="G4" s="10" t="s">
        <v>43</v>
      </c>
    </row>
    <row r="5" customFormat="false" ht="31.5" hidden="false" customHeight="true" outlineLevel="0" collapsed="false">
      <c r="A5" s="12" t="s">
        <v>44</v>
      </c>
      <c r="B5" s="12" t="s">
        <v>45</v>
      </c>
      <c r="C5" s="12" t="s">
        <v>46</v>
      </c>
      <c r="D5" s="12" t="s">
        <v>47</v>
      </c>
      <c r="E5" s="12" t="s">
        <v>48</v>
      </c>
      <c r="F5" s="13" t="s">
        <v>4</v>
      </c>
      <c r="G5" s="12" t="s">
        <v>49</v>
      </c>
    </row>
    <row r="6" customFormat="false" ht="31.5" hidden="false" customHeight="true" outlineLevel="0" collapsed="false">
      <c r="A6" s="10" t="s">
        <v>50</v>
      </c>
      <c r="B6" s="10" t="s">
        <v>51</v>
      </c>
      <c r="C6" s="10" t="s">
        <v>52</v>
      </c>
      <c r="D6" s="10" t="s">
        <v>47</v>
      </c>
      <c r="E6" s="10" t="s">
        <v>48</v>
      </c>
      <c r="F6" s="13" t="s">
        <v>4</v>
      </c>
      <c r="G6" s="10"/>
    </row>
    <row r="7" customFormat="false" ht="31.5" hidden="false" customHeight="true" outlineLevel="0" collapsed="false">
      <c r="A7" s="12" t="s">
        <v>50</v>
      </c>
      <c r="B7" s="12" t="s">
        <v>53</v>
      </c>
      <c r="C7" s="12" t="s">
        <v>54</v>
      </c>
      <c r="D7" s="12" t="s">
        <v>55</v>
      </c>
      <c r="E7" s="12" t="s">
        <v>56</v>
      </c>
      <c r="F7" s="13" t="s">
        <v>4</v>
      </c>
      <c r="G7" s="12" t="s">
        <v>57</v>
      </c>
    </row>
    <row r="8" customFormat="false" ht="31.5" hidden="false" customHeight="true" outlineLevel="0" collapsed="false">
      <c r="A8" s="10" t="s">
        <v>50</v>
      </c>
      <c r="B8" s="10" t="s">
        <v>58</v>
      </c>
      <c r="C8" s="10" t="s">
        <v>59</v>
      </c>
      <c r="D8" s="10" t="s">
        <v>60</v>
      </c>
      <c r="E8" s="10" t="s">
        <v>61</v>
      </c>
      <c r="F8" s="14" t="s">
        <v>6</v>
      </c>
      <c r="G8" s="10" t="s">
        <v>62</v>
      </c>
    </row>
    <row r="9" customFormat="false" ht="31.5" hidden="false" customHeight="true" outlineLevel="0" collapsed="false">
      <c r="A9" s="12" t="s">
        <v>50</v>
      </c>
      <c r="B9" s="12" t="s">
        <v>63</v>
      </c>
      <c r="C9" s="12" t="s">
        <v>64</v>
      </c>
      <c r="D9" s="12" t="s">
        <v>65</v>
      </c>
      <c r="E9" s="12" t="s">
        <v>66</v>
      </c>
      <c r="F9" s="13" t="s">
        <v>4</v>
      </c>
      <c r="G9" s="12"/>
    </row>
    <row r="10" customFormat="false" ht="31.5" hidden="false" customHeight="true" outlineLevel="0" collapsed="false">
      <c r="A10" s="10" t="s">
        <v>50</v>
      </c>
      <c r="B10" s="10" t="s">
        <v>67</v>
      </c>
      <c r="C10" s="10" t="s">
        <v>68</v>
      </c>
      <c r="D10" s="10" t="s">
        <v>69</v>
      </c>
      <c r="E10" s="10" t="s">
        <v>70</v>
      </c>
      <c r="F10" s="13" t="s">
        <v>4</v>
      </c>
      <c r="G10" s="10" t="s">
        <v>71</v>
      </c>
    </row>
    <row r="11" customFormat="false" ht="31.5" hidden="false" customHeight="true" outlineLevel="0" collapsed="false">
      <c r="A11" s="12" t="s">
        <v>50</v>
      </c>
      <c r="B11" s="12" t="s">
        <v>72</v>
      </c>
      <c r="C11" s="12" t="s">
        <v>73</v>
      </c>
      <c r="D11" s="12" t="s">
        <v>74</v>
      </c>
      <c r="E11" s="12" t="s">
        <v>74</v>
      </c>
      <c r="F11" s="14" t="s">
        <v>6</v>
      </c>
      <c r="G11" s="12" t="s">
        <v>75</v>
      </c>
    </row>
    <row r="12" customFormat="false" ht="31.5" hidden="false" customHeight="true" outlineLevel="0" collapsed="false">
      <c r="A12" s="10" t="s">
        <v>50</v>
      </c>
      <c r="B12" s="10" t="s">
        <v>76</v>
      </c>
      <c r="C12" s="10" t="s">
        <v>77</v>
      </c>
      <c r="D12" s="10" t="s">
        <v>74</v>
      </c>
      <c r="E12" s="10" t="s">
        <v>74</v>
      </c>
      <c r="F12" s="14" t="s">
        <v>6</v>
      </c>
      <c r="G12" s="10" t="s">
        <v>78</v>
      </c>
    </row>
    <row r="13" customFormat="false" ht="31.5" hidden="false" customHeight="true" outlineLevel="0" collapsed="false">
      <c r="A13" s="12" t="s">
        <v>50</v>
      </c>
      <c r="B13" s="12" t="s">
        <v>79</v>
      </c>
      <c r="C13" s="12" t="s">
        <v>80</v>
      </c>
      <c r="D13" s="12" t="s">
        <v>74</v>
      </c>
      <c r="E13" s="12" t="s">
        <v>74</v>
      </c>
      <c r="F13" s="14" t="s">
        <v>6</v>
      </c>
      <c r="G13" s="12" t="s">
        <v>78</v>
      </c>
    </row>
    <row r="14" customFormat="false" ht="31.5" hidden="false" customHeight="true" outlineLevel="0" collapsed="false">
      <c r="A14" s="10" t="s">
        <v>50</v>
      </c>
      <c r="B14" s="10" t="s">
        <v>81</v>
      </c>
      <c r="C14" s="10" t="s">
        <v>82</v>
      </c>
      <c r="D14" s="10" t="s">
        <v>83</v>
      </c>
      <c r="E14" s="10" t="s">
        <v>84</v>
      </c>
      <c r="F14" s="13" t="s">
        <v>4</v>
      </c>
      <c r="G14" s="10" t="s">
        <v>85</v>
      </c>
    </row>
    <row r="15" customFormat="false" ht="31.5" hidden="false" customHeight="true" outlineLevel="0" collapsed="false">
      <c r="A15" s="12" t="s">
        <v>50</v>
      </c>
      <c r="B15" s="12" t="s">
        <v>86</v>
      </c>
      <c r="C15" s="12" t="s">
        <v>87</v>
      </c>
      <c r="D15" s="12" t="s">
        <v>88</v>
      </c>
      <c r="E15" s="12" t="s">
        <v>89</v>
      </c>
      <c r="F15" s="11" t="s">
        <v>3</v>
      </c>
      <c r="G15" s="12" t="s">
        <v>90</v>
      </c>
    </row>
    <row r="16" customFormat="false" ht="31.5" hidden="false" customHeight="true" outlineLevel="0" collapsed="false">
      <c r="A16" s="10" t="s">
        <v>50</v>
      </c>
      <c r="B16" s="10" t="s">
        <v>91</v>
      </c>
      <c r="C16" s="10" t="s">
        <v>92</v>
      </c>
      <c r="D16" s="10" t="s">
        <v>93</v>
      </c>
      <c r="E16" s="10" t="s">
        <v>94</v>
      </c>
      <c r="F16" s="13" t="s">
        <v>4</v>
      </c>
      <c r="G16" s="10" t="s">
        <v>95</v>
      </c>
    </row>
    <row r="17" customFormat="false" ht="31.5" hidden="false" customHeight="true" outlineLevel="0" collapsed="false">
      <c r="A17" s="12" t="s">
        <v>50</v>
      </c>
      <c r="B17" s="12" t="s">
        <v>96</v>
      </c>
      <c r="C17" s="12" t="s">
        <v>97</v>
      </c>
      <c r="D17" s="12" t="s">
        <v>98</v>
      </c>
      <c r="E17" s="12" t="s">
        <v>94</v>
      </c>
      <c r="F17" s="13" t="s">
        <v>4</v>
      </c>
      <c r="G17" s="12" t="s">
        <v>99</v>
      </c>
    </row>
    <row r="18" customFormat="false" ht="31.5" hidden="false" customHeight="true" outlineLevel="0" collapsed="false">
      <c r="A18" s="10" t="s">
        <v>50</v>
      </c>
      <c r="B18" s="10" t="s">
        <v>100</v>
      </c>
      <c r="C18" s="10" t="s">
        <v>101</v>
      </c>
      <c r="D18" s="10" t="s">
        <v>102</v>
      </c>
      <c r="E18" s="10" t="s">
        <v>94</v>
      </c>
      <c r="F18" s="13" t="s">
        <v>4</v>
      </c>
      <c r="G18" s="10"/>
    </row>
    <row r="19" customFormat="false" ht="31.5" hidden="false" customHeight="true" outlineLevel="0" collapsed="false">
      <c r="A19" s="12" t="s">
        <v>50</v>
      </c>
      <c r="B19" s="12" t="s">
        <v>103</v>
      </c>
      <c r="C19" s="12" t="s">
        <v>104</v>
      </c>
      <c r="D19" s="12" t="s">
        <v>74</v>
      </c>
      <c r="E19" s="12" t="s">
        <v>105</v>
      </c>
      <c r="F19" s="14" t="s">
        <v>6</v>
      </c>
      <c r="G19" s="12" t="s">
        <v>106</v>
      </c>
    </row>
    <row r="20" customFormat="false" ht="31.5" hidden="false" customHeight="true" outlineLevel="0" collapsed="false">
      <c r="A20" s="10" t="s">
        <v>50</v>
      </c>
      <c r="B20" s="10" t="s">
        <v>107</v>
      </c>
      <c r="C20" s="10" t="s">
        <v>108</v>
      </c>
      <c r="D20" s="10" t="s">
        <v>109</v>
      </c>
      <c r="E20" s="10" t="s">
        <v>110</v>
      </c>
      <c r="F20" s="13" t="s">
        <v>4</v>
      </c>
      <c r="G20" s="10"/>
    </row>
    <row r="21" customFormat="false" ht="31.5" hidden="false" customHeight="true" outlineLevel="0" collapsed="false">
      <c r="A21" s="12" t="s">
        <v>50</v>
      </c>
      <c r="B21" s="12" t="s">
        <v>111</v>
      </c>
      <c r="C21" s="12" t="s">
        <v>112</v>
      </c>
      <c r="D21" s="12" t="s">
        <v>74</v>
      </c>
      <c r="E21" s="12" t="s">
        <v>74</v>
      </c>
      <c r="F21" s="14" t="s">
        <v>6</v>
      </c>
      <c r="G21" s="12" t="s">
        <v>78</v>
      </c>
    </row>
    <row r="22" customFormat="false" ht="31.5" hidden="false" customHeight="true" outlineLevel="0" collapsed="false">
      <c r="A22" s="10" t="s">
        <v>50</v>
      </c>
      <c r="B22" s="10" t="s">
        <v>113</v>
      </c>
      <c r="C22" s="10" t="s">
        <v>114</v>
      </c>
      <c r="D22" s="10" t="s">
        <v>74</v>
      </c>
      <c r="E22" s="10" t="s">
        <v>74</v>
      </c>
      <c r="F22" s="14" t="s">
        <v>6</v>
      </c>
      <c r="G22" s="10" t="s">
        <v>115</v>
      </c>
    </row>
    <row r="23" customFormat="false" ht="31.5" hidden="false" customHeight="true" outlineLevel="0" collapsed="false">
      <c r="A23" s="12" t="s">
        <v>50</v>
      </c>
      <c r="B23" s="12" t="s">
        <v>116</v>
      </c>
      <c r="C23" s="12" t="s">
        <v>117</v>
      </c>
      <c r="D23" s="12" t="s">
        <v>118</v>
      </c>
      <c r="E23" s="12" t="s">
        <v>119</v>
      </c>
      <c r="F23" s="13" t="s">
        <v>4</v>
      </c>
      <c r="G23" s="12" t="s">
        <v>120</v>
      </c>
    </row>
    <row r="24" customFormat="false" ht="31.5" hidden="false" customHeight="true" outlineLevel="0" collapsed="false">
      <c r="A24" s="10" t="s">
        <v>121</v>
      </c>
      <c r="B24" s="10" t="s">
        <v>122</v>
      </c>
      <c r="C24" s="10" t="s">
        <v>123</v>
      </c>
      <c r="D24" s="10" t="s">
        <v>124</v>
      </c>
      <c r="E24" s="10" t="s">
        <v>125</v>
      </c>
      <c r="F24" s="11" t="s">
        <v>3</v>
      </c>
      <c r="G24" s="10"/>
    </row>
    <row r="25" customFormat="false" ht="31.5" hidden="false" customHeight="true" outlineLevel="0" collapsed="false">
      <c r="A25" s="12" t="s">
        <v>126</v>
      </c>
      <c r="B25" s="12" t="s">
        <v>127</v>
      </c>
      <c r="C25" s="12" t="s">
        <v>128</v>
      </c>
      <c r="D25" s="12" t="s">
        <v>129</v>
      </c>
      <c r="E25" s="12" t="s">
        <v>130</v>
      </c>
      <c r="F25" s="11" t="s">
        <v>3</v>
      </c>
      <c r="G25" s="12"/>
    </row>
    <row r="26" customFormat="false" ht="31.5" hidden="false" customHeight="true" outlineLevel="0" collapsed="false">
      <c r="A26" s="10" t="s">
        <v>126</v>
      </c>
      <c r="B26" s="10" t="s">
        <v>131</v>
      </c>
      <c r="C26" s="10" t="s">
        <v>132</v>
      </c>
      <c r="D26" s="10" t="s">
        <v>133</v>
      </c>
      <c r="E26" s="10" t="s">
        <v>134</v>
      </c>
      <c r="F26" s="13" t="s">
        <v>4</v>
      </c>
      <c r="G26" s="10" t="s">
        <v>135</v>
      </c>
    </row>
    <row r="27" customFormat="false" ht="31.5" hidden="false" customHeight="true" outlineLevel="0" collapsed="false">
      <c r="A27" s="12" t="s">
        <v>126</v>
      </c>
      <c r="B27" s="12" t="s">
        <v>136</v>
      </c>
      <c r="C27" s="12" t="s">
        <v>137</v>
      </c>
      <c r="D27" s="12" t="s">
        <v>133</v>
      </c>
      <c r="E27" s="12" t="s">
        <v>134</v>
      </c>
      <c r="F27" s="13" t="s">
        <v>4</v>
      </c>
      <c r="G27" s="12"/>
    </row>
    <row r="28" customFormat="false" ht="31.5" hidden="false" customHeight="true" outlineLevel="0" collapsed="false">
      <c r="A28" s="10" t="s">
        <v>126</v>
      </c>
      <c r="B28" s="10" t="s">
        <v>138</v>
      </c>
      <c r="C28" s="10" t="s">
        <v>139</v>
      </c>
      <c r="D28" s="10" t="s">
        <v>65</v>
      </c>
      <c r="E28" s="10" t="s">
        <v>140</v>
      </c>
      <c r="F28" s="11" t="s">
        <v>3</v>
      </c>
      <c r="G28" s="10"/>
    </row>
    <row r="29" customFormat="false" ht="31.5" hidden="false" customHeight="true" outlineLevel="0" collapsed="false">
      <c r="A29" s="12" t="s">
        <v>126</v>
      </c>
      <c r="B29" s="12" t="s">
        <v>141</v>
      </c>
      <c r="C29" s="12" t="s">
        <v>142</v>
      </c>
      <c r="D29" s="12" t="s">
        <v>143</v>
      </c>
      <c r="E29" s="12" t="s">
        <v>140</v>
      </c>
      <c r="F29" s="11" t="s">
        <v>3</v>
      </c>
      <c r="G29" s="12"/>
    </row>
    <row r="30" customFormat="false" ht="31.5" hidden="false" customHeight="true" outlineLevel="0" collapsed="false">
      <c r="A30" s="10" t="s">
        <v>126</v>
      </c>
      <c r="B30" s="10" t="s">
        <v>144</v>
      </c>
      <c r="C30" s="10" t="s">
        <v>145</v>
      </c>
      <c r="D30" s="10" t="s">
        <v>74</v>
      </c>
      <c r="E30" s="10" t="s">
        <v>146</v>
      </c>
      <c r="F30" s="14" t="s">
        <v>6</v>
      </c>
      <c r="G30" s="10" t="s">
        <v>147</v>
      </c>
    </row>
    <row r="31" customFormat="false" ht="31.5" hidden="false" customHeight="true" outlineLevel="0" collapsed="false">
      <c r="A31" s="12" t="s">
        <v>126</v>
      </c>
      <c r="B31" s="12" t="s">
        <v>148</v>
      </c>
      <c r="C31" s="12" t="s">
        <v>149</v>
      </c>
      <c r="D31" s="12" t="s">
        <v>74</v>
      </c>
      <c r="E31" s="12" t="s">
        <v>150</v>
      </c>
      <c r="F31" s="14" t="s">
        <v>6</v>
      </c>
      <c r="G31" s="12" t="s">
        <v>151</v>
      </c>
    </row>
    <row r="32" customFormat="false" ht="31.5" hidden="false" customHeight="true" outlineLevel="0" collapsed="false">
      <c r="A32" s="10" t="s">
        <v>126</v>
      </c>
      <c r="B32" s="10" t="s">
        <v>152</v>
      </c>
      <c r="C32" s="10" t="s">
        <v>153</v>
      </c>
      <c r="D32" s="10" t="s">
        <v>154</v>
      </c>
      <c r="E32" s="10" t="s">
        <v>155</v>
      </c>
      <c r="F32" s="13" t="s">
        <v>4</v>
      </c>
      <c r="G32" s="10" t="s">
        <v>156</v>
      </c>
    </row>
    <row r="33" customFormat="false" ht="31.5" hidden="false" customHeight="true" outlineLevel="0" collapsed="false">
      <c r="A33" s="12" t="s">
        <v>126</v>
      </c>
      <c r="B33" s="12" t="s">
        <v>157</v>
      </c>
      <c r="C33" s="12" t="s">
        <v>158</v>
      </c>
      <c r="D33" s="12" t="s">
        <v>154</v>
      </c>
      <c r="E33" s="12" t="s">
        <v>159</v>
      </c>
      <c r="F33" s="14" t="s">
        <v>6</v>
      </c>
      <c r="G33" s="12" t="s">
        <v>160</v>
      </c>
    </row>
    <row r="34" customFormat="false" ht="31.5" hidden="false" customHeight="true" outlineLevel="0" collapsed="false">
      <c r="A34" s="10" t="s">
        <v>126</v>
      </c>
      <c r="B34" s="10" t="s">
        <v>161</v>
      </c>
      <c r="C34" s="10" t="s">
        <v>162</v>
      </c>
      <c r="D34" s="10" t="s">
        <v>74</v>
      </c>
      <c r="E34" s="10" t="s">
        <v>74</v>
      </c>
      <c r="F34" s="14" t="s">
        <v>6</v>
      </c>
      <c r="G34" s="10" t="s">
        <v>163</v>
      </c>
    </row>
    <row r="35" customFormat="false" ht="31.5" hidden="false" customHeight="true" outlineLevel="0" collapsed="false">
      <c r="A35" s="12" t="s">
        <v>164</v>
      </c>
      <c r="B35" s="12" t="s">
        <v>165</v>
      </c>
      <c r="C35" s="12" t="s">
        <v>166</v>
      </c>
      <c r="D35" s="12" t="s">
        <v>167</v>
      </c>
      <c r="E35" s="12" t="s">
        <v>168</v>
      </c>
      <c r="F35" s="11" t="s">
        <v>3</v>
      </c>
      <c r="G35" s="12" t="s">
        <v>169</v>
      </c>
    </row>
    <row r="36" customFormat="false" ht="31.5" hidden="false" customHeight="true" outlineLevel="0" collapsed="false">
      <c r="A36" s="10" t="s">
        <v>164</v>
      </c>
      <c r="B36" s="10" t="s">
        <v>170</v>
      </c>
      <c r="C36" s="10" t="s">
        <v>171</v>
      </c>
      <c r="D36" s="10" t="s">
        <v>172</v>
      </c>
      <c r="E36" s="10" t="s">
        <v>173</v>
      </c>
      <c r="F36" s="11" t="s">
        <v>3</v>
      </c>
      <c r="G36" s="10" t="s">
        <v>174</v>
      </c>
    </row>
    <row r="37" customFormat="false" ht="31.5" hidden="false" customHeight="true" outlineLevel="0" collapsed="false">
      <c r="A37" s="12" t="s">
        <v>164</v>
      </c>
      <c r="B37" s="12" t="s">
        <v>175</v>
      </c>
      <c r="C37" s="12" t="s">
        <v>176</v>
      </c>
      <c r="D37" s="12" t="s">
        <v>177</v>
      </c>
      <c r="E37" s="12" t="s">
        <v>178</v>
      </c>
      <c r="F37" s="11" t="s">
        <v>3</v>
      </c>
      <c r="G37" s="12" t="s">
        <v>169</v>
      </c>
    </row>
    <row r="38" customFormat="false" ht="31.5" hidden="false" customHeight="true" outlineLevel="0" collapsed="false">
      <c r="A38" s="10" t="s">
        <v>164</v>
      </c>
      <c r="B38" s="10" t="s">
        <v>179</v>
      </c>
      <c r="C38" s="10" t="s">
        <v>180</v>
      </c>
      <c r="D38" s="10" t="s">
        <v>74</v>
      </c>
      <c r="E38" s="10" t="s">
        <v>74</v>
      </c>
      <c r="F38" s="14" t="s">
        <v>6</v>
      </c>
      <c r="G38" s="10" t="s">
        <v>181</v>
      </c>
    </row>
    <row r="39" customFormat="false" ht="31.5" hidden="false" customHeight="true" outlineLevel="0" collapsed="false">
      <c r="A39" s="12" t="s">
        <v>164</v>
      </c>
      <c r="B39" s="12" t="s">
        <v>182</v>
      </c>
      <c r="C39" s="12" t="s">
        <v>183</v>
      </c>
      <c r="D39" s="12" t="s">
        <v>184</v>
      </c>
      <c r="E39" s="12" t="s">
        <v>185</v>
      </c>
      <c r="F39" s="11" t="s">
        <v>3</v>
      </c>
      <c r="G39" s="12" t="s">
        <v>186</v>
      </c>
    </row>
    <row r="40" customFormat="false" ht="31.5" hidden="false" customHeight="true" outlineLevel="0" collapsed="false">
      <c r="A40" s="10" t="s">
        <v>164</v>
      </c>
      <c r="B40" s="10" t="s">
        <v>187</v>
      </c>
      <c r="C40" s="10" t="s">
        <v>188</v>
      </c>
      <c r="D40" s="10" t="s">
        <v>69</v>
      </c>
      <c r="E40" s="10" t="s">
        <v>189</v>
      </c>
      <c r="F40" s="11" t="s">
        <v>3</v>
      </c>
      <c r="G40" s="10" t="s">
        <v>190</v>
      </c>
    </row>
    <row r="41" customFormat="false" ht="31.5" hidden="false" customHeight="true" outlineLevel="0" collapsed="false">
      <c r="A41" s="12" t="s">
        <v>191</v>
      </c>
      <c r="B41" s="12" t="s">
        <v>192</v>
      </c>
      <c r="C41" s="12" t="s">
        <v>193</v>
      </c>
      <c r="D41" s="12" t="s">
        <v>194</v>
      </c>
      <c r="E41" s="12" t="s">
        <v>195</v>
      </c>
      <c r="F41" s="11" t="s">
        <v>3</v>
      </c>
      <c r="G41" s="12"/>
    </row>
    <row r="42" customFormat="false" ht="31.5" hidden="false" customHeight="true" outlineLevel="0" collapsed="false">
      <c r="A42" s="10" t="s">
        <v>191</v>
      </c>
      <c r="B42" s="10" t="s">
        <v>196</v>
      </c>
      <c r="C42" s="10" t="s">
        <v>197</v>
      </c>
      <c r="D42" s="10" t="s">
        <v>198</v>
      </c>
      <c r="E42" s="10" t="s">
        <v>199</v>
      </c>
      <c r="F42" s="11" t="s">
        <v>3</v>
      </c>
      <c r="G42" s="10"/>
    </row>
    <row r="43" customFormat="false" ht="31.5" hidden="false" customHeight="true" outlineLevel="0" collapsed="false">
      <c r="A43" s="12" t="s">
        <v>191</v>
      </c>
      <c r="B43" s="12" t="s">
        <v>200</v>
      </c>
      <c r="C43" s="12" t="s">
        <v>201</v>
      </c>
      <c r="D43" s="12" t="s">
        <v>202</v>
      </c>
      <c r="E43" s="12" t="s">
        <v>203</v>
      </c>
      <c r="F43" s="11" t="s">
        <v>3</v>
      </c>
      <c r="G43" s="12"/>
    </row>
    <row r="44" customFormat="false" ht="31.5" hidden="false" customHeight="true" outlineLevel="0" collapsed="false">
      <c r="A44" s="10" t="s">
        <v>191</v>
      </c>
      <c r="B44" s="10" t="s">
        <v>204</v>
      </c>
      <c r="C44" s="10" t="s">
        <v>205</v>
      </c>
      <c r="D44" s="10" t="s">
        <v>206</v>
      </c>
      <c r="E44" s="10" t="s">
        <v>173</v>
      </c>
      <c r="F44" s="11" t="s">
        <v>3</v>
      </c>
      <c r="G44" s="10"/>
    </row>
    <row r="45" customFormat="false" ht="31.5" hidden="false" customHeight="true" outlineLevel="0" collapsed="false">
      <c r="A45" s="12" t="s">
        <v>191</v>
      </c>
      <c r="B45" s="12" t="s">
        <v>207</v>
      </c>
      <c r="C45" s="12" t="s">
        <v>208</v>
      </c>
      <c r="D45" s="12" t="s">
        <v>177</v>
      </c>
      <c r="E45" s="12" t="s">
        <v>178</v>
      </c>
      <c r="F45" s="11" t="s">
        <v>3</v>
      </c>
      <c r="G45" s="12"/>
    </row>
    <row r="46" customFormat="false" ht="31.5" hidden="false" customHeight="true" outlineLevel="0" collapsed="false">
      <c r="A46" s="10" t="s">
        <v>191</v>
      </c>
      <c r="B46" s="10" t="s">
        <v>209</v>
      </c>
      <c r="C46" s="10" t="s">
        <v>210</v>
      </c>
      <c r="D46" s="10" t="s">
        <v>211</v>
      </c>
      <c r="E46" s="10" t="s">
        <v>212</v>
      </c>
      <c r="F46" s="11" t="s">
        <v>3</v>
      </c>
      <c r="G46" s="10"/>
    </row>
    <row r="47" customFormat="false" ht="31.5" hidden="false" customHeight="true" outlineLevel="0" collapsed="false">
      <c r="A47" s="12" t="s">
        <v>191</v>
      </c>
      <c r="B47" s="12" t="s">
        <v>213</v>
      </c>
      <c r="C47" s="12" t="s">
        <v>214</v>
      </c>
      <c r="D47" s="12" t="s">
        <v>215</v>
      </c>
      <c r="E47" s="12" t="s">
        <v>216</v>
      </c>
      <c r="F47" s="11" t="s">
        <v>3</v>
      </c>
      <c r="G47" s="12" t="s">
        <v>217</v>
      </c>
    </row>
    <row r="48" customFormat="false" ht="31.5" hidden="false" customHeight="true" outlineLevel="0" collapsed="false">
      <c r="A48" s="10" t="s">
        <v>191</v>
      </c>
      <c r="B48" s="10" t="s">
        <v>218</v>
      </c>
      <c r="C48" s="10" t="s">
        <v>219</v>
      </c>
      <c r="D48" s="10" t="s">
        <v>220</v>
      </c>
      <c r="E48" s="10" t="s">
        <v>221</v>
      </c>
      <c r="F48" s="11" t="s">
        <v>3</v>
      </c>
      <c r="G48" s="10"/>
    </row>
    <row r="49" customFormat="false" ht="31.5" hidden="false" customHeight="true" outlineLevel="0" collapsed="false">
      <c r="A49" s="12" t="s">
        <v>222</v>
      </c>
      <c r="B49" s="12" t="s">
        <v>223</v>
      </c>
      <c r="C49" s="12" t="s">
        <v>224</v>
      </c>
      <c r="D49" s="12" t="s">
        <v>225</v>
      </c>
      <c r="E49" s="12" t="s">
        <v>226</v>
      </c>
      <c r="F49" s="15" t="s">
        <v>5</v>
      </c>
      <c r="G49" s="12" t="s">
        <v>227</v>
      </c>
    </row>
    <row r="50" customFormat="false" ht="31.5" hidden="false" customHeight="true" outlineLevel="0" collapsed="false">
      <c r="A50" s="10" t="s">
        <v>222</v>
      </c>
      <c r="B50" s="10" t="s">
        <v>228</v>
      </c>
      <c r="C50" s="10" t="s">
        <v>229</v>
      </c>
      <c r="D50" s="10" t="s">
        <v>230</v>
      </c>
      <c r="E50" s="10" t="s">
        <v>231</v>
      </c>
      <c r="F50" s="15" t="s">
        <v>5</v>
      </c>
      <c r="G50" s="10" t="s">
        <v>232</v>
      </c>
    </row>
    <row r="51" customFormat="false" ht="31.5" hidden="false" customHeight="true" outlineLevel="0" collapsed="false">
      <c r="A51" s="12" t="s">
        <v>222</v>
      </c>
      <c r="B51" s="12" t="s">
        <v>233</v>
      </c>
      <c r="C51" s="12" t="s">
        <v>234</v>
      </c>
      <c r="D51" s="12" t="s">
        <v>235</v>
      </c>
      <c r="E51" s="12" t="s">
        <v>236</v>
      </c>
      <c r="F51" s="15" t="s">
        <v>5</v>
      </c>
      <c r="G51" s="12" t="s">
        <v>237</v>
      </c>
    </row>
    <row r="52" customFormat="false" ht="31.5" hidden="false" customHeight="true" outlineLevel="0" collapsed="false">
      <c r="A52" s="10" t="s">
        <v>222</v>
      </c>
      <c r="B52" s="10" t="s">
        <v>238</v>
      </c>
      <c r="C52" s="10" t="s">
        <v>239</v>
      </c>
      <c r="D52" s="10" t="s">
        <v>240</v>
      </c>
      <c r="E52" s="10" t="s">
        <v>241</v>
      </c>
      <c r="F52" s="15" t="s">
        <v>5</v>
      </c>
      <c r="G52" s="10" t="s">
        <v>242</v>
      </c>
    </row>
    <row r="53" customFormat="false" ht="31.5" hidden="false" customHeight="true" outlineLevel="0" collapsed="false">
      <c r="A53" s="12" t="s">
        <v>222</v>
      </c>
      <c r="B53" s="12" t="s">
        <v>243</v>
      </c>
      <c r="C53" s="12" t="s">
        <v>244</v>
      </c>
      <c r="D53" s="12" t="s">
        <v>245</v>
      </c>
      <c r="E53" s="12" t="s">
        <v>246</v>
      </c>
      <c r="F53" s="11" t="s">
        <v>3</v>
      </c>
      <c r="G53" s="12" t="s">
        <v>169</v>
      </c>
    </row>
    <row r="54" customFormat="false" ht="31.5" hidden="false" customHeight="true" outlineLevel="0" collapsed="false">
      <c r="A54" s="10" t="s">
        <v>222</v>
      </c>
      <c r="B54" s="10" t="s">
        <v>247</v>
      </c>
      <c r="C54" s="10" t="s">
        <v>248</v>
      </c>
      <c r="D54" s="10" t="s">
        <v>249</v>
      </c>
      <c r="E54" s="10" t="s">
        <v>250</v>
      </c>
      <c r="F54" s="15" t="s">
        <v>5</v>
      </c>
      <c r="G54" s="10" t="s">
        <v>251</v>
      </c>
    </row>
    <row r="55" customFormat="false" ht="31.5" hidden="false" customHeight="true" outlineLevel="0" collapsed="false">
      <c r="A55" s="12" t="s">
        <v>222</v>
      </c>
      <c r="B55" s="12" t="s">
        <v>252</v>
      </c>
      <c r="C55" s="12" t="s">
        <v>253</v>
      </c>
      <c r="D55" s="12" t="s">
        <v>254</v>
      </c>
      <c r="E55" s="12" t="s">
        <v>255</v>
      </c>
      <c r="F55" s="13" t="s">
        <v>4</v>
      </c>
      <c r="G55" s="12" t="s">
        <v>256</v>
      </c>
    </row>
    <row r="56" customFormat="false" ht="31.5" hidden="false" customHeight="true" outlineLevel="0" collapsed="false">
      <c r="A56" s="10" t="s">
        <v>257</v>
      </c>
      <c r="B56" s="10" t="s">
        <v>258</v>
      </c>
      <c r="C56" s="10" t="s">
        <v>259</v>
      </c>
      <c r="D56" s="10" t="s">
        <v>260</v>
      </c>
      <c r="E56" s="10" t="s">
        <v>261</v>
      </c>
      <c r="F56" s="11" t="s">
        <v>3</v>
      </c>
      <c r="G56" s="10" t="s">
        <v>169</v>
      </c>
    </row>
    <row r="57" customFormat="false" ht="31.5" hidden="false" customHeight="true" outlineLevel="0" collapsed="false">
      <c r="A57" s="12" t="s">
        <v>257</v>
      </c>
      <c r="B57" s="12" t="s">
        <v>262</v>
      </c>
      <c r="C57" s="12" t="s">
        <v>263</v>
      </c>
      <c r="D57" s="12" t="s">
        <v>264</v>
      </c>
      <c r="E57" s="12" t="s">
        <v>265</v>
      </c>
      <c r="F57" s="11" t="s">
        <v>3</v>
      </c>
      <c r="G57" s="12"/>
    </row>
    <row r="58" customFormat="false" ht="31.5" hidden="false" customHeight="true" outlineLevel="0" collapsed="false">
      <c r="A58" s="10" t="s">
        <v>257</v>
      </c>
      <c r="B58" s="10" t="s">
        <v>266</v>
      </c>
      <c r="C58" s="10" t="s">
        <v>267</v>
      </c>
      <c r="D58" s="10" t="s">
        <v>268</v>
      </c>
      <c r="E58" s="10" t="s">
        <v>269</v>
      </c>
      <c r="F58" s="11" t="s">
        <v>3</v>
      </c>
      <c r="G58" s="10"/>
    </row>
    <row r="59" customFormat="false" ht="31.5" hidden="false" customHeight="true" outlineLevel="0" collapsed="false">
      <c r="A59" s="12" t="s">
        <v>257</v>
      </c>
      <c r="B59" s="12" t="s">
        <v>270</v>
      </c>
      <c r="C59" s="12" t="s">
        <v>271</v>
      </c>
      <c r="D59" s="12" t="s">
        <v>272</v>
      </c>
      <c r="E59" s="12" t="s">
        <v>273</v>
      </c>
      <c r="F59" s="15" t="s">
        <v>5</v>
      </c>
      <c r="G59" s="12" t="s">
        <v>274</v>
      </c>
    </row>
    <row r="60" customFormat="false" ht="31.5" hidden="false" customHeight="true" outlineLevel="0" collapsed="false">
      <c r="A60" s="10" t="s">
        <v>257</v>
      </c>
      <c r="B60" s="10" t="s">
        <v>275</v>
      </c>
      <c r="C60" s="10" t="s">
        <v>276</v>
      </c>
      <c r="D60" s="10" t="s">
        <v>277</v>
      </c>
      <c r="E60" s="10" t="s">
        <v>278</v>
      </c>
      <c r="F60" s="15" t="s">
        <v>5</v>
      </c>
      <c r="G60" s="10" t="s">
        <v>279</v>
      </c>
    </row>
    <row r="61" customFormat="false" ht="31.5" hidden="false" customHeight="true" outlineLevel="0" collapsed="false">
      <c r="A61" s="12" t="s">
        <v>257</v>
      </c>
      <c r="B61" s="12" t="s">
        <v>280</v>
      </c>
      <c r="C61" s="12" t="s">
        <v>281</v>
      </c>
      <c r="D61" s="12" t="s">
        <v>282</v>
      </c>
      <c r="E61" s="12" t="s">
        <v>283</v>
      </c>
      <c r="F61" s="15" t="s">
        <v>5</v>
      </c>
      <c r="G61" s="12" t="s">
        <v>284</v>
      </c>
    </row>
    <row r="62" customFormat="false" ht="31.5" hidden="false" customHeight="true" outlineLevel="0" collapsed="false">
      <c r="A62" s="10" t="s">
        <v>257</v>
      </c>
      <c r="B62" s="10" t="s">
        <v>285</v>
      </c>
      <c r="C62" s="10" t="s">
        <v>286</v>
      </c>
      <c r="D62" s="10" t="s">
        <v>287</v>
      </c>
      <c r="E62" s="10" t="s">
        <v>288</v>
      </c>
      <c r="F62" s="15" t="s">
        <v>5</v>
      </c>
      <c r="G62" s="10" t="s">
        <v>289</v>
      </c>
    </row>
    <row r="63" customFormat="false" ht="31.5" hidden="false" customHeight="true" outlineLevel="0" collapsed="false">
      <c r="A63" s="12" t="s">
        <v>257</v>
      </c>
      <c r="B63" s="12" t="s">
        <v>290</v>
      </c>
      <c r="C63" s="12" t="s">
        <v>291</v>
      </c>
      <c r="D63" s="12" t="s">
        <v>292</v>
      </c>
      <c r="E63" s="12" t="s">
        <v>293</v>
      </c>
      <c r="F63" s="11" t="s">
        <v>3</v>
      </c>
      <c r="G63" s="12" t="s">
        <v>294</v>
      </c>
    </row>
    <row r="64" customFormat="false" ht="31.5" hidden="false" customHeight="true" outlineLevel="0" collapsed="false">
      <c r="A64" s="10" t="s">
        <v>257</v>
      </c>
      <c r="B64" s="10" t="s">
        <v>295</v>
      </c>
      <c r="C64" s="10" t="s">
        <v>296</v>
      </c>
      <c r="D64" s="10" t="s">
        <v>297</v>
      </c>
      <c r="E64" s="10" t="s">
        <v>298</v>
      </c>
      <c r="F64" s="11" t="s">
        <v>3</v>
      </c>
      <c r="G64" s="10" t="s">
        <v>299</v>
      </c>
    </row>
    <row r="65" customFormat="false" ht="31.5" hidden="false" customHeight="true" outlineLevel="0" collapsed="false">
      <c r="A65" s="12" t="s">
        <v>300</v>
      </c>
      <c r="B65" s="12" t="s">
        <v>301</v>
      </c>
      <c r="C65" s="12" t="s">
        <v>302</v>
      </c>
      <c r="D65" s="12" t="s">
        <v>303</v>
      </c>
      <c r="E65" s="12" t="s">
        <v>304</v>
      </c>
      <c r="F65" s="15" t="s">
        <v>5</v>
      </c>
      <c r="G65" s="12" t="s">
        <v>305</v>
      </c>
    </row>
    <row r="66" customFormat="false" ht="31.5" hidden="false" customHeight="true" outlineLevel="0" collapsed="false">
      <c r="A66" s="10" t="s">
        <v>300</v>
      </c>
      <c r="B66" s="10" t="s">
        <v>306</v>
      </c>
      <c r="C66" s="10" t="s">
        <v>307</v>
      </c>
      <c r="D66" s="10" t="s">
        <v>308</v>
      </c>
      <c r="E66" s="10" t="s">
        <v>304</v>
      </c>
      <c r="F66" s="15" t="s">
        <v>5</v>
      </c>
      <c r="G66" s="10" t="s">
        <v>309</v>
      </c>
    </row>
    <row r="67" customFormat="false" ht="31.5" hidden="false" customHeight="true" outlineLevel="0" collapsed="false">
      <c r="A67" s="12" t="s">
        <v>300</v>
      </c>
      <c r="B67" s="12" t="s">
        <v>310</v>
      </c>
      <c r="C67" s="12" t="s">
        <v>311</v>
      </c>
      <c r="D67" s="12" t="s">
        <v>312</v>
      </c>
      <c r="E67" s="12" t="s">
        <v>313</v>
      </c>
      <c r="F67" s="15" t="s">
        <v>5</v>
      </c>
      <c r="G67" s="12" t="s">
        <v>314</v>
      </c>
    </row>
    <row r="68" customFormat="false" ht="31.5" hidden="false" customHeight="true" outlineLevel="0" collapsed="false">
      <c r="A68" s="10" t="s">
        <v>300</v>
      </c>
      <c r="B68" s="10" t="s">
        <v>315</v>
      </c>
      <c r="C68" s="10" t="s">
        <v>316</v>
      </c>
      <c r="D68" s="10" t="s">
        <v>317</v>
      </c>
      <c r="E68" s="10" t="s">
        <v>318</v>
      </c>
      <c r="F68" s="15" t="s">
        <v>5</v>
      </c>
      <c r="G68" s="10" t="s">
        <v>319</v>
      </c>
    </row>
    <row r="69" customFormat="false" ht="31.5" hidden="false" customHeight="true" outlineLevel="0" collapsed="false">
      <c r="A69" s="12" t="s">
        <v>320</v>
      </c>
      <c r="B69" s="12" t="s">
        <v>321</v>
      </c>
      <c r="C69" s="12" t="s">
        <v>322</v>
      </c>
      <c r="D69" s="12" t="s">
        <v>323</v>
      </c>
      <c r="E69" s="12" t="s">
        <v>173</v>
      </c>
      <c r="F69" s="11" t="s">
        <v>3</v>
      </c>
      <c r="G69" s="12" t="s">
        <v>324</v>
      </c>
    </row>
    <row r="70" customFormat="false" ht="31.5" hidden="false" customHeight="true" outlineLevel="0" collapsed="false">
      <c r="A70" s="10" t="s">
        <v>320</v>
      </c>
      <c r="B70" s="10" t="s">
        <v>325</v>
      </c>
      <c r="C70" s="10" t="s">
        <v>326</v>
      </c>
      <c r="D70" s="10" t="s">
        <v>327</v>
      </c>
      <c r="E70" s="10" t="s">
        <v>328</v>
      </c>
      <c r="F70" s="15" t="s">
        <v>5</v>
      </c>
      <c r="G70" s="10" t="s">
        <v>329</v>
      </c>
    </row>
    <row r="71" customFormat="false" ht="31.5" hidden="false" customHeight="true" outlineLevel="0" collapsed="false">
      <c r="A71" s="12" t="s">
        <v>320</v>
      </c>
      <c r="B71" s="12" t="s">
        <v>330</v>
      </c>
      <c r="C71" s="12" t="s">
        <v>331</v>
      </c>
      <c r="D71" s="12" t="s">
        <v>332</v>
      </c>
      <c r="E71" s="12" t="s">
        <v>333</v>
      </c>
      <c r="F71" s="13" t="s">
        <v>4</v>
      </c>
      <c r="G71" s="12" t="s">
        <v>334</v>
      </c>
    </row>
    <row r="72" customFormat="false" ht="31.5" hidden="false" customHeight="true" outlineLevel="0" collapsed="false">
      <c r="A72" s="10" t="s">
        <v>320</v>
      </c>
      <c r="B72" s="10" t="s">
        <v>335</v>
      </c>
      <c r="C72" s="10" t="s">
        <v>336</v>
      </c>
      <c r="D72" s="10" t="s">
        <v>337</v>
      </c>
      <c r="E72" s="10" t="s">
        <v>338</v>
      </c>
      <c r="F72" s="11" t="s">
        <v>3</v>
      </c>
      <c r="G72" s="10" t="s">
        <v>339</v>
      </c>
    </row>
    <row r="73" customFormat="false" ht="31.5" hidden="false" customHeight="true" outlineLevel="0" collapsed="false">
      <c r="A73" s="12" t="s">
        <v>320</v>
      </c>
      <c r="B73" s="12" t="s">
        <v>340</v>
      </c>
      <c r="C73" s="12" t="s">
        <v>341</v>
      </c>
      <c r="D73" s="12" t="s">
        <v>342</v>
      </c>
      <c r="E73" s="12" t="s">
        <v>343</v>
      </c>
      <c r="F73" s="11" t="s">
        <v>3</v>
      </c>
      <c r="G73" s="12" t="s">
        <v>344</v>
      </c>
    </row>
    <row r="74" customFormat="false" ht="31.5" hidden="false" customHeight="true" outlineLevel="0" collapsed="false">
      <c r="A74" s="10" t="s">
        <v>320</v>
      </c>
      <c r="B74" s="10" t="s">
        <v>345</v>
      </c>
      <c r="C74" s="10" t="s">
        <v>346</v>
      </c>
      <c r="D74" s="10" t="s">
        <v>347</v>
      </c>
      <c r="E74" s="10" t="s">
        <v>348</v>
      </c>
      <c r="F74" s="15" t="s">
        <v>5</v>
      </c>
      <c r="G74" s="10" t="s">
        <v>349</v>
      </c>
    </row>
    <row r="75" customFormat="false" ht="31.5" hidden="false" customHeight="true" outlineLevel="0" collapsed="false">
      <c r="A75" s="12" t="s">
        <v>257</v>
      </c>
      <c r="B75" s="12" t="s">
        <v>350</v>
      </c>
      <c r="C75" s="12" t="s">
        <v>351</v>
      </c>
      <c r="D75" s="12" t="s">
        <v>352</v>
      </c>
      <c r="E75" s="12" t="s">
        <v>353</v>
      </c>
      <c r="F75" s="15" t="s">
        <v>5</v>
      </c>
      <c r="G75" s="12" t="s">
        <v>354</v>
      </c>
    </row>
    <row r="76" customFormat="false" ht="31.5" hidden="false" customHeight="true" outlineLevel="0" collapsed="false">
      <c r="A76" s="10" t="s">
        <v>320</v>
      </c>
      <c r="B76" s="10" t="s">
        <v>355</v>
      </c>
      <c r="C76" s="10" t="s">
        <v>356</v>
      </c>
      <c r="D76" s="10" t="s">
        <v>74</v>
      </c>
      <c r="E76" s="10" t="s">
        <v>357</v>
      </c>
      <c r="F76" s="11" t="s">
        <v>3</v>
      </c>
      <c r="G76" s="10" t="s">
        <v>358</v>
      </c>
    </row>
    <row r="77" customFormat="false" ht="31.5" hidden="false" customHeight="true" outlineLevel="0" collapsed="false">
      <c r="A77" s="12" t="s">
        <v>320</v>
      </c>
      <c r="B77" s="12" t="s">
        <v>359</v>
      </c>
      <c r="C77" s="12" t="s">
        <v>360</v>
      </c>
      <c r="D77" s="12" t="s">
        <v>74</v>
      </c>
      <c r="E77" s="12" t="s">
        <v>361</v>
      </c>
      <c r="F77" s="11" t="s">
        <v>3</v>
      </c>
      <c r="G77" s="12" t="s">
        <v>362</v>
      </c>
    </row>
    <row r="78" customFormat="false" ht="31.5" hidden="false" customHeight="true" outlineLevel="0" collapsed="false">
      <c r="A78" s="10" t="s">
        <v>363</v>
      </c>
      <c r="B78" s="10" t="s">
        <v>364</v>
      </c>
      <c r="C78" s="10" t="s">
        <v>365</v>
      </c>
      <c r="D78" s="10" t="s">
        <v>366</v>
      </c>
      <c r="E78" s="10" t="s">
        <v>367</v>
      </c>
      <c r="F78" s="13" t="s">
        <v>4</v>
      </c>
      <c r="G78" s="10" t="s">
        <v>368</v>
      </c>
    </row>
    <row r="79" customFormat="false" ht="31.5" hidden="false" customHeight="true" outlineLevel="0" collapsed="false">
      <c r="A79" s="12" t="s">
        <v>363</v>
      </c>
      <c r="B79" s="12" t="s">
        <v>369</v>
      </c>
      <c r="C79" s="12" t="s">
        <v>370</v>
      </c>
      <c r="D79" s="12" t="s">
        <v>371</v>
      </c>
      <c r="E79" s="12" t="s">
        <v>372</v>
      </c>
      <c r="F79" s="13" t="s">
        <v>4</v>
      </c>
      <c r="G79" s="12" t="s">
        <v>373</v>
      </c>
    </row>
    <row r="80" customFormat="false" ht="31.5" hidden="false" customHeight="true" outlineLevel="0" collapsed="false">
      <c r="A80" s="10" t="s">
        <v>363</v>
      </c>
      <c r="B80" s="10" t="s">
        <v>374</v>
      </c>
      <c r="C80" s="10" t="s">
        <v>375</v>
      </c>
      <c r="D80" s="10" t="s">
        <v>74</v>
      </c>
      <c r="E80" s="10" t="s">
        <v>74</v>
      </c>
      <c r="F80" s="14" t="s">
        <v>6</v>
      </c>
      <c r="G80" s="10" t="s">
        <v>376</v>
      </c>
    </row>
    <row r="81" customFormat="false" ht="31.5" hidden="false" customHeight="true" outlineLevel="0" collapsed="false">
      <c r="A81" s="12" t="s">
        <v>363</v>
      </c>
      <c r="B81" s="12" t="s">
        <v>377</v>
      </c>
      <c r="C81" s="12" t="s">
        <v>378</v>
      </c>
      <c r="D81" s="12" t="s">
        <v>379</v>
      </c>
      <c r="E81" s="12" t="s">
        <v>380</v>
      </c>
      <c r="F81" s="11" t="s">
        <v>3</v>
      </c>
      <c r="G81" s="12" t="s">
        <v>381</v>
      </c>
    </row>
    <row r="82" customFormat="false" ht="31.5" hidden="false" customHeight="true" outlineLevel="0" collapsed="false">
      <c r="A82" s="10" t="s">
        <v>363</v>
      </c>
      <c r="B82" s="10" t="s">
        <v>382</v>
      </c>
      <c r="C82" s="10" t="s">
        <v>383</v>
      </c>
      <c r="D82" s="10" t="s">
        <v>384</v>
      </c>
      <c r="E82" s="10" t="s">
        <v>385</v>
      </c>
      <c r="F82" s="11" t="s">
        <v>3</v>
      </c>
      <c r="G82" s="10" t="s">
        <v>169</v>
      </c>
    </row>
    <row r="83" customFormat="false" ht="31.5" hidden="false" customHeight="true" outlineLevel="0" collapsed="false">
      <c r="A83" s="12" t="s">
        <v>363</v>
      </c>
      <c r="B83" s="12" t="s">
        <v>386</v>
      </c>
      <c r="C83" s="12" t="s">
        <v>387</v>
      </c>
      <c r="D83" s="12" t="s">
        <v>74</v>
      </c>
      <c r="E83" s="12" t="s">
        <v>74</v>
      </c>
      <c r="F83" s="14" t="s">
        <v>6</v>
      </c>
      <c r="G83" s="12" t="s">
        <v>388</v>
      </c>
    </row>
    <row r="84" customFormat="false" ht="31.5" hidden="false" customHeight="true" outlineLevel="0" collapsed="false">
      <c r="A84" s="10" t="s">
        <v>363</v>
      </c>
      <c r="B84" s="10" t="s">
        <v>389</v>
      </c>
      <c r="C84" s="10" t="s">
        <v>390</v>
      </c>
      <c r="D84" s="10" t="s">
        <v>74</v>
      </c>
      <c r="E84" s="10" t="s">
        <v>74</v>
      </c>
      <c r="F84" s="14" t="s">
        <v>6</v>
      </c>
      <c r="G84" s="10" t="s">
        <v>391</v>
      </c>
    </row>
    <row r="85" customFormat="false" ht="31.5" hidden="false" customHeight="true" outlineLevel="0" collapsed="false">
      <c r="A85" s="12" t="s">
        <v>363</v>
      </c>
      <c r="B85" s="12" t="s">
        <v>392</v>
      </c>
      <c r="C85" s="12" t="s">
        <v>393</v>
      </c>
      <c r="D85" s="12" t="s">
        <v>394</v>
      </c>
      <c r="E85" s="12" t="s">
        <v>395</v>
      </c>
      <c r="F85" s="15" t="s">
        <v>5</v>
      </c>
      <c r="G85" s="12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56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30" hidden="false" customHeight="true" outlineLevel="0" collapsed="false">
      <c r="A1" s="9" t="s">
        <v>397</v>
      </c>
      <c r="B1" s="9" t="s">
        <v>398</v>
      </c>
      <c r="C1" s="9" t="s">
        <v>399</v>
      </c>
      <c r="D1" s="9" t="s">
        <v>400</v>
      </c>
      <c r="E1" s="9" t="s">
        <v>401</v>
      </c>
      <c r="F1" s="9" t="s">
        <v>402</v>
      </c>
    </row>
    <row r="2" customFormat="false" ht="49.5" hidden="false" customHeight="true" outlineLevel="0" collapsed="false">
      <c r="A2" s="10" t="s">
        <v>223</v>
      </c>
      <c r="B2" s="10" t="s">
        <v>403</v>
      </c>
      <c r="C2" s="10" t="s">
        <v>226</v>
      </c>
      <c r="D2" s="10" t="s">
        <v>404</v>
      </c>
      <c r="E2" s="10" t="s">
        <v>405</v>
      </c>
      <c r="F2" s="11" t="s">
        <v>406</v>
      </c>
    </row>
    <row r="3" customFormat="false" ht="49.5" hidden="false" customHeight="true" outlineLevel="0" collapsed="false">
      <c r="A3" s="12" t="s">
        <v>228</v>
      </c>
      <c r="B3" s="12" t="s">
        <v>407</v>
      </c>
      <c r="C3" s="12" t="s">
        <v>231</v>
      </c>
      <c r="D3" s="12" t="s">
        <v>408</v>
      </c>
      <c r="E3" s="12" t="s">
        <v>409</v>
      </c>
      <c r="F3" s="14" t="s">
        <v>410</v>
      </c>
    </row>
    <row r="4" customFormat="false" ht="49.5" hidden="false" customHeight="true" outlineLevel="0" collapsed="false">
      <c r="A4" s="10" t="s">
        <v>233</v>
      </c>
      <c r="B4" s="10" t="s">
        <v>411</v>
      </c>
      <c r="C4" s="10" t="s">
        <v>236</v>
      </c>
      <c r="D4" s="10" t="s">
        <v>412</v>
      </c>
      <c r="E4" s="10" t="s">
        <v>413</v>
      </c>
      <c r="F4" s="14" t="s">
        <v>410</v>
      </c>
    </row>
    <row r="5" customFormat="false" ht="49.5" hidden="false" customHeight="true" outlineLevel="0" collapsed="false">
      <c r="A5" s="12" t="s">
        <v>238</v>
      </c>
      <c r="B5" s="12" t="s">
        <v>414</v>
      </c>
      <c r="C5" s="12" t="s">
        <v>241</v>
      </c>
      <c r="D5" s="12" t="s">
        <v>415</v>
      </c>
      <c r="E5" s="12" t="s">
        <v>416</v>
      </c>
      <c r="F5" s="13" t="s">
        <v>417</v>
      </c>
    </row>
    <row r="6" customFormat="false" ht="49.5" hidden="false" customHeight="true" outlineLevel="0" collapsed="false">
      <c r="A6" s="10" t="s">
        <v>247</v>
      </c>
      <c r="B6" s="10" t="s">
        <v>418</v>
      </c>
      <c r="C6" s="10" t="s">
        <v>250</v>
      </c>
      <c r="D6" s="10" t="s">
        <v>419</v>
      </c>
      <c r="E6" s="10" t="s">
        <v>420</v>
      </c>
      <c r="F6" s="13" t="s">
        <v>417</v>
      </c>
    </row>
    <row r="7" customFormat="false" ht="49.5" hidden="false" customHeight="true" outlineLevel="0" collapsed="false">
      <c r="A7" s="12" t="s">
        <v>270</v>
      </c>
      <c r="B7" s="12" t="s">
        <v>278</v>
      </c>
      <c r="C7" s="12" t="s">
        <v>273</v>
      </c>
      <c r="D7" s="12" t="s">
        <v>421</v>
      </c>
      <c r="E7" s="12" t="s">
        <v>422</v>
      </c>
      <c r="F7" s="14" t="s">
        <v>410</v>
      </c>
    </row>
    <row r="8" customFormat="false" ht="49.5" hidden="false" customHeight="true" outlineLevel="0" collapsed="false">
      <c r="A8" s="10" t="s">
        <v>275</v>
      </c>
      <c r="B8" s="10" t="s">
        <v>273</v>
      </c>
      <c r="C8" s="10" t="s">
        <v>278</v>
      </c>
      <c r="D8" s="10" t="s">
        <v>423</v>
      </c>
      <c r="E8" s="10" t="s">
        <v>424</v>
      </c>
      <c r="F8" s="14" t="s">
        <v>410</v>
      </c>
    </row>
    <row r="9" customFormat="false" ht="49.5" hidden="false" customHeight="true" outlineLevel="0" collapsed="false">
      <c r="A9" s="12" t="s">
        <v>280</v>
      </c>
      <c r="B9" s="12" t="s">
        <v>425</v>
      </c>
      <c r="C9" s="12" t="s">
        <v>426</v>
      </c>
      <c r="D9" s="12" t="s">
        <v>427</v>
      </c>
      <c r="E9" s="12" t="s">
        <v>428</v>
      </c>
      <c r="F9" s="14" t="s">
        <v>410</v>
      </c>
    </row>
    <row r="10" customFormat="false" ht="49.5" hidden="false" customHeight="true" outlineLevel="0" collapsed="false">
      <c r="A10" s="10" t="s">
        <v>285</v>
      </c>
      <c r="B10" s="10" t="s">
        <v>429</v>
      </c>
      <c r="C10" s="10" t="s">
        <v>430</v>
      </c>
      <c r="D10" s="10" t="s">
        <v>431</v>
      </c>
      <c r="E10" s="10" t="s">
        <v>432</v>
      </c>
      <c r="F10" s="14" t="s">
        <v>410</v>
      </c>
    </row>
    <row r="11" customFormat="false" ht="49.5" hidden="false" customHeight="true" outlineLevel="0" collapsed="false">
      <c r="A11" s="12" t="s">
        <v>301</v>
      </c>
      <c r="B11" s="12" t="s">
        <v>278</v>
      </c>
      <c r="C11" s="12" t="s">
        <v>304</v>
      </c>
      <c r="D11" s="12" t="s">
        <v>433</v>
      </c>
      <c r="E11" s="12" t="s">
        <v>434</v>
      </c>
      <c r="F11" s="14" t="s">
        <v>410</v>
      </c>
    </row>
    <row r="12" customFormat="false" ht="49.5" hidden="false" customHeight="true" outlineLevel="0" collapsed="false">
      <c r="A12" s="10" t="s">
        <v>306</v>
      </c>
      <c r="B12" s="10" t="s">
        <v>304</v>
      </c>
      <c r="C12" s="10" t="s">
        <v>304</v>
      </c>
      <c r="D12" s="10" t="s">
        <v>435</v>
      </c>
      <c r="E12" s="10" t="s">
        <v>436</v>
      </c>
      <c r="F12" s="13" t="s">
        <v>417</v>
      </c>
    </row>
    <row r="13" customFormat="false" ht="49.5" hidden="false" customHeight="true" outlineLevel="0" collapsed="false">
      <c r="A13" s="12" t="s">
        <v>310</v>
      </c>
      <c r="B13" s="12" t="s">
        <v>437</v>
      </c>
      <c r="C13" s="12" t="s">
        <v>438</v>
      </c>
      <c r="D13" s="12" t="s">
        <v>439</v>
      </c>
      <c r="E13" s="12" t="s">
        <v>440</v>
      </c>
      <c r="F13" s="14" t="s">
        <v>410</v>
      </c>
    </row>
    <row r="14" customFormat="false" ht="49.5" hidden="false" customHeight="true" outlineLevel="0" collapsed="false">
      <c r="A14" s="10" t="s">
        <v>315</v>
      </c>
      <c r="B14" s="10" t="s">
        <v>441</v>
      </c>
      <c r="C14" s="10" t="s">
        <v>442</v>
      </c>
      <c r="D14" s="10" t="s">
        <v>443</v>
      </c>
      <c r="E14" s="10" t="s">
        <v>440</v>
      </c>
      <c r="F14" s="14" t="s">
        <v>410</v>
      </c>
    </row>
    <row r="15" customFormat="false" ht="49.5" hidden="false" customHeight="true" outlineLevel="0" collapsed="false">
      <c r="A15" s="12" t="s">
        <v>325</v>
      </c>
      <c r="B15" s="12" t="s">
        <v>444</v>
      </c>
      <c r="C15" s="12" t="s">
        <v>445</v>
      </c>
      <c r="D15" s="12" t="s">
        <v>446</v>
      </c>
      <c r="E15" s="12" t="s">
        <v>447</v>
      </c>
      <c r="F15" s="13" t="s">
        <v>417</v>
      </c>
    </row>
    <row r="16" customFormat="false" ht="49.5" hidden="false" customHeight="true" outlineLevel="0" collapsed="false">
      <c r="A16" s="10" t="s">
        <v>330</v>
      </c>
      <c r="B16" s="10" t="s">
        <v>448</v>
      </c>
      <c r="C16" s="10" t="s">
        <v>333</v>
      </c>
      <c r="D16" s="10" t="s">
        <v>449</v>
      </c>
      <c r="E16" s="10" t="s">
        <v>450</v>
      </c>
      <c r="F16" s="11" t="s">
        <v>406</v>
      </c>
    </row>
    <row r="17" customFormat="false" ht="49.5" hidden="false" customHeight="true" outlineLevel="0" collapsed="false">
      <c r="A17" s="12" t="s">
        <v>345</v>
      </c>
      <c r="B17" s="12" t="s">
        <v>451</v>
      </c>
      <c r="C17" s="12" t="s">
        <v>452</v>
      </c>
      <c r="D17" s="12" t="s">
        <v>453</v>
      </c>
      <c r="E17" s="12" t="s">
        <v>454</v>
      </c>
      <c r="F17" s="13" t="s">
        <v>417</v>
      </c>
    </row>
    <row r="18" customFormat="false" ht="49.5" hidden="false" customHeight="true" outlineLevel="0" collapsed="false">
      <c r="A18" s="10" t="s">
        <v>350</v>
      </c>
      <c r="B18" s="10" t="s">
        <v>455</v>
      </c>
      <c r="C18" s="10" t="s">
        <v>456</v>
      </c>
      <c r="D18" s="10" t="s">
        <v>457</v>
      </c>
      <c r="E18" s="10" t="s">
        <v>458</v>
      </c>
      <c r="F18" s="13" t="s">
        <v>417</v>
      </c>
    </row>
    <row r="19" customFormat="false" ht="49.5" hidden="false" customHeight="true" outlineLevel="0" collapsed="false">
      <c r="A19" s="12" t="s">
        <v>392</v>
      </c>
      <c r="B19" s="12" t="s">
        <v>459</v>
      </c>
      <c r="C19" s="12" t="s">
        <v>395</v>
      </c>
      <c r="D19" s="12" t="s">
        <v>460</v>
      </c>
      <c r="E19" s="12" t="s">
        <v>461</v>
      </c>
      <c r="F19" s="13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50"/>
  </cols>
  <sheetData>
    <row r="1" customFormat="false" ht="30" hidden="false" customHeight="true" outlineLevel="0" collapsed="false">
      <c r="A1" s="9" t="s">
        <v>21</v>
      </c>
      <c r="B1" s="9" t="s">
        <v>462</v>
      </c>
      <c r="C1" s="9" t="s">
        <v>463</v>
      </c>
      <c r="D1" s="9" t="s">
        <v>464</v>
      </c>
      <c r="E1" s="9" t="s">
        <v>465</v>
      </c>
      <c r="F1" s="9" t="s">
        <v>466</v>
      </c>
    </row>
    <row r="2" customFormat="false" ht="31.5" hidden="false" customHeight="true" outlineLevel="0" collapsed="false">
      <c r="A2" s="10" t="s">
        <v>50</v>
      </c>
      <c r="B2" s="10" t="s">
        <v>58</v>
      </c>
      <c r="C2" s="10" t="s">
        <v>59</v>
      </c>
      <c r="D2" s="10" t="s">
        <v>467</v>
      </c>
      <c r="E2" s="10" t="s">
        <v>468</v>
      </c>
      <c r="F2" s="10" t="s">
        <v>469</v>
      </c>
    </row>
    <row r="3" customFormat="false" ht="31.5" hidden="false" customHeight="true" outlineLevel="0" collapsed="false">
      <c r="A3" s="12" t="s">
        <v>50</v>
      </c>
      <c r="B3" s="12" t="s">
        <v>72</v>
      </c>
      <c r="C3" s="12" t="s">
        <v>73</v>
      </c>
      <c r="D3" s="12" t="s">
        <v>467</v>
      </c>
      <c r="E3" s="12" t="s">
        <v>470</v>
      </c>
      <c r="F3" s="12" t="s">
        <v>471</v>
      </c>
    </row>
    <row r="4" customFormat="false" ht="31.5" hidden="false" customHeight="true" outlineLevel="0" collapsed="false">
      <c r="A4" s="10" t="s">
        <v>50</v>
      </c>
      <c r="B4" s="10" t="s">
        <v>76</v>
      </c>
      <c r="C4" s="10" t="s">
        <v>77</v>
      </c>
      <c r="D4" s="10" t="s">
        <v>467</v>
      </c>
      <c r="E4" s="10" t="s">
        <v>472</v>
      </c>
      <c r="F4" s="10" t="s">
        <v>473</v>
      </c>
    </row>
    <row r="5" customFormat="false" ht="31.5" hidden="false" customHeight="true" outlineLevel="0" collapsed="false">
      <c r="A5" s="12" t="s">
        <v>50</v>
      </c>
      <c r="B5" s="12" t="s">
        <v>79</v>
      </c>
      <c r="C5" s="12" t="s">
        <v>80</v>
      </c>
      <c r="D5" s="12" t="s">
        <v>467</v>
      </c>
      <c r="E5" s="12" t="s">
        <v>474</v>
      </c>
      <c r="F5" s="12" t="s">
        <v>473</v>
      </c>
    </row>
    <row r="6" customFormat="false" ht="31.5" hidden="false" customHeight="true" outlineLevel="0" collapsed="false">
      <c r="A6" s="10" t="s">
        <v>50</v>
      </c>
      <c r="B6" s="10" t="s">
        <v>103</v>
      </c>
      <c r="C6" s="10" t="s">
        <v>104</v>
      </c>
      <c r="D6" s="10" t="s">
        <v>467</v>
      </c>
      <c r="E6" s="10" t="s">
        <v>475</v>
      </c>
      <c r="F6" s="10" t="s">
        <v>74</v>
      </c>
    </row>
    <row r="7" customFormat="false" ht="31.5" hidden="false" customHeight="true" outlineLevel="0" collapsed="false">
      <c r="A7" s="12" t="s">
        <v>50</v>
      </c>
      <c r="B7" s="12" t="s">
        <v>111</v>
      </c>
      <c r="C7" s="12" t="s">
        <v>112</v>
      </c>
      <c r="D7" s="12" t="s">
        <v>467</v>
      </c>
      <c r="E7" s="12" t="s">
        <v>476</v>
      </c>
      <c r="F7" s="12" t="s">
        <v>473</v>
      </c>
    </row>
    <row r="8" customFormat="false" ht="31.5" hidden="false" customHeight="true" outlineLevel="0" collapsed="false">
      <c r="A8" s="10" t="s">
        <v>50</v>
      </c>
      <c r="B8" s="10" t="s">
        <v>113</v>
      </c>
      <c r="C8" s="10" t="s">
        <v>114</v>
      </c>
      <c r="D8" s="10" t="s">
        <v>467</v>
      </c>
      <c r="E8" s="10" t="s">
        <v>477</v>
      </c>
      <c r="F8" s="10" t="s">
        <v>478</v>
      </c>
    </row>
    <row r="9" customFormat="false" ht="31.5" hidden="false" customHeight="true" outlineLevel="0" collapsed="false">
      <c r="A9" s="12" t="s">
        <v>126</v>
      </c>
      <c r="B9" s="12" t="s">
        <v>144</v>
      </c>
      <c r="C9" s="12" t="s">
        <v>145</v>
      </c>
      <c r="D9" s="12" t="s">
        <v>467</v>
      </c>
      <c r="E9" s="12" t="s">
        <v>479</v>
      </c>
      <c r="F9" s="12" t="s">
        <v>480</v>
      </c>
    </row>
    <row r="10" customFormat="false" ht="31.5" hidden="false" customHeight="true" outlineLevel="0" collapsed="false">
      <c r="A10" s="10" t="s">
        <v>126</v>
      </c>
      <c r="B10" s="10" t="s">
        <v>148</v>
      </c>
      <c r="C10" s="10" t="s">
        <v>149</v>
      </c>
      <c r="D10" s="10" t="s">
        <v>467</v>
      </c>
      <c r="E10" s="10" t="s">
        <v>481</v>
      </c>
      <c r="F10" s="10" t="s">
        <v>482</v>
      </c>
    </row>
    <row r="11" customFormat="false" ht="31.5" hidden="false" customHeight="true" outlineLevel="0" collapsed="false">
      <c r="A11" s="12" t="s">
        <v>126</v>
      </c>
      <c r="B11" s="12" t="s">
        <v>157</v>
      </c>
      <c r="C11" s="12" t="s">
        <v>158</v>
      </c>
      <c r="D11" s="12" t="s">
        <v>467</v>
      </c>
      <c r="E11" s="12" t="s">
        <v>483</v>
      </c>
      <c r="F11" s="12" t="s">
        <v>484</v>
      </c>
    </row>
    <row r="12" customFormat="false" ht="31.5" hidden="false" customHeight="true" outlineLevel="0" collapsed="false">
      <c r="A12" s="10" t="s">
        <v>126</v>
      </c>
      <c r="B12" s="10" t="s">
        <v>161</v>
      </c>
      <c r="C12" s="10" t="s">
        <v>162</v>
      </c>
      <c r="D12" s="10" t="s">
        <v>467</v>
      </c>
      <c r="E12" s="10" t="s">
        <v>485</v>
      </c>
      <c r="F12" s="10" t="s">
        <v>486</v>
      </c>
    </row>
    <row r="13" customFormat="false" ht="31.5" hidden="false" customHeight="true" outlineLevel="0" collapsed="false">
      <c r="A13" s="12" t="s">
        <v>164</v>
      </c>
      <c r="B13" s="12" t="s">
        <v>179</v>
      </c>
      <c r="C13" s="12" t="s">
        <v>180</v>
      </c>
      <c r="D13" s="12" t="s">
        <v>467</v>
      </c>
      <c r="E13" s="12" t="s">
        <v>487</v>
      </c>
      <c r="F13" s="12" t="s">
        <v>488</v>
      </c>
    </row>
    <row r="14" customFormat="false" ht="31.5" hidden="false" customHeight="true" outlineLevel="0" collapsed="false">
      <c r="A14" s="10" t="s">
        <v>363</v>
      </c>
      <c r="B14" s="10" t="s">
        <v>374</v>
      </c>
      <c r="C14" s="10" t="s">
        <v>375</v>
      </c>
      <c r="D14" s="10" t="s">
        <v>467</v>
      </c>
      <c r="E14" s="10" t="s">
        <v>489</v>
      </c>
      <c r="F14" s="10" t="s">
        <v>490</v>
      </c>
    </row>
    <row r="15" customFormat="false" ht="31.5" hidden="false" customHeight="true" outlineLevel="0" collapsed="false">
      <c r="A15" s="12" t="s">
        <v>363</v>
      </c>
      <c r="B15" s="12" t="s">
        <v>386</v>
      </c>
      <c r="C15" s="12" t="s">
        <v>387</v>
      </c>
      <c r="D15" s="12" t="s">
        <v>467</v>
      </c>
      <c r="E15" s="12" t="s">
        <v>491</v>
      </c>
      <c r="F15" s="12" t="s">
        <v>492</v>
      </c>
    </row>
    <row r="16" customFormat="false" ht="31.5" hidden="false" customHeight="true" outlineLevel="0" collapsed="false">
      <c r="A16" s="10" t="s">
        <v>363</v>
      </c>
      <c r="B16" s="10" t="s">
        <v>389</v>
      </c>
      <c r="C16" s="10" t="s">
        <v>390</v>
      </c>
      <c r="D16" s="10" t="s">
        <v>467</v>
      </c>
      <c r="E16" s="10" t="s">
        <v>493</v>
      </c>
      <c r="F16" s="10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8"/>
  </cols>
  <sheetData>
    <row r="1" customFormat="false" ht="30" hidden="false" customHeight="true" outlineLevel="0" collapsed="false">
      <c r="A1" s="9" t="s">
        <v>495</v>
      </c>
      <c r="B1" s="9" t="s">
        <v>496</v>
      </c>
      <c r="C1" s="9" t="s">
        <v>128</v>
      </c>
      <c r="D1" s="9" t="s">
        <v>497</v>
      </c>
      <c r="E1" s="9" t="s">
        <v>498</v>
      </c>
    </row>
    <row r="2" customFormat="false" ht="25.5" hidden="false" customHeight="true" outlineLevel="0" collapsed="false">
      <c r="A2" s="10" t="s">
        <v>499</v>
      </c>
      <c r="B2" s="10" t="s">
        <v>500</v>
      </c>
      <c r="C2" s="10" t="s">
        <v>501</v>
      </c>
      <c r="D2" s="10" t="s">
        <v>502</v>
      </c>
      <c r="E2" s="16" t="s">
        <v>503</v>
      </c>
    </row>
    <row r="3" customFormat="false" ht="25.5" hidden="false" customHeight="true" outlineLevel="0" collapsed="false">
      <c r="A3" s="12" t="s">
        <v>499</v>
      </c>
      <c r="B3" s="12" t="s">
        <v>504</v>
      </c>
      <c r="C3" s="12" t="s">
        <v>505</v>
      </c>
      <c r="D3" s="12" t="s">
        <v>505</v>
      </c>
      <c r="E3" s="12" t="s">
        <v>506</v>
      </c>
    </row>
    <row r="4" customFormat="false" ht="25.5" hidden="false" customHeight="true" outlineLevel="0" collapsed="false">
      <c r="A4" s="10" t="s">
        <v>499</v>
      </c>
      <c r="B4" s="10" t="s">
        <v>507</v>
      </c>
      <c r="C4" s="10" t="s">
        <v>508</v>
      </c>
      <c r="D4" s="10" t="s">
        <v>508</v>
      </c>
      <c r="E4" s="10" t="s">
        <v>506</v>
      </c>
    </row>
    <row r="5" customFormat="false" ht="25.5" hidden="false" customHeight="true" outlineLevel="0" collapsed="false">
      <c r="A5" s="12" t="s">
        <v>499</v>
      </c>
      <c r="B5" s="12" t="s">
        <v>509</v>
      </c>
      <c r="C5" s="12" t="s">
        <v>510</v>
      </c>
      <c r="D5" s="12" t="s">
        <v>511</v>
      </c>
      <c r="E5" s="16" t="s">
        <v>503</v>
      </c>
    </row>
    <row r="6" customFormat="false" ht="25.5" hidden="false" customHeight="true" outlineLevel="0" collapsed="false">
      <c r="A6" s="10" t="s">
        <v>499</v>
      </c>
      <c r="B6" s="10" t="s">
        <v>512</v>
      </c>
      <c r="C6" s="10" t="s">
        <v>513</v>
      </c>
      <c r="D6" s="10" t="s">
        <v>514</v>
      </c>
      <c r="E6" s="10" t="s">
        <v>506</v>
      </c>
    </row>
    <row r="7" customFormat="false" ht="25.5" hidden="false" customHeight="true" outlineLevel="0" collapsed="false">
      <c r="A7" s="12" t="s">
        <v>499</v>
      </c>
      <c r="B7" s="12" t="s">
        <v>515</v>
      </c>
      <c r="C7" s="12" t="s">
        <v>516</v>
      </c>
      <c r="D7" s="12" t="s">
        <v>293</v>
      </c>
      <c r="E7" s="16" t="s">
        <v>503</v>
      </c>
    </row>
    <row r="8" customFormat="false" ht="25.5" hidden="false" customHeight="true" outlineLevel="0" collapsed="false">
      <c r="A8" s="10" t="s">
        <v>499</v>
      </c>
      <c r="B8" s="10" t="s">
        <v>517</v>
      </c>
      <c r="C8" s="10" t="s">
        <v>518</v>
      </c>
      <c r="D8" s="10" t="s">
        <v>519</v>
      </c>
      <c r="E8" s="10" t="s">
        <v>506</v>
      </c>
    </row>
    <row r="9" customFormat="false" ht="25.5" hidden="false" customHeight="true" outlineLevel="0" collapsed="false">
      <c r="A9" s="12" t="s">
        <v>499</v>
      </c>
      <c r="B9" s="12" t="s">
        <v>520</v>
      </c>
      <c r="C9" s="12" t="s">
        <v>521</v>
      </c>
      <c r="D9" s="12" t="s">
        <v>522</v>
      </c>
      <c r="E9" s="12" t="s">
        <v>506</v>
      </c>
    </row>
    <row r="10" customFormat="false" ht="25.5" hidden="false" customHeight="true" outlineLevel="0" collapsed="false">
      <c r="A10" s="10" t="s">
        <v>499</v>
      </c>
      <c r="B10" s="10" t="s">
        <v>523</v>
      </c>
      <c r="C10" s="10" t="s">
        <v>524</v>
      </c>
      <c r="D10" s="10" t="s">
        <v>525</v>
      </c>
      <c r="E10" s="10" t="s">
        <v>506</v>
      </c>
    </row>
    <row r="11" customFormat="false" ht="25.5" hidden="false" customHeight="true" outlineLevel="0" collapsed="false">
      <c r="A11" s="12" t="s">
        <v>526</v>
      </c>
      <c r="B11" s="12" t="s">
        <v>527</v>
      </c>
      <c r="C11" s="12" t="s">
        <v>528</v>
      </c>
      <c r="D11" s="12" t="s">
        <v>529</v>
      </c>
      <c r="E11" s="16" t="s">
        <v>503</v>
      </c>
    </row>
    <row r="12" customFormat="false" ht="25.5" hidden="false" customHeight="true" outlineLevel="0" collapsed="false">
      <c r="A12" s="10" t="s">
        <v>526</v>
      </c>
      <c r="B12" s="10" t="s">
        <v>530</v>
      </c>
      <c r="C12" s="10" t="s">
        <v>531</v>
      </c>
      <c r="D12" s="10" t="s">
        <v>532</v>
      </c>
      <c r="E12" s="16" t="s">
        <v>503</v>
      </c>
    </row>
    <row r="13" customFormat="false" ht="25.5" hidden="false" customHeight="true" outlineLevel="0" collapsed="false">
      <c r="A13" s="12" t="s">
        <v>526</v>
      </c>
      <c r="B13" s="12" t="s">
        <v>533</v>
      </c>
      <c r="C13" s="12" t="s">
        <v>534</v>
      </c>
      <c r="D13" s="12" t="s">
        <v>535</v>
      </c>
      <c r="E13" s="16" t="s">
        <v>503</v>
      </c>
    </row>
    <row r="14" customFormat="false" ht="25.5" hidden="false" customHeight="true" outlineLevel="0" collapsed="false">
      <c r="A14" s="10" t="s">
        <v>526</v>
      </c>
      <c r="B14" s="10" t="s">
        <v>536</v>
      </c>
      <c r="C14" s="10" t="s">
        <v>537</v>
      </c>
      <c r="D14" s="10" t="s">
        <v>538</v>
      </c>
      <c r="E14" s="10" t="s">
        <v>506</v>
      </c>
    </row>
    <row r="15" customFormat="false" ht="25.5" hidden="false" customHeight="true" outlineLevel="0" collapsed="false">
      <c r="A15" s="12" t="s">
        <v>526</v>
      </c>
      <c r="B15" s="12" t="s">
        <v>539</v>
      </c>
      <c r="C15" s="12" t="s">
        <v>540</v>
      </c>
      <c r="D15" s="12" t="s">
        <v>541</v>
      </c>
      <c r="E15" s="16" t="s">
        <v>503</v>
      </c>
    </row>
    <row r="16" customFormat="false" ht="25.5" hidden="false" customHeight="true" outlineLevel="0" collapsed="false">
      <c r="A16" s="10" t="s">
        <v>526</v>
      </c>
      <c r="B16" s="10" t="s">
        <v>542</v>
      </c>
      <c r="C16" s="10" t="s">
        <v>543</v>
      </c>
      <c r="D16" s="10" t="s">
        <v>544</v>
      </c>
      <c r="E16" s="10" t="s">
        <v>506</v>
      </c>
    </row>
    <row r="17" customFormat="false" ht="25.5" hidden="false" customHeight="true" outlineLevel="0" collapsed="false">
      <c r="A17" s="12" t="s">
        <v>526</v>
      </c>
      <c r="B17" s="12" t="s">
        <v>545</v>
      </c>
      <c r="C17" s="12" t="s">
        <v>546</v>
      </c>
      <c r="D17" s="12" t="s">
        <v>547</v>
      </c>
      <c r="E17" s="16" t="s">
        <v>503</v>
      </c>
    </row>
    <row r="18" customFormat="false" ht="25.5" hidden="false" customHeight="true" outlineLevel="0" collapsed="false">
      <c r="A18" s="10" t="s">
        <v>526</v>
      </c>
      <c r="B18" s="10" t="s">
        <v>548</v>
      </c>
      <c r="C18" s="10" t="s">
        <v>549</v>
      </c>
      <c r="D18" s="10" t="s">
        <v>550</v>
      </c>
      <c r="E18" s="10" t="s">
        <v>506</v>
      </c>
    </row>
    <row r="19" customFormat="false" ht="25.5" hidden="false" customHeight="true" outlineLevel="0" collapsed="false">
      <c r="A19" s="12" t="s">
        <v>526</v>
      </c>
      <c r="B19" s="12" t="s">
        <v>551</v>
      </c>
      <c r="C19" s="12" t="s">
        <v>552</v>
      </c>
      <c r="D19" s="12" t="s">
        <v>553</v>
      </c>
      <c r="E19" s="16" t="s">
        <v>503</v>
      </c>
    </row>
    <row r="20" customFormat="false" ht="25.5" hidden="false" customHeight="true" outlineLevel="0" collapsed="false">
      <c r="A20" s="10" t="s">
        <v>526</v>
      </c>
      <c r="B20" s="10" t="s">
        <v>554</v>
      </c>
      <c r="C20" s="10" t="s">
        <v>555</v>
      </c>
      <c r="D20" s="10" t="s">
        <v>556</v>
      </c>
      <c r="E20" s="16" t="s">
        <v>503</v>
      </c>
    </row>
    <row r="21" customFormat="false" ht="25.5" hidden="false" customHeight="true" outlineLevel="0" collapsed="false">
      <c r="A21" s="12" t="s">
        <v>526</v>
      </c>
      <c r="B21" s="12" t="s">
        <v>557</v>
      </c>
      <c r="C21" s="12" t="s">
        <v>558</v>
      </c>
      <c r="D21" s="12" t="s">
        <v>559</v>
      </c>
      <c r="E21" s="12" t="s">
        <v>506</v>
      </c>
    </row>
    <row r="22" customFormat="false" ht="25.5" hidden="false" customHeight="true" outlineLevel="0" collapsed="false">
      <c r="A22" s="10" t="s">
        <v>526</v>
      </c>
      <c r="B22" s="10" t="s">
        <v>560</v>
      </c>
      <c r="C22" s="10" t="s">
        <v>561</v>
      </c>
      <c r="D22" s="10" t="s">
        <v>562</v>
      </c>
      <c r="E22" s="16" t="s">
        <v>503</v>
      </c>
    </row>
    <row r="23" customFormat="false" ht="25.5" hidden="false" customHeight="true" outlineLevel="0" collapsed="false">
      <c r="A23" s="12" t="s">
        <v>526</v>
      </c>
      <c r="B23" s="12" t="s">
        <v>563</v>
      </c>
      <c r="C23" s="12" t="s">
        <v>564</v>
      </c>
      <c r="D23" s="12" t="s">
        <v>565</v>
      </c>
      <c r="E23" s="12" t="s">
        <v>506</v>
      </c>
    </row>
    <row r="24" customFormat="false" ht="25.5" hidden="false" customHeight="true" outlineLevel="0" collapsed="false">
      <c r="A24" s="10" t="s">
        <v>526</v>
      </c>
      <c r="B24" s="10" t="s">
        <v>566</v>
      </c>
      <c r="C24" s="10" t="s">
        <v>567</v>
      </c>
      <c r="D24" s="10" t="s">
        <v>568</v>
      </c>
      <c r="E24" s="10" t="s">
        <v>506</v>
      </c>
    </row>
    <row r="25" customFormat="false" ht="25.5" hidden="false" customHeight="true" outlineLevel="0" collapsed="false">
      <c r="A25" s="12" t="s">
        <v>526</v>
      </c>
      <c r="B25" s="12" t="s">
        <v>569</v>
      </c>
      <c r="C25" s="12" t="s">
        <v>570</v>
      </c>
      <c r="D25" s="12" t="s">
        <v>571</v>
      </c>
      <c r="E25" s="12" t="s">
        <v>506</v>
      </c>
    </row>
    <row r="26" customFormat="false" ht="25.5" hidden="false" customHeight="true" outlineLevel="0" collapsed="false">
      <c r="A26" s="10" t="s">
        <v>526</v>
      </c>
      <c r="B26" s="10" t="s">
        <v>572</v>
      </c>
      <c r="C26" s="10" t="s">
        <v>573</v>
      </c>
      <c r="D26" s="10" t="s">
        <v>574</v>
      </c>
      <c r="E26" s="10" t="s">
        <v>506</v>
      </c>
    </row>
    <row r="27" customFormat="false" ht="25.5" hidden="false" customHeight="true" outlineLevel="0" collapsed="false">
      <c r="A27" s="12" t="s">
        <v>526</v>
      </c>
      <c r="B27" s="12" t="s">
        <v>575</v>
      </c>
      <c r="C27" s="12" t="s">
        <v>576</v>
      </c>
      <c r="D27" s="12" t="s">
        <v>577</v>
      </c>
      <c r="E27" s="12" t="s">
        <v>506</v>
      </c>
    </row>
    <row r="28" customFormat="false" ht="25.5" hidden="false" customHeight="true" outlineLevel="0" collapsed="false">
      <c r="A28" s="10" t="s">
        <v>526</v>
      </c>
      <c r="B28" s="10" t="s">
        <v>578</v>
      </c>
      <c r="C28" s="10" t="s">
        <v>579</v>
      </c>
      <c r="D28" s="10" t="s">
        <v>580</v>
      </c>
      <c r="E28" s="16" t="s">
        <v>503</v>
      </c>
    </row>
    <row r="29" customFormat="false" ht="25.5" hidden="false" customHeight="true" outlineLevel="0" collapsed="false">
      <c r="A29" s="12" t="s">
        <v>526</v>
      </c>
      <c r="B29" s="12" t="s">
        <v>581</v>
      </c>
      <c r="C29" s="12" t="s">
        <v>582</v>
      </c>
      <c r="D29" s="12" t="s">
        <v>583</v>
      </c>
      <c r="E29" s="12" t="s">
        <v>506</v>
      </c>
    </row>
    <row r="30" customFormat="false" ht="25.5" hidden="false" customHeight="true" outlineLevel="0" collapsed="false">
      <c r="A30" s="10" t="s">
        <v>526</v>
      </c>
      <c r="B30" s="10" t="s">
        <v>584</v>
      </c>
      <c r="C30" s="10" t="s">
        <v>585</v>
      </c>
      <c r="D30" s="10" t="s">
        <v>586</v>
      </c>
      <c r="E30" s="16" t="s">
        <v>503</v>
      </c>
    </row>
    <row r="31" customFormat="false" ht="25.5" hidden="false" customHeight="true" outlineLevel="0" collapsed="false">
      <c r="A31" s="12" t="s">
        <v>526</v>
      </c>
      <c r="B31" s="12" t="s">
        <v>587</v>
      </c>
      <c r="C31" s="12" t="s">
        <v>588</v>
      </c>
      <c r="D31" s="12" t="s">
        <v>589</v>
      </c>
      <c r="E31" s="12" t="s">
        <v>506</v>
      </c>
    </row>
    <row r="32" customFormat="false" ht="25.5" hidden="false" customHeight="true" outlineLevel="0" collapsed="false">
      <c r="A32" s="10" t="s">
        <v>526</v>
      </c>
      <c r="B32" s="10" t="s">
        <v>590</v>
      </c>
      <c r="C32" s="10" t="s">
        <v>591</v>
      </c>
      <c r="D32" s="10" t="s">
        <v>592</v>
      </c>
      <c r="E32" s="10" t="s">
        <v>506</v>
      </c>
    </row>
    <row r="33" customFormat="false" ht="25.5" hidden="false" customHeight="true" outlineLevel="0" collapsed="false">
      <c r="A33" s="12" t="s">
        <v>526</v>
      </c>
      <c r="B33" s="12" t="s">
        <v>593</v>
      </c>
      <c r="C33" s="12" t="s">
        <v>594</v>
      </c>
      <c r="D33" s="12" t="s">
        <v>595</v>
      </c>
      <c r="E33" s="12" t="s">
        <v>506</v>
      </c>
    </row>
    <row r="34" customFormat="false" ht="25.5" hidden="false" customHeight="true" outlineLevel="0" collapsed="false">
      <c r="A34" s="10" t="s">
        <v>526</v>
      </c>
      <c r="B34" s="10" t="s">
        <v>596</v>
      </c>
      <c r="C34" s="10" t="s">
        <v>597</v>
      </c>
      <c r="D34" s="10" t="s">
        <v>598</v>
      </c>
      <c r="E34" s="16" t="s">
        <v>503</v>
      </c>
    </row>
    <row r="35" customFormat="false" ht="25.5" hidden="false" customHeight="true" outlineLevel="0" collapsed="false">
      <c r="A35" s="12" t="s">
        <v>526</v>
      </c>
      <c r="B35" s="12" t="s">
        <v>599</v>
      </c>
      <c r="C35" s="12" t="s">
        <v>600</v>
      </c>
      <c r="D35" s="12" t="s">
        <v>601</v>
      </c>
      <c r="E35" s="16" t="s">
        <v>503</v>
      </c>
    </row>
    <row r="36" customFormat="false" ht="25.5" hidden="false" customHeight="true" outlineLevel="0" collapsed="false">
      <c r="A36" s="10" t="s">
        <v>526</v>
      </c>
      <c r="B36" s="10" t="s">
        <v>602</v>
      </c>
      <c r="C36" s="10" t="s">
        <v>603</v>
      </c>
      <c r="D36" s="10" t="s">
        <v>604</v>
      </c>
      <c r="E36" s="10" t="s">
        <v>506</v>
      </c>
    </row>
    <row r="37" customFormat="false" ht="25.5" hidden="false" customHeight="true" outlineLevel="0" collapsed="false">
      <c r="A37" s="12" t="s">
        <v>605</v>
      </c>
      <c r="B37" s="12" t="s">
        <v>606</v>
      </c>
      <c r="C37" s="12" t="s">
        <v>607</v>
      </c>
      <c r="D37" s="12" t="s">
        <v>608</v>
      </c>
      <c r="E37" s="12" t="s">
        <v>506</v>
      </c>
    </row>
    <row r="38" customFormat="false" ht="25.5" hidden="false" customHeight="true" outlineLevel="0" collapsed="false">
      <c r="A38" s="10" t="s">
        <v>605</v>
      </c>
      <c r="B38" s="10" t="s">
        <v>609</v>
      </c>
      <c r="C38" s="10" t="s">
        <v>610</v>
      </c>
      <c r="D38" s="10" t="s">
        <v>611</v>
      </c>
      <c r="E38" s="10" t="s">
        <v>506</v>
      </c>
    </row>
    <row r="39" customFormat="false" ht="25.5" hidden="false" customHeight="true" outlineLevel="0" collapsed="false">
      <c r="A39" s="12" t="s">
        <v>605</v>
      </c>
      <c r="B39" s="12" t="s">
        <v>612</v>
      </c>
      <c r="C39" s="12" t="s">
        <v>613</v>
      </c>
      <c r="D39" s="12" t="s">
        <v>614</v>
      </c>
      <c r="E39" s="12" t="s">
        <v>506</v>
      </c>
    </row>
    <row r="40" customFormat="false" ht="25.5" hidden="false" customHeight="true" outlineLevel="0" collapsed="false">
      <c r="A40" s="10" t="s">
        <v>615</v>
      </c>
      <c r="B40" s="10" t="s">
        <v>616</v>
      </c>
      <c r="C40" s="10" t="s">
        <v>617</v>
      </c>
      <c r="D40" s="10" t="s">
        <v>618</v>
      </c>
      <c r="E40" s="10" t="s">
        <v>506</v>
      </c>
    </row>
    <row r="41" customFormat="false" ht="25.5" hidden="false" customHeight="true" outlineLevel="0" collapsed="false">
      <c r="A41" s="12" t="s">
        <v>615</v>
      </c>
      <c r="B41" s="12" t="s">
        <v>619</v>
      </c>
      <c r="C41" s="12" t="s">
        <v>620</v>
      </c>
      <c r="D41" s="12" t="s">
        <v>618</v>
      </c>
      <c r="E41" s="12" t="s">
        <v>506</v>
      </c>
    </row>
    <row r="42" customFormat="false" ht="25.5" hidden="false" customHeight="true" outlineLevel="0" collapsed="false">
      <c r="A42" s="10" t="s">
        <v>615</v>
      </c>
      <c r="B42" s="10" t="s">
        <v>621</v>
      </c>
      <c r="C42" s="10" t="s">
        <v>622</v>
      </c>
      <c r="D42" s="10" t="s">
        <v>618</v>
      </c>
      <c r="E42" s="10" t="s">
        <v>506</v>
      </c>
    </row>
    <row r="43" customFormat="false" ht="25.5" hidden="false" customHeight="true" outlineLevel="0" collapsed="false">
      <c r="A43" s="12" t="s">
        <v>615</v>
      </c>
      <c r="B43" s="12" t="s">
        <v>623</v>
      </c>
      <c r="C43" s="12" t="s">
        <v>624</v>
      </c>
      <c r="D43" s="12" t="s">
        <v>618</v>
      </c>
      <c r="E43" s="12" t="s">
        <v>506</v>
      </c>
    </row>
    <row r="44" customFormat="false" ht="25.5" hidden="false" customHeight="true" outlineLevel="0" collapsed="false">
      <c r="A44" s="10" t="s">
        <v>615</v>
      </c>
      <c r="B44" s="10" t="s">
        <v>625</v>
      </c>
      <c r="C44" s="10" t="s">
        <v>626</v>
      </c>
      <c r="D44" s="10" t="s">
        <v>627</v>
      </c>
      <c r="E44" s="10" t="s">
        <v>506</v>
      </c>
    </row>
    <row r="45" customFormat="false" ht="25.5" hidden="false" customHeight="true" outlineLevel="0" collapsed="false">
      <c r="A45" s="12" t="s">
        <v>615</v>
      </c>
      <c r="B45" s="12" t="s">
        <v>628</v>
      </c>
      <c r="C45" s="12" t="s">
        <v>629</v>
      </c>
      <c r="D45" s="12" t="s">
        <v>630</v>
      </c>
      <c r="E45" s="12" t="s">
        <v>506</v>
      </c>
    </row>
    <row r="46" customFormat="false" ht="25.5" hidden="false" customHeight="true" outlineLevel="0" collapsed="false">
      <c r="A46" s="10" t="s">
        <v>615</v>
      </c>
      <c r="B46" s="10" t="s">
        <v>631</v>
      </c>
      <c r="C46" s="10" t="s">
        <v>632</v>
      </c>
      <c r="D46" s="10" t="s">
        <v>633</v>
      </c>
      <c r="E46" s="10" t="s">
        <v>506</v>
      </c>
    </row>
    <row r="47" customFormat="false" ht="25.5" hidden="false" customHeight="true" outlineLevel="0" collapsed="false">
      <c r="A47" s="12" t="s">
        <v>634</v>
      </c>
      <c r="B47" s="12" t="s">
        <v>635</v>
      </c>
      <c r="C47" s="12" t="s">
        <v>636</v>
      </c>
      <c r="D47" s="12" t="s">
        <v>637</v>
      </c>
      <c r="E47" s="12" t="s">
        <v>506</v>
      </c>
    </row>
    <row r="48" customFormat="false" ht="25.5" hidden="false" customHeight="true" outlineLevel="0" collapsed="false">
      <c r="A48" s="10" t="s">
        <v>634</v>
      </c>
      <c r="B48" s="10" t="s">
        <v>638</v>
      </c>
      <c r="C48" s="10" t="s">
        <v>639</v>
      </c>
      <c r="D48" s="10" t="s">
        <v>640</v>
      </c>
      <c r="E48" s="10" t="s">
        <v>506</v>
      </c>
    </row>
    <row r="49" customFormat="false" ht="25.5" hidden="false" customHeight="true" outlineLevel="0" collapsed="false">
      <c r="A49" s="12" t="s">
        <v>641</v>
      </c>
      <c r="B49" s="12" t="s">
        <v>642</v>
      </c>
      <c r="C49" s="12" t="s">
        <v>643</v>
      </c>
      <c r="D49" s="12" t="s">
        <v>644</v>
      </c>
      <c r="E49" s="12" t="s">
        <v>506</v>
      </c>
    </row>
    <row r="50" customFormat="false" ht="25.5" hidden="false" customHeight="true" outlineLevel="0" collapsed="false">
      <c r="A50" s="10" t="s">
        <v>641</v>
      </c>
      <c r="B50" s="10" t="s">
        <v>645</v>
      </c>
      <c r="C50" s="10" t="s">
        <v>646</v>
      </c>
      <c r="D50" s="10" t="s">
        <v>647</v>
      </c>
      <c r="E50" s="10" t="s">
        <v>506</v>
      </c>
    </row>
    <row r="51" customFormat="false" ht="25.5" hidden="false" customHeight="true" outlineLevel="0" collapsed="false">
      <c r="A51" s="12" t="s">
        <v>648</v>
      </c>
      <c r="B51" s="12" t="s">
        <v>649</v>
      </c>
      <c r="C51" s="12" t="s">
        <v>650</v>
      </c>
      <c r="D51" s="12" t="s">
        <v>651</v>
      </c>
      <c r="E51" s="12" t="s">
        <v>506</v>
      </c>
    </row>
    <row r="52" customFormat="false" ht="25.5" hidden="false" customHeight="true" outlineLevel="0" collapsed="false">
      <c r="A52" s="10" t="s">
        <v>652</v>
      </c>
      <c r="B52" s="10" t="s">
        <v>653</v>
      </c>
      <c r="C52" s="10" t="s">
        <v>654</v>
      </c>
      <c r="D52" s="10" t="s">
        <v>655</v>
      </c>
      <c r="E52" s="10" t="s">
        <v>506</v>
      </c>
    </row>
    <row r="53" customFormat="false" ht="25.5" hidden="false" customHeight="true" outlineLevel="0" collapsed="false">
      <c r="A53" s="12" t="s">
        <v>656</v>
      </c>
      <c r="B53" s="12" t="s">
        <v>657</v>
      </c>
      <c r="C53" s="12" t="s">
        <v>658</v>
      </c>
      <c r="D53" s="12" t="s">
        <v>659</v>
      </c>
      <c r="E53" s="12" t="s">
        <v>506</v>
      </c>
    </row>
    <row r="54" customFormat="false" ht="25.5" hidden="false" customHeight="true" outlineLevel="0" collapsed="false">
      <c r="A54" s="10" t="s">
        <v>656</v>
      </c>
      <c r="B54" s="10" t="s">
        <v>660</v>
      </c>
      <c r="C54" s="10" t="s">
        <v>661</v>
      </c>
      <c r="D54" s="10" t="s">
        <v>662</v>
      </c>
      <c r="E54" s="10" t="s">
        <v>506</v>
      </c>
    </row>
    <row r="55" customFormat="false" ht="25.5" hidden="false" customHeight="true" outlineLevel="0" collapsed="false">
      <c r="A55" s="12" t="s">
        <v>656</v>
      </c>
      <c r="B55" s="12" t="s">
        <v>663</v>
      </c>
      <c r="C55" s="12" t="s">
        <v>664</v>
      </c>
      <c r="D55" s="12" t="s">
        <v>665</v>
      </c>
      <c r="E55" s="12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70"/>
    <col collapsed="false" customWidth="true" hidden="false" outlineLevel="0" max="7" min="7" style="0" width="2"/>
  </cols>
  <sheetData>
    <row r="2" customFormat="false" ht="30" hidden="false" customHeight="true" outlineLevel="0" collapsed="false">
      <c r="B2" s="1" t="s">
        <v>666</v>
      </c>
      <c r="C2" s="1"/>
      <c r="D2" s="1"/>
      <c r="E2" s="1"/>
      <c r="F2" s="1"/>
    </row>
    <row r="4" customFormat="false" ht="27.75" hidden="false" customHeight="true" outlineLevel="0" collapsed="false">
      <c r="B4" s="9" t="s">
        <v>667</v>
      </c>
      <c r="C4" s="9" t="s">
        <v>466</v>
      </c>
      <c r="D4" s="9" t="s">
        <v>402</v>
      </c>
      <c r="E4" s="9" t="s">
        <v>668</v>
      </c>
      <c r="F4" s="9" t="s">
        <v>669</v>
      </c>
    </row>
    <row r="5" customFormat="false" ht="61.5" hidden="false" customHeight="true" outlineLevel="0" collapsed="false">
      <c r="B5" s="17" t="s">
        <v>670</v>
      </c>
      <c r="C5" s="18" t="s">
        <v>671</v>
      </c>
      <c r="D5" s="14" t="s">
        <v>410</v>
      </c>
      <c r="E5" s="17" t="s">
        <v>672</v>
      </c>
      <c r="F5" s="12" t="s">
        <v>673</v>
      </c>
    </row>
    <row r="6" customFormat="false" ht="61.5" hidden="false" customHeight="true" outlineLevel="0" collapsed="false">
      <c r="B6" s="19" t="s">
        <v>273</v>
      </c>
      <c r="C6" s="20" t="s">
        <v>674</v>
      </c>
      <c r="D6" s="14" t="s">
        <v>410</v>
      </c>
      <c r="E6" s="19" t="s">
        <v>675</v>
      </c>
      <c r="F6" s="10" t="s">
        <v>676</v>
      </c>
    </row>
    <row r="7" customFormat="false" ht="61.5" hidden="false" customHeight="true" outlineLevel="0" collapsed="false">
      <c r="B7" s="17" t="s">
        <v>677</v>
      </c>
      <c r="C7" s="18" t="s">
        <v>678</v>
      </c>
      <c r="D7" s="14" t="s">
        <v>410</v>
      </c>
      <c r="E7" s="17" t="s">
        <v>675</v>
      </c>
      <c r="F7" s="12" t="s">
        <v>679</v>
      </c>
    </row>
    <row r="8" customFormat="false" ht="61.5" hidden="false" customHeight="true" outlineLevel="0" collapsed="false">
      <c r="B8" s="19" t="s">
        <v>304</v>
      </c>
      <c r="C8" s="20" t="s">
        <v>680</v>
      </c>
      <c r="D8" s="13" t="s">
        <v>417</v>
      </c>
      <c r="E8" s="19" t="s">
        <v>681</v>
      </c>
      <c r="F8" s="10" t="s">
        <v>682</v>
      </c>
    </row>
    <row r="9" customFormat="false" ht="61.5" hidden="false" customHeight="true" outlineLevel="0" collapsed="false">
      <c r="B9" s="17" t="s">
        <v>683</v>
      </c>
      <c r="C9" s="18" t="s">
        <v>684</v>
      </c>
      <c r="D9" s="13" t="s">
        <v>417</v>
      </c>
      <c r="E9" s="17" t="s">
        <v>681</v>
      </c>
      <c r="F9" s="12" t="s">
        <v>685</v>
      </c>
    </row>
    <row r="10" customFormat="false" ht="61.5" hidden="false" customHeight="true" outlineLevel="0" collapsed="false">
      <c r="B10" s="19" t="s">
        <v>686</v>
      </c>
      <c r="C10" s="20" t="s">
        <v>687</v>
      </c>
      <c r="D10" s="13" t="s">
        <v>417</v>
      </c>
      <c r="E10" s="19" t="s">
        <v>681</v>
      </c>
      <c r="F10" s="10" t="s">
        <v>688</v>
      </c>
    </row>
    <row r="11" customFormat="false" ht="61.5" hidden="false" customHeight="true" outlineLevel="0" collapsed="false">
      <c r="B11" s="17" t="s">
        <v>689</v>
      </c>
      <c r="C11" s="18" t="s">
        <v>690</v>
      </c>
      <c r="D11" s="13" t="s">
        <v>417</v>
      </c>
      <c r="E11" s="17" t="s">
        <v>672</v>
      </c>
      <c r="F11" s="12" t="s">
        <v>691</v>
      </c>
    </row>
    <row r="12" customFormat="false" ht="61.5" hidden="false" customHeight="true" outlineLevel="0" collapsed="false">
      <c r="B12" s="19" t="s">
        <v>692</v>
      </c>
      <c r="C12" s="20" t="s">
        <v>693</v>
      </c>
      <c r="D12" s="13" t="s">
        <v>417</v>
      </c>
      <c r="E12" s="19" t="s">
        <v>672</v>
      </c>
      <c r="F12" s="10" t="s">
        <v>694</v>
      </c>
    </row>
    <row r="13" customFormat="false" ht="61.5" hidden="false" customHeight="true" outlineLevel="0" collapsed="false">
      <c r="B13" s="17" t="s">
        <v>278</v>
      </c>
      <c r="C13" s="18" t="s">
        <v>695</v>
      </c>
      <c r="D13" s="11" t="s">
        <v>406</v>
      </c>
      <c r="E13" s="17" t="s">
        <v>672</v>
      </c>
      <c r="F13" s="12" t="s">
        <v>696</v>
      </c>
    </row>
    <row r="14" customFormat="false" ht="61.5" hidden="false" customHeight="true" outlineLevel="0" collapsed="false">
      <c r="B14" s="19" t="s">
        <v>697</v>
      </c>
      <c r="C14" s="20" t="s">
        <v>698</v>
      </c>
      <c r="D14" s="11" t="s">
        <v>406</v>
      </c>
      <c r="E14" s="19" t="s">
        <v>681</v>
      </c>
      <c r="F14" s="10" t="s">
        <v>699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2026-04-18T00:25:01Z</dcterms:created>
  <dc:creator>openpyxl</dc:creator>
  <dc:description/>
  <dc:language>en-US</dc:language>
  <cp:lastModifiedBy/>
  <dcterms:modified xsi:type="dcterms:W3CDTF">2026-04-18T00:25:01Z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