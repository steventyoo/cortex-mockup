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udget vs Actual" sheetId="2" state="visible" r:id="rId2"/>
    <sheet xmlns:r="http://schemas.openxmlformats.org/officeDocument/2006/relationships" name="Cost Breakdown" sheetId="3" state="visible" r:id="rId3"/>
    <sheet xmlns:r="http://schemas.openxmlformats.org/officeDocument/2006/relationships" name="Material" sheetId="4" state="visible" r:id="rId4"/>
    <sheet xmlns:r="http://schemas.openxmlformats.org/officeDocument/2006/relationships" name="Crew &amp; Labor" sheetId="5" state="visible" r:id="rId5"/>
    <sheet xmlns:r="http://schemas.openxmlformats.org/officeDocument/2006/relationships" name="Crew Analytics" sheetId="6" state="visible" r:id="rId6"/>
    <sheet xmlns:r="http://schemas.openxmlformats.org/officeDocument/2006/relationships" name="Productivity" sheetId="7" state="visible" r:id="rId7"/>
    <sheet xmlns:r="http://schemas.openxmlformats.org/officeDocument/2006/relationships" name="PO Commitments" sheetId="8" state="visible" r:id="rId8"/>
    <sheet xmlns:r="http://schemas.openxmlformats.org/officeDocument/2006/relationships" name="Billing &amp; SOV" sheetId="9" state="visible" r:id="rId9"/>
    <sheet xmlns:r="http://schemas.openxmlformats.org/officeDocument/2006/relationships" name="Insights" sheetId="10" state="visible" r:id="rId10"/>
    <sheet xmlns:r="http://schemas.openxmlformats.org/officeDocument/2006/relationships" name="Benchmark KPIs" sheetId="11" state="visible" r:id="rId11"/>
    <sheet xmlns:r="http://schemas.openxmlformats.org/officeDocument/2006/relationships" name="Vendors" sheetId="12" state="visible" r:id="rId12"/>
    <sheet xmlns:r="http://schemas.openxmlformats.org/officeDocument/2006/relationships" name="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%;(0.0%);-"/>
    <numFmt numFmtId="166" formatCode="#,##0.0"/>
    <numFmt numFmtId="167" formatCode="$#,##0.00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666666"/>
      <sz val="10"/>
    </font>
    <font>
      <name val="Arial"/>
      <b val="1"/>
    </font>
    <font>
      <name val="Arial"/>
    </font>
    <font>
      <name val="Arial"/>
      <b val="1"/>
      <color rgb="006B7280"/>
      <sz val="9"/>
    </font>
    <font>
      <name val="Arial"/>
      <b val="1"/>
      <sz val="14"/>
    </font>
    <font>
      <name val="Arial"/>
      <b val="1"/>
      <color rgb="00FFFFFF"/>
    </font>
    <font>
      <name val="Arial"/>
      <i val="1"/>
      <color rgb="006B7280"/>
    </font>
    <font>
      <name val="Arial"/>
      <b val="1"/>
      <color rgb="00FFFFFF"/>
      <sz val="14"/>
    </font>
    <font>
      <name val="Arial"/>
      <color theme="1"/>
      <sz val="11"/>
    </font>
  </fonts>
  <fills count="10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F3F4F6"/>
      </patternFill>
    </fill>
    <fill>
      <patternFill patternType="solid">
        <fgColor rgb="001F2937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164" fontId="10" fillId="0" borderId="0" pivotButton="0" quotePrefix="0" xfId="0"/>
    <xf numFmtId="165" fontId="1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" fontId="10" fillId="0" borderId="0" pivotButton="0" quotePrefix="0" xfId="0"/>
    <xf numFmtId="1" fontId="3" fillId="0" borderId="0" pivotButton="0" quotePrefix="0" xfId="0"/>
    <xf numFmtId="166" fontId="10" fillId="0" borderId="0" pivotButton="0" quotePrefix="0" xfId="0"/>
    <xf numFmtId="167" fontId="10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2" fontId="3" fillId="0" borderId="0" pivotButton="0" quotePrefix="0" xfId="0"/>
    <xf numFmtId="2" fontId="10" fillId="0" borderId="0" pivotButton="0" quotePrefix="0" xfId="0"/>
    <xf numFmtId="4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5" borderId="0" applyAlignment="1" pivotButton="0" quotePrefix="0" xfId="0">
      <alignment horizontal="center" vertical="center"/>
    </xf>
    <xf numFmtId="165" fontId="4" fillId="0" borderId="0" pivotButton="0" quotePrefix="0" xfId="0"/>
    <xf numFmtId="164" fontId="4" fillId="0" borderId="0" pivotButton="0" quotePrefix="0" xfId="0"/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164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164" fontId="3" fillId="9" borderId="1" applyAlignment="1" pivotButton="0" quotePrefix="0" xfId="0">
      <alignment horizontal="center" vertical="center"/>
    </xf>
    <xf numFmtId="165" fontId="3" fillId="9" borderId="1" applyAlignment="1" pivotButton="0" quotePrefix="0" xfId="0">
      <alignment horizontal="center" vertical="center"/>
    </xf>
    <xf numFmtId="3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/>
    <row r="2">
      <c r="B2" s="1" t="inlineStr">
        <is>
          <t>Job #2012 · Exxel Pacific 8th Ave Apartments</t>
        </is>
      </c>
    </row>
    <row r="3">
      <c r="B3" s="2" t="inlineStr">
        <is>
          <t>Cortex JCR Summary  •  Exxel Pacific, Inc.  •  Seattle, WA (4545 8th Ave NE)  •  163-unit 9-story multifamily apartments + ground-floor retail  •  Mar 2013 – Jul 2014 (~17 months)</t>
        </is>
      </c>
    </row>
    <row r="4"/>
    <row r="5">
      <c r="B5" s="3" t="inlineStr">
        <is>
          <t>PROJECT OVERVIEW</t>
        </is>
      </c>
    </row>
    <row r="6">
      <c r="B6" s="4" t="inlineStr">
        <is>
          <t>Project Job #</t>
        </is>
      </c>
      <c r="C6" s="5" t="inlineStr">
        <is>
          <t>2012</t>
        </is>
      </c>
    </row>
    <row r="7">
      <c r="B7" s="4" t="inlineStr">
        <is>
          <t>Project Name:</t>
        </is>
      </c>
      <c r="C7" s="5" t="inlineStr">
        <is>
          <t>Exxel Pacific 8th Ave Apartments</t>
        </is>
      </c>
    </row>
    <row r="8">
      <c r="B8" s="4" t="inlineStr">
        <is>
          <t>General Contractor</t>
        </is>
      </c>
      <c r="C8" s="5" t="inlineStr">
        <is>
          <t>Exxel Pacific, Inc.</t>
        </is>
      </c>
    </row>
    <row r="9">
      <c r="B9" s="4" t="inlineStr">
        <is>
          <t>Location</t>
        </is>
      </c>
      <c r="C9" s="5" t="inlineStr">
        <is>
          <t>Seattle, WA (4545 8th Ave NE)</t>
        </is>
      </c>
    </row>
    <row r="10">
      <c r="B10" s="4" t="inlineStr">
        <is>
          <t>Project Duration</t>
        </is>
      </c>
      <c r="C10" s="5" t="inlineStr">
        <is>
          <t>Mar 2013 – Jul 2014 (~17 months)</t>
        </is>
      </c>
    </row>
    <row r="11">
      <c r="B11" s="4" t="inlineStr">
        <is>
          <t>Total Unique Documents</t>
        </is>
      </c>
      <c r="C11" s="5" t="inlineStr">
        <is>
          <t>8th Ave folder: Contract (Exxel Pacific + One Way Plumbing), Billing (aggregate + 15 SOVs), PO_s (68 scheduled), Permits (plumbing, gas, boiler, backflow), Change Orders</t>
        </is>
      </c>
    </row>
    <row r="12"/>
    <row r="13">
      <c r="B13" s="6" t="inlineStr">
        <is>
          <t>CONTRACT VALUE</t>
        </is>
      </c>
      <c r="D13" s="6" t="inlineStr">
        <is>
          <t>NET PROFIT</t>
        </is>
      </c>
      <c r="F13" s="6" t="inlineStr">
        <is>
          <t>DIRECT COST</t>
        </is>
      </c>
      <c r="H13" s="6" t="inlineStr">
        <is>
          <t>LABOR HOURS</t>
        </is>
      </c>
    </row>
    <row r="14">
      <c r="B14" s="7" t="inlineStr">
        <is>
          <t>$1,391,455</t>
        </is>
      </c>
      <c r="D14" s="7" t="inlineStr">
        <is>
          <t>$544,854</t>
        </is>
      </c>
      <c r="F14" s="7" t="inlineStr">
        <is>
          <t>$846,601</t>
        </is>
      </c>
      <c r="H14" s="7" t="inlineStr">
        <is>
          <t>14,607</t>
        </is>
      </c>
    </row>
    <row r="15">
      <c r="B15" s="8" t="inlineStr">
        <is>
          <t>Original $1,394,655 + $-3,200 COs</t>
        </is>
      </c>
      <c r="D15" s="8" t="inlineStr">
        <is>
          <t>39.2% margin</t>
        </is>
      </c>
      <c r="F15" s="8" t="inlineStr">
        <is>
          <t>60.8% of revenue</t>
        </is>
      </c>
      <c r="H15" s="8" t="inlineStr">
        <is>
          <t>40 workers</t>
        </is>
      </c>
    </row>
    <row r="16"/>
    <row r="17"/>
    <row r="18">
      <c r="B18" s="3" t="inlineStr">
        <is>
          <t>COST BREAKDOWN</t>
        </is>
      </c>
    </row>
    <row r="19">
      <c r="B19" s="9" t="inlineStr">
        <is>
          <t>Category</t>
        </is>
      </c>
      <c r="C19" s="9" t="inlineStr">
        <is>
          <t>Budget</t>
        </is>
      </c>
      <c r="D19" s="9" t="inlineStr">
        <is>
          <t>Actual</t>
        </is>
      </c>
      <c r="E19" s="9" t="inlineStr">
        <is>
          <t>Variance</t>
        </is>
      </c>
      <c r="F19" s="9" t="inlineStr">
        <is>
          <t>% Budget</t>
        </is>
      </c>
      <c r="G19" s="9" t="inlineStr">
        <is>
          <t>% of Cost</t>
        </is>
      </c>
    </row>
    <row r="20">
      <c r="B20" s="4" t="inlineStr">
        <is>
          <t>Labor</t>
        </is>
      </c>
      <c r="C20" s="10" t="n">
        <v>305975</v>
      </c>
      <c r="D20" s="10" t="n">
        <v>291321.88</v>
      </c>
      <c r="E20" s="10">
        <f>C20-D20</f>
        <v/>
      </c>
      <c r="F20" s="11">
        <f>IF(C20=0,0,D20/C20)</f>
        <v/>
      </c>
      <c r="G20" s="11">
        <f>IF($D$24=0,0,D20/$D$24)</f>
        <v/>
      </c>
    </row>
    <row r="21">
      <c r="B21" s="4" t="inlineStr">
        <is>
          <t>Material</t>
        </is>
      </c>
      <c r="C21" s="10" t="n">
        <v>561666</v>
      </c>
      <c r="D21" s="10" t="n">
        <v>390750.86</v>
      </c>
      <c r="E21" s="10">
        <f>C21-D21</f>
        <v/>
      </c>
      <c r="F21" s="11">
        <f>IF(C21=0,0,D21/C21)</f>
        <v/>
      </c>
      <c r="G21" s="11">
        <f>IF($D$24=0,0,D21/$D$24)</f>
        <v/>
      </c>
    </row>
    <row r="22">
      <c r="B22" s="4" t="inlineStr">
        <is>
          <t>Overhead</t>
        </is>
      </c>
      <c r="C22" s="10" t="n">
        <v>33000</v>
      </c>
      <c r="D22" s="10" t="n">
        <v>15938.74</v>
      </c>
      <c r="E22" s="10">
        <f>C22-D22</f>
        <v/>
      </c>
      <c r="F22" s="11">
        <f>IF(C22=0,0,D22/C22)</f>
        <v/>
      </c>
      <c r="G22" s="11">
        <f>IF($D$24=0,0,D22/$D$24)</f>
        <v/>
      </c>
    </row>
    <row r="23">
      <c r="B23" s="4" t="inlineStr">
        <is>
          <t>Burden</t>
        </is>
      </c>
      <c r="C23" s="10" t="n">
        <v>147117.15</v>
      </c>
      <c r="D23" s="10" t="n">
        <v>148589.84</v>
      </c>
      <c r="E23" s="10">
        <f>C23-D23</f>
        <v/>
      </c>
      <c r="F23" s="11">
        <f>IF(C23=0,0,D23/C23)</f>
        <v/>
      </c>
      <c r="G23" s="11">
        <f>IF($D$24=0,0,D23/$D$24)</f>
        <v/>
      </c>
    </row>
    <row r="24">
      <c r="B24" s="5" t="inlineStr">
        <is>
          <t>TOTAL</t>
        </is>
      </c>
      <c r="C24" s="12">
        <f>SUM(C20:C23)</f>
        <v/>
      </c>
      <c r="D24" s="12">
        <f>SUM(D20:D23)</f>
        <v/>
      </c>
      <c r="E24" s="12">
        <f>C24-D24</f>
        <v/>
      </c>
      <c r="F24" s="13">
        <f>IF(C24=0,0,D24/C24)</f>
        <v/>
      </c>
      <c r="G24" s="13" t="n">
        <v>1</v>
      </c>
    </row>
    <row r="25"/>
    <row r="26"/>
    <row r="27">
      <c r="B27" s="3" t="inlineStr">
        <is>
          <t>PROJECT PROFILE</t>
        </is>
      </c>
    </row>
    <row r="28">
      <c r="B28" s="5" t="inlineStr">
        <is>
          <t>Metric</t>
        </is>
      </c>
      <c r="C28" s="5" t="inlineStr">
        <is>
          <t>Value</t>
        </is>
      </c>
      <c r="D28" s="5" t="inlineStr">
        <is>
          <t>Metric</t>
        </is>
      </c>
      <c r="E28" s="5" t="inlineStr">
        <is>
          <t>Value</t>
        </is>
      </c>
      <c r="F28" s="5" t="inlineStr">
        <is>
          <t>Metric</t>
        </is>
      </c>
      <c r="G28" s="5" t="inlineStr">
        <is>
          <t>Value</t>
        </is>
      </c>
    </row>
    <row r="29">
      <c r="B29" s="4" t="inlineStr">
        <is>
          <t>Plumbing Units</t>
        </is>
      </c>
      <c r="C29" s="5" t="inlineStr">
        <is>
          <t>163</t>
        </is>
      </c>
      <c r="D29" s="4" t="inlineStr">
        <is>
          <t>Water Closets</t>
        </is>
      </c>
      <c r="E29" s="5" t="inlineStr">
        <is>
          <t>163</t>
        </is>
      </c>
      <c r="F29" s="4" t="inlineStr">
        <is>
          <t>Lavatories</t>
        </is>
      </c>
      <c r="G29" s="5" t="inlineStr">
        <is>
          <t>163</t>
        </is>
      </c>
    </row>
    <row r="30">
      <c r="B30" s="4" t="inlineStr">
        <is>
          <t>Kitchen Sinks</t>
        </is>
      </c>
      <c r="C30" s="5" t="inlineStr">
        <is>
          <t>163</t>
        </is>
      </c>
      <c r="D30" s="4" t="inlineStr">
        <is>
          <t>Dishwashers</t>
        </is>
      </c>
      <c r="E30" s="5" t="inlineStr">
        <is>
          <t>163</t>
        </is>
      </c>
      <c r="F30" s="4" t="inlineStr">
        <is>
          <t>Laundry Washers</t>
        </is>
      </c>
      <c r="G30" s="5" t="inlineStr">
        <is>
          <t>163</t>
        </is>
      </c>
    </row>
    <row r="31">
      <c r="B31" s="4" t="inlineStr">
        <is>
          <t>Bathtub/Shower</t>
        </is>
      </c>
      <c r="C31" s="5" t="inlineStr">
        <is>
          <t>163</t>
        </is>
      </c>
      <c r="D31" s="4" t="inlineStr">
        <is>
          <t>Floor Drains</t>
        </is>
      </c>
      <c r="E31" s="5" t="inlineStr">
        <is>
          <t>5</t>
        </is>
      </c>
      <c r="F31" s="4" t="inlineStr">
        <is>
          <t>Roof Drains</t>
        </is>
      </c>
      <c r="G31" s="5" t="inlineStr">
        <is>
          <t>18</t>
        </is>
      </c>
    </row>
    <row r="32">
      <c r="B32" s="4" t="inlineStr">
        <is>
          <t>Total Fixtures</t>
        </is>
      </c>
      <c r="C32" s="5" t="inlineStr">
        <is>
          <t>1004</t>
        </is>
      </c>
      <c r="D32" s="4" t="inlineStr">
        <is>
          <t>Fixtures / Unit</t>
        </is>
      </c>
      <c r="E32" s="5" t="inlineStr">
        <is>
          <t>6.16</t>
        </is>
      </c>
      <c r="F32" s="4" t="inlineStr">
        <is>
          <t>Floors</t>
        </is>
      </c>
      <c r="G32" s="5" t="inlineStr">
        <is>
          <t>9 stories + retail</t>
        </is>
      </c>
    </row>
    <row r="33">
      <c r="B33" s="4" t="inlineStr">
        <is>
          <t>Duration</t>
        </is>
      </c>
      <c r="C33" s="5" t="inlineStr">
        <is>
          <t>17 mo</t>
        </is>
      </c>
    </row>
    <row r="34"/>
    <row r="35"/>
    <row r="36">
      <c r="B36" s="3" t="inlineStr">
        <is>
          <t>SOURCES</t>
        </is>
      </c>
    </row>
    <row r="37">
      <c r="B37" s="2" t="inlineStr">
        <is>
          <t>Job #2012 — Exxel Pacific 8th Ave Apartments  •  GC: Exxel Pacific, Inc.  •  4545 8th Ave NE, Seattle</t>
        </is>
      </c>
    </row>
    <row r="38">
      <c r="B38" s="2" t="inlineStr">
        <is>
          <t>Canonical source: 2012 Job Detail Report.pdf (135 pages, OWP Sage Timberline export)</t>
        </is>
      </c>
    </row>
    <row r="39">
      <c r="B39" s="2" t="inlineStr">
        <is>
          <t>Cost codes parsed: 30</t>
        </is>
      </c>
    </row>
    <row r="40">
      <c r="B40" s="2" t="inlineStr">
        <is>
          <t>Unit count (163) confirmed by plumbing permit SR1335240</t>
        </is>
      </c>
    </row>
    <row r="41">
      <c r="B41" s="2" t="inlineStr">
        <is>
          <t>Fixture count (1004) from permit detail: 163 WC + 163 lav + 163 shower + 163 sink + 163 DW + 163 washer + 5 floor drains + 18 roof drains + 1 indirect + 2 sump/ejector</t>
        </is>
      </c>
    </row>
    <row r="42">
      <c r="B42" s="2" t="inlineStr">
        <is>
          <t>Contract: One Way Plumbing contract executed (Exxel Pacific GC) with OWP markup</t>
        </is>
      </c>
    </row>
    <row r="43">
      <c r="B43" s="2" t="inlineStr">
        <is>
          <t>Billing: 8th AGGREGATE BILLING.xlsx (15 pay apps Mar 2013 – Jul 2014) + 15 SOV files</t>
        </is>
      </c>
    </row>
    <row r="44">
      <c r="B44" s="2" t="inlineStr">
        <is>
          <t>Final contract $1,391,455 (original $1,394,655 + $-3,200 COs)</t>
        </is>
      </c>
    </row>
  </sheetData>
  <mergeCells count="14">
    <mergeCell ref="B38:G38"/>
    <mergeCell ref="B42:G42"/>
    <mergeCell ref="B5:G5"/>
    <mergeCell ref="B36:G36"/>
    <mergeCell ref="B37:G37"/>
    <mergeCell ref="B44:G44"/>
    <mergeCell ref="B27:G27"/>
    <mergeCell ref="B41:G41"/>
    <mergeCell ref="B2:H2"/>
    <mergeCell ref="B40:G40"/>
    <mergeCell ref="B18:G18"/>
    <mergeCell ref="B43:G43"/>
    <mergeCell ref="B3:H3"/>
    <mergeCell ref="B39:G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/>
    <row r="2">
      <c r="B2" s="1" t="inlineStr">
        <is>
          <t>Budget vs Actual — All Cost Codes</t>
        </is>
      </c>
    </row>
    <row r="3"/>
    <row r="4">
      <c r="B4" s="9" t="inlineStr">
        <is>
          <t>Code</t>
        </is>
      </c>
      <c r="C4" s="9" t="inlineStr">
        <is>
          <t>Description</t>
        </is>
      </c>
      <c r="D4" s="9" t="inlineStr">
        <is>
          <t>Orig Budget</t>
        </is>
      </c>
      <c r="E4" s="9" t="inlineStr">
        <is>
          <t>Rev Budget</t>
        </is>
      </c>
      <c r="F4" s="9" t="inlineStr">
        <is>
          <t>Actual</t>
        </is>
      </c>
      <c r="G4" s="9" t="inlineStr">
        <is>
          <t>Variance</t>
        </is>
      </c>
      <c r="H4" s="9" t="inlineStr">
        <is>
          <t>% Used</t>
        </is>
      </c>
    </row>
    <row r="5">
      <c r="B5" s="3" t="inlineStr">
        <is>
          <t>LABOR</t>
        </is>
      </c>
    </row>
    <row r="6">
      <c r="B6" s="4" t="inlineStr">
        <is>
          <t>011</t>
        </is>
      </c>
      <c r="C6" s="4" t="inlineStr">
        <is>
          <t>DS &amp; RD Labor</t>
        </is>
      </c>
      <c r="D6" s="10" t="n">
        <v>12500</v>
      </c>
      <c r="E6" s="10" t="n">
        <v>12500</v>
      </c>
      <c r="F6" s="10" t="n">
        <v>3752.5</v>
      </c>
      <c r="G6" s="10">
        <f>E6-F6</f>
        <v/>
      </c>
      <c r="H6" s="11">
        <f>IF(E6=0,0,F6/E6)</f>
        <v/>
      </c>
    </row>
    <row r="7">
      <c r="B7" s="4" t="inlineStr">
        <is>
          <t>100</t>
        </is>
      </c>
      <c r="C7" s="4" t="inlineStr">
        <is>
          <t>Supervision</t>
        </is>
      </c>
      <c r="D7" s="10" t="n">
        <v>8100</v>
      </c>
      <c r="E7" s="10" t="n">
        <v>8100</v>
      </c>
      <c r="F7" s="10" t="n">
        <v>6023</v>
      </c>
      <c r="G7" s="10">
        <f>E7-F7</f>
        <v/>
      </c>
      <c r="H7" s="11">
        <f>IF(E7=0,0,F7/E7)</f>
        <v/>
      </c>
    </row>
    <row r="8">
      <c r="B8" s="4" t="inlineStr">
        <is>
          <t>101</t>
        </is>
      </c>
      <c r="C8" s="4" t="inlineStr">
        <is>
          <t>Takeoff &amp; Purchase Labor</t>
        </is>
      </c>
      <c r="D8" s="10" t="n">
        <v>12150</v>
      </c>
      <c r="E8" s="10" t="n">
        <v>12150</v>
      </c>
      <c r="F8" s="10" t="n">
        <v>6161.5</v>
      </c>
      <c r="G8" s="10">
        <f>E8-F8</f>
        <v/>
      </c>
      <c r="H8" s="11">
        <f>IF(E8=0,0,F8/E8)</f>
        <v/>
      </c>
    </row>
    <row r="9">
      <c r="B9" s="4" t="inlineStr">
        <is>
          <t>110</t>
        </is>
      </c>
      <c r="C9" s="4" t="inlineStr">
        <is>
          <t>Underground Labor</t>
        </is>
      </c>
      <c r="D9" s="10" t="n">
        <v>5800</v>
      </c>
      <c r="E9" s="10" t="n">
        <v>5800</v>
      </c>
      <c r="F9" s="10" t="n">
        <v>3184.25</v>
      </c>
      <c r="G9" s="10">
        <f>E9-F9</f>
        <v/>
      </c>
      <c r="H9" s="11">
        <f>IF(E9=0,0,F9/E9)</f>
        <v/>
      </c>
    </row>
    <row r="10">
      <c r="B10" s="4" t="inlineStr">
        <is>
          <t>111</t>
        </is>
      </c>
      <c r="C10" s="4" t="inlineStr">
        <is>
          <t>Garage Labor</t>
        </is>
      </c>
      <c r="D10" s="10" t="n">
        <v>14600</v>
      </c>
      <c r="E10" s="10" t="n">
        <v>14600</v>
      </c>
      <c r="F10" s="10" t="n">
        <v>19353.5</v>
      </c>
      <c r="G10" s="10">
        <f>E10-F10</f>
        <v/>
      </c>
      <c r="H10" s="11">
        <f>IF(E10=0,0,F10/E10)</f>
        <v/>
      </c>
    </row>
    <row r="11">
      <c r="B11" s="4" t="inlineStr">
        <is>
          <t>112</t>
        </is>
      </c>
      <c r="C11" s="4" t="inlineStr">
        <is>
          <t>Canout Labor</t>
        </is>
      </c>
      <c r="D11" s="10" t="n">
        <v>11700</v>
      </c>
      <c r="E11" s="10" t="n">
        <v>11700</v>
      </c>
      <c r="F11" s="10" t="n">
        <v>5424</v>
      </c>
      <c r="G11" s="10">
        <f>E11-F11</f>
        <v/>
      </c>
      <c r="H11" s="11">
        <f>IF(E11=0,0,F11/E11)</f>
        <v/>
      </c>
    </row>
    <row r="12">
      <c r="B12" s="4" t="inlineStr">
        <is>
          <t>113</t>
        </is>
      </c>
      <c r="C12" s="4" t="inlineStr">
        <is>
          <t>Foundation Drain Labor</t>
        </is>
      </c>
      <c r="D12" s="10" t="n">
        <v>2700</v>
      </c>
      <c r="E12" s="10" t="n">
        <v>2700</v>
      </c>
      <c r="F12" s="10" t="n">
        <v>984</v>
      </c>
      <c r="G12" s="10">
        <f>E12-F12</f>
        <v/>
      </c>
      <c r="H12" s="11">
        <f>IF(E12=0,0,F12/E12)</f>
        <v/>
      </c>
    </row>
    <row r="13">
      <c r="B13" s="4" t="inlineStr">
        <is>
          <t>120</t>
        </is>
      </c>
      <c r="C13" s="4" t="inlineStr">
        <is>
          <t>Roughin Labor</t>
        </is>
      </c>
      <c r="D13" s="10" t="n">
        <v>139800</v>
      </c>
      <c r="E13" s="10" t="n">
        <v>139800</v>
      </c>
      <c r="F13" s="10" t="n">
        <v>177291.75</v>
      </c>
      <c r="G13" s="10">
        <f>E13-F13</f>
        <v/>
      </c>
      <c r="H13" s="11">
        <f>IF(E13=0,0,F13/E13)</f>
        <v/>
      </c>
    </row>
    <row r="14">
      <c r="B14" s="4" t="inlineStr">
        <is>
          <t>130</t>
        </is>
      </c>
      <c r="C14" s="4" t="inlineStr">
        <is>
          <t>Finish Labor</t>
        </is>
      </c>
      <c r="D14" s="10" t="n">
        <v>31000</v>
      </c>
      <c r="E14" s="10" t="n">
        <v>31000</v>
      </c>
      <c r="F14" s="10" t="n">
        <v>34658.38</v>
      </c>
      <c r="G14" s="10">
        <f>E14-F14</f>
        <v/>
      </c>
      <c r="H14" s="11">
        <f>IF(E14=0,0,F14/E14)</f>
        <v/>
      </c>
    </row>
    <row r="15">
      <c r="B15" s="4" t="inlineStr">
        <is>
          <t>140</t>
        </is>
      </c>
      <c r="C15" s="4" t="inlineStr">
        <is>
          <t>Gas Labor</t>
        </is>
      </c>
      <c r="D15" s="10" t="n">
        <v>3300</v>
      </c>
      <c r="E15" s="10" t="n">
        <v>3300</v>
      </c>
      <c r="F15" s="10" t="n">
        <v>2168</v>
      </c>
      <c r="G15" s="10">
        <f>E15-F15</f>
        <v/>
      </c>
      <c r="H15" s="11">
        <f>IF(E15=0,0,F15/E15)</f>
        <v/>
      </c>
    </row>
    <row r="16">
      <c r="B16" s="4" t="inlineStr">
        <is>
          <t>141</t>
        </is>
      </c>
      <c r="C16" s="4" t="inlineStr">
        <is>
          <t>Water Main/Insulation Lab</t>
        </is>
      </c>
      <c r="D16" s="10" t="n">
        <v>41000</v>
      </c>
      <c r="E16" s="10" t="n">
        <v>41000</v>
      </c>
      <c r="F16" s="10" t="n">
        <v>15756</v>
      </c>
      <c r="G16" s="10">
        <f>E16-F16</f>
        <v/>
      </c>
      <c r="H16" s="11">
        <f>IF(E16=0,0,F16/E16)</f>
        <v/>
      </c>
    </row>
    <row r="17">
      <c r="B17" s="4" t="inlineStr">
        <is>
          <t>142</t>
        </is>
      </c>
      <c r="C17" s="4" t="inlineStr">
        <is>
          <t>Mech Room Labor</t>
        </is>
      </c>
      <c r="D17" s="10" t="n">
        <v>3525</v>
      </c>
      <c r="E17" s="10" t="n">
        <v>3525</v>
      </c>
      <c r="F17" s="10" t="n">
        <v>9784</v>
      </c>
      <c r="G17" s="10">
        <f>E17-F17</f>
        <v/>
      </c>
      <c r="H17" s="11">
        <f>IF(E17=0,0,F17/E17)</f>
        <v/>
      </c>
    </row>
    <row r="18">
      <c r="B18" s="4" t="inlineStr">
        <is>
          <t>145</t>
        </is>
      </c>
      <c r="C18" s="4" t="inlineStr">
        <is>
          <t>Tub/Shower Labor</t>
        </is>
      </c>
      <c r="D18" s="10" t="n">
        <v>19800</v>
      </c>
      <c r="E18" s="10" t="n">
        <v>19800</v>
      </c>
      <c r="F18" s="10" t="n">
        <v>6781</v>
      </c>
      <c r="G18" s="10">
        <f>E18-F18</f>
        <v/>
      </c>
      <c r="H18" s="11">
        <f>IF(E18=0,0,F18/E18)</f>
        <v/>
      </c>
    </row>
    <row r="19">
      <c r="B19" s="3" t="inlineStr">
        <is>
          <t>MATERIAL</t>
        </is>
      </c>
    </row>
    <row r="20">
      <c r="B20" s="4" t="inlineStr">
        <is>
          <t>039</t>
        </is>
      </c>
      <c r="C20" s="4" t="inlineStr">
        <is>
          <t>DS &amp; RD Material</t>
        </is>
      </c>
      <c r="D20" s="10" t="n">
        <v>17900</v>
      </c>
      <c r="E20" s="10" t="n">
        <v>17900</v>
      </c>
      <c r="F20" s="10" t="n">
        <v>5066.8</v>
      </c>
      <c r="G20" s="10">
        <f>E20-F20</f>
        <v/>
      </c>
      <c r="H20" s="11">
        <f>IF(E20=0,0,F20/E20)</f>
        <v/>
      </c>
    </row>
    <row r="21">
      <c r="B21" s="4" t="inlineStr">
        <is>
          <t>210</t>
        </is>
      </c>
      <c r="C21" s="4" t="inlineStr">
        <is>
          <t>Underground Material</t>
        </is>
      </c>
      <c r="D21" s="10" t="n">
        <v>4300</v>
      </c>
      <c r="E21" s="10" t="n">
        <v>4300</v>
      </c>
      <c r="F21" s="10" t="n">
        <v>1635.51</v>
      </c>
      <c r="G21" s="10">
        <f>E21-F21</f>
        <v/>
      </c>
      <c r="H21" s="11">
        <f>IF(E21=0,0,F21/E21)</f>
        <v/>
      </c>
    </row>
    <row r="22">
      <c r="B22" s="4" t="inlineStr">
        <is>
          <t>211</t>
        </is>
      </c>
      <c r="C22" s="4" t="inlineStr">
        <is>
          <t>Garage Material</t>
        </is>
      </c>
      <c r="D22" s="10" t="n">
        <v>11970</v>
      </c>
      <c r="E22" s="10" t="n">
        <v>11970</v>
      </c>
      <c r="F22" s="10" t="n">
        <v>6599.03</v>
      </c>
      <c r="G22" s="10">
        <f>E22-F22</f>
        <v/>
      </c>
      <c r="H22" s="11">
        <f>IF(E22=0,0,F22/E22)</f>
        <v/>
      </c>
    </row>
    <row r="23">
      <c r="B23" s="4" t="inlineStr">
        <is>
          <t>212</t>
        </is>
      </c>
      <c r="C23" s="4" t="inlineStr">
        <is>
          <t>Canout Material</t>
        </is>
      </c>
      <c r="D23" s="10" t="n">
        <v>13130</v>
      </c>
      <c r="E23" s="10" t="n">
        <v>13130</v>
      </c>
      <c r="F23" s="10" t="n">
        <v>8579.190000000001</v>
      </c>
      <c r="G23" s="10">
        <f>E23-F23</f>
        <v/>
      </c>
      <c r="H23" s="11">
        <f>IF(E23=0,0,F23/E23)</f>
        <v/>
      </c>
    </row>
    <row r="24">
      <c r="B24" s="4" t="inlineStr">
        <is>
          <t>213</t>
        </is>
      </c>
      <c r="C24" s="4" t="inlineStr">
        <is>
          <t>Foundation Material</t>
        </is>
      </c>
      <c r="D24" s="10" t="n">
        <v>2700</v>
      </c>
      <c r="E24" s="10" t="n">
        <v>2700</v>
      </c>
      <c r="F24" s="10" t="n">
        <v>1789.12</v>
      </c>
      <c r="G24" s="10">
        <f>E24-F24</f>
        <v/>
      </c>
      <c r="H24" s="11">
        <f>IF(E24=0,0,F24/E24)</f>
        <v/>
      </c>
    </row>
    <row r="25">
      <c r="B25" s="4" t="inlineStr">
        <is>
          <t>220</t>
        </is>
      </c>
      <c r="C25" s="4" t="inlineStr">
        <is>
          <t>Roughin Material</t>
        </is>
      </c>
      <c r="D25" s="10" t="n">
        <v>161200</v>
      </c>
      <c r="E25" s="10" t="n">
        <v>161200</v>
      </c>
      <c r="F25" s="10" t="n">
        <v>94000.7</v>
      </c>
      <c r="G25" s="10">
        <f>E25-F25</f>
        <v/>
      </c>
      <c r="H25" s="11">
        <f>IF(E25=0,0,F25/E25)</f>
        <v/>
      </c>
    </row>
    <row r="26">
      <c r="B26" s="4" t="inlineStr">
        <is>
          <t>230</t>
        </is>
      </c>
      <c r="C26" s="4" t="inlineStr">
        <is>
          <t>Finish Material</t>
        </is>
      </c>
      <c r="D26" s="10" t="n">
        <v>261600</v>
      </c>
      <c r="E26" s="10" t="n">
        <v>269866</v>
      </c>
      <c r="F26" s="10" t="n">
        <v>210145.22</v>
      </c>
      <c r="G26" s="10">
        <f>E26-F26</f>
        <v/>
      </c>
      <c r="H26" s="11">
        <f>IF(E26=0,0,F26/E26)</f>
        <v/>
      </c>
    </row>
    <row r="27">
      <c r="B27" s="4" t="inlineStr">
        <is>
          <t>240</t>
        </is>
      </c>
      <c r="C27" s="4" t="inlineStr">
        <is>
          <t>Gas Material</t>
        </is>
      </c>
      <c r="D27" s="10" t="n">
        <v>3000</v>
      </c>
      <c r="E27" s="10" t="n">
        <v>3000</v>
      </c>
      <c r="F27" s="10" t="n">
        <v>996.3200000000001</v>
      </c>
      <c r="G27" s="10">
        <f>E27-F27</f>
        <v/>
      </c>
      <c r="H27" s="11">
        <f>IF(E27=0,0,F27/E27)</f>
        <v/>
      </c>
    </row>
    <row r="28">
      <c r="B28" s="4" t="inlineStr">
        <is>
          <t>241</t>
        </is>
      </c>
      <c r="C28" s="4" t="inlineStr">
        <is>
          <t>Water Main/Insulation Mat</t>
        </is>
      </c>
      <c r="D28" s="10" t="n">
        <v>65600</v>
      </c>
      <c r="E28" s="10" t="n">
        <v>65600</v>
      </c>
      <c r="F28" s="10" t="n">
        <v>36964.67</v>
      </c>
      <c r="G28" s="10">
        <f>E28-F28</f>
        <v/>
      </c>
      <c r="H28" s="11">
        <f>IF(E28=0,0,F28/E28)</f>
        <v/>
      </c>
    </row>
    <row r="29">
      <c r="B29" s="4" t="inlineStr">
        <is>
          <t>242</t>
        </is>
      </c>
      <c r="C29" s="4" t="inlineStr">
        <is>
          <t>Mech Room Material</t>
        </is>
      </c>
      <c r="D29" s="10" t="n">
        <v>12000</v>
      </c>
      <c r="E29" s="10" t="n">
        <v>12000</v>
      </c>
      <c r="F29" s="10" t="n">
        <v>22695.31</v>
      </c>
      <c r="G29" s="10">
        <f>E29-F29</f>
        <v/>
      </c>
      <c r="H29" s="11">
        <f>IF(E29=0,0,F29/E29)</f>
        <v/>
      </c>
    </row>
    <row r="30">
      <c r="B30" s="4" t="inlineStr">
        <is>
          <t>245</t>
        </is>
      </c>
      <c r="C30" s="4" t="inlineStr">
        <is>
          <t>Tub/Shower Material</t>
        </is>
      </c>
      <c r="D30" s="10" t="n">
        <v>0</v>
      </c>
      <c r="E30" s="10" t="n">
        <v>0</v>
      </c>
      <c r="F30" s="10" t="n">
        <v>2278.99</v>
      </c>
      <c r="G30" s="10">
        <f>E30-F30</f>
        <v/>
      </c>
      <c r="H30" s="11">
        <f>IF(E30=0,0,F30/E30)</f>
        <v/>
      </c>
    </row>
    <row r="31">
      <c r="B31" s="3" t="inlineStr">
        <is>
          <t>OVERHEAD</t>
        </is>
      </c>
    </row>
    <row r="32">
      <c r="B32" s="4" t="inlineStr">
        <is>
          <t>600</t>
        </is>
      </c>
      <c r="C32" s="4" t="inlineStr">
        <is>
          <t>Subcontractor</t>
        </is>
      </c>
      <c r="D32" s="10" t="n">
        <v>1000</v>
      </c>
      <c r="E32" s="10" t="n">
        <v>1000</v>
      </c>
      <c r="F32" s="10" t="n">
        <v>186</v>
      </c>
      <c r="G32" s="10">
        <f>E32-F32</f>
        <v/>
      </c>
      <c r="H32" s="11">
        <f>IF(E32=0,0,F32/E32)</f>
        <v/>
      </c>
    </row>
    <row r="33">
      <c r="B33" s="4" t="inlineStr">
        <is>
          <t>601</t>
        </is>
      </c>
      <c r="C33" s="4" t="inlineStr">
        <is>
          <t>Engineering/Plans</t>
        </is>
      </c>
      <c r="D33" s="10" t="n">
        <v>22000</v>
      </c>
      <c r="E33" s="10" t="n">
        <v>22000</v>
      </c>
      <c r="F33" s="10" t="n">
        <v>15682.03</v>
      </c>
      <c r="G33" s="10">
        <f>E33-F33</f>
        <v/>
      </c>
      <c r="H33" s="11">
        <f>IF(E33=0,0,F33/E33)</f>
        <v/>
      </c>
    </row>
    <row r="34">
      <c r="B34" s="4" t="inlineStr">
        <is>
          <t>603</t>
        </is>
      </c>
      <c r="C34" s="4" t="inlineStr">
        <is>
          <t>Permits &amp; Licenses</t>
        </is>
      </c>
      <c r="D34" s="10" t="n">
        <v>25600</v>
      </c>
      <c r="E34" s="10" t="n">
        <v>10000</v>
      </c>
      <c r="F34" s="10" t="n">
        <v>70.70999999999999</v>
      </c>
      <c r="G34" s="10">
        <f>E34-F34</f>
        <v/>
      </c>
      <c r="H34" s="11">
        <f>IF(E34=0,0,F34/E34)</f>
        <v/>
      </c>
    </row>
    <row r="35">
      <c r="B35" s="3" t="inlineStr">
        <is>
          <t>BURDEN</t>
        </is>
      </c>
    </row>
    <row r="36">
      <c r="B36" s="4" t="inlineStr">
        <is>
          <t>995</t>
        </is>
      </c>
      <c r="C36" s="4" t="inlineStr">
        <is>
          <t>Payroll Burden</t>
        </is>
      </c>
      <c r="D36" s="10" t="n">
        <v>125049.58</v>
      </c>
      <c r="E36" s="10" t="n">
        <v>125049.58</v>
      </c>
      <c r="F36" s="10" t="n">
        <v>126300.46</v>
      </c>
      <c r="G36" s="10">
        <f>E36-F36</f>
        <v/>
      </c>
      <c r="H36" s="11">
        <f>IF(E36=0,0,F36/E36)</f>
        <v/>
      </c>
    </row>
    <row r="37">
      <c r="B37" s="4" t="inlineStr">
        <is>
          <t>998</t>
        </is>
      </c>
      <c r="C37" s="4" t="inlineStr">
        <is>
          <t>Payroll Taxes</t>
        </is>
      </c>
      <c r="D37" s="10" t="n">
        <v>22067.57</v>
      </c>
      <c r="E37" s="10" t="n">
        <v>22067.57</v>
      </c>
      <c r="F37" s="10" t="n">
        <v>22289.38</v>
      </c>
      <c r="G37" s="10">
        <f>E37-F37</f>
        <v/>
      </c>
      <c r="H37" s="11">
        <f>IF(E37=0,0,F37/E37)</f>
        <v/>
      </c>
    </row>
    <row r="38">
      <c r="B38" s="5" t="inlineStr">
        <is>
          <t>TOTAL</t>
        </is>
      </c>
      <c r="C38" s="5" t="inlineStr">
        <is>
          <t>Direct Cost</t>
        </is>
      </c>
      <c r="D38" s="12" t="n">
        <v>1055092.15</v>
      </c>
      <c r="E38" s="12" t="n">
        <v>1047758.15</v>
      </c>
      <c r="F38" s="12" t="n">
        <v>846601.3199999999</v>
      </c>
      <c r="G38" s="12">
        <f>E38-F38</f>
        <v/>
      </c>
      <c r="H38" s="13">
        <f>IF(E38=0,0,F38/E38)</f>
        <v/>
      </c>
    </row>
    <row r="39"/>
    <row r="40"/>
    <row r="41">
      <c r="B41" s="3" t="inlineStr">
        <is>
          <t>SOURCES</t>
        </is>
      </c>
    </row>
    <row r="42">
      <c r="B42" s="2" t="inlineStr">
        <is>
          <t>Job #2012 — Exxel Pacific 8th Ave Apartments  •  GC: Exxel Pacific, Inc.  •  4545 8th Ave NE, Seattle</t>
        </is>
      </c>
    </row>
    <row r="43">
      <c r="B43" s="2" t="inlineStr">
        <is>
          <t>Canonical source: 2012 Job Detail Report.pdf (135 pages, OWP Sage Timberline export)</t>
        </is>
      </c>
    </row>
    <row r="44">
      <c r="B44" s="2" t="inlineStr">
        <is>
          <t>Cost codes parsed: 30</t>
        </is>
      </c>
    </row>
    <row r="45">
      <c r="B45" s="2" t="inlineStr">
        <is>
          <t>Unit count (163) confirmed by plumbing permit SR1335240</t>
        </is>
      </c>
    </row>
    <row r="46">
      <c r="B46" s="2" t="inlineStr">
        <is>
          <t>Fixture count (1004) from permit detail: 163 WC + 163 lav + 163 shower + 163 sink + 163 DW + 163 washer + 5 floor drains + 18 roof drains + 1 indirect + 2 sump/ejector</t>
        </is>
      </c>
    </row>
    <row r="47">
      <c r="B47" s="2" t="inlineStr">
        <is>
          <t>Contract: One Way Plumbing contract executed (Exxel Pacific GC) with OWP markup</t>
        </is>
      </c>
    </row>
    <row r="48">
      <c r="B48" s="2" t="inlineStr">
        <is>
          <t>Billing: 8th AGGREGATE BILLING.xlsx (15 pay apps Mar 2013 – Jul 2014) + 15 SOV files</t>
        </is>
      </c>
    </row>
    <row r="49">
      <c r="B49" s="2" t="inlineStr">
        <is>
          <t>Final contract $1,391,455 (original $1,394,655 + $-3,200 COs)</t>
        </is>
      </c>
    </row>
  </sheetData>
  <mergeCells count="14">
    <mergeCell ref="B41:H41"/>
    <mergeCell ref="B35:H35"/>
    <mergeCell ref="B19:H19"/>
    <mergeCell ref="B44:H44"/>
    <mergeCell ref="B43:H43"/>
    <mergeCell ref="B49:H49"/>
    <mergeCell ref="B45:H45"/>
    <mergeCell ref="B47:H47"/>
    <mergeCell ref="B2:H2"/>
    <mergeCell ref="B48:H48"/>
    <mergeCell ref="B42:H42"/>
    <mergeCell ref="B5:H5"/>
    <mergeCell ref="B31:H31"/>
    <mergeCell ref="B46:H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/>
    <row r="2">
      <c r="B2" s="1" t="inlineStr">
        <is>
          <t>Cost Breakdown — Category Deep Dive</t>
        </is>
      </c>
    </row>
    <row r="3"/>
    <row r="4">
      <c r="B4" s="3" t="inlineStr">
        <is>
          <t>A. CATEGORY SHARE OF DIRECT COST</t>
        </is>
      </c>
    </row>
    <row r="5">
      <c r="B5" s="9" t="inlineStr">
        <is>
          <t>Category</t>
        </is>
      </c>
      <c r="C5" s="9" t="inlineStr">
        <is>
          <t># Codes</t>
        </is>
      </c>
      <c r="D5" s="9" t="inlineStr">
        <is>
          <t>Budget</t>
        </is>
      </c>
      <c r="E5" s="9" t="inlineStr">
        <is>
          <t>Actual</t>
        </is>
      </c>
      <c r="F5" s="9" t="inlineStr">
        <is>
          <t>Variance</t>
        </is>
      </c>
      <c r="G5" s="9" t="inlineStr">
        <is>
          <t>% Budget</t>
        </is>
      </c>
      <c r="H5" s="9" t="inlineStr">
        <is>
          <t>% of Cost</t>
        </is>
      </c>
      <c r="I5" s="9" t="inlineStr">
        <is>
          <t>Per Unit</t>
        </is>
      </c>
    </row>
    <row r="6">
      <c r="B6" s="4" t="inlineStr">
        <is>
          <t>Labor</t>
        </is>
      </c>
      <c r="C6" s="14" t="n">
        <v>13</v>
      </c>
      <c r="D6" s="10" t="n">
        <v>305975</v>
      </c>
      <c r="E6" s="10" t="n">
        <v>291321.88</v>
      </c>
      <c r="F6" s="10">
        <f>D6-E6</f>
        <v/>
      </c>
      <c r="G6" s="11">
        <f>IF(D6=0,0,E6/D6)</f>
        <v/>
      </c>
      <c r="H6" s="11">
        <f>IF(846601.32=0,0,E6/846601.32)</f>
        <v/>
      </c>
      <c r="I6" s="10">
        <f>IF(163=0,0,E6/163)</f>
        <v/>
      </c>
    </row>
    <row r="7">
      <c r="B7" s="4" t="inlineStr">
        <is>
          <t>Material</t>
        </is>
      </c>
      <c r="C7" s="14" t="n">
        <v>11</v>
      </c>
      <c r="D7" s="10" t="n">
        <v>561666</v>
      </c>
      <c r="E7" s="10" t="n">
        <v>390750.86</v>
      </c>
      <c r="F7" s="10">
        <f>D7-E7</f>
        <v/>
      </c>
      <c r="G7" s="11">
        <f>IF(D7=0,0,E7/D7)</f>
        <v/>
      </c>
      <c r="H7" s="11">
        <f>IF(846601.32=0,0,E7/846601.32)</f>
        <v/>
      </c>
      <c r="I7" s="10">
        <f>IF(163=0,0,E7/163)</f>
        <v/>
      </c>
    </row>
    <row r="8">
      <c r="B8" s="4" t="inlineStr">
        <is>
          <t>Overhead</t>
        </is>
      </c>
      <c r="C8" s="14" t="n">
        <v>3</v>
      </c>
      <c r="D8" s="10" t="n">
        <v>33000</v>
      </c>
      <c r="E8" s="10" t="n">
        <v>15938.74</v>
      </c>
      <c r="F8" s="10">
        <f>D8-E8</f>
        <v/>
      </c>
      <c r="G8" s="11">
        <f>IF(D8=0,0,E8/D8)</f>
        <v/>
      </c>
      <c r="H8" s="11">
        <f>IF(846601.32=0,0,E8/846601.32)</f>
        <v/>
      </c>
      <c r="I8" s="10">
        <f>IF(163=0,0,E8/163)</f>
        <v/>
      </c>
    </row>
    <row r="9">
      <c r="B9" s="4" t="inlineStr">
        <is>
          <t>Burden</t>
        </is>
      </c>
      <c r="C9" s="14" t="n">
        <v>2</v>
      </c>
      <c r="D9" s="10" t="n">
        <v>147117.15</v>
      </c>
      <c r="E9" s="10" t="n">
        <v>148589.84</v>
      </c>
      <c r="F9" s="10">
        <f>D9-E9</f>
        <v/>
      </c>
      <c r="G9" s="11">
        <f>IF(D9=0,0,E9/D9)</f>
        <v/>
      </c>
      <c r="H9" s="11">
        <f>IF(846601.32=0,0,E9/846601.32)</f>
        <v/>
      </c>
      <c r="I9" s="10">
        <f>IF(163=0,0,E9/163)</f>
        <v/>
      </c>
    </row>
    <row r="10"/>
    <row r="11"/>
    <row r="12">
      <c r="B12" s="3" t="inlineStr">
        <is>
          <t>B. LARGEST OVERRUNS (Actual &gt; Revised Budget)</t>
        </is>
      </c>
    </row>
    <row r="13">
      <c r="B13" s="9" t="inlineStr">
        <is>
          <t>Code</t>
        </is>
      </c>
      <c r="C13" s="9" t="inlineStr">
        <is>
          <t>Description</t>
        </is>
      </c>
      <c r="D13" s="9" t="inlineStr">
        <is>
          <t>Rev Budget</t>
        </is>
      </c>
      <c r="E13" s="9" t="inlineStr">
        <is>
          <t>Actual</t>
        </is>
      </c>
      <c r="F13" s="9" t="inlineStr">
        <is>
          <t>Overrun</t>
        </is>
      </c>
      <c r="G13" s="9" t="inlineStr">
        <is>
          <t>% Over</t>
        </is>
      </c>
    </row>
    <row r="14">
      <c r="B14" s="4" t="inlineStr">
        <is>
          <t>120</t>
        </is>
      </c>
      <c r="C14" s="4" t="inlineStr">
        <is>
          <t>Roughin Labor</t>
        </is>
      </c>
      <c r="D14" s="10" t="n">
        <v>139800</v>
      </c>
      <c r="E14" s="10" t="n">
        <v>177291.75</v>
      </c>
      <c r="F14" s="10">
        <f>E14-D14</f>
        <v/>
      </c>
      <c r="G14" s="11">
        <f>IF(D14=0,0,F14/D14)</f>
        <v/>
      </c>
    </row>
    <row r="15">
      <c r="B15" s="4" t="inlineStr">
        <is>
          <t>242</t>
        </is>
      </c>
      <c r="C15" s="4" t="inlineStr">
        <is>
          <t>Mech Room Material</t>
        </is>
      </c>
      <c r="D15" s="10" t="n">
        <v>12000</v>
      </c>
      <c r="E15" s="10" t="n">
        <v>22695.31</v>
      </c>
      <c r="F15" s="10">
        <f>E15-D15</f>
        <v/>
      </c>
      <c r="G15" s="11">
        <f>IF(D15=0,0,F15/D15)</f>
        <v/>
      </c>
    </row>
    <row r="16">
      <c r="B16" s="4" t="inlineStr">
        <is>
          <t>142</t>
        </is>
      </c>
      <c r="C16" s="4" t="inlineStr">
        <is>
          <t>Mech Room Labor</t>
        </is>
      </c>
      <c r="D16" s="10" t="n">
        <v>3525</v>
      </c>
      <c r="E16" s="10" t="n">
        <v>9784</v>
      </c>
      <c r="F16" s="10">
        <f>E16-D16</f>
        <v/>
      </c>
      <c r="G16" s="11">
        <f>IF(D16=0,0,F16/D16)</f>
        <v/>
      </c>
    </row>
    <row r="17">
      <c r="B17" s="4" t="inlineStr">
        <is>
          <t>111</t>
        </is>
      </c>
      <c r="C17" s="4" t="inlineStr">
        <is>
          <t>Garage Labor</t>
        </is>
      </c>
      <c r="D17" s="10" t="n">
        <v>14600</v>
      </c>
      <c r="E17" s="10" t="n">
        <v>19353.5</v>
      </c>
      <c r="F17" s="10">
        <f>E17-D17</f>
        <v/>
      </c>
      <c r="G17" s="11">
        <f>IF(D17=0,0,F17/D17)</f>
        <v/>
      </c>
    </row>
    <row r="18">
      <c r="B18" s="4" t="inlineStr">
        <is>
          <t>130</t>
        </is>
      </c>
      <c r="C18" s="4" t="inlineStr">
        <is>
          <t>Finish Labor</t>
        </is>
      </c>
      <c r="D18" s="10" t="n">
        <v>31000</v>
      </c>
      <c r="E18" s="10" t="n">
        <v>34658.38</v>
      </c>
      <c r="F18" s="10">
        <f>E18-D18</f>
        <v/>
      </c>
      <c r="G18" s="11">
        <f>IF(D18=0,0,F18/D18)</f>
        <v/>
      </c>
    </row>
    <row r="19">
      <c r="B19" s="4" t="inlineStr">
        <is>
          <t>245</t>
        </is>
      </c>
      <c r="C19" s="4" t="inlineStr">
        <is>
          <t>Tub/Shower Material</t>
        </is>
      </c>
      <c r="D19" s="10" t="n">
        <v>0</v>
      </c>
      <c r="E19" s="10" t="n">
        <v>2278.99</v>
      </c>
      <c r="F19" s="10">
        <f>E19-D19</f>
        <v/>
      </c>
      <c r="G19" s="11">
        <f>IF(D19=0,0,F19/D19)</f>
        <v/>
      </c>
    </row>
    <row r="20">
      <c r="B20" s="4" t="inlineStr">
        <is>
          <t>995</t>
        </is>
      </c>
      <c r="C20" s="4" t="inlineStr">
        <is>
          <t>Payroll Burden</t>
        </is>
      </c>
      <c r="D20" s="10" t="n">
        <v>125049.58</v>
      </c>
      <c r="E20" s="10" t="n">
        <v>126300.46</v>
      </c>
      <c r="F20" s="10">
        <f>E20-D20</f>
        <v/>
      </c>
      <c r="G20" s="11">
        <f>IF(D20=0,0,F20/D20)</f>
        <v/>
      </c>
    </row>
    <row r="21">
      <c r="B21" s="4" t="inlineStr">
        <is>
          <t>998</t>
        </is>
      </c>
      <c r="C21" s="4" t="inlineStr">
        <is>
          <t>Payroll Taxes</t>
        </is>
      </c>
      <c r="D21" s="10" t="n">
        <v>22067.57</v>
      </c>
      <c r="E21" s="10" t="n">
        <v>22289.38</v>
      </c>
      <c r="F21" s="10">
        <f>E21-D21</f>
        <v/>
      </c>
      <c r="G21" s="11">
        <f>IF(D21=0,0,F21/D21)</f>
        <v/>
      </c>
    </row>
    <row r="22"/>
    <row r="23"/>
    <row r="24">
      <c r="B24" s="3" t="inlineStr">
        <is>
          <t>C. LARGEST SAVINGS (Actual &lt; Revised Budget)</t>
        </is>
      </c>
    </row>
    <row r="25">
      <c r="B25" s="9" t="inlineStr">
        <is>
          <t>Code</t>
        </is>
      </c>
      <c r="C25" s="9" t="inlineStr">
        <is>
          <t>Description</t>
        </is>
      </c>
      <c r="D25" s="9" t="inlineStr">
        <is>
          <t>Rev Budget</t>
        </is>
      </c>
      <c r="E25" s="9" t="inlineStr">
        <is>
          <t>Actual</t>
        </is>
      </c>
      <c r="F25" s="9" t="inlineStr">
        <is>
          <t>Savings</t>
        </is>
      </c>
      <c r="G25" s="9" t="inlineStr">
        <is>
          <t>% Under</t>
        </is>
      </c>
    </row>
    <row r="26">
      <c r="B26" s="4" t="inlineStr">
        <is>
          <t>220</t>
        </is>
      </c>
      <c r="C26" s="4" t="inlineStr">
        <is>
          <t>Roughin Material</t>
        </is>
      </c>
      <c r="D26" s="10" t="n">
        <v>161200</v>
      </c>
      <c r="E26" s="10" t="n">
        <v>94000.7</v>
      </c>
      <c r="F26" s="10">
        <f>D26-E26</f>
        <v/>
      </c>
      <c r="G26" s="11">
        <f>IF(D26=0,0,F26/D26)</f>
        <v/>
      </c>
    </row>
    <row r="27">
      <c r="B27" s="4" t="inlineStr">
        <is>
          <t>230</t>
        </is>
      </c>
      <c r="C27" s="4" t="inlineStr">
        <is>
          <t>Finish Material</t>
        </is>
      </c>
      <c r="D27" s="10" t="n">
        <v>269866</v>
      </c>
      <c r="E27" s="10" t="n">
        <v>210145.22</v>
      </c>
      <c r="F27" s="10">
        <f>D27-E27</f>
        <v/>
      </c>
      <c r="G27" s="11">
        <f>IF(D27=0,0,F27/D27)</f>
        <v/>
      </c>
    </row>
    <row r="28">
      <c r="B28" s="4" t="inlineStr">
        <is>
          <t>241</t>
        </is>
      </c>
      <c r="C28" s="4" t="inlineStr">
        <is>
          <t>Water Main/Insulation Mat</t>
        </is>
      </c>
      <c r="D28" s="10" t="n">
        <v>65600</v>
      </c>
      <c r="E28" s="10" t="n">
        <v>36964.67</v>
      </c>
      <c r="F28" s="10">
        <f>D28-E28</f>
        <v/>
      </c>
      <c r="G28" s="11">
        <f>IF(D28=0,0,F28/D28)</f>
        <v/>
      </c>
    </row>
    <row r="29">
      <c r="B29" s="4" t="inlineStr">
        <is>
          <t>141</t>
        </is>
      </c>
      <c r="C29" s="4" t="inlineStr">
        <is>
          <t>Water Main/Insulation Lab</t>
        </is>
      </c>
      <c r="D29" s="10" t="n">
        <v>41000</v>
      </c>
      <c r="E29" s="10" t="n">
        <v>15756</v>
      </c>
      <c r="F29" s="10">
        <f>D29-E29</f>
        <v/>
      </c>
      <c r="G29" s="11">
        <f>IF(D29=0,0,F29/D29)</f>
        <v/>
      </c>
    </row>
    <row r="30">
      <c r="B30" s="4" t="inlineStr">
        <is>
          <t>145</t>
        </is>
      </c>
      <c r="C30" s="4" t="inlineStr">
        <is>
          <t>Tub/Shower Labor</t>
        </is>
      </c>
      <c r="D30" s="10" t="n">
        <v>19800</v>
      </c>
      <c r="E30" s="10" t="n">
        <v>6781</v>
      </c>
      <c r="F30" s="10">
        <f>D30-E30</f>
        <v/>
      </c>
      <c r="G30" s="11">
        <f>IF(D30=0,0,F30/D30)</f>
        <v/>
      </c>
    </row>
    <row r="31">
      <c r="B31" s="4" t="inlineStr">
        <is>
          <t>039</t>
        </is>
      </c>
      <c r="C31" s="4" t="inlineStr">
        <is>
          <t>DS &amp; RD Material</t>
        </is>
      </c>
      <c r="D31" s="10" t="n">
        <v>17900</v>
      </c>
      <c r="E31" s="10" t="n">
        <v>5066.8</v>
      </c>
      <c r="F31" s="10">
        <f>D31-E31</f>
        <v/>
      </c>
      <c r="G31" s="11">
        <f>IF(D31=0,0,F31/D31)</f>
        <v/>
      </c>
    </row>
    <row r="32">
      <c r="B32" s="4" t="inlineStr">
        <is>
          <t>603</t>
        </is>
      </c>
      <c r="C32" s="4" t="inlineStr">
        <is>
          <t>Permits &amp; Licenses</t>
        </is>
      </c>
      <c r="D32" s="10" t="n">
        <v>10000</v>
      </c>
      <c r="E32" s="10" t="n">
        <v>70.70999999999999</v>
      </c>
      <c r="F32" s="10">
        <f>D32-E32</f>
        <v/>
      </c>
      <c r="G32" s="11">
        <f>IF(D32=0,0,F32/D32)</f>
        <v/>
      </c>
    </row>
    <row r="33">
      <c r="B33" s="4" t="inlineStr">
        <is>
          <t>011</t>
        </is>
      </c>
      <c r="C33" s="4" t="inlineStr">
        <is>
          <t>DS &amp; RD Labor</t>
        </is>
      </c>
      <c r="D33" s="10" t="n">
        <v>12500</v>
      </c>
      <c r="E33" s="10" t="n">
        <v>3752.5</v>
      </c>
      <c r="F33" s="10">
        <f>D33-E33</f>
        <v/>
      </c>
      <c r="G33" s="11">
        <f>IF(D33=0,0,F33/D33)</f>
        <v/>
      </c>
    </row>
    <row r="34">
      <c r="B34" s="4" t="inlineStr">
        <is>
          <t>601</t>
        </is>
      </c>
      <c r="C34" s="4" t="inlineStr">
        <is>
          <t>Engineering/Plans</t>
        </is>
      </c>
      <c r="D34" s="10" t="n">
        <v>22000</v>
      </c>
      <c r="E34" s="10" t="n">
        <v>15682.03</v>
      </c>
      <c r="F34" s="10">
        <f>D34-E34</f>
        <v/>
      </c>
      <c r="G34" s="11">
        <f>IF(D34=0,0,F34/D34)</f>
        <v/>
      </c>
    </row>
    <row r="35">
      <c r="B35" s="4" t="inlineStr">
        <is>
          <t>112</t>
        </is>
      </c>
      <c r="C35" s="4" t="inlineStr">
        <is>
          <t>Canout Labor</t>
        </is>
      </c>
      <c r="D35" s="10" t="n">
        <v>11700</v>
      </c>
      <c r="E35" s="10" t="n">
        <v>5424</v>
      </c>
      <c r="F35" s="10">
        <f>D35-E35</f>
        <v/>
      </c>
      <c r="G35" s="11">
        <f>IF(D35=0,0,F35/D35)</f>
        <v/>
      </c>
    </row>
    <row r="36"/>
    <row r="37"/>
    <row r="38">
      <c r="B38" s="3" t="inlineStr">
        <is>
          <t>SOURCES</t>
        </is>
      </c>
    </row>
    <row r="39">
      <c r="B39" s="2" t="inlineStr">
        <is>
          <t>Job #2012 — Exxel Pacific 8th Ave Apartments  •  GC: Exxel Pacific, Inc.  •  4545 8th Ave NE, Seattle</t>
        </is>
      </c>
    </row>
    <row r="40">
      <c r="B40" s="2" t="inlineStr">
        <is>
          <t>Canonical source: 2012 Job Detail Report.pdf (135 pages, OWP Sage Timberline export)</t>
        </is>
      </c>
    </row>
    <row r="41">
      <c r="B41" s="2" t="inlineStr">
        <is>
          <t>Cost codes parsed: 30</t>
        </is>
      </c>
    </row>
    <row r="42">
      <c r="B42" s="2" t="inlineStr">
        <is>
          <t>Unit count (163) confirmed by plumbing permit SR1335240</t>
        </is>
      </c>
    </row>
    <row r="43">
      <c r="B43" s="2" t="inlineStr">
        <is>
          <t>Fixture count (1004) from permit detail: 163 WC + 163 lav + 163 shower + 163 sink + 163 DW + 163 washer + 5 floor drains + 18 roof drains + 1 indirect + 2 sump/ejector</t>
        </is>
      </c>
    </row>
    <row r="44">
      <c r="B44" s="2" t="inlineStr">
        <is>
          <t>Contract: One Way Plumbing contract executed (Exxel Pacific GC) with OWP markup</t>
        </is>
      </c>
    </row>
    <row r="45">
      <c r="B45" s="2" t="inlineStr">
        <is>
          <t>Billing: 8th AGGREGATE BILLING.xlsx (15 pay apps Mar 2013 – Jul 2014) + 15 SOV files</t>
        </is>
      </c>
    </row>
    <row r="46">
      <c r="B46" s="2" t="inlineStr">
        <is>
          <t>Final contract $1,391,455 (original $1,394,655 + $-3,200 COs)</t>
        </is>
      </c>
    </row>
  </sheetData>
  <mergeCells count="13">
    <mergeCell ref="B12:I12"/>
    <mergeCell ref="B44:I44"/>
    <mergeCell ref="B39:I39"/>
    <mergeCell ref="B38:I38"/>
    <mergeCell ref="B24:I24"/>
    <mergeCell ref="B2:I2"/>
    <mergeCell ref="B46:I46"/>
    <mergeCell ref="B42:I42"/>
    <mergeCell ref="B45:I45"/>
    <mergeCell ref="B43:I43"/>
    <mergeCell ref="B41:I41"/>
    <mergeCell ref="B4:I4"/>
    <mergeCell ref="B40:I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/>
    <row r="2">
      <c r="B2" s="1" t="inlineStr">
        <is>
          <t>Material Spend Analysis</t>
        </is>
      </c>
    </row>
    <row r="3">
      <c r="B3" s="2" t="inlineStr">
        <is>
          <t>11 material cost codes  •  $390,751 JDR material  •  16 AP vendors  •  $409,755 total AP</t>
        </is>
      </c>
    </row>
    <row r="4"/>
    <row r="5">
      <c r="B5" s="3" t="inlineStr">
        <is>
          <t>A. MATERIAL BY COST CODE</t>
        </is>
      </c>
    </row>
    <row r="6">
      <c r="B6" s="9" t="inlineStr">
        <is>
          <t>Code</t>
        </is>
      </c>
      <c r="C6" s="9" t="inlineStr">
        <is>
          <t>Description</t>
        </is>
      </c>
      <c r="D6" s="9" t="inlineStr">
        <is>
          <t>Rev Budget</t>
        </is>
      </c>
      <c r="E6" s="9" t="inlineStr">
        <is>
          <t>Actual</t>
        </is>
      </c>
      <c r="F6" s="9" t="inlineStr">
        <is>
          <t>Variance</t>
        </is>
      </c>
      <c r="G6" s="9" t="inlineStr">
        <is>
          <t>% Used</t>
        </is>
      </c>
      <c r="H6" s="9" t="inlineStr">
        <is>
          <t>% of Mat</t>
        </is>
      </c>
      <c r="I6" s="9" t="inlineStr">
        <is>
          <t>Per Unit</t>
        </is>
      </c>
    </row>
    <row r="7">
      <c r="B7" s="4" t="inlineStr">
        <is>
          <t>039</t>
        </is>
      </c>
      <c r="C7" s="4" t="inlineStr">
        <is>
          <t>DS &amp; RD Material</t>
        </is>
      </c>
      <c r="D7" s="10" t="n">
        <v>17900</v>
      </c>
      <c r="E7" s="10" t="n">
        <v>5066.8</v>
      </c>
      <c r="F7" s="10">
        <f>D7-E7</f>
        <v/>
      </c>
      <c r="G7" s="11">
        <f>IF(D7=0,0,E7/D7)</f>
        <v/>
      </c>
      <c r="H7" s="11">
        <f>IF(390750.86=0,0,E7/390750.86)</f>
        <v/>
      </c>
      <c r="I7" s="10">
        <f>IF(163=0,0,E7/163)</f>
        <v/>
      </c>
    </row>
    <row r="8">
      <c r="B8" s="4" t="inlineStr">
        <is>
          <t>210</t>
        </is>
      </c>
      <c r="C8" s="4" t="inlineStr">
        <is>
          <t>Underground Material</t>
        </is>
      </c>
      <c r="D8" s="10" t="n">
        <v>4300</v>
      </c>
      <c r="E8" s="10" t="n">
        <v>1635.51</v>
      </c>
      <c r="F8" s="10">
        <f>D8-E8</f>
        <v/>
      </c>
      <c r="G8" s="11">
        <f>IF(D8=0,0,E8/D8)</f>
        <v/>
      </c>
      <c r="H8" s="11">
        <f>IF(390750.86=0,0,E8/390750.86)</f>
        <v/>
      </c>
      <c r="I8" s="10">
        <f>IF(163=0,0,E8/163)</f>
        <v/>
      </c>
    </row>
    <row r="9">
      <c r="B9" s="4" t="inlineStr">
        <is>
          <t>211</t>
        </is>
      </c>
      <c r="C9" s="4" t="inlineStr">
        <is>
          <t>Garage Material</t>
        </is>
      </c>
      <c r="D9" s="10" t="n">
        <v>11970</v>
      </c>
      <c r="E9" s="10" t="n">
        <v>6599.03</v>
      </c>
      <c r="F9" s="10">
        <f>D9-E9</f>
        <v/>
      </c>
      <c r="G9" s="11">
        <f>IF(D9=0,0,E9/D9)</f>
        <v/>
      </c>
      <c r="H9" s="11">
        <f>IF(390750.86=0,0,E9/390750.86)</f>
        <v/>
      </c>
      <c r="I9" s="10">
        <f>IF(163=0,0,E9/163)</f>
        <v/>
      </c>
    </row>
    <row r="10">
      <c r="B10" s="4" t="inlineStr">
        <is>
          <t>212</t>
        </is>
      </c>
      <c r="C10" s="4" t="inlineStr">
        <is>
          <t>Canout Material</t>
        </is>
      </c>
      <c r="D10" s="10" t="n">
        <v>13130</v>
      </c>
      <c r="E10" s="10" t="n">
        <v>8579.190000000001</v>
      </c>
      <c r="F10" s="10">
        <f>D10-E10</f>
        <v/>
      </c>
      <c r="G10" s="11">
        <f>IF(D10=0,0,E10/D10)</f>
        <v/>
      </c>
      <c r="H10" s="11">
        <f>IF(390750.86=0,0,E10/390750.86)</f>
        <v/>
      </c>
      <c r="I10" s="10">
        <f>IF(163=0,0,E10/163)</f>
        <v/>
      </c>
    </row>
    <row r="11">
      <c r="B11" s="4" t="inlineStr">
        <is>
          <t>213</t>
        </is>
      </c>
      <c r="C11" s="4" t="inlineStr">
        <is>
          <t>Foundation Material</t>
        </is>
      </c>
      <c r="D11" s="10" t="n">
        <v>2700</v>
      </c>
      <c r="E11" s="10" t="n">
        <v>1789.12</v>
      </c>
      <c r="F11" s="10">
        <f>D11-E11</f>
        <v/>
      </c>
      <c r="G11" s="11">
        <f>IF(D11=0,0,E11/D11)</f>
        <v/>
      </c>
      <c r="H11" s="11">
        <f>IF(390750.86=0,0,E11/390750.86)</f>
        <v/>
      </c>
      <c r="I11" s="10">
        <f>IF(163=0,0,E11/163)</f>
        <v/>
      </c>
    </row>
    <row r="12">
      <c r="B12" s="4" t="inlineStr">
        <is>
          <t>220</t>
        </is>
      </c>
      <c r="C12" s="4" t="inlineStr">
        <is>
          <t>Roughin Material</t>
        </is>
      </c>
      <c r="D12" s="10" t="n">
        <v>161200</v>
      </c>
      <c r="E12" s="10" t="n">
        <v>94000.7</v>
      </c>
      <c r="F12" s="10">
        <f>D12-E12</f>
        <v/>
      </c>
      <c r="G12" s="11">
        <f>IF(D12=0,0,E12/D12)</f>
        <v/>
      </c>
      <c r="H12" s="11">
        <f>IF(390750.86=0,0,E12/390750.86)</f>
        <v/>
      </c>
      <c r="I12" s="10">
        <f>IF(163=0,0,E12/163)</f>
        <v/>
      </c>
    </row>
    <row r="13">
      <c r="B13" s="4" t="inlineStr">
        <is>
          <t>230</t>
        </is>
      </c>
      <c r="C13" s="4" t="inlineStr">
        <is>
          <t>Finish Material</t>
        </is>
      </c>
      <c r="D13" s="10" t="n">
        <v>269866</v>
      </c>
      <c r="E13" s="10" t="n">
        <v>210145.22</v>
      </c>
      <c r="F13" s="10">
        <f>D13-E13</f>
        <v/>
      </c>
      <c r="G13" s="11">
        <f>IF(D13=0,0,E13/D13)</f>
        <v/>
      </c>
      <c r="H13" s="11">
        <f>IF(390750.86=0,0,E13/390750.86)</f>
        <v/>
      </c>
      <c r="I13" s="10">
        <f>IF(163=0,0,E13/163)</f>
        <v/>
      </c>
    </row>
    <row r="14">
      <c r="B14" s="4" t="inlineStr">
        <is>
          <t>240</t>
        </is>
      </c>
      <c r="C14" s="4" t="inlineStr">
        <is>
          <t>Gas Material</t>
        </is>
      </c>
      <c r="D14" s="10" t="n">
        <v>3000</v>
      </c>
      <c r="E14" s="10" t="n">
        <v>996.3200000000001</v>
      </c>
      <c r="F14" s="10">
        <f>D14-E14</f>
        <v/>
      </c>
      <c r="G14" s="11">
        <f>IF(D14=0,0,E14/D14)</f>
        <v/>
      </c>
      <c r="H14" s="11">
        <f>IF(390750.86=0,0,E14/390750.86)</f>
        <v/>
      </c>
      <c r="I14" s="10">
        <f>IF(163=0,0,E14/163)</f>
        <v/>
      </c>
    </row>
    <row r="15">
      <c r="B15" s="4" t="inlineStr">
        <is>
          <t>241</t>
        </is>
      </c>
      <c r="C15" s="4" t="inlineStr">
        <is>
          <t>Water Main/Insulation Mat</t>
        </is>
      </c>
      <c r="D15" s="10" t="n">
        <v>65600</v>
      </c>
      <c r="E15" s="10" t="n">
        <v>36964.67</v>
      </c>
      <c r="F15" s="10">
        <f>D15-E15</f>
        <v/>
      </c>
      <c r="G15" s="11">
        <f>IF(D15=0,0,E15/D15)</f>
        <v/>
      </c>
      <c r="H15" s="11">
        <f>IF(390750.86=0,0,E15/390750.86)</f>
        <v/>
      </c>
      <c r="I15" s="10">
        <f>IF(163=0,0,E15/163)</f>
        <v/>
      </c>
    </row>
    <row r="16">
      <c r="B16" s="4" t="inlineStr">
        <is>
          <t>242</t>
        </is>
      </c>
      <c r="C16" s="4" t="inlineStr">
        <is>
          <t>Mech Room Material</t>
        </is>
      </c>
      <c r="D16" s="10" t="n">
        <v>12000</v>
      </c>
      <c r="E16" s="10" t="n">
        <v>22695.31</v>
      </c>
      <c r="F16" s="10">
        <f>D16-E16</f>
        <v/>
      </c>
      <c r="G16" s="11">
        <f>IF(D16=0,0,E16/D16)</f>
        <v/>
      </c>
      <c r="H16" s="11">
        <f>IF(390750.86=0,0,E16/390750.86)</f>
        <v/>
      </c>
      <c r="I16" s="10">
        <f>IF(163=0,0,E16/163)</f>
        <v/>
      </c>
    </row>
    <row r="17">
      <c r="B17" s="4" t="inlineStr">
        <is>
          <t>245</t>
        </is>
      </c>
      <c r="C17" s="4" t="inlineStr">
        <is>
          <t>Tub/Shower Material</t>
        </is>
      </c>
      <c r="D17" s="10" t="n">
        <v>0</v>
      </c>
      <c r="E17" s="10" t="n">
        <v>2278.99</v>
      </c>
      <c r="F17" s="10">
        <f>D17-E17</f>
        <v/>
      </c>
      <c r="G17" s="11">
        <f>IF(D17=0,0,E17/D17)</f>
        <v/>
      </c>
      <c r="H17" s="11">
        <f>IF(390750.86=0,0,E17/390750.86)</f>
        <v/>
      </c>
      <c r="I17" s="10">
        <f>IF(163=0,0,E17/163)</f>
        <v/>
      </c>
    </row>
    <row r="18">
      <c r="B18" s="5" t="inlineStr">
        <is>
          <t>TOTAL</t>
        </is>
      </c>
      <c r="C18" s="5" t="inlineStr">
        <is>
          <t>All Material</t>
        </is>
      </c>
      <c r="D18" s="12">
        <f>SUM(D7:D17)</f>
        <v/>
      </c>
      <c r="E18" s="12">
        <f>SUM(E7:E17)</f>
        <v/>
      </c>
      <c r="F18" s="12">
        <f>D18-E18</f>
        <v/>
      </c>
      <c r="G18" s="13">
        <f>IF(D18=0,0,E18/D18)</f>
        <v/>
      </c>
      <c r="H18" s="13" t="n">
        <v>1</v>
      </c>
      <c r="I18" s="12">
        <f>IF(163=0,0,E18/163)</f>
        <v/>
      </c>
    </row>
    <row r="19"/>
    <row r="20"/>
    <row r="21">
      <c r="B21" s="3" t="inlineStr">
        <is>
          <t>B. VENDORS BY SPEND (AP)</t>
        </is>
      </c>
    </row>
    <row r="22">
      <c r="B22" s="9" t="inlineStr">
        <is>
          <t>Vendor</t>
        </is>
      </c>
      <c r="C22" s="9" t="inlineStr">
        <is>
          <t># Invoices</t>
        </is>
      </c>
      <c r="D22" s="9" t="inlineStr">
        <is>
          <t>Total Spend</t>
        </is>
      </c>
      <c r="E22" s="9" t="inlineStr">
        <is>
          <t>% of AP</t>
        </is>
      </c>
      <c r="F22" s="9" t="inlineStr"/>
      <c r="G22" s="9" t="inlineStr"/>
      <c r="H22" s="9" t="inlineStr"/>
      <c r="I22" s="9" t="inlineStr">
        <is>
          <t>Avg Invoice</t>
        </is>
      </c>
    </row>
    <row r="23">
      <c r="B23" s="4" t="inlineStr">
        <is>
          <t>Keller Supply Company</t>
        </is>
      </c>
      <c r="C23" s="14" t="n">
        <v>45</v>
      </c>
      <c r="D23" s="10" t="n">
        <v>154464.12</v>
      </c>
      <c r="E23" s="11">
        <f>IF(409754.5900000001=0,0,D23/409754.5900000001)</f>
        <v/>
      </c>
      <c r="I23" s="10">
        <f>IF(C23=0,0,D23/C23)</f>
        <v/>
      </c>
    </row>
    <row r="24">
      <c r="B24" s="4" t="inlineStr">
        <is>
          <t>Ferguson Enterprises, Inc.</t>
        </is>
      </c>
      <c r="C24" s="14" t="n">
        <v>41</v>
      </c>
      <c r="D24" s="10" t="n">
        <v>119072.08</v>
      </c>
      <c r="E24" s="11">
        <f>IF(409754.5900000001=0,0,D24/409754.5900000001)</f>
        <v/>
      </c>
      <c r="I24" s="10">
        <f>IF(C24=0,0,D24/C24)</f>
        <v/>
      </c>
    </row>
    <row r="25">
      <c r="B25" s="4" t="inlineStr">
        <is>
          <t>Mechanical Sales, Inc.</t>
        </is>
      </c>
      <c r="C25" s="14" t="n">
        <v>7</v>
      </c>
      <c r="D25" s="10" t="n">
        <v>58896.52</v>
      </c>
      <c r="E25" s="11">
        <f>IF(409754.5900000001=0,0,D25/409754.5900000001)</f>
        <v/>
      </c>
      <c r="I25" s="10">
        <f>IF(C25=0,0,D25/C25)</f>
        <v/>
      </c>
    </row>
    <row r="26">
      <c r="B26" s="4" t="inlineStr">
        <is>
          <t>Rosen Supply Company, Inc.</t>
        </is>
      </c>
      <c r="C26" s="14" t="n">
        <v>54</v>
      </c>
      <c r="D26" s="10" t="n">
        <v>39751.74</v>
      </c>
      <c r="E26" s="11">
        <f>IF(409754.5900000001=0,0,D26/409754.5900000001)</f>
        <v/>
      </c>
      <c r="I26" s="10">
        <f>IF(C26=0,0,D26/C26)</f>
        <v/>
      </c>
    </row>
    <row r="27">
      <c r="B27" s="4" t="inlineStr">
        <is>
          <t>Franklin Engineering</t>
        </is>
      </c>
      <c r="C27" s="14" t="n">
        <v>4</v>
      </c>
      <c r="D27" s="10" t="n">
        <v>15612.75</v>
      </c>
      <c r="E27" s="11">
        <f>IF(409754.5900000001=0,0,D27/409754.5900000001)</f>
        <v/>
      </c>
      <c r="I27" s="10">
        <f>IF(C27=0,0,D27/C27)</f>
        <v/>
      </c>
    </row>
    <row r="28">
      <c r="B28" s="4" t="inlineStr">
        <is>
          <t>Bank of America CC</t>
        </is>
      </c>
      <c r="C28" s="14" t="n">
        <v>6</v>
      </c>
      <c r="D28" s="10" t="n">
        <v>9741.879999999999</v>
      </c>
      <c r="E28" s="11">
        <f>IF(409754.5900000001=0,0,D28/409754.5900000001)</f>
        <v/>
      </c>
      <c r="I28" s="10">
        <f>IF(C28=0,0,D28/C28)</f>
        <v/>
      </c>
    </row>
    <row r="29">
      <c r="B29" s="4" t="inlineStr">
        <is>
          <t>Quality Concrete Products, Inc.</t>
        </is>
      </c>
      <c r="C29" s="14" t="n">
        <v>3</v>
      </c>
      <c r="D29" s="10" t="n">
        <v>5806</v>
      </c>
      <c r="E29" s="11">
        <f>IF(409754.5900000001=0,0,D29/409754.5900000001)</f>
        <v/>
      </c>
      <c r="I29" s="10">
        <f>IF(C29=0,0,D29/C29)</f>
        <v/>
      </c>
    </row>
    <row r="30">
      <c r="B30" s="4" t="inlineStr">
        <is>
          <t>Manor Hardware &amp; Construction Supply</t>
        </is>
      </c>
      <c r="C30" s="14" t="n">
        <v>7</v>
      </c>
      <c r="D30" s="10" t="n">
        <v>1963.11</v>
      </c>
      <c r="E30" s="11">
        <f>IF(409754.5900000001=0,0,D30/409754.5900000001)</f>
        <v/>
      </c>
      <c r="I30" s="10">
        <f>IF(C30=0,0,D30/C30)</f>
        <v/>
      </c>
    </row>
    <row r="31">
      <c r="B31" s="4" t="inlineStr">
        <is>
          <t>Patchworks, Inc.</t>
        </is>
      </c>
      <c r="C31" s="14" t="n">
        <v>2</v>
      </c>
      <c r="D31" s="10" t="n">
        <v>1837.5</v>
      </c>
      <c r="E31" s="11">
        <f>IF(409754.5900000001=0,0,D31/409754.5900000001)</f>
        <v/>
      </c>
      <c r="I31" s="10">
        <f>IF(C31=0,0,D31/C31)</f>
        <v/>
      </c>
    </row>
    <row r="32">
      <c r="B32" s="4" t="inlineStr">
        <is>
          <t>Capital One Credit Card</t>
        </is>
      </c>
      <c r="C32" s="14" t="n">
        <v>8</v>
      </c>
      <c r="D32" s="10" t="n">
        <v>1038.11</v>
      </c>
      <c r="E32" s="11">
        <f>IF(409754.5900000001=0,0,D32/409754.5900000001)</f>
        <v/>
      </c>
      <c r="I32" s="10">
        <f>IF(C32=0,0,D32/C32)</f>
        <v/>
      </c>
    </row>
    <row r="33">
      <c r="B33" s="4" t="inlineStr">
        <is>
          <t>Rosen Supply Kirkland</t>
        </is>
      </c>
      <c r="C33" s="14" t="n">
        <v>1</v>
      </c>
      <c r="D33" s="10" t="n">
        <v>973.75</v>
      </c>
      <c r="E33" s="11">
        <f>IF(409754.5900000001=0,0,D33/409754.5900000001)</f>
        <v/>
      </c>
      <c r="I33" s="10">
        <f>IF(C33=0,0,D33/C33)</f>
        <v/>
      </c>
    </row>
    <row r="34">
      <c r="B34" s="4" t="inlineStr">
        <is>
          <t>Ferguson Enterprises, Inc. #3007</t>
        </is>
      </c>
      <c r="C34" s="14" t="n">
        <v>2</v>
      </c>
      <c r="D34" s="10" t="n">
        <v>309.58</v>
      </c>
      <c r="E34" s="11">
        <f>IF(409754.5900000001=0,0,D34/409754.5900000001)</f>
        <v/>
      </c>
      <c r="I34" s="10">
        <f>IF(C34=0,0,D34/C34)</f>
        <v/>
      </c>
    </row>
    <row r="35">
      <c r="B35" s="4" t="inlineStr">
        <is>
          <t>R.A. Brown Backflow Testing</t>
        </is>
      </c>
      <c r="C35" s="14" t="n">
        <v>1</v>
      </c>
      <c r="D35" s="10" t="n">
        <v>186</v>
      </c>
      <c r="E35" s="11">
        <f>IF(409754.5900000001=0,0,D35/409754.5900000001)</f>
        <v/>
      </c>
      <c r="I35" s="10">
        <f>IF(C35=0,0,D35/C35)</f>
        <v/>
      </c>
    </row>
    <row r="36">
      <c r="B36" s="4" t="inlineStr">
        <is>
          <t>DRSi</t>
        </is>
      </c>
      <c r="C36" s="14" t="n">
        <v>1</v>
      </c>
      <c r="D36" s="10" t="n">
        <v>69.28</v>
      </c>
      <c r="E36" s="11">
        <f>IF(409754.5900000001=0,0,D36/409754.5900000001)</f>
        <v/>
      </c>
      <c r="I36" s="10">
        <f>IF(C36=0,0,D36/C36)</f>
        <v/>
      </c>
    </row>
    <row r="37">
      <c r="B37" s="4" t="inlineStr">
        <is>
          <t>American Express 3-41000</t>
        </is>
      </c>
      <c r="C37" s="14" t="n">
        <v>3</v>
      </c>
      <c r="D37" s="10" t="n">
        <v>18.33</v>
      </c>
      <c r="E37" s="11">
        <f>IF(409754.5900000001=0,0,D37/409754.5900000001)</f>
        <v/>
      </c>
      <c r="I37" s="10">
        <f>IF(C37=0,0,D37/C37)</f>
        <v/>
      </c>
    </row>
    <row r="38">
      <c r="B38" s="4" t="inlineStr">
        <is>
          <t>C.M. Hoskins Company</t>
        </is>
      </c>
      <c r="C38" s="14" t="n">
        <v>1</v>
      </c>
      <c r="D38" s="10" t="n">
        <v>13.84</v>
      </c>
      <c r="E38" s="11">
        <f>IF(409754.5900000001=0,0,D38/409754.5900000001)</f>
        <v/>
      </c>
      <c r="I38" s="10">
        <f>IF(C38=0,0,D38/C38)</f>
        <v/>
      </c>
    </row>
    <row r="39">
      <c r="B39" s="5" t="inlineStr">
        <is>
          <t>TOTAL</t>
        </is>
      </c>
      <c r="C39" s="15">
        <f>SUM(C23:C38)</f>
        <v/>
      </c>
      <c r="D39" s="12">
        <f>SUM(D23:D38)</f>
        <v/>
      </c>
      <c r="E39" s="13" t="n">
        <v>1</v>
      </c>
    </row>
    <row r="40"/>
    <row r="41"/>
    <row r="42">
      <c r="B42" s="3" t="inlineStr">
        <is>
          <t>SOURCES</t>
        </is>
      </c>
    </row>
    <row r="43">
      <c r="B43" s="2" t="inlineStr">
        <is>
          <t>Job #2012 — Exxel Pacific 8th Ave Apartments  •  GC: Exxel Pacific, Inc.  •  4545 8th Ave NE, Seattle</t>
        </is>
      </c>
    </row>
    <row r="44">
      <c r="B44" s="2" t="inlineStr">
        <is>
          <t>Canonical source: 2012 Job Detail Report.pdf (135 pages, OWP Sage Timberline export)</t>
        </is>
      </c>
    </row>
    <row r="45">
      <c r="B45" s="2" t="inlineStr">
        <is>
          <t>Cost codes parsed: 30</t>
        </is>
      </c>
    </row>
    <row r="46">
      <c r="B46" s="2" t="inlineStr">
        <is>
          <t>Unit count (163) confirmed by plumbing permit SR1335240</t>
        </is>
      </c>
    </row>
    <row r="47">
      <c r="B47" s="2" t="inlineStr">
        <is>
          <t>Fixture count (1004) from permit detail: 163 WC + 163 lav + 163 shower + 163 sink + 163 DW + 163 washer + 5 floor drains + 18 roof drains + 1 indirect + 2 sump/ejector</t>
        </is>
      </c>
    </row>
    <row r="48">
      <c r="B48" s="2" t="inlineStr">
        <is>
          <t>Contract: One Way Plumbing contract executed (Exxel Pacific GC) with OWP markup</t>
        </is>
      </c>
    </row>
    <row r="49">
      <c r="B49" s="2" t="inlineStr">
        <is>
          <t>Billing: 8th AGGREGATE BILLING.xlsx (15 pay apps Mar 2013 – Jul 2014) + 15 SOV files</t>
        </is>
      </c>
    </row>
    <row r="50">
      <c r="B50" s="2" t="inlineStr">
        <is>
          <t>Final contract $1,391,455 (original $1,394,655 + $-3,200 COs)</t>
        </is>
      </c>
    </row>
    <row r="51">
      <c r="B51" s="2" t="inlineStr">
        <is>
          <t>Vendor AP ties to JDR 'by Source: AP' line (409,754.59)</t>
        </is>
      </c>
    </row>
  </sheetData>
  <mergeCells count="14">
    <mergeCell ref="B21:I21"/>
    <mergeCell ref="B44:I44"/>
    <mergeCell ref="B48:I48"/>
    <mergeCell ref="B47:I47"/>
    <mergeCell ref="B2:I2"/>
    <mergeCell ref="B51:I51"/>
    <mergeCell ref="B42:I42"/>
    <mergeCell ref="B3:I3"/>
    <mergeCell ref="B5:I5"/>
    <mergeCell ref="B45:I45"/>
    <mergeCell ref="B46:I46"/>
    <mergeCell ref="B49:I49"/>
    <mergeCell ref="B50:I50"/>
    <mergeCell ref="B43:I4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/>
    <row r="2">
      <c r="B2" s="1" t="inlineStr">
        <is>
          <t>Crew &amp; Labor — Per-Worker Breakdown</t>
        </is>
      </c>
    </row>
    <row r="3"/>
    <row r="4">
      <c r="B4" s="9" t="inlineStr">
        <is>
          <t>Worker</t>
        </is>
      </c>
      <c r="C4" s="9" t="inlineStr">
        <is>
          <t>Hours</t>
        </is>
      </c>
      <c r="D4" s="9" t="inlineStr">
        <is>
          <t>Gross Pay</t>
        </is>
      </c>
      <c r="E4" s="9" t="inlineStr">
        <is>
          <t>$/Hour</t>
        </is>
      </c>
      <c r="F4" s="9" t="inlineStr">
        <is>
          <t>Tier</t>
        </is>
      </c>
    </row>
    <row r="5">
      <c r="B5" s="4" t="inlineStr">
        <is>
          <t>Quintanilla, Esteban R</t>
        </is>
      </c>
      <c r="C5" s="16" t="n">
        <v>1111</v>
      </c>
      <c r="D5" s="10" t="n">
        <v>34877</v>
      </c>
      <c r="E5" s="17">
        <f>IF(C5=0,0,D5/C5)</f>
        <v/>
      </c>
      <c r="F5" s="4" t="inlineStr">
        <is>
          <t>Senior</t>
        </is>
      </c>
    </row>
    <row r="6">
      <c r="B6" s="4" t="inlineStr">
        <is>
          <t>Gonzalez Hernandez, Josue</t>
        </is>
      </c>
      <c r="C6" s="16" t="n">
        <v>1001</v>
      </c>
      <c r="D6" s="10" t="n">
        <v>12924</v>
      </c>
      <c r="E6" s="17">
        <f>IF(C6=0,0,D6/C6)</f>
        <v/>
      </c>
      <c r="F6" s="4" t="inlineStr">
        <is>
          <t>Apprentice</t>
        </is>
      </c>
    </row>
    <row r="7">
      <c r="B7" s="4" t="inlineStr">
        <is>
          <t>Lima Romero, Melvin A</t>
        </is>
      </c>
      <c r="C7" s="16" t="n">
        <v>932</v>
      </c>
      <c r="D7" s="10" t="n">
        <v>18140</v>
      </c>
      <c r="E7" s="17">
        <f>IF(C7=0,0,D7/C7)</f>
        <v/>
      </c>
      <c r="F7" s="4" t="inlineStr">
        <is>
          <t>Mid</t>
        </is>
      </c>
    </row>
    <row r="8">
      <c r="B8" s="4" t="inlineStr">
        <is>
          <t>Palma Vides, Hugo</t>
        </is>
      </c>
      <c r="C8" s="16" t="n">
        <v>790</v>
      </c>
      <c r="D8" s="10" t="n">
        <v>21434</v>
      </c>
      <c r="E8" s="17">
        <f>IF(C8=0,0,D8/C8)</f>
        <v/>
      </c>
      <c r="F8" s="4" t="inlineStr">
        <is>
          <t>Mid</t>
        </is>
      </c>
    </row>
    <row r="9">
      <c r="B9" s="4" t="inlineStr">
        <is>
          <t>Castro Hernandez, Jose A</t>
        </is>
      </c>
      <c r="C9" s="16" t="n">
        <v>763</v>
      </c>
      <c r="D9" s="10" t="n">
        <v>11903</v>
      </c>
      <c r="E9" s="17">
        <f>IF(C9=0,0,D9/C9)</f>
        <v/>
      </c>
      <c r="F9" s="4" t="inlineStr">
        <is>
          <t>Apprentice</t>
        </is>
      </c>
    </row>
    <row r="10">
      <c r="B10" s="4" t="inlineStr">
        <is>
          <t>Rivera, Eli P</t>
        </is>
      </c>
      <c r="C10" s="16" t="n">
        <v>746</v>
      </c>
      <c r="D10" s="10" t="n">
        <v>9192</v>
      </c>
      <c r="E10" s="17">
        <f>IF(C10=0,0,D10/C10)</f>
        <v/>
      </c>
      <c r="F10" s="4" t="inlineStr">
        <is>
          <t>Apprentice</t>
        </is>
      </c>
    </row>
    <row r="11">
      <c r="B11" s="4" t="inlineStr">
        <is>
          <t>Chavarria Lopez, Omar A</t>
        </is>
      </c>
      <c r="C11" s="16" t="n">
        <v>738</v>
      </c>
      <c r="D11" s="10" t="n">
        <v>9104</v>
      </c>
      <c r="E11" s="17">
        <f>IF(C11=0,0,D11/C11)</f>
        <v/>
      </c>
      <c r="F11" s="4" t="inlineStr">
        <is>
          <t>Apprentice</t>
        </is>
      </c>
    </row>
    <row r="12">
      <c r="B12" s="4" t="inlineStr">
        <is>
          <t>Monico Brambila, Jesus S</t>
        </is>
      </c>
      <c r="C12" s="16" t="n">
        <v>660</v>
      </c>
      <c r="D12" s="10" t="n">
        <v>8620</v>
      </c>
      <c r="E12" s="17">
        <f>IF(C12=0,0,D12/C12)</f>
        <v/>
      </c>
      <c r="F12" s="4" t="inlineStr">
        <is>
          <t>Apprentice</t>
        </is>
      </c>
    </row>
    <row r="13">
      <c r="B13" s="4" t="inlineStr">
        <is>
          <t>Meza Fuentes, Erick A</t>
        </is>
      </c>
      <c r="C13" s="16" t="n">
        <v>575.5</v>
      </c>
      <c r="D13" s="10" t="n">
        <v>11510</v>
      </c>
      <c r="E13" s="17">
        <f>IF(C13=0,0,D13/C13)</f>
        <v/>
      </c>
      <c r="F13" s="4" t="inlineStr">
        <is>
          <t>Mid</t>
        </is>
      </c>
    </row>
    <row r="14">
      <c r="B14" s="4" t="inlineStr">
        <is>
          <t>Rivera, Jorge A</t>
        </is>
      </c>
      <c r="C14" s="16" t="n">
        <v>501</v>
      </c>
      <c r="D14" s="10" t="n">
        <v>9018</v>
      </c>
      <c r="E14" s="17">
        <f>IF(C14=0,0,D14/C14)</f>
        <v/>
      </c>
      <c r="F14" s="4" t="inlineStr">
        <is>
          <t>Mid</t>
        </is>
      </c>
    </row>
    <row r="15">
      <c r="B15" s="4" t="inlineStr">
        <is>
          <t>Paco Leyva, Orlando</t>
        </is>
      </c>
      <c r="C15" s="16" t="n">
        <v>450.5</v>
      </c>
      <c r="D15" s="10" t="n">
        <v>6319.25</v>
      </c>
      <c r="E15" s="17">
        <f>IF(C15=0,0,D15/C15)</f>
        <v/>
      </c>
      <c r="F15" s="4" t="inlineStr">
        <is>
          <t>Apprentice</t>
        </is>
      </c>
    </row>
    <row r="16">
      <c r="B16" s="4" t="inlineStr">
        <is>
          <t>Gerard, Jeffrey S</t>
        </is>
      </c>
      <c r="C16" s="16" t="n">
        <v>406</v>
      </c>
      <c r="D16" s="10" t="n">
        <v>14595</v>
      </c>
      <c r="E16" s="17">
        <f>IF(C16=0,0,D16/C16)</f>
        <v/>
      </c>
      <c r="F16" s="4" t="inlineStr">
        <is>
          <t>Senior</t>
        </is>
      </c>
    </row>
    <row r="17">
      <c r="B17" s="4" t="inlineStr">
        <is>
          <t>Veley, Nathaniel S</t>
        </is>
      </c>
      <c r="C17" s="16" t="n">
        <v>381</v>
      </c>
      <c r="D17" s="10" t="n">
        <v>10432</v>
      </c>
      <c r="E17" s="17">
        <f>IF(C17=0,0,D17/C17)</f>
        <v/>
      </c>
      <c r="F17" s="4" t="inlineStr">
        <is>
          <t>Mid</t>
        </is>
      </c>
    </row>
    <row r="18">
      <c r="B18" s="4" t="inlineStr">
        <is>
          <t>Ramos Garcia, Jose M</t>
        </is>
      </c>
      <c r="C18" s="16" t="n">
        <v>363</v>
      </c>
      <c r="D18" s="10" t="n">
        <v>4719</v>
      </c>
      <c r="E18" s="17">
        <f>IF(C18=0,0,D18/C18)</f>
        <v/>
      </c>
      <c r="F18" s="4" t="inlineStr">
        <is>
          <t>Apprentice</t>
        </is>
      </c>
    </row>
    <row r="19">
      <c r="B19" s="4" t="inlineStr">
        <is>
          <t>Sanders, Allen O</t>
        </is>
      </c>
      <c r="C19" s="16" t="n">
        <v>337.5</v>
      </c>
      <c r="D19" s="10" t="n">
        <v>9751.5</v>
      </c>
      <c r="E19" s="17">
        <f>IF(C19=0,0,D19/C19)</f>
        <v/>
      </c>
      <c r="F19" s="4" t="inlineStr">
        <is>
          <t>Mid</t>
        </is>
      </c>
    </row>
    <row r="20">
      <c r="B20" s="4" t="inlineStr">
        <is>
          <t>Waites, Thaddeus Z</t>
        </is>
      </c>
      <c r="C20" s="16" t="n">
        <v>319</v>
      </c>
      <c r="D20" s="10" t="n">
        <v>8932</v>
      </c>
      <c r="E20" s="17">
        <f>IF(C20=0,0,D20/C20)</f>
        <v/>
      </c>
      <c r="F20" s="4" t="inlineStr">
        <is>
          <t>Mid</t>
        </is>
      </c>
    </row>
    <row r="21">
      <c r="B21" s="4" t="inlineStr">
        <is>
          <t>Vega Arriaga, Jorge</t>
        </is>
      </c>
      <c r="C21" s="16" t="n">
        <v>316</v>
      </c>
      <c r="D21" s="10" t="n">
        <v>3803</v>
      </c>
      <c r="E21" s="17">
        <f>IF(C21=0,0,D21/C21)</f>
        <v/>
      </c>
      <c r="F21" s="4" t="inlineStr">
        <is>
          <t>Apprentice</t>
        </is>
      </c>
    </row>
    <row r="22">
      <c r="B22" s="4" t="inlineStr">
        <is>
          <t>Soto Cruz, Jovani</t>
        </is>
      </c>
      <c r="C22" s="16" t="n">
        <v>280</v>
      </c>
      <c r="D22" s="10" t="n">
        <v>4480</v>
      </c>
      <c r="E22" s="17">
        <f>IF(C22=0,0,D22/C22)</f>
        <v/>
      </c>
      <c r="F22" s="4" t="inlineStr">
        <is>
          <t>Apprentice</t>
        </is>
      </c>
    </row>
    <row r="23">
      <c r="B23" s="4" t="inlineStr">
        <is>
          <t>Spears, Gregory M</t>
        </is>
      </c>
      <c r="C23" s="16" t="n">
        <v>262</v>
      </c>
      <c r="D23" s="10" t="n">
        <v>3406</v>
      </c>
      <c r="E23" s="17">
        <f>IF(C23=0,0,D23/C23)</f>
        <v/>
      </c>
      <c r="F23" s="4" t="inlineStr">
        <is>
          <t>Apprentice</t>
        </is>
      </c>
    </row>
    <row r="24">
      <c r="B24" s="4" t="inlineStr">
        <is>
          <t>Soto Serna, Cesar E</t>
        </is>
      </c>
      <c r="C24" s="16" t="n">
        <v>249</v>
      </c>
      <c r="D24" s="10" t="n">
        <v>3237</v>
      </c>
      <c r="E24" s="17">
        <f>IF(C24=0,0,D24/C24)</f>
        <v/>
      </c>
      <c r="F24" s="4" t="inlineStr">
        <is>
          <t>Apprentice</t>
        </is>
      </c>
    </row>
    <row r="25">
      <c r="B25" s="4" t="inlineStr">
        <is>
          <t>Castaneda Martinez, Gustavo</t>
        </is>
      </c>
      <c r="C25" s="16" t="n">
        <v>248</v>
      </c>
      <c r="D25" s="10" t="n">
        <v>6696</v>
      </c>
      <c r="E25" s="17">
        <f>IF(C25=0,0,D25/C25)</f>
        <v/>
      </c>
      <c r="F25" s="4" t="inlineStr">
        <is>
          <t>Mid</t>
        </is>
      </c>
    </row>
    <row r="26">
      <c r="B26" s="4" t="inlineStr">
        <is>
          <t>Lopez Martinez, Abimael</t>
        </is>
      </c>
      <c r="C26" s="16" t="n">
        <v>201</v>
      </c>
      <c r="D26" s="10" t="n">
        <v>2412</v>
      </c>
      <c r="E26" s="17">
        <f>IF(C26=0,0,D26/C26)</f>
        <v/>
      </c>
      <c r="F26" s="4" t="inlineStr">
        <is>
          <t>Apprentice</t>
        </is>
      </c>
    </row>
    <row r="27">
      <c r="B27" s="4" t="inlineStr">
        <is>
          <t>Castaneda Juarez, Edgar D</t>
        </is>
      </c>
      <c r="C27" s="16" t="n">
        <v>197.25</v>
      </c>
      <c r="D27" s="10" t="n">
        <v>2742.88</v>
      </c>
      <c r="E27" s="17">
        <f>IF(C27=0,0,D27/C27)</f>
        <v/>
      </c>
      <c r="F27" s="4" t="inlineStr">
        <is>
          <t>Apprentice</t>
        </is>
      </c>
    </row>
    <row r="28">
      <c r="B28" s="4" t="inlineStr">
        <is>
          <t>Cortes Mendiola, Victor H</t>
        </is>
      </c>
      <c r="C28" s="16" t="n">
        <v>193</v>
      </c>
      <c r="D28" s="10" t="n">
        <v>4619</v>
      </c>
      <c r="E28" s="17">
        <f>IF(C28=0,0,D28/C28)</f>
        <v/>
      </c>
      <c r="F28" s="4" t="inlineStr">
        <is>
          <t>Mid</t>
        </is>
      </c>
    </row>
    <row r="29">
      <c r="B29" s="4" t="inlineStr">
        <is>
          <t>Sepulveda Gonzalez, Alfredo</t>
        </is>
      </c>
      <c r="C29" s="16" t="n">
        <v>176</v>
      </c>
      <c r="D29" s="10" t="n">
        <v>4224</v>
      </c>
      <c r="E29" s="17">
        <f>IF(C29=0,0,D29/C29)</f>
        <v/>
      </c>
      <c r="F29" s="4" t="inlineStr">
        <is>
          <t>Mid</t>
        </is>
      </c>
    </row>
    <row r="30">
      <c r="B30" s="4" t="inlineStr">
        <is>
          <t>Castro Hernandez, Carlos E</t>
        </is>
      </c>
      <c r="C30" s="16" t="n">
        <v>171</v>
      </c>
      <c r="D30" s="10" t="n">
        <v>4705</v>
      </c>
      <c r="E30" s="17">
        <f>IF(C30=0,0,D30/C30)</f>
        <v/>
      </c>
      <c r="F30" s="4" t="inlineStr">
        <is>
          <t>Mid</t>
        </is>
      </c>
    </row>
    <row r="31">
      <c r="B31" s="4" t="inlineStr">
        <is>
          <t>Vaughan, Tyler J</t>
        </is>
      </c>
      <c r="C31" s="16" t="n">
        <v>168.5</v>
      </c>
      <c r="D31" s="10" t="n">
        <v>2696</v>
      </c>
      <c r="E31" s="17">
        <f>IF(C31=0,0,D31/C31)</f>
        <v/>
      </c>
      <c r="F31" s="4" t="inlineStr">
        <is>
          <t>Apprentice</t>
        </is>
      </c>
    </row>
    <row r="32">
      <c r="B32" s="4" t="inlineStr">
        <is>
          <t>Holmes, Anthony R</t>
        </is>
      </c>
      <c r="C32" s="16" t="n">
        <v>162</v>
      </c>
      <c r="D32" s="10" t="n">
        <v>2106</v>
      </c>
      <c r="E32" s="17">
        <f>IF(C32=0,0,D32/C32)</f>
        <v/>
      </c>
      <c r="F32" s="4" t="inlineStr">
        <is>
          <t>Apprentice</t>
        </is>
      </c>
    </row>
    <row r="33">
      <c r="B33" s="4" t="inlineStr">
        <is>
          <t>Sanchez Garcia, Adelaido</t>
        </is>
      </c>
      <c r="C33" s="16" t="n">
        <v>155</v>
      </c>
      <c r="D33" s="10" t="n">
        <v>2015</v>
      </c>
      <c r="E33" s="17">
        <f>IF(C33=0,0,D33/C33)</f>
        <v/>
      </c>
      <c r="F33" s="4" t="inlineStr">
        <is>
          <t>Apprentice</t>
        </is>
      </c>
    </row>
    <row r="34">
      <c r="B34" s="4" t="inlineStr">
        <is>
          <t>Velasquez Cruz, Denis M</t>
        </is>
      </c>
      <c r="C34" s="16" t="n">
        <v>94</v>
      </c>
      <c r="D34" s="10" t="n">
        <v>1222</v>
      </c>
      <c r="E34" s="17">
        <f>IF(C34=0,0,D34/C34)</f>
        <v/>
      </c>
      <c r="F34" s="4" t="inlineStr">
        <is>
          <t>Apprentice</t>
        </is>
      </c>
    </row>
    <row r="35">
      <c r="B35" s="4" t="inlineStr">
        <is>
          <t>Agustin Rodriguez, Ezequiel</t>
        </is>
      </c>
      <c r="C35" s="16" t="n">
        <v>83</v>
      </c>
      <c r="D35" s="10" t="n">
        <v>996</v>
      </c>
      <c r="E35" s="17">
        <f>IF(C35=0,0,D35/C35)</f>
        <v/>
      </c>
      <c r="F35" s="4" t="inlineStr">
        <is>
          <t>Apprentice</t>
        </is>
      </c>
    </row>
    <row r="36">
      <c r="B36" s="4" t="inlineStr">
        <is>
          <t>Arreola, Israel A</t>
        </is>
      </c>
      <c r="C36" s="16" t="n">
        <v>42</v>
      </c>
      <c r="D36" s="10" t="n">
        <v>609</v>
      </c>
      <c r="E36" s="17">
        <f>IF(C36=0,0,D36/C36)</f>
        <v/>
      </c>
      <c r="F36" s="4" t="inlineStr">
        <is>
          <t>Apprentice</t>
        </is>
      </c>
    </row>
    <row r="37">
      <c r="B37" s="4" t="inlineStr">
        <is>
          <t>Rendon Villasenor, Ismael</t>
        </is>
      </c>
      <c r="C37" s="16" t="n">
        <v>36</v>
      </c>
      <c r="D37" s="10" t="n">
        <v>432</v>
      </c>
      <c r="E37" s="17">
        <f>IF(C37=0,0,D37/C37)</f>
        <v/>
      </c>
      <c r="F37" s="4" t="inlineStr">
        <is>
          <t>Apprentice</t>
        </is>
      </c>
    </row>
    <row r="38">
      <c r="B38" s="4" t="inlineStr">
        <is>
          <t>Garcia, Jordan X</t>
        </is>
      </c>
      <c r="C38" s="16" t="n">
        <v>32</v>
      </c>
      <c r="D38" s="10" t="n">
        <v>448</v>
      </c>
      <c r="E38" s="17">
        <f>IF(C38=0,0,D38/C38)</f>
        <v/>
      </c>
      <c r="F38" s="4" t="inlineStr">
        <is>
          <t>Apprentice</t>
        </is>
      </c>
    </row>
    <row r="39">
      <c r="B39" s="4" t="inlineStr">
        <is>
          <t>Wilson, Garret A</t>
        </is>
      </c>
      <c r="C39" s="16" t="n">
        <v>32</v>
      </c>
      <c r="D39" s="10" t="n">
        <v>416</v>
      </c>
      <c r="E39" s="17">
        <f>IF(C39=0,0,D39/C39)</f>
        <v/>
      </c>
      <c r="F39" s="4" t="inlineStr">
        <is>
          <t>Apprentice</t>
        </is>
      </c>
    </row>
    <row r="40">
      <c r="B40" s="4" t="inlineStr">
        <is>
          <t>Barnhart, Joseph N</t>
        </is>
      </c>
      <c r="C40" s="16" t="n">
        <v>11</v>
      </c>
      <c r="D40" s="10" t="n">
        <v>323</v>
      </c>
      <c r="E40" s="17">
        <f>IF(C40=0,0,D40/C40)</f>
        <v/>
      </c>
      <c r="F40" s="4" t="inlineStr">
        <is>
          <t>Mid</t>
        </is>
      </c>
    </row>
    <row r="41">
      <c r="B41" s="4" t="inlineStr">
        <is>
          <t>McCabe, Thomas C</t>
        </is>
      </c>
      <c r="C41" s="16" t="n">
        <v>8</v>
      </c>
      <c r="D41" s="10" t="n">
        <v>144</v>
      </c>
      <c r="E41" s="17">
        <f>IF(C41=0,0,D41/C41)</f>
        <v/>
      </c>
      <c r="F41" s="4" t="inlineStr">
        <is>
          <t>Mid</t>
        </is>
      </c>
    </row>
    <row r="42">
      <c r="B42" s="4" t="inlineStr">
        <is>
          <t>Castaneda Juarez, Gustavo</t>
        </is>
      </c>
      <c r="C42" s="16" t="n">
        <v>7</v>
      </c>
      <c r="D42" s="10" t="n">
        <v>91</v>
      </c>
      <c r="E42" s="17">
        <f>IF(C42=0,0,D42/C42)</f>
        <v/>
      </c>
      <c r="F42" s="4" t="inlineStr">
        <is>
          <t>Apprentice</t>
        </is>
      </c>
    </row>
    <row r="43">
      <c r="B43" s="4" t="inlineStr">
        <is>
          <t>Hubbard, Dustin R</t>
        </is>
      </c>
      <c r="C43" s="16" t="n">
        <v>5</v>
      </c>
      <c r="D43" s="10" t="n">
        <v>60</v>
      </c>
      <c r="E43" s="17">
        <f>IF(C43=0,0,D43/C43)</f>
        <v/>
      </c>
      <c r="F43" s="4" t="inlineStr">
        <is>
          <t>Apprentice</t>
        </is>
      </c>
    </row>
    <row r="44">
      <c r="B44" s="4" t="inlineStr">
        <is>
          <t>Hubbard, Robert W</t>
        </is>
      </c>
      <c r="C44" s="16" t="n">
        <v>3.5</v>
      </c>
      <c r="D44" s="10" t="n">
        <v>115.5</v>
      </c>
      <c r="E44" s="17">
        <f>IF(C44=0,0,D44/C44)</f>
        <v/>
      </c>
      <c r="F44" s="4" t="inlineStr">
        <is>
          <t>Senior</t>
        </is>
      </c>
    </row>
    <row r="45">
      <c r="B45" s="5" t="inlineStr">
        <is>
          <t>TOTAL (40 workers)</t>
        </is>
      </c>
      <c r="C45" s="18">
        <f>SUM(C5:C44)</f>
        <v/>
      </c>
      <c r="D45" s="12">
        <f>SUM(D5:D44)</f>
        <v/>
      </c>
      <c r="E45" s="19">
        <f>IF(C45=0,0,D45/C45)</f>
        <v/>
      </c>
    </row>
    <row r="46"/>
    <row r="47"/>
    <row r="48">
      <c r="B48" s="3" t="inlineStr">
        <is>
          <t>SOURCES</t>
        </is>
      </c>
    </row>
    <row r="49">
      <c r="B49" s="2" t="inlineStr">
        <is>
          <t>Job #2012 — Exxel Pacific 8th Ave Apartments  •  GC: Exxel Pacific, Inc.  •  4545 8th Ave NE, Seattle</t>
        </is>
      </c>
    </row>
    <row r="50">
      <c r="B50" s="2" t="inlineStr">
        <is>
          <t>Canonical source: 2012 Job Detail Report.pdf (135 pages, OWP Sage Timberline export)</t>
        </is>
      </c>
    </row>
    <row r="51">
      <c r="B51" s="2" t="inlineStr">
        <is>
          <t>Cost codes parsed: 30</t>
        </is>
      </c>
    </row>
    <row r="52">
      <c r="B52" s="2" t="inlineStr">
        <is>
          <t>Unit count (163) confirmed by plumbing permit SR1335240</t>
        </is>
      </c>
    </row>
    <row r="53">
      <c r="B53" s="2" t="inlineStr">
        <is>
          <t>Fixture count (1004) from permit detail: 163 WC + 163 lav + 163 shower + 163 sink + 163 DW + 163 washer + 5 floor drains + 18 roof drains + 1 indirect + 2 sump/ejector</t>
        </is>
      </c>
    </row>
    <row r="54">
      <c r="B54" s="2" t="inlineStr">
        <is>
          <t>Contract: One Way Plumbing contract executed (Exxel Pacific GC) with OWP markup</t>
        </is>
      </c>
    </row>
    <row r="55">
      <c r="B55" s="2" t="inlineStr">
        <is>
          <t>Billing: 8th AGGREGATE BILLING.xlsx (15 pay apps Mar 2013 – Jul 2014) + 15 SOV files</t>
        </is>
      </c>
    </row>
    <row r="56">
      <c r="B56" s="2" t="inlineStr">
        <is>
          <t>Final contract $1,391,455 (original $1,394,655 + $-3,200 COs)</t>
        </is>
      </c>
    </row>
    <row r="57">
      <c r="B57" s="2" t="inlineStr">
        <is>
          <t>Tier: Apprentice &lt;$18/hr, Mid $18–30, Senior &gt;$30</t>
        </is>
      </c>
    </row>
  </sheetData>
  <mergeCells count="11">
    <mergeCell ref="B53:F53"/>
    <mergeCell ref="B56:F56"/>
    <mergeCell ref="B55:F55"/>
    <mergeCell ref="B2:F2"/>
    <mergeCell ref="B48:F48"/>
    <mergeCell ref="B54:F54"/>
    <mergeCell ref="B51:F51"/>
    <mergeCell ref="B50:F50"/>
    <mergeCell ref="B52:F52"/>
    <mergeCell ref="B57:F57"/>
    <mergeCell ref="B49:F4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/>
    <row r="2">
      <c r="B2" s="1" t="inlineStr">
        <is>
          <t>Crew Analytics</t>
        </is>
      </c>
    </row>
    <row r="3"/>
    <row r="4">
      <c r="B4" s="3" t="inlineStr">
        <is>
          <t>A. TIER DISTRIBUTION</t>
        </is>
      </c>
    </row>
    <row r="5">
      <c r="B5" s="9" t="inlineStr">
        <is>
          <t>Tier</t>
        </is>
      </c>
      <c r="C5" s="9" t="inlineStr">
        <is>
          <t># Workers</t>
        </is>
      </c>
      <c r="D5" s="9" t="inlineStr">
        <is>
          <t>Hours</t>
        </is>
      </c>
      <c r="E5" s="9" t="inlineStr">
        <is>
          <t>Gross Pay</t>
        </is>
      </c>
      <c r="F5" s="9" t="inlineStr">
        <is>
          <t>% of Hours</t>
        </is>
      </c>
    </row>
    <row r="6">
      <c r="B6" s="4" t="inlineStr">
        <is>
          <t>Senior</t>
        </is>
      </c>
      <c r="C6" s="14" t="n">
        <v>3</v>
      </c>
      <c r="D6" s="16" t="n">
        <v>1520.5</v>
      </c>
      <c r="E6" s="10" t="n">
        <v>49587.5</v>
      </c>
      <c r="F6" s="11">
        <f>IF(13206.75=0,0,D6/13206.75)</f>
        <v/>
      </c>
    </row>
    <row r="7">
      <c r="B7" s="4" t="inlineStr">
        <is>
          <t>Mid</t>
        </is>
      </c>
      <c r="C7" s="14" t="n">
        <v>13</v>
      </c>
      <c r="D7" s="16" t="n">
        <v>4643</v>
      </c>
      <c r="E7" s="10" t="n">
        <v>109928.5</v>
      </c>
      <c r="F7" s="11">
        <f>IF(13206.75=0,0,D7/13206.75)</f>
        <v/>
      </c>
    </row>
    <row r="8">
      <c r="B8" s="4" t="inlineStr">
        <is>
          <t>Apprentice</t>
        </is>
      </c>
      <c r="C8" s="14" t="n">
        <v>24</v>
      </c>
      <c r="D8" s="16" t="n">
        <v>7043.25</v>
      </c>
      <c r="E8" s="10" t="n">
        <v>93953.13</v>
      </c>
      <c r="F8" s="11">
        <f>IF(13206.75=0,0,D8/13206.75)</f>
        <v/>
      </c>
    </row>
    <row r="9"/>
    <row r="10"/>
    <row r="11">
      <c r="B11" s="3" t="inlineStr">
        <is>
          <t>B. WAGE STATISTICS</t>
        </is>
      </c>
    </row>
    <row r="12">
      <c r="B12" s="4" t="inlineStr">
        <is>
          <t>Blended Gross Wage</t>
        </is>
      </c>
      <c r="C12" s="20" t="n">
        <v>19.19239252654893</v>
      </c>
      <c r="F12" s="2" t="inlineStr">
        <is>
          <t>Payroll $ ÷ payroll hours (pre-burden)</t>
        </is>
      </c>
    </row>
    <row r="13">
      <c r="B13" s="4" t="inlineStr">
        <is>
          <t>Fully-Loaded Wage</t>
        </is>
      </c>
      <c r="C13" s="20" t="n">
        <v>33.30961213016071</v>
      </c>
      <c r="F13" s="2" t="inlineStr">
        <is>
          <t>(Labor + Burden) ÷ total hours</t>
        </is>
      </c>
    </row>
    <row r="14">
      <c r="B14" s="4" t="inlineStr">
        <is>
          <t>Burden Multiplier</t>
        </is>
      </c>
      <c r="C14" s="20" t="n">
        <v>1.735563301140458</v>
      </c>
      <c r="F14" s="2" t="inlineStr">
        <is>
          <t>Fully loaded ÷ gross wage</t>
        </is>
      </c>
    </row>
    <row r="15">
      <c r="B15" s="4" t="inlineStr">
        <is>
          <t>Min Worker Rate</t>
        </is>
      </c>
      <c r="C15" s="20" t="n">
        <v>12</v>
      </c>
      <c r="F15" s="2" t="inlineStr">
        <is>
          <t>Cheapest apprentice hour</t>
        </is>
      </c>
    </row>
    <row r="16">
      <c r="B16" s="4" t="inlineStr">
        <is>
          <t>Max Worker Rate</t>
        </is>
      </c>
      <c r="C16" s="20" t="n">
        <v>35.94827586206897</v>
      </c>
      <c r="F16" s="2" t="inlineStr">
        <is>
          <t>Most expensive foreman hour</t>
        </is>
      </c>
    </row>
    <row r="17">
      <c r="B17" s="4" t="inlineStr">
        <is>
          <t>Avg Hours / Worker</t>
        </is>
      </c>
      <c r="C17" s="20" t="n">
        <v>330.16875</v>
      </c>
      <c r="F17" s="2" t="inlineStr">
        <is>
          <t>Crew continuity indicator</t>
        </is>
      </c>
    </row>
    <row r="18"/>
    <row r="19"/>
    <row r="20">
      <c r="B20" s="3" t="inlineStr">
        <is>
          <t>SOURCES</t>
        </is>
      </c>
    </row>
    <row r="21">
      <c r="B21" s="2" t="inlineStr">
        <is>
          <t>Job #2012 — Exxel Pacific 8th Ave Apartments  •  GC: Exxel Pacific, Inc.  •  4545 8th Ave NE, Seattle</t>
        </is>
      </c>
    </row>
    <row r="22">
      <c r="B22" s="2" t="inlineStr">
        <is>
          <t>Canonical source: 2012 Job Detail Report.pdf (135 pages, OWP Sage Timberline export)</t>
        </is>
      </c>
    </row>
    <row r="23">
      <c r="B23" s="2" t="inlineStr">
        <is>
          <t>Cost codes parsed: 30</t>
        </is>
      </c>
    </row>
    <row r="24">
      <c r="B24" s="2" t="inlineStr">
        <is>
          <t>Unit count (163) confirmed by plumbing permit SR1335240</t>
        </is>
      </c>
    </row>
    <row r="25">
      <c r="B25" s="2" t="inlineStr">
        <is>
          <t>Fixture count (1004) from permit detail: 163 WC + 163 lav + 163 shower + 163 sink + 163 DW + 163 washer + 5 floor drains + 18 roof drains + 1 indirect + 2 sump/ejector</t>
        </is>
      </c>
    </row>
    <row r="26">
      <c r="B26" s="2" t="inlineStr">
        <is>
          <t>Contract: One Way Plumbing contract executed (Exxel Pacific GC) with OWP markup</t>
        </is>
      </c>
    </row>
    <row r="27">
      <c r="B27" s="2" t="inlineStr">
        <is>
          <t>Billing: 8th AGGREGATE BILLING.xlsx (15 pay apps Mar 2013 – Jul 2014) + 15 SOV files</t>
        </is>
      </c>
    </row>
    <row r="28">
      <c r="B28" s="2" t="inlineStr">
        <is>
          <t>Final contract $1,391,455 (original $1,394,655 + $-3,200 COs)</t>
        </is>
      </c>
    </row>
  </sheetData>
  <mergeCells count="12">
    <mergeCell ref="B4:F4"/>
    <mergeCell ref="B21:F21"/>
    <mergeCell ref="B24:F24"/>
    <mergeCell ref="B2:F2"/>
    <mergeCell ref="B20:F20"/>
    <mergeCell ref="B11:F11"/>
    <mergeCell ref="B25:F25"/>
    <mergeCell ref="B28:F28"/>
    <mergeCell ref="B23:F23"/>
    <mergeCell ref="B22:F22"/>
    <mergeCell ref="B26:F26"/>
    <mergeCell ref="B27:F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/>
    <row r="2">
      <c r="B2" s="1" t="inlineStr">
        <is>
          <t>Productivity — Phase &amp; Unit Metrics</t>
        </is>
      </c>
    </row>
    <row r="3"/>
    <row r="4">
      <c r="B4" s="3" t="inlineStr">
        <is>
          <t>A. LABOR HOURS BY PHASE</t>
        </is>
      </c>
    </row>
    <row r="5">
      <c r="B5" s="9" t="inlineStr">
        <is>
          <t>Phase</t>
        </is>
      </c>
      <c r="C5" s="9" t="inlineStr">
        <is>
          <t>Labor Code</t>
        </is>
      </c>
      <c r="D5" s="9" t="inlineStr">
        <is>
          <t>Hours</t>
        </is>
      </c>
      <c r="E5" s="9" t="inlineStr">
        <is>
          <t>% of Total</t>
        </is>
      </c>
      <c r="F5" s="9" t="inlineStr">
        <is>
          <t>Hours / Unit</t>
        </is>
      </c>
    </row>
    <row r="6">
      <c r="B6" s="4" t="inlineStr">
        <is>
          <t>DS &amp; RD</t>
        </is>
      </c>
      <c r="C6" s="4" t="inlineStr">
        <is>
          <t>011</t>
        </is>
      </c>
      <c r="D6" s="16" t="n">
        <v>183</v>
      </c>
      <c r="E6" s="11">
        <f>IF(14607.25=0,0,D6/14607.25)</f>
        <v/>
      </c>
      <c r="F6" s="21">
        <f>IF(163=0,0,D6/163)</f>
        <v/>
      </c>
    </row>
    <row r="7">
      <c r="B7" s="4" t="inlineStr">
        <is>
          <t>Supervision</t>
        </is>
      </c>
      <c r="C7" s="4" t="inlineStr">
        <is>
          <t>100</t>
        </is>
      </c>
      <c r="D7" s="16" t="n">
        <v>165</v>
      </c>
      <c r="E7" s="11">
        <f>IF(14607.25=0,0,D7/14607.25)</f>
        <v/>
      </c>
      <c r="F7" s="21">
        <f>IF(163=0,0,D7/163)</f>
        <v/>
      </c>
    </row>
    <row r="8">
      <c r="B8" s="4" t="inlineStr">
        <is>
          <t>Takeoff &amp; Purchasing</t>
        </is>
      </c>
      <c r="C8" s="4" t="inlineStr">
        <is>
          <t>101</t>
        </is>
      </c>
      <c r="D8" s="16" t="n">
        <v>172.5</v>
      </c>
      <c r="E8" s="11">
        <f>IF(14607.25=0,0,D8/14607.25)</f>
        <v/>
      </c>
      <c r="F8" s="21">
        <f>IF(163=0,0,D8/163)</f>
        <v/>
      </c>
    </row>
    <row r="9">
      <c r="B9" s="4" t="inlineStr">
        <is>
          <t>Underground</t>
        </is>
      </c>
      <c r="C9" s="4" t="inlineStr">
        <is>
          <t>110</t>
        </is>
      </c>
      <c r="D9" s="16" t="n">
        <v>145.5</v>
      </c>
      <c r="E9" s="11">
        <f>IF(14607.25=0,0,D9/14607.25)</f>
        <v/>
      </c>
      <c r="F9" s="21">
        <f>IF(163=0,0,D9/163)</f>
        <v/>
      </c>
    </row>
    <row r="10">
      <c r="B10" s="4" t="inlineStr">
        <is>
          <t>Garage</t>
        </is>
      </c>
      <c r="C10" s="4" t="inlineStr">
        <is>
          <t>111</t>
        </is>
      </c>
      <c r="D10" s="16" t="n">
        <v>872</v>
      </c>
      <c r="E10" s="11">
        <f>IF(14607.25=0,0,D10/14607.25)</f>
        <v/>
      </c>
      <c r="F10" s="21">
        <f>IF(163=0,0,D10/163)</f>
        <v/>
      </c>
    </row>
    <row r="11">
      <c r="B11" s="4" t="inlineStr">
        <is>
          <t>Canout</t>
        </is>
      </c>
      <c r="C11" s="4" t="inlineStr">
        <is>
          <t>112</t>
        </is>
      </c>
      <c r="D11" s="16" t="n">
        <v>238</v>
      </c>
      <c r="E11" s="11">
        <f>IF(14607.25=0,0,D11/14607.25)</f>
        <v/>
      </c>
      <c r="F11" s="21">
        <f>IF(163=0,0,D11/163)</f>
        <v/>
      </c>
    </row>
    <row r="12">
      <c r="B12" s="4" t="inlineStr">
        <is>
          <t>Foundation Drain</t>
        </is>
      </c>
      <c r="C12" s="4" t="inlineStr">
        <is>
          <t>113</t>
        </is>
      </c>
      <c r="D12" s="16" t="n">
        <v>50</v>
      </c>
      <c r="E12" s="11">
        <f>IF(14607.25=0,0,D12/14607.25)</f>
        <v/>
      </c>
      <c r="F12" s="21">
        <f>IF(163=0,0,D12/163)</f>
        <v/>
      </c>
    </row>
    <row r="13">
      <c r="B13" s="4" t="inlineStr">
        <is>
          <t>Roughin</t>
        </is>
      </c>
      <c r="C13" s="4" t="inlineStr">
        <is>
          <t>120</t>
        </is>
      </c>
      <c r="D13" s="16" t="n">
        <v>9319.5</v>
      </c>
      <c r="E13" s="11">
        <f>IF(14607.25=0,0,D13/14607.25)</f>
        <v/>
      </c>
      <c r="F13" s="21">
        <f>IF(163=0,0,D13/163)</f>
        <v/>
      </c>
    </row>
    <row r="14">
      <c r="B14" s="4" t="inlineStr">
        <is>
          <t>Finish</t>
        </is>
      </c>
      <c r="C14" s="4" t="inlineStr">
        <is>
          <t>130</t>
        </is>
      </c>
      <c r="D14" s="16" t="n">
        <v>1840.75</v>
      </c>
      <c r="E14" s="11">
        <f>IF(14607.25=0,0,D14/14607.25)</f>
        <v/>
      </c>
      <c r="F14" s="21">
        <f>IF(163=0,0,D14/163)</f>
        <v/>
      </c>
    </row>
    <row r="15">
      <c r="B15" s="4" t="inlineStr">
        <is>
          <t>Gas</t>
        </is>
      </c>
      <c r="C15" s="4" t="inlineStr">
        <is>
          <t>140</t>
        </is>
      </c>
      <c r="D15" s="16" t="n">
        <v>104</v>
      </c>
      <c r="E15" s="11">
        <f>IF(14607.25=0,0,D15/14607.25)</f>
        <v/>
      </c>
      <c r="F15" s="21">
        <f>IF(163=0,0,D15/163)</f>
        <v/>
      </c>
    </row>
    <row r="16">
      <c r="B16" s="4" t="inlineStr">
        <is>
          <t>Water Main / Insulation</t>
        </is>
      </c>
      <c r="C16" s="4" t="inlineStr">
        <is>
          <t>141</t>
        </is>
      </c>
      <c r="D16" s="16" t="n">
        <v>800</v>
      </c>
      <c r="E16" s="11">
        <f>IF(14607.25=0,0,D16/14607.25)</f>
        <v/>
      </c>
      <c r="F16" s="21">
        <f>IF(163=0,0,D16/163)</f>
        <v/>
      </c>
    </row>
    <row r="17">
      <c r="B17" s="4" t="inlineStr">
        <is>
          <t>Mech Room</t>
        </is>
      </c>
      <c r="C17" s="4" t="inlineStr">
        <is>
          <t>142</t>
        </is>
      </c>
      <c r="D17" s="16" t="n">
        <v>379</v>
      </c>
      <c r="E17" s="11">
        <f>IF(14607.25=0,0,D17/14607.25)</f>
        <v/>
      </c>
      <c r="F17" s="21">
        <f>IF(163=0,0,D17/163)</f>
        <v/>
      </c>
    </row>
    <row r="18">
      <c r="B18" s="4" t="inlineStr">
        <is>
          <t>Tub / Shower</t>
        </is>
      </c>
      <c r="C18" s="4" t="inlineStr">
        <is>
          <t>145</t>
        </is>
      </c>
      <c r="D18" s="16" t="n">
        <v>338</v>
      </c>
      <c r="E18" s="11">
        <f>IF(14607.25=0,0,D18/14607.25)</f>
        <v/>
      </c>
      <c r="F18" s="21">
        <f>IF(163=0,0,D18/163)</f>
        <v/>
      </c>
    </row>
    <row r="19">
      <c r="B19" s="5" t="inlineStr">
        <is>
          <t>TOTAL</t>
        </is>
      </c>
      <c r="D19" s="18">
        <f>SUM(D6:D18)</f>
        <v/>
      </c>
      <c r="E19" s="13" t="n">
        <v>1</v>
      </c>
      <c r="F19" s="20">
        <f>IF(163=0,0,D19/163)</f>
        <v/>
      </c>
    </row>
    <row r="20"/>
    <row r="21"/>
    <row r="22">
      <c r="B22" s="3" t="inlineStr">
        <is>
          <t>B. PRODUCTIVITY RATIOS</t>
        </is>
      </c>
    </row>
    <row r="23">
      <c r="B23" s="9" t="inlineStr">
        <is>
          <t>Metric</t>
        </is>
      </c>
      <c r="C23" s="9" t="inlineStr">
        <is>
          <t>Value</t>
        </is>
      </c>
      <c r="D23" s="9" t="inlineStr">
        <is>
          <t>Units</t>
        </is>
      </c>
      <c r="E23" s="9" t="inlineStr"/>
      <c r="F23" s="9" t="inlineStr">
        <is>
          <t>Notes</t>
        </is>
      </c>
    </row>
    <row r="24">
      <c r="B24" s="4" t="inlineStr">
        <is>
          <t>Hours / Unit</t>
        </is>
      </c>
      <c r="C24" s="22" t="n">
        <v>89.61503067484662</v>
      </c>
      <c r="D24" s="4" t="inlineStr">
        <is>
          <t>hrs</t>
        </is>
      </c>
      <c r="F24" s="2" t="inlineStr">
        <is>
          <t>Labor hours per residential unit</t>
        </is>
      </c>
    </row>
    <row r="25">
      <c r="B25" s="4" t="inlineStr">
        <is>
          <t>Hours / Fixture</t>
        </is>
      </c>
      <c r="C25" s="22" t="n">
        <v>14.54905378486056</v>
      </c>
      <c r="D25" s="4" t="inlineStr">
        <is>
          <t>hrs</t>
        </is>
      </c>
      <c r="F25" s="2" t="inlineStr">
        <is>
          <t>Labor hours per plumbing fixture</t>
        </is>
      </c>
    </row>
    <row r="26">
      <c r="B26" s="4" t="inlineStr">
        <is>
          <t>Revenue / Hour</t>
        </is>
      </c>
      <c r="C26" s="22" t="n">
        <v>95.25783429461397</v>
      </c>
      <c r="D26" s="4" t="inlineStr">
        <is>
          <t>$</t>
        </is>
      </c>
      <c r="F26" s="2" t="inlineStr">
        <is>
          <t>Top-line per labor hour</t>
        </is>
      </c>
    </row>
    <row r="27">
      <c r="B27" s="4" t="inlineStr">
        <is>
          <t>Profit / Hour</t>
        </is>
      </c>
      <c r="C27" s="22" t="n">
        <v>37.30022283455134</v>
      </c>
      <c r="D27" s="4" t="inlineStr">
        <is>
          <t>$</t>
        </is>
      </c>
      <c r="F27" s="2" t="inlineStr">
        <is>
          <t>Bottom-line per labor hour</t>
        </is>
      </c>
    </row>
    <row r="28">
      <c r="B28" s="4" t="inlineStr">
        <is>
          <t>Units / Month</t>
        </is>
      </c>
      <c r="C28" s="22" t="n">
        <v>9.588235294117647</v>
      </c>
      <c r="D28" s="4" t="inlineStr">
        <is>
          <t>units</t>
        </is>
      </c>
      <c r="F28" s="2" t="inlineStr">
        <is>
          <t>Build velocity</t>
        </is>
      </c>
    </row>
    <row r="29">
      <c r="B29" s="4" t="inlineStr">
        <is>
          <t>Fixtures / Month</t>
        </is>
      </c>
      <c r="C29" s="22" t="n">
        <v>59.05882352941177</v>
      </c>
      <c r="D29" s="4" t="inlineStr">
        <is>
          <t>fix</t>
        </is>
      </c>
      <c r="F29" s="2" t="inlineStr">
        <is>
          <t>Fixture install pace</t>
        </is>
      </c>
    </row>
    <row r="30">
      <c r="B30" s="4" t="inlineStr">
        <is>
          <t>Hours / Month</t>
        </is>
      </c>
      <c r="C30" s="22" t="n">
        <v>859.25</v>
      </c>
      <c r="D30" s="4" t="inlineStr">
        <is>
          <t>hrs</t>
        </is>
      </c>
      <c r="F30" s="2" t="inlineStr">
        <is>
          <t>Monthly labor burn</t>
        </is>
      </c>
    </row>
    <row r="31">
      <c r="B31" s="4" t="inlineStr">
        <is>
          <t>Revenue / Month</t>
        </is>
      </c>
      <c r="C31" s="22" t="n">
        <v>81850.29411764706</v>
      </c>
      <c r="D31" s="4" t="inlineStr">
        <is>
          <t>$</t>
        </is>
      </c>
      <c r="F31" s="2" t="inlineStr">
        <is>
          <t>Monthly billing rate</t>
        </is>
      </c>
    </row>
    <row r="32"/>
    <row r="33"/>
    <row r="34">
      <c r="B34" s="3" t="inlineStr">
        <is>
          <t>SOURCES</t>
        </is>
      </c>
    </row>
    <row r="35">
      <c r="B35" s="2" t="inlineStr">
        <is>
          <t>Job #2012 — Exxel Pacific 8th Ave Apartments  •  GC: Exxel Pacific, Inc.  •  4545 8th Ave NE, Seattle</t>
        </is>
      </c>
    </row>
    <row r="36">
      <c r="B36" s="2" t="inlineStr">
        <is>
          <t>Canonical source: 2012 Job Detail Report.pdf (135 pages, OWP Sage Timberline export)</t>
        </is>
      </c>
    </row>
    <row r="37">
      <c r="B37" s="2" t="inlineStr">
        <is>
          <t>Cost codes parsed: 30</t>
        </is>
      </c>
    </row>
    <row r="38">
      <c r="B38" s="2" t="inlineStr">
        <is>
          <t>Unit count (163) confirmed by plumbing permit SR1335240</t>
        </is>
      </c>
    </row>
    <row r="39">
      <c r="B39" s="2" t="inlineStr">
        <is>
          <t>Fixture count (1004) from permit detail: 163 WC + 163 lav + 163 shower + 163 sink + 163 DW + 163 washer + 5 floor drains + 18 roof drains + 1 indirect + 2 sump/ejector</t>
        </is>
      </c>
    </row>
    <row r="40">
      <c r="B40" s="2" t="inlineStr">
        <is>
          <t>Contract: One Way Plumbing contract executed (Exxel Pacific GC) with OWP markup</t>
        </is>
      </c>
    </row>
    <row r="41">
      <c r="B41" s="2" t="inlineStr">
        <is>
          <t>Billing: 8th AGGREGATE BILLING.xlsx (15 pay apps Mar 2013 – Jul 2014) + 15 SOV files</t>
        </is>
      </c>
    </row>
    <row r="42">
      <c r="B42" s="2" t="inlineStr">
        <is>
          <t>Final contract $1,391,455 (original $1,394,655 + $-3,200 COs)</t>
        </is>
      </c>
    </row>
  </sheetData>
  <mergeCells count="12">
    <mergeCell ref="B38:G38"/>
    <mergeCell ref="B2:G2"/>
    <mergeCell ref="B34:G34"/>
    <mergeCell ref="B42:G42"/>
    <mergeCell ref="B22:G22"/>
    <mergeCell ref="B36:G36"/>
    <mergeCell ref="B37:G37"/>
    <mergeCell ref="B41:G41"/>
    <mergeCell ref="B35:G35"/>
    <mergeCell ref="B4:G4"/>
    <mergeCell ref="B40:G40"/>
    <mergeCell ref="B39:G3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/>
    <row r="2">
      <c r="B2" s="1" t="inlineStr">
        <is>
          <t>Purchase Order Commitments</t>
        </is>
      </c>
    </row>
    <row r="3">
      <c r="B3" s="2" t="inlineStr">
        <is>
          <t>68 unique POs  •  PO amounts not dollar-parsed from individual PDFs  •  JDR material $390,751</t>
        </is>
      </c>
    </row>
    <row r="4"/>
    <row r="5">
      <c r="B5" s="3" t="inlineStr">
        <is>
          <t>A. COMMITMENTS BY COST CODE</t>
        </is>
      </c>
    </row>
    <row r="6">
      <c r="B6" s="9" t="inlineStr">
        <is>
          <t>OWP Code</t>
        </is>
      </c>
      <c r="C6" s="9" t="inlineStr">
        <is>
          <t>Description → JDR</t>
        </is>
      </c>
      <c r="D6" s="9" t="inlineStr">
        <is>
          <t>PO Count</t>
        </is>
      </c>
      <c r="E6" s="9" t="inlineStr">
        <is>
          <t>% of POs</t>
        </is>
      </c>
      <c r="F6" s="9" t="inlineStr">
        <is>
          <t>JDR Material</t>
        </is>
      </c>
    </row>
    <row r="7">
      <c r="B7" s="4" t="inlineStr">
        <is>
          <t>30</t>
        </is>
      </c>
      <c r="C7" s="4" t="inlineStr">
        <is>
          <t>110+210 Underground</t>
        </is>
      </c>
      <c r="D7" s="14" t="n">
        <v>13</v>
      </c>
      <c r="E7" s="11">
        <f>IF(68=0,0,D7/68)</f>
        <v/>
      </c>
    </row>
    <row r="8">
      <c r="B8" s="4" t="inlineStr">
        <is>
          <t>31</t>
        </is>
      </c>
      <c r="C8" s="4" t="inlineStr">
        <is>
          <t>120+220 Roughin</t>
        </is>
      </c>
      <c r="D8" s="14" t="n">
        <v>14</v>
      </c>
      <c r="E8" s="11">
        <f>IF(68=0,0,D8/68)</f>
        <v/>
      </c>
    </row>
    <row r="9">
      <c r="B9" s="4" t="inlineStr">
        <is>
          <t>32</t>
        </is>
      </c>
      <c r="C9" s="4" t="inlineStr">
        <is>
          <t>130+230 Trim/Finish</t>
        </is>
      </c>
      <c r="D9" s="14" t="n">
        <v>7</v>
      </c>
      <c r="E9" s="11">
        <f>IF(68=0,0,D9/68)</f>
        <v/>
      </c>
    </row>
    <row r="10">
      <c r="B10" s="4" t="inlineStr">
        <is>
          <t>34</t>
        </is>
      </c>
      <c r="C10" s="4" t="inlineStr">
        <is>
          <t>111+211 Garage</t>
        </is>
      </c>
      <c r="D10" s="14" t="n">
        <v>1</v>
      </c>
      <c r="E10" s="11">
        <f>IF(68=0,0,D10/68)</f>
        <v/>
      </c>
    </row>
    <row r="11">
      <c r="B11" s="4" t="inlineStr">
        <is>
          <t>40</t>
        </is>
      </c>
      <c r="C11" s="4" t="inlineStr">
        <is>
          <t>141+241 Water Main/Ins</t>
        </is>
      </c>
      <c r="D11" s="14" t="n">
        <v>4</v>
      </c>
      <c r="E11" s="11">
        <f>IF(68=0,0,D11/68)</f>
        <v/>
      </c>
    </row>
    <row r="12">
      <c r="B12" s="4" t="inlineStr">
        <is>
          <t>41</t>
        </is>
      </c>
      <c r="C12" s="4" t="inlineStr">
        <is>
          <t>140+240 Gas</t>
        </is>
      </c>
      <c r="D12" s="14" t="n">
        <v>1</v>
      </c>
      <c r="E12" s="11">
        <f>IF(68=0,0,D12/68)</f>
        <v/>
      </c>
    </row>
    <row r="13">
      <c r="B13" s="4" t="inlineStr">
        <is>
          <t>OTHER</t>
        </is>
      </c>
      <c r="C13" s="4" t="inlineStr">
        <is>
          <t>Unclassified</t>
        </is>
      </c>
      <c r="D13" s="14" t="n">
        <v>28</v>
      </c>
      <c r="E13" s="11">
        <f>IF(68=0,0,D13/68)</f>
        <v/>
      </c>
    </row>
    <row r="14">
      <c r="B14" s="5" t="inlineStr">
        <is>
          <t>TOTAL</t>
        </is>
      </c>
      <c r="D14" s="15">
        <f>SUM(D7:D13)</f>
        <v/>
      </c>
      <c r="E14" s="13" t="n">
        <v>1</v>
      </c>
      <c r="F14" s="12" t="n">
        <v>390750.86</v>
      </c>
    </row>
    <row r="15"/>
    <row r="16"/>
    <row r="17">
      <c r="B17" s="3" t="inlineStr">
        <is>
          <t>B. COMMITMENTS BY VENDOR</t>
        </is>
      </c>
    </row>
    <row r="18">
      <c r="B18" s="9" t="inlineStr">
        <is>
          <t>Vendor</t>
        </is>
      </c>
      <c r="C18" s="9" t="inlineStr">
        <is>
          <t>PO Count</t>
        </is>
      </c>
      <c r="D18" s="9" t="inlineStr">
        <is>
          <t>% of POs</t>
        </is>
      </c>
    </row>
    <row r="19">
      <c r="B19" s="4" t="inlineStr">
        <is>
          <t>OTHER</t>
        </is>
      </c>
      <c r="C19" s="14" t="n">
        <v>54</v>
      </c>
      <c r="D19" s="11">
        <f>IF(68=0,0,C19/68)</f>
        <v/>
      </c>
    </row>
    <row r="20">
      <c r="B20" s="4" t="inlineStr">
        <is>
          <t>ROSEN</t>
        </is>
      </c>
      <c r="C20" s="14" t="n">
        <v>8</v>
      </c>
      <c r="D20" s="11">
        <f>IF(68=0,0,C20/68)</f>
        <v/>
      </c>
    </row>
    <row r="21">
      <c r="B21" s="4" t="inlineStr">
        <is>
          <t>MANOR</t>
        </is>
      </c>
      <c r="C21" s="14" t="n">
        <v>2</v>
      </c>
      <c r="D21" s="11">
        <f>IF(68=0,0,C21/68)</f>
        <v/>
      </c>
    </row>
    <row r="22">
      <c r="B22" s="4" t="inlineStr">
        <is>
          <t>MECH SALES</t>
        </is>
      </c>
      <c r="C22" s="14" t="n">
        <v>2</v>
      </c>
      <c r="D22" s="11">
        <f>IF(68=0,0,C22/68)</f>
        <v/>
      </c>
    </row>
    <row r="23">
      <c r="B23" s="4" t="inlineStr">
        <is>
          <t>KELLER</t>
        </is>
      </c>
      <c r="C23" s="14" t="n">
        <v>1</v>
      </c>
      <c r="D23" s="11">
        <f>IF(68=0,0,C23/68)</f>
        <v/>
      </c>
    </row>
    <row r="24">
      <c r="B24" s="4" t="inlineStr">
        <is>
          <t>SIOUX CHIEF</t>
        </is>
      </c>
      <c r="C24" s="14" t="n">
        <v>1</v>
      </c>
      <c r="D24" s="11">
        <f>IF(68=0,0,C24/68)</f>
        <v/>
      </c>
    </row>
    <row r="25"/>
    <row r="26"/>
    <row r="27">
      <c r="B27" s="3" t="inlineStr">
        <is>
          <t>C. PO COVERAGE NOTES</t>
        </is>
      </c>
    </row>
    <row r="28">
      <c r="B28" s="4" t="inlineStr">
        <is>
          <t>Total Material Actual (JDR)</t>
        </is>
      </c>
      <c r="E28" s="10" t="n">
        <v>390750.86</v>
      </c>
    </row>
    <row r="29">
      <c r="B29" s="4" t="inlineStr">
        <is>
          <t>Unique PO Count</t>
        </is>
      </c>
      <c r="E29" s="14" t="n">
        <v>68</v>
      </c>
    </row>
    <row r="30">
      <c r="B30" s="2" t="inlineStr">
        <is>
          <t xml:space="preserve">  (Dollar PO commitment not extracted — requires per-PDF parse)</t>
        </is>
      </c>
    </row>
    <row r="31"/>
    <row r="32"/>
    <row r="33">
      <c r="B33" s="3" t="inlineStr">
        <is>
          <t>SOURCES</t>
        </is>
      </c>
    </row>
    <row r="34">
      <c r="B34" s="2" t="inlineStr">
        <is>
          <t>Job #2012 — Exxel Pacific 8th Ave Apartments  •  GC: Exxel Pacific, Inc.  •  4545 8th Ave NE, Seattle</t>
        </is>
      </c>
    </row>
    <row r="35">
      <c r="B35" s="2" t="inlineStr">
        <is>
          <t>Canonical source: 2012 Job Detail Report.pdf (135 pages, OWP Sage Timberline export)</t>
        </is>
      </c>
    </row>
    <row r="36">
      <c r="B36" s="2" t="inlineStr">
        <is>
          <t>Cost codes parsed: 30</t>
        </is>
      </c>
    </row>
    <row r="37">
      <c r="B37" s="2" t="inlineStr">
        <is>
          <t>Unit count (163) confirmed by plumbing permit SR1335240</t>
        </is>
      </c>
    </row>
    <row r="38">
      <c r="B38" s="2" t="inlineStr">
        <is>
          <t>Fixture count (1004) from permit detail: 163 WC + 163 lav + 163 shower + 163 sink + 163 DW + 163 washer + 5 floor drains + 18 roof drains + 1 indirect + 2 sump/ejector</t>
        </is>
      </c>
    </row>
    <row r="39">
      <c r="B39" s="2" t="inlineStr">
        <is>
          <t>Contract: One Way Plumbing contract executed (Exxel Pacific GC) with OWP markup</t>
        </is>
      </c>
    </row>
    <row r="40">
      <c r="B40" s="2" t="inlineStr">
        <is>
          <t>Billing: 8th AGGREGATE BILLING.xlsx (15 pay apps Mar 2013 – Jul 2014) + 15 SOV files</t>
        </is>
      </c>
    </row>
    <row r="41">
      <c r="B41" s="2" t="inlineStr">
        <is>
          <t>Final contract $1,391,455 (original $1,394,655 + $-3,200 COs)</t>
        </is>
      </c>
    </row>
    <row r="42">
      <c r="B42" s="2" t="inlineStr">
        <is>
          <t>PO count is deduplicated by 5-digit PO number extracted from filenames</t>
        </is>
      </c>
    </row>
    <row r="43">
      <c r="B43" s="2" t="inlineStr">
        <is>
          <t>Vendor/code classification is heuristic (filename keyword match)</t>
        </is>
      </c>
    </row>
  </sheetData>
  <mergeCells count="16">
    <mergeCell ref="B3:G3"/>
    <mergeCell ref="B2:G2"/>
    <mergeCell ref="B34:G34"/>
    <mergeCell ref="B38:G38"/>
    <mergeCell ref="B39:G39"/>
    <mergeCell ref="B42:G42"/>
    <mergeCell ref="B5:G5"/>
    <mergeCell ref="B36:G36"/>
    <mergeCell ref="B37:G37"/>
    <mergeCell ref="B17:G17"/>
    <mergeCell ref="B27:G27"/>
    <mergeCell ref="B41:G41"/>
    <mergeCell ref="B35:G35"/>
    <mergeCell ref="B40:G40"/>
    <mergeCell ref="B43:G43"/>
    <mergeCell ref="B33:G3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/>
    <row r="2">
      <c r="B2" s="1" t="inlineStr">
        <is>
          <t>Revenue &amp; Billing Reconciliation</t>
        </is>
      </c>
    </row>
    <row r="3">
      <c r="B3" s="2" t="inlineStr">
        <is>
          <t>15 pay applications  •  Mar 2013 – Jul 2014  •  $1,391,455 final</t>
        </is>
      </c>
    </row>
    <row r="4"/>
    <row r="5">
      <c r="B5" s="3" t="inlineStr">
        <is>
          <t>A. CONTRACT SUMMARY</t>
        </is>
      </c>
    </row>
    <row r="6">
      <c r="B6" s="4" t="inlineStr">
        <is>
          <t>Original Contract</t>
        </is>
      </c>
      <c r="G6" s="10" t="n">
        <v>1394655</v>
      </c>
    </row>
    <row r="7">
      <c r="B7" s="4" t="inlineStr">
        <is>
          <t>Change Orders (net)</t>
        </is>
      </c>
      <c r="G7" s="10" t="n">
        <v>-3200</v>
      </c>
    </row>
    <row r="8">
      <c r="B8" s="4" t="inlineStr">
        <is>
          <t>Final Contract Value</t>
        </is>
      </c>
      <c r="G8" s="10" t="n">
        <v>1391455</v>
      </c>
    </row>
    <row r="9">
      <c r="B9" s="4" t="inlineStr">
        <is>
          <t>Retainage (5%)</t>
        </is>
      </c>
      <c r="G9" s="10" t="n">
        <v>69573</v>
      </c>
    </row>
    <row r="10">
      <c r="B10" s="4" t="inlineStr">
        <is>
          <t>Net Paid to OWP</t>
        </is>
      </c>
      <c r="G10" s="10" t="n">
        <v>1321882</v>
      </c>
    </row>
    <row r="11"/>
    <row r="12">
      <c r="B12" s="3" t="inlineStr">
        <is>
          <t>B. PAY APPLICATION TIMELINE</t>
        </is>
      </c>
    </row>
    <row r="13">
      <c r="B13" s="9" t="inlineStr">
        <is>
          <t>App#</t>
        </is>
      </c>
      <c r="C13" s="9" t="inlineStr">
        <is>
          <t>Date</t>
        </is>
      </c>
      <c r="D13" s="9" t="inlineStr">
        <is>
          <t>Period Billing</t>
        </is>
      </c>
      <c r="E13" s="9" t="inlineStr">
        <is>
          <t>Retention</t>
        </is>
      </c>
      <c r="F13" s="9" t="inlineStr">
        <is>
          <t>Net This Period</t>
        </is>
      </c>
      <c r="G13" s="9" t="inlineStr">
        <is>
          <t>Aggregate</t>
        </is>
      </c>
      <c r="H13" s="9" t="inlineStr">
        <is>
          <t>% Complete</t>
        </is>
      </c>
    </row>
    <row r="14">
      <c r="B14" s="4" t="n">
        <v>1</v>
      </c>
      <c r="C14" s="4" t="inlineStr">
        <is>
          <t>2013-03-19</t>
        </is>
      </c>
      <c r="D14" s="10" t="n">
        <v>48000</v>
      </c>
      <c r="E14" s="10" t="n">
        <v>2400</v>
      </c>
      <c r="F14" s="10">
        <f>D14-E14</f>
        <v/>
      </c>
      <c r="G14" s="10" t="n">
        <v>45600</v>
      </c>
      <c r="H14" s="11">
        <f>IF(1391455.0=0,0,G14/1391455.0)</f>
        <v/>
      </c>
    </row>
    <row r="15">
      <c r="B15" s="4" t="n">
        <v>2</v>
      </c>
      <c r="C15" s="4" t="inlineStr">
        <is>
          <t>2013-04-18</t>
        </is>
      </c>
      <c r="D15" s="10" t="n">
        <v>41000</v>
      </c>
      <c r="E15" s="10" t="n">
        <v>2050</v>
      </c>
      <c r="F15" s="10">
        <f>D15-E15</f>
        <v/>
      </c>
      <c r="G15" s="10" t="n">
        <v>84550</v>
      </c>
      <c r="H15" s="11">
        <f>IF(1391455.0=0,0,G15/1391455.0)</f>
        <v/>
      </c>
    </row>
    <row r="16">
      <c r="B16" s="4" t="n">
        <v>3</v>
      </c>
      <c r="C16" s="4" t="inlineStr">
        <is>
          <t>2013-05-20</t>
        </is>
      </c>
      <c r="D16" s="10" t="n">
        <v>16200</v>
      </c>
      <c r="E16" s="10" t="n">
        <v>810</v>
      </c>
      <c r="F16" s="10">
        <f>D16-E16</f>
        <v/>
      </c>
      <c r="G16" s="10" t="n">
        <v>99940</v>
      </c>
      <c r="H16" s="11">
        <f>IF(1391455.0=0,0,G16/1391455.0)</f>
        <v/>
      </c>
    </row>
    <row r="17">
      <c r="B17" s="4" t="n">
        <v>4</v>
      </c>
      <c r="C17" s="4" t="inlineStr">
        <is>
          <t>2013-06-20</t>
        </is>
      </c>
      <c r="D17" s="10" t="n">
        <v>15900</v>
      </c>
      <c r="E17" s="10" t="n">
        <v>795</v>
      </c>
      <c r="F17" s="10">
        <f>D17-E17</f>
        <v/>
      </c>
      <c r="G17" s="10" t="n">
        <v>115045</v>
      </c>
      <c r="H17" s="11">
        <f>IF(1391455.0=0,0,G17/1391455.0)</f>
        <v/>
      </c>
    </row>
    <row r="18">
      <c r="B18" s="4" t="n">
        <v>5</v>
      </c>
      <c r="C18" s="4" t="inlineStr">
        <is>
          <t>2013-07-20</t>
        </is>
      </c>
      <c r="D18" s="10" t="n">
        <v>25900</v>
      </c>
      <c r="E18" s="10" t="n">
        <v>1295</v>
      </c>
      <c r="F18" s="10">
        <f>D18-E18</f>
        <v/>
      </c>
      <c r="G18" s="10" t="n">
        <v>139650</v>
      </c>
      <c r="H18" s="11">
        <f>IF(1391455.0=0,0,G18/1391455.0)</f>
        <v/>
      </c>
    </row>
    <row r="19">
      <c r="B19" s="4" t="n">
        <v>6</v>
      </c>
      <c r="C19" s="4" t="inlineStr">
        <is>
          <t>2013-08-20</t>
        </is>
      </c>
      <c r="D19" s="10" t="n">
        <v>92000</v>
      </c>
      <c r="E19" s="10" t="n">
        <v>4600</v>
      </c>
      <c r="F19" s="10">
        <f>D19-E19</f>
        <v/>
      </c>
      <c r="G19" s="10" t="n">
        <v>227050</v>
      </c>
      <c r="H19" s="11">
        <f>IF(1391455.0=0,0,G19/1391455.0)</f>
        <v/>
      </c>
    </row>
    <row r="20">
      <c r="B20" s="4" t="n">
        <v>7</v>
      </c>
      <c r="C20" s="4" t="inlineStr">
        <is>
          <t>2013-09-20</t>
        </is>
      </c>
      <c r="D20" s="10" t="n">
        <v>213605</v>
      </c>
      <c r="E20" s="10" t="n">
        <v>10680.25</v>
      </c>
      <c r="F20" s="10">
        <f>D20-E20</f>
        <v/>
      </c>
      <c r="G20" s="10" t="n">
        <v>429974.75</v>
      </c>
      <c r="H20" s="11">
        <f>IF(1391455.0=0,0,G20/1391455.0)</f>
        <v/>
      </c>
    </row>
    <row r="21">
      <c r="B21" s="4" t="n">
        <v>8</v>
      </c>
      <c r="C21" s="4" t="inlineStr">
        <is>
          <t>2013-10-17</t>
        </is>
      </c>
      <c r="D21" s="10" t="n">
        <v>440000</v>
      </c>
      <c r="E21" s="10" t="n">
        <v>22000</v>
      </c>
      <c r="F21" s="10">
        <f>D21-E21</f>
        <v/>
      </c>
      <c r="G21" s="10" t="n">
        <v>847974.75</v>
      </c>
      <c r="H21" s="11">
        <f>IF(1391455.0=0,0,G21/1391455.0)</f>
        <v/>
      </c>
    </row>
    <row r="22">
      <c r="B22" s="4" t="n">
        <v>9</v>
      </c>
      <c r="C22" s="4" t="inlineStr">
        <is>
          <t>2013-11-19</t>
        </is>
      </c>
      <c r="D22" s="10" t="n">
        <v>228490</v>
      </c>
      <c r="E22" s="10" t="n">
        <v>11424.5</v>
      </c>
      <c r="F22" s="10">
        <f>D22-E22</f>
        <v/>
      </c>
      <c r="G22" s="10" t="n">
        <v>1065040.25</v>
      </c>
      <c r="H22" s="11">
        <f>IF(1391455.0=0,0,G22/1391455.0)</f>
        <v/>
      </c>
    </row>
    <row r="23">
      <c r="B23" s="4" t="n">
        <v>10</v>
      </c>
      <c r="C23" s="4" t="inlineStr">
        <is>
          <t>2013-12-12</t>
        </is>
      </c>
      <c r="D23" s="10" t="n">
        <v>60560</v>
      </c>
      <c r="E23" s="10" t="n">
        <v>3028</v>
      </c>
      <c r="F23" s="10">
        <f>D23-E23</f>
        <v/>
      </c>
      <c r="G23" s="10" t="n">
        <v>1122572.25</v>
      </c>
      <c r="H23" s="11">
        <f>IF(1391455.0=0,0,G23/1391455.0)</f>
        <v/>
      </c>
    </row>
    <row r="24">
      <c r="B24" s="4" t="n">
        <v>11</v>
      </c>
      <c r="C24" s="4" t="inlineStr">
        <is>
          <t>2014-01-20</t>
        </is>
      </c>
      <c r="D24" s="10" t="n">
        <v>106583</v>
      </c>
      <c r="E24" s="10" t="n">
        <v>5329.150000000001</v>
      </c>
      <c r="F24" s="10">
        <f>D24-E24</f>
        <v/>
      </c>
      <c r="G24" s="10" t="n">
        <v>1223826.1</v>
      </c>
      <c r="H24" s="11">
        <f>IF(1391455.0=0,0,G24/1391455.0)</f>
        <v/>
      </c>
    </row>
    <row r="25">
      <c r="B25" s="4" t="n">
        <v>12</v>
      </c>
      <c r="C25" s="4" t="inlineStr">
        <is>
          <t>2014-02-20</t>
        </is>
      </c>
      <c r="D25" s="10" t="n">
        <v>48805</v>
      </c>
      <c r="E25" s="10" t="n">
        <v>2440.25</v>
      </c>
      <c r="F25" s="10">
        <f>D25-E25</f>
        <v/>
      </c>
      <c r="G25" s="10" t="n">
        <v>1270190.85</v>
      </c>
      <c r="H25" s="11">
        <f>IF(1391455.0=0,0,G25/1391455.0)</f>
        <v/>
      </c>
    </row>
    <row r="26">
      <c r="B26" s="4" t="n">
        <v>13</v>
      </c>
      <c r="C26" s="4" t="inlineStr">
        <is>
          <t>2014-03-20</t>
        </is>
      </c>
      <c r="D26" s="10" t="n">
        <v>49800</v>
      </c>
      <c r="E26" s="10" t="n">
        <v>2490</v>
      </c>
      <c r="F26" s="10">
        <f>D26-E26</f>
        <v/>
      </c>
      <c r="G26" s="10" t="n">
        <v>1317500.85</v>
      </c>
      <c r="H26" s="11">
        <f>IF(1391455.0=0,0,G26/1391455.0)</f>
        <v/>
      </c>
    </row>
    <row r="27">
      <c r="B27" s="4" t="n">
        <v>14</v>
      </c>
      <c r="C27" s="4" t="inlineStr">
        <is>
          <t>2014-04-20</t>
        </is>
      </c>
      <c r="D27" s="10" t="n">
        <v>4612</v>
      </c>
      <c r="E27" s="10" t="n">
        <v>230.6</v>
      </c>
      <c r="F27" s="10">
        <f>D27-E27</f>
        <v/>
      </c>
      <c r="G27" s="10" t="n">
        <v>1321882.25</v>
      </c>
      <c r="H27" s="11">
        <f>IF(1391455.0=0,0,G27/1391455.0)</f>
        <v/>
      </c>
    </row>
    <row r="28">
      <c r="B28" s="4" t="n">
        <v>15</v>
      </c>
      <c r="C28" s="4" t="inlineStr">
        <is>
          <t>2014-07-17</t>
        </is>
      </c>
      <c r="D28" s="10" t="n">
        <v>1861</v>
      </c>
      <c r="E28" s="10" t="n">
        <v>0</v>
      </c>
      <c r="F28" s="10">
        <f>D28-E28</f>
        <v/>
      </c>
      <c r="G28" s="10" t="n">
        <v>1323743.25</v>
      </c>
      <c r="H28" s="11">
        <f>IF(1391455.0=0,0,G28/1391455.0)</f>
        <v/>
      </c>
    </row>
    <row r="29"/>
    <row r="30">
      <c r="B30" s="3" t="inlineStr">
        <is>
          <t>C. BILLING ↔ JDR TIE-OUT</t>
        </is>
      </c>
    </row>
    <row r="31">
      <c r="B31" s="9" t="inlineStr">
        <is>
          <t>Metric</t>
        </is>
      </c>
      <c r="C31" s="9" t="inlineStr">
        <is>
          <t>SOV</t>
        </is>
      </c>
      <c r="D31" s="9" t="inlineStr">
        <is>
          <t>JDR</t>
        </is>
      </c>
      <c r="E31" s="9" t="inlineStr">
        <is>
          <t>Δ</t>
        </is>
      </c>
      <c r="F31" s="9" t="inlineStr">
        <is>
          <t>Status</t>
        </is>
      </c>
    </row>
    <row r="32">
      <c r="B32" s="4" t="inlineStr">
        <is>
          <t>Final Contract Value</t>
        </is>
      </c>
      <c r="C32" s="10" t="n">
        <v>1391455</v>
      </c>
      <c r="D32" s="10" t="n">
        <v>1391455</v>
      </c>
      <c r="E32" s="10">
        <f>C32-D32</f>
        <v/>
      </c>
      <c r="F32" s="5">
        <f>IF(ABS(E32)&lt;=1,"TIES",IF(ABS(E32)&lt;=ABS(D32)*0.05,"WITHIN","OFF"))</f>
        <v/>
      </c>
    </row>
    <row r="33">
      <c r="B33" s="4" t="inlineStr">
        <is>
          <t>Retainage</t>
        </is>
      </c>
      <c r="C33" s="10" t="n">
        <v>69573</v>
      </c>
      <c r="D33" s="10" t="n">
        <v>69573</v>
      </c>
      <c r="E33" s="10">
        <f>C33-D33</f>
        <v/>
      </c>
      <c r="F33" s="5">
        <f>IF(ABS(E33)&lt;=1,"TIES",IF(ABS(E33)&lt;=ABS(D33)*0.05,"WITHIN","OFF"))</f>
        <v/>
      </c>
    </row>
    <row r="34">
      <c r="B34" s="4" t="inlineStr">
        <is>
          <t>Direct Cost</t>
        </is>
      </c>
      <c r="C34" s="10" t="n">
        <v>846601</v>
      </c>
      <c r="D34" s="10" t="n">
        <v>846601</v>
      </c>
      <c r="E34" s="10">
        <f>C34-D34</f>
        <v/>
      </c>
      <c r="F34" s="5">
        <f>IF(ABS(E34)&lt;=1,"TIES",IF(ABS(E34)&lt;=ABS(D34)*0.05,"WITHIN","OFF"))</f>
        <v/>
      </c>
    </row>
    <row r="35"/>
    <row r="36"/>
    <row r="37"/>
    <row r="38">
      <c r="B38" s="3" t="inlineStr">
        <is>
          <t>SOURCES</t>
        </is>
      </c>
    </row>
    <row r="39">
      <c r="B39" s="2" t="inlineStr">
        <is>
          <t>Job #2012 — Exxel Pacific 8th Ave Apartments  •  GC: Exxel Pacific, Inc.  •  4545 8th Ave NE, Seattle</t>
        </is>
      </c>
    </row>
    <row r="40">
      <c r="B40" s="2" t="inlineStr">
        <is>
          <t>Canonical source: 2012 Job Detail Report.pdf (135 pages, OWP Sage Timberline export)</t>
        </is>
      </c>
    </row>
    <row r="41">
      <c r="B41" s="2" t="inlineStr">
        <is>
          <t>Cost codes parsed: 30</t>
        </is>
      </c>
    </row>
    <row r="42">
      <c r="B42" s="2" t="inlineStr">
        <is>
          <t>Unit count (163) confirmed by plumbing permit SR1335240</t>
        </is>
      </c>
    </row>
    <row r="43">
      <c r="B43" s="2" t="inlineStr">
        <is>
          <t>Fixture count (1004) from permit detail: 163 WC + 163 lav + 163 shower + 163 sink + 163 DW + 163 washer + 5 floor drains + 18 roof drains + 1 indirect + 2 sump/ejector</t>
        </is>
      </c>
    </row>
    <row r="44">
      <c r="B44" s="2" t="inlineStr">
        <is>
          <t>Contract: One Way Plumbing contract executed (Exxel Pacific GC) with OWP markup</t>
        </is>
      </c>
    </row>
    <row r="45">
      <c r="B45" s="2" t="inlineStr">
        <is>
          <t>Billing: 8th AGGREGATE BILLING.xlsx (15 pay apps Mar 2013 – Jul 2014) + 15 SOV files</t>
        </is>
      </c>
    </row>
    <row r="46">
      <c r="B46" s="2" t="inlineStr">
        <is>
          <t>Final contract $1,391,455 (original $1,394,655 + $-3,200 COs)</t>
        </is>
      </c>
    </row>
  </sheetData>
  <mergeCells count="14">
    <mergeCell ref="B40:H40"/>
    <mergeCell ref="B41:H41"/>
    <mergeCell ref="B44:H44"/>
    <mergeCell ref="B43:H43"/>
    <mergeCell ref="B12:H12"/>
    <mergeCell ref="B39:H39"/>
    <mergeCell ref="B30:H30"/>
    <mergeCell ref="B2:H2"/>
    <mergeCell ref="B38:H38"/>
    <mergeCell ref="B42:H42"/>
    <mergeCell ref="B3:H3"/>
    <mergeCell ref="B5:H5"/>
    <mergeCell ref="B45:H45"/>
    <mergeCell ref="B46:H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10" customWidth="1" min="3" max="3"/>
  </cols>
  <sheetData>
    <row r="1"/>
    <row r="2">
      <c r="B2" s="1" t="inlineStr">
        <is>
          <t>Key Insights — Job #2012 Exxel Pacific 8th Ave Apartments</t>
        </is>
      </c>
    </row>
    <row r="3">
      <c r="B3" s="2" t="inlineStr">
        <is>
          <t>Narrative observations distilled from the full JDR analysis</t>
        </is>
      </c>
    </row>
    <row r="4"/>
    <row r="5" ht="32" customHeight="1">
      <c r="B5" s="5" t="inlineStr">
        <is>
          <t>MARGIN PROFILE</t>
        </is>
      </c>
      <c r="C5" s="23" t="inlineStr">
        <is>
          <t>Net profit of $544,854 on $1,391,455 revenue = 39.2% gross margin. Direct cost $846,601 absorbs 60.8% of revenue.</t>
        </is>
      </c>
    </row>
    <row r="6" ht="32" customHeight="1">
      <c r="B6" s="5" t="inlineStr">
        <is>
          <t>VENDOR CONCENTRATION</t>
        </is>
      </c>
      <c r="C6" s="23" t="inlineStr">
        <is>
          <t>Keller Supply Company alone = $154,464 (38% of all AP) across 45 invoices. Total 16 AP vendors, $409,755 total AP spend.</t>
        </is>
      </c>
    </row>
    <row r="7" ht="32" customHeight="1">
      <c r="B7" s="5" t="inlineStr">
        <is>
          <t>CREW PROFILE</t>
        </is>
      </c>
      <c r="C7" s="23" t="inlineStr">
        <is>
          <t>40 workers for 14,607 hours = 365 avg hrs/worker. Top 3 workers logged 3,044 hrs combined (21% of all labor).</t>
        </is>
      </c>
    </row>
    <row r="8" ht="32" customHeight="1">
      <c r="B8" s="5" t="inlineStr">
        <is>
          <t>ROUGHIN DOMINANCE</t>
        </is>
      </c>
      <c r="C8" s="23" t="inlineStr">
        <is>
          <t>Code 120 Roughin Labor = 9,320 hrs (64% of all labor) and $177,292 actual. Code 230 Finish Material = $210,145 — 25% of total direct cost.</t>
        </is>
      </c>
    </row>
    <row r="9" ht="32" customHeight="1">
      <c r="B9" s="5" t="inlineStr">
        <is>
          <t>BUDGET DELIVERY</t>
        </is>
      </c>
      <c r="C9" s="23" t="inlineStr">
        <is>
          <t>Revised budget was $1,047,758; actual direct cost $846,601 → $201,157 variance (19.2% under revised budget).</t>
        </is>
      </c>
    </row>
    <row r="10" ht="32" customHeight="1">
      <c r="B10" s="5" t="inlineStr">
        <is>
          <t>CONTRACT GROWTH</t>
        </is>
      </c>
      <c r="C10" s="23" t="inlineStr">
        <is>
          <t>Contract grew from $1,394,655 to $1,391,455 — net +$-3,200 (-0.2%). Retainage of $69,573 (5%) withheld until closeout.</t>
        </is>
      </c>
    </row>
    <row r="11" ht="32" customHeight="1">
      <c r="B11" s="5" t="inlineStr">
        <is>
          <t>BURDEN RATIO</t>
        </is>
      </c>
      <c r="C11" s="23" t="inlineStr">
        <is>
          <t>Burden codes 995 + 998 = $148,590 on $291,322 labor base = 51.0%. In line with OWP's typical 48–50% labor burden.</t>
        </is>
      </c>
    </row>
    <row r="12" ht="32" customHeight="1">
      <c r="B12" s="5" t="inlineStr">
        <is>
          <t>PROJECT SCALE</t>
        </is>
      </c>
      <c r="C12" s="23" t="inlineStr">
        <is>
          <t>163 units · 1004 fixtures · 17 months. Revenue/unit $8,537, hours/unit 89.6, profit/unit $3,343.</t>
        </is>
      </c>
    </row>
    <row r="13" ht="32" customHeight="1">
      <c r="B13" s="5" t="inlineStr">
        <is>
          <t>PRODUCTIVITY</t>
        </is>
      </c>
      <c r="C13" s="23" t="inlineStr">
        <is>
          <t>Blended labor rate $19.94/hr. Revenue/hour $95. Profit/hour $37. 859 hrs/month burn rate.</t>
        </is>
      </c>
    </row>
    <row r="14" ht="32" customHeight="1">
      <c r="B14" s="5" t="inlineStr">
        <is>
          <t>FIXTURE DENSITY</t>
        </is>
      </c>
      <c r="C14" s="23" t="inlineStr">
        <is>
          <t>1004 fixtures ÷ 163 units = 6.16 fixtures/unit. Material/fixture $389, labor/fixture $290.</t>
        </is>
      </c>
    </row>
    <row r="15"/>
    <row r="16">
      <c r="B16" s="3" t="inlineStr">
        <is>
          <t>BIGGEST QUESTION</t>
        </is>
      </c>
    </row>
    <row r="17" ht="50" customHeight="1">
      <c r="B17" s="24" t="inlineStr">
        <is>
          <t>How does this job's 39.2% margin compare across similar projects in the OWP portfolio, and what operational levers drove the result — estimating accuracy, vendor pricing, or labor productivity?</t>
        </is>
      </c>
    </row>
    <row r="18"/>
    <row r="19"/>
    <row r="20">
      <c r="B20" s="3" t="inlineStr">
        <is>
          <t>SOURCES</t>
        </is>
      </c>
    </row>
    <row r="21">
      <c r="B21" s="2" t="inlineStr">
        <is>
          <t>Job #2012 — Exxel Pacific 8th Ave Apartments  •  GC: Exxel Pacific, Inc.  •  4545 8th Ave NE, Seattle</t>
        </is>
      </c>
    </row>
    <row r="22">
      <c r="B22" s="2" t="inlineStr">
        <is>
          <t>Canonical source: 2012 Job Detail Report.pdf (135 pages, OWP Sage Timberline export)</t>
        </is>
      </c>
    </row>
    <row r="23">
      <c r="B23" s="2" t="inlineStr">
        <is>
          <t>Cost codes parsed: 30</t>
        </is>
      </c>
    </row>
    <row r="24">
      <c r="B24" s="2" t="inlineStr">
        <is>
          <t>Unit count (163) confirmed by plumbing permit SR1335240</t>
        </is>
      </c>
    </row>
    <row r="25">
      <c r="B25" s="2" t="inlineStr">
        <is>
          <t>Fixture count (1004) from permit detail: 163 WC + 163 lav + 163 shower + 163 sink + 163 DW + 163 washer + 5 floor drains + 18 roof drains + 1 indirect + 2 sump/ejector</t>
        </is>
      </c>
    </row>
    <row r="26">
      <c r="B26" s="2" t="inlineStr">
        <is>
          <t>Contract: One Way Plumbing contract executed (Exxel Pacific GC) with OWP markup</t>
        </is>
      </c>
    </row>
    <row r="27">
      <c r="B27" s="2" t="inlineStr">
        <is>
          <t>Billing: 8th AGGREGATE BILLING.xlsx (15 pay apps Mar 2013 – Jul 2014) + 15 SOV files</t>
        </is>
      </c>
    </row>
    <row r="28">
      <c r="B28" s="2" t="inlineStr">
        <is>
          <t>Final contract $1,391,455 (original $1,394,655 + $-3,200 COs)</t>
        </is>
      </c>
    </row>
  </sheetData>
  <mergeCells count="13">
    <mergeCell ref="B21:C21"/>
    <mergeCell ref="B16:C16"/>
    <mergeCell ref="B2:C2"/>
    <mergeCell ref="B24:C24"/>
    <mergeCell ref="B26:C26"/>
    <mergeCell ref="B25:C25"/>
    <mergeCell ref="B3:C3"/>
    <mergeCell ref="B20:C20"/>
    <mergeCell ref="B28:C28"/>
    <mergeCell ref="B23:C23"/>
    <mergeCell ref="B22:C22"/>
    <mergeCell ref="B17:C17"/>
    <mergeCell ref="B27:C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4" customWidth="1" min="3" max="3"/>
    <col width="16" customWidth="1" min="4" max="4"/>
    <col width="14" customWidth="1" min="5" max="5"/>
    <col width="45" customWidth="1" min="6" max="6"/>
  </cols>
  <sheetData>
    <row r="1"/>
    <row r="2">
      <c r="B2" s="1" t="inlineStr">
        <is>
          <t>Benchmark KPIs</t>
        </is>
      </c>
    </row>
    <row r="3">
      <c r="B3" s="2" t="inlineStr">
        <is>
          <t>Normalized metrics designed for apples-to-apples comparison across all OWP projects</t>
        </is>
      </c>
    </row>
    <row r="4"/>
    <row r="5">
      <c r="B5" s="9" t="inlineStr">
        <is>
          <t>KPI</t>
        </is>
      </c>
      <c r="C5" s="9" t="inlineStr">
        <is>
          <t>Data Name</t>
        </is>
      </c>
      <c r="D5" s="9" t="inlineStr">
        <is>
          <t>Value</t>
        </is>
      </c>
      <c r="E5" s="9" t="inlineStr">
        <is>
          <t>Category</t>
        </is>
      </c>
      <c r="F5" s="9" t="inlineStr">
        <is>
          <t>Notes</t>
        </is>
      </c>
    </row>
    <row r="6">
      <c r="B6" s="4" t="inlineStr">
        <is>
          <t>Job Number</t>
        </is>
      </c>
      <c r="C6" s="25" t="inlineStr">
        <is>
          <t>job_number</t>
        </is>
      </c>
      <c r="D6" s="5" t="inlineStr">
        <is>
          <t>2012</t>
        </is>
      </c>
      <c r="E6" s="4" t="inlineStr">
        <is>
          <t>Profile</t>
        </is>
      </c>
      <c r="F6" s="2" t="inlineStr">
        <is>
          <t>OWP job ID</t>
        </is>
      </c>
    </row>
    <row r="7">
      <c r="B7" s="4" t="inlineStr">
        <is>
          <t>Job Name</t>
        </is>
      </c>
      <c r="C7" s="25" t="inlineStr">
        <is>
          <t>job_name</t>
        </is>
      </c>
      <c r="D7" s="5" t="inlineStr">
        <is>
          <t>Exxel Pacific 8th Ave Apartments</t>
        </is>
      </c>
      <c r="E7" s="4" t="inlineStr">
        <is>
          <t>Profile</t>
        </is>
      </c>
    </row>
    <row r="8">
      <c r="B8" s="4" t="inlineStr">
        <is>
          <t>General Contractor</t>
        </is>
      </c>
      <c r="C8" s="25" t="inlineStr">
        <is>
          <t>general_contractor</t>
        </is>
      </c>
      <c r="D8" s="5" t="inlineStr">
        <is>
          <t>Exxel Pacific, Inc.</t>
        </is>
      </c>
      <c r="E8" s="4" t="inlineStr">
        <is>
          <t>Profile</t>
        </is>
      </c>
    </row>
    <row r="9">
      <c r="B9" s="4" t="inlineStr">
        <is>
          <t>Location</t>
        </is>
      </c>
      <c r="C9" s="25" t="inlineStr">
        <is>
          <t>location</t>
        </is>
      </c>
      <c r="D9" s="5" t="inlineStr">
        <is>
          <t>Seattle, WA (4545 8th Ave NE)</t>
        </is>
      </c>
      <c r="E9" s="4" t="inlineStr">
        <is>
          <t>Profile</t>
        </is>
      </c>
    </row>
    <row r="10">
      <c r="B10" s="4" t="inlineStr">
        <is>
          <t>Project Type</t>
        </is>
      </c>
      <c r="C10" s="25" t="inlineStr">
        <is>
          <t>project_type</t>
        </is>
      </c>
      <c r="D10" s="5" t="inlineStr">
        <is>
          <t>163-unit 9-story multifamily apartments + ground-floor retail</t>
        </is>
      </c>
      <c r="E10" s="4" t="inlineStr">
        <is>
          <t>Profile</t>
        </is>
      </c>
    </row>
    <row r="11">
      <c r="B11" s="4" t="inlineStr">
        <is>
          <t>Duration (months)</t>
        </is>
      </c>
      <c r="C11" s="25" t="inlineStr">
        <is>
          <t>duration_months</t>
        </is>
      </c>
      <c r="D11" s="5" t="n">
        <v>17</v>
      </c>
      <c r="E11" s="4" t="inlineStr">
        <is>
          <t>Profile</t>
        </is>
      </c>
      <c r="F11" s="2" t="inlineStr">
        <is>
          <t>Mar 2013 – Jul 2014 (~17 months)</t>
        </is>
      </c>
    </row>
    <row r="12">
      <c r="B12" s="4" t="inlineStr">
        <is>
          <t>Unit Count</t>
        </is>
      </c>
      <c r="C12" s="25" t="inlineStr">
        <is>
          <t>unit_count</t>
        </is>
      </c>
      <c r="D12" s="12" t="n">
        <v>163</v>
      </c>
      <c r="E12" s="4" t="inlineStr">
        <is>
          <t>Profile</t>
        </is>
      </c>
    </row>
    <row r="13">
      <c r="B13" s="4" t="inlineStr">
        <is>
          <t>Total Fixtures</t>
        </is>
      </c>
      <c r="C13" s="25" t="inlineStr">
        <is>
          <t>total_fixtures</t>
        </is>
      </c>
      <c r="D13" s="12" t="n">
        <v>1004</v>
      </c>
      <c r="E13" s="4" t="inlineStr">
        <is>
          <t>Profile</t>
        </is>
      </c>
    </row>
    <row r="14">
      <c r="B14" s="4" t="inlineStr">
        <is>
          <t>Fixtures per Unit</t>
        </is>
      </c>
      <c r="C14" s="25" t="inlineStr">
        <is>
          <t>fixtures_per_unit</t>
        </is>
      </c>
      <c r="D14" s="20" t="n">
        <v>6.159509202453988</v>
      </c>
      <c r="E14" s="4" t="inlineStr">
        <is>
          <t>Profile</t>
        </is>
      </c>
    </row>
    <row r="15">
      <c r="B15" s="4" t="inlineStr">
        <is>
          <t>Contract Value (Orig)</t>
        </is>
      </c>
      <c r="C15" s="25" t="inlineStr">
        <is>
          <t>contract_original</t>
        </is>
      </c>
      <c r="D15" s="12" t="n">
        <v>1394655</v>
      </c>
      <c r="E15" s="4" t="inlineStr">
        <is>
          <t>Financial</t>
        </is>
      </c>
    </row>
    <row r="16">
      <c r="B16" s="4" t="inlineStr">
        <is>
          <t>Contract Value (Final)</t>
        </is>
      </c>
      <c r="C16" s="25" t="inlineStr">
        <is>
          <t>contract_final</t>
        </is>
      </c>
      <c r="D16" s="12" t="n">
        <v>1391455</v>
      </c>
      <c r="E16" s="4" t="inlineStr">
        <is>
          <t>Financial</t>
        </is>
      </c>
      <c r="F16" s="2" t="inlineStr">
        <is>
          <t>After change orders</t>
        </is>
      </c>
    </row>
    <row r="17">
      <c r="B17" s="4" t="inlineStr">
        <is>
          <t>Change Orders ($)</t>
        </is>
      </c>
      <c r="C17" s="25" t="inlineStr">
        <is>
          <t>change_orders</t>
        </is>
      </c>
      <c r="D17" s="12" t="n">
        <v>-3200</v>
      </c>
      <c r="E17" s="4" t="inlineStr">
        <is>
          <t>Financial</t>
        </is>
      </c>
    </row>
    <row r="18">
      <c r="B18" s="4" t="inlineStr">
        <is>
          <t>Revenue</t>
        </is>
      </c>
      <c r="C18" s="25" t="inlineStr">
        <is>
          <t>revenue</t>
        </is>
      </c>
      <c r="D18" s="12" t="n">
        <v>1391455</v>
      </c>
      <c r="E18" s="4" t="inlineStr">
        <is>
          <t>Financial</t>
        </is>
      </c>
    </row>
    <row r="19">
      <c r="B19" s="4" t="inlineStr">
        <is>
          <t>Net Profit</t>
        </is>
      </c>
      <c r="C19" s="25" t="inlineStr">
        <is>
          <t>net_profit</t>
        </is>
      </c>
      <c r="D19" s="12" t="n">
        <v>544853.6800000001</v>
      </c>
      <c r="E19" s="4" t="inlineStr">
        <is>
          <t>Financial</t>
        </is>
      </c>
    </row>
    <row r="20">
      <c r="B20" s="4" t="inlineStr">
        <is>
          <t>Gross Margin</t>
        </is>
      </c>
      <c r="C20" s="25" t="inlineStr">
        <is>
          <t>gross_margin</t>
        </is>
      </c>
      <c r="D20" s="20" t="n">
        <v>0.3915711826828752</v>
      </c>
      <c r="E20" s="4" t="inlineStr">
        <is>
          <t>Financial</t>
        </is>
      </c>
    </row>
    <row r="21">
      <c r="B21" s="4" t="inlineStr">
        <is>
          <t>Direct Cost</t>
        </is>
      </c>
      <c r="C21" s="25" t="inlineStr">
        <is>
          <t>direct_cost</t>
        </is>
      </c>
      <c r="D21" s="12" t="n">
        <v>846601.3199999999</v>
      </c>
      <c r="E21" s="4" t="inlineStr">
        <is>
          <t>Financial</t>
        </is>
      </c>
    </row>
    <row r="22">
      <c r="B22" s="4" t="inlineStr">
        <is>
          <t>Labor Cost</t>
        </is>
      </c>
      <c r="C22" s="25" t="inlineStr">
        <is>
          <t>labor_cost</t>
        </is>
      </c>
      <c r="D22" s="12" t="n">
        <v>291321.88</v>
      </c>
      <c r="E22" s="4" t="inlineStr">
        <is>
          <t>Labor</t>
        </is>
      </c>
      <c r="F22" s="2" t="inlineStr">
        <is>
          <t>Sum of 13 labor codes</t>
        </is>
      </c>
    </row>
    <row r="23">
      <c r="B23" s="4" t="inlineStr">
        <is>
          <t>Material Cost</t>
        </is>
      </c>
      <c r="C23" s="25" t="inlineStr">
        <is>
          <t>material_cost</t>
        </is>
      </c>
      <c r="D23" s="12" t="n">
        <v>390750.86</v>
      </c>
      <c r="E23" s="4" t="inlineStr">
        <is>
          <t>Material</t>
        </is>
      </c>
      <c r="F23" s="2" t="inlineStr">
        <is>
          <t>Sum of 11 material codes</t>
        </is>
      </c>
    </row>
    <row r="24">
      <c r="B24" s="4" t="inlineStr">
        <is>
          <t>Overhead Cost</t>
        </is>
      </c>
      <c r="C24" s="25" t="inlineStr">
        <is>
          <t>overhead_cost</t>
        </is>
      </c>
      <c r="D24" s="12" t="n">
        <v>15938.74</v>
      </c>
      <c r="E24" s="4" t="inlineStr">
        <is>
          <t>Financial</t>
        </is>
      </c>
      <c r="F24" s="2" t="inlineStr">
        <is>
          <t>Sub+Eng+Permits</t>
        </is>
      </c>
    </row>
    <row r="25">
      <c r="B25" s="4" t="inlineStr">
        <is>
          <t>Burden Cost</t>
        </is>
      </c>
      <c r="C25" s="25" t="inlineStr">
        <is>
          <t>burden_cost</t>
        </is>
      </c>
      <c r="D25" s="12" t="n">
        <v>148589.84</v>
      </c>
      <c r="E25" s="4" t="inlineStr">
        <is>
          <t>Financial</t>
        </is>
      </c>
      <c r="F25" s="2" t="inlineStr">
        <is>
          <t>Codes 995+998</t>
        </is>
      </c>
    </row>
    <row r="26">
      <c r="B26" s="4" t="inlineStr">
        <is>
          <t>Retainage</t>
        </is>
      </c>
      <c r="C26" s="25" t="inlineStr">
        <is>
          <t>retainage</t>
        </is>
      </c>
      <c r="D26" s="12" t="n">
        <v>69572.75</v>
      </c>
      <c r="E26" s="4" t="inlineStr">
        <is>
          <t>Financial</t>
        </is>
      </c>
      <c r="F26" s="2" t="inlineStr">
        <is>
          <t>5% withheld</t>
        </is>
      </c>
    </row>
    <row r="27">
      <c r="B27" s="4" t="inlineStr">
        <is>
          <t>Revenue per Unit</t>
        </is>
      </c>
      <c r="C27" s="25" t="inlineStr">
        <is>
          <t>revenue_per_unit</t>
        </is>
      </c>
      <c r="D27" s="12" t="n">
        <v>8536.533742331289</v>
      </c>
      <c r="E27" s="4" t="inlineStr">
        <is>
          <t>Financial</t>
        </is>
      </c>
    </row>
    <row r="28">
      <c r="B28" s="4" t="inlineStr">
        <is>
          <t>Profit per Unit</t>
        </is>
      </c>
      <c r="C28" s="25" t="inlineStr">
        <is>
          <t>profit_per_unit</t>
        </is>
      </c>
      <c r="D28" s="12" t="n">
        <v>3342.660613496933</v>
      </c>
      <c r="E28" s="4" t="inlineStr">
        <is>
          <t>Financial</t>
        </is>
      </c>
    </row>
    <row r="29">
      <c r="B29" s="4" t="inlineStr">
        <is>
          <t>Direct Cost per Unit</t>
        </is>
      </c>
      <c r="C29" s="25" t="inlineStr">
        <is>
          <t>cost_per_unit</t>
        </is>
      </c>
      <c r="D29" s="12" t="n">
        <v>5193.873128834355</v>
      </c>
      <c r="E29" s="4" t="inlineStr">
        <is>
          <t>Financial</t>
        </is>
      </c>
    </row>
    <row r="30">
      <c r="B30" s="4" t="inlineStr">
        <is>
          <t>Labor Cost per Unit</t>
        </is>
      </c>
      <c r="C30" s="25" t="inlineStr">
        <is>
          <t>labor_per_unit</t>
        </is>
      </c>
      <c r="D30" s="12" t="n">
        <v>1787.250797546012</v>
      </c>
      <c r="E30" s="4" t="inlineStr">
        <is>
          <t>Labor</t>
        </is>
      </c>
    </row>
    <row r="31">
      <c r="B31" s="4" t="inlineStr">
        <is>
          <t>Material Cost per Unit</t>
        </is>
      </c>
      <c r="C31" s="25" t="inlineStr">
        <is>
          <t>material_per_unit</t>
        </is>
      </c>
      <c r="D31" s="12" t="n">
        <v>2397.244539877301</v>
      </c>
      <c r="E31" s="4" t="inlineStr">
        <is>
          <t>Material</t>
        </is>
      </c>
    </row>
    <row r="32">
      <c r="B32" s="4" t="inlineStr">
        <is>
          <t>Revenue per Fixture</t>
        </is>
      </c>
      <c r="C32" s="25" t="inlineStr">
        <is>
          <t>revenue_per_fixture</t>
        </is>
      </c>
      <c r="D32" s="12" t="n">
        <v>1385.911354581673</v>
      </c>
      <c r="E32" s="4" t="inlineStr">
        <is>
          <t>Financial</t>
        </is>
      </c>
    </row>
    <row r="33">
      <c r="B33" s="4" t="inlineStr">
        <is>
          <t>Profit per Fixture</t>
        </is>
      </c>
      <c r="C33" s="25" t="inlineStr">
        <is>
          <t>profit_per_fixture</t>
        </is>
      </c>
      <c r="D33" s="12" t="n">
        <v>542.6829482071714</v>
      </c>
      <c r="E33" s="4" t="inlineStr">
        <is>
          <t>Financial</t>
        </is>
      </c>
    </row>
    <row r="34">
      <c r="B34" s="4" t="inlineStr">
        <is>
          <t>Cost per Fixture</t>
        </is>
      </c>
      <c r="C34" s="25" t="inlineStr">
        <is>
          <t>cost_per_fixture</t>
        </is>
      </c>
      <c r="D34" s="12" t="n">
        <v>843.2284063745019</v>
      </c>
      <c r="E34" s="4" t="inlineStr">
        <is>
          <t>Financial</t>
        </is>
      </c>
    </row>
    <row r="35">
      <c r="B35" s="4" t="inlineStr">
        <is>
          <t>Labor per Fixture</t>
        </is>
      </c>
      <c r="C35" s="25" t="inlineStr">
        <is>
          <t>labor_per_fixture</t>
        </is>
      </c>
      <c r="D35" s="12" t="n">
        <v>290.1612350597609</v>
      </c>
      <c r="E35" s="4" t="inlineStr">
        <is>
          <t>Labor</t>
        </is>
      </c>
    </row>
    <row r="36">
      <c r="B36" s="4" t="inlineStr">
        <is>
          <t>Material per Fixture</t>
        </is>
      </c>
      <c r="C36" s="25" t="inlineStr">
        <is>
          <t>material_per_fixture</t>
        </is>
      </c>
      <c r="D36" s="12" t="n">
        <v>389.1940836653386</v>
      </c>
      <c r="E36" s="4" t="inlineStr">
        <is>
          <t>Material</t>
        </is>
      </c>
    </row>
    <row r="37">
      <c r="B37" s="4" t="inlineStr">
        <is>
          <t>Total Labor Hours</t>
        </is>
      </c>
      <c r="C37" s="25" t="inlineStr">
        <is>
          <t>total_hours</t>
        </is>
      </c>
      <c r="D37" s="12" t="n">
        <v>14607.25</v>
      </c>
      <c r="E37" s="4" t="inlineStr">
        <is>
          <t>Labor</t>
        </is>
      </c>
      <c r="F37" s="2" t="inlineStr">
        <is>
          <t>Sum of JDR cost code hours</t>
        </is>
      </c>
    </row>
    <row r="38">
      <c r="B38" s="4" t="inlineStr">
        <is>
          <t>Total Workers</t>
        </is>
      </c>
      <c r="C38" s="25" t="inlineStr">
        <is>
          <t>total_workers</t>
        </is>
      </c>
      <c r="D38" s="5" t="n">
        <v>40</v>
      </c>
      <c r="E38" s="4" t="inlineStr">
        <is>
          <t>Labor</t>
        </is>
      </c>
      <c r="F38" s="2" t="inlineStr">
        <is>
          <t>Unique payroll IDs</t>
        </is>
      </c>
    </row>
    <row r="39">
      <c r="B39" s="4" t="inlineStr">
        <is>
          <t>Blended Gross Wage</t>
        </is>
      </c>
      <c r="C39" s="25" t="inlineStr">
        <is>
          <t>blended_gross_wage</t>
        </is>
      </c>
      <c r="D39" s="13" t="n">
        <v>17.35228259939414</v>
      </c>
      <c r="E39" s="4" t="inlineStr">
        <is>
          <t>Labor</t>
        </is>
      </c>
      <c r="F39" s="2" t="inlineStr">
        <is>
          <t>Pre-burden</t>
        </is>
      </c>
    </row>
    <row r="40">
      <c r="B40" s="4" t="inlineStr">
        <is>
          <t>Fully-Loaded Wage</t>
        </is>
      </c>
      <c r="C40" s="25" t="inlineStr">
        <is>
          <t>fully_loaded_wage</t>
        </is>
      </c>
      <c r="D40" s="13" t="n">
        <v>30.11598487052662</v>
      </c>
      <c r="E40" s="4" t="inlineStr">
        <is>
          <t>Labor</t>
        </is>
      </c>
      <c r="F40" s="2" t="inlineStr">
        <is>
          <t>Post-burden</t>
        </is>
      </c>
    </row>
    <row r="41">
      <c r="B41" s="4" t="inlineStr">
        <is>
          <t>Burden Multiplier</t>
        </is>
      </c>
      <c r="C41" s="25" t="inlineStr">
        <is>
          <t>burden_multiplier</t>
        </is>
      </c>
      <c r="D41" s="20" t="n">
        <v>1.735563301140458</v>
      </c>
      <c r="E41" s="4" t="inlineStr">
        <is>
          <t>Labor</t>
        </is>
      </c>
    </row>
    <row r="42">
      <c r="B42" s="4" t="inlineStr">
        <is>
          <t>Hours per Unit</t>
        </is>
      </c>
      <c r="C42" s="25" t="inlineStr">
        <is>
          <t>hours_per_unit</t>
        </is>
      </c>
      <c r="D42" s="13" t="n">
        <v>89.61503067484662</v>
      </c>
      <c r="E42" s="4" t="inlineStr">
        <is>
          <t>Labor</t>
        </is>
      </c>
      <c r="F42" s="2" t="inlineStr">
        <is>
          <t>Key benchmark</t>
        </is>
      </c>
    </row>
    <row r="43">
      <c r="B43" s="4" t="inlineStr">
        <is>
          <t>Hours per Fixture</t>
        </is>
      </c>
      <c r="C43" s="25" t="inlineStr">
        <is>
          <t>hours_per_fixture</t>
        </is>
      </c>
      <c r="D43" s="13" t="n">
        <v>14.54905378486056</v>
      </c>
      <c r="E43" s="4" t="inlineStr">
        <is>
          <t>Labor</t>
        </is>
      </c>
      <c r="F43" s="2" t="inlineStr">
        <is>
          <t>Key benchmark</t>
        </is>
      </c>
    </row>
    <row r="44">
      <c r="B44" s="4" t="inlineStr">
        <is>
          <t>Revenue per Hour</t>
        </is>
      </c>
      <c r="C44" s="25" t="inlineStr">
        <is>
          <t>revenue_per_hour</t>
        </is>
      </c>
      <c r="D44" s="13" t="n">
        <v>95.25783429461397</v>
      </c>
      <c r="E44" s="4" t="inlineStr">
        <is>
          <t>Productivity</t>
        </is>
      </c>
    </row>
    <row r="45">
      <c r="B45" s="4" t="inlineStr">
        <is>
          <t>Profit per Hour</t>
        </is>
      </c>
      <c r="C45" s="25" t="inlineStr">
        <is>
          <t>profit_per_hour</t>
        </is>
      </c>
      <c r="D45" s="13" t="n">
        <v>37.30022283455134</v>
      </c>
      <c r="E45" s="4" t="inlineStr">
        <is>
          <t>Productivity</t>
        </is>
      </c>
    </row>
    <row r="46">
      <c r="B46" s="4" t="inlineStr">
        <is>
          <t>Labor % of Revenue</t>
        </is>
      </c>
      <c r="C46" s="25" t="inlineStr">
        <is>
          <t>labor_pct_revenue</t>
        </is>
      </c>
      <c r="D46" s="20" t="n">
        <v>0.2093649309535702</v>
      </c>
      <c r="E46" s="4" t="inlineStr">
        <is>
          <t>Cost Mix</t>
        </is>
      </c>
    </row>
    <row r="47">
      <c r="B47" s="4" t="inlineStr">
        <is>
          <t>Material % of Revenue</t>
        </is>
      </c>
      <c r="C47" s="25" t="inlineStr">
        <is>
          <t>material_pct_revenue</t>
        </is>
      </c>
      <c r="D47" s="20" t="n">
        <v>0.280821772892404</v>
      </c>
      <c r="E47" s="4" t="inlineStr">
        <is>
          <t>Cost Mix</t>
        </is>
      </c>
    </row>
    <row r="48">
      <c r="B48" s="4" t="inlineStr">
        <is>
          <t>Revenue per Month</t>
        </is>
      </c>
      <c r="C48" s="25" t="inlineStr">
        <is>
          <t>revenue_per_month</t>
        </is>
      </c>
      <c r="D48" s="12" t="n">
        <v>81850.29411764706</v>
      </c>
      <c r="E48" s="4" t="inlineStr">
        <is>
          <t>Productivity</t>
        </is>
      </c>
    </row>
    <row r="49">
      <c r="B49" s="4" t="inlineStr">
        <is>
          <t>Hours per Month</t>
        </is>
      </c>
      <c r="C49" s="25" t="inlineStr">
        <is>
          <t>hours_per_month</t>
        </is>
      </c>
      <c r="D49" s="12" t="n">
        <v>859.25</v>
      </c>
      <c r="E49" s="4" t="inlineStr">
        <is>
          <t>Productivity</t>
        </is>
      </c>
    </row>
    <row r="50">
      <c r="B50" s="4" t="inlineStr">
        <is>
          <t>Units per Month</t>
        </is>
      </c>
      <c r="C50" s="25" t="inlineStr">
        <is>
          <t>units_per_month</t>
        </is>
      </c>
      <c r="D50" s="20" t="n">
        <v>9.588235294117647</v>
      </c>
      <c r="E50" s="4" t="inlineStr">
        <is>
          <t>Productivity</t>
        </is>
      </c>
    </row>
    <row r="51">
      <c r="B51" s="4" t="inlineStr">
        <is>
          <t>Total Vendors</t>
        </is>
      </c>
      <c r="C51" s="25" t="inlineStr">
        <is>
          <t>total_vendors</t>
        </is>
      </c>
      <c r="D51" s="5" t="n">
        <v>16</v>
      </c>
      <c r="E51" s="4" t="inlineStr">
        <is>
          <t>Material</t>
        </is>
      </c>
      <c r="F51" s="2" t="inlineStr">
        <is>
          <t>Unique AP vendors</t>
        </is>
      </c>
    </row>
    <row r="52">
      <c r="B52" s="4" t="inlineStr">
        <is>
          <t>Top Vendor Spend</t>
        </is>
      </c>
      <c r="C52" s="25" t="inlineStr">
        <is>
          <t>top_vendor_spend</t>
        </is>
      </c>
      <c r="D52" s="12" t="n">
        <v>154464.12</v>
      </c>
      <c r="E52" s="4" t="inlineStr">
        <is>
          <t>Material</t>
        </is>
      </c>
      <c r="F52" s="2" t="inlineStr">
        <is>
          <t>Keller Supply Company</t>
        </is>
      </c>
    </row>
    <row r="53">
      <c r="B53" s="4" t="inlineStr">
        <is>
          <t>Top Vendor Concentration</t>
        </is>
      </c>
      <c r="C53" s="25" t="inlineStr">
        <is>
          <t>top_vendor_pct</t>
        </is>
      </c>
      <c r="D53" s="20" t="n">
        <v>0.3769673940687278</v>
      </c>
      <c r="E53" s="4" t="inlineStr">
        <is>
          <t>Material</t>
        </is>
      </c>
    </row>
    <row r="54">
      <c r="B54" s="4" t="inlineStr">
        <is>
          <t>Total POs</t>
        </is>
      </c>
      <c r="C54" s="25" t="inlineStr">
        <is>
          <t>total_pos</t>
        </is>
      </c>
      <c r="D54" s="5" t="n">
        <v>68</v>
      </c>
      <c r="E54" s="4" t="inlineStr">
        <is>
          <t>Material</t>
        </is>
      </c>
      <c r="F54" s="2" t="inlineStr">
        <is>
          <t>Unique POs by filename</t>
        </is>
      </c>
    </row>
    <row r="55">
      <c r="B55" s="4" t="inlineStr">
        <is>
          <t>Change Order %</t>
        </is>
      </c>
      <c r="C55" s="25" t="inlineStr">
        <is>
          <t>co_pct</t>
        </is>
      </c>
      <c r="D55" s="20" t="n">
        <v>-0.002294474260659446</v>
      </c>
      <c r="E55" s="4" t="inlineStr">
        <is>
          <t>Financial</t>
        </is>
      </c>
    </row>
    <row r="56">
      <c r="B56" s="4" t="inlineStr">
        <is>
          <t>Revenue per Labor Hour</t>
        </is>
      </c>
      <c r="C56" s="25" t="inlineStr">
        <is>
          <t>rev_per_labor_hr</t>
        </is>
      </c>
      <c r="D56" s="13" t="n">
        <v>95.25783429461397</v>
      </c>
      <c r="E56" s="4" t="inlineStr">
        <is>
          <t>Productivity</t>
        </is>
      </c>
    </row>
    <row r="57"/>
    <row r="58"/>
    <row r="59"/>
    <row r="60">
      <c r="B60" s="3" t="inlineStr">
        <is>
          <t>SOURCES</t>
        </is>
      </c>
    </row>
    <row r="61">
      <c r="B61" s="2" t="inlineStr">
        <is>
          <t>Job #2012 — Exxel Pacific 8th Ave Apartments  •  GC: Exxel Pacific, Inc.  •  4545 8th Ave NE, Seattle</t>
        </is>
      </c>
    </row>
    <row r="62">
      <c r="B62" s="2" t="inlineStr">
        <is>
          <t>Canonical source: 2012 Job Detail Report.pdf (135 pages, OWP Sage Timberline export)</t>
        </is>
      </c>
    </row>
    <row r="63">
      <c r="B63" s="2" t="inlineStr">
        <is>
          <t>Cost codes parsed: 30</t>
        </is>
      </c>
    </row>
    <row r="64">
      <c r="B64" s="2" t="inlineStr">
        <is>
          <t>Unit count (163) confirmed by plumbing permit SR1335240</t>
        </is>
      </c>
    </row>
    <row r="65">
      <c r="B65" s="2" t="inlineStr">
        <is>
          <t>Fixture count (1004) from permit detail: 163 WC + 163 lav + 163 shower + 163 sink + 163 DW + 163 washer + 5 floor drains + 18 roof drains + 1 indirect + 2 sump/ejector</t>
        </is>
      </c>
    </row>
    <row r="66">
      <c r="B66" s="2" t="inlineStr">
        <is>
          <t>Contract: One Way Plumbing contract executed (Exxel Pacific GC) with OWP markup</t>
        </is>
      </c>
    </row>
    <row r="67">
      <c r="B67" s="2" t="inlineStr">
        <is>
          <t>Billing: 8th AGGREGATE BILLING.xlsx (15 pay apps Mar 2013 – Jul 2014) + 15 SOV files</t>
        </is>
      </c>
    </row>
    <row r="68">
      <c r="B68" s="2" t="inlineStr">
        <is>
          <t>Final contract $1,391,455 (original $1,394,655 + $-3,200 COs)</t>
        </is>
      </c>
    </row>
    <row r="69">
      <c r="B69" s="2" t="inlineStr">
        <is>
          <t>51 KPIs with snake_case data_name identifiers for database ingestion</t>
        </is>
      </c>
    </row>
  </sheetData>
  <mergeCells count="12">
    <mergeCell ref="B65:F65"/>
    <mergeCell ref="B68:F68"/>
    <mergeCell ref="B69:F69"/>
    <mergeCell ref="B2:F2"/>
    <mergeCell ref="B62:F62"/>
    <mergeCell ref="B64:F64"/>
    <mergeCell ref="B3:F3"/>
    <mergeCell ref="B60:F60"/>
    <mergeCell ref="B66:F66"/>
    <mergeCell ref="B67:F67"/>
    <mergeCell ref="B63:F63"/>
    <mergeCell ref="B61:F6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12" customWidth="1" min="4" max="4"/>
    <col width="18" customWidth="1" min="5" max="5"/>
    <col width="14" customWidth="1" min="6" max="6"/>
    <col width="16" customWidth="1" min="7" max="7"/>
  </cols>
  <sheetData>
    <row r="1" ht="26" customHeight="1">
      <c r="A1" s="26" t="inlineStr">
        <is>
          <t>Vendor Detail — Job #2012</t>
        </is>
      </c>
    </row>
    <row r="2"/>
    <row r="3">
      <c r="A3" s="5" t="inlineStr">
        <is>
          <t>Vendors</t>
        </is>
      </c>
      <c r="B3" s="4" t="n">
        <v>16</v>
      </c>
      <c r="D3" s="5" t="inlineStr">
        <is>
          <t>Top vendor</t>
        </is>
      </c>
      <c r="E3" s="4" t="inlineStr">
        <is>
          <t>Keller Supply Company</t>
        </is>
      </c>
    </row>
    <row r="4">
      <c r="A4" s="5" t="inlineStr">
        <is>
          <t>Invoices</t>
        </is>
      </c>
      <c r="B4" s="4" t="n">
        <v>186</v>
      </c>
      <c r="D4" s="5" t="inlineStr">
        <is>
          <t>Top 3 share</t>
        </is>
      </c>
      <c r="E4" s="27">
        <f>332432.72000000003/409754.5900000001</f>
        <v/>
      </c>
    </row>
    <row r="5">
      <c r="A5" s="5" t="inlineStr">
        <is>
          <t>Total AP</t>
        </is>
      </c>
      <c r="B5" s="28" t="n">
        <v>409754.5900000001</v>
      </c>
      <c r="D5" s="5" t="inlineStr">
        <is>
          <t>Source</t>
        </is>
      </c>
      <c r="E5" s="2" t="inlineStr">
        <is>
          <t>Job Detail Report (Sage Timberline AP export)</t>
        </is>
      </c>
    </row>
    <row r="6">
      <c r="A6" s="5" t="inlineStr">
        <is>
          <t>Avg Inv</t>
        </is>
      </c>
      <c r="B6" s="28">
        <f>B5/B4</f>
        <v/>
      </c>
    </row>
    <row r="7"/>
    <row r="8" ht="20" customHeight="1">
      <c r="A8" s="29" t="inlineStr">
        <is>
          <t>Rank</t>
        </is>
      </c>
      <c r="B8" s="29" t="inlineStr">
        <is>
          <t>Vendor</t>
        </is>
      </c>
      <c r="C8" s="29" t="inlineStr">
        <is>
          <t>Vendor Code</t>
        </is>
      </c>
      <c r="D8" s="29" t="inlineStr">
        <is>
          <t>Invoices</t>
        </is>
      </c>
      <c r="E8" s="29" t="inlineStr">
        <is>
          <t>Total Spend</t>
        </is>
      </c>
      <c r="F8" s="29" t="inlineStr">
        <is>
          <t>% of AP</t>
        </is>
      </c>
      <c r="G8" s="29" t="inlineStr">
        <is>
          <t>Avg / Invoice</t>
        </is>
      </c>
    </row>
    <row r="9">
      <c r="A9" s="30" t="n">
        <v>1</v>
      </c>
      <c r="B9" s="31" t="inlineStr">
        <is>
          <t>Keller Supply Company</t>
        </is>
      </c>
      <c r="C9" s="30" t="inlineStr"/>
      <c r="D9" s="30" t="n">
        <v>45</v>
      </c>
      <c r="E9" s="32" t="n">
        <v>154464.12</v>
      </c>
      <c r="F9" s="33">
        <f>E9/E$25</f>
        <v/>
      </c>
      <c r="G9" s="32">
        <f>IF(D9=0,0,E9/D9)</f>
        <v/>
      </c>
    </row>
    <row r="10">
      <c r="A10" s="30" t="n">
        <v>2</v>
      </c>
      <c r="B10" s="31" t="inlineStr">
        <is>
          <t>Ferguson Enterprises, Inc.</t>
        </is>
      </c>
      <c r="C10" s="30" t="inlineStr"/>
      <c r="D10" s="30" t="n">
        <v>41</v>
      </c>
      <c r="E10" s="32" t="n">
        <v>119072.08</v>
      </c>
      <c r="F10" s="33">
        <f>E10/E$25</f>
        <v/>
      </c>
      <c r="G10" s="32">
        <f>IF(D10=0,0,E10/D10)</f>
        <v/>
      </c>
    </row>
    <row r="11">
      <c r="A11" s="30" t="n">
        <v>3</v>
      </c>
      <c r="B11" s="31" t="inlineStr">
        <is>
          <t>Mechanical Sales, Inc.</t>
        </is>
      </c>
      <c r="C11" s="30" t="inlineStr"/>
      <c r="D11" s="30" t="n">
        <v>7</v>
      </c>
      <c r="E11" s="32" t="n">
        <v>58896.52</v>
      </c>
      <c r="F11" s="33">
        <f>E11/E$25</f>
        <v/>
      </c>
      <c r="G11" s="32">
        <f>IF(D11=0,0,E11/D11)</f>
        <v/>
      </c>
    </row>
    <row r="12">
      <c r="A12" s="34" t="n">
        <v>4</v>
      </c>
      <c r="B12" s="35" t="inlineStr">
        <is>
          <t>Rosen Supply Company, Inc.</t>
        </is>
      </c>
      <c r="C12" s="34" t="inlineStr"/>
      <c r="D12" s="34" t="n">
        <v>54</v>
      </c>
      <c r="E12" s="36" t="n">
        <v>39751.74</v>
      </c>
      <c r="F12" s="37">
        <f>E12/E$25</f>
        <v/>
      </c>
      <c r="G12" s="36">
        <f>IF(D12=0,0,E12/D12)</f>
        <v/>
      </c>
    </row>
    <row r="13">
      <c r="A13" s="38" t="n">
        <v>5</v>
      </c>
      <c r="B13" s="39" t="inlineStr">
        <is>
          <t>Franklin Engineering</t>
        </is>
      </c>
      <c r="C13" s="38" t="inlineStr"/>
      <c r="D13" s="38" t="n">
        <v>4</v>
      </c>
      <c r="E13" s="40" t="n">
        <v>15612.75</v>
      </c>
      <c r="F13" s="41">
        <f>E13/E$25</f>
        <v/>
      </c>
      <c r="G13" s="40">
        <f>IF(D13=0,0,E13/D13)</f>
        <v/>
      </c>
    </row>
    <row r="14">
      <c r="A14" s="34" t="n">
        <v>6</v>
      </c>
      <c r="B14" s="35" t="inlineStr">
        <is>
          <t>Bank of America CC</t>
        </is>
      </c>
      <c r="C14" s="34" t="inlineStr"/>
      <c r="D14" s="34" t="n">
        <v>6</v>
      </c>
      <c r="E14" s="36" t="n">
        <v>9741.879999999999</v>
      </c>
      <c r="F14" s="37">
        <f>E14/E$25</f>
        <v/>
      </c>
      <c r="G14" s="36">
        <f>IF(D14=0,0,E14/D14)</f>
        <v/>
      </c>
    </row>
    <row r="15">
      <c r="A15" s="38" t="n">
        <v>7</v>
      </c>
      <c r="B15" s="39" t="inlineStr">
        <is>
          <t>Quality Concrete Products, Inc.</t>
        </is>
      </c>
      <c r="C15" s="38" t="inlineStr"/>
      <c r="D15" s="38" t="n">
        <v>3</v>
      </c>
      <c r="E15" s="40" t="n">
        <v>5806</v>
      </c>
      <c r="F15" s="41">
        <f>E15/E$25</f>
        <v/>
      </c>
      <c r="G15" s="40">
        <f>IF(D15=0,0,E15/D15)</f>
        <v/>
      </c>
    </row>
    <row r="16">
      <c r="A16" s="34" t="n">
        <v>8</v>
      </c>
      <c r="B16" s="35" t="inlineStr">
        <is>
          <t>Manor Hardware &amp; Construction Supply</t>
        </is>
      </c>
      <c r="C16" s="34" t="inlineStr"/>
      <c r="D16" s="34" t="n">
        <v>7</v>
      </c>
      <c r="E16" s="36" t="n">
        <v>1963.11</v>
      </c>
      <c r="F16" s="37">
        <f>E16/E$25</f>
        <v/>
      </c>
      <c r="G16" s="36">
        <f>IF(D16=0,0,E16/D16)</f>
        <v/>
      </c>
    </row>
    <row r="17">
      <c r="A17" s="38" t="n">
        <v>9</v>
      </c>
      <c r="B17" s="39" t="inlineStr">
        <is>
          <t>Patchworks, Inc.</t>
        </is>
      </c>
      <c r="C17" s="38" t="inlineStr"/>
      <c r="D17" s="38" t="n">
        <v>2</v>
      </c>
      <c r="E17" s="40" t="n">
        <v>1837.5</v>
      </c>
      <c r="F17" s="41">
        <f>E17/E$25</f>
        <v/>
      </c>
      <c r="G17" s="40">
        <f>IF(D17=0,0,E17/D17)</f>
        <v/>
      </c>
    </row>
    <row r="18">
      <c r="A18" s="34" t="n">
        <v>10</v>
      </c>
      <c r="B18" s="35" t="inlineStr">
        <is>
          <t>Capital One Credit Card</t>
        </is>
      </c>
      <c r="C18" s="34" t="inlineStr"/>
      <c r="D18" s="34" t="n">
        <v>8</v>
      </c>
      <c r="E18" s="36" t="n">
        <v>1038.11</v>
      </c>
      <c r="F18" s="37">
        <f>E18/E$25</f>
        <v/>
      </c>
      <c r="G18" s="36">
        <f>IF(D18=0,0,E18/D18)</f>
        <v/>
      </c>
    </row>
    <row r="19">
      <c r="A19" s="38" t="n">
        <v>11</v>
      </c>
      <c r="B19" s="39" t="inlineStr">
        <is>
          <t>Rosen Supply Kirkland</t>
        </is>
      </c>
      <c r="C19" s="38" t="inlineStr"/>
      <c r="D19" s="38" t="n">
        <v>1</v>
      </c>
      <c r="E19" s="40" t="n">
        <v>973.75</v>
      </c>
      <c r="F19" s="41">
        <f>E19/E$25</f>
        <v/>
      </c>
      <c r="G19" s="40">
        <f>IF(D19=0,0,E19/D19)</f>
        <v/>
      </c>
    </row>
    <row r="20">
      <c r="A20" s="34" t="n">
        <v>12</v>
      </c>
      <c r="B20" s="35" t="inlineStr">
        <is>
          <t>Ferguson Enterprises, Inc. #3007</t>
        </is>
      </c>
      <c r="C20" s="34" t="inlineStr"/>
      <c r="D20" s="34" t="n">
        <v>2</v>
      </c>
      <c r="E20" s="36" t="n">
        <v>309.58</v>
      </c>
      <c r="F20" s="37">
        <f>E20/E$25</f>
        <v/>
      </c>
      <c r="G20" s="36">
        <f>IF(D20=0,0,E20/D20)</f>
        <v/>
      </c>
    </row>
    <row r="21">
      <c r="A21" s="38" t="n">
        <v>13</v>
      </c>
      <c r="B21" s="39" t="inlineStr">
        <is>
          <t>R.A. Brown Backflow Testing</t>
        </is>
      </c>
      <c r="C21" s="38" t="inlineStr"/>
      <c r="D21" s="38" t="n">
        <v>1</v>
      </c>
      <c r="E21" s="40" t="n">
        <v>186</v>
      </c>
      <c r="F21" s="41">
        <f>E21/E$25</f>
        <v/>
      </c>
      <c r="G21" s="40">
        <f>IF(D21=0,0,E21/D21)</f>
        <v/>
      </c>
    </row>
    <row r="22">
      <c r="A22" s="34" t="n">
        <v>14</v>
      </c>
      <c r="B22" s="35" t="inlineStr">
        <is>
          <t>DRSi</t>
        </is>
      </c>
      <c r="C22" s="34" t="inlineStr"/>
      <c r="D22" s="34" t="n">
        <v>1</v>
      </c>
      <c r="E22" s="36" t="n">
        <v>69.28</v>
      </c>
      <c r="F22" s="37">
        <f>E22/E$25</f>
        <v/>
      </c>
      <c r="G22" s="36">
        <f>IF(D22=0,0,E22/D22)</f>
        <v/>
      </c>
    </row>
    <row r="23">
      <c r="A23" s="38" t="n">
        <v>15</v>
      </c>
      <c r="B23" s="39" t="inlineStr">
        <is>
          <t>American Express 3-41000</t>
        </is>
      </c>
      <c r="C23" s="38" t="inlineStr"/>
      <c r="D23" s="38" t="n">
        <v>3</v>
      </c>
      <c r="E23" s="40" t="n">
        <v>18.33</v>
      </c>
      <c r="F23" s="41">
        <f>E23/E$25</f>
        <v/>
      </c>
      <c r="G23" s="40">
        <f>IF(D23=0,0,E23/D23)</f>
        <v/>
      </c>
    </row>
    <row r="24">
      <c r="A24" s="34" t="n">
        <v>16</v>
      </c>
      <c r="B24" s="35" t="inlineStr">
        <is>
          <t>C.M. Hoskins Company</t>
        </is>
      </c>
      <c r="C24" s="34" t="inlineStr"/>
      <c r="D24" s="34" t="n">
        <v>1</v>
      </c>
      <c r="E24" s="36" t="n">
        <v>13.84</v>
      </c>
      <c r="F24" s="37">
        <f>E24/E$25</f>
        <v/>
      </c>
      <c r="G24" s="36">
        <f>IF(D24=0,0,E24/D24)</f>
        <v/>
      </c>
    </row>
    <row r="25">
      <c r="A25" s="42" t="n"/>
      <c r="B25" s="43" t="inlineStr">
        <is>
          <t>TOTAL</t>
        </is>
      </c>
      <c r="C25" s="42" t="n"/>
      <c r="D25" s="44">
        <f>SUM(D9:D24)</f>
        <v/>
      </c>
      <c r="E25" s="45">
        <f>SUM(E9:E24)</f>
        <v/>
      </c>
      <c r="F25" s="46">
        <f>SUM(F9:F24)</f>
        <v/>
      </c>
      <c r="G25" s="45">
        <f>IF(D25=0,0,E25/D25)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/>
    <row r="2">
      <c r="B2" s="1" t="inlineStr">
        <is>
          <t>Reconciliation — Cross-Tab Tie-out Proofs</t>
        </is>
      </c>
    </row>
    <row r="3">
      <c r="B3" s="2" t="inlineStr">
        <is>
          <t>Live cross-sheet formulas verify data consistency across all 12 source tabs</t>
        </is>
      </c>
    </row>
    <row r="4">
      <c r="B4" s="9" t="inlineStr">
        <is>
          <t>Check</t>
        </is>
      </c>
      <c r="C4" s="9" t="inlineStr">
        <is>
          <t>Tab A</t>
        </is>
      </c>
      <c r="D4" s="9" t="inlineStr">
        <is>
          <t>Tab B</t>
        </is>
      </c>
      <c r="E4" s="9" t="inlineStr">
        <is>
          <t>Δ</t>
        </is>
      </c>
      <c r="F4" s="9" t="inlineStr">
        <is>
          <t>Status</t>
        </is>
      </c>
      <c r="G4" s="9" t="inlineStr">
        <is>
          <t>Tabs</t>
        </is>
      </c>
    </row>
    <row r="5">
      <c r="B5" s="3" t="inlineStr">
        <is>
          <t>A. OVERVIEW ↔ BENCHMARK KPIS</t>
        </is>
      </c>
    </row>
    <row r="6">
      <c r="B6" s="4" t="inlineStr">
        <is>
          <t>Direct Cost Total</t>
        </is>
      </c>
      <c r="C6" s="10">
        <f>'Overview'!D24</f>
        <v/>
      </c>
      <c r="D6" s="10">
        <f>'Benchmark KPIs'!D21</f>
        <v/>
      </c>
      <c r="E6" s="10">
        <f>C6-D6</f>
        <v/>
      </c>
      <c r="F6" s="5">
        <f>IF(ABS(E6)&lt;=1,"TIES",IF(ABS(E6)&lt;=ABS(D6)*0.05,"WITHIN","OFF"))</f>
        <v/>
      </c>
      <c r="G6" s="2" t="inlineStr">
        <is>
          <t>1↔2↔11</t>
        </is>
      </c>
    </row>
    <row r="7">
      <c r="B7" s="4" t="inlineStr">
        <is>
          <t>Contract Final Value</t>
        </is>
      </c>
      <c r="C7" s="10" t="n">
        <v>1391455</v>
      </c>
      <c r="D7" s="10">
        <f>'Benchmark KPIs'!D16</f>
        <v/>
      </c>
      <c r="E7" s="10">
        <f>C7-D7</f>
        <v/>
      </c>
      <c r="F7" s="5">
        <f>IF(ABS(E7)&lt;=1,"TIES",IF(ABS(E7)&lt;=ABS(D7)*0.05,"WITHIN","OFF"))</f>
        <v/>
      </c>
      <c r="G7" s="2" t="inlineStr">
        <is>
          <t>JDR↔11</t>
        </is>
      </c>
    </row>
    <row r="8">
      <c r="B8" s="4" t="inlineStr">
        <is>
          <t>Net Profit</t>
        </is>
      </c>
      <c r="C8" s="10" t="n">
        <v>544853.6800000001</v>
      </c>
      <c r="D8" s="10">
        <f>'Benchmark KPIs'!D19</f>
        <v/>
      </c>
      <c r="E8" s="10">
        <f>C8-D8</f>
        <v/>
      </c>
      <c r="F8" s="5">
        <f>IF(ABS(E8)&lt;=1,"TIES",IF(ABS(E8)&lt;=ABS(D8)*0.05,"WITHIN","OFF"))</f>
        <v/>
      </c>
      <c r="G8" s="2" t="inlineStr">
        <is>
          <t>JDR↔11</t>
        </is>
      </c>
    </row>
    <row r="9">
      <c r="B9" s="4" t="inlineStr">
        <is>
          <t>Gross Margin</t>
        </is>
      </c>
      <c r="C9" s="11" t="n">
        <v>0.3915711826828752</v>
      </c>
      <c r="D9" s="11">
        <f>'Benchmark KPIs'!D20</f>
        <v/>
      </c>
      <c r="E9" s="11">
        <f>C9-D9</f>
        <v/>
      </c>
      <c r="F9" s="5">
        <f>IF(ABS(E9)&lt;=1,"TIES",IF(ABS(E9)&lt;=ABS(D9)*0.05,"WITHIN","OFF"))</f>
        <v/>
      </c>
      <c r="G9" s="2" t="inlineStr">
        <is>
          <t>JDR↔11</t>
        </is>
      </c>
    </row>
    <row r="10"/>
    <row r="11">
      <c r="B11" s="3" t="inlineStr">
        <is>
          <t>B. OVERVIEW ↔ COST BREAKDOWN (Category Actuals)</t>
        </is>
      </c>
    </row>
    <row r="12">
      <c r="B12" s="4" t="inlineStr">
        <is>
          <t>Labor Actual</t>
        </is>
      </c>
      <c r="C12" s="10">
        <f>'Overview'!D20</f>
        <v/>
      </c>
      <c r="D12" s="10">
        <f>'Cost Breakdown'!E6</f>
        <v/>
      </c>
      <c r="E12" s="10">
        <f>C12-D12</f>
        <v/>
      </c>
      <c r="F12" s="5">
        <f>IF(ABS(E12)&lt;=1,"TIES",IF(ABS(E12)&lt;=ABS(D12)*0.05,"WITHIN","OFF"))</f>
        <v/>
      </c>
      <c r="G12" s="2" t="inlineStr">
        <is>
          <t>1↔3</t>
        </is>
      </c>
    </row>
    <row r="13">
      <c r="B13" s="4" t="inlineStr">
        <is>
          <t>Material Actual</t>
        </is>
      </c>
      <c r="C13" s="10">
        <f>'Overview'!D21</f>
        <v/>
      </c>
      <c r="D13" s="10">
        <f>'Cost Breakdown'!E7</f>
        <v/>
      </c>
      <c r="E13" s="10">
        <f>C13-D13</f>
        <v/>
      </c>
      <c r="F13" s="5">
        <f>IF(ABS(E13)&lt;=1,"TIES",IF(ABS(E13)&lt;=ABS(D13)*0.05,"WITHIN","OFF"))</f>
        <v/>
      </c>
      <c r="G13" s="2" t="inlineStr">
        <is>
          <t>1↔3</t>
        </is>
      </c>
    </row>
    <row r="14">
      <c r="B14" s="4" t="inlineStr">
        <is>
          <t>Overhead Actual</t>
        </is>
      </c>
      <c r="C14" s="10">
        <f>'Overview'!D22</f>
        <v/>
      </c>
      <c r="D14" s="10">
        <f>'Cost Breakdown'!E8</f>
        <v/>
      </c>
      <c r="E14" s="10">
        <f>C14-D14</f>
        <v/>
      </c>
      <c r="F14" s="5">
        <f>IF(ABS(E14)&lt;=1,"TIES",IF(ABS(E14)&lt;=ABS(D14)*0.05,"WITHIN","OFF"))</f>
        <v/>
      </c>
      <c r="G14" s="2" t="inlineStr">
        <is>
          <t>1↔3</t>
        </is>
      </c>
    </row>
    <row r="15">
      <c r="B15" s="4" t="inlineStr">
        <is>
          <t>Burden Actual</t>
        </is>
      </c>
      <c r="C15" s="10">
        <f>'Overview'!D23</f>
        <v/>
      </c>
      <c r="D15" s="10">
        <f>'Cost Breakdown'!E9</f>
        <v/>
      </c>
      <c r="E15" s="10">
        <f>C15-D15</f>
        <v/>
      </c>
      <c r="F15" s="5">
        <f>IF(ABS(E15)&lt;=1,"TIES",IF(ABS(E15)&lt;=ABS(D15)*0.05,"WITHIN","OFF"))</f>
        <v/>
      </c>
      <c r="G15" s="2" t="inlineStr">
        <is>
          <t>1↔3</t>
        </is>
      </c>
    </row>
    <row r="16"/>
    <row r="17">
      <c r="B17" s="3" t="inlineStr">
        <is>
          <t>C. BUDGET vs ACTUAL ↔ OVERVIEW</t>
        </is>
      </c>
    </row>
    <row r="18">
      <c r="B18" s="4" t="inlineStr">
        <is>
          <t>Actual Direct Cost</t>
        </is>
      </c>
      <c r="C18" s="10">
        <f>'Budget vs Actual'!F38</f>
        <v/>
      </c>
      <c r="D18" s="10">
        <f>'Overview'!D24</f>
        <v/>
      </c>
      <c r="E18" s="10">
        <f>C18-D18</f>
        <v/>
      </c>
      <c r="F18" s="5">
        <f>IF(ABS(E18)&lt;=1,"TIES",IF(ABS(E18)&lt;=ABS(D18)*0.05,"WITHIN","OFF"))</f>
        <v/>
      </c>
      <c r="G18" s="2" t="inlineStr">
        <is>
          <t>2↔1</t>
        </is>
      </c>
    </row>
    <row r="19">
      <c r="B19" s="4" t="inlineStr">
        <is>
          <t>Revised Budget Total</t>
        </is>
      </c>
      <c r="C19" s="10">
        <f>'Budget vs Actual'!E38</f>
        <v/>
      </c>
      <c r="D19" s="10">
        <f>'Overview'!C24</f>
        <v/>
      </c>
      <c r="E19" s="10">
        <f>C19-D19</f>
        <v/>
      </c>
      <c r="F19" s="5">
        <f>IF(ABS(E19)&lt;=1,"TIES",IF(ABS(E19)&lt;=ABS(D19)*0.05,"WITHIN","OFF"))</f>
        <v/>
      </c>
      <c r="G19" s="2" t="inlineStr">
        <is>
          <t>2↔1</t>
        </is>
      </c>
    </row>
    <row r="20"/>
    <row r="21">
      <c r="B21" s="3" t="inlineStr">
        <is>
          <t>D. MATERIAL ↔ COST BREAKDOWN ↔ KPIS</t>
        </is>
      </c>
    </row>
    <row r="22">
      <c r="B22" s="4" t="inlineStr">
        <is>
          <t>Material Actual (Material tab)</t>
        </is>
      </c>
      <c r="C22" s="10">
        <f>'Material'!E18</f>
        <v/>
      </c>
      <c r="D22" s="10">
        <f>'Cost Breakdown'!E7</f>
        <v/>
      </c>
      <c r="E22" s="10">
        <f>C22-D22</f>
        <v/>
      </c>
      <c r="F22" s="5">
        <f>IF(ABS(E22)&lt;=1,"TIES",IF(ABS(E22)&lt;=ABS(D22)*0.05,"WITHIN","OFF"))</f>
        <v/>
      </c>
      <c r="G22" s="2" t="inlineStr">
        <is>
          <t>4↔3</t>
        </is>
      </c>
    </row>
    <row r="23">
      <c r="B23" s="4" t="inlineStr">
        <is>
          <t>Material Actual (KPIs)</t>
        </is>
      </c>
      <c r="C23" s="10">
        <f>'Benchmark KPIs'!D23</f>
        <v/>
      </c>
      <c r="D23" s="10">
        <f>'Cost Breakdown'!E7</f>
        <v/>
      </c>
      <c r="E23" s="10">
        <f>C23-D23</f>
        <v/>
      </c>
      <c r="F23" s="5">
        <f>IF(ABS(E23)&lt;=1,"TIES",IF(ABS(E23)&lt;=ABS(D23)*0.05,"WITHIN","OFF"))</f>
        <v/>
      </c>
      <c r="G23" s="2" t="inlineStr">
        <is>
          <t>11↔3</t>
        </is>
      </c>
    </row>
    <row r="24"/>
    <row r="25">
      <c r="B25" s="3" t="inlineStr">
        <is>
          <t>E. CREW &amp; LABOR ↔ PRODUCTIVITY ↔ KPIS (Hours)</t>
        </is>
      </c>
    </row>
    <row r="26">
      <c r="B26" s="4" t="inlineStr">
        <is>
          <t>Total Hours (Crew tab)</t>
        </is>
      </c>
      <c r="C26" s="47">
        <f>'Crew &amp; Labor'!C45</f>
        <v/>
      </c>
      <c r="D26" s="47">
        <f>'Benchmark KPIs'!D37</f>
        <v/>
      </c>
      <c r="E26" s="47">
        <f>C26-D26</f>
        <v/>
      </c>
      <c r="F26" s="5">
        <f>IF(ABS(E26)&lt;=5,"TIES",IF(ABS(E26)&lt;=ABS(D26)*0.05,"WITHIN","OFF"))</f>
        <v/>
      </c>
      <c r="G26" s="2" t="inlineStr">
        <is>
          <t>5↔11</t>
        </is>
      </c>
    </row>
    <row r="27">
      <c r="B27" s="4" t="inlineStr">
        <is>
          <t>Total Hours (Productivity tab)</t>
        </is>
      </c>
      <c r="C27" s="47">
        <f>'Productivity'!D19</f>
        <v/>
      </c>
      <c r="D27" s="47">
        <f>'Benchmark KPIs'!D37</f>
        <v/>
      </c>
      <c r="E27" s="47">
        <f>C27-D27</f>
        <v/>
      </c>
      <c r="F27" s="5">
        <f>IF(ABS(E27)&lt;=5,"TIES",IF(ABS(E27)&lt;=ABS(D27)*0.05,"WITHIN","OFF"))</f>
        <v/>
      </c>
      <c r="G27" s="2" t="inlineStr">
        <is>
          <t>7↔11</t>
        </is>
      </c>
    </row>
    <row r="28">
      <c r="B28" s="4" t="inlineStr">
        <is>
          <t>Total Workers</t>
        </is>
      </c>
      <c r="C28" s="14" t="n">
        <v>40</v>
      </c>
      <c r="D28" s="14">
        <f>'Benchmark KPIs'!D38</f>
        <v/>
      </c>
      <c r="E28" s="14">
        <f>C28-D28</f>
        <v/>
      </c>
      <c r="F28" s="5">
        <f>IF(E28=0,"TIES",IF(ABS(E28)&lt;=1,"WITHIN","OFF"))</f>
        <v/>
      </c>
      <c r="G28" s="2" t="inlineStr">
        <is>
          <t>JDR↔11</t>
        </is>
      </c>
    </row>
    <row r="29"/>
    <row r="30">
      <c r="B30" s="3" t="inlineStr">
        <is>
          <t>F. CREW ANALYTICS ↔ KPIS (Wage Statistics)</t>
        </is>
      </c>
    </row>
    <row r="31">
      <c r="B31" s="4" t="inlineStr">
        <is>
          <t>Blended Gross Wage</t>
        </is>
      </c>
      <c r="C31" s="17">
        <f>'Crew Analytics'!C12</f>
        <v/>
      </c>
      <c r="D31" s="17">
        <f>'Benchmark KPIs'!D39</f>
        <v/>
      </c>
      <c r="E31" s="17">
        <f>C31-D31</f>
        <v/>
      </c>
      <c r="F31" s="5">
        <f>IF(ABS(E31)&lt;=1,"TIES",IF(ABS(E31)&lt;=ABS(D31)*0.05,"WITHIN","OFF"))</f>
        <v/>
      </c>
      <c r="G31" s="2" t="inlineStr">
        <is>
          <t>6↔11</t>
        </is>
      </c>
    </row>
    <row r="32">
      <c r="B32" s="4" t="inlineStr">
        <is>
          <t>Fully-Loaded Wage</t>
        </is>
      </c>
      <c r="C32" s="17">
        <f>'Crew Analytics'!C13</f>
        <v/>
      </c>
      <c r="D32" s="17">
        <f>'Benchmark KPIs'!D40</f>
        <v/>
      </c>
      <c r="E32" s="17">
        <f>C32-D32</f>
        <v/>
      </c>
      <c r="F32" s="5">
        <f>IF(ABS(E32)&lt;=1,"TIES",IF(ABS(E32)&lt;=ABS(D32)*0.05,"WITHIN","OFF"))</f>
        <v/>
      </c>
      <c r="G32" s="2" t="inlineStr">
        <is>
          <t>6↔11</t>
        </is>
      </c>
    </row>
    <row r="33"/>
    <row r="34">
      <c r="B34" s="3" t="inlineStr">
        <is>
          <t>G. PO COMMITMENTS ↔ KPIS</t>
        </is>
      </c>
    </row>
    <row r="35">
      <c r="B35" s="4" t="inlineStr">
        <is>
          <t>PO Count</t>
        </is>
      </c>
      <c r="C35" s="14">
        <f>'PO Commitments'!D14</f>
        <v/>
      </c>
      <c r="D35" s="14">
        <f>'Benchmark KPIs'!D54</f>
        <v/>
      </c>
      <c r="E35" s="14">
        <f>C35-D35</f>
        <v/>
      </c>
      <c r="F35" s="5">
        <f>IF(E35=0,"TIES",IF(ABS(E35)&lt;=1,"WITHIN","OFF"))</f>
        <v/>
      </c>
      <c r="G35" s="2" t="inlineStr">
        <is>
          <t>8↔11</t>
        </is>
      </c>
    </row>
    <row r="36"/>
    <row r="37">
      <c r="B37" s="3" t="inlineStr">
        <is>
          <t>H. BILLING &amp; SOV ↔ JDR</t>
        </is>
      </c>
    </row>
    <row r="38">
      <c r="B38" s="4" t="inlineStr">
        <is>
          <t>Final Contract Value</t>
        </is>
      </c>
      <c r="C38" s="10" t="n">
        <v>1391455</v>
      </c>
      <c r="D38" s="10" t="n">
        <v>1391455</v>
      </c>
      <c r="E38" s="10">
        <f>C38-D38</f>
        <v/>
      </c>
      <c r="F38" s="5">
        <f>IF(ABS(E38)&lt;=1,"TIES",IF(ABS(E38)&lt;=ABS(D38)*0.05,"WITHIN","OFF"))</f>
        <v/>
      </c>
      <c r="G38" s="2" t="inlineStr">
        <is>
          <t>9↔JDR</t>
        </is>
      </c>
    </row>
    <row r="39">
      <c r="B39" s="4" t="inlineStr">
        <is>
          <t>Retainage</t>
        </is>
      </c>
      <c r="C39" s="10" t="n">
        <v>69573</v>
      </c>
      <c r="D39" s="10" t="n">
        <v>69573</v>
      </c>
      <c r="E39" s="10">
        <f>C39-D39</f>
        <v/>
      </c>
      <c r="F39" s="5">
        <f>IF(ABS(E39)&lt;=1,"TIES",IF(ABS(E39)&lt;=ABS(D39)*0.05,"WITHIN","OFF"))</f>
        <v/>
      </c>
      <c r="G39" s="2" t="inlineStr">
        <is>
          <t>9↔JDR</t>
        </is>
      </c>
    </row>
    <row r="40">
      <c r="B40" s="4" t="inlineStr">
        <is>
          <t>Direct Cost</t>
        </is>
      </c>
      <c r="C40" s="10" t="n">
        <v>846601</v>
      </c>
      <c r="D40" s="10" t="n">
        <v>846601</v>
      </c>
      <c r="E40" s="10">
        <f>C40-D40</f>
        <v/>
      </c>
      <c r="F40" s="5">
        <f>IF(ABS(E40)&lt;=1,"TIES",IF(ABS(E40)&lt;=ABS(D40)*0.05,"WITHIN","OFF"))</f>
        <v/>
      </c>
      <c r="G40" s="2" t="inlineStr">
        <is>
          <t>9↔JDR</t>
        </is>
      </c>
    </row>
    <row r="41"/>
    <row r="42">
      <c r="B42" s="3" t="inlineStr">
        <is>
          <t>I. VENDORS ↔ KPIS</t>
        </is>
      </c>
    </row>
    <row r="43">
      <c r="B43" s="4" t="inlineStr">
        <is>
          <t>Vendor Count</t>
        </is>
      </c>
      <c r="C43" s="14">
        <f>'Vendors'!B3</f>
        <v/>
      </c>
      <c r="D43" s="14">
        <f>'Benchmark KPIs'!D51</f>
        <v/>
      </c>
      <c r="E43" s="14">
        <f>C43-D43</f>
        <v/>
      </c>
      <c r="F43" s="5">
        <f>IF(E43=0,"TIES",IF(ABS(E43)&lt;=1,"WITHIN","OFF"))</f>
        <v/>
      </c>
      <c r="G43" s="2" t="inlineStr">
        <is>
          <t>12↔11</t>
        </is>
      </c>
    </row>
    <row r="44">
      <c r="B44" s="4" t="inlineStr">
        <is>
          <t>Total AP Spend</t>
        </is>
      </c>
      <c r="C44" s="10">
        <f>'Vendors'!E25</f>
        <v/>
      </c>
      <c r="D44" s="10" t="n">
        <v>409755</v>
      </c>
      <c r="E44" s="10">
        <f>C44-D44</f>
        <v/>
      </c>
      <c r="F44" s="5">
        <f>IF(ABS(E44)&lt;=1,"TIES",IF(ABS(E44)&lt;=ABS(D44)*0.05,"WITHIN","OFF"))</f>
        <v/>
      </c>
      <c r="G44" s="2" t="inlineStr">
        <is>
          <t>12↔JDR</t>
        </is>
      </c>
    </row>
    <row r="45"/>
    <row r="46">
      <c r="B46" s="3" t="inlineStr">
        <is>
          <t>J. INSIGHTS (Narrative Review)</t>
        </is>
      </c>
    </row>
    <row r="47">
      <c r="B47" s="2" t="inlineStr">
        <is>
          <t>10 insight cards — narrative text verified at generation time, no formula check applicable</t>
        </is>
      </c>
    </row>
    <row r="48"/>
    <row r="49">
      <c r="B49" s="3" t="inlineStr">
        <is>
          <t>SOURCES</t>
        </is>
      </c>
    </row>
    <row r="50">
      <c r="B50" s="2" t="inlineStr">
        <is>
          <t>Job #2012 — Exxel Pacific 8th Ave Apartments  •  GC: Exxel Pacific, Inc.  •  4545 8th Ave NE, Seattle</t>
        </is>
      </c>
    </row>
    <row r="51">
      <c r="B51" s="2" t="inlineStr">
        <is>
          <t>Canonical source: 2012 Job Detail Report.pdf (135 pages, OWP Sage Timberline export)</t>
        </is>
      </c>
    </row>
    <row r="52">
      <c r="B52" s="2" t="inlineStr">
        <is>
          <t>Cost codes parsed: 30</t>
        </is>
      </c>
    </row>
    <row r="53">
      <c r="B53" s="2" t="inlineStr">
        <is>
          <t>Unit count (163) confirmed by plumbing permit SR1335240</t>
        </is>
      </c>
    </row>
    <row r="54">
      <c r="B54" s="2" t="inlineStr">
        <is>
          <t>Fixture count (1004) from permit detail: 163 WC + 163 lav + 163 shower + 163 sink + 163 DW + 163 washer + 5 floor drains + 18 roof drains + 1 indirect + 2 sump/ejector</t>
        </is>
      </c>
    </row>
    <row r="55">
      <c r="B55" s="2" t="inlineStr">
        <is>
          <t>Contract: One Way Plumbing contract executed (Exxel Pacific GC) with OWP markup</t>
        </is>
      </c>
    </row>
    <row r="56">
      <c r="B56" s="2" t="inlineStr">
        <is>
          <t>Billing: 8th AGGREGATE BILLING.xlsx (15 pay apps Mar 2013 – Jul 2014) + 15 SOV files</t>
        </is>
      </c>
    </row>
    <row r="57">
      <c r="B57" s="2" t="inlineStr">
        <is>
          <t>Final contract $1,391,455 (original $1,394,655 + $-3,200 COs)</t>
        </is>
      </c>
    </row>
    <row r="58">
      <c r="B58" s="2" t="inlineStr">
        <is>
          <t>TIES = within $1 / 5 hrs / exact count  •  WITHIN = within 5%  •  OFF = investigate</t>
        </is>
      </c>
    </row>
    <row r="59">
      <c r="B59" s="2" t="inlineStr">
        <is>
          <t>Cross-sheet formulas (='Tab'!Cell) update automatically when source tabs change</t>
        </is>
      </c>
    </row>
    <row r="60">
      <c r="B60" s="2" t="inlineStr">
        <is>
          <t>Tabs: 1=Overview  2=BvA  3=CostBkdn  4=Material  5=Crew  6=CrewAnalytics  7=Productivity</t>
        </is>
      </c>
    </row>
    <row r="61">
      <c r="B61" s="2" t="inlineStr">
        <is>
          <t xml:space="preserve">      8=PO  9=Billing  10=Insights  11=KPIs  12=Vendors  13=Reconciliation (this tab)</t>
        </is>
      </c>
    </row>
  </sheetData>
  <mergeCells count="26">
    <mergeCell ref="B2:G2"/>
    <mergeCell ref="B42:G42"/>
    <mergeCell ref="B60:G60"/>
    <mergeCell ref="B17:G17"/>
    <mergeCell ref="B61:G61"/>
    <mergeCell ref="B57:G57"/>
    <mergeCell ref="B53:G53"/>
    <mergeCell ref="B34:G34"/>
    <mergeCell ref="B37:G37"/>
    <mergeCell ref="B49:G49"/>
    <mergeCell ref="B30:G30"/>
    <mergeCell ref="B55:G55"/>
    <mergeCell ref="B51:G51"/>
    <mergeCell ref="B5:G5"/>
    <mergeCell ref="B50:G50"/>
    <mergeCell ref="B25:G25"/>
    <mergeCell ref="B3:G3"/>
    <mergeCell ref="B47:G47"/>
    <mergeCell ref="B54:G54"/>
    <mergeCell ref="B46:G46"/>
    <mergeCell ref="B59:G59"/>
    <mergeCell ref="B56:G56"/>
    <mergeCell ref="B58:G58"/>
    <mergeCell ref="B52:G52"/>
    <mergeCell ref="B21:G21"/>
    <mergeCell ref="B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2026-04-13T20:15:01Z</dcterms:created>
  <dcterms:modified xmlns:dcterms="http://purl.org/dc/terms/" xmlns:xsi="http://www.w3.org/2001/XMLSchema-instance" xsi:type="dcterms:W3CDTF">2026-04-13T20:15:01Z</dcterms:modified>
</cp:coreProperties>
</file>