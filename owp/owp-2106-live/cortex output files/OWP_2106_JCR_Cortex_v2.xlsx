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<sst xmlns="http://schemas.openxmlformats.org/spreadsheetml/2006/main" count="417" uniqueCount="327">
  <si>
    <t xml:space="preserve">OWP #2106 · 6220 Roosevelt</t>
  </si>
  <si>
    <t xml:space="preserve">Chinn Construction, LLC · 146 units · Pre-construction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</si>
  <si>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</si>
  <si>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</si>
  <si>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</si>
  <si>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</si>
  <si>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</si>
  <si>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</si>
  <si>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</si>
  <si>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</si>
  <si>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</si>
  <si>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</si>
  <si>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</si>
  <si>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</si>
  <si>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</si>
  <si>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</si>
  <si>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</si>
  <si>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</si>
  <si>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</si>
  <si>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</si>
  <si>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PROJECT TEAM · KEY PLAYERS</t>
  </si>
  <si>
    <t xml:space="preserve">Pre-construction · early takeoff phase. Subcontract pending — final BID submitted Dec 4 2025 ($3,042,140 / 147u) to Chinn. Tri-State Plumbing also bidding.</t>
  </si>
  <si>
    <t xml:space="preserve">ROLE</t>
  </si>
  <si>
    <t xml:space="preserve">VALUE</t>
  </si>
  <si>
    <t xml:space="preserve">General Contractor</t>
  </si>
  <si>
    <t xml:space="preserve">Chinn Construction, LLC</t>
  </si>
  <si>
    <t xml:space="preserve">Owner</t>
  </si>
  <si>
    <t xml:space="preserve">Phoenix Property Co (per Master Project List Projects Bid tab)</t>
  </si>
  <si>
    <t xml:space="preserve">Architect</t>
  </si>
  <si>
    <t xml:space="preserve">Weber Thompson</t>
  </si>
  <si>
    <t xml:space="preserve">MEP / Plumbing Engineer</t>
  </si>
  <si>
    <t xml:space="preserve">Emerald City Engineering (GC's bridge MEP) + Robison Engineering, Inc. (OWP's 3rd-party plumbing design-build engineer · $30,200 design fee booked)</t>
  </si>
  <si>
    <t xml:space="preserve">OWP Estimator</t>
  </si>
  <si>
    <t xml:space="preserve">Jeffrey S. Gerard / Jordan E. Gerard / Joseph N. Barnhart (takeoff team)</t>
  </si>
  <si>
    <t xml:space="preserve">OWP Signatory</t>
  </si>
  <si>
    <t xml:space="preserve">Richard Donelson</t>
  </si>
  <si>
    <t xml:space="preserve">Site Address</t>
  </si>
  <si>
    <t xml:space="preserve">6220 Roosevelt Way NE, Seattle, WA (Roosevelt neighborhood)</t>
  </si>
  <si>
    <t xml:space="preserve">Insurance</t>
  </si>
  <si>
    <t xml:space="preserve">Standard (COI) — non-Wrap (per project team grid)</t>
  </si>
  <si>
    <t xml:space="preserve">Status</t>
  </si>
  <si>
    <t xml:space="preserve">ACTIVE · pre-construction (early takeoff phase)</t>
  </si>
  <si>
    <t xml:space="preserve">Latest BID submitted</t>
  </si>
  <si>
    <t xml:space="preserve">$3,042,140 (Dec 4 2025 · 147u)</t>
  </si>
  <si>
    <t xml:space="preserve">AR Billed to date</t>
  </si>
  <si>
    <t xml:space="preserve">$49,275 (takeoff phase)</t>
  </si>
  <si>
    <t xml:space="preserve">Direct Cost (sunk)</t>
  </si>
  <si>
    <t xml:space="preserve">$45,727</t>
  </si>
  <si>
    <t xml:space="preserve">Net Profit (takeoff)</t>
  </si>
  <si>
    <t xml:space="preserve">$3,548 (7.2% margin)</t>
  </si>
  <si>
    <t xml:space="preserve">Active Crew</t>
  </si>
  <si>
    <t xml:space="preserve">3 OWP estimating leads (Gerard family + Joseph Barnhart) · 152 hrs</t>
  </si>
  <si>
    <t xml:space="preserve">JOB #2106 · CHINN 6220 ROOSEVELT · KEY PLAYERS &amp; METADATA</t>
  </si>
  <si>
    <t xml:space="preserve">Pre-construction · early takeoff phase. Sage shows $49,275 billed against $45,727 sunk design+takeoff cost ($3,548 carrying margin so far). Subcontract not yet executed — final BID submitted Dec 4 2025 to Chinn for $3,042,140 (147 units). Target field start Jul 2026. Tri-State Plumbing also bidding per Master List notes.</t>
  </si>
  <si>
    <t xml:space="preserve">IDENTITY</t>
  </si>
  <si>
    <t xml:space="preserve">Job Number</t>
  </si>
  <si>
    <t xml:space="preserve">2106</t>
  </si>
  <si>
    <t xml:space="preserve">Job Name</t>
  </si>
  <si>
    <t xml:space="preserve">Chinn 6220 Roosevelt</t>
  </si>
  <si>
    <t xml:space="preserve">Project Type</t>
  </si>
  <si>
    <t xml:space="preserve">146-unit (147 in latest bid) multifamily · Roosevelt neighborhood Seattle</t>
  </si>
  <si>
    <t xml:space="preserve">Permit</t>
  </si>
  <si>
    <t xml:space="preserve">Pre-permit (no permit applied for yet)</t>
  </si>
  <si>
    <t xml:space="preserve">Scope of Work</t>
  </si>
  <si>
    <t xml:space="preserve">Design Build Plumbing Systems (typical Chinn engagement pattern)</t>
  </si>
  <si>
    <t xml:space="preserve">SCHEDULE</t>
  </si>
  <si>
    <t xml:space="preserve">Project Start</t>
  </si>
  <si>
    <t xml:space="preserve">Jul 2026 (target)</t>
  </si>
  <si>
    <t xml:space="preserve">Expected End</t>
  </si>
  <si>
    <t xml:space="preserve">Q3 2028 (estimated)</t>
  </si>
  <si>
    <t xml:space="preserve">Duration (est.)</t>
  </si>
  <si>
    <t xml:space="preserve">24 months</t>
  </si>
  <si>
    <t xml:space="preserve">Schedule Note</t>
  </si>
  <si>
    <t xml:space="preserve">Pre-construction · target field start Jul 2026 · ~24 months to TCO (Q3 2028 expected)</t>
  </si>
  <si>
    <t xml:space="preserve">Subcontract Execution</t>
  </si>
  <si>
    <t xml:space="preserve">Pending — target Jul 2026</t>
  </si>
  <si>
    <t xml:space="preserve">FINANCIAL POSTURE (PRE-CONSTRUCTION · TAKEOFF PHASE)</t>
  </si>
  <si>
    <t xml:space="preserve">Original Contract</t>
  </si>
  <si>
    <t xml:space="preserve">Not yet executed</t>
  </si>
  <si>
    <t xml:space="preserve">$3,042,140 (Dec 4 2025 · 147 units)</t>
  </si>
  <si>
    <t xml:space="preserve">AR Billed to Date</t>
  </si>
  <si>
    <t xml:space="preserve">$49,275 (4 progress billings · takeoff phase)</t>
  </si>
  <si>
    <t xml:space="preserve">Net Profit (takeoff phase)</t>
  </si>
  <si>
    <t xml:space="preserve">Retainage</t>
  </si>
  <si>
    <t xml:space="preserve">$0 (no field billing yet)</t>
  </si>
  <si>
    <t xml:space="preserve">Lien Position</t>
  </si>
  <si>
    <t xml:space="preserve">Standard subcontract — pending execution</t>
  </si>
  <si>
    <t xml:space="preserve">Warranty</t>
  </si>
  <si>
    <t xml:space="preserve">1-yr standard plumbing (post-completion)</t>
  </si>
  <si>
    <t xml:space="preserve">Contract on File</t>
  </si>
  <si>
    <t xml:space="preserve">Subcontract NOT yet executed — final BID submitted Dec 4 2025 ($3,042,140 / 147u)</t>
  </si>
  <si>
    <t xml:space="preserve">SCOPE</t>
  </si>
  <si>
    <t xml:space="preserve">Plumbing Units</t>
  </si>
  <si>
    <t xml:space="preserve">146 units (current data.json) · 147 units (latest BID Dec 2025) ⚠ scope evolved</t>
  </si>
  <si>
    <t xml:space="preserve">Total Fixtures</t>
  </si>
  <si>
    <t xml:space="preserve">TBD (no fixture schedule yet — pre-design-development)</t>
  </si>
  <si>
    <t xml:space="preserve">Floors</t>
  </si>
  <si>
    <t xml:space="preserve">TBD</t>
  </si>
  <si>
    <t xml:space="preserve">Fixture Counts</t>
  </si>
  <si>
    <t xml:space="preserve">PROJECT TEAM — GENERAL CONTRACTOR (Chinn)</t>
  </si>
  <si>
    <t xml:space="preserve">GC Project Manager</t>
  </si>
  <si>
    <t xml:space="preserve">TBD (Chinn) — primary contact pending subcontract execution</t>
  </si>
  <si>
    <t xml:space="preserve">GC Superintendent</t>
  </si>
  <si>
    <t xml:space="preserve">GC Project Engineer</t>
  </si>
  <si>
    <t xml:space="preserve">Chinn engagement count</t>
  </si>
  <si>
    <t xml:space="preserve">OWP's 8th Chinn engagement (after #2009 Greenwood, #2010 Old Town, #2011 Phinney Ridge, #2023 Legacy Apts, #2041 Luna California Ave, #2070 Beacon Crossing, #2071 1405 Dexter, #2096 Sundowner). Strong recurring relationship.</t>
  </si>
  <si>
    <t xml:space="preserve">PROJECT TEAM — OWP STAFF</t>
  </si>
  <si>
    <t xml:space="preserve">OWP Roughin Foreman</t>
  </si>
  <si>
    <t xml:space="preserve">TBD · pre-construction (target start Jul 2026)</t>
  </si>
  <si>
    <t xml:space="preserve">OWP Trim Foreman</t>
  </si>
  <si>
    <t xml:space="preserve">OWP Estimator (takeoff)</t>
  </si>
  <si>
    <t xml:space="preserve">PROJECT TEAM — OWNER &amp; DEVELOPMENT</t>
  </si>
  <si>
    <t xml:space="preserve">Owner of Record</t>
  </si>
  <si>
    <t xml:space="preserve">Developer</t>
  </si>
  <si>
    <t xml:space="preserve">Phoenix Property Co</t>
  </si>
  <si>
    <t xml:space="preserve">PROJECT TEAM — DESIGN</t>
  </si>
  <si>
    <t xml:space="preserve">Structural Engineer</t>
  </si>
  <si>
    <t xml:space="preserve">Civil Engineer</t>
  </si>
  <si>
    <t xml:space="preserve">Landscape Architect</t>
  </si>
  <si>
    <t xml:space="preserve">BID HISTORY (from OWP Master Project List)</t>
  </si>
  <si>
    <t xml:space="preserve">Bid Date</t>
  </si>
  <si>
    <t xml:space="preserve">Type</t>
  </si>
  <si>
    <t xml:space="preserve">GC</t>
  </si>
  <si>
    <t xml:space="preserve">Units</t>
  </si>
  <si>
    <t xml:space="preserve">Price</t>
  </si>
  <si>
    <t xml:space="preserve">Note</t>
  </si>
  <si>
    <t xml:space="preserve">2024-08-08</t>
  </si>
  <si>
    <t xml:space="preserve">BUDGET</t>
  </si>
  <si>
    <t xml:space="preserve">Exxel Pacific</t>
  </si>
  <si>
    <t xml:space="preserve">$2,800,000</t>
  </si>
  <si>
    <t xml:space="preserve">Original Exxel budget bid</t>
  </si>
  <si>
    <t xml:space="preserve">Compass</t>
  </si>
  <si>
    <t xml:space="preserve">Compass also bid same date</t>
  </si>
  <si>
    <t xml:space="preserve">2024-08-16</t>
  </si>
  <si>
    <t xml:space="preserve">Chinn</t>
  </si>
  <si>
    <t xml:space="preserve">Chinn enters · matches base budget</t>
  </si>
  <si>
    <t xml:space="preserve">2024-12-11</t>
  </si>
  <si>
    <t xml:space="preserve">$2,988,000</t>
  </si>
  <si>
    <t xml:space="preserve">Unit count grew by 1 · price up to $2.99M</t>
  </si>
  <si>
    <t xml:space="preserve">2025-02-24</t>
  </si>
  <si>
    <t xml:space="preserve">$2,937,000</t>
  </si>
  <si>
    <t xml:space="preserve">Re-bid · price came down 1.7%</t>
  </si>
  <si>
    <t xml:space="preserve">2025-05-06</t>
  </si>
  <si>
    <t xml:space="preserve">$2,968,000</t>
  </si>
  <si>
    <t xml:space="preserve">Re-bid · price up 1.0%</t>
  </si>
  <si>
    <t xml:space="preserve">2025-12-04</t>
  </si>
  <si>
    <t xml:space="preserve">BID</t>
  </si>
  <si>
    <t xml:space="preserve">$3,042,140</t>
  </si>
  <si>
    <t xml:space="preserve">FINAL BID · $3.04M · Tri-State also bidding</t>
  </si>
  <si>
    <t xml:space="preserve">AP VENDOR PROFILE (CURRENT — TAKEOFF PHASE)</t>
  </si>
  <si>
    <t xml:space="preserve">Top Vendor</t>
  </si>
  <si>
    <t xml:space="preserve">Robison Engineering, Inc. ($30,200 / 3 invoices / 100% of AP)</t>
  </si>
  <si>
    <t xml:space="preserve">Total AP Spend</t>
  </si>
  <si>
    <t xml:space="preserve">$30,200</t>
  </si>
  <si>
    <t xml:space="preserve">Active Vendors</t>
  </si>
  <si>
    <t xml:space="preserve">1 unique vendor (Robison Engineering only — typical for design-build takeoff phase)</t>
  </si>
  <si>
    <t xml:space="preserve">Concentration Note</t>
  </si>
  <si>
    <t xml:space="preserve">Single-vendor (100%) is normal for early design phase. Will diversify when field phase begins (Ferguson, Keller, Rosen, etc. typical for Chinn jobs based on closed-portfolio data).</t>
  </si>
  <si>
    <t xml:space="preserve">DOCUMENT META (current)</t>
  </si>
  <si>
    <t xml:space="preserve">Pay Apps (filed)</t>
  </si>
  <si>
    <t xml:space="preserve">4 progress billings (parsed from JDR AR)</t>
  </si>
  <si>
    <t xml:space="preserve">Executed COs</t>
  </si>
  <si>
    <t xml:space="preserve">0 (subcontract pending)</t>
  </si>
  <si>
    <t xml:space="preserve">CORs</t>
  </si>
  <si>
    <t xml:space="preserve">0</t>
  </si>
  <si>
    <t xml:space="preserve">RFIs</t>
  </si>
  <si>
    <t xml:space="preserve">Submittals</t>
  </si>
  <si>
    <t xml:space="preserve">0 (pre-construction)</t>
  </si>
  <si>
    <t xml:space="preserve">POs</t>
  </si>
  <si>
    <t xml:space="preserve">Permit Count</t>
  </si>
  <si>
    <t xml:space="preserve">0 (pre-permit)</t>
  </si>
  <si>
    <t xml:space="preserve">Notes</t>
  </si>
  <si>
    <t xml:space="preserve">Project hasn't reached document-generation phase. Only the OWP estimating team + Robison Engineering have touched the file (takeoff + design coordination).</t>
  </si>
  <si>
    <t xml:space="preserve">DATA SOURCES</t>
  </si>
  <si>
    <t xml:space="preserve">JDR PDF</t>
  </si>
  <si>
    <t xml:space="preserve">2106 Job Detail Report (Sage Timberline · Apr 3 2026 run)</t>
  </si>
  <si>
    <t xml:space="preserve">Parsed Data</t>
  </si>
  <si>
    <t xml:space="preserve">2106_data.json (6 cost codes, 298 line items, 3 workers)</t>
  </si>
  <si>
    <t xml:space="preserve">Dashboard Arrays</t>
  </si>
  <si>
    <t xml:space="preserve">2106_dashboard_arrays.json (16 arrays)</t>
  </si>
  <si>
    <t xml:space="preserve">Master Project List</t>
  </si>
  <si>
    <t xml:space="preserve">OWP Project List with Schedule - UPDATED 04-01-26.xlsx (Schedule r102, Projects Bid r319-404 = 7-bid history)</t>
  </si>
  <si>
    <t xml:space="preserve">GDrive Folder</t>
  </si>
  <si>
    <t xml:space="preserve">Not yet created</t>
  </si>
  <si>
    <t xml:space="preserve">GDrive Status</t>
  </si>
  <si>
    <t xml:space="preserve">No GDrive Job Book folder created yet (project hasn't reached active stage). All team data sourced from OWP Master Project List + JDR identity + AP vendor scan.</t>
  </si>
  <si>
    <t xml:space="preserve">RISK FLAGS / WATCH ITEMS</t>
  </si>
  <si>
    <t xml:space="preserve">Subcontract not yet executed</t>
  </si>
  <si>
    <t xml:space="preserve">OWP has $45.7k of sunk design+takeoff cost. Final BID submitted Dec 2025; await Chinn award decision. If Chinn picks Tri-State, OWP has to absorb the $45.7k or write off.</t>
  </si>
  <si>
    <t xml:space="preserve">Tri-State competition flag</t>
  </si>
  <si>
    <t xml:space="preserve">Master List notes (Dec 2025): 'I've heard that Tri-State is bidding'. Chinn award decision pending.</t>
  </si>
  <si>
    <t xml:space="preserve">Bid drift (146 → 147 units)</t>
  </si>
  <si>
    <t xml:space="preserve">Project added 1 unit between Aug 2024 (146u @ $2.8M) and Dec 2024 (147u @ $2.99M). Final BID Dec 2025 = 147u @ $3.04M. data.json still reflects 146 — will update at subcontract execution.</t>
  </si>
  <si>
    <t xml:space="preserve">Robison Engineering relationship</t>
  </si>
  <si>
    <t xml:space="preserve">OWP's 3rd-party plumbing design-build engineer (vs Franklin on most other jobs). Same engineer as #2118 Edmonds Behar and #2114 Holland Ballard Blossom — a recurring 3rd-party design partnership.</t>
  </si>
  <si>
    <t xml:space="preserve">Chinn closed-job track record</t>
  </si>
  <si>
    <t xml:space="preserve">Chinn = 7 closed jobs in OWP closed portfolio with strong margin profiles (#2009/2010/2011 Greenwood/Old Town/Phinney Ridge averaged 30-40% margins). Likelihood of award = HIGH if pricing is competitive.</t>
  </si>
  <si>
    <t xml:space="preserve">Contract Summary</t>
  </si>
  <si>
    <t xml:space="preserve">Item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</si>
  <si>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</si>
  <si>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</si>
  <si>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</si>
  <si>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</si>
  <si>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</si>
  <si>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</si>
  <si>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</si>
  <si>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</si>
  <si>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</si>
  <si>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</si>
  <si>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Schedule of Values / Pay Application History</t>
  </si>
  <si>
    <t xml:space="preserve">Pay App</t>
  </si>
  <si>
    <t xml:space="preserve">Period End</t>
  </si>
  <si>
    <t xml:space="preserve">This Period</t>
  </si>
  <si>
    <t xml:space="preserve">Completed to Date</t>
  </si>
  <si>
    <t xml:space="preserve">Retention Held</t>
  </si>
  <si>
    <t xml:space="preserve">Previous Billed</t>
  </si>
  <si>
    <t xml:space="preserve">Current Balance</t>
  </si>
  <si>
    <t xml:space="preserve">Change Order Log</t>
  </si>
  <si>
    <t xml:space="preserve">#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</si>
  <si>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</si>
  <si>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</si>
  <si>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</si>
  <si>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</si>
  <si>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</si>
  <si>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</si>
  <si>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</si>
  <si>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</si>
  <si>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</si>
  <si>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</si>
  <si>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601</t>
  </si>
  <si>
    <t xml:space="preserve">Engineering/Plans</t>
  </si>
  <si>
    <t xml:space="preserve">995</t>
  </si>
  <si>
    <t xml:space="preserve">Payroll Burden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</si>
  <si>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</si>
  <si>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</si>
  <si>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</si>
  <si>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</si>
  <si>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</si>
  <si>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</si>
  <si>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</si>
  <si>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</si>
  <si>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</si>
  <si>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</si>
  <si>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</si>
  <si>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</si>
  <si>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</si>
  <si>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</si>
  <si>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</si>
  <si>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</si>
  <si>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</si>
  <si>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</si>
  <si>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</si>
  <si>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Robison Engineering, Inc.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</si>
  <si>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</si>
  <si>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</si>
  <si>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</si>
  <si>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</si>
  <si>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</si>
  <si>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</si>
  <si>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</si>
  <si>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Gerard, Jeffrey S</t>
  </si>
  <si>
    <t xml:space="preserve">LEAD/SUPERVISOR</t>
  </si>
  <si>
    <t xml:space="preserve">Gerard, Jordan E</t>
  </si>
  <si>
    <t xml:space="preserve">Barnhart, Joseph N</t>
  </si>
  <si>
    <t xml:space="preserve">Wage Tier Distribution</t>
  </si>
  <si>
    <t xml:space="preserve"># Workers</t>
  </si>
  <si>
    <t xml:space="preserve">% of Hours</t>
  </si>
  <si>
    <t xml:space="preserve">JOURNEYMAN</t>
  </si>
  <si>
    <t xml:space="preserve">APPRENTICE/HELPER</t>
  </si>
  <si>
    <t xml:space="preserve">OT-ONLY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</si>
  <si>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</si>
  <si>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</si>
  <si>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</si>
  <si>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</si>
  <si>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</si>
  <si>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</si>
  <si>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</si>
  <si>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</si>
  <si>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</si>
  <si>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</si>
  <si>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</si>
  <si>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</si>
  <si>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</si>
  <si>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(pre-construction project)</t>
  </si>
  <si>
    <t xml:space="preserve">Signal</t>
  </si>
  <si>
    <t xml:space="preserve">Engineering/Plans (601) unbudgeted</t>
  </si>
  <si>
    <t xml:space="preserve">⚠ WATCH</t>
  </si>
  <si>
    <t xml:space="preserve">No revised budget but $30,200 actual spend — needs CO or budget transfer</t>
  </si>
  <si>
    <t xml:space="preserve">Top vendor concentration (Robison Engineering,)</t>
  </si>
  <si>
    <t xml:space="preserve">100% of AP ($30,200) — high, monitor</t>
  </si>
  <si>
    <t xml:space="preserve">Retention aging</t>
  </si>
  <si>
    <t xml:space="preserve">✓ OK</t>
  </si>
  <si>
    <t xml:space="preserve">$0 held · 0.0% of billed · standard range</t>
  </si>
  <si>
    <t xml:space="preserve">0.0% forecast margin — monitor</t>
  </si>
  <si>
    <t xml:space="preserve">JDR Reconciliation</t>
  </si>
  <si>
    <t xml:space="preserve">Reported</t>
  </si>
  <si>
    <t xml:space="preserve">Calculated</t>
  </si>
  <si>
    <t xml:space="preserve">Total expenses (from code totals)</t>
  </si>
  <si>
    <t xml:space="preserve">Revenue billed (AR ·-1)</t>
  </si>
  <si>
    <t xml:space="preserve">AP source total</t>
  </si>
  <si>
    <t xml:space="preserve">PR source total</t>
  </si>
  <si>
    <t xml:space="preserve">GL source total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</si>
  <si>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</si>
  <si>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</si>
  <si>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</si>
  <si>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</si>
  <si>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</si>
  <si>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</si>
  <si>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</si>
  <si>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</si>
  <si>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</si>
  <si>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</si>
  <si>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</si>
  <si>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</si>
  <si>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</si>
  <si>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</si>
  <si>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</si>
  <si>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</si>
  <si>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</si>
  <si>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Date</t>
  </si>
  <si>
    <t xml:space="preserve">Version</t>
  </si>
  <si>
    <t xml:space="preserve">2026-04-24</t>
  </si>
  <si>
    <t xml:space="preserve">v1.0 · pre-construction</t>
  </si>
  <si>
    <t xml:space="preserve">Initial build for #2106 pre-construction project. 17-tab JCR schema on revised budget basis.</t>
  </si>
  <si>
    <t xml:space="preserve">2026-04-27</t>
  </si>
  <si>
    <t xml:space="preserve">v1.1 · enriched</t>
  </si>
  <si>
    <t xml:space="preserve">Enriched Job Info tab with 12-section sectioned layout (identity / schedule / financial posture / scope / project team — 4 sub-sections / bid history (7 entries) / AP vendor profile / document meta / data sources / risk flags). Added Project Team block to Overview. Sourced from OWP Master Project List (Schedule r102 + Projects Bid 7-bid history) + Sage JDR identity + AP vendor scan. No GDrive Job Book yet — will be created at subcontract execution (target Jul 2026).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</si>
</sst>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4"/>
      <color rgb="FF1F1F1F"/>
      <name val="Arial"/>
      <family val="0"/>
      <charset val="1"/>
    </font>
    <font>
      <b val="true"/>
      <sz val="10"/>
      <color rgb="FF2C2B2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C2B29"/>
        <bgColor rgb="FF1F1F1F"/>
      </patternFill>
    </fill>
    <fill>
      <patternFill patternType="solid">
        <fgColor rgb="FFECF0F1"/>
        <bgColor rgb="FFFFF8E7"/>
      </patternFill>
    </fill>
    <fill>
      <patternFill patternType="solid">
        <fgColor rgb="FF2C3E50"/>
        <bgColor rgb="FF2C2B29"/>
      </patternFill>
    </fill>
    <fill>
      <patternFill patternType="solid">
        <fgColor rgb="FFFFF8E7"/>
        <bgColor rgb="FFFFFFFF"/>
      </patternFill>
    </fill>
    <fill>
      <patternFill patternType="solid">
        <fgColor rgb="FFD4EDDA"/>
        <bgColor rgb="FFD5DEC5"/>
      </patternFill>
    </fill>
    <fill>
      <patternFill patternType="solid">
        <fgColor rgb="FFE8CEC3"/>
        <bgColor rgb="FFD5D8DC"/>
      </patternFill>
    </fill>
    <fill>
      <patternFill patternType="solid">
        <fgColor rgb="FFD5DEC5"/>
        <bgColor rgb="FFD5D8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70655C"/>
      <rgbColor rgb="FF9999FF"/>
      <rgbColor rgb="FF993366"/>
      <rgbColor rgb="FFFFF8E7"/>
      <rgbColor rgb="FFECF0F1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DEC5"/>
      <rgbColor rgb="FFD4EDDA"/>
      <rgbColor rgb="FFFFFF99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2C3E50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</v>
      </c>
    </row>
    <row r="6" customFormat="false" ht="15" hidden="false" customHeight="false" outlineLevel="0" collapsed="false">
      <c r="A6" s="4" t="s">
        <v>4</v>
      </c>
      <c r="B6" s="5" t="n">
        <v>0</v>
      </c>
    </row>
    <row r="7" customFormat="false" ht="15" hidden="false" customHeight="false" outlineLevel="0" collapsed="false">
      <c r="A7" s="4" t="s">
        <v>5</v>
      </c>
      <c r="B7" s="6" t="n">
        <f aca="false">B5-B6</f>
        <v>0</v>
      </c>
    </row>
    <row r="8" customFormat="false" ht="15" hidden="false" customHeight="false" outlineLevel="0" collapsed="false">
      <c r="A8" s="4" t="s">
        <v>6</v>
      </c>
      <c r="B8" s="7" t="n">
        <f aca="false">IFERROR(B7/B5,0)</f>
        <v>0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  <c r="B11" s="5" t="n">
        <v>49275</v>
      </c>
    </row>
    <row r="12" customFormat="false" ht="15" hidden="false" customHeight="false" outlineLevel="0" collapsed="false">
      <c r="A12" s="4" t="s">
        <v>9</v>
      </c>
      <c r="B12" s="5" t="n">
        <v>0</v>
      </c>
    </row>
    <row r="13" customFormat="false" ht="15" hidden="false" customHeight="false" outlineLevel="0" collapsed="false">
      <c r="A13" s="4" t="s">
        <v>10</v>
      </c>
      <c r="B13" s="6" t="n">
        <f aca="false">B11-B12</f>
        <v>49275</v>
      </c>
    </row>
    <row r="14" customFormat="false" ht="15" hidden="false" customHeight="false" outlineLevel="0" collapsed="false">
      <c r="A14" s="4" t="s">
        <v>11</v>
      </c>
      <c r="B14" s="6" t="n">
        <f aca="false">B5-B11</f>
        <v>-49275</v>
      </c>
    </row>
    <row r="15" customFormat="false" ht="15" hidden="false" customHeight="false" outlineLevel="0" collapsed="false">
      <c r="A15" s="4" t="s">
        <v>12</v>
      </c>
      <c r="B15" s="7" t="n">
        <f aca="false">IFERROR(B11/B5,0)</f>
        <v>0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8" t="s">
        <v>14</v>
      </c>
      <c r="B18" s="8" t="s">
        <v>15</v>
      </c>
    </row>
    <row r="19" customFormat="false" ht="15" hidden="false" customHeight="false" outlineLevel="0" collapsed="false">
      <c r="A19" s="4" t="s">
        <v>16</v>
      </c>
      <c r="B19" s="9" t="n">
        <v>0</v>
      </c>
    </row>
    <row r="20" customFormat="false" ht="15" hidden="false" customHeight="false" outlineLevel="0" collapsed="false">
      <c r="A20" s="4" t="s">
        <v>17</v>
      </c>
      <c r="B20" s="9" t="n">
        <v>30200</v>
      </c>
    </row>
    <row r="21" customFormat="false" ht="15" hidden="false" customHeight="false" outlineLevel="0" collapsed="false">
      <c r="A21" s="4" t="s">
        <v>18</v>
      </c>
      <c r="B21" s="9" t="n">
        <v>15526.76</v>
      </c>
    </row>
    <row r="22" customFormat="false" ht="15" hidden="false" customHeight="false" outlineLevel="0" collapsed="false">
      <c r="A22" s="4" t="s">
        <v>19</v>
      </c>
      <c r="B22" s="9" t="n">
        <v>-49275</v>
      </c>
    </row>
    <row r="30" customFormat="false" ht="15" hidden="false" customHeight="false" outlineLevel="0" collapsed="false">
      <c r="A30" s="10" t="s">
        <v>20</v>
      </c>
      <c r="B30" s="10"/>
      <c r="C30" s="10"/>
      <c r="D30" s="10"/>
      <c r="E30" s="10"/>
      <c r="F30" s="10"/>
      <c r="G30" s="10"/>
      <c r="H30" s="11"/>
    </row>
    <row r="31" customFormat="false" ht="15" hidden="false" customHeight="false" outlineLevel="0" collapsed="false">
      <c r="A31" s="12" t="s">
        <v>21</v>
      </c>
      <c r="B31" s="12"/>
      <c r="C31" s="12"/>
      <c r="D31" s="12"/>
      <c r="E31" s="12"/>
      <c r="F31" s="12"/>
      <c r="G31" s="12"/>
      <c r="H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</row>
    <row r="33" customFormat="false" ht="15" hidden="false" customHeight="false" outlineLevel="0" collapsed="false">
      <c r="A33" s="13" t="s">
        <v>22</v>
      </c>
      <c r="B33" s="13" t="s">
        <v>23</v>
      </c>
      <c r="C33" s="11"/>
      <c r="D33" s="11"/>
      <c r="E33" s="11"/>
      <c r="F33" s="11"/>
      <c r="G33" s="11"/>
      <c r="H33" s="11"/>
    </row>
    <row r="34" customFormat="false" ht="23.85" hidden="false" customHeight="false" outlineLevel="0" collapsed="false">
      <c r="A34" s="14" t="s">
        <v>24</v>
      </c>
      <c r="B34" s="15" t="s">
        <v>25</v>
      </c>
      <c r="C34" s="11"/>
      <c r="D34" s="11"/>
      <c r="E34" s="11"/>
      <c r="F34" s="11"/>
      <c r="G34" s="11"/>
      <c r="H34" s="11"/>
    </row>
    <row r="35" customFormat="false" ht="35.05" hidden="false" customHeight="false" outlineLevel="0" collapsed="false">
      <c r="A35" s="14" t="s">
        <v>26</v>
      </c>
      <c r="B35" s="15" t="s">
        <v>27</v>
      </c>
      <c r="C35" s="11"/>
      <c r="D35" s="11"/>
      <c r="E35" s="11"/>
      <c r="F35" s="11"/>
      <c r="G35" s="11"/>
      <c r="H35" s="11"/>
    </row>
    <row r="36" customFormat="false" ht="15" hidden="false" customHeight="false" outlineLevel="0" collapsed="false">
      <c r="A36" s="14" t="s">
        <v>28</v>
      </c>
      <c r="B36" s="15" t="s">
        <v>29</v>
      </c>
      <c r="C36" s="11"/>
      <c r="D36" s="11"/>
      <c r="E36" s="11"/>
      <c r="F36" s="11"/>
      <c r="G36" s="11"/>
      <c r="H36" s="11"/>
    </row>
    <row r="37" customFormat="false" ht="102.2" hidden="false" customHeight="false" outlineLevel="0" collapsed="false">
      <c r="A37" s="14" t="s">
        <v>30</v>
      </c>
      <c r="B37" s="15" t="s">
        <v>31</v>
      </c>
      <c r="C37" s="11"/>
      <c r="D37" s="11"/>
      <c r="E37" s="11"/>
      <c r="F37" s="11"/>
      <c r="G37" s="11"/>
      <c r="H37" s="11"/>
    </row>
    <row r="38" customFormat="false" ht="46.25" hidden="false" customHeight="false" outlineLevel="0" collapsed="false">
      <c r="A38" s="14" t="s">
        <v>32</v>
      </c>
      <c r="B38" s="15" t="s">
        <v>33</v>
      </c>
      <c r="C38" s="11"/>
      <c r="D38" s="11"/>
      <c r="E38" s="11"/>
      <c r="F38" s="11"/>
      <c r="G38" s="11"/>
      <c r="H38" s="11"/>
    </row>
    <row r="39" customFormat="false" ht="15" hidden="false" customHeight="false" outlineLevel="0" collapsed="false">
      <c r="A39" s="14" t="s">
        <v>34</v>
      </c>
      <c r="B39" s="15" t="s">
        <v>35</v>
      </c>
      <c r="C39" s="11"/>
      <c r="D39" s="11"/>
      <c r="E39" s="11"/>
      <c r="F39" s="11"/>
      <c r="G39" s="11"/>
      <c r="H39" s="11"/>
    </row>
    <row r="40" customFormat="false" ht="46.25" hidden="false" customHeight="false" outlineLevel="0" collapsed="false">
      <c r="A40" s="14" t="s">
        <v>36</v>
      </c>
      <c r="B40" s="15" t="s">
        <v>37</v>
      </c>
      <c r="C40" s="11"/>
      <c r="D40" s="11"/>
      <c r="E40" s="11"/>
      <c r="F40" s="11"/>
      <c r="G40" s="11"/>
      <c r="H40" s="11"/>
    </row>
    <row r="41" customFormat="false" ht="35.05" hidden="false" customHeight="false" outlineLevel="0" collapsed="false">
      <c r="A41" s="14" t="s">
        <v>38</v>
      </c>
      <c r="B41" s="15" t="s">
        <v>39</v>
      </c>
      <c r="C41" s="11"/>
      <c r="D41" s="11"/>
      <c r="E41" s="11"/>
      <c r="F41" s="11"/>
      <c r="G41" s="11"/>
      <c r="H41" s="11"/>
    </row>
    <row r="42" customFormat="false" ht="35.05" hidden="false" customHeight="false" outlineLevel="0" collapsed="false">
      <c r="A42" s="14" t="s">
        <v>40</v>
      </c>
      <c r="B42" s="15" t="s">
        <v>41</v>
      </c>
      <c r="C42" s="11"/>
      <c r="D42" s="11"/>
      <c r="E42" s="11"/>
      <c r="F42" s="11"/>
      <c r="G42" s="11"/>
      <c r="H42" s="11"/>
    </row>
    <row r="43" customFormat="false" ht="23.85" hidden="false" customHeight="false" outlineLevel="0" collapsed="false">
      <c r="A43" s="14" t="s">
        <v>42</v>
      </c>
      <c r="B43" s="15" t="s">
        <v>43</v>
      </c>
      <c r="C43" s="11"/>
      <c r="D43" s="11"/>
      <c r="E43" s="11"/>
      <c r="F43" s="11"/>
      <c r="G43" s="11"/>
      <c r="H43" s="11"/>
    </row>
    <row r="44" customFormat="false" ht="23.85" hidden="false" customHeight="false" outlineLevel="0" collapsed="false">
      <c r="A44" s="14" t="s">
        <v>44</v>
      </c>
      <c r="B44" s="15" t="s">
        <v>45</v>
      </c>
      <c r="C44" s="11"/>
      <c r="D44" s="11"/>
      <c r="E44" s="11"/>
      <c r="F44" s="11"/>
      <c r="G44" s="11"/>
      <c r="H44" s="11"/>
    </row>
    <row r="45" customFormat="false" ht="15" hidden="false" customHeight="false" outlineLevel="0" collapsed="false">
      <c r="A45" s="14" t="s">
        <v>46</v>
      </c>
      <c r="B45" s="15" t="s">
        <v>47</v>
      </c>
      <c r="C45" s="11"/>
      <c r="D45" s="11"/>
      <c r="E45" s="11"/>
      <c r="F45" s="11"/>
      <c r="G45" s="11"/>
      <c r="H45" s="11"/>
    </row>
    <row r="46" customFormat="false" ht="15" hidden="false" customHeight="false" outlineLevel="0" collapsed="false">
      <c r="A46" s="14" t="s">
        <v>48</v>
      </c>
      <c r="B46" s="15" t="s">
        <v>49</v>
      </c>
      <c r="C46" s="11"/>
      <c r="D46" s="11"/>
      <c r="E46" s="11"/>
      <c r="F46" s="11"/>
      <c r="G46" s="11"/>
      <c r="H46" s="11"/>
    </row>
    <row r="47" customFormat="false" ht="46.25" hidden="false" customHeight="false" outlineLevel="0" collapsed="false">
      <c r="A47" s="14" t="s">
        <v>50</v>
      </c>
      <c r="B47" s="15" t="s">
        <v>51</v>
      </c>
      <c r="C47" s="11"/>
      <c r="D47" s="11"/>
      <c r="E47" s="11"/>
      <c r="F47" s="11"/>
      <c r="G47" s="11"/>
      <c r="H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</row>
  </sheetData>
  <mergeCells count="2">
    <mergeCell ref="A30:G30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6" t="s">
        <v>52</v>
      </c>
      <c r="B1" s="16"/>
      <c r="C1" s="16"/>
      <c r="D1" s="16"/>
      <c r="E1" s="16"/>
      <c r="F1" s="16"/>
    </row>
    <row r="2" customFormat="false" ht="15" hidden="false" customHeight="false" outlineLevel="0" collapsed="false">
      <c r="A2" s="12" t="s">
        <v>53</v>
      </c>
      <c r="B2" s="12"/>
      <c r="C2" s="12"/>
      <c r="D2" s="12"/>
      <c r="E2" s="12"/>
      <c r="F2" s="12"/>
    </row>
    <row r="3" customFormat="false" ht="15" hidden="false" customHeight="false" outlineLevel="0" collapsed="false">
      <c r="A3" s="17"/>
      <c r="B3" s="18"/>
      <c r="C3" s="11"/>
      <c r="D3" s="11"/>
      <c r="E3" s="11"/>
      <c r="F3" s="11"/>
    </row>
    <row r="4" customFormat="false" ht="15" hidden="false" customHeight="false" outlineLevel="0" collapsed="false">
      <c r="A4" s="19" t="s">
        <v>54</v>
      </c>
      <c r="B4" s="19"/>
      <c r="C4" s="19"/>
      <c r="D4" s="19"/>
      <c r="E4" s="19"/>
      <c r="F4" s="19"/>
    </row>
    <row r="5" customFormat="false" ht="15" hidden="false" customHeight="true" outlineLevel="0" collapsed="false">
      <c r="A5" s="20" t="s">
        <v>55</v>
      </c>
      <c r="B5" s="21" t="s">
        <v>56</v>
      </c>
      <c r="C5" s="21"/>
      <c r="D5" s="21"/>
      <c r="E5" s="21"/>
      <c r="F5" s="21"/>
    </row>
    <row r="6" customFormat="false" ht="15" hidden="false" customHeight="true" outlineLevel="0" collapsed="false">
      <c r="A6" s="20" t="s">
        <v>57</v>
      </c>
      <c r="B6" s="21" t="s">
        <v>58</v>
      </c>
      <c r="C6" s="21"/>
      <c r="D6" s="21"/>
      <c r="E6" s="21"/>
      <c r="F6" s="21"/>
    </row>
    <row r="7" customFormat="false" ht="15" hidden="false" customHeight="true" outlineLevel="0" collapsed="false">
      <c r="A7" s="20" t="s">
        <v>59</v>
      </c>
      <c r="B7" s="21" t="s">
        <v>60</v>
      </c>
      <c r="C7" s="21"/>
      <c r="D7" s="21"/>
      <c r="E7" s="21"/>
      <c r="F7" s="21"/>
    </row>
    <row r="8" customFormat="false" ht="15" hidden="false" customHeight="true" outlineLevel="0" collapsed="false">
      <c r="A8" s="20" t="s">
        <v>36</v>
      </c>
      <c r="B8" s="21" t="s">
        <v>37</v>
      </c>
      <c r="C8" s="21"/>
      <c r="D8" s="21"/>
      <c r="E8" s="21"/>
      <c r="F8" s="21"/>
    </row>
    <row r="9" customFormat="false" ht="15" hidden="false" customHeight="true" outlineLevel="0" collapsed="false">
      <c r="A9" s="20" t="s">
        <v>61</v>
      </c>
      <c r="B9" s="21" t="s">
        <v>62</v>
      </c>
      <c r="C9" s="21"/>
      <c r="D9" s="21"/>
      <c r="E9" s="21"/>
      <c r="F9" s="21"/>
    </row>
    <row r="10" customFormat="false" ht="15" hidden="false" customHeight="true" outlineLevel="0" collapsed="false">
      <c r="A10" s="20" t="s">
        <v>40</v>
      </c>
      <c r="B10" s="21" t="s">
        <v>41</v>
      </c>
      <c r="C10" s="21"/>
      <c r="D10" s="21"/>
      <c r="E10" s="21"/>
      <c r="F10" s="21"/>
    </row>
    <row r="11" customFormat="false" ht="15" hidden="false" customHeight="true" outlineLevel="0" collapsed="false">
      <c r="A11" s="20" t="s">
        <v>63</v>
      </c>
      <c r="B11" s="21" t="s">
        <v>64</v>
      </c>
      <c r="C11" s="21"/>
      <c r="D11" s="21"/>
      <c r="E11" s="21"/>
      <c r="F11" s="21"/>
    </row>
    <row r="12" customFormat="false" ht="15" hidden="false" customHeight="false" outlineLevel="0" collapsed="false">
      <c r="A12" s="17"/>
      <c r="B12" s="18"/>
      <c r="C12" s="11"/>
      <c r="D12" s="11"/>
      <c r="E12" s="11"/>
      <c r="F12" s="11"/>
    </row>
    <row r="13" customFormat="false" ht="15" hidden="false" customHeight="false" outlineLevel="0" collapsed="false">
      <c r="A13" s="19" t="s">
        <v>65</v>
      </c>
      <c r="B13" s="19"/>
      <c r="C13" s="19"/>
      <c r="D13" s="19"/>
      <c r="E13" s="19"/>
      <c r="F13" s="19"/>
    </row>
    <row r="14" customFormat="false" ht="15" hidden="false" customHeight="true" outlineLevel="0" collapsed="false">
      <c r="A14" s="20" t="s">
        <v>66</v>
      </c>
      <c r="B14" s="21" t="s">
        <v>67</v>
      </c>
      <c r="C14" s="21"/>
      <c r="D14" s="21"/>
      <c r="E14" s="21"/>
      <c r="F14" s="21"/>
    </row>
    <row r="15" customFormat="false" ht="15" hidden="false" customHeight="true" outlineLevel="0" collapsed="false">
      <c r="A15" s="20" t="s">
        <v>68</v>
      </c>
      <c r="B15" s="21" t="s">
        <v>69</v>
      </c>
      <c r="C15" s="21"/>
      <c r="D15" s="21"/>
      <c r="E15" s="21"/>
      <c r="F15" s="21"/>
    </row>
    <row r="16" customFormat="false" ht="15" hidden="false" customHeight="true" outlineLevel="0" collapsed="false">
      <c r="A16" s="20" t="s">
        <v>70</v>
      </c>
      <c r="B16" s="21" t="s">
        <v>71</v>
      </c>
      <c r="C16" s="21"/>
      <c r="D16" s="21"/>
      <c r="E16" s="21"/>
      <c r="F16" s="21"/>
    </row>
    <row r="17" customFormat="false" ht="15" hidden="false" customHeight="true" outlineLevel="0" collapsed="false">
      <c r="A17" s="20" t="s">
        <v>72</v>
      </c>
      <c r="B17" s="21" t="s">
        <v>73</v>
      </c>
      <c r="C17" s="21"/>
      <c r="D17" s="21"/>
      <c r="E17" s="21"/>
      <c r="F17" s="21"/>
    </row>
    <row r="18" customFormat="false" ht="15" hidden="false" customHeight="true" outlineLevel="0" collapsed="false">
      <c r="A18" s="20" t="s">
        <v>74</v>
      </c>
      <c r="B18" s="21" t="s">
        <v>75</v>
      </c>
      <c r="C18" s="21"/>
      <c r="D18" s="21"/>
      <c r="E18" s="21"/>
      <c r="F18" s="2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19" t="s">
        <v>76</v>
      </c>
      <c r="B20" s="19"/>
      <c r="C20" s="19"/>
      <c r="D20" s="19"/>
      <c r="E20" s="19"/>
      <c r="F20" s="19"/>
    </row>
    <row r="21" customFormat="false" ht="15" hidden="false" customHeight="true" outlineLevel="0" collapsed="false">
      <c r="A21" s="20" t="s">
        <v>77</v>
      </c>
      <c r="B21" s="21" t="s">
        <v>78</v>
      </c>
      <c r="C21" s="21"/>
      <c r="D21" s="21"/>
      <c r="E21" s="21"/>
      <c r="F21" s="21"/>
    </row>
    <row r="22" customFormat="false" ht="15" hidden="false" customHeight="true" outlineLevel="0" collapsed="false">
      <c r="A22" s="20" t="s">
        <v>42</v>
      </c>
      <c r="B22" s="21" t="s">
        <v>79</v>
      </c>
      <c r="C22" s="21"/>
      <c r="D22" s="21"/>
      <c r="E22" s="21"/>
      <c r="F22" s="21"/>
    </row>
    <row r="23" customFormat="false" ht="15" hidden="false" customHeight="true" outlineLevel="0" collapsed="false">
      <c r="A23" s="20" t="s">
        <v>80</v>
      </c>
      <c r="B23" s="21" t="s">
        <v>81</v>
      </c>
      <c r="C23" s="21"/>
      <c r="D23" s="21"/>
      <c r="E23" s="21"/>
      <c r="F23" s="21"/>
    </row>
    <row r="24" customFormat="false" ht="15" hidden="false" customHeight="true" outlineLevel="0" collapsed="false">
      <c r="A24" s="20" t="s">
        <v>46</v>
      </c>
      <c r="B24" s="21" t="s">
        <v>47</v>
      </c>
      <c r="C24" s="21"/>
      <c r="D24" s="21"/>
      <c r="E24" s="21"/>
      <c r="F24" s="21"/>
    </row>
    <row r="25" customFormat="false" ht="15" hidden="false" customHeight="true" outlineLevel="0" collapsed="false">
      <c r="A25" s="20" t="s">
        <v>82</v>
      </c>
      <c r="B25" s="21" t="s">
        <v>49</v>
      </c>
      <c r="C25" s="21"/>
      <c r="D25" s="21"/>
      <c r="E25" s="21"/>
      <c r="F25" s="21"/>
    </row>
    <row r="26" customFormat="false" ht="15" hidden="false" customHeight="true" outlineLevel="0" collapsed="false">
      <c r="A26" s="20" t="s">
        <v>83</v>
      </c>
      <c r="B26" s="21" t="s">
        <v>84</v>
      </c>
      <c r="C26" s="21"/>
      <c r="D26" s="21"/>
      <c r="E26" s="21"/>
      <c r="F26" s="21"/>
    </row>
    <row r="27" customFormat="false" ht="15" hidden="false" customHeight="true" outlineLevel="0" collapsed="false">
      <c r="A27" s="20" t="s">
        <v>38</v>
      </c>
      <c r="B27" s="21" t="s">
        <v>39</v>
      </c>
      <c r="C27" s="21"/>
      <c r="D27" s="21"/>
      <c r="E27" s="21"/>
      <c r="F27" s="21"/>
    </row>
    <row r="28" customFormat="false" ht="15" hidden="false" customHeight="true" outlineLevel="0" collapsed="false">
      <c r="A28" s="20" t="s">
        <v>85</v>
      </c>
      <c r="B28" s="21" t="s">
        <v>86</v>
      </c>
      <c r="C28" s="21"/>
      <c r="D28" s="21"/>
      <c r="E28" s="21"/>
      <c r="F28" s="21"/>
    </row>
    <row r="29" customFormat="false" ht="15" hidden="false" customHeight="true" outlineLevel="0" collapsed="false">
      <c r="A29" s="20" t="s">
        <v>87</v>
      </c>
      <c r="B29" s="21" t="s">
        <v>88</v>
      </c>
      <c r="C29" s="21"/>
      <c r="D29" s="21"/>
      <c r="E29" s="21"/>
      <c r="F29" s="21"/>
    </row>
    <row r="30" customFormat="false" ht="15" hidden="false" customHeight="true" outlineLevel="0" collapsed="false">
      <c r="A30" s="20" t="s">
        <v>89</v>
      </c>
      <c r="B30" s="21" t="s">
        <v>90</v>
      </c>
      <c r="C30" s="21"/>
      <c r="D30" s="21"/>
      <c r="E30" s="21"/>
      <c r="F30" s="21"/>
    </row>
    <row r="32" customFormat="false" ht="15" hidden="false" customHeight="false" outlineLevel="0" collapsed="false">
      <c r="A32" s="19" t="s">
        <v>91</v>
      </c>
      <c r="B32" s="19"/>
      <c r="C32" s="19"/>
      <c r="D32" s="19"/>
      <c r="E32" s="19"/>
      <c r="F32" s="19"/>
    </row>
    <row r="33" customFormat="false" ht="15" hidden="false" customHeight="true" outlineLevel="0" collapsed="false">
      <c r="A33" s="20" t="s">
        <v>92</v>
      </c>
      <c r="B33" s="21" t="s">
        <v>93</v>
      </c>
      <c r="C33" s="21"/>
      <c r="D33" s="21"/>
      <c r="E33" s="21"/>
      <c r="F33" s="21"/>
    </row>
    <row r="34" customFormat="false" ht="15" hidden="false" customHeight="true" outlineLevel="0" collapsed="false">
      <c r="A34" s="20" t="s">
        <v>94</v>
      </c>
      <c r="B34" s="21" t="s">
        <v>95</v>
      </c>
      <c r="C34" s="21"/>
      <c r="D34" s="21"/>
      <c r="E34" s="21"/>
      <c r="F34" s="21"/>
    </row>
    <row r="35" customFormat="false" ht="15" hidden="false" customHeight="true" outlineLevel="0" collapsed="false">
      <c r="A35" s="20" t="s">
        <v>96</v>
      </c>
      <c r="B35" s="21" t="s">
        <v>97</v>
      </c>
      <c r="C35" s="21"/>
      <c r="D35" s="21"/>
      <c r="E35" s="21"/>
      <c r="F35" s="21"/>
    </row>
    <row r="36" customFormat="false" ht="15" hidden="false" customHeight="true" outlineLevel="0" collapsed="false">
      <c r="A36" s="20" t="s">
        <v>98</v>
      </c>
      <c r="B36" s="21" t="s">
        <v>97</v>
      </c>
      <c r="C36" s="21"/>
      <c r="D36" s="21"/>
      <c r="E36" s="21"/>
      <c r="F36" s="21"/>
    </row>
    <row r="38" customFormat="false" ht="15" hidden="false" customHeight="false" outlineLevel="0" collapsed="false">
      <c r="A38" s="19" t="s">
        <v>99</v>
      </c>
      <c r="B38" s="19"/>
      <c r="C38" s="19"/>
      <c r="D38" s="19"/>
      <c r="E38" s="19"/>
      <c r="F38" s="19"/>
    </row>
    <row r="39" customFormat="false" ht="15" hidden="false" customHeight="true" outlineLevel="0" collapsed="false">
      <c r="A39" s="14" t="s">
        <v>24</v>
      </c>
      <c r="B39" s="22" t="s">
        <v>25</v>
      </c>
      <c r="C39" s="22"/>
      <c r="D39" s="22"/>
      <c r="E39" s="22"/>
      <c r="F39" s="22"/>
    </row>
    <row r="40" customFormat="false" ht="15" hidden="false" customHeight="true" outlineLevel="0" collapsed="false">
      <c r="A40" s="14" t="s">
        <v>100</v>
      </c>
      <c r="B40" s="22" t="s">
        <v>101</v>
      </c>
      <c r="C40" s="22"/>
      <c r="D40" s="22"/>
      <c r="E40" s="22"/>
      <c r="F40" s="22"/>
    </row>
    <row r="41" customFormat="false" ht="15" hidden="false" customHeight="true" outlineLevel="0" collapsed="false">
      <c r="A41" s="14" t="s">
        <v>102</v>
      </c>
      <c r="B41" s="22" t="s">
        <v>97</v>
      </c>
      <c r="C41" s="22"/>
      <c r="D41" s="22"/>
      <c r="E41" s="22"/>
      <c r="F41" s="22"/>
    </row>
    <row r="42" customFormat="false" ht="15" hidden="false" customHeight="true" outlineLevel="0" collapsed="false">
      <c r="A42" s="14" t="s">
        <v>103</v>
      </c>
      <c r="B42" s="22" t="s">
        <v>97</v>
      </c>
      <c r="C42" s="22"/>
      <c r="D42" s="22"/>
      <c r="E42" s="22"/>
      <c r="F42" s="22"/>
    </row>
    <row r="43" customFormat="false" ht="23.85" hidden="false" customHeight="true" outlineLevel="0" collapsed="false">
      <c r="A43" s="14" t="s">
        <v>104</v>
      </c>
      <c r="B43" s="22" t="s">
        <v>105</v>
      </c>
      <c r="C43" s="22"/>
      <c r="D43" s="22"/>
      <c r="E43" s="22"/>
      <c r="F43" s="22"/>
    </row>
    <row r="45" customFormat="false" ht="15" hidden="false" customHeight="false" outlineLevel="0" collapsed="false">
      <c r="A45" s="19" t="s">
        <v>106</v>
      </c>
      <c r="B45" s="19"/>
      <c r="C45" s="19"/>
      <c r="D45" s="19"/>
      <c r="E45" s="19"/>
      <c r="F45" s="19"/>
    </row>
    <row r="46" customFormat="false" ht="15" hidden="false" customHeight="true" outlineLevel="0" collapsed="false">
      <c r="A46" s="14" t="s">
        <v>107</v>
      </c>
      <c r="B46" s="22" t="s">
        <v>108</v>
      </c>
      <c r="C46" s="22"/>
      <c r="D46" s="22"/>
      <c r="E46" s="22"/>
      <c r="F46" s="22"/>
    </row>
    <row r="47" customFormat="false" ht="15" hidden="false" customHeight="true" outlineLevel="0" collapsed="false">
      <c r="A47" s="14" t="s">
        <v>109</v>
      </c>
      <c r="B47" s="22" t="s">
        <v>97</v>
      </c>
      <c r="C47" s="22"/>
      <c r="D47" s="22"/>
      <c r="E47" s="22"/>
      <c r="F47" s="22"/>
    </row>
    <row r="48" customFormat="false" ht="15" hidden="false" customHeight="true" outlineLevel="0" collapsed="false">
      <c r="A48" s="14" t="s">
        <v>110</v>
      </c>
      <c r="B48" s="22" t="s">
        <v>33</v>
      </c>
      <c r="C48" s="22"/>
      <c r="D48" s="22"/>
      <c r="E48" s="22"/>
      <c r="F48" s="22"/>
    </row>
    <row r="49" customFormat="false" ht="15" hidden="false" customHeight="true" outlineLevel="0" collapsed="false">
      <c r="A49" s="14" t="s">
        <v>34</v>
      </c>
      <c r="B49" s="22" t="s">
        <v>35</v>
      </c>
      <c r="C49" s="22"/>
      <c r="D49" s="22"/>
      <c r="E49" s="22"/>
      <c r="F49" s="22"/>
    </row>
    <row r="51" customFormat="false" ht="15" hidden="false" customHeight="false" outlineLevel="0" collapsed="false">
      <c r="A51" s="19" t="s">
        <v>111</v>
      </c>
      <c r="B51" s="19"/>
      <c r="C51" s="19"/>
      <c r="D51" s="19"/>
      <c r="E51" s="19"/>
      <c r="F51" s="19"/>
    </row>
    <row r="52" customFormat="false" ht="15" hidden="false" customHeight="true" outlineLevel="0" collapsed="false">
      <c r="A52" s="14" t="s">
        <v>112</v>
      </c>
      <c r="B52" s="22" t="s">
        <v>27</v>
      </c>
      <c r="C52" s="22"/>
      <c r="D52" s="22"/>
      <c r="E52" s="22"/>
      <c r="F52" s="22"/>
    </row>
    <row r="53" customFormat="false" ht="15" hidden="false" customHeight="true" outlineLevel="0" collapsed="false">
      <c r="A53" s="14" t="s">
        <v>113</v>
      </c>
      <c r="B53" s="22" t="s">
        <v>114</v>
      </c>
      <c r="C53" s="22"/>
      <c r="D53" s="22"/>
      <c r="E53" s="22"/>
      <c r="F53" s="22"/>
    </row>
    <row r="55" customFormat="false" ht="15" hidden="false" customHeight="false" outlineLevel="0" collapsed="false">
      <c r="A55" s="19" t="s">
        <v>115</v>
      </c>
      <c r="B55" s="19"/>
      <c r="C55" s="19"/>
      <c r="D55" s="19"/>
      <c r="E55" s="19"/>
      <c r="F55" s="19"/>
    </row>
    <row r="56" customFormat="false" ht="15" hidden="false" customHeight="true" outlineLevel="0" collapsed="false">
      <c r="A56" s="14" t="s">
        <v>28</v>
      </c>
      <c r="B56" s="22" t="s">
        <v>29</v>
      </c>
      <c r="C56" s="22"/>
      <c r="D56" s="22"/>
      <c r="E56" s="22"/>
      <c r="F56" s="22"/>
    </row>
    <row r="57" customFormat="false" ht="15" hidden="false" customHeight="true" outlineLevel="0" collapsed="false">
      <c r="A57" s="14" t="s">
        <v>116</v>
      </c>
      <c r="B57" s="22" t="s">
        <v>97</v>
      </c>
      <c r="C57" s="22"/>
      <c r="D57" s="22"/>
      <c r="E57" s="22"/>
      <c r="F57" s="22"/>
    </row>
    <row r="58" customFormat="false" ht="15" hidden="false" customHeight="true" outlineLevel="0" collapsed="false">
      <c r="A58" s="14" t="s">
        <v>30</v>
      </c>
      <c r="B58" s="22" t="s">
        <v>31</v>
      </c>
      <c r="C58" s="22"/>
      <c r="D58" s="22"/>
      <c r="E58" s="22"/>
      <c r="F58" s="22"/>
    </row>
    <row r="59" customFormat="false" ht="15" hidden="false" customHeight="true" outlineLevel="0" collapsed="false">
      <c r="A59" s="14" t="s">
        <v>117</v>
      </c>
      <c r="B59" s="22" t="s">
        <v>97</v>
      </c>
      <c r="C59" s="22"/>
      <c r="D59" s="22"/>
      <c r="E59" s="22"/>
      <c r="F59" s="22"/>
    </row>
    <row r="60" customFormat="false" ht="15" hidden="false" customHeight="true" outlineLevel="0" collapsed="false">
      <c r="A60" s="14" t="s">
        <v>118</v>
      </c>
      <c r="B60" s="22" t="s">
        <v>97</v>
      </c>
      <c r="C60" s="22"/>
      <c r="D60" s="22"/>
      <c r="E60" s="22"/>
      <c r="F60" s="22"/>
    </row>
    <row r="62" customFormat="false" ht="15" hidden="false" customHeight="false" outlineLevel="0" collapsed="false">
      <c r="A62" s="19" t="s">
        <v>119</v>
      </c>
      <c r="B62" s="19"/>
      <c r="C62" s="19"/>
      <c r="D62" s="19"/>
      <c r="E62" s="19"/>
      <c r="F62" s="19"/>
    </row>
    <row r="63" customFormat="false" ht="15" hidden="false" customHeight="false" outlineLevel="0" collapsed="false">
      <c r="A63" s="13" t="s">
        <v>120</v>
      </c>
      <c r="B63" s="13" t="s">
        <v>121</v>
      </c>
      <c r="C63" s="13" t="s">
        <v>122</v>
      </c>
      <c r="D63" s="13" t="s">
        <v>123</v>
      </c>
      <c r="E63" s="13" t="s">
        <v>124</v>
      </c>
      <c r="F63" s="13" t="s">
        <v>125</v>
      </c>
    </row>
    <row r="64" customFormat="false" ht="15" hidden="false" customHeight="false" outlineLevel="0" collapsed="false">
      <c r="A64" s="23" t="s">
        <v>126</v>
      </c>
      <c r="B64" s="23" t="s">
        <v>127</v>
      </c>
      <c r="C64" s="23" t="s">
        <v>128</v>
      </c>
      <c r="D64" s="23" t="n">
        <v>146</v>
      </c>
      <c r="E64" s="23" t="s">
        <v>129</v>
      </c>
      <c r="F64" s="24" t="s">
        <v>130</v>
      </c>
    </row>
    <row r="65" customFormat="false" ht="15" hidden="false" customHeight="false" outlineLevel="0" collapsed="false">
      <c r="A65" s="23" t="s">
        <v>126</v>
      </c>
      <c r="B65" s="23" t="s">
        <v>127</v>
      </c>
      <c r="C65" s="23" t="s">
        <v>131</v>
      </c>
      <c r="D65" s="23" t="n">
        <v>146</v>
      </c>
      <c r="E65" s="23" t="s">
        <v>129</v>
      </c>
      <c r="F65" s="24" t="s">
        <v>132</v>
      </c>
    </row>
    <row r="66" customFormat="false" ht="15" hidden="false" customHeight="false" outlineLevel="0" collapsed="false">
      <c r="A66" s="23" t="s">
        <v>133</v>
      </c>
      <c r="B66" s="23" t="s">
        <v>127</v>
      </c>
      <c r="C66" s="23" t="s">
        <v>134</v>
      </c>
      <c r="D66" s="23" t="n">
        <v>146</v>
      </c>
      <c r="E66" s="23" t="s">
        <v>129</v>
      </c>
      <c r="F66" s="24" t="s">
        <v>135</v>
      </c>
    </row>
    <row r="67" customFormat="false" ht="15" hidden="false" customHeight="false" outlineLevel="0" collapsed="false">
      <c r="A67" s="23" t="s">
        <v>136</v>
      </c>
      <c r="B67" s="23" t="s">
        <v>127</v>
      </c>
      <c r="C67" s="23" t="s">
        <v>134</v>
      </c>
      <c r="D67" s="23" t="n">
        <v>147</v>
      </c>
      <c r="E67" s="23" t="s">
        <v>137</v>
      </c>
      <c r="F67" s="24" t="s">
        <v>138</v>
      </c>
    </row>
    <row r="68" customFormat="false" ht="15" hidden="false" customHeight="false" outlineLevel="0" collapsed="false">
      <c r="A68" s="23" t="s">
        <v>139</v>
      </c>
      <c r="B68" s="23" t="s">
        <v>127</v>
      </c>
      <c r="C68" s="23" t="s">
        <v>134</v>
      </c>
      <c r="D68" s="23" t="n">
        <v>147</v>
      </c>
      <c r="E68" s="23" t="s">
        <v>140</v>
      </c>
      <c r="F68" s="24" t="s">
        <v>141</v>
      </c>
    </row>
    <row r="69" customFormat="false" ht="15" hidden="false" customHeight="false" outlineLevel="0" collapsed="false">
      <c r="A69" s="23" t="s">
        <v>142</v>
      </c>
      <c r="B69" s="23" t="s">
        <v>127</v>
      </c>
      <c r="C69" s="23" t="s">
        <v>134</v>
      </c>
      <c r="D69" s="23" t="n">
        <v>147</v>
      </c>
      <c r="E69" s="23" t="s">
        <v>143</v>
      </c>
      <c r="F69" s="24" t="s">
        <v>144</v>
      </c>
    </row>
    <row r="70" customFormat="false" ht="15" hidden="false" customHeight="false" outlineLevel="0" collapsed="false">
      <c r="A70" s="25" t="s">
        <v>145</v>
      </c>
      <c r="B70" s="26" t="s">
        <v>146</v>
      </c>
      <c r="C70" s="25" t="s">
        <v>134</v>
      </c>
      <c r="D70" s="25" t="n">
        <v>147</v>
      </c>
      <c r="E70" s="25" t="s">
        <v>147</v>
      </c>
      <c r="F70" s="27" t="s">
        <v>148</v>
      </c>
    </row>
    <row r="72" customFormat="false" ht="15" hidden="false" customHeight="false" outlineLevel="0" collapsed="false">
      <c r="A72" s="19" t="s">
        <v>149</v>
      </c>
      <c r="B72" s="19"/>
      <c r="C72" s="19"/>
      <c r="D72" s="19"/>
      <c r="E72" s="19"/>
      <c r="F72" s="19"/>
    </row>
    <row r="73" customFormat="false" ht="15" hidden="false" customHeight="true" outlineLevel="0" collapsed="false">
      <c r="A73" s="14" t="s">
        <v>150</v>
      </c>
      <c r="B73" s="22" t="s">
        <v>151</v>
      </c>
      <c r="C73" s="22"/>
      <c r="D73" s="22"/>
      <c r="E73" s="22"/>
      <c r="F73" s="22"/>
    </row>
    <row r="74" customFormat="false" ht="15" hidden="false" customHeight="true" outlineLevel="0" collapsed="false">
      <c r="A74" s="14" t="s">
        <v>152</v>
      </c>
      <c r="B74" s="22" t="s">
        <v>153</v>
      </c>
      <c r="C74" s="22"/>
      <c r="D74" s="22"/>
      <c r="E74" s="22"/>
      <c r="F74" s="22"/>
    </row>
    <row r="75" customFormat="false" ht="15" hidden="false" customHeight="true" outlineLevel="0" collapsed="false">
      <c r="A75" s="14" t="s">
        <v>154</v>
      </c>
      <c r="B75" s="22" t="s">
        <v>155</v>
      </c>
      <c r="C75" s="22"/>
      <c r="D75" s="22"/>
      <c r="E75" s="22"/>
      <c r="F75" s="22"/>
    </row>
    <row r="76" customFormat="false" ht="23.85" hidden="false" customHeight="true" outlineLevel="0" collapsed="false">
      <c r="A76" s="14" t="s">
        <v>156</v>
      </c>
      <c r="B76" s="22" t="s">
        <v>157</v>
      </c>
      <c r="C76" s="22"/>
      <c r="D76" s="22"/>
      <c r="E76" s="22"/>
      <c r="F76" s="22"/>
    </row>
    <row r="78" customFormat="false" ht="15" hidden="false" customHeight="false" outlineLevel="0" collapsed="false">
      <c r="A78" s="19" t="s">
        <v>158</v>
      </c>
      <c r="B78" s="19"/>
      <c r="C78" s="19"/>
      <c r="D78" s="19"/>
      <c r="E78" s="19"/>
      <c r="F78" s="19"/>
    </row>
    <row r="79" customFormat="false" ht="15" hidden="false" customHeight="true" outlineLevel="0" collapsed="false">
      <c r="A79" s="20" t="s">
        <v>159</v>
      </c>
      <c r="B79" s="21" t="s">
        <v>160</v>
      </c>
      <c r="C79" s="21"/>
      <c r="D79" s="21"/>
      <c r="E79" s="21"/>
      <c r="F79" s="21"/>
    </row>
    <row r="80" customFormat="false" ht="15" hidden="false" customHeight="true" outlineLevel="0" collapsed="false">
      <c r="A80" s="20" t="s">
        <v>161</v>
      </c>
      <c r="B80" s="21" t="s">
        <v>162</v>
      </c>
      <c r="C80" s="21"/>
      <c r="D80" s="21"/>
      <c r="E80" s="21"/>
      <c r="F80" s="21"/>
    </row>
    <row r="81" customFormat="false" ht="15" hidden="false" customHeight="true" outlineLevel="0" collapsed="false">
      <c r="A81" s="20" t="s">
        <v>163</v>
      </c>
      <c r="B81" s="21" t="s">
        <v>164</v>
      </c>
      <c r="C81" s="21"/>
      <c r="D81" s="21"/>
      <c r="E81" s="21"/>
      <c r="F81" s="21"/>
    </row>
    <row r="82" customFormat="false" ht="15" hidden="false" customHeight="true" outlineLevel="0" collapsed="false">
      <c r="A82" s="20" t="s">
        <v>165</v>
      </c>
      <c r="B82" s="21" t="s">
        <v>164</v>
      </c>
      <c r="C82" s="21"/>
      <c r="D82" s="21"/>
      <c r="E82" s="21"/>
      <c r="F82" s="21"/>
    </row>
    <row r="83" customFormat="false" ht="15" hidden="false" customHeight="true" outlineLevel="0" collapsed="false">
      <c r="A83" s="20" t="s">
        <v>166</v>
      </c>
      <c r="B83" s="21" t="s">
        <v>167</v>
      </c>
      <c r="C83" s="21"/>
      <c r="D83" s="21"/>
      <c r="E83" s="21"/>
      <c r="F83" s="21"/>
    </row>
    <row r="84" customFormat="false" ht="15" hidden="false" customHeight="true" outlineLevel="0" collapsed="false">
      <c r="A84" s="20" t="s">
        <v>168</v>
      </c>
      <c r="B84" s="21" t="s">
        <v>164</v>
      </c>
      <c r="C84" s="21"/>
      <c r="D84" s="21"/>
      <c r="E84" s="21"/>
      <c r="F84" s="21"/>
    </row>
    <row r="85" customFormat="false" ht="15" hidden="false" customHeight="true" outlineLevel="0" collapsed="false">
      <c r="A85" s="20" t="s">
        <v>169</v>
      </c>
      <c r="B85" s="21" t="s">
        <v>170</v>
      </c>
      <c r="C85" s="21"/>
      <c r="D85" s="21"/>
      <c r="E85" s="21"/>
      <c r="F85" s="21"/>
    </row>
    <row r="86" customFormat="false" ht="15" hidden="false" customHeight="true" outlineLevel="0" collapsed="false">
      <c r="A86" s="20" t="s">
        <v>171</v>
      </c>
      <c r="B86" s="21" t="s">
        <v>172</v>
      </c>
      <c r="C86" s="21"/>
      <c r="D86" s="21"/>
      <c r="E86" s="21"/>
      <c r="F86" s="21"/>
    </row>
    <row r="88" customFormat="false" ht="15" hidden="false" customHeight="false" outlineLevel="0" collapsed="false">
      <c r="A88" s="19" t="s">
        <v>173</v>
      </c>
      <c r="B88" s="19"/>
      <c r="C88" s="19"/>
      <c r="D88" s="19"/>
      <c r="E88" s="19"/>
      <c r="F88" s="19"/>
    </row>
    <row r="89" customFormat="false" ht="15" hidden="false" customHeight="true" outlineLevel="0" collapsed="false">
      <c r="A89" s="20" t="s">
        <v>174</v>
      </c>
      <c r="B89" s="21" t="s">
        <v>175</v>
      </c>
      <c r="C89" s="21"/>
      <c r="D89" s="21"/>
      <c r="E89" s="21"/>
      <c r="F89" s="21"/>
    </row>
    <row r="90" customFormat="false" ht="15" hidden="false" customHeight="true" outlineLevel="0" collapsed="false">
      <c r="A90" s="20" t="s">
        <v>176</v>
      </c>
      <c r="B90" s="21" t="s">
        <v>177</v>
      </c>
      <c r="C90" s="21"/>
      <c r="D90" s="21"/>
      <c r="E90" s="21"/>
      <c r="F90" s="21"/>
    </row>
    <row r="91" customFormat="false" ht="15" hidden="false" customHeight="true" outlineLevel="0" collapsed="false">
      <c r="A91" s="20" t="s">
        <v>178</v>
      </c>
      <c r="B91" s="21" t="s">
        <v>179</v>
      </c>
      <c r="C91" s="21"/>
      <c r="D91" s="21"/>
      <c r="E91" s="21"/>
      <c r="F91" s="21"/>
    </row>
    <row r="92" customFormat="false" ht="15" hidden="false" customHeight="true" outlineLevel="0" collapsed="false">
      <c r="A92" s="20" t="s">
        <v>180</v>
      </c>
      <c r="B92" s="21" t="s">
        <v>181</v>
      </c>
      <c r="C92" s="21"/>
      <c r="D92" s="21"/>
      <c r="E92" s="21"/>
      <c r="F92" s="21"/>
    </row>
    <row r="93" customFormat="false" ht="15" hidden="false" customHeight="true" outlineLevel="0" collapsed="false">
      <c r="A93" s="20" t="s">
        <v>182</v>
      </c>
      <c r="B93" s="21" t="s">
        <v>183</v>
      </c>
      <c r="C93" s="21"/>
      <c r="D93" s="21"/>
      <c r="E93" s="21"/>
      <c r="F93" s="21"/>
    </row>
    <row r="94" customFormat="false" ht="23.85" hidden="false" customHeight="true" outlineLevel="0" collapsed="false">
      <c r="A94" s="20" t="s">
        <v>184</v>
      </c>
      <c r="B94" s="21" t="s">
        <v>185</v>
      </c>
      <c r="C94" s="21"/>
      <c r="D94" s="21"/>
      <c r="E94" s="21"/>
      <c r="F94" s="21"/>
    </row>
    <row r="96" customFormat="false" ht="15" hidden="false" customHeight="false" outlineLevel="0" collapsed="false">
      <c r="A96" s="19" t="s">
        <v>186</v>
      </c>
      <c r="B96" s="19"/>
      <c r="C96" s="19"/>
      <c r="D96" s="19"/>
      <c r="E96" s="19"/>
      <c r="F96" s="19"/>
    </row>
    <row r="97" customFormat="false" ht="23.85" hidden="false" customHeight="true" outlineLevel="0" collapsed="false">
      <c r="A97" s="14" t="s">
        <v>187</v>
      </c>
      <c r="B97" s="22" t="s">
        <v>188</v>
      </c>
      <c r="C97" s="22"/>
      <c r="D97" s="22"/>
      <c r="E97" s="22"/>
      <c r="F97" s="22"/>
    </row>
    <row r="98" customFormat="false" ht="15" hidden="false" customHeight="true" outlineLevel="0" collapsed="false">
      <c r="A98" s="14" t="s">
        <v>189</v>
      </c>
      <c r="B98" s="22" t="s">
        <v>190</v>
      </c>
      <c r="C98" s="22"/>
      <c r="D98" s="22"/>
      <c r="E98" s="22"/>
      <c r="F98" s="22"/>
    </row>
    <row r="99" customFormat="false" ht="23.85" hidden="false" customHeight="true" outlineLevel="0" collapsed="false">
      <c r="A99" s="14" t="s">
        <v>191</v>
      </c>
      <c r="B99" s="22" t="s">
        <v>192</v>
      </c>
      <c r="C99" s="22"/>
      <c r="D99" s="22"/>
      <c r="E99" s="22"/>
      <c r="F99" s="22"/>
    </row>
    <row r="100" customFormat="false" ht="23.85" hidden="false" customHeight="true" outlineLevel="0" collapsed="false">
      <c r="A100" s="14" t="s">
        <v>193</v>
      </c>
      <c r="B100" s="22" t="s">
        <v>194</v>
      </c>
      <c r="C100" s="22"/>
      <c r="D100" s="22"/>
      <c r="E100" s="22"/>
      <c r="F100" s="22"/>
    </row>
    <row r="101" customFormat="false" ht="23.85" hidden="false" customHeight="true" outlineLevel="0" collapsed="false">
      <c r="A101" s="14" t="s">
        <v>195</v>
      </c>
      <c r="B101" s="22" t="s">
        <v>196</v>
      </c>
      <c r="C101" s="22"/>
      <c r="D101" s="22"/>
      <c r="E101" s="22"/>
      <c r="F101" s="22"/>
    </row>
  </sheetData>
  <mergeCells count="80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A13:F13"/>
    <mergeCell ref="B14:F14"/>
    <mergeCell ref="B15:F15"/>
    <mergeCell ref="B16:F16"/>
    <mergeCell ref="B17:F17"/>
    <mergeCell ref="B18:F18"/>
    <mergeCell ref="A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A32:F32"/>
    <mergeCell ref="B33:F33"/>
    <mergeCell ref="B34:F34"/>
    <mergeCell ref="B35:F35"/>
    <mergeCell ref="B36:F36"/>
    <mergeCell ref="A38:F38"/>
    <mergeCell ref="B39:F39"/>
    <mergeCell ref="B40:F40"/>
    <mergeCell ref="B41:F41"/>
    <mergeCell ref="B42:F42"/>
    <mergeCell ref="B43:F43"/>
    <mergeCell ref="A45:F45"/>
    <mergeCell ref="B46:F46"/>
    <mergeCell ref="B47:F47"/>
    <mergeCell ref="B48:F48"/>
    <mergeCell ref="B49:F49"/>
    <mergeCell ref="A51:F51"/>
    <mergeCell ref="B52:F52"/>
    <mergeCell ref="B53:F53"/>
    <mergeCell ref="A55:F55"/>
    <mergeCell ref="B56:F56"/>
    <mergeCell ref="B57:F57"/>
    <mergeCell ref="B58:F58"/>
    <mergeCell ref="B59:F59"/>
    <mergeCell ref="B60:F60"/>
    <mergeCell ref="A62:F62"/>
    <mergeCell ref="A72:F72"/>
    <mergeCell ref="B73:F73"/>
    <mergeCell ref="B74:F74"/>
    <mergeCell ref="B75:F75"/>
    <mergeCell ref="B76:F76"/>
    <mergeCell ref="A78:F78"/>
    <mergeCell ref="B79:F79"/>
    <mergeCell ref="B80:F80"/>
    <mergeCell ref="B81:F81"/>
    <mergeCell ref="B82:F82"/>
    <mergeCell ref="B83:F83"/>
    <mergeCell ref="B84:F84"/>
    <mergeCell ref="B85:F85"/>
    <mergeCell ref="B86:F86"/>
    <mergeCell ref="A88:F88"/>
    <mergeCell ref="B89:F89"/>
    <mergeCell ref="B90:F90"/>
    <mergeCell ref="B91:F91"/>
    <mergeCell ref="B92:F92"/>
    <mergeCell ref="B93:F93"/>
    <mergeCell ref="B94:F94"/>
    <mergeCell ref="A96:F96"/>
    <mergeCell ref="B97:F97"/>
    <mergeCell ref="B98:F98"/>
    <mergeCell ref="B99:F99"/>
    <mergeCell ref="B100:F100"/>
    <mergeCell ref="B101:F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" t="s">
        <v>197</v>
      </c>
    </row>
    <row r="3" customFormat="false" ht="15" hidden="false" customHeight="false" outlineLevel="0" collapsed="false">
      <c r="A3" s="28" t="s">
        <v>198</v>
      </c>
      <c r="B3" s="28" t="s">
        <v>199</v>
      </c>
      <c r="C3" s="28" t="s">
        <v>200</v>
      </c>
      <c r="D3" s="28" t="s">
        <v>201</v>
      </c>
    </row>
    <row r="4" customFormat="false" ht="15" hidden="false" customHeight="false" outlineLevel="0" collapsed="false">
      <c r="A4" s="4" t="s">
        <v>202</v>
      </c>
      <c r="B4" s="5" t="n">
        <v>0</v>
      </c>
      <c r="C4" s="5" t="n">
        <v>0</v>
      </c>
      <c r="D4" s="9" t="n">
        <f aca="false">C4-B4</f>
        <v>0</v>
      </c>
    </row>
    <row r="5" customFormat="false" ht="15" hidden="false" customHeight="false" outlineLevel="0" collapsed="false">
      <c r="A5" s="4" t="s">
        <v>203</v>
      </c>
      <c r="B5" s="5" t="n">
        <v>0</v>
      </c>
      <c r="C5" s="5" t="n">
        <v>0</v>
      </c>
      <c r="D5" s="9" t="n">
        <f aca="false">C5-B5</f>
        <v>0</v>
      </c>
    </row>
    <row r="6" customFormat="false" ht="15" hidden="false" customHeight="false" outlineLevel="0" collapsed="false">
      <c r="A6" s="29" t="s">
        <v>204</v>
      </c>
      <c r="B6" s="6" t="n">
        <f aca="false">SUM(B4:B5)</f>
        <v>0</v>
      </c>
      <c r="C6" s="6" t="n">
        <f aca="false">SUM(C4:C5)</f>
        <v>0</v>
      </c>
      <c r="D6" s="6" t="n">
        <f aca="false">SUM(D4:D5)</f>
        <v>0</v>
      </c>
    </row>
    <row r="9" customFormat="false" ht="15" hidden="false" customHeight="false" outlineLevel="0" collapsed="false">
      <c r="A9" s="3" t="s">
        <v>205</v>
      </c>
    </row>
    <row r="10" customFormat="false" ht="15" hidden="false" customHeight="false" outlineLevel="0" collapsed="false">
      <c r="A10" s="28" t="s">
        <v>206</v>
      </c>
      <c r="B10" s="28" t="s">
        <v>207</v>
      </c>
      <c r="C10" s="28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7" min="3" style="0" width="16"/>
  </cols>
  <sheetData>
    <row r="1" customFormat="false" ht="19.7" hidden="false" customHeight="false" outlineLevel="0" collapsed="false">
      <c r="A1" s="1" t="s">
        <v>209</v>
      </c>
    </row>
    <row r="3" customFormat="false" ht="15" hidden="false" customHeight="false" outlineLevel="0" collapsed="false">
      <c r="A3" s="28" t="s">
        <v>210</v>
      </c>
      <c r="B3" s="28" t="s">
        <v>211</v>
      </c>
      <c r="C3" s="28" t="s">
        <v>212</v>
      </c>
      <c r="D3" s="28" t="s">
        <v>213</v>
      </c>
      <c r="E3" s="28" t="s">
        <v>214</v>
      </c>
      <c r="F3" s="28" t="s">
        <v>215</v>
      </c>
      <c r="G3" s="28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217</v>
      </c>
    </row>
    <row r="3" customFormat="false" ht="15" hidden="false" customHeight="false" outlineLevel="0" collapsed="false">
      <c r="A3" s="28" t="s">
        <v>218</v>
      </c>
      <c r="B3" s="28" t="s">
        <v>121</v>
      </c>
      <c r="C3" s="28" t="s">
        <v>207</v>
      </c>
      <c r="D3" s="28" t="s">
        <v>208</v>
      </c>
      <c r="E3" s="28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8" min="3" style="0" width="14"/>
  </cols>
  <sheetData>
    <row r="1" customFormat="false" ht="19.7" hidden="false" customHeight="false" outlineLevel="0" collapsed="false">
      <c r="A1" s="1" t="s">
        <v>219</v>
      </c>
    </row>
    <row r="3" customFormat="false" ht="15" hidden="false" customHeight="false" outlineLevel="0" collapsed="false">
      <c r="A3" s="28" t="s">
        <v>220</v>
      </c>
      <c r="B3" s="28" t="s">
        <v>207</v>
      </c>
      <c r="C3" s="28" t="s">
        <v>199</v>
      </c>
      <c r="D3" s="28" t="s">
        <v>200</v>
      </c>
      <c r="E3" s="28" t="s">
        <v>221</v>
      </c>
      <c r="F3" s="28" t="s">
        <v>222</v>
      </c>
      <c r="G3" s="28" t="s">
        <v>223</v>
      </c>
      <c r="H3" s="28" t="s">
        <v>224</v>
      </c>
    </row>
    <row r="4" customFormat="false" ht="15" hidden="false" customHeight="false" outlineLevel="0" collapsed="false">
      <c r="A4" s="4" t="s">
        <v>225</v>
      </c>
      <c r="B4" s="4" t="s">
        <v>226</v>
      </c>
      <c r="C4" s="5" t="n">
        <v>0</v>
      </c>
      <c r="D4" s="5" t="n">
        <v>0</v>
      </c>
      <c r="E4" s="5" t="n">
        <v>69</v>
      </c>
      <c r="F4" s="9" t="n">
        <f aca="false">D4-E4</f>
        <v>-69</v>
      </c>
      <c r="G4" s="5" t="n">
        <v>0</v>
      </c>
      <c r="H4" s="30" t="n">
        <f aca="false">IFERROR(E4/D4,0)</f>
        <v>0</v>
      </c>
    </row>
    <row r="5" customFormat="false" ht="15" hidden="false" customHeight="false" outlineLevel="0" collapsed="false">
      <c r="A5" s="4" t="s">
        <v>227</v>
      </c>
      <c r="B5" s="4" t="s">
        <v>228</v>
      </c>
      <c r="C5" s="5" t="n">
        <v>0</v>
      </c>
      <c r="D5" s="5" t="n">
        <v>0</v>
      </c>
      <c r="E5" s="5" t="n">
        <v>9913.25</v>
      </c>
      <c r="F5" s="9" t="n">
        <f aca="false">D5-E5</f>
        <v>-9913.25</v>
      </c>
      <c r="G5" s="5" t="n">
        <v>0</v>
      </c>
      <c r="H5" s="30" t="n">
        <f aca="false">IFERROR(E5/D5,0)</f>
        <v>0</v>
      </c>
    </row>
    <row r="6" customFormat="false" ht="15" hidden="false" customHeight="false" outlineLevel="0" collapsed="false">
      <c r="A6" s="4" t="s">
        <v>229</v>
      </c>
      <c r="B6" s="4" t="s">
        <v>230</v>
      </c>
      <c r="C6" s="5" t="n">
        <v>0</v>
      </c>
      <c r="D6" s="5" t="n">
        <v>0</v>
      </c>
      <c r="E6" s="5" t="n">
        <v>30200</v>
      </c>
      <c r="F6" s="9" t="n">
        <f aca="false">D6-E6</f>
        <v>-30200</v>
      </c>
      <c r="G6" s="5" t="n">
        <v>0</v>
      </c>
      <c r="H6" s="30" t="n">
        <f aca="false">IFERROR(E6/D6,0)</f>
        <v>0</v>
      </c>
    </row>
    <row r="7" customFormat="false" ht="15" hidden="false" customHeight="false" outlineLevel="0" collapsed="false">
      <c r="A7" s="4" t="s">
        <v>231</v>
      </c>
      <c r="B7" s="4" t="s">
        <v>232</v>
      </c>
      <c r="C7" s="5" t="n">
        <v>0</v>
      </c>
      <c r="D7" s="5" t="n">
        <v>0</v>
      </c>
      <c r="E7" s="5" t="n">
        <v>4780.75</v>
      </c>
      <c r="F7" s="9" t="n">
        <f aca="false">D7-E7</f>
        <v>-4780.75</v>
      </c>
      <c r="G7" s="5" t="n">
        <v>0</v>
      </c>
      <c r="H7" s="30" t="n">
        <f aca="false">IFERROR(E7/D7,0)</f>
        <v>0</v>
      </c>
    </row>
    <row r="8" customFormat="false" ht="15" hidden="false" customHeight="false" outlineLevel="0" collapsed="false">
      <c r="A8" s="4" t="s">
        <v>233</v>
      </c>
      <c r="B8" s="4" t="s">
        <v>234</v>
      </c>
      <c r="C8" s="5" t="n">
        <v>0</v>
      </c>
      <c r="D8" s="5" t="n">
        <v>0</v>
      </c>
      <c r="E8" s="5" t="n">
        <v>763.76</v>
      </c>
      <c r="F8" s="9" t="n">
        <f aca="false">D8-E8</f>
        <v>-763.76</v>
      </c>
      <c r="G8" s="5" t="n">
        <v>0</v>
      </c>
      <c r="H8" s="30" t="n">
        <f aca="false">IFERROR(E8/D8,0)</f>
        <v>0</v>
      </c>
    </row>
    <row r="9" customFormat="false" ht="15" hidden="false" customHeight="false" outlineLevel="0" collapsed="false">
      <c r="A9" s="29" t="s">
        <v>235</v>
      </c>
      <c r="C9" s="6" t="n">
        <f aca="false">SUM(C4:C8)</f>
        <v>0</v>
      </c>
      <c r="D9" s="6" t="n">
        <f aca="false">SUM(D4:D8)</f>
        <v>0</v>
      </c>
      <c r="E9" s="6" t="n">
        <f aca="false">SUM(E4:E8)</f>
        <v>45726.76</v>
      </c>
      <c r="F9" s="6" t="n">
        <f aca="false">SUM(F4:F8)</f>
        <v>-45726.76</v>
      </c>
      <c r="G9" s="6" t="n">
        <f aca="false">SUM(G4:G8)</f>
        <v>0</v>
      </c>
      <c r="H9" s="7" t="n">
        <f aca="false">IFERROR(E9/D9,0)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6" min="3" style="0" width="16"/>
  </cols>
  <sheetData>
    <row r="1" customFormat="false" ht="19.7" hidden="false" customHeight="false" outlineLevel="0" collapsed="false">
      <c r="A1" s="1" t="s">
        <v>236</v>
      </c>
    </row>
    <row r="3" customFormat="false" ht="15" hidden="false" customHeight="false" outlineLevel="0" collapsed="false">
      <c r="A3" s="28" t="s">
        <v>237</v>
      </c>
      <c r="B3" s="28" t="s">
        <v>238</v>
      </c>
      <c r="C3" s="28" t="s">
        <v>239</v>
      </c>
      <c r="D3" s="28" t="s">
        <v>221</v>
      </c>
      <c r="E3" s="28" t="s">
        <v>222</v>
      </c>
      <c r="F3" s="28" t="s">
        <v>224</v>
      </c>
    </row>
    <row r="4" customFormat="false" ht="15" hidden="false" customHeight="false" outlineLevel="0" collapsed="false">
      <c r="A4" s="29" t="s">
        <v>240</v>
      </c>
      <c r="B4" s="4" t="n">
        <v>2</v>
      </c>
      <c r="C4" s="5" t="n">
        <v>0</v>
      </c>
      <c r="D4" s="5" t="n">
        <v>9982.25</v>
      </c>
      <c r="E4" s="9" t="n">
        <f aca="false">C4-D4</f>
        <v>-9982.25</v>
      </c>
      <c r="F4" s="30" t="n">
        <f aca="false">IFERROR(D4/C4,0)</f>
        <v>0</v>
      </c>
    </row>
    <row r="5" customFormat="false" ht="15" hidden="false" customHeight="false" outlineLevel="0" collapsed="false">
      <c r="A5" s="29" t="s">
        <v>241</v>
      </c>
      <c r="B5" s="4" t="n">
        <v>0</v>
      </c>
      <c r="C5" s="5" t="n">
        <v>0</v>
      </c>
      <c r="D5" s="5" t="n">
        <v>0</v>
      </c>
      <c r="E5" s="9" t="n">
        <f aca="false">C5-D5</f>
        <v>0</v>
      </c>
      <c r="F5" s="30" t="n">
        <f aca="false">IFERROR(D5/C5,0)</f>
        <v>0</v>
      </c>
    </row>
    <row r="6" customFormat="false" ht="15" hidden="false" customHeight="false" outlineLevel="0" collapsed="false">
      <c r="A6" s="29" t="s">
        <v>242</v>
      </c>
      <c r="B6" s="4" t="n">
        <v>1</v>
      </c>
      <c r="C6" s="5" t="n">
        <v>0</v>
      </c>
      <c r="D6" s="5" t="n">
        <v>30200</v>
      </c>
      <c r="E6" s="9" t="n">
        <f aca="false">C6-D6</f>
        <v>-30200</v>
      </c>
      <c r="F6" s="30" t="n">
        <f aca="false">IFERROR(D6/C6,0)</f>
        <v>0</v>
      </c>
    </row>
    <row r="7" customFormat="false" ht="15" hidden="false" customHeight="false" outlineLevel="0" collapsed="false">
      <c r="A7" s="29" t="s">
        <v>243</v>
      </c>
      <c r="B7" s="4" t="n">
        <v>2</v>
      </c>
      <c r="C7" s="5" t="n">
        <v>0</v>
      </c>
      <c r="D7" s="5" t="n">
        <v>5544.51</v>
      </c>
      <c r="E7" s="9" t="n">
        <f aca="false">C7-D7</f>
        <v>-5544.51</v>
      </c>
      <c r="F7" s="30" t="n">
        <f aca="false">IFERROR(D7/C7,0)</f>
        <v>0</v>
      </c>
    </row>
    <row r="8" customFormat="false" ht="15" hidden="false" customHeight="false" outlineLevel="0" collapsed="false">
      <c r="A8" s="29" t="s">
        <v>235</v>
      </c>
      <c r="B8" s="31" t="n">
        <f aca="false">SUM(B4:B7)</f>
        <v>5</v>
      </c>
      <c r="C8" s="6" t="n">
        <f aca="false">SUM(C4:C7)</f>
        <v>0</v>
      </c>
      <c r="D8" s="6" t="n">
        <f aca="false">SUM(D4:D7)</f>
        <v>45726.76</v>
      </c>
      <c r="E8" s="6" t="n">
        <f aca="false">SUM(E4:E7)</f>
        <v>-45726.76</v>
      </c>
      <c r="F8" s="7" t="n">
        <f aca="false">IFERROR(D8/C8,0)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244</v>
      </c>
    </row>
    <row r="2" customFormat="false" ht="15" hidden="false" customHeight="false" outlineLevel="0" collapsed="false">
      <c r="A2" s="2" t="s">
        <v>245</v>
      </c>
    </row>
    <row r="4" customFormat="false" ht="15" hidden="false" customHeight="false" outlineLevel="0" collapsed="false">
      <c r="A4" s="28" t="s">
        <v>220</v>
      </c>
      <c r="B4" s="28" t="s">
        <v>207</v>
      </c>
      <c r="C4" s="28" t="s">
        <v>200</v>
      </c>
      <c r="D4" s="28" t="s">
        <v>221</v>
      </c>
      <c r="E4" s="28" t="s">
        <v>222</v>
      </c>
      <c r="F4" s="28" t="s">
        <v>246</v>
      </c>
      <c r="G4" s="28" t="s">
        <v>40</v>
      </c>
    </row>
    <row r="5" customFormat="false" ht="15" hidden="false" customHeight="false" outlineLevel="0" collapsed="false">
      <c r="A5" s="4" t="s">
        <v>225</v>
      </c>
      <c r="B5" s="4" t="s">
        <v>226</v>
      </c>
      <c r="C5" s="5" t="n">
        <v>0</v>
      </c>
      <c r="D5" s="5" t="n">
        <v>69</v>
      </c>
      <c r="E5" s="9" t="n">
        <f aca="false">C5-D5</f>
        <v>-69</v>
      </c>
      <c r="F5" s="30" t="n">
        <f aca="false">IFERROR((D5-C5)/C5,0)</f>
        <v>0</v>
      </c>
      <c r="G5" s="32" t="str">
        <f aca="false">IF(C5=0,"UNBUDGETED",IF(F5&gt;0.5,"CRITICAL",IF(F5&gt;0.1,"OVER",IF(F5&lt;-0.1,"UNDER","ON"))))</f>
        <v>UNBUDGETED</v>
      </c>
    </row>
    <row r="6" customFormat="false" ht="15" hidden="false" customHeight="false" outlineLevel="0" collapsed="false">
      <c r="A6" s="4" t="s">
        <v>227</v>
      </c>
      <c r="B6" s="4" t="s">
        <v>228</v>
      </c>
      <c r="C6" s="5" t="n">
        <v>0</v>
      </c>
      <c r="D6" s="5" t="n">
        <v>9913.25</v>
      </c>
      <c r="E6" s="9" t="n">
        <f aca="false">C6-D6</f>
        <v>-9913.25</v>
      </c>
      <c r="F6" s="30" t="n">
        <f aca="false">IFERROR((D6-C6)/C6,0)</f>
        <v>0</v>
      </c>
      <c r="G6" s="32" t="str">
        <f aca="false">IF(C6=0,"UNBUDGETED",IF(F6&gt;0.5,"CRITICAL",IF(F6&gt;0.1,"OVER",IF(F6&lt;-0.1,"UNDER","ON"))))</f>
        <v>UNBUDGETED</v>
      </c>
    </row>
    <row r="7" customFormat="false" ht="15" hidden="false" customHeight="false" outlineLevel="0" collapsed="false">
      <c r="A7" s="4" t="s">
        <v>229</v>
      </c>
      <c r="B7" s="4" t="s">
        <v>230</v>
      </c>
      <c r="C7" s="5" t="n">
        <v>0</v>
      </c>
      <c r="D7" s="5" t="n">
        <v>30200</v>
      </c>
      <c r="E7" s="9" t="n">
        <f aca="false">C7-D7</f>
        <v>-30200</v>
      </c>
      <c r="F7" s="30" t="n">
        <f aca="false">IFERROR((D7-C7)/C7,0)</f>
        <v>0</v>
      </c>
      <c r="G7" s="32" t="str">
        <f aca="false">IF(C7=0,"UNBUDGETED",IF(F7&gt;0.5,"CRITICAL",IF(F7&gt;0.1,"OVER",IF(F7&lt;-0.1,"UNDER","ON"))))</f>
        <v>UNBUDGETED</v>
      </c>
    </row>
    <row r="8" customFormat="false" ht="15" hidden="false" customHeight="false" outlineLevel="0" collapsed="false">
      <c r="A8" s="4" t="s">
        <v>231</v>
      </c>
      <c r="B8" s="4" t="s">
        <v>232</v>
      </c>
      <c r="C8" s="5" t="n">
        <v>0</v>
      </c>
      <c r="D8" s="5" t="n">
        <v>4780.75</v>
      </c>
      <c r="E8" s="9" t="n">
        <f aca="false">C8-D8</f>
        <v>-4780.75</v>
      </c>
      <c r="F8" s="30" t="n">
        <f aca="false">IFERROR((D8-C8)/C8,0)</f>
        <v>0</v>
      </c>
      <c r="G8" s="32" t="str">
        <f aca="false">IF(C8=0,"UNBUDGETED",IF(F8&gt;0.5,"CRITICAL",IF(F8&gt;0.1,"OVER",IF(F8&lt;-0.1,"UNDER","ON"))))</f>
        <v>UNBUDGETED</v>
      </c>
    </row>
    <row r="9" customFormat="false" ht="15" hidden="false" customHeight="false" outlineLevel="0" collapsed="false">
      <c r="A9" s="4" t="s">
        <v>233</v>
      </c>
      <c r="B9" s="4" t="s">
        <v>234</v>
      </c>
      <c r="C9" s="5" t="n">
        <v>0</v>
      </c>
      <c r="D9" s="5" t="n">
        <v>763.76</v>
      </c>
      <c r="E9" s="9" t="n">
        <f aca="false">C9-D9</f>
        <v>-763.76</v>
      </c>
      <c r="F9" s="30" t="n">
        <f aca="false">IFERROR((D9-C9)/C9,0)</f>
        <v>0</v>
      </c>
      <c r="G9" s="32" t="str">
        <f aca="false">IF(C9=0,"UNBUDGETED",IF(F9&gt;0.5,"CRITICAL",IF(F9&gt;0.1,"OVER",IF(F9&lt;-0.1,"UNDER","ON"))))</f>
        <v>UNBUDGETED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247</v>
      </c>
    </row>
    <row r="3" customFormat="false" ht="15" hidden="false" customHeight="false" outlineLevel="0" collapsed="false">
      <c r="A3" s="28" t="s">
        <v>248</v>
      </c>
      <c r="B3" s="28" t="s">
        <v>249</v>
      </c>
      <c r="C3" s="28" t="s">
        <v>250</v>
      </c>
      <c r="D3" s="28" t="s">
        <v>251</v>
      </c>
    </row>
    <row r="4" customFormat="false" ht="15" hidden="false" customHeight="false" outlineLevel="0" collapsed="false">
      <c r="A4" s="4" t="s">
        <v>252</v>
      </c>
      <c r="B4" s="5" t="n">
        <v>30200</v>
      </c>
      <c r="C4" s="4" t="n">
        <v>3</v>
      </c>
      <c r="D4" s="30" t="n">
        <f aca="false">IFERROR(B4/SUM(B$4),0)</f>
        <v>1</v>
      </c>
    </row>
    <row r="5" customFormat="false" ht="15" hidden="false" customHeight="false" outlineLevel="0" collapsed="false">
      <c r="A5" s="29" t="s">
        <v>253</v>
      </c>
      <c r="B5" s="6" t="n">
        <f aca="false">SUM(B4)</f>
        <v>30200</v>
      </c>
      <c r="C5" s="33" t="n">
        <f aca="false">SUM(C4)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</cols>
  <sheetData>
    <row r="1" customFormat="false" ht="19.7" hidden="false" customHeight="false" outlineLevel="0" collapsed="false">
      <c r="A1" s="1" t="s">
        <v>254</v>
      </c>
    </row>
    <row r="3" customFormat="false" ht="15" hidden="false" customHeight="false" outlineLevel="0" collapsed="false">
      <c r="A3" s="28" t="s">
        <v>255</v>
      </c>
      <c r="B3" s="28" t="s">
        <v>256</v>
      </c>
      <c r="C3" s="28" t="s">
        <v>257</v>
      </c>
      <c r="D3" s="28" t="s">
        <v>258</v>
      </c>
      <c r="E3" s="28" t="s">
        <v>259</v>
      </c>
    </row>
    <row r="4" customFormat="false" ht="15" hidden="false" customHeight="false" outlineLevel="0" collapsed="false">
      <c r="A4" s="4" t="s">
        <v>260</v>
      </c>
      <c r="B4" s="34" t="n">
        <v>96.5</v>
      </c>
      <c r="C4" s="5" t="n">
        <v>6658</v>
      </c>
      <c r="D4" s="35" t="n">
        <f aca="false">IFERROR(C4/B4,0)</f>
        <v>68.9948186528497</v>
      </c>
      <c r="E4" s="4" t="s">
        <v>261</v>
      </c>
    </row>
    <row r="5" customFormat="false" ht="15" hidden="false" customHeight="false" outlineLevel="0" collapsed="false">
      <c r="A5" s="4" t="s">
        <v>262</v>
      </c>
      <c r="B5" s="34" t="n">
        <v>53.8</v>
      </c>
      <c r="C5" s="5" t="n">
        <v>3205</v>
      </c>
      <c r="D5" s="35" t="n">
        <f aca="false">IFERROR(C5/B5,0)</f>
        <v>59.5724907063197</v>
      </c>
      <c r="E5" s="4" t="s">
        <v>261</v>
      </c>
    </row>
    <row r="6" customFormat="false" ht="15" hidden="false" customHeight="false" outlineLevel="0" collapsed="false">
      <c r="A6" s="4" t="s">
        <v>263</v>
      </c>
      <c r="B6" s="34" t="n">
        <v>1.8</v>
      </c>
      <c r="C6" s="5" t="n">
        <v>119</v>
      </c>
      <c r="D6" s="35" t="n">
        <f aca="false">IFERROR(C6/B6,0)</f>
        <v>66.1111111111111</v>
      </c>
      <c r="E6" s="4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4"/>
  </cols>
  <sheetData>
    <row r="1" customFormat="false" ht="19.7" hidden="false" customHeight="false" outlineLevel="0" collapsed="false">
      <c r="A1" s="1" t="s">
        <v>264</v>
      </c>
    </row>
    <row r="3" customFormat="false" ht="15" hidden="false" customHeight="false" outlineLevel="0" collapsed="false">
      <c r="A3" s="28" t="s">
        <v>259</v>
      </c>
      <c r="B3" s="28" t="s">
        <v>265</v>
      </c>
      <c r="C3" s="28" t="s">
        <v>256</v>
      </c>
      <c r="D3" s="28" t="s">
        <v>257</v>
      </c>
      <c r="E3" s="28" t="s">
        <v>266</v>
      </c>
    </row>
    <row r="4" customFormat="false" ht="15" hidden="false" customHeight="false" outlineLevel="0" collapsed="false">
      <c r="A4" s="29" t="s">
        <v>261</v>
      </c>
      <c r="B4" s="4" t="n">
        <v>3</v>
      </c>
      <c r="C4" s="34" t="n">
        <v>152</v>
      </c>
      <c r="D4" s="5" t="n">
        <v>9982</v>
      </c>
      <c r="E4" s="30" t="n">
        <f aca="false">IFERROR(C4/SUM(C$4:C$7),0)</f>
        <v>1</v>
      </c>
    </row>
    <row r="5" customFormat="false" ht="15" hidden="false" customHeight="false" outlineLevel="0" collapsed="false">
      <c r="A5" s="29" t="s">
        <v>267</v>
      </c>
      <c r="B5" s="4" t="n">
        <v>0</v>
      </c>
      <c r="C5" s="34" t="n">
        <v>0</v>
      </c>
      <c r="D5" s="5" t="n">
        <v>0</v>
      </c>
      <c r="E5" s="30" t="n">
        <f aca="false">IFERROR(C5/SUM(C$4:C$7),0)</f>
        <v>0</v>
      </c>
    </row>
    <row r="6" customFormat="false" ht="15" hidden="false" customHeight="false" outlineLevel="0" collapsed="false">
      <c r="A6" s="29" t="s">
        <v>268</v>
      </c>
      <c r="B6" s="4" t="n">
        <v>0</v>
      </c>
      <c r="C6" s="34" t="n">
        <v>0</v>
      </c>
      <c r="D6" s="5" t="n">
        <v>0</v>
      </c>
      <c r="E6" s="30" t="n">
        <f aca="false">IFERROR(C6/SUM(C$4:C$7),0)</f>
        <v>0</v>
      </c>
    </row>
    <row r="7" customFormat="false" ht="15" hidden="false" customHeight="false" outlineLevel="0" collapsed="false">
      <c r="A7" s="29" t="s">
        <v>269</v>
      </c>
      <c r="B7" s="4" t="n">
        <v>0</v>
      </c>
      <c r="C7" s="34" t="n">
        <v>0</v>
      </c>
      <c r="D7" s="5" t="n">
        <v>0</v>
      </c>
      <c r="E7" s="30" t="n">
        <f aca="false">IFERROR(C7/SUM(C$4:C$7),0)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270</v>
      </c>
    </row>
    <row r="3" customFormat="false" ht="15" hidden="false" customHeight="false" outlineLevel="0" collapsed="false">
      <c r="A3" s="4" t="s">
        <v>271</v>
      </c>
      <c r="B3" s="34" t="n">
        <v>152</v>
      </c>
    </row>
    <row r="4" customFormat="false" ht="15" hidden="false" customHeight="false" outlineLevel="0" collapsed="false">
      <c r="A4" s="4" t="s">
        <v>272</v>
      </c>
      <c r="B4" s="36" t="n">
        <v>3</v>
      </c>
    </row>
    <row r="5" customFormat="false" ht="15" hidden="false" customHeight="false" outlineLevel="0" collapsed="false">
      <c r="A5" s="4" t="s">
        <v>273</v>
      </c>
      <c r="B5" s="34" t="n">
        <v>1</v>
      </c>
    </row>
    <row r="6" customFormat="false" ht="15" hidden="false" customHeight="false" outlineLevel="0" collapsed="false">
      <c r="A6" s="4" t="s">
        <v>274</v>
      </c>
      <c r="B6" s="37" t="n">
        <v>324.18</v>
      </c>
    </row>
    <row r="7" customFormat="false" ht="15" hidden="false" customHeight="false" outlineLevel="0" collapsed="false">
      <c r="A7" s="4" t="s">
        <v>12</v>
      </c>
      <c r="B7" s="3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9.7" hidden="false" customHeight="false" outlineLevel="0" collapsed="false">
      <c r="A1" s="1" t="s">
        <v>275</v>
      </c>
    </row>
    <row r="3" customFormat="false" ht="15" hidden="false" customHeight="false" outlineLevel="0" collapsed="false">
      <c r="A3" s="28" t="s">
        <v>276</v>
      </c>
      <c r="B3" s="28" t="s">
        <v>277</v>
      </c>
      <c r="C3" s="28" t="s">
        <v>278</v>
      </c>
      <c r="D3" s="28" t="s">
        <v>201</v>
      </c>
    </row>
    <row r="4" customFormat="false" ht="15" hidden="false" customHeight="false" outlineLevel="0" collapsed="false">
      <c r="A4" s="4" t="s">
        <v>279</v>
      </c>
      <c r="B4" s="38" t="n">
        <v>0</v>
      </c>
      <c r="C4" s="38" t="n">
        <v>0.34</v>
      </c>
      <c r="D4" s="30" t="n">
        <f aca="false">B4-C4</f>
        <v>-0.34</v>
      </c>
    </row>
    <row r="5" customFormat="false" ht="15" hidden="false" customHeight="false" outlineLevel="0" collapsed="false">
      <c r="A5" s="4" t="s">
        <v>280</v>
      </c>
      <c r="B5" s="38" t="n">
        <v>0</v>
      </c>
      <c r="C5" s="38" t="n">
        <v>0.45</v>
      </c>
      <c r="D5" s="30" t="n">
        <f aca="false">B5-C5</f>
        <v>-0.45</v>
      </c>
    </row>
    <row r="6" customFormat="false" ht="15" hidden="false" customHeight="false" outlineLevel="0" collapsed="false">
      <c r="A6" s="4" t="s">
        <v>281</v>
      </c>
      <c r="B6" s="38" t="n">
        <v>1</v>
      </c>
      <c r="C6" s="38" t="n">
        <v>0.38</v>
      </c>
      <c r="D6" s="30" t="n">
        <f aca="false">B6-C6</f>
        <v>0.62</v>
      </c>
    </row>
    <row r="7" customFormat="false" ht="15" hidden="false" customHeight="false" outlineLevel="0" collapsed="false">
      <c r="A7" s="4" t="s">
        <v>282</v>
      </c>
      <c r="B7" s="34" t="n">
        <v>1.04109589041096</v>
      </c>
      <c r="C7" s="34" t="n">
        <v>95</v>
      </c>
      <c r="D7" s="39" t="n">
        <f aca="false">B7-C7</f>
        <v>-93.958904109589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9.7" hidden="false" customHeight="false" outlineLevel="0" collapsed="false">
      <c r="A1" s="1" t="s">
        <v>283</v>
      </c>
    </row>
    <row r="3" customFormat="false" ht="15" hidden="false" customHeight="false" outlineLevel="0" collapsed="false">
      <c r="A3" s="28" t="s">
        <v>284</v>
      </c>
      <c r="B3" s="28" t="s">
        <v>40</v>
      </c>
      <c r="C3" s="28" t="s">
        <v>171</v>
      </c>
    </row>
    <row r="4" customFormat="false" ht="15" hidden="false" customHeight="false" outlineLevel="0" collapsed="false">
      <c r="A4" s="4" t="s">
        <v>285</v>
      </c>
      <c r="B4" s="40" t="s">
        <v>286</v>
      </c>
      <c r="C4" s="4" t="s">
        <v>287</v>
      </c>
    </row>
    <row r="5" customFormat="false" ht="15" hidden="false" customHeight="false" outlineLevel="0" collapsed="false">
      <c r="A5" s="4" t="s">
        <v>288</v>
      </c>
      <c r="B5" s="40" t="s">
        <v>286</v>
      </c>
      <c r="C5" s="4" t="s">
        <v>289</v>
      </c>
    </row>
    <row r="6" customFormat="false" ht="15" hidden="false" customHeight="false" outlineLevel="0" collapsed="false">
      <c r="A6" s="4" t="s">
        <v>290</v>
      </c>
      <c r="B6" s="41" t="s">
        <v>291</v>
      </c>
      <c r="C6" s="4" t="s">
        <v>292</v>
      </c>
    </row>
    <row r="7" customFormat="false" ht="15" hidden="false" customHeight="false" outlineLevel="0" collapsed="false">
      <c r="A7" s="4" t="s">
        <v>6</v>
      </c>
      <c r="B7" s="40" t="s">
        <v>286</v>
      </c>
      <c r="C7" s="4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" t="s">
        <v>294</v>
      </c>
    </row>
    <row r="3" customFormat="false" ht="15" hidden="false" customHeight="false" outlineLevel="0" collapsed="false">
      <c r="A3" s="28" t="s">
        <v>14</v>
      </c>
      <c r="B3" s="28" t="s">
        <v>295</v>
      </c>
      <c r="C3" s="28" t="s">
        <v>296</v>
      </c>
      <c r="D3" s="28" t="s">
        <v>201</v>
      </c>
    </row>
    <row r="4" customFormat="false" ht="15" hidden="false" customHeight="false" outlineLevel="0" collapsed="false">
      <c r="A4" s="4" t="s">
        <v>297</v>
      </c>
      <c r="B4" s="5" t="n">
        <v>45726.76</v>
      </c>
      <c r="C4" s="5" t="n">
        <v>45726.76</v>
      </c>
      <c r="D4" s="9" t="n">
        <f aca="false">IF(ISNUMBER(B4),B4-C4,"—")</f>
        <v>0</v>
      </c>
    </row>
    <row r="5" customFormat="false" ht="15" hidden="false" customHeight="false" outlineLevel="0" collapsed="false">
      <c r="A5" s="4" t="s">
        <v>298</v>
      </c>
      <c r="B5" s="5" t="n">
        <v>-49275</v>
      </c>
      <c r="C5" s="5" t="n">
        <v>49275</v>
      </c>
      <c r="D5" s="9" t="n">
        <f aca="false">IF(ISNUMBER(B5),B5-C5,"—")</f>
        <v>-98550</v>
      </c>
    </row>
    <row r="6" customFormat="false" ht="15" hidden="false" customHeight="false" outlineLevel="0" collapsed="false">
      <c r="A6" s="4" t="s">
        <v>299</v>
      </c>
      <c r="C6" s="5" t="n">
        <v>30200</v>
      </c>
      <c r="D6" s="9" t="str">
        <f aca="false">IF(ISNUMBER(B6),B6-C6,"—")</f>
        <v>—</v>
      </c>
    </row>
    <row r="7" customFormat="false" ht="15" hidden="false" customHeight="false" outlineLevel="0" collapsed="false">
      <c r="A7" s="4" t="s">
        <v>300</v>
      </c>
      <c r="C7" s="5" t="n">
        <v>15526.76</v>
      </c>
      <c r="D7" s="9" t="str">
        <f aca="false">IF(ISNUMBER(B7),B7-C7,"—")</f>
        <v>—</v>
      </c>
    </row>
    <row r="8" customFormat="false" ht="15" hidden="false" customHeight="false" outlineLevel="0" collapsed="false">
      <c r="A8" s="4" t="s">
        <v>301</v>
      </c>
      <c r="C8" s="5" t="n">
        <v>0</v>
      </c>
      <c r="D8" s="9" t="str">
        <f aca="false">IF(ISNUMBER(B8),B8-C8,"—")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302</v>
      </c>
    </row>
    <row r="3" customFormat="false" ht="15" hidden="false" customHeight="false" outlineLevel="0" collapsed="false">
      <c r="A3" s="28" t="s">
        <v>276</v>
      </c>
      <c r="B3" s="28" t="s">
        <v>303</v>
      </c>
      <c r="C3" s="28" t="s">
        <v>304</v>
      </c>
    </row>
    <row r="4" customFormat="false" ht="15" hidden="false" customHeight="false" outlineLevel="0" collapsed="false">
      <c r="A4" s="42" t="s">
        <v>279</v>
      </c>
      <c r="B4" s="42" t="s">
        <v>305</v>
      </c>
      <c r="C4" s="42" t="s">
        <v>306</v>
      </c>
    </row>
    <row r="5" customFormat="false" ht="15" hidden="false" customHeight="false" outlineLevel="0" collapsed="false">
      <c r="A5" s="42" t="s">
        <v>12</v>
      </c>
      <c r="B5" s="42" t="s">
        <v>305</v>
      </c>
      <c r="C5" s="42" t="s">
        <v>307</v>
      </c>
    </row>
    <row r="6" customFormat="false" ht="15" hidden="false" customHeight="false" outlineLevel="0" collapsed="false">
      <c r="A6" s="42" t="s">
        <v>308</v>
      </c>
      <c r="B6" s="42" t="s">
        <v>309</v>
      </c>
      <c r="C6" s="42" t="s">
        <v>310</v>
      </c>
    </row>
    <row r="7" customFormat="false" ht="15" hidden="false" customHeight="false" outlineLevel="0" collapsed="false">
      <c r="A7" s="42" t="s">
        <v>281</v>
      </c>
      <c r="B7" s="42" t="s">
        <v>311</v>
      </c>
      <c r="C7" s="42" t="s">
        <v>312</v>
      </c>
    </row>
    <row r="8" customFormat="false" ht="15" hidden="false" customHeight="false" outlineLevel="0" collapsed="false">
      <c r="A8" s="42" t="s">
        <v>282</v>
      </c>
      <c r="B8" s="42" t="s">
        <v>313</v>
      </c>
      <c r="C8" s="42" t="s">
        <v>314</v>
      </c>
    </row>
    <row r="9" customFormat="false" ht="23.85" hidden="false" customHeight="false" outlineLevel="0" collapsed="false">
      <c r="A9" s="42" t="s">
        <v>315</v>
      </c>
      <c r="B9" s="42" t="s">
        <v>316</v>
      </c>
      <c r="C9" s="42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318</v>
      </c>
    </row>
    <row r="3" customFormat="false" ht="15" hidden="false" customHeight="false" outlineLevel="0" collapsed="false">
      <c r="A3" s="28" t="s">
        <v>319</v>
      </c>
      <c r="B3" s="28" t="s">
        <v>320</v>
      </c>
      <c r="C3" s="28" t="s">
        <v>125</v>
      </c>
    </row>
    <row r="4" customFormat="false" ht="15" hidden="false" customHeight="false" outlineLevel="0" collapsed="false">
      <c r="A4" s="4" t="s">
        <v>321</v>
      </c>
      <c r="B4" s="4" t="s">
        <v>322</v>
      </c>
      <c r="C4" s="4" t="s">
        <v>323</v>
      </c>
    </row>
    <row r="5" customFormat="false" ht="91" hidden="false" customHeight="false" outlineLevel="0" collapsed="false">
      <c r="A5" s="43" t="s">
        <v>324</v>
      </c>
      <c r="B5" s="44" t="s">
        <v>325</v>
      </c>
      <c r="C5" s="45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2026-04-28T00:11:58Z</dcterms:created>
  <dc:creator>openpyxl</dc:creator>
  <dc:description/>
  <dc:language>en-US</dc:language>
  <cp:lastModifiedBy/>
  <dcterms:modified xsi:type="dcterms:W3CDTF">2026-04-28T00:13:53Z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