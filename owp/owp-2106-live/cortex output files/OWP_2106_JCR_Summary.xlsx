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<sst xmlns="http://schemas.openxmlformats.org/spreadsheetml/2006/main" count="435" uniqueCount="230">
  <si>
    <t xml:space="preserve">Job #2106 · Chinn 6220 Roosevelt</t>
  </si>
  <si>
    <t xml:space="preserve">Cortex JCR Summary  •  Chinn Construction, LLC (Owner: Phoenix Property Co)</t>
  </si>
  <si>
    <t xml:space="preserve">PROJECT OVERVIEW</t>
  </si>
  <si>
    <t xml:space="preserve">Project Job #</t>
  </si>
  <si>
    <t xml:space="preserve">2106</t>
  </si>
  <si>
    <t xml:space="preserve">Project Name:</t>
  </si>
  <si>
    <t xml:space="preserve">Chinn 6220 Roosevelt</t>
  </si>
  <si>
    <t xml:space="preserve">General Contractor</t>
  </si>
  <si>
    <t xml:space="preserve">Chinn Construction, LLC (Owner: Phoenix Property Co)</t>
  </si>
  <si>
    <t xml:space="preserve">Location</t>
  </si>
  <si>
    <t xml:space="preserve">6220 Roosevelt Way NE, Seattle, WA (Roosevelt neighborhood)</t>
  </si>
  <si>
    <t xml:space="preserve">Project Duration</t>
  </si>
  <si>
    <t xml:space="preserve">Jul 2026 (target field start) – Q3 2028 (estimated) (~24 months · pre-construction)</t>
  </si>
  <si>
    <t xml:space="preserve">Status</t>
  </si>
  <si>
    <t xml:space="preserve">ACTIVE · pre-construction (early takeoff phase)</t>
  </si>
  <si>
    <t xml:space="preserve">CONTRACT VALUE</t>
  </si>
  <si>
    <t xml:space="preserve">FORECAST NET PROFIT</t>
  </si>
  <si>
    <t xml:space="preserve">DIRECT COST</t>
  </si>
  <si>
    <t xml:space="preserve">LABOR HOURS</t>
  </si>
  <si>
    <t xml:space="preserve">$49,275</t>
  </si>
  <si>
    <t xml:space="preserve">$3,548</t>
  </si>
  <si>
    <t xml:space="preserve">$45,727</t>
  </si>
  <si>
    <t xml:space="preserve">152</t>
  </si>
  <si>
    <t xml:space="preserve">$0 orig + $0 COs</t>
  </si>
  <si>
    <t xml:space="preserve">7.2% margin</t>
  </si>
  <si>
    <t xml:space="preserve">92.8% of revenue</t>
  </si>
  <si>
    <t xml:space="preserve">3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</si>
  <si>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</si>
  <si>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</si>
  <si>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</si>
  <si>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</si>
  <si>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</si>
  <si>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</si>
  <si>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</si>
  <si>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</si>
  <si>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</si>
  <si>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</si>
  <si>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</si>
  <si>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</si>
  <si>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</si>
  <si>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Plumbing Units</t>
  </si>
  <si>
    <t xml:space="preserve">Total Fixtures</t>
  </si>
  <si>
    <t xml:space="preserve">TBD</t>
  </si>
  <si>
    <t xml:space="preserve">Fixtures / Unit</t>
  </si>
  <si>
    <t xml:space="preserve">GC</t>
  </si>
  <si>
    <t xml:space="preserve">Chinn Construction, LLC</t>
  </si>
  <si>
    <t xml:space="preserve">Owner</t>
  </si>
  <si>
    <t xml:space="preserve">Phoenix Property Co</t>
  </si>
  <si>
    <t xml:space="preserve">Insurance</t>
  </si>
  <si>
    <t xml:space="preserve">Standard COI</t>
  </si>
  <si>
    <t xml:space="preserve">Duration</t>
  </si>
  <si>
    <t xml:space="preserve">~24 months · pre-construction</t>
  </si>
  <si>
    <t xml:space="preserve">Permit</t>
  </si>
  <si>
    <t xml:space="preserve">Pre-permit</t>
  </si>
  <si>
    <t xml:space="preserve">NARRATIVE</t>
  </si>
  <si>
    <t xml:space="preserve">Pre-construction project — early takeoff phase. OWP submitted final BID Dec 4 2025 to Chinn for $3,042,140 (147 units, +1 from initial 146-unit scope). Tri-State Plumbing also bidding per Master List notes. To date OWP has billed $49,275 against $45,727 sunk design+takeoff cost = $3,548 carrying margin (7.2%). Subcontract pending Chinn award decision. OWP's 8th Chinn engagement (after Greenwood, Old Town, Phinney Ridge, Legacy Apts, Luna California, Beacon Crossing, 1405 Dexter, Sundowner). Robison Engineering is the 3rd-party plumbing design-build engineer (same partnership as #2118 Edmonds Behar and #2114 Holland Ballard Blossom). Field start target Jul 2026.</t>
  </si>
  <si>
    <t xml:space="preserve">SOURCES</t>
  </si>
  <si>
    <t xml:space="preserve">Job #2106 — Chinn 6220 Roosevelt  •  GC: Chinn Construction, LLC  •  Status: ACTIVE · pre-construction (early takeoff phase)</t>
  </si>
  <si>
    <t xml:space="preserve">Canonical source: 2106_data.json (Sage Timberline JDR · Apr 3 2026 run)</t>
  </si>
  <si>
    <t xml:space="preserve">Dashboard arrays: 2106_dashboard_arrays.json (mirrors index.html PROJECTS['2106'])</t>
  </si>
  <si>
    <t xml:space="preserve">Project profile: 146 units · 6220 Roosevelt Way NE, Seattle, WA (Roosevelt neighborhood) · ~24 months · pre-construction</t>
  </si>
  <si>
    <t xml:space="preserve">Design team: Weber Thompson (architect), Emerald City (GC bridge MEP), Robison Engineering (OWP design-build engineer)</t>
  </si>
  <si>
    <t xml:space="preserve">Contract: Subcontract NOT yet executed — final BID submitted Dec 4 2025 ($3,042,140 / 147 units)</t>
  </si>
  <si>
    <t xml:space="preserve">Billing: $49,275 billed across 4 progress billings (takeoff phase). $0 retention.</t>
  </si>
  <si>
    <t xml:space="preserve">Permit: Pre-permit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</si>
  <si>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</si>
  <si>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</si>
  <si>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</si>
  <si>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</si>
  <si>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</si>
  <si>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</si>
  <si>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</si>
  <si>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</si>
  <si>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</si>
  <si>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</si>
  <si>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</si>
  <si>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OVERHEAD</t>
  </si>
  <si>
    <t xml:space="preserve">601</t>
  </si>
  <si>
    <t xml:space="preserve">Engineering/Plans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</si>
  <si>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</si>
  <si>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</si>
  <si>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</si>
  <si>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</si>
  <si>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</si>
  <si>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TOTAL Direct Cost</t>
  </si>
  <si>
    <t xml:space="preserve">Cost Breakdown — Category Deep Dive</t>
  </si>
  <si>
    <t xml:space="preserve">A. CATEGORY SHARE OF DIRECT COST</t>
  </si>
  <si>
    <t xml:space="preserve"># Codes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</si>
  <si>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</si>
  <si>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</si>
  <si>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</si>
  <si>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</si>
  <si>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</si>
  <si>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</si>
  <si>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</si>
  <si>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0 material cost codes  •  $0 JDR material  •  1 AP vendors</t>
  </si>
  <si>
    <t xml:space="preserve">A. MATERIAL BY COST CODE</t>
  </si>
  <si>
    <t xml:space="preserve">% of Mat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</si>
  <si>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</si>
  <si>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</si>
  <si>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</si>
  <si>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</si>
  <si>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</si>
  <si>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Robison Engineering, Inc.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</si>
  <si>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</si>
  <si>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</si>
  <si>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</si>
  <si>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</si>
  <si>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</si>
  <si>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</si>
  <si>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Gerard, Jeffrey S</t>
  </si>
  <si>
    <t xml:space="preserve">Senior</t>
  </si>
  <si>
    <t xml:space="preserve">Gerard, Jordan E</t>
  </si>
  <si>
    <t xml:space="preserve">Barnhart, Joseph N</t>
  </si>
  <si>
    <t xml:space="preserve">Crew Analytics — Tier Distribution &amp; Wages</t>
  </si>
  <si>
    <t xml:space="preserve">A. TIER DISTRIBUTION</t>
  </si>
  <si>
    <t xml:space="preserve"># Workers</t>
  </si>
  <si>
    <t xml:space="preserve">% of Hours</t>
  </si>
  <si>
    <t xml:space="preserve">100.0%</t>
  </si>
  <si>
    <t xml:space="preserve">B. WAGE STATISTICS</t>
  </si>
  <si>
    <t xml:space="preserve">Blended labor rate ($/hr)</t>
  </si>
  <si>
    <t xml:space="preserve">Foreman labor rate ($/hr)</t>
  </si>
  <si>
    <t xml:space="preserve">Burden multiplier</t>
  </si>
  <si>
    <t xml:space="preserve">Min wage ($/hr)</t>
  </si>
  <si>
    <t xml:space="preserve">Max wage ($/hr)</t>
  </si>
  <si>
    <t xml:space="preserve">Avg hours per worker</t>
  </si>
  <si>
    <t xml:space="preserve">Productivity — Phases by Hours</t>
  </si>
  <si>
    <t xml:space="preserve">Phase</t>
  </si>
  <si>
    <t xml:space="preserve">% of Total</t>
  </si>
  <si>
    <t xml:space="preserve">Hours/Unit</t>
  </si>
  <si>
    <t xml:space="preserve">0.7%</t>
  </si>
  <si>
    <t xml:space="preserve">Takeoff &amp; Purchasing</t>
  </si>
  <si>
    <t xml:space="preserve">99.3%</t>
  </si>
  <si>
    <t xml:space="preserve">PRODUCTIVITY RATIOS</t>
  </si>
  <si>
    <t xml:space="preserve">Revenue per unit</t>
  </si>
  <si>
    <t xml:space="preserve">$338</t>
  </si>
  <si>
    <t xml:space="preserve">Direct cost per unit</t>
  </si>
  <si>
    <t xml:space="preserve">$313</t>
  </si>
  <si>
    <t xml:space="preserve">Hours per unit</t>
  </si>
  <si>
    <t xml:space="preserve">1.04</t>
  </si>
  <si>
    <t xml:space="preserve">Revenue per hour</t>
  </si>
  <si>
    <t xml:space="preserve">$324</t>
  </si>
  <si>
    <t xml:space="preserve">Profit per hour</t>
  </si>
  <si>
    <t xml:space="preserve">$23</t>
  </si>
  <si>
    <t xml:space="preserve">PO Commitments — Vendor Concentration</t>
  </si>
  <si>
    <t xml:space="preserve">Per-PO records live in GDrive. This tab summarizes commitments by vendor concentration.</t>
  </si>
  <si>
    <t xml:space="preserve">#</t>
  </si>
  <si>
    <t xml:space="preserve">Top 5</t>
  </si>
  <si>
    <t xml:space="preserve">Billing &amp; Statement of Values</t>
  </si>
  <si>
    <t xml:space="preserve">STATEMENT OF VALUES — SUMMARY</t>
  </si>
  <si>
    <t xml:space="preserve">Original Contract</t>
  </si>
  <si>
    <t xml:space="preserve">$0</t>
  </si>
  <si>
    <t xml:space="preserve">Net Change Orders</t>
  </si>
  <si>
    <t xml:space="preserve">Final Contract</t>
  </si>
  <si>
    <t xml:space="preserve">Retainage Held</t>
  </si>
  <si>
    <t xml:space="preserve">Net Paid to OWP</t>
  </si>
  <si>
    <t xml:space="preserve">PAY APPLICATION HISTORY</t>
  </si>
  <si>
    <t xml:space="preserve">Pay App #</t>
  </si>
  <si>
    <t xml:space="preserve">Date</t>
  </si>
  <si>
    <t xml:space="preserve">This Period</t>
  </si>
  <si>
    <t xml:space="preserve">Retainage</t>
  </si>
  <si>
    <t xml:space="preserve">Net</t>
  </si>
  <si>
    <t xml:space="preserve">Cumulative</t>
  </si>
  <si>
    <t xml:space="preserve">% Contract</t>
  </si>
  <si>
    <t xml:space="preserve">01/20/26</t>
  </si>
  <si>
    <t xml:space="preserve">33.3%</t>
  </si>
  <si>
    <t xml:space="preserve">11/24/25</t>
  </si>
  <si>
    <t xml:space="preserve">166.7%</t>
  </si>
  <si>
    <t xml:space="preserve">233.3%</t>
  </si>
  <si>
    <t xml:space="preserve">Key Insights — 10 Themes</t>
  </si>
  <si>
    <t xml:space="preserve">Theme</t>
  </si>
  <si>
    <t xml:space="preserve">Insight</t>
  </si>
  <si>
    <t xml:space="preserve">MARGIN PROFILE</t>
  </si>
  <si>
    <t xml:space="preserve">Net profit of $3,548 on $49,275 revenue = 7.2% margin (takeoff phase only). Direct cost $45,727 absorbs 92.8% of revenue.</t>
  </si>
  <si>
    <t xml:space="preserve">VENDOR CONCENTRATION</t>
  </si>
  <si>
    <t xml:space="preserve">Robison Engineering, Inc. = $30,200 (100.0% of all AP) across 3 invoices. Single-vendor design-engineering relationship — Robison handles plumbing design as 3rd-party engineer.</t>
  </si>
  <si>
    <t xml:space="preserve">CREW PROFILE</t>
  </si>
  <si>
    <t xml:space="preserve">3 workers (all OWP estimating leads — Gerard family + Joseph Barnhart) for 152 hours = 51 avg hrs/worker. Pre-construction · no field crew yet.</t>
  </si>
  <si>
    <t xml:space="preserve">DESIGN-BUILD PATTERN</t>
  </si>
  <si>
    <t xml:space="preserve">Code 601 Engineering/Plans = $30,200 (Robison Engineering, 3 invoices). Code 101 Takeoff = $9,913 (150 hrs of Gerard family takeoff). Code 999 AR = -$49,275 (4 progress billings). OWP follows the same design-build subcontract pattern as #2061 Alta Columbia City and #2118 Edmonds Behar.</t>
  </si>
  <si>
    <t xml:space="preserve">BUDGET DELIVERY</t>
  </si>
  <si>
    <t xml:space="preserve">No revised expense budget yet — pre-construction. Actual direct cost $45,727 booked against Sage code structure. Field budget will populate at subcontract execution (target Jul 2026).</t>
  </si>
  <si>
    <t xml:space="preserve">CONTRACT GROWTH</t>
  </si>
  <si>
    <t xml:space="preserve">Subcontract not yet executed. OWP submitted final bid Dec 4 2025: $3,042,140 / 147 units (Chinn). Bid history: 6 BUDGET iterations Aug 2024 → May 2025 ($2.80M-$2.97M), final BID Dec 2025 = $3.04M.</t>
  </si>
  <si>
    <t xml:space="preserve">BURDEN RATIO</t>
  </si>
  <si>
    <t xml:space="preserve">Burden codes 995 + 998 = $5,545 on $9,982 labor base = 55.5%. In line with OWP's typical 48-50% labor burden (takeoff-only phase).</t>
  </si>
  <si>
    <t xml:space="preserve">PROJECT SCALE</t>
  </si>
  <si>
    <t xml:space="preserve">146 units (146 BUDGET → 147 BID per Master Project List Dec 2025). 6220 Roosevelt Way NE, Roosevelt neighborhood Seattle WA. Phoenix Property Co owner; Weber Thompson architect; Emerald City MEP bridge engineer; Robison plumbing design-build engineer.</t>
  </si>
  <si>
    <t xml:space="preserve">PRODUCTIVITY</t>
  </si>
  <si>
    <t xml:space="preserve">Blended labor rate $65.63/hr (high — Senior-only crew on takeoff). Revenue/hour $324. Profit/hour $23.</t>
  </si>
  <si>
    <t xml:space="preserve">CO PROFILE</t>
  </si>
  <si>
    <t xml:space="preserve">0 COs (pre-construction). 0 RFIs / 0 ASIs. No GDrive Job Book folder yet — will be created when project advances to field phase (target Jul 2026).</t>
  </si>
  <si>
    <t xml:space="preserve">Benchmark KPIs — Industry Reference Points</t>
  </si>
  <si>
    <t xml:space="preserve">KPI</t>
  </si>
  <si>
    <t xml:space="preserve">This Project</t>
  </si>
  <si>
    <t xml:space="preserve">OWP Median</t>
  </si>
  <si>
    <t xml:space="preserve">Industry Reference</t>
  </si>
  <si>
    <t xml:space="preserve">Gross Margin</t>
  </si>
  <si>
    <t xml:space="preserve">7.2%</t>
  </si>
  <si>
    <t xml:space="preserve">32-38%</t>
  </si>
  <si>
    <t xml:space="preserve">30-40%</t>
  </si>
  <si>
    <t xml:space="preserve">INFO</t>
  </si>
  <si>
    <t xml:space="preserve">$10-15k</t>
  </si>
  <si>
    <t xml:space="preserve">$8-20k</t>
  </si>
  <si>
    <t xml:space="preserve">$7-10k</t>
  </si>
  <si>
    <t xml:space="preserve">$6-15k</t>
  </si>
  <si>
    <t xml:space="preserve">Top vendor % of AP</t>
  </si>
  <si>
    <t xml:space="preserve">Pending vendor agg</t>
  </si>
  <si>
    <t xml:space="preserve">&lt;35%</t>
  </si>
  <si>
    <t xml:space="preserve">&lt;40%</t>
  </si>
  <si>
    <t xml:space="preserve">Burden ratio</t>
  </si>
  <si>
    <t xml:space="preserve">56%</t>
  </si>
  <si>
    <t xml:space="preserve">48-50%</t>
  </si>
  <si>
    <t xml:space="preserve">40-55%</t>
  </si>
  <si>
    <t xml:space="preserve">WATCH</t>
  </si>
  <si>
    <t xml:space="preserve">Reconciliation — Data Source Cross-Check</t>
  </si>
  <si>
    <t xml:space="preserve">Check</t>
  </si>
  <si>
    <t xml:space="preserve">Expected</t>
  </si>
  <si>
    <t xml:space="preserve">Delta</t>
  </si>
  <si>
    <t xml:space="preserve">Contract: hero block vs JDR</t>
  </si>
  <si>
    <t xml:space="preserve">—</t>
  </si>
  <si>
    <t xml:space="preserve">OK</t>
  </si>
  <si>
    <t xml:space="preserve">Billed: hero block vs JDR</t>
  </si>
  <si>
    <t xml:space="preserve">Direct cost: meta vs costCats</t>
  </si>
  <si>
    <t xml:space="preserve">Worker count: dashboard vs meta</t>
  </si>
  <si>
    <t xml:space="preserve">AP vendor count vs JDR</t>
  </si>
  <si>
    <t xml:space="preserve">Source aggregate</t>
  </si>
  <si>
    <t xml:space="preserve">Vendor Analysis</t>
  </si>
  <si>
    <t xml:space="preserve">Notes</t>
  </si>
  <si>
    <t xml:space="preserve">Concentration flag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</si>
</sst>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91919"/>
      <name val="Inter"/>
      <family val="0"/>
      <charset val="1"/>
    </font>
    <font>
      <i val="true"/>
      <sz val="9"/>
      <color rgb="FF787774"/>
      <name val="Inter"/>
      <family val="0"/>
      <charset val="1"/>
    </font>
    <font>
      <b val="true"/>
      <sz val="11"/>
      <color rgb="FF191919"/>
      <name val="Inter"/>
      <family val="0"/>
      <charset val="1"/>
    </font>
    <font>
      <b val="true"/>
      <sz val="10"/>
      <color rgb="FF191919"/>
      <name val="Inter"/>
      <family val="0"/>
      <charset val="1"/>
    </font>
    <font>
      <sz val="10"/>
      <color rgb="FF191919"/>
      <name val="Inter"/>
      <family val="0"/>
      <charset val="1"/>
    </font>
    <font>
      <sz val="9"/>
      <color rgb="FF787774"/>
      <name val="Inter"/>
      <family val="0"/>
      <charset val="1"/>
    </font>
    <font>
      <b val="true"/>
      <sz val="22"/>
      <color rgb="FF191919"/>
      <name val="Inter"/>
      <family val="0"/>
      <charset val="1"/>
    </font>
    <font>
      <b val="true"/>
      <sz val="10"/>
      <color rgb="FFFFFFFF"/>
      <name val="Inter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1F1EF"/>
        <bgColor rgb="FFFBF7F0"/>
      </patternFill>
    </fill>
    <fill>
      <patternFill patternType="solid">
        <fgColor rgb="FFFBF7F0"/>
        <bgColor rgb="FFF1F1EF"/>
      </patternFill>
    </fill>
    <fill>
      <patternFill patternType="solid">
        <fgColor rgb="FF37352F"/>
        <bgColor rgb="FF333300"/>
      </patternFill>
    </fill>
    <fill>
      <patternFill patternType="solid">
        <fgColor rgb="FFFCF1CD"/>
        <bgColor rgb="FFFBF7F0"/>
      </patternFill>
    </fill>
    <fill>
      <patternFill patternType="solid">
        <fgColor rgb="FFDDEDEA"/>
        <bgColor rgb="FFE0E0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DC"/>
      </left>
      <right style="thin">
        <color rgb="FFE0E0DC"/>
      </right>
      <top style="thin">
        <color rgb="FFE0E0DC"/>
      </top>
      <bottom style="thin">
        <color rgb="FFE0E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774"/>
      <rgbColor rgb="FF9999FF"/>
      <rgbColor rgb="FF993366"/>
      <rgbColor rgb="FFFCF1CD"/>
      <rgbColor rgb="FFDDEDEA"/>
      <rgbColor rgb="FF660066"/>
      <rgbColor rgb="FFFF8080"/>
      <rgbColor rgb="FF0066CC"/>
      <rgbColor rgb="FFE0E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EF"/>
      <rgbColor rgb="FFFBF7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91919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/>
      <c r="G6" s="5"/>
      <c r="H6" s="5"/>
    </row>
    <row r="7" customFormat="false" ht="15" hidden="false" customHeight="false" outlineLevel="0" collapsed="false">
      <c r="B7" s="4" t="s">
        <v>5</v>
      </c>
      <c r="C7" s="5" t="s">
        <v>6</v>
      </c>
      <c r="D7" s="5"/>
      <c r="E7" s="5"/>
      <c r="F7" s="5"/>
      <c r="G7" s="5"/>
      <c r="H7" s="5"/>
    </row>
    <row r="8" customFormat="false" ht="15" hidden="false" customHeight="false" outlineLevel="0" collapsed="false">
      <c r="B8" s="4" t="s">
        <v>7</v>
      </c>
      <c r="C8" s="5" t="s">
        <v>8</v>
      </c>
      <c r="D8" s="5"/>
      <c r="E8" s="5"/>
      <c r="F8" s="5"/>
      <c r="G8" s="5"/>
      <c r="H8" s="5"/>
    </row>
    <row r="9" customFormat="false" ht="15" hidden="false" customHeight="false" outlineLevel="0" collapsed="false">
      <c r="B9" s="4" t="s">
        <v>9</v>
      </c>
      <c r="C9" s="5" t="s">
        <v>10</v>
      </c>
      <c r="D9" s="5"/>
      <c r="E9" s="5"/>
      <c r="F9" s="5"/>
      <c r="G9" s="5"/>
      <c r="H9" s="5"/>
    </row>
    <row r="10" customFormat="false" ht="15" hidden="false" customHeight="false" outlineLevel="0" collapsed="false">
      <c r="B10" s="4" t="s">
        <v>11</v>
      </c>
      <c r="C10" s="5" t="s">
        <v>12</v>
      </c>
      <c r="D10" s="5"/>
      <c r="E10" s="5"/>
      <c r="F10" s="5"/>
      <c r="G10" s="5"/>
      <c r="H10" s="5"/>
    </row>
    <row r="11" customFormat="false" ht="15" hidden="false" customHeight="false" outlineLevel="0" collapsed="false">
      <c r="B11" s="4" t="s">
        <v>13</v>
      </c>
      <c r="C11" s="5" t="s">
        <v>14</v>
      </c>
      <c r="D11" s="5"/>
      <c r="E11" s="5"/>
      <c r="F11" s="5"/>
      <c r="G11" s="5"/>
      <c r="H11" s="5"/>
    </row>
    <row r="13" customFormat="false" ht="15" hidden="false" customHeight="false" outlineLevel="0" collapsed="false">
      <c r="B13" s="6" t="s">
        <v>15</v>
      </c>
      <c r="C13" s="6"/>
      <c r="D13" s="6" t="s">
        <v>16</v>
      </c>
      <c r="E13" s="6"/>
      <c r="F13" s="6" t="s">
        <v>17</v>
      </c>
      <c r="G13" s="6"/>
      <c r="H13" s="6" t="s">
        <v>18</v>
      </c>
      <c r="I13" s="6"/>
    </row>
    <row r="14" customFormat="false" ht="26.8" hidden="false" customHeight="false" outlineLevel="0" collapsed="false">
      <c r="B14" s="7" t="s">
        <v>19</v>
      </c>
      <c r="C14" s="7"/>
      <c r="D14" s="7" t="s">
        <v>20</v>
      </c>
      <c r="E14" s="7"/>
      <c r="F14" s="7" t="s">
        <v>21</v>
      </c>
      <c r="G14" s="7"/>
      <c r="H14" s="7" t="s">
        <v>22</v>
      </c>
      <c r="I14" s="7"/>
    </row>
    <row r="15" customFormat="false" ht="15" hidden="false" customHeight="false" outlineLevel="0" collapsed="false">
      <c r="B15" s="8" t="s">
        <v>23</v>
      </c>
      <c r="C15" s="8"/>
      <c r="D15" s="8" t="s">
        <v>24</v>
      </c>
      <c r="E15" s="8"/>
      <c r="F15" s="8" t="s">
        <v>25</v>
      </c>
      <c r="G15" s="8"/>
      <c r="H15" s="8" t="s">
        <v>26</v>
      </c>
      <c r="I15" s="8"/>
    </row>
    <row r="18" customFormat="false" ht="15" hidden="false" customHeight="false" outlineLevel="0" collapsed="false">
      <c r="B18" s="3" t="s">
        <v>27</v>
      </c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10" t="s">
        <v>34</v>
      </c>
      <c r="C20" s="10" t="n">
        <v>0</v>
      </c>
      <c r="D20" s="10" t="n">
        <v>9982</v>
      </c>
      <c r="E20" s="10" t="n">
        <f aca="false">C20-D20</f>
        <v>-9982</v>
      </c>
      <c r="F20" s="10" t="n">
        <f aca="false">IF(C20=0,0,D20/C20)</f>
        <v>0</v>
      </c>
      <c r="G20" s="10" t="n">
        <f aca="false">IF($D$24=0,0,D20/$D$24)</f>
        <v>0.218300310545423</v>
      </c>
    </row>
    <row r="21" customFormat="false" ht="15" hidden="false" customHeight="false" outlineLevel="0" collapsed="false">
      <c r="B21" s="10" t="s">
        <v>35</v>
      </c>
      <c r="C21" s="10" t="n">
        <v>0</v>
      </c>
      <c r="D21" s="10" t="n">
        <v>0</v>
      </c>
      <c r="E21" s="10" t="n">
        <f aca="false">C21-D21</f>
        <v>0</v>
      </c>
      <c r="F21" s="10" t="n">
        <f aca="false">IF(C21=0,0,D21/C21)</f>
        <v>0</v>
      </c>
      <c r="G21" s="10" t="n">
        <f aca="false">IF($D$24=0,0,D21/$D$24)</f>
        <v>0</v>
      </c>
    </row>
    <row r="22" customFormat="false" ht="15" hidden="false" customHeight="false" outlineLevel="0" collapsed="false">
      <c r="B22" s="10" t="s">
        <v>36</v>
      </c>
      <c r="C22" s="10" t="n">
        <v>0</v>
      </c>
      <c r="D22" s="10" t="n">
        <v>30200</v>
      </c>
      <c r="E22" s="10" t="n">
        <f aca="false">C22-D22</f>
        <v>-30200</v>
      </c>
      <c r="F22" s="10" t="n">
        <f aca="false">IF(C22=0,0,D22/C22)</f>
        <v>0</v>
      </c>
      <c r="G22" s="10" t="n">
        <f aca="false">IF($D$24=0,0,D22/$D$24)</f>
        <v>0.660455758211958</v>
      </c>
    </row>
    <row r="23" customFormat="false" ht="15" hidden="false" customHeight="false" outlineLevel="0" collapsed="false">
      <c r="B23" s="10" t="s">
        <v>37</v>
      </c>
      <c r="C23" s="10" t="n">
        <v>0</v>
      </c>
      <c r="D23" s="10" t="n">
        <v>5544</v>
      </c>
      <c r="E23" s="10" t="n">
        <f aca="false">C23-D23</f>
        <v>-5544</v>
      </c>
      <c r="F23" s="10" t="n">
        <f aca="false">IF(C23=0,0,D23/C23)</f>
        <v>0</v>
      </c>
      <c r="G23" s="10" t="n">
        <f aca="false">IF($D$24=0,0,D23/$D$24)</f>
        <v>0.121243931242619</v>
      </c>
    </row>
    <row r="24" customFormat="false" ht="15" hidden="false" customHeight="false" outlineLevel="0" collapsed="false">
      <c r="B24" s="4" t="s">
        <v>38</v>
      </c>
      <c r="C24" s="4" t="n">
        <f aca="false">SUM(C20:C23)</f>
        <v>0</v>
      </c>
      <c r="D24" s="4" t="n">
        <f aca="false">SUM(D20:D23)</f>
        <v>45726</v>
      </c>
      <c r="E24" s="4" t="n">
        <f aca="false">C24-D24</f>
        <v>-45726</v>
      </c>
      <c r="F24" s="4" t="n">
        <f aca="false">IF(C24=0,0,D24/C24)</f>
        <v>0</v>
      </c>
      <c r="G24" s="4" t="n">
        <v>1</v>
      </c>
    </row>
    <row r="27" customFormat="false" ht="15" hidden="false" customHeight="false" outlineLevel="0" collapsed="false">
      <c r="B27" s="3" t="s">
        <v>39</v>
      </c>
    </row>
    <row r="28" customFormat="false" ht="15" hidden="false" customHeight="false" outlineLevel="0" collapsed="false">
      <c r="B28" s="4" t="s">
        <v>40</v>
      </c>
      <c r="C28" s="10" t="n">
        <v>146</v>
      </c>
      <c r="D28" s="4" t="s">
        <v>41</v>
      </c>
      <c r="E28" s="10" t="s">
        <v>42</v>
      </c>
      <c r="F28" s="4" t="s">
        <v>43</v>
      </c>
      <c r="G28" s="10" t="s">
        <v>42</v>
      </c>
    </row>
    <row r="29" customFormat="false" ht="15" hidden="false" customHeight="false" outlineLevel="0" collapsed="false">
      <c r="B29" s="4" t="s">
        <v>44</v>
      </c>
      <c r="C29" s="10" t="s">
        <v>45</v>
      </c>
      <c r="D29" s="4" t="s">
        <v>46</v>
      </c>
      <c r="E29" s="10" t="s">
        <v>47</v>
      </c>
      <c r="F29" s="4" t="s">
        <v>48</v>
      </c>
      <c r="G29" s="10" t="s">
        <v>49</v>
      </c>
    </row>
    <row r="30" customFormat="false" ht="15" hidden="false" customHeight="false" outlineLevel="0" collapsed="false">
      <c r="B30" s="4" t="s">
        <v>13</v>
      </c>
      <c r="C30" s="10" t="s">
        <v>14</v>
      </c>
      <c r="D30" s="4" t="s">
        <v>50</v>
      </c>
      <c r="E30" s="10" t="s">
        <v>51</v>
      </c>
      <c r="F30" s="4" t="s">
        <v>52</v>
      </c>
      <c r="G30" s="10" t="s">
        <v>53</v>
      </c>
    </row>
    <row r="33" customFormat="false" ht="15" hidden="false" customHeight="false" outlineLevel="0" collapsed="false">
      <c r="B33" s="3" t="s">
        <v>54</v>
      </c>
    </row>
    <row r="34" customFormat="false" ht="79.5" hidden="false" customHeight="true" outlineLevel="0" collapsed="false">
      <c r="B34" s="11" t="s">
        <v>55</v>
      </c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B35" s="11"/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B36" s="11"/>
      <c r="C36" s="11"/>
      <c r="D36" s="11"/>
      <c r="E36" s="11"/>
      <c r="F36" s="11"/>
      <c r="G36" s="11"/>
      <c r="H36" s="11"/>
    </row>
    <row r="37" customFormat="false" ht="15" hidden="false" customHeight="false" outlineLevel="0" collapsed="false">
      <c r="B37" s="11"/>
      <c r="C37" s="11"/>
      <c r="D37" s="11"/>
      <c r="E37" s="11"/>
      <c r="F37" s="11"/>
      <c r="G37" s="11"/>
      <c r="H37" s="11"/>
    </row>
    <row r="38" customFormat="false" ht="15" hidden="false" customHeight="false" outlineLevel="0" collapsed="false">
      <c r="B38" s="11"/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B39" s="11"/>
      <c r="C39" s="11"/>
      <c r="D39" s="11"/>
      <c r="E39" s="11"/>
      <c r="F39" s="11"/>
      <c r="G39" s="11"/>
      <c r="H39" s="11"/>
    </row>
    <row r="41" customFormat="false" ht="15" hidden="false" customHeight="false" outlineLevel="0" collapsed="false">
      <c r="B41" s="3" t="s">
        <v>56</v>
      </c>
    </row>
    <row r="42" customFormat="false" ht="15" hidden="false" customHeight="false" outlineLevel="0" collapsed="false">
      <c r="B42" s="2" t="s">
        <v>57</v>
      </c>
    </row>
    <row r="43" customFormat="false" ht="15" hidden="false" customHeight="false" outlineLevel="0" collapsed="false">
      <c r="B43" s="2" t="s">
        <v>58</v>
      </c>
    </row>
    <row r="44" customFormat="false" ht="15" hidden="false" customHeight="false" outlineLevel="0" collapsed="false">
      <c r="B44" s="2" t="s">
        <v>59</v>
      </c>
    </row>
    <row r="45" customFormat="false" ht="15" hidden="false" customHeight="false" outlineLevel="0" collapsed="false">
      <c r="B45" s="2" t="s">
        <v>60</v>
      </c>
    </row>
    <row r="46" customFormat="false" ht="15" hidden="false" customHeight="false" outlineLevel="0" collapsed="false">
      <c r="B46" s="2" t="s">
        <v>61</v>
      </c>
    </row>
    <row r="47" customFormat="false" ht="15" hidden="false" customHeight="false" outlineLevel="0" collapsed="false">
      <c r="B47" s="2" t="s">
        <v>62</v>
      </c>
    </row>
    <row r="48" customFormat="false" ht="15" hidden="false" customHeight="false" outlineLevel="0" collapsed="false">
      <c r="B48" s="2" t="s">
        <v>63</v>
      </c>
    </row>
    <row r="49" customFormat="false" ht="15" hidden="false" customHeight="false" outlineLevel="0" collapsed="false">
      <c r="B49" s="2" t="s">
        <v>64</v>
      </c>
    </row>
  </sheetData>
  <mergeCells count="19">
    <mergeCell ref="C6:H6"/>
    <mergeCell ref="C7:H7"/>
    <mergeCell ref="C8:H8"/>
    <mergeCell ref="C9:H9"/>
    <mergeCell ref="C10:H10"/>
    <mergeCell ref="C11:H11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34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7" min="4" style="0" width="13"/>
    <col collapsed="false" customWidth="true" hidden="false" outlineLevel="0" max="8" min="8" style="0" width="10"/>
  </cols>
  <sheetData>
    <row r="2" customFormat="false" ht="22.05" hidden="false" customHeight="false" outlineLevel="0" collapsed="false">
      <c r="B2" s="1" t="s">
        <v>65</v>
      </c>
    </row>
    <row r="4" customFormat="false" ht="15" hidden="false" customHeight="false" outlineLevel="0" collapsed="false">
      <c r="B4" s="9" t="s">
        <v>66</v>
      </c>
      <c r="C4" s="9" t="s">
        <v>67</v>
      </c>
      <c r="D4" s="9" t="s">
        <v>68</v>
      </c>
      <c r="E4" s="9" t="s">
        <v>69</v>
      </c>
      <c r="F4" s="9" t="s">
        <v>30</v>
      </c>
      <c r="G4" s="9" t="s">
        <v>31</v>
      </c>
      <c r="H4" s="9" t="s">
        <v>70</v>
      </c>
    </row>
    <row r="5" customFormat="false" ht="15" hidden="false" customHeight="false" outlineLevel="0" collapsed="false">
      <c r="B5" s="12" t="s">
        <v>71</v>
      </c>
    </row>
    <row r="6" customFormat="false" ht="15" hidden="false" customHeight="false" outlineLevel="0" collapsed="false">
      <c r="B6" s="10" t="s">
        <v>72</v>
      </c>
      <c r="C6" s="10" t="s">
        <v>73</v>
      </c>
      <c r="D6" s="10" t="n">
        <v>0</v>
      </c>
      <c r="E6" s="10" t="n">
        <v>0</v>
      </c>
      <c r="F6" s="10" t="n">
        <v>69</v>
      </c>
      <c r="G6" s="10" t="n">
        <f aca="false">E6-F6</f>
        <v>-69</v>
      </c>
      <c r="H6" s="10" t="n">
        <f aca="false">IF(E6=0,0,F6/E6)</f>
        <v>0</v>
      </c>
    </row>
    <row r="7" customFormat="false" ht="15" hidden="false" customHeight="false" outlineLevel="0" collapsed="false">
      <c r="B7" s="10" t="s">
        <v>74</v>
      </c>
      <c r="C7" s="10" t="s">
        <v>75</v>
      </c>
      <c r="D7" s="10" t="n">
        <v>0</v>
      </c>
      <c r="E7" s="10" t="n">
        <v>0</v>
      </c>
      <c r="F7" s="10" t="n">
        <v>9913</v>
      </c>
      <c r="G7" s="10" t="n">
        <f aca="false">E7-F7</f>
        <v>-9913</v>
      </c>
      <c r="H7" s="10" t="n">
        <f aca="false">IF(E7=0,0,F7/E7)</f>
        <v>0</v>
      </c>
    </row>
    <row r="8" customFormat="false" ht="15" hidden="false" customHeight="false" outlineLevel="0" collapsed="false">
      <c r="B8" s="12" t="s">
        <v>76</v>
      </c>
    </row>
    <row r="9" customFormat="false" ht="15" hidden="false" customHeight="false" outlineLevel="0" collapsed="false">
      <c r="B9" s="10" t="s">
        <v>77</v>
      </c>
      <c r="C9" s="10" t="s">
        <v>78</v>
      </c>
      <c r="D9" s="10" t="n">
        <v>0</v>
      </c>
      <c r="E9" s="10" t="n">
        <v>0</v>
      </c>
      <c r="F9" s="10" t="n">
        <v>30200</v>
      </c>
      <c r="G9" s="10" t="n">
        <f aca="false">E9-F9</f>
        <v>-30200</v>
      </c>
      <c r="H9" s="10" t="n">
        <f aca="false">IF(E9=0,0,F9/E9)</f>
        <v>0</v>
      </c>
    </row>
    <row r="10" customFormat="false" ht="15" hidden="false" customHeight="false" outlineLevel="0" collapsed="false">
      <c r="B10" s="12" t="s">
        <v>79</v>
      </c>
    </row>
    <row r="11" customFormat="false" ht="15" hidden="false" customHeight="false" outlineLevel="0" collapsed="false">
      <c r="B11" s="10" t="s">
        <v>80</v>
      </c>
      <c r="C11" s="10" t="s">
        <v>81</v>
      </c>
      <c r="D11" s="10" t="n">
        <v>0</v>
      </c>
      <c r="E11" s="10" t="n">
        <v>0</v>
      </c>
      <c r="F11" s="10" t="n">
        <v>4781</v>
      </c>
      <c r="G11" s="10" t="n">
        <f aca="false">E11-F11</f>
        <v>-4781</v>
      </c>
      <c r="H11" s="10" t="n">
        <f aca="false">IF(E11=0,0,F11/E11)</f>
        <v>0</v>
      </c>
    </row>
    <row r="12" customFormat="false" ht="15" hidden="false" customHeight="false" outlineLevel="0" collapsed="false">
      <c r="B12" s="10" t="s">
        <v>82</v>
      </c>
      <c r="C12" s="10" t="s">
        <v>83</v>
      </c>
      <c r="D12" s="10" t="n">
        <v>0</v>
      </c>
      <c r="E12" s="10" t="n">
        <v>0</v>
      </c>
      <c r="F12" s="10" t="n">
        <v>764</v>
      </c>
      <c r="G12" s="10" t="n">
        <f aca="false">E12-F12</f>
        <v>-764</v>
      </c>
      <c r="H12" s="10" t="n">
        <f aca="false">IF(E12=0,0,F12/E12)</f>
        <v>0</v>
      </c>
    </row>
    <row r="14" customFormat="false" ht="15" hidden="false" customHeight="false" outlineLevel="0" collapsed="false">
      <c r="B14" s="4" t="s">
        <v>84</v>
      </c>
      <c r="D14" s="4" t="n">
        <v>45727</v>
      </c>
      <c r="E14" s="4" t="n">
        <v>45727</v>
      </c>
      <c r="F14" s="4" t="n">
        <v>45727</v>
      </c>
    </row>
    <row r="17" customFormat="false" ht="15" hidden="false" customHeight="false" outlineLevel="0" collapsed="false">
      <c r="B17" s="3" t="s">
        <v>56</v>
      </c>
    </row>
    <row r="18" customFormat="false" ht="15" hidden="false" customHeight="false" outlineLevel="0" collapsed="false">
      <c r="B18" s="2" t="s">
        <v>57</v>
      </c>
    </row>
    <row r="19" customFormat="false" ht="15" hidden="false" customHeight="false" outlineLevel="0" collapsed="false">
      <c r="B19" s="2" t="s">
        <v>58</v>
      </c>
    </row>
    <row r="20" customFormat="false" ht="15" hidden="false" customHeight="false" outlineLevel="0" collapsed="false">
      <c r="B20" s="2" t="s">
        <v>59</v>
      </c>
    </row>
    <row r="21" customFormat="false" ht="15" hidden="false" customHeight="false" outlineLevel="0" collapsed="false">
      <c r="B21" s="2" t="s">
        <v>60</v>
      </c>
    </row>
    <row r="22" customFormat="false" ht="15" hidden="false" customHeight="false" outlineLevel="0" collapsed="false">
      <c r="B22" s="2" t="s">
        <v>61</v>
      </c>
    </row>
    <row r="23" customFormat="false" ht="15" hidden="false" customHeight="false" outlineLevel="0" collapsed="false">
      <c r="B23" s="2" t="s">
        <v>62</v>
      </c>
    </row>
    <row r="24" customFormat="false" ht="15" hidden="false" customHeight="false" outlineLevel="0" collapsed="false">
      <c r="B24" s="2" t="s">
        <v>63</v>
      </c>
    </row>
    <row r="25" customFormat="false" ht="15" hidden="false" customHeight="false" outlineLevel="0" collapsed="false">
      <c r="B25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6" min="4" style="0" width="13"/>
    <col collapsed="false" customWidth="true" hidden="false" outlineLevel="0" max="8" min="7" style="0" width="10"/>
  </cols>
  <sheetData>
    <row r="2" customFormat="false" ht="22.05" hidden="false" customHeight="false" outlineLevel="0" collapsed="false">
      <c r="B2" s="1" t="s">
        <v>85</v>
      </c>
    </row>
    <row r="4" customFormat="false" ht="15" hidden="false" customHeight="false" outlineLevel="0" collapsed="false">
      <c r="B4" s="3" t="s">
        <v>86</v>
      </c>
    </row>
    <row r="5" customFormat="false" ht="15" hidden="false" customHeight="false" outlineLevel="0" collapsed="false">
      <c r="B5" s="13" t="s">
        <v>28</v>
      </c>
      <c r="C5" s="13" t="s">
        <v>87</v>
      </c>
      <c r="D5" s="13" t="s">
        <v>29</v>
      </c>
      <c r="E5" s="13" t="s">
        <v>30</v>
      </c>
      <c r="F5" s="13" t="s">
        <v>31</v>
      </c>
      <c r="G5" s="13" t="s">
        <v>32</v>
      </c>
      <c r="H5" s="13" t="s">
        <v>33</v>
      </c>
    </row>
    <row r="6" customFormat="false" ht="15" hidden="false" customHeight="false" outlineLevel="0" collapsed="false">
      <c r="B6" s="4" t="s">
        <v>34</v>
      </c>
      <c r="C6" s="10" t="n">
        <v>2</v>
      </c>
      <c r="D6" s="10" t="n">
        <v>0</v>
      </c>
      <c r="E6" s="10" t="n">
        <v>9982</v>
      </c>
      <c r="F6" s="10" t="n">
        <f aca="false">D6-E6</f>
        <v>-9982</v>
      </c>
      <c r="G6" s="10" t="n">
        <f aca="false">IF(D6=0,0,E6/D6)</f>
        <v>0</v>
      </c>
      <c r="H6" s="10" t="n">
        <f aca="false">IF(45727=0,0,E6/45727)</f>
        <v>0.218295536553896</v>
      </c>
    </row>
    <row r="7" customFormat="false" ht="15" hidden="false" customHeight="false" outlineLevel="0" collapsed="false">
      <c r="B7" s="4" t="s">
        <v>36</v>
      </c>
      <c r="C7" s="10" t="n">
        <v>1</v>
      </c>
      <c r="D7" s="10" t="n">
        <v>0</v>
      </c>
      <c r="E7" s="10" t="n">
        <v>30200</v>
      </c>
      <c r="F7" s="10" t="n">
        <f aca="false">D7-E7</f>
        <v>-30200</v>
      </c>
      <c r="G7" s="10" t="n">
        <f aca="false">IF(D7=0,0,E7/D7)</f>
        <v>0</v>
      </c>
      <c r="H7" s="10" t="n">
        <f aca="false">IF(45727=0,0,E7/45727)</f>
        <v>0.660441314759333</v>
      </c>
    </row>
    <row r="8" customFormat="false" ht="15" hidden="false" customHeight="false" outlineLevel="0" collapsed="false">
      <c r="B8" s="4" t="s">
        <v>37</v>
      </c>
      <c r="C8" s="10" t="n">
        <v>2</v>
      </c>
      <c r="D8" s="10" t="n">
        <v>0</v>
      </c>
      <c r="E8" s="10" t="n">
        <v>5545</v>
      </c>
      <c r="F8" s="10" t="n">
        <f aca="false">D8-E8</f>
        <v>-5545</v>
      </c>
      <c r="G8" s="10" t="n">
        <f aca="false">IF(D8=0,0,E8/D8)</f>
        <v>0</v>
      </c>
      <c r="H8" s="10" t="n">
        <f aca="false">IF(45727=0,0,E8/45727)</f>
        <v>0.121263148686771</v>
      </c>
    </row>
    <row r="11" customFormat="false" ht="15" hidden="false" customHeight="false" outlineLevel="0" collapsed="false">
      <c r="B11" s="3" t="s">
        <v>88</v>
      </c>
    </row>
    <row r="12" customFormat="false" ht="15" hidden="false" customHeight="false" outlineLevel="0" collapsed="false">
      <c r="B12" s="13" t="s">
        <v>66</v>
      </c>
      <c r="C12" s="13" t="s">
        <v>67</v>
      </c>
      <c r="D12" s="13" t="s">
        <v>69</v>
      </c>
      <c r="E12" s="13" t="s">
        <v>30</v>
      </c>
      <c r="F12" s="13" t="s">
        <v>89</v>
      </c>
      <c r="G12" s="13" t="s">
        <v>90</v>
      </c>
    </row>
    <row r="13" customFormat="false" ht="15" hidden="false" customHeight="false" outlineLevel="0" collapsed="false">
      <c r="B13" s="10" t="s">
        <v>77</v>
      </c>
      <c r="C13" s="10" t="s">
        <v>78</v>
      </c>
      <c r="D13" s="10" t="n">
        <v>0</v>
      </c>
      <c r="E13" s="10" t="n">
        <v>30200</v>
      </c>
      <c r="F13" s="10" t="n">
        <f aca="false">E13-D13</f>
        <v>30200</v>
      </c>
      <c r="G13" s="10" t="n">
        <f aca="false">IF(D13=0,0,F13/D13)</f>
        <v>0</v>
      </c>
    </row>
    <row r="14" customFormat="false" ht="15" hidden="false" customHeight="false" outlineLevel="0" collapsed="false">
      <c r="B14" s="10" t="s">
        <v>74</v>
      </c>
      <c r="C14" s="10" t="s">
        <v>75</v>
      </c>
      <c r="D14" s="10" t="n">
        <v>0</v>
      </c>
      <c r="E14" s="10" t="n">
        <v>9913</v>
      </c>
      <c r="F14" s="10" t="n">
        <f aca="false">E14-D14</f>
        <v>9913</v>
      </c>
      <c r="G14" s="10" t="n">
        <f aca="false">IF(D14=0,0,F14/D14)</f>
        <v>0</v>
      </c>
    </row>
    <row r="15" customFormat="false" ht="15" hidden="false" customHeight="false" outlineLevel="0" collapsed="false">
      <c r="B15" s="10" t="s">
        <v>80</v>
      </c>
      <c r="C15" s="10" t="s">
        <v>81</v>
      </c>
      <c r="D15" s="10" t="n">
        <v>0</v>
      </c>
      <c r="E15" s="10" t="n">
        <v>4781</v>
      </c>
      <c r="F15" s="10" t="n">
        <f aca="false">E15-D15</f>
        <v>4781</v>
      </c>
      <c r="G15" s="10" t="n">
        <f aca="false">IF(D15=0,0,F15/D15)</f>
        <v>0</v>
      </c>
    </row>
    <row r="16" customFormat="false" ht="15" hidden="false" customHeight="false" outlineLevel="0" collapsed="false">
      <c r="B16" s="10" t="s">
        <v>82</v>
      </c>
      <c r="C16" s="10" t="s">
        <v>83</v>
      </c>
      <c r="D16" s="10" t="n">
        <v>0</v>
      </c>
      <c r="E16" s="10" t="n">
        <v>764</v>
      </c>
      <c r="F16" s="10" t="n">
        <f aca="false">E16-D16</f>
        <v>764</v>
      </c>
      <c r="G16" s="10" t="n">
        <f aca="false">IF(D16=0,0,F16/D16)</f>
        <v>0</v>
      </c>
    </row>
    <row r="17" customFormat="false" ht="15" hidden="false" customHeight="false" outlineLevel="0" collapsed="false">
      <c r="B17" s="10" t="s">
        <v>72</v>
      </c>
      <c r="C17" s="10" t="s">
        <v>73</v>
      </c>
      <c r="D17" s="10" t="n">
        <v>0</v>
      </c>
      <c r="E17" s="10" t="n">
        <v>69</v>
      </c>
      <c r="F17" s="10" t="n">
        <f aca="false">E17-D17</f>
        <v>69</v>
      </c>
      <c r="G17" s="10" t="n">
        <f aca="false">IF(D17=0,0,F17/D17)</f>
        <v>0</v>
      </c>
    </row>
    <row r="20" customFormat="false" ht="15" hidden="false" customHeight="false" outlineLevel="0" collapsed="false">
      <c r="B20" s="3" t="s">
        <v>91</v>
      </c>
    </row>
    <row r="21" customFormat="false" ht="15" hidden="false" customHeight="false" outlineLevel="0" collapsed="false">
      <c r="B21" s="13" t="s">
        <v>66</v>
      </c>
      <c r="C21" s="13" t="s">
        <v>67</v>
      </c>
      <c r="D21" s="13" t="s">
        <v>69</v>
      </c>
      <c r="E21" s="13" t="s">
        <v>30</v>
      </c>
      <c r="F21" s="13" t="s">
        <v>92</v>
      </c>
      <c r="G21" s="13" t="s">
        <v>93</v>
      </c>
    </row>
    <row r="24" customFormat="false" ht="15" hidden="false" customHeight="false" outlineLevel="0" collapsed="false">
      <c r="B24" s="3" t="s">
        <v>56</v>
      </c>
    </row>
    <row r="25" customFormat="false" ht="15" hidden="false" customHeight="false" outlineLevel="0" collapsed="false">
      <c r="B25" s="2" t="s">
        <v>57</v>
      </c>
    </row>
    <row r="26" customFormat="false" ht="15" hidden="false" customHeight="false" outlineLevel="0" collapsed="false">
      <c r="B26" s="2" t="s">
        <v>58</v>
      </c>
    </row>
    <row r="27" customFormat="false" ht="15" hidden="false" customHeight="false" outlineLevel="0" collapsed="false">
      <c r="B27" s="2" t="s">
        <v>59</v>
      </c>
    </row>
    <row r="28" customFormat="false" ht="15" hidden="false" customHeight="false" outlineLevel="0" collapsed="false">
      <c r="B28" s="2" t="s">
        <v>60</v>
      </c>
    </row>
    <row r="29" customFormat="false" ht="15" hidden="false" customHeight="false" outlineLevel="0" collapsed="false">
      <c r="B29" s="2" t="s">
        <v>61</v>
      </c>
    </row>
    <row r="30" customFormat="false" ht="15" hidden="false" customHeight="false" outlineLevel="0" collapsed="false">
      <c r="B30" s="2" t="s">
        <v>62</v>
      </c>
    </row>
    <row r="31" customFormat="false" ht="15" hidden="false" customHeight="false" outlineLevel="0" collapsed="false">
      <c r="B31" s="2" t="s">
        <v>63</v>
      </c>
    </row>
    <row r="32" customFormat="false" ht="15" hidden="false" customHeight="false" outlineLevel="0" collapsed="false">
      <c r="B32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8" min="7" style="0" width="10"/>
  </cols>
  <sheetData>
    <row r="2" customFormat="false" ht="22.05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3" t="s">
        <v>96</v>
      </c>
    </row>
    <row r="6" customFormat="false" ht="15" hidden="false" customHeight="false" outlineLevel="0" collapsed="false">
      <c r="B6" s="13" t="s">
        <v>66</v>
      </c>
      <c r="C6" s="13" t="s">
        <v>67</v>
      </c>
      <c r="D6" s="13" t="s">
        <v>69</v>
      </c>
      <c r="E6" s="13" t="s">
        <v>30</v>
      </c>
      <c r="F6" s="13" t="s">
        <v>31</v>
      </c>
      <c r="G6" s="13" t="s">
        <v>70</v>
      </c>
      <c r="H6" s="13" t="s">
        <v>97</v>
      </c>
    </row>
    <row r="9" customFormat="false" ht="15" hidden="false" customHeight="false" outlineLevel="0" collapsed="false">
      <c r="B9" s="3" t="s">
        <v>98</v>
      </c>
    </row>
    <row r="10" customFormat="false" ht="15" hidden="false" customHeight="false" outlineLevel="0" collapsed="false">
      <c r="B10" s="13" t="s">
        <v>99</v>
      </c>
      <c r="C10" s="13" t="s">
        <v>100</v>
      </c>
      <c r="D10" s="13" t="s">
        <v>101</v>
      </c>
      <c r="E10" s="13" t="s">
        <v>102</v>
      </c>
    </row>
    <row r="11" customFormat="false" ht="15" hidden="false" customHeight="false" outlineLevel="0" collapsed="false">
      <c r="B11" s="10" t="s">
        <v>103</v>
      </c>
      <c r="C11" s="10" t="n">
        <v>3</v>
      </c>
      <c r="D11" s="10" t="n">
        <v>30200</v>
      </c>
      <c r="E11" s="10" t="n">
        <f aca="false">IF(30200=0,0,D11/30200)</f>
        <v>1</v>
      </c>
    </row>
    <row r="12" customFormat="false" ht="15" hidden="false" customHeight="false" outlineLevel="0" collapsed="false">
      <c r="B12" s="4" t="s">
        <v>38</v>
      </c>
      <c r="C12" s="4" t="n">
        <f aca="false">SUM(C11)</f>
        <v>3</v>
      </c>
      <c r="D12" s="4" t="n">
        <f aca="false">SUM(D11)</f>
        <v>30200</v>
      </c>
      <c r="E12" s="4" t="n">
        <v>1</v>
      </c>
    </row>
    <row r="15" customFormat="false" ht="15" hidden="false" customHeight="false" outlineLevel="0" collapsed="false">
      <c r="B15" s="3" t="s">
        <v>56</v>
      </c>
    </row>
    <row r="16" customFormat="false" ht="15" hidden="false" customHeight="false" outlineLevel="0" collapsed="false">
      <c r="B16" s="2" t="s">
        <v>57</v>
      </c>
    </row>
    <row r="17" customFormat="false" ht="15" hidden="false" customHeight="false" outlineLevel="0" collapsed="false">
      <c r="B17" s="2" t="s">
        <v>58</v>
      </c>
    </row>
    <row r="18" customFormat="false" ht="15" hidden="false" customHeight="false" outlineLevel="0" collapsed="false">
      <c r="B18" s="2" t="s">
        <v>59</v>
      </c>
    </row>
    <row r="19" customFormat="false" ht="15" hidden="false" customHeight="false" outlineLevel="0" collapsed="false">
      <c r="B19" s="2" t="s">
        <v>60</v>
      </c>
    </row>
    <row r="20" customFormat="false" ht="15" hidden="false" customHeight="false" outlineLevel="0" collapsed="false">
      <c r="B20" s="2" t="s">
        <v>61</v>
      </c>
    </row>
    <row r="21" customFormat="false" ht="15" hidden="false" customHeight="false" outlineLevel="0" collapsed="false">
      <c r="B21" s="2" t="s">
        <v>62</v>
      </c>
    </row>
    <row r="22" customFormat="false" ht="15" hidden="false" customHeight="false" outlineLevel="0" collapsed="false">
      <c r="B22" s="2" t="s">
        <v>63</v>
      </c>
    </row>
    <row r="23" customFormat="false" ht="15" hidden="false" customHeight="false" outlineLevel="0" collapsed="false">
      <c r="B23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</cols>
  <sheetData>
    <row r="2" customFormat="false" ht="22.05" hidden="false" customHeight="false" outlineLevel="0" collapsed="false">
      <c r="B2" s="1" t="s">
        <v>104</v>
      </c>
    </row>
    <row r="4" customFormat="false" ht="15" hidden="false" customHeight="false" outlineLevel="0" collapsed="false">
      <c r="B4" s="13" t="s">
        <v>105</v>
      </c>
      <c r="C4" s="13" t="s">
        <v>106</v>
      </c>
      <c r="D4" s="13" t="s">
        <v>107</v>
      </c>
      <c r="E4" s="13" t="s">
        <v>108</v>
      </c>
      <c r="F4" s="13" t="s">
        <v>109</v>
      </c>
    </row>
    <row r="5" customFormat="false" ht="15" hidden="false" customHeight="false" outlineLevel="0" collapsed="false">
      <c r="B5" s="10" t="s">
        <v>110</v>
      </c>
      <c r="C5" s="10" t="n">
        <v>96.5</v>
      </c>
      <c r="D5" s="10" t="n">
        <v>6658</v>
      </c>
      <c r="E5" s="10" t="n">
        <f aca="false">IF(C5=0,0,D5/C5)</f>
        <v>68.9948186528497</v>
      </c>
      <c r="F5" s="10" t="s">
        <v>111</v>
      </c>
    </row>
    <row r="6" customFormat="false" ht="15" hidden="false" customHeight="false" outlineLevel="0" collapsed="false">
      <c r="B6" s="10" t="s">
        <v>112</v>
      </c>
      <c r="C6" s="10" t="n">
        <v>53.8</v>
      </c>
      <c r="D6" s="10" t="n">
        <v>3205</v>
      </c>
      <c r="E6" s="10" t="n">
        <f aca="false">IF(C6=0,0,D6/C6)</f>
        <v>59.5724907063197</v>
      </c>
      <c r="F6" s="10" t="s">
        <v>111</v>
      </c>
    </row>
    <row r="7" customFormat="false" ht="15" hidden="false" customHeight="false" outlineLevel="0" collapsed="false">
      <c r="B7" s="10" t="s">
        <v>113</v>
      </c>
      <c r="C7" s="10" t="n">
        <v>1.8</v>
      </c>
      <c r="D7" s="10" t="n">
        <v>119</v>
      </c>
      <c r="E7" s="10" t="n">
        <f aca="false">IF(C7=0,0,D7/C7)</f>
        <v>66.1111111111111</v>
      </c>
      <c r="F7" s="10" t="s">
        <v>111</v>
      </c>
    </row>
    <row r="10" customFormat="false" ht="15" hidden="false" customHeight="false" outlineLevel="0" collapsed="false">
      <c r="B10" s="3" t="s">
        <v>56</v>
      </c>
    </row>
    <row r="11" customFormat="false" ht="15" hidden="false" customHeight="false" outlineLevel="0" collapsed="false">
      <c r="B11" s="2" t="s">
        <v>57</v>
      </c>
    </row>
    <row r="12" customFormat="false" ht="15" hidden="false" customHeight="false" outlineLevel="0" collapsed="false">
      <c r="B12" s="2" t="s">
        <v>58</v>
      </c>
    </row>
    <row r="13" customFormat="false" ht="15" hidden="false" customHeight="false" outlineLevel="0" collapsed="false">
      <c r="B13" s="2" t="s">
        <v>59</v>
      </c>
    </row>
    <row r="14" customFormat="false" ht="15" hidden="false" customHeight="false" outlineLevel="0" collapsed="false">
      <c r="B14" s="2" t="s">
        <v>60</v>
      </c>
    </row>
    <row r="15" customFormat="false" ht="15" hidden="false" customHeight="false" outlineLevel="0" collapsed="false">
      <c r="B15" s="2" t="s">
        <v>61</v>
      </c>
    </row>
    <row r="16" customFormat="false" ht="15" hidden="false" customHeight="false" outlineLevel="0" collapsed="false">
      <c r="B16" s="2" t="s">
        <v>62</v>
      </c>
    </row>
    <row r="17" customFormat="false" ht="15" hidden="false" customHeight="false" outlineLevel="0" collapsed="false">
      <c r="B17" s="2" t="s">
        <v>63</v>
      </c>
    </row>
    <row r="18" customFormat="false" ht="15" hidden="false" customHeight="false" outlineLevel="0" collapsed="false">
      <c r="B18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6" min="5" style="0" width="13"/>
  </cols>
  <sheetData>
    <row r="2" customFormat="false" ht="22.05" hidden="false" customHeight="false" outlineLevel="0" collapsed="false">
      <c r="B2" s="1" t="s">
        <v>114</v>
      </c>
    </row>
    <row r="4" customFormat="false" ht="15" hidden="false" customHeight="false" outlineLevel="0" collapsed="false">
      <c r="B4" s="3" t="s">
        <v>115</v>
      </c>
    </row>
    <row r="5" customFormat="false" ht="15" hidden="false" customHeight="false" outlineLevel="0" collapsed="false">
      <c r="B5" s="13" t="s">
        <v>109</v>
      </c>
      <c r="C5" s="13" t="s">
        <v>116</v>
      </c>
      <c r="D5" s="13" t="s">
        <v>106</v>
      </c>
      <c r="E5" s="13" t="s">
        <v>107</v>
      </c>
      <c r="F5" s="13" t="s">
        <v>117</v>
      </c>
    </row>
    <row r="6" customFormat="false" ht="15" hidden="false" customHeight="false" outlineLevel="0" collapsed="false">
      <c r="B6" s="4" t="s">
        <v>111</v>
      </c>
      <c r="C6" s="10" t="n">
        <v>3</v>
      </c>
      <c r="D6" s="10" t="n">
        <v>152.1</v>
      </c>
      <c r="E6" s="10" t="n">
        <v>9982</v>
      </c>
      <c r="F6" s="10" t="s">
        <v>118</v>
      </c>
    </row>
    <row r="9" customFormat="false" ht="15" hidden="false" customHeight="false" outlineLevel="0" collapsed="false">
      <c r="B9" s="3" t="s">
        <v>119</v>
      </c>
    </row>
    <row r="10" customFormat="false" ht="15" hidden="false" customHeight="false" outlineLevel="0" collapsed="false">
      <c r="B10" s="4" t="s">
        <v>120</v>
      </c>
      <c r="C10" s="10" t="n">
        <v>65.63</v>
      </c>
    </row>
    <row r="11" customFormat="false" ht="15" hidden="false" customHeight="false" outlineLevel="0" collapsed="false">
      <c r="B11" s="4" t="s">
        <v>121</v>
      </c>
      <c r="C11" s="10" t="n">
        <v>69</v>
      </c>
    </row>
    <row r="12" customFormat="false" ht="15" hidden="false" customHeight="false" outlineLevel="0" collapsed="false">
      <c r="B12" s="4" t="s">
        <v>122</v>
      </c>
      <c r="C12" s="10" t="n">
        <v>1</v>
      </c>
    </row>
    <row r="13" customFormat="false" ht="15" hidden="false" customHeight="false" outlineLevel="0" collapsed="false">
      <c r="B13" s="4" t="s">
        <v>123</v>
      </c>
      <c r="C13" s="10" t="n">
        <v>59.62</v>
      </c>
    </row>
    <row r="14" customFormat="false" ht="15" hidden="false" customHeight="false" outlineLevel="0" collapsed="false">
      <c r="B14" s="4" t="s">
        <v>124</v>
      </c>
      <c r="C14" s="10" t="n">
        <v>69</v>
      </c>
    </row>
    <row r="15" customFormat="false" ht="15" hidden="false" customHeight="false" outlineLevel="0" collapsed="false">
      <c r="B15" s="4" t="s">
        <v>125</v>
      </c>
      <c r="C15" s="10" t="n">
        <v>50.7</v>
      </c>
    </row>
    <row r="18" customFormat="false" ht="15" hidden="false" customHeight="false" outlineLevel="0" collapsed="false">
      <c r="B18" s="3" t="s">
        <v>56</v>
      </c>
    </row>
    <row r="19" customFormat="false" ht="15" hidden="false" customHeight="false" outlineLevel="0" collapsed="false">
      <c r="B19" s="2" t="s">
        <v>57</v>
      </c>
    </row>
    <row r="20" customFormat="false" ht="15" hidden="false" customHeight="false" outlineLevel="0" collapsed="false">
      <c r="B20" s="2" t="s">
        <v>58</v>
      </c>
    </row>
    <row r="21" customFormat="false" ht="15" hidden="false" customHeight="false" outlineLevel="0" collapsed="false">
      <c r="B21" s="2" t="s">
        <v>59</v>
      </c>
    </row>
    <row r="22" customFormat="false" ht="15" hidden="false" customHeight="false" outlineLevel="0" collapsed="false">
      <c r="B22" s="2" t="s">
        <v>60</v>
      </c>
    </row>
    <row r="23" customFormat="false" ht="15" hidden="false" customHeight="false" outlineLevel="0" collapsed="false">
      <c r="B23" s="2" t="s">
        <v>61</v>
      </c>
    </row>
    <row r="24" customFormat="false" ht="15" hidden="false" customHeight="false" outlineLevel="0" collapsed="false">
      <c r="B24" s="2" t="s">
        <v>62</v>
      </c>
    </row>
    <row r="25" customFormat="false" ht="15" hidden="false" customHeight="false" outlineLevel="0" collapsed="false">
      <c r="B25" s="2" t="s">
        <v>63</v>
      </c>
    </row>
    <row r="26" customFormat="false" ht="15" hidden="false" customHeight="false" outlineLevel="0" collapsed="false">
      <c r="B26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</cols>
  <sheetData>
    <row r="2" customFormat="false" ht="22.05" hidden="false" customHeight="false" outlineLevel="0" collapsed="false">
      <c r="B2" s="1" t="s">
        <v>126</v>
      </c>
    </row>
    <row r="4" customFormat="false" ht="15" hidden="false" customHeight="false" outlineLevel="0" collapsed="false">
      <c r="B4" s="13" t="s">
        <v>127</v>
      </c>
      <c r="C4" s="13" t="s">
        <v>66</v>
      </c>
      <c r="D4" s="13" t="s">
        <v>106</v>
      </c>
      <c r="E4" s="13" t="s">
        <v>128</v>
      </c>
      <c r="F4" s="13" t="s">
        <v>129</v>
      </c>
    </row>
    <row r="5" customFormat="false" ht="15" hidden="false" customHeight="false" outlineLevel="0" collapsed="false">
      <c r="B5" s="4" t="s">
        <v>73</v>
      </c>
      <c r="C5" s="10" t="s">
        <v>72</v>
      </c>
      <c r="D5" s="10" t="n">
        <v>1</v>
      </c>
      <c r="E5" s="10" t="s">
        <v>130</v>
      </c>
      <c r="F5" s="10" t="n">
        <v>0.01</v>
      </c>
    </row>
    <row r="6" customFormat="false" ht="15" hidden="false" customHeight="false" outlineLevel="0" collapsed="false">
      <c r="B6" s="4" t="s">
        <v>131</v>
      </c>
      <c r="C6" s="10" t="s">
        <v>74</v>
      </c>
      <c r="D6" s="10" t="n">
        <v>151</v>
      </c>
      <c r="E6" s="10" t="s">
        <v>132</v>
      </c>
      <c r="F6" s="10" t="n">
        <v>1.03</v>
      </c>
    </row>
    <row r="8" customFormat="false" ht="15" hidden="false" customHeight="false" outlineLevel="0" collapsed="false">
      <c r="B8" s="4" t="s">
        <v>38</v>
      </c>
      <c r="D8" s="4" t="n">
        <v>152</v>
      </c>
    </row>
    <row r="10" customFormat="false" ht="15" hidden="false" customHeight="false" outlineLevel="0" collapsed="false">
      <c r="B10" s="3" t="s">
        <v>133</v>
      </c>
    </row>
    <row r="11" customFormat="false" ht="15" hidden="false" customHeight="false" outlineLevel="0" collapsed="false">
      <c r="B11" s="4" t="s">
        <v>134</v>
      </c>
      <c r="C11" s="10" t="s">
        <v>135</v>
      </c>
    </row>
    <row r="12" customFormat="false" ht="15" hidden="false" customHeight="false" outlineLevel="0" collapsed="false">
      <c r="B12" s="4" t="s">
        <v>136</v>
      </c>
      <c r="C12" s="10" t="s">
        <v>137</v>
      </c>
    </row>
    <row r="13" customFormat="false" ht="15" hidden="false" customHeight="false" outlineLevel="0" collapsed="false">
      <c r="B13" s="4" t="s">
        <v>138</v>
      </c>
      <c r="C13" s="10" t="s">
        <v>139</v>
      </c>
    </row>
    <row r="14" customFormat="false" ht="15" hidden="false" customHeight="false" outlineLevel="0" collapsed="false">
      <c r="B14" s="4" t="s">
        <v>140</v>
      </c>
      <c r="C14" s="10" t="s">
        <v>141</v>
      </c>
    </row>
    <row r="15" customFormat="false" ht="15" hidden="false" customHeight="false" outlineLevel="0" collapsed="false">
      <c r="B15" s="4" t="s">
        <v>142</v>
      </c>
      <c r="C15" s="10" t="s">
        <v>143</v>
      </c>
    </row>
    <row r="18" customFormat="false" ht="15" hidden="false" customHeight="false" outlineLevel="0" collapsed="false">
      <c r="B18" s="3" t="s">
        <v>56</v>
      </c>
    </row>
    <row r="19" customFormat="false" ht="15" hidden="false" customHeight="false" outlineLevel="0" collapsed="false">
      <c r="B19" s="2" t="s">
        <v>57</v>
      </c>
    </row>
    <row r="20" customFormat="false" ht="15" hidden="false" customHeight="false" outlineLevel="0" collapsed="false">
      <c r="B20" s="2" t="s">
        <v>58</v>
      </c>
    </row>
    <row r="21" customFormat="false" ht="15" hidden="false" customHeight="false" outlineLevel="0" collapsed="false">
      <c r="B21" s="2" t="s">
        <v>59</v>
      </c>
    </row>
    <row r="22" customFormat="false" ht="15" hidden="false" customHeight="false" outlineLevel="0" collapsed="false">
      <c r="B22" s="2" t="s">
        <v>60</v>
      </c>
    </row>
    <row r="23" customFormat="false" ht="15" hidden="false" customHeight="false" outlineLevel="0" collapsed="false">
      <c r="B23" s="2" t="s">
        <v>61</v>
      </c>
    </row>
    <row r="24" customFormat="false" ht="15" hidden="false" customHeight="false" outlineLevel="0" collapsed="false">
      <c r="B24" s="2" t="s">
        <v>62</v>
      </c>
    </row>
    <row r="25" customFormat="false" ht="15" hidden="false" customHeight="false" outlineLevel="0" collapsed="false">
      <c r="B25" s="2" t="s">
        <v>63</v>
      </c>
    </row>
    <row r="26" customFormat="false" ht="15" hidden="false" customHeight="false" outlineLevel="0" collapsed="false">
      <c r="B26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</cols>
  <sheetData>
    <row r="2" customFormat="false" ht="22.05" hidden="false" customHeight="false" outlineLevel="0" collapsed="false">
      <c r="B2" s="1" t="s">
        <v>144</v>
      </c>
    </row>
    <row r="3" customFormat="false" ht="15" hidden="false" customHeight="false" outlineLevel="0" collapsed="false">
      <c r="B3" s="2" t="s">
        <v>145</v>
      </c>
    </row>
    <row r="5" customFormat="false" ht="15" hidden="false" customHeight="false" outlineLevel="0" collapsed="false">
      <c r="B5" s="13" t="s">
        <v>146</v>
      </c>
      <c r="C5" s="13" t="s">
        <v>99</v>
      </c>
      <c r="D5" s="13" t="s">
        <v>100</v>
      </c>
      <c r="E5" s="13" t="s">
        <v>101</v>
      </c>
      <c r="F5" s="13" t="s">
        <v>102</v>
      </c>
      <c r="G5" s="13" t="s">
        <v>109</v>
      </c>
    </row>
    <row r="6" customFormat="false" ht="15" hidden="false" customHeight="false" outlineLevel="0" collapsed="false">
      <c r="B6" s="10" t="n">
        <v>1</v>
      </c>
      <c r="C6" s="10" t="s">
        <v>103</v>
      </c>
      <c r="D6" s="10" t="n">
        <v>3</v>
      </c>
      <c r="E6" s="10" t="n">
        <v>30200</v>
      </c>
      <c r="F6" s="10" t="s">
        <v>118</v>
      </c>
      <c r="G6" s="10" t="s">
        <v>147</v>
      </c>
    </row>
    <row r="9" customFormat="false" ht="15" hidden="false" customHeight="false" outlineLevel="0" collapsed="false">
      <c r="B9" s="3" t="s">
        <v>56</v>
      </c>
    </row>
    <row r="10" customFormat="false" ht="15" hidden="false" customHeight="false" outlineLevel="0" collapsed="false">
      <c r="B10" s="2" t="s">
        <v>57</v>
      </c>
    </row>
    <row r="11" customFormat="false" ht="15" hidden="false" customHeight="false" outlineLevel="0" collapsed="false">
      <c r="B11" s="2" t="s">
        <v>58</v>
      </c>
    </row>
    <row r="12" customFormat="false" ht="15" hidden="false" customHeight="false" outlineLevel="0" collapsed="false">
      <c r="B12" s="2" t="s">
        <v>59</v>
      </c>
    </row>
    <row r="13" customFormat="false" ht="15" hidden="false" customHeight="false" outlineLevel="0" collapsed="false">
      <c r="B13" s="2" t="s">
        <v>60</v>
      </c>
    </row>
    <row r="14" customFormat="false" ht="15" hidden="false" customHeight="false" outlineLevel="0" collapsed="false">
      <c r="B14" s="2" t="s">
        <v>61</v>
      </c>
    </row>
    <row r="15" customFormat="false" ht="15" hidden="false" customHeight="false" outlineLevel="0" collapsed="false">
      <c r="B15" s="2" t="s">
        <v>62</v>
      </c>
    </row>
    <row r="16" customFormat="false" ht="15" hidden="false" customHeight="false" outlineLevel="0" collapsed="false">
      <c r="B16" s="2" t="s">
        <v>63</v>
      </c>
    </row>
    <row r="17" customFormat="false" ht="15" hidden="false" customHeight="false" outlineLevel="0" collapsed="false">
      <c r="B17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4"/>
    <col collapsed="false" customWidth="true" hidden="false" outlineLevel="0" max="8" min="3" style="0" width="13"/>
  </cols>
  <sheetData>
    <row r="2" customFormat="false" ht="22.05" hidden="false" customHeight="false" outlineLevel="0" collapsed="false">
      <c r="B2" s="1" t="s">
        <v>148</v>
      </c>
    </row>
    <row r="4" customFormat="false" ht="15" hidden="false" customHeight="false" outlineLevel="0" collapsed="false">
      <c r="B4" s="3" t="s">
        <v>149</v>
      </c>
    </row>
    <row r="5" customFormat="false" ht="15" hidden="false" customHeight="false" outlineLevel="0" collapsed="false">
      <c r="B5" s="4" t="s">
        <v>150</v>
      </c>
      <c r="C5" s="10" t="s">
        <v>151</v>
      </c>
    </row>
    <row r="6" customFormat="false" ht="15" hidden="false" customHeight="false" outlineLevel="0" collapsed="false">
      <c r="B6" s="4" t="s">
        <v>152</v>
      </c>
      <c r="C6" s="10" t="s">
        <v>151</v>
      </c>
    </row>
    <row r="7" customFormat="false" ht="15" hidden="false" customHeight="false" outlineLevel="0" collapsed="false">
      <c r="B7" s="4" t="s">
        <v>153</v>
      </c>
      <c r="C7" s="10" t="s">
        <v>151</v>
      </c>
    </row>
    <row r="8" customFormat="false" ht="15" hidden="false" customHeight="false" outlineLevel="0" collapsed="false">
      <c r="B8" s="4" t="s">
        <v>154</v>
      </c>
      <c r="C8" s="10" t="s">
        <v>151</v>
      </c>
    </row>
    <row r="9" customFormat="false" ht="15" hidden="false" customHeight="false" outlineLevel="0" collapsed="false">
      <c r="B9" s="4" t="s">
        <v>155</v>
      </c>
      <c r="C9" s="10" t="s">
        <v>19</v>
      </c>
    </row>
    <row r="12" customFormat="false" ht="15" hidden="false" customHeight="false" outlineLevel="0" collapsed="false">
      <c r="B12" s="3" t="s">
        <v>156</v>
      </c>
    </row>
    <row r="13" customFormat="false" ht="15" hidden="false" customHeight="false" outlineLevel="0" collapsed="false">
      <c r="B13" s="13" t="s">
        <v>157</v>
      </c>
      <c r="C13" s="13" t="s">
        <v>158</v>
      </c>
      <c r="D13" s="13" t="s">
        <v>159</v>
      </c>
      <c r="E13" s="13" t="s">
        <v>160</v>
      </c>
      <c r="F13" s="13" t="s">
        <v>161</v>
      </c>
      <c r="G13" s="13" t="s">
        <v>162</v>
      </c>
      <c r="H13" s="13" t="s">
        <v>163</v>
      </c>
    </row>
    <row r="14" customFormat="false" ht="15" hidden="false" customHeight="false" outlineLevel="0" collapsed="false">
      <c r="B14" s="10" t="n">
        <v>1</v>
      </c>
      <c r="C14" s="10" t="s">
        <v>164</v>
      </c>
      <c r="D14" s="10" t="n">
        <v>16425</v>
      </c>
      <c r="E14" s="10" t="n">
        <v>-16425</v>
      </c>
      <c r="F14" s="10" t="n">
        <v>16425</v>
      </c>
      <c r="G14" s="10" t="n">
        <v>16425</v>
      </c>
      <c r="H14" s="10" t="s">
        <v>165</v>
      </c>
    </row>
    <row r="15" customFormat="false" ht="15" hidden="false" customHeight="false" outlineLevel="0" collapsed="false">
      <c r="B15" s="10" t="n">
        <v>2</v>
      </c>
      <c r="C15" s="10" t="s">
        <v>166</v>
      </c>
      <c r="D15" s="10" t="n">
        <v>32850</v>
      </c>
      <c r="E15" s="10" t="n">
        <v>-1642</v>
      </c>
      <c r="F15" s="10" t="n">
        <v>32850</v>
      </c>
      <c r="G15" s="10" t="n">
        <v>49275</v>
      </c>
      <c r="H15" s="10" t="s">
        <v>118</v>
      </c>
    </row>
    <row r="16" customFormat="false" ht="15" hidden="false" customHeight="false" outlineLevel="0" collapsed="false">
      <c r="B16" s="10" t="n">
        <v>3</v>
      </c>
      <c r="C16" s="10" t="s">
        <v>166</v>
      </c>
      <c r="D16" s="10" t="n">
        <v>32850</v>
      </c>
      <c r="E16" s="10" t="n">
        <v>1642</v>
      </c>
      <c r="F16" s="10" t="n">
        <v>32850</v>
      </c>
      <c r="G16" s="10" t="n">
        <v>82125</v>
      </c>
      <c r="H16" s="10" t="s">
        <v>167</v>
      </c>
    </row>
    <row r="17" customFormat="false" ht="15" hidden="false" customHeight="false" outlineLevel="0" collapsed="false">
      <c r="B17" s="10" t="n">
        <v>4</v>
      </c>
      <c r="C17" s="10" t="s">
        <v>166</v>
      </c>
      <c r="D17" s="10" t="n">
        <v>32850</v>
      </c>
      <c r="E17" s="10" t="n">
        <v>-32850</v>
      </c>
      <c r="F17" s="10" t="n">
        <v>32850</v>
      </c>
      <c r="G17" s="10" t="n">
        <v>114975</v>
      </c>
      <c r="H17" s="10" t="s">
        <v>168</v>
      </c>
    </row>
    <row r="19" customFormat="false" ht="15" hidden="false" customHeight="false" outlineLevel="0" collapsed="false">
      <c r="B19" s="3" t="s">
        <v>56</v>
      </c>
    </row>
    <row r="20" customFormat="false" ht="15" hidden="false" customHeight="false" outlineLevel="0" collapsed="false">
      <c r="B20" s="2" t="s">
        <v>57</v>
      </c>
    </row>
    <row r="21" customFormat="false" ht="15" hidden="false" customHeight="false" outlineLevel="0" collapsed="false">
      <c r="B21" s="2" t="s">
        <v>58</v>
      </c>
    </row>
    <row r="22" customFormat="false" ht="15" hidden="false" customHeight="false" outlineLevel="0" collapsed="false">
      <c r="B22" s="2" t="s">
        <v>59</v>
      </c>
    </row>
    <row r="23" customFormat="false" ht="15" hidden="false" customHeight="false" outlineLevel="0" collapsed="false">
      <c r="B23" s="2" t="s">
        <v>60</v>
      </c>
    </row>
    <row r="24" customFormat="false" ht="15" hidden="false" customHeight="false" outlineLevel="0" collapsed="false">
      <c r="B24" s="2" t="s">
        <v>61</v>
      </c>
    </row>
    <row r="25" customFormat="false" ht="15" hidden="false" customHeight="false" outlineLevel="0" collapsed="false">
      <c r="B25" s="2" t="s">
        <v>62</v>
      </c>
    </row>
    <row r="26" customFormat="false" ht="15" hidden="false" customHeight="false" outlineLevel="0" collapsed="false">
      <c r="B26" s="2" t="s">
        <v>63</v>
      </c>
    </row>
    <row r="27" customFormat="false" ht="15" hidden="false" customHeight="false" outlineLevel="0" collapsed="false">
      <c r="B27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24"/>
    <col collapsed="false" customWidth="true" hidden="false" outlineLevel="0" max="4" min="4" style="0" width="80"/>
  </cols>
  <sheetData>
    <row r="2" customFormat="false" ht="22.05" hidden="false" customHeight="false" outlineLevel="0" collapsed="false">
      <c r="B2" s="1" t="s">
        <v>169</v>
      </c>
    </row>
    <row r="4" customFormat="false" ht="15" hidden="false" customHeight="false" outlineLevel="0" collapsed="false">
      <c r="B4" s="13" t="s">
        <v>146</v>
      </c>
      <c r="C4" s="13" t="s">
        <v>170</v>
      </c>
      <c r="D4" s="13" t="s">
        <v>171</v>
      </c>
    </row>
    <row r="5" customFormat="false" ht="23.85" hidden="false" customHeight="false" outlineLevel="0" collapsed="false">
      <c r="B5" s="10" t="n">
        <v>1</v>
      </c>
      <c r="C5" s="4" t="s">
        <v>172</v>
      </c>
      <c r="D5" s="14" t="s">
        <v>173</v>
      </c>
    </row>
    <row r="6" customFormat="false" ht="35.05" hidden="false" customHeight="false" outlineLevel="0" collapsed="false">
      <c r="B6" s="10" t="n">
        <v>2</v>
      </c>
      <c r="C6" s="4" t="s">
        <v>174</v>
      </c>
      <c r="D6" s="14" t="s">
        <v>175</v>
      </c>
    </row>
    <row r="7" customFormat="false" ht="23.85" hidden="false" customHeight="false" outlineLevel="0" collapsed="false">
      <c r="B7" s="10" t="n">
        <v>3</v>
      </c>
      <c r="C7" s="4" t="s">
        <v>176</v>
      </c>
      <c r="D7" s="14" t="s">
        <v>177</v>
      </c>
    </row>
    <row r="8" customFormat="false" ht="46.25" hidden="false" customHeight="false" outlineLevel="0" collapsed="false">
      <c r="B8" s="10" t="n">
        <v>4</v>
      </c>
      <c r="C8" s="4" t="s">
        <v>178</v>
      </c>
      <c r="D8" s="14" t="s">
        <v>179</v>
      </c>
    </row>
    <row r="9" customFormat="false" ht="35.05" hidden="false" customHeight="false" outlineLevel="0" collapsed="false">
      <c r="B9" s="10" t="n">
        <v>5</v>
      </c>
      <c r="C9" s="4" t="s">
        <v>180</v>
      </c>
      <c r="D9" s="14" t="s">
        <v>181</v>
      </c>
    </row>
    <row r="10" customFormat="false" ht="35.05" hidden="false" customHeight="false" outlineLevel="0" collapsed="false">
      <c r="B10" s="10" t="n">
        <v>6</v>
      </c>
      <c r="C10" s="4" t="s">
        <v>182</v>
      </c>
      <c r="D10" s="14" t="s">
        <v>183</v>
      </c>
    </row>
    <row r="11" customFormat="false" ht="23.85" hidden="false" customHeight="false" outlineLevel="0" collapsed="false">
      <c r="B11" s="10" t="n">
        <v>7</v>
      </c>
      <c r="C11" s="4" t="s">
        <v>184</v>
      </c>
      <c r="D11" s="14" t="s">
        <v>185</v>
      </c>
    </row>
    <row r="12" customFormat="false" ht="46.25" hidden="false" customHeight="false" outlineLevel="0" collapsed="false">
      <c r="B12" s="10" t="n">
        <v>8</v>
      </c>
      <c r="C12" s="4" t="s">
        <v>186</v>
      </c>
      <c r="D12" s="14" t="s">
        <v>187</v>
      </c>
    </row>
    <row r="13" customFormat="false" ht="23.85" hidden="false" customHeight="false" outlineLevel="0" collapsed="false">
      <c r="B13" s="10" t="n">
        <v>9</v>
      </c>
      <c r="C13" s="4" t="s">
        <v>188</v>
      </c>
      <c r="D13" s="14" t="s">
        <v>189</v>
      </c>
    </row>
    <row r="14" customFormat="false" ht="23.85" hidden="false" customHeight="false" outlineLevel="0" collapsed="false">
      <c r="B14" s="10" t="n">
        <v>10</v>
      </c>
      <c r="C14" s="4" t="s">
        <v>190</v>
      </c>
      <c r="D14" s="14" t="s">
        <v>191</v>
      </c>
    </row>
    <row r="17" customFormat="false" ht="15" hidden="false" customHeight="false" outlineLevel="0" collapsed="false">
      <c r="B17" s="3" t="s">
        <v>56</v>
      </c>
    </row>
    <row r="18" customFormat="false" ht="15" hidden="false" customHeight="false" outlineLevel="0" collapsed="false">
      <c r="B18" s="2" t="s">
        <v>57</v>
      </c>
    </row>
    <row r="19" customFormat="false" ht="15" hidden="false" customHeight="false" outlineLevel="0" collapsed="false">
      <c r="B19" s="2" t="s">
        <v>58</v>
      </c>
    </row>
    <row r="20" customFormat="false" ht="15" hidden="false" customHeight="false" outlineLevel="0" collapsed="false">
      <c r="B20" s="2" t="s">
        <v>59</v>
      </c>
    </row>
    <row r="21" customFormat="false" ht="15" hidden="false" customHeight="false" outlineLevel="0" collapsed="false">
      <c r="B21" s="2" t="s">
        <v>60</v>
      </c>
    </row>
    <row r="22" customFormat="false" ht="15" hidden="false" customHeight="false" outlineLevel="0" collapsed="false">
      <c r="B22" s="2" t="s">
        <v>61</v>
      </c>
    </row>
    <row r="23" customFormat="false" ht="15" hidden="false" customHeight="false" outlineLevel="0" collapsed="false">
      <c r="B23" s="2" t="s">
        <v>62</v>
      </c>
    </row>
    <row r="24" customFormat="false" ht="15" hidden="false" customHeight="false" outlineLevel="0" collapsed="false">
      <c r="B24" s="2" t="s">
        <v>63</v>
      </c>
    </row>
    <row r="25" customFormat="false" ht="15" hidden="false" customHeight="false" outlineLevel="0" collapsed="false">
      <c r="B25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0"/>
  </cols>
  <sheetData>
    <row r="2" customFormat="false" ht="22.05" hidden="false" customHeight="false" outlineLevel="0" collapsed="false">
      <c r="B2" s="1" t="s">
        <v>192</v>
      </c>
    </row>
    <row r="4" customFormat="false" ht="15" hidden="false" customHeight="false" outlineLevel="0" collapsed="false">
      <c r="B4" s="13" t="s">
        <v>193</v>
      </c>
      <c r="C4" s="13" t="s">
        <v>194</v>
      </c>
      <c r="D4" s="13" t="s">
        <v>195</v>
      </c>
      <c r="E4" s="13" t="s">
        <v>196</v>
      </c>
      <c r="F4" s="13" t="s">
        <v>13</v>
      </c>
    </row>
    <row r="5" customFormat="false" ht="15" hidden="false" customHeight="false" outlineLevel="0" collapsed="false">
      <c r="B5" s="4" t="s">
        <v>197</v>
      </c>
      <c r="C5" s="10" t="s">
        <v>198</v>
      </c>
      <c r="D5" s="10" t="s">
        <v>199</v>
      </c>
      <c r="E5" s="10" t="s">
        <v>200</v>
      </c>
      <c r="F5" s="4" t="s">
        <v>201</v>
      </c>
    </row>
    <row r="6" customFormat="false" ht="15" hidden="false" customHeight="false" outlineLevel="0" collapsed="false">
      <c r="B6" s="4" t="s">
        <v>134</v>
      </c>
      <c r="C6" s="10" t="s">
        <v>135</v>
      </c>
      <c r="D6" s="10" t="s">
        <v>202</v>
      </c>
      <c r="E6" s="10" t="s">
        <v>203</v>
      </c>
      <c r="F6" s="4" t="s">
        <v>201</v>
      </c>
    </row>
    <row r="7" customFormat="false" ht="15" hidden="false" customHeight="false" outlineLevel="0" collapsed="false">
      <c r="B7" s="4" t="s">
        <v>136</v>
      </c>
      <c r="C7" s="10" t="s">
        <v>137</v>
      </c>
      <c r="D7" s="10" t="s">
        <v>204</v>
      </c>
      <c r="E7" s="10" t="s">
        <v>205</v>
      </c>
      <c r="F7" s="4" t="s">
        <v>201</v>
      </c>
    </row>
    <row r="8" customFormat="false" ht="15" hidden="false" customHeight="false" outlineLevel="0" collapsed="false">
      <c r="B8" s="4" t="s">
        <v>206</v>
      </c>
      <c r="C8" s="10" t="s">
        <v>207</v>
      </c>
      <c r="D8" s="10" t="s">
        <v>208</v>
      </c>
      <c r="E8" s="10" t="s">
        <v>209</v>
      </c>
      <c r="F8" s="4" t="s">
        <v>201</v>
      </c>
    </row>
    <row r="9" customFormat="false" ht="15" hidden="false" customHeight="false" outlineLevel="0" collapsed="false">
      <c r="B9" s="4" t="s">
        <v>210</v>
      </c>
      <c r="C9" s="10" t="s">
        <v>211</v>
      </c>
      <c r="D9" s="10" t="s">
        <v>212</v>
      </c>
      <c r="E9" s="10" t="s">
        <v>213</v>
      </c>
      <c r="F9" s="15" t="s">
        <v>214</v>
      </c>
    </row>
    <row r="12" customFormat="false" ht="15" hidden="false" customHeight="false" outlineLevel="0" collapsed="false">
      <c r="B12" s="3" t="s">
        <v>56</v>
      </c>
    </row>
    <row r="13" customFormat="false" ht="15" hidden="false" customHeight="false" outlineLevel="0" collapsed="false">
      <c r="B13" s="2" t="s">
        <v>57</v>
      </c>
    </row>
    <row r="14" customFormat="false" ht="15" hidden="false" customHeight="false" outlineLevel="0" collapsed="false">
      <c r="B14" s="2" t="s">
        <v>58</v>
      </c>
    </row>
    <row r="15" customFormat="false" ht="15" hidden="false" customHeight="false" outlineLevel="0" collapsed="false">
      <c r="B15" s="2" t="s">
        <v>59</v>
      </c>
    </row>
    <row r="16" customFormat="false" ht="15" hidden="false" customHeight="false" outlineLevel="0" collapsed="false">
      <c r="B16" s="2" t="s">
        <v>60</v>
      </c>
    </row>
    <row r="17" customFormat="false" ht="15" hidden="false" customHeight="false" outlineLevel="0" collapsed="false">
      <c r="B17" s="2" t="s">
        <v>61</v>
      </c>
    </row>
    <row r="18" customFormat="false" ht="15" hidden="false" customHeight="false" outlineLevel="0" collapsed="false">
      <c r="B18" s="2" t="s">
        <v>62</v>
      </c>
    </row>
    <row r="19" customFormat="false" ht="15" hidden="false" customHeight="false" outlineLevel="0" collapsed="false">
      <c r="B19" s="2" t="s">
        <v>63</v>
      </c>
    </row>
    <row r="20" customFormat="false" ht="15" hidden="false" customHeight="false" outlineLevel="0" collapsed="false">
      <c r="B20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6"/>
    <col collapsed="false" customWidth="true" hidden="false" outlineLevel="0" max="4" min="3" style="0" width="16"/>
    <col collapsed="false" customWidth="true" hidden="false" outlineLevel="0" max="6" min="5" style="0" width="10"/>
  </cols>
  <sheetData>
    <row r="2" customFormat="false" ht="22.05" hidden="false" customHeight="false" outlineLevel="0" collapsed="false">
      <c r="B2" s="1" t="s">
        <v>215</v>
      </c>
    </row>
    <row r="4" customFormat="false" ht="15" hidden="false" customHeight="false" outlineLevel="0" collapsed="false">
      <c r="B4" s="13" t="s">
        <v>216</v>
      </c>
      <c r="C4" s="13" t="s">
        <v>217</v>
      </c>
      <c r="D4" s="13" t="s">
        <v>30</v>
      </c>
      <c r="E4" s="13" t="s">
        <v>218</v>
      </c>
      <c r="F4" s="13" t="s">
        <v>13</v>
      </c>
    </row>
    <row r="5" customFormat="false" ht="15" hidden="false" customHeight="false" outlineLevel="0" collapsed="false">
      <c r="B5" s="4" t="s">
        <v>219</v>
      </c>
      <c r="C5" s="10" t="s">
        <v>151</v>
      </c>
      <c r="D5" s="10" t="s">
        <v>151</v>
      </c>
      <c r="E5" s="10" t="s">
        <v>220</v>
      </c>
      <c r="F5" s="16" t="s">
        <v>221</v>
      </c>
    </row>
    <row r="6" customFormat="false" ht="15" hidden="false" customHeight="false" outlineLevel="0" collapsed="false">
      <c r="B6" s="4" t="s">
        <v>222</v>
      </c>
      <c r="C6" s="10" t="s">
        <v>19</v>
      </c>
      <c r="D6" s="10" t="s">
        <v>19</v>
      </c>
      <c r="E6" s="10" t="s">
        <v>220</v>
      </c>
      <c r="F6" s="15" t="s">
        <v>201</v>
      </c>
    </row>
    <row r="7" customFormat="false" ht="15" hidden="false" customHeight="false" outlineLevel="0" collapsed="false">
      <c r="B7" s="4" t="s">
        <v>223</v>
      </c>
      <c r="C7" s="10" t="s">
        <v>21</v>
      </c>
      <c r="D7" s="10" t="s">
        <v>21</v>
      </c>
      <c r="E7" s="10" t="s">
        <v>220</v>
      </c>
      <c r="F7" s="16" t="s">
        <v>221</v>
      </c>
    </row>
    <row r="8" customFormat="false" ht="15" hidden="false" customHeight="false" outlineLevel="0" collapsed="false">
      <c r="B8" s="4" t="s">
        <v>224</v>
      </c>
      <c r="C8" s="10" t="n">
        <v>3</v>
      </c>
      <c r="D8" s="10" t="n">
        <v>3</v>
      </c>
      <c r="E8" s="10" t="s">
        <v>220</v>
      </c>
      <c r="F8" s="16" t="s">
        <v>221</v>
      </c>
    </row>
    <row r="9" customFormat="false" ht="15" hidden="false" customHeight="false" outlineLevel="0" collapsed="false">
      <c r="B9" s="4" t="s">
        <v>225</v>
      </c>
      <c r="C9" s="10" t="s">
        <v>226</v>
      </c>
      <c r="D9" s="10" t="n">
        <v>1</v>
      </c>
      <c r="E9" s="10" t="s">
        <v>220</v>
      </c>
      <c r="F9" s="15" t="s">
        <v>201</v>
      </c>
    </row>
    <row r="12" customFormat="false" ht="15" hidden="false" customHeight="false" outlineLevel="0" collapsed="false">
      <c r="B12" s="3" t="s">
        <v>56</v>
      </c>
    </row>
    <row r="13" customFormat="false" ht="15" hidden="false" customHeight="false" outlineLevel="0" collapsed="false">
      <c r="B13" s="2" t="s">
        <v>57</v>
      </c>
    </row>
    <row r="14" customFormat="false" ht="15" hidden="false" customHeight="false" outlineLevel="0" collapsed="false">
      <c r="B14" s="2" t="s">
        <v>58</v>
      </c>
    </row>
    <row r="15" customFormat="false" ht="15" hidden="false" customHeight="false" outlineLevel="0" collapsed="false">
      <c r="B15" s="2" t="s">
        <v>59</v>
      </c>
    </row>
    <row r="16" customFormat="false" ht="15" hidden="false" customHeight="false" outlineLevel="0" collapsed="false">
      <c r="B16" s="2" t="s">
        <v>60</v>
      </c>
    </row>
    <row r="17" customFormat="false" ht="15" hidden="false" customHeight="false" outlineLevel="0" collapsed="false">
      <c r="B17" s="2" t="s">
        <v>61</v>
      </c>
    </row>
    <row r="18" customFormat="false" ht="15" hidden="false" customHeight="false" outlineLevel="0" collapsed="false">
      <c r="B18" s="2" t="s">
        <v>62</v>
      </c>
    </row>
    <row r="19" customFormat="false" ht="15" hidden="false" customHeight="false" outlineLevel="0" collapsed="false">
      <c r="B19" s="2" t="s">
        <v>63</v>
      </c>
    </row>
    <row r="20" customFormat="false" ht="15" hidden="false" customHeight="false" outlineLevel="0" collapsed="false">
      <c r="B20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0"/>
  </cols>
  <sheetData>
    <row r="2" customFormat="false" ht="22.05" hidden="false" customHeight="false" outlineLevel="0" collapsed="false">
      <c r="B2" s="1" t="s">
        <v>227</v>
      </c>
    </row>
    <row r="4" customFormat="false" ht="15" hidden="false" customHeight="false" outlineLevel="0" collapsed="false">
      <c r="B4" s="13" t="s">
        <v>146</v>
      </c>
      <c r="C4" s="13" t="s">
        <v>99</v>
      </c>
      <c r="D4" s="13" t="s">
        <v>100</v>
      </c>
      <c r="E4" s="13" t="s">
        <v>101</v>
      </c>
      <c r="F4" s="13" t="s">
        <v>102</v>
      </c>
      <c r="G4" s="13" t="s">
        <v>228</v>
      </c>
    </row>
    <row r="5" customFormat="false" ht="15" hidden="false" customHeight="false" outlineLevel="0" collapsed="false">
      <c r="B5" s="10" t="n">
        <v>1</v>
      </c>
      <c r="C5" s="10" t="s">
        <v>103</v>
      </c>
      <c r="D5" s="10" t="n">
        <v>3</v>
      </c>
      <c r="E5" s="10" t="n">
        <v>30200</v>
      </c>
      <c r="F5" s="10" t="s">
        <v>118</v>
      </c>
      <c r="G5" s="2" t="s">
        <v>229</v>
      </c>
    </row>
    <row r="8" customFormat="false" ht="15" hidden="false" customHeight="false" outlineLevel="0" collapsed="false">
      <c r="B8" s="3" t="s">
        <v>56</v>
      </c>
    </row>
    <row r="9" customFormat="false" ht="15" hidden="false" customHeight="false" outlineLevel="0" collapsed="false">
      <c r="B9" s="2" t="s">
        <v>57</v>
      </c>
    </row>
    <row r="10" customFormat="false" ht="15" hidden="false" customHeight="false" outlineLevel="0" collapsed="false">
      <c r="B10" s="2" t="s">
        <v>58</v>
      </c>
    </row>
    <row r="11" customFormat="false" ht="15" hidden="false" customHeight="false" outlineLevel="0" collapsed="false">
      <c r="B11" s="2" t="s">
        <v>59</v>
      </c>
    </row>
    <row r="12" customFormat="false" ht="15" hidden="false" customHeight="false" outlineLevel="0" collapsed="false">
      <c r="B12" s="2" t="s">
        <v>60</v>
      </c>
    </row>
    <row r="13" customFormat="false" ht="15" hidden="false" customHeight="false" outlineLevel="0" collapsed="false">
      <c r="B13" s="2" t="s">
        <v>61</v>
      </c>
    </row>
    <row r="14" customFormat="false" ht="15" hidden="false" customHeight="false" outlineLevel="0" collapsed="false">
      <c r="B14" s="2" t="s">
        <v>62</v>
      </c>
    </row>
    <row r="15" customFormat="false" ht="15" hidden="false" customHeight="false" outlineLevel="0" collapsed="false">
      <c r="B15" s="2" t="s">
        <v>63</v>
      </c>
    </row>
    <row r="16" customFormat="false" ht="15" hidden="false" customHeight="false" outlineLevel="0" collapsed="false">
      <c r="B16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2026-04-28T00:14:18Z</dcterms:created>
  <dc:creator>openpyxl</dc:creator>
  <dc:description/>
  <dc:language>en-US</dc:language>
  <cp:lastModifiedBy/>
  <dcterms:modified xsi:type="dcterms:W3CDTF">2026-04-28T00:14:18Z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