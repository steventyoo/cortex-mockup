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D5DEC5"/>
      </patternFill>
    </fill>
    <fill>
      <patternFill patternType="solid">
        <fgColor rgb="00E8CEC3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#2119 · The Frank (508 Fremont)</t>
        </is>
      </c>
    </row>
    <row r="2">
      <c r="A2" s="2" t="inlineStr">
        <is>
          <t>Exxel Pacific, Inc. · None units · Live / in-progress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0</v>
      </c>
    </row>
    <row r="6">
      <c r="A6" s="4" t="inlineStr">
        <is>
          <t>Revised budget (expenses)</t>
        </is>
      </c>
      <c r="B6" s="5" t="n">
        <v>0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0</v>
      </c>
    </row>
    <row r="12">
      <c r="A12" s="4" t="inlineStr">
        <is>
          <t>Retention held</t>
        </is>
      </c>
      <c r="B12" s="5" t="n">
        <v>0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0</v>
      </c>
    </row>
    <row r="20">
      <c r="A20" s="4" t="inlineStr">
        <is>
          <t>AP</t>
        </is>
      </c>
      <c r="B20" s="9" t="n">
        <v>0</v>
      </c>
    </row>
    <row r="21">
      <c r="A21" s="4" t="inlineStr">
        <is>
          <t>PR</t>
        </is>
      </c>
      <c r="B21" s="9" t="n">
        <v>0</v>
      </c>
    </row>
    <row r="22">
      <c r="A22" s="4" t="inlineStr">
        <is>
          <t>AR</t>
        </is>
      </c>
      <c r="B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2119</t>
        </is>
      </c>
    </row>
    <row r="4">
      <c r="A4" s="10" t="inlineStr">
        <is>
          <t>Project name</t>
        </is>
      </c>
      <c r="B4" s="4" t="inlineStr">
        <is>
          <t>The Frank (508 Fremont)</t>
        </is>
      </c>
    </row>
    <row r="5">
      <c r="A5" s="10" t="inlineStr">
        <is>
          <t>General contractor</t>
        </is>
      </c>
      <c r="B5" s="4" t="inlineStr">
        <is>
          <t>Exxel Pacific, Inc.</t>
        </is>
      </c>
    </row>
    <row r="6">
      <c r="A6" s="10" t="inlineStr">
        <is>
          <t>Owner</t>
        </is>
      </c>
      <c r="B6" s="4" t="inlineStr">
        <is>
          <t>Graham (developer)</t>
        </is>
      </c>
    </row>
    <row r="7">
      <c r="A7" s="10" t="inlineStr">
        <is>
          <t>Units</t>
        </is>
      </c>
      <c r="B7" s="4" t="n"/>
    </row>
    <row r="8">
      <c r="A8" s="10" t="inlineStr">
        <is>
          <t>Insurance</t>
        </is>
      </c>
      <c r="B8" s="4" t="inlineStr">
        <is>
          <t>Standard (COI)</t>
        </is>
      </c>
    </row>
    <row r="9">
      <c r="A9" s="10" t="inlineStr">
        <is>
          <t>Job start</t>
        </is>
      </c>
      <c r="B9" s="4" t="inlineStr">
        <is>
          <t>TBD</t>
        </is>
      </c>
    </row>
    <row r="10">
      <c r="A10" s="10" t="inlineStr">
        <is>
          <t>Expected completion</t>
        </is>
      </c>
      <c r="B10" s="4" t="inlineStr">
        <is>
          <t>TBD</t>
        </is>
      </c>
    </row>
    <row r="11">
      <c r="A11" s="10" t="inlineStr">
        <is>
          <t>Architect</t>
        </is>
      </c>
      <c r="B11" s="4" t="n"/>
    </row>
    <row r="12">
      <c r="A12" s="10" t="inlineStr">
        <is>
          <t>MEP Engineer</t>
        </is>
      </c>
      <c r="B12" s="4" t="n"/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Apr 3,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0</v>
      </c>
      <c r="C4" s="5" t="n">
        <v>0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0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10" t="inlineStr">
        <is>
          <t>TOTAL</t>
        </is>
      </c>
      <c r="C4" s="6">
        <f>SUM(C4:C3)</f>
        <v/>
      </c>
      <c r="D4" s="6">
        <f>SUM(D4:D3)</f>
        <v/>
      </c>
      <c r="E4" s="6">
        <f>SUM(E4:E3)</f>
        <v/>
      </c>
      <c r="F4" s="6">
        <f>SUM(F4:F3)</f>
        <v/>
      </c>
      <c r="G4" s="6">
        <f>SUM(G4:G3)</f>
        <v/>
      </c>
      <c r="H4" s="7">
        <f>IFERROR(E4/D4,0)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0</v>
      </c>
      <c r="C4" s="5" t="n">
        <v>0</v>
      </c>
      <c r="D4" s="5" t="n">
        <v>0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0</v>
      </c>
      <c r="C5" s="5" t="n">
        <v>0</v>
      </c>
      <c r="D5" s="5" t="n">
        <v>0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0</v>
      </c>
      <c r="C6" s="5" t="n">
        <v>0</v>
      </c>
      <c r="D6" s="5" t="n">
        <v>0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0</v>
      </c>
      <c r="C7" s="5" t="n">
        <v>0</v>
      </c>
      <c r="D7" s="5" t="n">
        <v>0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10" t="inlineStr">
        <is>
          <t>TOTAL AP</t>
        </is>
      </c>
      <c r="B4" s="6">
        <f>SUM(B4:B3)</f>
        <v/>
      </c>
      <c r="C4" s="14">
        <f>SUM(C4:C3)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0</v>
      </c>
      <c r="C4" s="15" t="n">
        <v>0</v>
      </c>
      <c r="D4" s="5" t="n">
        <v>0</v>
      </c>
      <c r="E4" s="12">
        <f>IFERROR(C4/SUM(C$4:C$7),0)</f>
        <v/>
      </c>
    </row>
    <row r="5">
      <c r="A5" s="10" t="inlineStr">
        <is>
          <t>JOURNEYMAN</t>
        </is>
      </c>
      <c r="B5" s="4" t="n">
        <v>0</v>
      </c>
      <c r="C5" s="15" t="n">
        <v>0</v>
      </c>
      <c r="D5" s="5" t="n">
        <v>0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5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5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5" t="n">
        <v>0</v>
      </c>
    </row>
    <row r="4">
      <c r="A4" s="4" t="inlineStr">
        <is>
          <t>Active workers</t>
        </is>
      </c>
      <c r="B4" s="16" t="n">
        <v>0</v>
      </c>
    </row>
    <row r="5">
      <c r="A5" s="4" t="inlineStr">
        <is>
          <t>Hours per unit (to date)</t>
        </is>
      </c>
      <c r="B5" s="15" t="n">
        <v>0</v>
      </c>
    </row>
    <row r="6">
      <c r="A6" s="4" t="inlineStr">
        <is>
          <t>Revenue per labor hour (billed)</t>
        </is>
      </c>
      <c r="B6" s="17" t="n">
        <v>0</v>
      </c>
    </row>
    <row r="7">
      <c r="A7" s="4" t="inlineStr">
        <is>
          <t>Percent complete</t>
        </is>
      </c>
      <c r="B7" s="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18" t="n">
        <v>0</v>
      </c>
      <c r="C4" s="18" t="n">
        <v>0.34</v>
      </c>
      <c r="D4" s="12">
        <f>B4-C4</f>
        <v/>
      </c>
    </row>
    <row r="5">
      <c r="A5" s="4" t="inlineStr">
        <is>
          <t>Roughin labor share (code 120)</t>
        </is>
      </c>
      <c r="B5" s="18" t="n">
        <v>0</v>
      </c>
      <c r="C5" s="18" t="n">
        <v>0.45</v>
      </c>
      <c r="D5" s="12">
        <f>B5-C5</f>
        <v/>
      </c>
    </row>
    <row r="6">
      <c r="A6" s="4" t="inlineStr">
        <is>
          <t>Top vendor concentration</t>
        </is>
      </c>
      <c r="B6" s="18" t="n">
        <v>0</v>
      </c>
      <c r="C6" s="18" t="n">
        <v>0.38</v>
      </c>
      <c r="D6" s="12">
        <f>B6-C6</f>
        <v/>
      </c>
    </row>
    <row r="7">
      <c r="A7" s="4" t="inlineStr">
        <is>
          <t>Hours per unit</t>
        </is>
      </c>
      <c r="B7" s="15" t="n">
        <v>0</v>
      </c>
      <c r="C7" s="15" t="n">
        <v>95</v>
      </c>
      <c r="D7" s="19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Retention aging</t>
        </is>
      </c>
      <c r="B4" s="20" t="inlineStr">
        <is>
          <t>✓ OK</t>
        </is>
      </c>
      <c r="C4" s="4" t="inlineStr">
        <is>
          <t>$0 held · 0.0% of billed · standard range</t>
        </is>
      </c>
    </row>
    <row r="5">
      <c r="A5" s="4" t="inlineStr">
        <is>
          <t>Forecast margin</t>
        </is>
      </c>
      <c r="B5" s="21" t="inlineStr">
        <is>
          <t>⚠ WATCH</t>
        </is>
      </c>
      <c r="C5" s="4" t="inlineStr">
        <is>
          <t>0.0%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0</v>
      </c>
      <c r="C4" s="5" t="n">
        <v>0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0</v>
      </c>
      <c r="C5" s="5" t="n">
        <v>-0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0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0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0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2" t="inlineStr">
        <is>
          <t>Forecast margin %</t>
        </is>
      </c>
      <c r="B4" s="22" t="inlineStr">
        <is>
          <t>01 Overview</t>
        </is>
      </c>
      <c r="C4" s="22" t="inlineStr">
        <is>
          <t>Forecast net profit / Revised contract value</t>
        </is>
      </c>
    </row>
    <row r="5">
      <c r="A5" s="22" t="inlineStr">
        <is>
          <t>Percent complete</t>
        </is>
      </c>
      <c r="B5" s="22" t="inlineStr">
        <is>
          <t>01 Overview</t>
        </is>
      </c>
      <c r="C5" s="22" t="inlineStr">
        <is>
          <t>Billed to date / Revised contract value</t>
        </is>
      </c>
    </row>
    <row r="6">
      <c r="A6" s="22" t="inlineStr">
        <is>
          <t>Roughin labor share</t>
        </is>
      </c>
      <c r="B6" s="22" t="inlineStr">
        <is>
          <t>06 Cost Codes</t>
        </is>
      </c>
      <c r="C6" s="22" t="inlineStr">
        <is>
          <t>Code 120 revised / Total labor revised budget</t>
        </is>
      </c>
    </row>
    <row r="7">
      <c r="A7" s="22" t="inlineStr">
        <is>
          <t>Top vendor concentration</t>
        </is>
      </c>
      <c r="B7" s="22" t="inlineStr">
        <is>
          <t>09 Vendor Analysis</t>
        </is>
      </c>
      <c r="C7" s="22" t="inlineStr">
        <is>
          <t>Largest single vendor AP spend / Total AP</t>
        </is>
      </c>
    </row>
    <row r="8">
      <c r="A8" s="22" t="inlineStr">
        <is>
          <t>Hours per unit</t>
        </is>
      </c>
      <c r="B8" s="22" t="inlineStr">
        <is>
          <t>12 Productivity</t>
        </is>
      </c>
      <c r="C8" s="22" t="inlineStr">
        <is>
          <t>Total PR hours to date / Unit count</t>
        </is>
      </c>
    </row>
    <row r="9">
      <c r="A9" s="22" t="inlineStr">
        <is>
          <t>BVA status codes</t>
        </is>
      </c>
      <c r="B9" s="22" t="inlineStr">
        <is>
          <t>08 BVA</t>
        </is>
      </c>
      <c r="C9" s="22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2026-04-24</t>
        </is>
      </c>
      <c r="B4" s="4" t="inlineStr">
        <is>
          <t>v1.0 · live</t>
        </is>
      </c>
      <c r="C4" s="4" t="inlineStr">
        <is>
          <t>Initial build for #2119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2026-04-24T21:10:54Z</dcterms:created>
  <dcterms:modified xmlns:dcterms="http://purl.org/dc/terms/" xmlns:xsi="http://www.w3.org/2001/XMLSchema-instance" xsi:type="dcterms:W3CDTF">2026-04-24T21:10:54Z</dcterms:modified>
</cp:coreProperties>
</file>