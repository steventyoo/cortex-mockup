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9 Vend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<sst xmlns="http://schemas.openxmlformats.org/spreadsheetml/2006/main" count="36" uniqueCount="35">
  <si>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2019 — Exxel Pacific 8th &amp; Republican Apartments — Vendor Detail</t>
  </si>
  <si>
    <t xml:space="preserve">Vendors</t>
  </si>
  <si>
    <t xml:space="preserve">Invoices</t>
  </si>
  <si>
    <t xml:space="preserve">Total AP</t>
  </si>
  <si>
    <t xml:space="preserve">Rank</t>
  </si>
  <si>
    <t xml:space="preserve">Vendor</t>
  </si>
  <si>
    <t xml:space="preserve">Vendor Code</t>
  </si>
  <si>
    <t xml:space="preserve">Total Spend</t>
  </si>
  <si>
    <t xml:space="preserve">% of AP</t>
  </si>
  <si>
    <t xml:space="preserve">Rosen Supply Company, Inc.</t>
  </si>
  <si>
    <t xml:space="preserve">Ferguson Enterprises, Inc.</t>
  </si>
  <si>
    <t xml:space="preserve">Keller Supply Company</t>
  </si>
  <si>
    <t xml:space="preserve">Franklin Engineering</t>
  </si>
  <si>
    <t xml:space="preserve">Mechanical Sales, Inc.</t>
  </si>
  <si>
    <t xml:space="preserve">Consolidated Supply Co.</t>
  </si>
  <si>
    <t xml:space="preserve">Hudson Bay Insulation</t>
  </si>
  <si>
    <t xml:space="preserve">Capital One Credit Card</t>
  </si>
  <si>
    <t xml:space="preserve">Bank of America CC</t>
  </si>
  <si>
    <t xml:space="preserve">United Rentals, Inc.</t>
  </si>
  <si>
    <t xml:space="preserve">Scan2Core, Inc.</t>
  </si>
  <si>
    <t xml:space="preserve">Quality Concrete Products, Inc.</t>
  </si>
  <si>
    <t xml:space="preserve">Rosen Supply Kirkland</t>
  </si>
  <si>
    <t xml:space="preserve">Ferguson Enterprises, Inc. #3007</t>
  </si>
  <si>
    <t xml:space="preserve">Balco Inc</t>
  </si>
  <si>
    <t xml:space="preserve">Kele, Inc</t>
  </si>
  <si>
    <t xml:space="preserve">MAD Concrete Cutting &amp; Coring, Inc.</t>
  </si>
  <si>
    <t xml:space="preserve">Standard Parking</t>
  </si>
  <si>
    <t xml:space="preserve">AllWest Underground, Inc.</t>
  </si>
  <si>
    <t xml:space="preserve">C.M. Hoskins Company</t>
  </si>
  <si>
    <t xml:space="preserve">A.R. Brown Backflow Testing</t>
  </si>
  <si>
    <t xml:space="preserve">Fastenal Company</t>
  </si>
  <si>
    <t xml:space="preserve">Lotus United, LLC</t>
  </si>
  <si>
    <t xml:space="preserve">ACME Corp</t>
  </si>
  <si>
    <t xml:space="preserve">Manor Hardware &amp; Construction Supply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</si>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</sst>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n">
        <v>25</v>
      </c>
    </row>
    <row r="4" customFormat="false" ht="15" hidden="false" customHeight="false" outlineLevel="0" collapsed="false">
      <c r="A4" s="2" t="s">
        <v>2</v>
      </c>
      <c r="B4" s="0" t="n">
        <v>402</v>
      </c>
    </row>
    <row r="5" customFormat="false" ht="15" hidden="false" customHeight="false" outlineLevel="0" collapsed="false">
      <c r="A5" s="2" t="s">
        <v>3</v>
      </c>
      <c r="B5" s="3" t="n">
        <v>766653.25</v>
      </c>
    </row>
    <row r="7" customFormat="false" ht="19.5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2</v>
      </c>
      <c r="E7" s="4" t="s">
        <v>7</v>
      </c>
      <c r="F7" s="4" t="s">
        <v>8</v>
      </c>
    </row>
    <row r="8" customFormat="false" ht="15" hidden="false" customHeight="false" outlineLevel="0" collapsed="false">
      <c r="A8" s="5" t="n">
        <v>1</v>
      </c>
      <c r="B8" s="6" t="s">
        <v>9</v>
      </c>
      <c r="C8" s="5"/>
      <c r="D8" s="5" t="n">
        <v>97</v>
      </c>
      <c r="E8" s="7" t="n">
        <v>248013.68</v>
      </c>
      <c r="F8" s="8" t="n">
        <f aca="false">E8/E$33</f>
        <v>0.323501765628725</v>
      </c>
    </row>
    <row r="9" customFormat="false" ht="15" hidden="false" customHeight="false" outlineLevel="0" collapsed="false">
      <c r="A9" s="9" t="n">
        <v>2</v>
      </c>
      <c r="B9" s="10" t="s">
        <v>10</v>
      </c>
      <c r="C9" s="9"/>
      <c r="D9" s="9" t="n">
        <v>57</v>
      </c>
      <c r="E9" s="11" t="n">
        <v>104759.63</v>
      </c>
      <c r="F9" s="12" t="n">
        <f aca="false">E9/E$33</f>
        <v>0.136645386946445</v>
      </c>
    </row>
    <row r="10" customFormat="false" ht="15" hidden="false" customHeight="false" outlineLevel="0" collapsed="false">
      <c r="A10" s="5" t="n">
        <v>3</v>
      </c>
      <c r="B10" s="6" t="s">
        <v>11</v>
      </c>
      <c r="C10" s="5"/>
      <c r="D10" s="5" t="n">
        <v>66</v>
      </c>
      <c r="E10" s="7" t="n">
        <v>101721.98</v>
      </c>
      <c r="F10" s="8" t="n">
        <f aca="false">E10/E$33</f>
        <v>0.132683165433656</v>
      </c>
    </row>
    <row r="11" customFormat="false" ht="15" hidden="false" customHeight="false" outlineLevel="0" collapsed="false">
      <c r="A11" s="9" t="n">
        <v>4</v>
      </c>
      <c r="B11" s="10" t="s">
        <v>12</v>
      </c>
      <c r="C11" s="9"/>
      <c r="D11" s="9" t="n">
        <v>19</v>
      </c>
      <c r="E11" s="11" t="n">
        <v>94572.5</v>
      </c>
      <c r="F11" s="12" t="n">
        <f aca="false">E11/E$33</f>
        <v>0.123357593540496</v>
      </c>
    </row>
    <row r="12" customFormat="false" ht="15" hidden="false" customHeight="false" outlineLevel="0" collapsed="false">
      <c r="A12" s="5" t="n">
        <v>5</v>
      </c>
      <c r="B12" s="6" t="s">
        <v>13</v>
      </c>
      <c r="C12" s="5"/>
      <c r="D12" s="5" t="n">
        <v>4</v>
      </c>
      <c r="E12" s="7" t="n">
        <v>70651.37</v>
      </c>
      <c r="F12" s="8" t="n">
        <f aca="false">E12/E$33</f>
        <v>0.0921555735921031</v>
      </c>
    </row>
    <row r="13" customFormat="false" ht="15" hidden="false" customHeight="false" outlineLevel="0" collapsed="false">
      <c r="A13" s="9" t="n">
        <v>6</v>
      </c>
      <c r="B13" s="10" t="s">
        <v>14</v>
      </c>
      <c r="C13" s="9"/>
      <c r="D13" s="9" t="n">
        <v>27</v>
      </c>
      <c r="E13" s="11" t="n">
        <v>45650.81</v>
      </c>
      <c r="F13" s="12" t="n">
        <f aca="false">E13/E$33</f>
        <v>0.0595455768302032</v>
      </c>
    </row>
    <row r="14" customFormat="false" ht="15" hidden="false" customHeight="false" outlineLevel="0" collapsed="false">
      <c r="A14" s="5" t="n">
        <v>7</v>
      </c>
      <c r="B14" s="6" t="s">
        <v>15</v>
      </c>
      <c r="C14" s="5"/>
      <c r="D14" s="5" t="n">
        <v>1</v>
      </c>
      <c r="E14" s="7" t="n">
        <v>19963</v>
      </c>
      <c r="F14" s="8" t="n">
        <f aca="false">E14/E$33</f>
        <v>0.0260391513373223</v>
      </c>
    </row>
    <row r="15" customFormat="false" ht="15" hidden="false" customHeight="false" outlineLevel="0" collapsed="false">
      <c r="A15" s="9" t="n">
        <v>8</v>
      </c>
      <c r="B15" s="10" t="s">
        <v>16</v>
      </c>
      <c r="C15" s="9"/>
      <c r="D15" s="9" t="n">
        <v>59</v>
      </c>
      <c r="E15" s="11" t="n">
        <v>18513.01</v>
      </c>
      <c r="F15" s="12" t="n">
        <f aca="false">E15/E$33</f>
        <v>0.0241478269347974</v>
      </c>
    </row>
    <row r="16" customFormat="false" ht="15" hidden="false" customHeight="false" outlineLevel="0" collapsed="false">
      <c r="A16" s="5" t="n">
        <v>9</v>
      </c>
      <c r="B16" s="6" t="s">
        <v>17</v>
      </c>
      <c r="C16" s="5"/>
      <c r="D16" s="5" t="n">
        <v>10</v>
      </c>
      <c r="E16" s="7" t="n">
        <v>16471.05</v>
      </c>
      <c r="F16" s="8" t="n">
        <f aca="false">E16/E$33</f>
        <v>0.0214843542370687</v>
      </c>
    </row>
    <row r="17" customFormat="false" ht="15" hidden="false" customHeight="false" outlineLevel="0" collapsed="false">
      <c r="A17" s="9" t="n">
        <v>10</v>
      </c>
      <c r="B17" s="10" t="s">
        <v>18</v>
      </c>
      <c r="C17" s="9"/>
      <c r="D17" s="9" t="n">
        <v>18</v>
      </c>
      <c r="E17" s="11" t="n">
        <v>9870.42</v>
      </c>
      <c r="F17" s="12" t="n">
        <f aca="false">E17/E$33</f>
        <v>0.0128746861765733</v>
      </c>
    </row>
    <row r="18" customFormat="false" ht="15" hidden="false" customHeight="false" outlineLevel="0" collapsed="false">
      <c r="A18" s="5" t="n">
        <v>11</v>
      </c>
      <c r="B18" s="6" t="s">
        <v>19</v>
      </c>
      <c r="C18" s="5"/>
      <c r="D18" s="5" t="n">
        <v>7</v>
      </c>
      <c r="E18" s="7" t="n">
        <v>8878</v>
      </c>
      <c r="F18" s="8" t="n">
        <f aca="false">E18/E$33</f>
        <v>0.0115802026535464</v>
      </c>
    </row>
    <row r="19" customFormat="false" ht="15" hidden="false" customHeight="false" outlineLevel="0" collapsed="false">
      <c r="A19" s="9" t="n">
        <v>12</v>
      </c>
      <c r="B19" s="10" t="s">
        <v>20</v>
      </c>
      <c r="C19" s="9"/>
      <c r="D19" s="9" t="n">
        <v>3</v>
      </c>
      <c r="E19" s="11" t="n">
        <v>6463.4</v>
      </c>
      <c r="F19" s="12" t="n">
        <f aca="false">E19/E$33</f>
        <v>0.00843066927584276</v>
      </c>
    </row>
    <row r="20" customFormat="false" ht="15" hidden="false" customHeight="false" outlineLevel="0" collapsed="false">
      <c r="A20" s="5" t="n">
        <v>13</v>
      </c>
      <c r="B20" s="6" t="s">
        <v>21</v>
      </c>
      <c r="C20" s="5"/>
      <c r="D20" s="5" t="n">
        <v>7</v>
      </c>
      <c r="E20" s="7" t="n">
        <v>4731.84</v>
      </c>
      <c r="F20" s="8" t="n">
        <f aca="false">E20/E$33</f>
        <v>0.00617207322867281</v>
      </c>
    </row>
    <row r="21" customFormat="false" ht="15" hidden="false" customHeight="false" outlineLevel="0" collapsed="false">
      <c r="A21" s="9" t="n">
        <v>14</v>
      </c>
      <c r="B21" s="10" t="s">
        <v>22</v>
      </c>
      <c r="C21" s="9"/>
      <c r="D21" s="9" t="n">
        <v>3</v>
      </c>
      <c r="E21" s="11" t="n">
        <v>4012.56</v>
      </c>
      <c r="F21" s="12" t="n">
        <f aca="false">E21/E$33</f>
        <v>0.00523386550568983</v>
      </c>
    </row>
    <row r="22" customFormat="false" ht="15" hidden="false" customHeight="false" outlineLevel="0" collapsed="false">
      <c r="A22" s="5" t="n">
        <v>15</v>
      </c>
      <c r="B22" s="6" t="s">
        <v>23</v>
      </c>
      <c r="C22" s="5"/>
      <c r="D22" s="5" t="n">
        <v>1</v>
      </c>
      <c r="E22" s="7" t="n">
        <v>3908</v>
      </c>
      <c r="F22" s="8" t="n">
        <f aca="false">E22/E$33</f>
        <v>0.00509748051025676</v>
      </c>
    </row>
    <row r="23" customFormat="false" ht="15" hidden="false" customHeight="false" outlineLevel="0" collapsed="false">
      <c r="A23" s="9" t="n">
        <v>16</v>
      </c>
      <c r="B23" s="10" t="s">
        <v>24</v>
      </c>
      <c r="C23" s="9"/>
      <c r="D23" s="9" t="n">
        <v>4</v>
      </c>
      <c r="E23" s="11" t="n">
        <v>2674.82</v>
      </c>
      <c r="F23" s="12" t="n">
        <f aca="false">E23/E$33</f>
        <v>0.00348895670891632</v>
      </c>
    </row>
    <row r="24" customFormat="false" ht="15" hidden="false" customHeight="false" outlineLevel="0" collapsed="false">
      <c r="A24" s="5" t="n">
        <v>17</v>
      </c>
      <c r="B24" s="6" t="s">
        <v>25</v>
      </c>
      <c r="C24" s="5"/>
      <c r="D24" s="5" t="n">
        <v>1</v>
      </c>
      <c r="E24" s="7" t="n">
        <v>1775</v>
      </c>
      <c r="F24" s="8" t="n">
        <f aca="false">E24/E$33</f>
        <v>0.00231525790831774</v>
      </c>
    </row>
    <row r="25" customFormat="false" ht="15" hidden="false" customHeight="false" outlineLevel="0" collapsed="false">
      <c r="A25" s="9" t="n">
        <v>18</v>
      </c>
      <c r="B25" s="10" t="s">
        <v>26</v>
      </c>
      <c r="C25" s="9"/>
      <c r="D25" s="9" t="n">
        <v>3</v>
      </c>
      <c r="E25" s="11" t="n">
        <v>1526.25</v>
      </c>
      <c r="F25" s="12" t="n">
        <f aca="false">E25/E$33</f>
        <v>0.00199079570849012</v>
      </c>
    </row>
    <row r="26" customFormat="false" ht="15" hidden="false" customHeight="false" outlineLevel="0" collapsed="false">
      <c r="A26" s="5" t="n">
        <v>19</v>
      </c>
      <c r="B26" s="6" t="s">
        <v>27</v>
      </c>
      <c r="C26" s="5"/>
      <c r="D26" s="5" t="n">
        <v>1</v>
      </c>
      <c r="E26" s="7" t="n">
        <v>671.5</v>
      </c>
      <c r="F26" s="8" t="n">
        <f aca="false">E26/E$33</f>
        <v>0.000875884893203022</v>
      </c>
    </row>
    <row r="27" customFormat="false" ht="15" hidden="false" customHeight="false" outlineLevel="0" collapsed="false">
      <c r="A27" s="9" t="n">
        <v>20</v>
      </c>
      <c r="B27" s="10" t="s">
        <v>28</v>
      </c>
      <c r="C27" s="9"/>
      <c r="D27" s="9" t="n">
        <v>2</v>
      </c>
      <c r="E27" s="11" t="n">
        <v>607.04</v>
      </c>
      <c r="F27" s="12" t="n">
        <f aca="false">E27/E$33</f>
        <v>0.000791805160938142</v>
      </c>
    </row>
    <row r="28" customFormat="false" ht="15" hidden="false" customHeight="false" outlineLevel="0" collapsed="false">
      <c r="A28" s="5" t="n">
        <v>21</v>
      </c>
      <c r="B28" s="6" t="s">
        <v>29</v>
      </c>
      <c r="C28" s="5"/>
      <c r="D28" s="5" t="n">
        <v>3</v>
      </c>
      <c r="E28" s="7" t="n">
        <v>470.35</v>
      </c>
      <c r="F28" s="8" t="n">
        <f aca="false">E28/E$33</f>
        <v>0.000613510736437888</v>
      </c>
    </row>
    <row r="29" customFormat="false" ht="15" hidden="false" customHeight="false" outlineLevel="0" collapsed="false">
      <c r="A29" s="9" t="n">
        <v>22</v>
      </c>
      <c r="B29" s="10" t="s">
        <v>30</v>
      </c>
      <c r="C29" s="9"/>
      <c r="D29" s="9" t="n">
        <v>5</v>
      </c>
      <c r="E29" s="11" t="n">
        <v>351.93</v>
      </c>
      <c r="F29" s="12" t="n">
        <f aca="false">E29/E$33</f>
        <v>0.000459047163760148</v>
      </c>
    </row>
    <row r="30" customFormat="false" ht="15" hidden="false" customHeight="false" outlineLevel="0" collapsed="false">
      <c r="A30" s="5" t="n">
        <v>23</v>
      </c>
      <c r="B30" s="6" t="s">
        <v>31</v>
      </c>
      <c r="C30" s="5"/>
      <c r="D30" s="5" t="n">
        <v>1</v>
      </c>
      <c r="E30" s="7" t="n">
        <v>155</v>
      </c>
      <c r="F30" s="8" t="n">
        <f aca="false">E30/E$33</f>
        <v>0.000202177451148873</v>
      </c>
    </row>
    <row r="31" customFormat="false" ht="15" hidden="false" customHeight="false" outlineLevel="0" collapsed="false">
      <c r="A31" s="9" t="n">
        <v>24</v>
      </c>
      <c r="B31" s="10" t="s">
        <v>32</v>
      </c>
      <c r="C31" s="9"/>
      <c r="D31" s="9" t="n">
        <v>2</v>
      </c>
      <c r="E31" s="11" t="n">
        <v>150.11</v>
      </c>
      <c r="F31" s="12" t="n">
        <f aca="false">E31/E$33</f>
        <v>0.00019579907865779</v>
      </c>
    </row>
    <row r="32" customFormat="false" ht="15" hidden="false" customHeight="false" outlineLevel="0" collapsed="false">
      <c r="A32" s="5" t="n">
        <v>25</v>
      </c>
      <c r="B32" s="6" t="s">
        <v>33</v>
      </c>
      <c r="C32" s="5"/>
      <c r="D32" s="5" t="n">
        <v>1</v>
      </c>
      <c r="E32" s="7" t="n">
        <v>90</v>
      </c>
      <c r="F32" s="8" t="n">
        <f aca="false">E32/E$33</f>
        <v>0.000117393358731604</v>
      </c>
    </row>
    <row r="33" customFormat="false" ht="15" hidden="false" customHeight="false" outlineLevel="0" collapsed="false">
      <c r="A33" s="13"/>
      <c r="B33" s="14" t="s">
        <v>34</v>
      </c>
      <c r="C33" s="13"/>
      <c r="D33" s="14" t="n">
        <f aca="false">SUM(D8:D32)</f>
        <v>402</v>
      </c>
      <c r="E33" s="15" t="n">
        <f aca="false">SUM(E8:E32)</f>
        <v>766653.25</v>
      </c>
      <c r="F33" s="16" t="n">
        <f aca="false">SUM(F8:F32)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2026-04-09T16:41:08Z</dcterms:created>
  <dc:creator>openpyxl</dc:creator>
  <dc:description/>
  <dc:language>en-US</dc:language>
  <cp:lastModifiedBy/>
  <dcterms:modified xsi:type="dcterms:W3CDTF">2026-04-09T16:41:08Z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