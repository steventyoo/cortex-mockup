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Change Log" sheetId="12" state="visible" r:id="rId14"/>
    <sheet name="Root Cause Analysis" sheetId="13" state="visible" r:id="rId15"/>
    <sheet name="Predictive Signals" sheetId="14" state="visible" r:id="rId16"/>
    <sheet name="Metric Registry" sheetId="15" state="visible" r:id="rId17"/>
    <sheet name="Reconciliation" sheetId="16" state="visible" r:id="rId18"/>
    <sheet name="Vendor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<sst xmlns="http://schemas.openxmlformats.org/spreadsheetml/2006/main" count="1683" uniqueCount="890">
  <si>
    <t xml:space="preserve">Job #2019 · Exxel Pacific 8th &amp; Republican Apartments</t>
  </si>
  <si>
    <t xml:space="preserve">Cortex JCR Summary  •  Exxel Pacific, Inc. (Owner: The Wolff Company)  •  Seattle, WA (430 8th Ave N)  •  8-story 211-unit multifamily apartments + ground-floor retail/amenity  •  Sep 2014 – Jul 2016 (~22 months)</t>
  </si>
  <si>
    <t xml:space="preserve">PROJECT OVERVIEW</t>
  </si>
  <si>
    <t xml:space="preserve">Project Job #</t>
  </si>
  <si>
    <t xml:space="preserve">2019</t>
  </si>
  <si>
    <t xml:space="preserve">Project Name:</t>
  </si>
  <si>
    <t xml:space="preserve">Exxel Pacific 8th &amp; Republican Apartments</t>
  </si>
  <si>
    <t xml:space="preserve">General Contractor</t>
  </si>
  <si>
    <t xml:space="preserve">Exxel Pacific, Inc. (Owner: The Wolff Company)</t>
  </si>
  <si>
    <t xml:space="preserve">Location</t>
  </si>
  <si>
    <t xml:space="preserve">Seattle, WA (430 8th Ave N)</t>
  </si>
  <si>
    <t xml:space="preserve">Project Duration</t>
  </si>
  <si>
    <t xml:space="preserve">Sep 2014 – Jul 2016 (~22 months)</t>
  </si>
  <si>
    <t xml:space="preserve">Total Unique Documents</t>
  </si>
  <si>
    <t xml:space="preserve">8th &amp; Republican folder: Contract, Billing (20 SOVs + aggregate), PO_s (trim consolidated), COs (10), Permits, Invoices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</si>
  <si>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</si>
  <si>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</si>
  <si>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</si>
  <si>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</si>
  <si>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$2,877,219</t>
  </si>
  <si>
    <t xml:space="preserve">$1,353,160</t>
  </si>
  <si>
    <t xml:space="preserve">$1,524,059</t>
  </si>
  <si>
    <t xml:space="preserve">26,599</t>
  </si>
  <si>
    <t xml:space="preserve">Original $2,721,210 + $156,009 COs (10)</t>
  </si>
  <si>
    <t xml:space="preserve">47.0% margin</t>
  </si>
  <si>
    <t xml:space="preserve">53.0% of revenue</t>
  </si>
  <si>
    <t xml:space="preserve">56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</si>
  <si>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</si>
  <si>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</si>
  <si>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</si>
  <si>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</si>
  <si>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</si>
  <si>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</si>
  <si>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</si>
  <si>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</si>
  <si>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</si>
  <si>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</si>
  <si>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</si>
  <si>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</si>
  <si>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</si>
  <si>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Metric</t>
  </si>
  <si>
    <t xml:space="preserve">Value</t>
  </si>
  <si>
    <t xml:space="preserve">Plumbing Units</t>
  </si>
  <si>
    <t xml:space="preserve">211</t>
  </si>
  <si>
    <t xml:space="preserve">Water Closets</t>
  </si>
  <si>
    <t xml:space="preserve">Kitchen Sinks</t>
  </si>
  <si>
    <t xml:space="preserve">Total Fixtures</t>
  </si>
  <si>
    <t xml:space="preserve">1,196</t>
  </si>
  <si>
    <t xml:space="preserve">Lavatories</t>
  </si>
  <si>
    <t xml:space="preserve">255</t>
  </si>
  <si>
    <t xml:space="preserve">Dishwashers</t>
  </si>
  <si>
    <t xml:space="preserve">Fixtures / Unit</t>
  </si>
  <si>
    <t xml:space="preserve">5.67</t>
  </si>
  <si>
    <t xml:space="preserve">Tubs/Showers</t>
  </si>
  <si>
    <t xml:space="preserve">214</t>
  </si>
  <si>
    <t xml:space="preserve">Auto Washers</t>
  </si>
  <si>
    <t xml:space="preserve">Floors</t>
  </si>
  <si>
    <t xml:space="preserve">L1 retail/amenity + L2–L8 residential</t>
  </si>
  <si>
    <t xml:space="preserve">Floor Drains</t>
  </si>
  <si>
    <t xml:space="preserve">49</t>
  </si>
  <si>
    <t xml:space="preserve">Urinals</t>
  </si>
  <si>
    <t xml:space="preserve">2</t>
  </si>
  <si>
    <t xml:space="preserve">Roof Drains</t>
  </si>
  <si>
    <t xml:space="preserve">10</t>
  </si>
  <si>
    <t xml:space="preserve">Duration</t>
  </si>
  <si>
    <t xml:space="preserve">22 mo</t>
  </si>
  <si>
    <t xml:space="preserve">SOURCES</t>
  </si>
  <si>
    <t xml:space="preserve">Job #2019 — Exxel Pacific 8th &amp; Republican Apartments  •  GC: Exxel Pacific, Inc. (Owner: The Wolff Company)  •  Seattle, WA</t>
  </si>
  <si>
    <t xml:space="preserve">Canonical source: 2019 Job Detail Report.pdf (249 pages, OWP Sage Timberline export)</t>
  </si>
  <si>
    <t xml:space="preserve">Cost codes parsed: 25 (Labor+Material+Overhead+Burden+Revenue)</t>
  </si>
  <si>
    <t xml:space="preserve">Unit count (211) confirmed by two independent sources:</t>
  </si>
  <si>
    <t xml:space="preserve">  1) Keller Supply consolidated trim PO (8TH REP TRIM - KELLER.xlsx): 211 Delta 4159-DST kitchen faucets</t>
  </si>
  <si>
    <t xml:space="preserve">  2) Seattle/King County plumbing permit #1459 ($11,925 fee, 10/23/2014): Water Closet field = 211</t>
  </si>
  <si>
    <t xml:space="preserve">Fixture breakdown from same permit: Lavs 255, Tubs/Showers 214, Kitchen 211, DW 211, Floor Drains 49, Urinals 2, Sump 8, Roof Drains 10, + misc = ~1,196</t>
  </si>
  <si>
    <t xml:space="preserve">Billing: REPUBLICAN AGGREGATE BILLING.xlsx (20 pay apps, Sep 2014 – Jun 2016) + 20 underlying SOV files</t>
  </si>
  <si>
    <t xml:space="preserve">Change orders: 10 COs net +$156,008.60 (can layout, acoustical wrap, added boilers, ASI 15/48, premium time, etc.)</t>
  </si>
  <si>
    <t xml:space="preserve">Budget vs Actual — All Cost Codes</t>
  </si>
  <si>
    <t xml:space="preserve">Code</t>
  </si>
  <si>
    <t xml:space="preserve">Description</t>
  </si>
  <si>
    <t xml:space="preserve">Orig Budget</t>
  </si>
  <si>
    <t xml:space="preserve">Rev Budget</t>
  </si>
  <si>
    <t xml:space="preserve">% Used</t>
  </si>
  <si>
    <t xml:space="preserve">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</si>
  <si>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</si>
  <si>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</si>
  <si>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</si>
  <si>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</si>
  <si>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</si>
  <si>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</si>
  <si>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</si>
  <si>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</si>
  <si>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</si>
  <si>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</si>
  <si>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</si>
  <si>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</si>
  <si>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</si>
  <si>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</si>
  <si>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</si>
  <si>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</si>
  <si>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</si>
  <si>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</si>
  <si>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</si>
  <si>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</si>
  <si>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MATERIAL</t>
  </si>
  <si>
    <t xml:space="preserve">210</t>
  </si>
  <si>
    <t xml:space="preserve">Underground Material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</si>
  <si>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</si>
  <si>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</si>
  <si>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</si>
  <si>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</si>
  <si>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</si>
  <si>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</si>
  <si>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</si>
  <si>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</si>
  <si>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</si>
  <si>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</si>
  <si>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</si>
  <si>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</si>
  <si>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</si>
  <si>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244</t>
  </si>
  <si>
    <t xml:space="preserve">Fire Caulking Material</t>
  </si>
  <si>
    <t xml:space="preserve">OVERHEAD</t>
  </si>
  <si>
    <t xml:space="preserve">600</t>
  </si>
  <si>
    <t xml:space="preserve">Subcontractor</t>
  </si>
  <si>
    <t xml:space="preserve">601</t>
  </si>
  <si>
    <t xml:space="preserve">Engineering/Plans</t>
  </si>
  <si>
    <t xml:space="preserve">603</t>
  </si>
  <si>
    <t xml:space="preserve">Permits &amp; Licenses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</si>
  <si>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</si>
  <si>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</si>
  <si>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</si>
  <si>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</si>
  <si>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</si>
  <si>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Direct Cost</t>
  </si>
  <si>
    <t xml:space="preserve">Cost Breakdown — Category Deep Dive</t>
  </si>
  <si>
    <t xml:space="preserve">A. CATEGORY SHARE OF DIRECT COST</t>
  </si>
  <si>
    <t xml:space="preserve"># Codes</t>
  </si>
  <si>
    <t xml:space="preserve">Per Unit</t>
  </si>
  <si>
    <t xml:space="preserve">B. LARGEST OVERRUNS (Actual &gt; Revised Budget)</t>
  </si>
  <si>
    <t xml:space="preserve">Overrun</t>
  </si>
  <si>
    <t xml:space="preserve">% Over</t>
  </si>
  <si>
    <t xml:space="preserve">C. LARGEST SAVINGS (Actual &lt; Revised Budget)</t>
  </si>
  <si>
    <t xml:space="preserve">Savings</t>
  </si>
  <si>
    <t xml:space="preserve">% Under</t>
  </si>
  <si>
    <t xml:space="preserve">Material Spend Analysis</t>
  </si>
  <si>
    <t xml:space="preserve">9 material cost codes  •  $660,549 JDR material  •  25 AP vendors  •  $766,653 total AP</t>
  </si>
  <si>
    <t xml:space="preserve">A. MATERIAL BY COST CODE</t>
  </si>
  <si>
    <t xml:space="preserve">% of Mat</t>
  </si>
  <si>
    <t xml:space="preserve">All Material</t>
  </si>
  <si>
    <t xml:space="preserve">B. VENDORS BY SPEND (AP)</t>
  </si>
  <si>
    <t xml:space="preserve">Vendor</t>
  </si>
  <si>
    <t xml:space="preserve"># Invoices</t>
  </si>
  <si>
    <t xml:space="preserve">Total Spend</t>
  </si>
  <si>
    <t xml:space="preserve">% of AP</t>
  </si>
  <si>
    <t xml:space="preserve">Avg Invoice</t>
  </si>
  <si>
    <t xml:space="preserve">Rosen Supply Company, Inc.</t>
  </si>
  <si>
    <t xml:space="preserve">Ferguson Enterprises, Inc.</t>
  </si>
  <si>
    <t xml:space="preserve">Keller Supply Company</t>
  </si>
  <si>
    <t xml:space="preserve">Franklin Engineering</t>
  </si>
  <si>
    <t xml:space="preserve">Mechanical Sales, Inc.</t>
  </si>
  <si>
    <t xml:space="preserve">Consolidated Supply Co.</t>
  </si>
  <si>
    <t xml:space="preserve">Hudson Bay Insulation</t>
  </si>
  <si>
    <t xml:space="preserve">Capital One Credit Card</t>
  </si>
  <si>
    <t xml:space="preserve">Bank of America CC</t>
  </si>
  <si>
    <t xml:space="preserve">United Rentals, Inc.</t>
  </si>
  <si>
    <t xml:space="preserve">Scan2Core, Inc.</t>
  </si>
  <si>
    <t xml:space="preserve">Quality Concrete Products, Inc.</t>
  </si>
  <si>
    <t xml:space="preserve">Rosen Supply Kirkland</t>
  </si>
  <si>
    <t xml:space="preserve">Ferguson Enterprises, Inc. #3007</t>
  </si>
  <si>
    <t xml:space="preserve">Balco Inc</t>
  </si>
  <si>
    <t xml:space="preserve">Kele, Inc</t>
  </si>
  <si>
    <t xml:space="preserve">MAD Concrete Cutting &amp; Coring, Inc.</t>
  </si>
  <si>
    <t xml:space="preserve">Standard Parking</t>
  </si>
  <si>
    <t xml:space="preserve">AllWest Underground, Inc.</t>
  </si>
  <si>
    <t xml:space="preserve">C.M. Hoskins Company</t>
  </si>
  <si>
    <t xml:space="preserve">A.R. Brown Backflow Testing</t>
  </si>
  <si>
    <t xml:space="preserve">Fastenal Company</t>
  </si>
  <si>
    <t xml:space="preserve">Lotus United, LLC</t>
  </si>
  <si>
    <t xml:space="preserve">ACME Corp</t>
  </si>
  <si>
    <t xml:space="preserve">Manor Hardware &amp; Construction Supply</t>
  </si>
  <si>
    <t xml:space="preserve">Vendor AP ties to JDR 'by Source: AP' line (766,653.25)</t>
  </si>
  <si>
    <t xml:space="preserve">Crew &amp; Labor — Per-Worker Breakdown</t>
  </si>
  <si>
    <t xml:space="preserve">Worker</t>
  </si>
  <si>
    <t xml:space="preserve">Hours</t>
  </si>
  <si>
    <t xml:space="preserve">Gross Pay</t>
  </si>
  <si>
    <t xml:space="preserve">$/Hour</t>
  </si>
  <si>
    <t xml:space="preserve">Tier</t>
  </si>
  <si>
    <t xml:space="preserve">McCabe, Thomas C</t>
  </si>
  <si>
    <t xml:space="preserve">Mid</t>
  </si>
  <si>
    <t xml:space="preserve">Waites, Thaddeus Z</t>
  </si>
  <si>
    <t xml:space="preserve">Senior</t>
  </si>
  <si>
    <t xml:space="preserve">Sepulveda Gonzalez, Alfredo</t>
  </si>
  <si>
    <t xml:space="preserve">Rodriguez Rodriguez, Aminadab N</t>
  </si>
  <si>
    <t xml:space="preserve">Apprentice</t>
  </si>
  <si>
    <t xml:space="preserve">Lovo, German G</t>
  </si>
  <si>
    <t xml:space="preserve">Esparza Jimenez, Jose D</t>
  </si>
  <si>
    <t xml:space="preserve">Velasquez Cruz, Denis M</t>
  </si>
  <si>
    <t xml:space="preserve">Cruz Guzman, Joel A</t>
  </si>
  <si>
    <t xml:space="preserve">Ulu, Flynn M</t>
  </si>
  <si>
    <t xml:space="preserve">Castaneda Juarez, Gustavo</t>
  </si>
  <si>
    <t xml:space="preserve">Reyes, Robert J</t>
  </si>
  <si>
    <t xml:space="preserve">Cruz Reyes, Jose</t>
  </si>
  <si>
    <t xml:space="preserve">Rodriguez Bonilla, Lisandro</t>
  </si>
  <si>
    <t xml:space="preserve">Anzora, William</t>
  </si>
  <si>
    <t xml:space="preserve">Hubbard, Robert W</t>
  </si>
  <si>
    <t xml:space="preserve">Reyes Cruz, Denis A</t>
  </si>
  <si>
    <t xml:space="preserve">Ascencio, Jose L</t>
  </si>
  <si>
    <t xml:space="preserve">Castaneda Juarez, Edgar D</t>
  </si>
  <si>
    <t xml:space="preserve">Donelson, Richard T</t>
  </si>
  <si>
    <t xml:space="preserve">Eliassen, Cory H</t>
  </si>
  <si>
    <t xml:space="preserve">Castaneda Martinez, Gustavo</t>
  </si>
  <si>
    <t xml:space="preserve">Amaya Gonzalez, Edilberto A</t>
  </si>
  <si>
    <t xml:space="preserve">Salazar, Hajdar L</t>
  </si>
  <si>
    <t xml:space="preserve">Cortes Sepulveda, Jose R</t>
  </si>
  <si>
    <t xml:space="preserve">Ramos, Jose G</t>
  </si>
  <si>
    <t xml:space="preserve">Newton, Carson T</t>
  </si>
  <si>
    <t xml:space="preserve">Spears, Gregory M</t>
  </si>
  <si>
    <t xml:space="preserve">Anderson, Richard P</t>
  </si>
  <si>
    <t xml:space="preserve">Vaughan, Tyler J</t>
  </si>
  <si>
    <t xml:space="preserve">Holmes, Anthony R</t>
  </si>
  <si>
    <t xml:space="preserve">Gerard, Jeffrey S</t>
  </si>
  <si>
    <t xml:space="preserve">Aguilar, Tony A</t>
  </si>
  <si>
    <t xml:space="preserve">Aguilar Rivas, Henry</t>
  </si>
  <si>
    <t xml:space="preserve">Ross, Kelli M</t>
  </si>
  <si>
    <t xml:space="preserve">Alba Jimenez, Jovani</t>
  </si>
  <si>
    <t xml:space="preserve">Alba Martinez, Santiago</t>
  </si>
  <si>
    <t xml:space="preserve">Taylor, Evan R</t>
  </si>
  <si>
    <t xml:space="preserve">Garcia, Jordan X</t>
  </si>
  <si>
    <t xml:space="preserve">Sanders, Allen O</t>
  </si>
  <si>
    <t xml:space="preserve">Cortes Mendiola, Victor H</t>
  </si>
  <si>
    <t xml:space="preserve">Lima Romero, Melvin A</t>
  </si>
  <si>
    <t xml:space="preserve">Schaefer, Taylor E</t>
  </si>
  <si>
    <t xml:space="preserve">Hubbard, Dustin R</t>
  </si>
  <si>
    <t xml:space="preserve">Kinssies, Jr, John E</t>
  </si>
  <si>
    <t xml:space="preserve">Castro Hernandez, Jose A</t>
  </si>
  <si>
    <t xml:space="preserve">Palma Vides, Hugo</t>
  </si>
  <si>
    <t xml:space="preserve">Galdamez, Dagoberto A</t>
  </si>
  <si>
    <t xml:space="preserve">Gonzalez Hernandez, Josue</t>
  </si>
  <si>
    <t xml:space="preserve">Paco Leyva, Orlando</t>
  </si>
  <si>
    <t xml:space="preserve">Palma Vides, Jorge A</t>
  </si>
  <si>
    <t xml:space="preserve">Gardner, Andrew M</t>
  </si>
  <si>
    <t xml:space="preserve">Matthias, Joseph S</t>
  </si>
  <si>
    <t xml:space="preserve">Barnhart, Joseph N</t>
  </si>
  <si>
    <t xml:space="preserve">Walker, Craig M</t>
  </si>
  <si>
    <t xml:space="preserve">Martinez Reyes, Juan C</t>
  </si>
  <si>
    <t xml:space="preserve">Gerard, Mitchell J</t>
  </si>
  <si>
    <t xml:space="preserve">TOTAL (56 workers)</t>
  </si>
  <si>
    <t xml:space="preserve">Tier: Apprentice &lt;$18/hr, Mid $18–30, Senior &gt;$30</t>
  </si>
  <si>
    <t xml:space="preserve">Crew Analytics</t>
  </si>
  <si>
    <t xml:space="preserve">A. TIER DISTRIBUTION</t>
  </si>
  <si>
    <t xml:space="preserve"># Workers</t>
  </si>
  <si>
    <t xml:space="preserve">% of Hours</t>
  </si>
  <si>
    <t xml:space="preserve">B. WAGE STATISTICS</t>
  </si>
  <si>
    <t xml:space="preserve">Blended Gross Wage</t>
  </si>
  <si>
    <t xml:space="preserve">Payroll $ ÷ payroll hours (pre-burden)</t>
  </si>
  <si>
    <t xml:space="preserve">Fully-Loaded Wage</t>
  </si>
  <si>
    <t xml:space="preserve">(Labor + Burden) ÷ total hours</t>
  </si>
  <si>
    <t xml:space="preserve">Burden Multiplier</t>
  </si>
  <si>
    <t xml:space="preserve">Fully loaded ÷ gross wage</t>
  </si>
  <si>
    <t xml:space="preserve">Min Worker Rate</t>
  </si>
  <si>
    <t xml:space="preserve">Cheapest apprentice hour</t>
  </si>
  <si>
    <t xml:space="preserve">Max Worker Rate</t>
  </si>
  <si>
    <t xml:space="preserve">Most expensive foreman hour</t>
  </si>
  <si>
    <t xml:space="preserve">Avg Hours / Worker</t>
  </si>
  <si>
    <t xml:space="preserve">Crew continuity indicator</t>
  </si>
  <si>
    <t xml:space="preserve">Productivity — Phase &amp; Unit Metrics</t>
  </si>
  <si>
    <t xml:space="preserve">A. LABOR HOURS BY PHASE</t>
  </si>
  <si>
    <t xml:space="preserve">Phase</t>
  </si>
  <si>
    <t xml:space="preserve">Labor Code</t>
  </si>
  <si>
    <t xml:space="preserve">% of Total</t>
  </si>
  <si>
    <t xml:space="preserve">Hours / Unit</t>
  </si>
  <si>
    <t xml:space="preserve">Takeoff &amp; Purchasing</t>
  </si>
  <si>
    <t xml:space="preserve">Underground</t>
  </si>
  <si>
    <t xml:space="preserve">Garage</t>
  </si>
  <si>
    <t xml:space="preserve">Canout</t>
  </si>
  <si>
    <t xml:space="preserve">Roughin</t>
  </si>
  <si>
    <t xml:space="preserve">Finish</t>
  </si>
  <si>
    <t xml:space="preserve">Gas</t>
  </si>
  <si>
    <t xml:space="preserve">Water Main / Insulation</t>
  </si>
  <si>
    <t xml:space="preserve">Mech Room</t>
  </si>
  <si>
    <t xml:space="preserve">B. PRODUCTIVITY RATIOS</t>
  </si>
  <si>
    <t xml:space="preserve">Units</t>
  </si>
  <si>
    <t xml:space="preserve">Notes</t>
  </si>
  <si>
    <t xml:space="preserve">hrs</t>
  </si>
  <si>
    <t xml:space="preserve">Labor hours per residential unit</t>
  </si>
  <si>
    <t xml:space="preserve">Hours / Fixture</t>
  </si>
  <si>
    <t xml:space="preserve">Labor hours per plumbing fixture</t>
  </si>
  <si>
    <t xml:space="preserve">Revenue / Hour</t>
  </si>
  <si>
    <t xml:space="preserve">$</t>
  </si>
  <si>
    <t xml:space="preserve">Top-line per labor hour</t>
  </si>
  <si>
    <t xml:space="preserve">Profit / Hour</t>
  </si>
  <si>
    <t xml:space="preserve">Bottom-line per labor hour</t>
  </si>
  <si>
    <t xml:space="preserve">Units / Month</t>
  </si>
  <si>
    <t xml:space="preserve">units</t>
  </si>
  <si>
    <t xml:space="preserve">Build velocity</t>
  </si>
  <si>
    <t xml:space="preserve">Fixtures / Month</t>
  </si>
  <si>
    <t xml:space="preserve">fix</t>
  </si>
  <si>
    <t xml:space="preserve">Fixture install pace</t>
  </si>
  <si>
    <t xml:space="preserve">Hours / Month</t>
  </si>
  <si>
    <t xml:space="preserve">Monthly labor burn</t>
  </si>
  <si>
    <t xml:space="preserve">Revenue / Month</t>
  </si>
  <si>
    <t xml:space="preserve">Monthly billing rate</t>
  </si>
  <si>
    <t xml:space="preserve">Purchase Order Commitments</t>
  </si>
  <si>
    <t xml:space="preserve">194 unique POs  •  PO amounts not dollar-parsed from individual PDFs  •  JDR material $660,549</t>
  </si>
  <si>
    <t xml:space="preserve">A. COMMITMENTS BY COST CODE</t>
  </si>
  <si>
    <t xml:space="preserve">OWP Code</t>
  </si>
  <si>
    <t xml:space="preserve">Description → JDR</t>
  </si>
  <si>
    <t xml:space="preserve">PO Count</t>
  </si>
  <si>
    <t xml:space="preserve">% of POs</t>
  </si>
  <si>
    <t xml:space="preserve">JDR Material</t>
  </si>
  <si>
    <t xml:space="preserve">30</t>
  </si>
  <si>
    <t xml:space="preserve">110+210 Underground</t>
  </si>
  <si>
    <t xml:space="preserve">31</t>
  </si>
  <si>
    <t xml:space="preserve">120+220 Roughin</t>
  </si>
  <si>
    <t xml:space="preserve">32</t>
  </si>
  <si>
    <t xml:space="preserve">130+230 Trim/Finish</t>
  </si>
  <si>
    <t xml:space="preserve">40</t>
  </si>
  <si>
    <t xml:space="preserve">141+241 Water Main/Ins</t>
  </si>
  <si>
    <t xml:space="preserve">41</t>
  </si>
  <si>
    <t xml:space="preserve">140+240 Gas</t>
  </si>
  <si>
    <t xml:space="preserve">OTHER</t>
  </si>
  <si>
    <t xml:space="preserve">Unclassified</t>
  </si>
  <si>
    <t xml:space="preserve">B. COMMITMENTS BY VENDOR</t>
  </si>
  <si>
    <t xml:space="preserve">ROSEN</t>
  </si>
  <si>
    <t xml:space="preserve">KELLER</t>
  </si>
  <si>
    <t xml:space="preserve">FEI</t>
  </si>
  <si>
    <t xml:space="preserve">CONSOLIDATED</t>
  </si>
  <si>
    <t xml:space="preserve">MECH SALES</t>
  </si>
  <si>
    <t xml:space="preserve">FASTENAL</t>
  </si>
  <si>
    <t xml:space="preserve">MANOR</t>
  </si>
  <si>
    <t xml:space="preserve">C. PO COVERAGE NOTES</t>
  </si>
  <si>
    <t xml:space="preserve">Total Material Actual (JDR)</t>
  </si>
  <si>
    <t xml:space="preserve">Unique PO Count</t>
  </si>
  <si>
    <t xml:space="preserve">  (Dollar PO commitment not extracted — requires per-PDF parse)</t>
  </si>
  <si>
    <t xml:space="preserve">PO count is deduplicated by 5-digit PO number extracted from filenames</t>
  </si>
  <si>
    <t xml:space="preserve">Vendor/code classification is heuristic (filename keyword match)</t>
  </si>
  <si>
    <t xml:space="preserve">Revenue &amp; Billing Reconciliation</t>
  </si>
  <si>
    <t xml:space="preserve">20 pay applications  •  Original $2,721,210 + $156,009 COs = $2,877,219</t>
  </si>
  <si>
    <t xml:space="preserve">A. CONTRACT SUMMARY</t>
  </si>
  <si>
    <t xml:space="preserve">Original Contract</t>
  </si>
  <si>
    <t xml:space="preserve">Change Orders (net)</t>
  </si>
  <si>
    <t xml:space="preserve">Final Contract Value</t>
  </si>
  <si>
    <t xml:space="preserve">Retainage (5%)</t>
  </si>
  <si>
    <t xml:space="preserve">Net Paid to OWP</t>
  </si>
  <si>
    <t xml:space="preserve">B. PAY APPLICATION TIMELINE</t>
  </si>
  <si>
    <t xml:space="preserve">App#</t>
  </si>
  <si>
    <t xml:space="preserve">Date</t>
  </si>
  <si>
    <t xml:space="preserve">Period Billing</t>
  </si>
  <si>
    <t xml:space="preserve">Retention</t>
  </si>
  <si>
    <t xml:space="preserve">Net This Period</t>
  </si>
  <si>
    <t xml:space="preserve">Aggregate</t>
  </si>
  <si>
    <t xml:space="preserve">% Complete</t>
  </si>
  <si>
    <t xml:space="preserve">2014-09-20</t>
  </si>
  <si>
    <t xml:space="preserve">2014-10-20</t>
  </si>
  <si>
    <t xml:space="preserve">2014-11-17</t>
  </si>
  <si>
    <t xml:space="preserve">2014-12-15</t>
  </si>
  <si>
    <t xml:space="preserve">2015-01-20</t>
  </si>
  <si>
    <t xml:space="preserve">2015-02-19</t>
  </si>
  <si>
    <t xml:space="preserve">2015-03-19</t>
  </si>
  <si>
    <t xml:space="preserve">2015-04-20</t>
  </si>
  <si>
    <t xml:space="preserve">2015-05-19</t>
  </si>
  <si>
    <t xml:space="preserve">2015-06-18</t>
  </si>
  <si>
    <t xml:space="preserve">2015-07-20</t>
  </si>
  <si>
    <t xml:space="preserve">2015-08-20</t>
  </si>
  <si>
    <t xml:space="preserve">2015-09-18</t>
  </si>
  <si>
    <t xml:space="preserve">2015-10-20</t>
  </si>
  <si>
    <t xml:space="preserve">2015-11-16</t>
  </si>
  <si>
    <t xml:space="preserve">2015-12-16</t>
  </si>
  <si>
    <t xml:space="preserve">2016-01-20</t>
  </si>
  <si>
    <t xml:space="preserve">2016-02-19</t>
  </si>
  <si>
    <t xml:space="preserve">2016-03-18</t>
  </si>
  <si>
    <t xml:space="preserve">2016-06-20</t>
  </si>
  <si>
    <t xml:space="preserve">C. BILLING ↔ JDR TIE-OUT</t>
  </si>
  <si>
    <t xml:space="preserve">SOV</t>
  </si>
  <si>
    <t xml:space="preserve">JDR</t>
  </si>
  <si>
    <t xml:space="preserve">Δ</t>
  </si>
  <si>
    <t xml:space="preserve">Status</t>
  </si>
  <si>
    <t xml:space="preserve">Retainage</t>
  </si>
  <si>
    <t xml:space="preserve">Key Insights — Job #2019 Exxel Pacific 8th &amp; Republican Apartments</t>
  </si>
  <si>
    <t xml:space="preserve">Narrative observations distilled from the full JDR analysis</t>
  </si>
  <si>
    <t xml:space="preserve">MARGIN PROFILE</t>
  </si>
  <si>
    <t xml:space="preserve">Net profit of $1,353,160 on $2,877,219 revenue = 47.0% gross margin. Direct cost $1,524,059 absorbs 53.0% of revenue.</t>
  </si>
  <si>
    <t xml:space="preserve">VENDOR CONCENTRATION</t>
  </si>
  <si>
    <t xml:space="preserve">Rosen Supply Company, Inc. alone = $248,014 (32% of all AP) across 97 invoices. Total 25 AP vendors, $766,653 total AP spend.</t>
  </si>
  <si>
    <t xml:space="preserve">CREW PROFILE</t>
  </si>
  <si>
    <t xml:space="preserve">56 workers for 26,599 hours = 475 avg hrs/worker. Top 3 workers logged 5,385 hrs combined (20% of all labor).</t>
  </si>
  <si>
    <t xml:space="preserve">ROUGHIN DOMINANCE</t>
  </si>
  <si>
    <t xml:space="preserve">Code 120 Roughin Labor = 16,040 hrs (60% of all labor) and $301,244 actual. Code 230 Finish Material = $313,722 — 21% of total direct cost.</t>
  </si>
  <si>
    <t xml:space="preserve">BUDGET DELIVERY</t>
  </si>
  <si>
    <t xml:space="preserve">Revised budget was $1,967,239; actual direct cost $1,524,059 → $443,181 variance (22.5% under revised budget).</t>
  </si>
  <si>
    <t xml:space="preserve">CONTRACT GROWTH</t>
  </si>
  <si>
    <t xml:space="preserve">Contract grew from $2,721,210 to $2,877,219 — net +$156,009 (5.7%). Retainage of $143,861 (5%) withheld until closeout.</t>
  </si>
  <si>
    <t xml:space="preserve">BURDEN RATIO</t>
  </si>
  <si>
    <t xml:space="preserve">Burden codes 995 + 998 = $252,696 on $550,833 labor base = 45.9%. In line with OWP's typical 48–50% labor burden.</t>
  </si>
  <si>
    <t xml:space="preserve">PROJECT SCALE</t>
  </si>
  <si>
    <t xml:space="preserve">211 units · 1196 fixtures · 22 months. Revenue/unit $13,636, hours/unit 126.1, profit/unit $6,413.</t>
  </si>
  <si>
    <t xml:space="preserve">PRODUCTIVITY</t>
  </si>
  <si>
    <t xml:space="preserve">Blended labor rate $20.71/hr. Revenue/hour $108. Profit/hour $51. 1,209 hrs/month burn rate.</t>
  </si>
  <si>
    <t xml:space="preserve">FIXTURE DENSITY</t>
  </si>
  <si>
    <t xml:space="preserve">1196 fixtures ÷ 211 units = 5.67 fixtures/unit. Material/fixture $552, labor/fixture $461.</t>
  </si>
  <si>
    <t xml:space="preserve">BIGGEST QUESTION</t>
  </si>
  <si>
    <t xml:space="preserve">How does this job's 47.0% margin compare across similar projects in the OWP portfolio, and what operational levers drove the result — estimating accuracy, vendor pricing, or labor productivity?</t>
  </si>
  <si>
    <t xml:space="preserve">Benchmark KPIs</t>
  </si>
  <si>
    <t xml:space="preserve">Normalized metrics designed for apples-to-apples comparison across all OWP projects</t>
  </si>
  <si>
    <t xml:space="preserve">KPI</t>
  </si>
  <si>
    <t xml:space="preserve">Data Name</t>
  </si>
  <si>
    <t xml:space="preserve">Confidence</t>
  </si>
  <si>
    <t xml:space="preserve">Source Document</t>
  </si>
  <si>
    <t xml:space="preserve">Job Number</t>
  </si>
  <si>
    <t xml:space="preserve">job_number</t>
  </si>
  <si>
    <t xml:space="preserve">Profile</t>
  </si>
  <si>
    <t xml:space="preserve">OWP job ID</t>
  </si>
  <si>
    <t xml:space="preserve">Verified</t>
  </si>
  <si>
    <t xml:space="preserve">Benchmark KPIs / Metric Registry — see source tabs</t>
  </si>
  <si>
    <t xml:space="preserve">Job Name</t>
  </si>
  <si>
    <t xml:space="preserve">job_name</t>
  </si>
  <si>
    <t xml:space="preserve">general_contractor</t>
  </si>
  <si>
    <t xml:space="preserve">location</t>
  </si>
  <si>
    <t xml:space="preserve">Project Type</t>
  </si>
  <si>
    <t xml:space="preserve">project_type</t>
  </si>
  <si>
    <t xml:space="preserve">8-story 211-unit multifamily apartments + ground-floor retail/amenity</t>
  </si>
  <si>
    <t xml:space="preserve">Duration (months)</t>
  </si>
  <si>
    <t xml:space="preserve">duration_months</t>
  </si>
  <si>
    <t xml:space="preserve">Unit Count</t>
  </si>
  <si>
    <t xml:space="preserve">unit_count</t>
  </si>
  <si>
    <t xml:space="preserve">total_fixtures</t>
  </si>
  <si>
    <t xml:space="preserve">Fixtures per Unit</t>
  </si>
  <si>
    <t xml:space="preserve">fixtures_per_unit</t>
  </si>
  <si>
    <t xml:space="preserve">Contract Value (Orig)</t>
  </si>
  <si>
    <t xml:space="preserve">contract_original</t>
  </si>
  <si>
    <t xml:space="preserve">Financial</t>
  </si>
  <si>
    <t xml:space="preserve">Contract Value (Final)</t>
  </si>
  <si>
    <t xml:space="preserve">contract_final</t>
  </si>
  <si>
    <t xml:space="preserve">After change orders</t>
  </si>
  <si>
    <t xml:space="preserve">Change Orders ($)</t>
  </si>
  <si>
    <t xml:space="preserve">change_orders</t>
  </si>
  <si>
    <t xml:space="preserve">Revenue</t>
  </si>
  <si>
    <t xml:space="preserve">revenue</t>
  </si>
  <si>
    <t xml:space="preserve">Net Profit</t>
  </si>
  <si>
    <t xml:space="preserve">net_profit</t>
  </si>
  <si>
    <t xml:space="preserve">Gross Margin</t>
  </si>
  <si>
    <t xml:space="preserve">gross_margin</t>
  </si>
  <si>
    <t xml:space="preserve">direct_cost</t>
  </si>
  <si>
    <t xml:space="preserve">Labor Cost</t>
  </si>
  <si>
    <t xml:space="preserve">labor_cost</t>
  </si>
  <si>
    <t xml:space="preserve">Sum of 10 labor codes</t>
  </si>
  <si>
    <t xml:space="preserve">Material Cost</t>
  </si>
  <si>
    <t xml:space="preserve">material_cost</t>
  </si>
  <si>
    <t xml:space="preserve">Sum of 9 material codes</t>
  </si>
  <si>
    <t xml:space="preserve">Overhead Cost</t>
  </si>
  <si>
    <t xml:space="preserve">overhead_cost</t>
  </si>
  <si>
    <t xml:space="preserve">Sub+Eng+Permits</t>
  </si>
  <si>
    <t xml:space="preserve">Burden Cost</t>
  </si>
  <si>
    <t xml:space="preserve">burden_cost</t>
  </si>
  <si>
    <t xml:space="preserve">Codes 995+998</t>
  </si>
  <si>
    <t xml:space="preserve">retainage</t>
  </si>
  <si>
    <t xml:space="preserve">5% withheld</t>
  </si>
  <si>
    <t xml:space="preserve">Revenue per Unit</t>
  </si>
  <si>
    <t xml:space="preserve">revenue_per_unit</t>
  </si>
  <si>
    <t xml:space="preserve">Profit per Unit</t>
  </si>
  <si>
    <t xml:space="preserve">profit_per_unit</t>
  </si>
  <si>
    <t xml:space="preserve">Direct Cost per Unit</t>
  </si>
  <si>
    <t xml:space="preserve">cost_per_unit</t>
  </si>
  <si>
    <t xml:space="preserve">Labor Cost per Unit</t>
  </si>
  <si>
    <t xml:space="preserve">labor_per_unit</t>
  </si>
  <si>
    <t xml:space="preserve">Material Cost per Unit</t>
  </si>
  <si>
    <t xml:space="preserve">material_per_unit</t>
  </si>
  <si>
    <t xml:space="preserve">Revenue per Fixture</t>
  </si>
  <si>
    <t xml:space="preserve">revenue_per_fixture</t>
  </si>
  <si>
    <t xml:space="preserve">Profit per Fixture</t>
  </si>
  <si>
    <t xml:space="preserve">profit_per_fixture</t>
  </si>
  <si>
    <t xml:space="preserve">Cost per Fixture</t>
  </si>
  <si>
    <t xml:space="preserve">cost_per_fixture</t>
  </si>
  <si>
    <t xml:space="preserve">Labor per Fixture</t>
  </si>
  <si>
    <t xml:space="preserve">labor_per_fixture</t>
  </si>
  <si>
    <t xml:space="preserve">Material per Fixture</t>
  </si>
  <si>
    <t xml:space="preserve">material_per_fixture</t>
  </si>
  <si>
    <t xml:space="preserve">Total Labor Hours</t>
  </si>
  <si>
    <t xml:space="preserve">total_hours</t>
  </si>
  <si>
    <t xml:space="preserve">Sum of JDR cost code hours</t>
  </si>
  <si>
    <t xml:space="preserve">Total Workers</t>
  </si>
  <si>
    <t xml:space="preserve">total_workers</t>
  </si>
  <si>
    <t xml:space="preserve">Unique payroll IDs</t>
  </si>
  <si>
    <t xml:space="preserve">blended_gross_wage</t>
  </si>
  <si>
    <t xml:space="preserve">Pre-burden</t>
  </si>
  <si>
    <t xml:space="preserve">fully_loaded_wage</t>
  </si>
  <si>
    <t xml:space="preserve">Post-burden</t>
  </si>
  <si>
    <t xml:space="preserve">burden_multiplier</t>
  </si>
  <si>
    <t xml:space="preserve">Hours per Unit</t>
  </si>
  <si>
    <t xml:space="preserve">hours_per_unit</t>
  </si>
  <si>
    <t xml:space="preserve">Key benchmark</t>
  </si>
  <si>
    <t xml:space="preserve">Hours per Fixture</t>
  </si>
  <si>
    <t xml:space="preserve">hours_per_fixture</t>
  </si>
  <si>
    <t xml:space="preserve">Revenue per Hour</t>
  </si>
  <si>
    <t xml:space="preserve">revenue_per_hour</t>
  </si>
  <si>
    <t xml:space="preserve">Productivity</t>
  </si>
  <si>
    <t xml:space="preserve">Profit per Hour</t>
  </si>
  <si>
    <t xml:space="preserve">profit_per_hour</t>
  </si>
  <si>
    <t xml:space="preserve">Labor % of Revenue</t>
  </si>
  <si>
    <t xml:space="preserve">labor_pct_revenue</t>
  </si>
  <si>
    <t xml:space="preserve">Cost Mix</t>
  </si>
  <si>
    <t xml:space="preserve">Material % of Revenue</t>
  </si>
  <si>
    <t xml:space="preserve">material_pct_revenue</t>
  </si>
  <si>
    <t xml:space="preserve">Revenue per Month</t>
  </si>
  <si>
    <t xml:space="preserve">revenue_per_month</t>
  </si>
  <si>
    <t xml:space="preserve">Hours per Month</t>
  </si>
  <si>
    <t xml:space="preserve">hours_per_month</t>
  </si>
  <si>
    <t xml:space="preserve">Units per Month</t>
  </si>
  <si>
    <t xml:space="preserve">units_per_month</t>
  </si>
  <si>
    <t xml:space="preserve">Total Vendors</t>
  </si>
  <si>
    <t xml:space="preserve">total_vendors</t>
  </si>
  <si>
    <t xml:space="preserve">Unique AP vendors</t>
  </si>
  <si>
    <t xml:space="preserve">Top Vendor Spend</t>
  </si>
  <si>
    <t xml:space="preserve">top_vendor_spend</t>
  </si>
  <si>
    <t xml:space="preserve">Top Vendor Concentration</t>
  </si>
  <si>
    <t xml:space="preserve">top_vendor_pct</t>
  </si>
  <si>
    <t xml:space="preserve">Total POs</t>
  </si>
  <si>
    <t xml:space="preserve">total_pos</t>
  </si>
  <si>
    <t xml:space="preserve">Unique POs by filename</t>
  </si>
  <si>
    <t xml:space="preserve">Change Order %</t>
  </si>
  <si>
    <t xml:space="preserve">co_pct</t>
  </si>
  <si>
    <t xml:space="preserve">Revenue per Labor Hour</t>
  </si>
  <si>
    <t xml:space="preserve">rev_per_labor_hr</t>
  </si>
  <si>
    <t xml:space="preserve">51 KPIs with snake_case data_name identifiers for database ingestion</t>
  </si>
  <si>
    <t xml:space="preserve">Change Log — Master Register</t>
  </si>
  <si>
    <t xml:space="preserve">Unified change-event ledger: RFIs, ASIs, COPs, COs, Backcharges, T&amp;M (32 events)</t>
  </si>
  <si>
    <t xml:space="preserve">Event ID</t>
  </si>
  <si>
    <t xml:space="preserve">Type</t>
  </si>
  <si>
    <t xml:space="preserve">Subject</t>
  </si>
  <si>
    <t xml:space="preserve">Originator</t>
  </si>
  <si>
    <t xml:space="preserve">Linked Event(s)</t>
  </si>
  <si>
    <t xml:space="preserve">Cost Impact ($)</t>
  </si>
  <si>
    <t xml:space="preserve">Schedule (days)</t>
  </si>
  <si>
    <t xml:space="preserve">COR-001</t>
  </si>
  <si>
    <t xml:space="preserve">COR</t>
  </si>
  <si>
    <t xml:space="preserve">2014-10-01</t>
  </si>
  <si>
    <t xml:space="preserve">Initial COR — consolidated pricing (ASI-001/RFI-042)</t>
  </si>
  <si>
    <t xml:space="preserve">Sub (OWP)</t>
  </si>
  <si>
    <t xml:space="preserve">ASI-001;RFI-042</t>
  </si>
  <si>
    <t xml:space="preserve">Pending</t>
  </si>
  <si>
    <t xml:space="preserve">2019-Exxel, 8th&amp;Republic 5/Change Orders/COR_s/8th Repub - OWP COR #01.pdf</t>
  </si>
  <si>
    <t xml:space="preserve">COR-002</t>
  </si>
  <si>
    <t xml:space="preserve">2014-10-15</t>
  </si>
  <si>
    <t xml:space="preserve">Showerheads — product substitution</t>
  </si>
  <si>
    <t xml:space="preserve">Documented</t>
  </si>
  <si>
    <t xml:space="preserve">2019-Exxel, 8th&amp;Republic 2/Change Orders/COR_s/8th Repub - OWP COR #02 Showerheads.pdf</t>
  </si>
  <si>
    <t xml:space="preserve">COR-003</t>
  </si>
  <si>
    <t xml:space="preserve">2014-11-01</t>
  </si>
  <si>
    <t xml:space="preserve">Overtime premium — Saturday site supervision</t>
  </si>
  <si>
    <t xml:space="preserve">2019-Exxel, 8th&amp;Republic 6/Change Orders/COR_s/8th Repub - OWP COR #03 Overtime 11-01-14.pdf</t>
  </si>
  <si>
    <t xml:space="preserve">COR-004</t>
  </si>
  <si>
    <t xml:space="preserve">2014-12-01</t>
  </si>
  <si>
    <t xml:space="preserve">Dog Wash Sink — upgrade to Ridalco stainless steel (from PolyPet)</t>
  </si>
  <si>
    <t xml:space="preserve">Submitted</t>
  </si>
  <si>
    <t xml:space="preserve">2019-Exxel, 8th&amp;Republic/Change Orders/COR_s/8th Repub - OWP COR #04 Dog Wash Sink.pdf</t>
  </si>
  <si>
    <t xml:space="preserve">COR-005</t>
  </si>
  <si>
    <t xml:space="preserve">2014-12-22</t>
  </si>
  <si>
    <t xml:space="preserve">Added deck drain per ASI-014</t>
  </si>
  <si>
    <t xml:space="preserve">ASI-014</t>
  </si>
  <si>
    <t xml:space="preserve">2019-Exxel, 8th&amp;Republic/Change Orders/COR_s/8th Repub - OWP COR #05 ASI-014 Added Deck Drain.pdf</t>
  </si>
  <si>
    <t xml:space="preserve">COR-006</t>
  </si>
  <si>
    <t xml:space="preserve">2015-01-15</t>
  </si>
  <si>
    <t xml:space="preserve">Added deck drains per RFI-042</t>
  </si>
  <si>
    <t xml:space="preserve">RFI-042</t>
  </si>
  <si>
    <t xml:space="preserve">2019-Exxel, 8th&amp;Republic 2/Change Orders/COR_s/8th Repub - OWP COR #06 RFI-042 Added Deck Drains.pdf</t>
  </si>
  <si>
    <t xml:space="preserve">COR-007</t>
  </si>
  <si>
    <t xml:space="preserve">Additional hose bibs</t>
  </si>
  <si>
    <t xml:space="preserve">2019-Exxel, 8th&amp;Republic 2/Change Orders/COR_s/8th Repub - OWP COR #07 Hose Bibs.pdf</t>
  </si>
  <si>
    <t xml:space="preserve">COR-008</t>
  </si>
  <si>
    <t xml:space="preserve">2015-03-12</t>
  </si>
  <si>
    <t xml:space="preserve">Modcon 500→850 boiler capacity upgrade</t>
  </si>
  <si>
    <t xml:space="preserve">2019-Exxel, 8th&amp;Republic/Change Orders/COR_s/8th Repub - OWP COR #08 Modcon 850_s.pdf</t>
  </si>
  <si>
    <t xml:space="preserve">COR-009</t>
  </si>
  <si>
    <t xml:space="preserve">2015-03-25</t>
  </si>
  <si>
    <t xml:space="preserve">Move toilet per ASI-041</t>
  </si>
  <si>
    <t xml:space="preserve">ASI-041</t>
  </si>
  <si>
    <t xml:space="preserve">2019-Exxel, 8th&amp;Republic 3/Change Orders/COR_s/8th Repub - OWP COR #09 ASI-041 Move Toilet.pdf</t>
  </si>
  <si>
    <t xml:space="preserve">COR-010</t>
  </si>
  <si>
    <t xml:space="preserve">T&amp;M</t>
  </si>
  <si>
    <t xml:space="preserve">2015-07-27</t>
  </si>
  <si>
    <t xml:space="preserve">Temporary downspouts — weather protection T&amp;M (labor $1,127 + materials $654)</t>
  </si>
  <si>
    <t xml:space="preserve">Approved</t>
  </si>
  <si>
    <t xml:space="preserve">2019-Exxel, 8th&amp;Republic/Change Orders/COR_s/8th Repub - OWP COR #10 Temp Downspouts.pdf</t>
  </si>
  <si>
    <t xml:space="preserve">COR-011</t>
  </si>
  <si>
    <t xml:space="preserve">2015-07-28</t>
  </si>
  <si>
    <t xml:space="preserve">Hudson Bay acoustical pipe wrap</t>
  </si>
  <si>
    <t xml:space="preserve">2019-Exxel, 8th&amp;Republic/Change Orders/COR_s/8th Repub - OWP COR #11 Hudson Bay Acoustical Pipe Wrap.pdf</t>
  </si>
  <si>
    <t xml:space="preserve">COR-012</t>
  </si>
  <si>
    <t xml:space="preserve">2015-08-26</t>
  </si>
  <si>
    <t xml:space="preserve">Overtime labor — schedule compression</t>
  </si>
  <si>
    <t xml:space="preserve">2019-Exxel, 8th&amp;Republic/Change Orders/COR_s/8th Repub - OWP COR #12 Overtime.pdf</t>
  </si>
  <si>
    <t xml:space="preserve">COR-013</t>
  </si>
  <si>
    <t xml:space="preserve">2015-09-10</t>
  </si>
  <si>
    <t xml:space="preserve">Damaged water lines replacement (construction damage)</t>
  </si>
  <si>
    <t xml:space="preserve">2019-Exxel, 8th&amp;Republic 5/Change Orders/COR_s/8th Repub - OWP COR #13 Damaged Water Lines.pdf</t>
  </si>
  <si>
    <t xml:space="preserve">COR-014</t>
  </si>
  <si>
    <t xml:space="preserve">2015-10-26</t>
  </si>
  <si>
    <t xml:space="preserve">Added firepit on roof — plumbing support</t>
  </si>
  <si>
    <t xml:space="preserve">2019-Exxel, 8th&amp;Republic/Change Orders/COR_s/8th Repub - OWP COR #14 Added Firepit on Roof.pdf</t>
  </si>
  <si>
    <t xml:space="preserve">COR-015</t>
  </si>
  <si>
    <t xml:space="preserve">2015-10-23</t>
  </si>
  <si>
    <t xml:space="preserve">Move sewer &amp; storm POCs per RFI-309</t>
  </si>
  <si>
    <t xml:space="preserve">RFI-309</t>
  </si>
  <si>
    <t xml:space="preserve">2019-Exxel, 8th&amp;Republic 3/Change Orders/COR_s/8th Repub - OWP COR #15 RFI-309 Move Sewer &amp; Storm POC_s.pdf</t>
  </si>
  <si>
    <t xml:space="preserve">COR-016</t>
  </si>
  <si>
    <t xml:space="preserve">2015-11-25</t>
  </si>
  <si>
    <t xml:space="preserve">Glazers bathroom revisions per RFI-319</t>
  </si>
  <si>
    <t xml:space="preserve">RFI-319</t>
  </si>
  <si>
    <t xml:space="preserve">2019-Exxel, 8th&amp;Republic 2/Change Orders/COR_s/8th Repub - OWP COR #16 RFI-319 Glazers Bathroom Revisions.pdf</t>
  </si>
  <si>
    <t xml:space="preserve">COR-017</t>
  </si>
  <si>
    <t xml:space="preserve">2015-12-21</t>
  </si>
  <si>
    <t xml:space="preserve">Move gas for fire bowl per RFI-324</t>
  </si>
  <si>
    <t xml:space="preserve">RFI-324</t>
  </si>
  <si>
    <t xml:space="preserve">2019-Exxel, 8th&amp;Republic 5/Change Orders/COR_s/8th Repub - OWP COR #17 RFI-324 Move Gas for Fire Bowl.pdf</t>
  </si>
  <si>
    <t xml:space="preserve">COR-018</t>
  </si>
  <si>
    <t xml:space="preserve">2016-03-08</t>
  </si>
  <si>
    <t xml:space="preserve">Glazers ADA van stall plumbing modifications</t>
  </si>
  <si>
    <t xml:space="preserve">2019-Exxel, 8th&amp;Republic/Change Orders/COR_s/8th Repub - OWP COR #18 Glazers ADA Van Stall.pdf</t>
  </si>
  <si>
    <t xml:space="preserve">COR-019</t>
  </si>
  <si>
    <t xml:space="preserve">2016-03-24</t>
  </si>
  <si>
    <t xml:space="preserve">Install irrigation zone valves for landscaper</t>
  </si>
  <si>
    <t xml:space="preserve">2019-Exxel, 8th&amp;Republic/Change Orders/COR_s/8th Repub - OWP COR #19 Install Irrigation Zone Valves for Landscaper.pdf</t>
  </si>
  <si>
    <t xml:space="preserve">COR-020</t>
  </si>
  <si>
    <t xml:space="preserve">Water meters at Glazers + Commercial space</t>
  </si>
  <si>
    <t xml:space="preserve">2019-Exxel, 8th&amp;Republic/Change Orders/COR_s/8th Repub - OWP COR #20 Install Water Meters at Glazers &amp; Commercial Space.pdf</t>
  </si>
  <si>
    <t xml:space="preserve">COR-021</t>
  </si>
  <si>
    <t xml:space="preserve">Backcharge</t>
  </si>
  <si>
    <t xml:space="preserve">2016-04-15</t>
  </si>
  <si>
    <t xml:space="preserve">Stolen/damaged fixtures — site security backcharge</t>
  </si>
  <si>
    <t xml:space="preserve">2019-Exxel, 8th&amp;Republic 5/Change Orders/COR_s/8th Repub - OWP COR #21 Stolen-Damaged Fixtures.pdf</t>
  </si>
  <si>
    <t xml:space="preserve">COR-022</t>
  </si>
  <si>
    <t xml:space="preserve">2016-05-10</t>
  </si>
  <si>
    <t xml:space="preserve">Extend ABS downspouts + 90s</t>
  </si>
  <si>
    <t xml:space="preserve">2019-Exxel, 8th&amp;Republic/Change Orders/COR_s/8th Repub - OWP COR #22 Extend ABS Downspouts &amp; Install 90_s.pdf</t>
  </si>
  <si>
    <t xml:space="preserve">COR-023</t>
  </si>
  <si>
    <t xml:space="preserve">2016-05-20</t>
  </si>
  <si>
    <t xml:space="preserve">R&amp;R vent in Glazers breakroom</t>
  </si>
  <si>
    <t xml:space="preserve">2019-Exxel, 8th&amp;Republic 2/Change Orders/COR_s/8th Repub - OWP COR #23 Remove and Reinstall Vent Glazers Breakroom.pdf</t>
  </si>
  <si>
    <t xml:space="preserve">COR-024</t>
  </si>
  <si>
    <t xml:space="preserve">2016-06-15</t>
  </si>
  <si>
    <t xml:space="preserve">Dog wash R&amp;R per ASI-053</t>
  </si>
  <si>
    <t xml:space="preserve">ASI-053</t>
  </si>
  <si>
    <t xml:space="preserve">2019-Exxel, 8th&amp;Republic 3/Change Orders/COR_s/8th Repub - OWP COR #24 ASI-053 Dog Wash Remove &amp; Reinstall.pdf</t>
  </si>
  <si>
    <t xml:space="preserve">COR-025</t>
  </si>
  <si>
    <t xml:space="preserve">2016-06-30</t>
  </si>
  <si>
    <t xml:space="preserve">Move meter spacer in commercial space</t>
  </si>
  <si>
    <t xml:space="preserve">2019-Exxel, 8th&amp;Republic 2/Change Orders/COR_s/8th Repub - OWP COR #25 Move Meter Spacer in Commercial Space.pdf</t>
  </si>
  <si>
    <t xml:space="preserve">COR-026</t>
  </si>
  <si>
    <t xml:space="preserve">2016-07-15</t>
  </si>
  <si>
    <t xml:space="preserve">Fitness Room drinking fountain</t>
  </si>
  <si>
    <t xml:space="preserve">2019-Exxel, 8th&amp;Republic/Change Orders/COR_s/8th Repub - OWP COR #26 Fitness Room Drinking Fountain.pdf</t>
  </si>
  <si>
    <t xml:space="preserve">CO-001</t>
  </si>
  <si>
    <t xml:space="preserve">CO</t>
  </si>
  <si>
    <t xml:space="preserve">2015-01-16</t>
  </si>
  <si>
    <t xml:space="preserve">CO-001 executed — contract sum $2,721,210 → $2,733,562</t>
  </si>
  <si>
    <t xml:space="preserve">GC (Exxel)</t>
  </si>
  <si>
    <t xml:space="preserve">Executed</t>
  </si>
  <si>
    <t xml:space="preserve">2019-Exxel, 8th&amp;Republic/Change Orders/CO_s/Republican signed CO#1.pdf</t>
  </si>
  <si>
    <t xml:space="preserve">CO-003</t>
  </si>
  <si>
    <t xml:space="preserve">2015-03-06</t>
  </si>
  <si>
    <t xml:space="preserve">CO-003 executed — Glazer's TI plumbing ($5,190) + ASI-005 Stair A/roof deck ($518)</t>
  </si>
  <si>
    <t xml:space="preserve">ASI-005</t>
  </si>
  <si>
    <t xml:space="preserve">2019-Exxel, 8th&amp;Republic/Change Orders/CO_s/8th and Repub change order 3.pdf</t>
  </si>
  <si>
    <t xml:space="preserve">CO-009</t>
  </si>
  <si>
    <t xml:space="preserve">2016</t>
  </si>
  <si>
    <t xml:space="preserve">CO-009 signed (details pending extraction)</t>
  </si>
  <si>
    <t xml:space="preserve">Signed</t>
  </si>
  <si>
    <t xml:space="preserve">2019-Exxel, 8th&amp;Republic 5/Change Orders/CO_s/8th and Repub Change Order 9 Signed.pdf</t>
  </si>
  <si>
    <t xml:space="preserve">CO-010</t>
  </si>
  <si>
    <t xml:space="preserve">CO-010 signed (details pending extraction)</t>
  </si>
  <si>
    <t xml:space="preserve">2019-Exxel, 8th&amp;Republic 5/Change Orders/CO_s/8th and Repub Change Order 10 Signed.pdf</t>
  </si>
  <si>
    <t xml:space="preserve">RFI-SUMMARY</t>
  </si>
  <si>
    <t xml:space="preserve">Memo</t>
  </si>
  <si>
    <t xml:space="preserve">2014-2016</t>
  </si>
  <si>
    <t xml:space="preserve">319 RFIs total (RFI-001 to RFI-319); 188 files documented. 15 submittal resubs of 202 (7.4%).</t>
  </si>
  <si>
    <t xml:space="preserve">Informational</t>
  </si>
  <si>
    <t xml:space="preserve">2019-Exxel, 8th&amp;Republic*/DROPBOX FILES FROM TABLETS/ASI-RFI/RFI_S/</t>
  </si>
  <si>
    <t xml:space="preserve">DOC-GAP-COR-PRICING</t>
  </si>
  <si>
    <t xml:space="preserve">GAP: most CORs show 'TBD' cost in docs; only COR-004, COR-008, COR-010 pricing extracted. CO-009, CO-010 details pending.</t>
  </si>
  <si>
    <t xml:space="preserve">OWP</t>
  </si>
  <si>
    <t xml:space="preserve">Open</t>
  </si>
  <si>
    <t xml:space="preserve">2019-Exxel, 8th&amp;Republic*/Change Orders/</t>
  </si>
  <si>
    <t xml:space="preserve">Root Cause Analysis — Change Driver Taxonomy</t>
  </si>
  <si>
    <t xml:space="preserve">Categorized change events with responsible-party attribution — feeds bid-risk intelligence</t>
  </si>
  <si>
    <t xml:space="preserve">CATEGORY ROLLUP</t>
  </si>
  <si>
    <t xml:space="preserve">Root Cause Category</t>
  </si>
  <si>
    <t xml:space="preserve"># Events</t>
  </si>
  <si>
    <t xml:space="preserve">Net Cost Impact ($)</t>
  </si>
  <si>
    <t xml:space="preserve">% of Events</t>
  </si>
  <si>
    <t xml:space="preserve">Predominant Responsibility</t>
  </si>
  <si>
    <t xml:space="preserve">Design substitution</t>
  </si>
  <si>
    <t xml:space="preserve">Designer</t>
  </si>
  <si>
    <t xml:space="preserve">Design clarification</t>
  </si>
  <si>
    <t xml:space="preserve">Owner directive</t>
  </si>
  <si>
    <t xml:space="preserve">Owner/GC</t>
  </si>
  <si>
    <t xml:space="preserve">Field condition</t>
  </si>
  <si>
    <t xml:space="preserve">Temporary downspouts — weather protection T&amp;M (labor $1,127 </t>
  </si>
  <si>
    <t xml:space="preserve">Coordination conflict</t>
  </si>
  <si>
    <t xml:space="preserve">Mixed</t>
  </si>
  <si>
    <t xml:space="preserve">Scope gap</t>
  </si>
  <si>
    <t xml:space="preserve">Cleanup/damage</t>
  </si>
  <si>
    <t xml:space="preserve">Rework</t>
  </si>
  <si>
    <t xml:space="preserve">Combined/multi-cause</t>
  </si>
  <si>
    <t xml:space="preserve">RESPONSIBILITY ATTRIBUTION</t>
  </si>
  <si>
    <t xml:space="preserve">Responsible Party</t>
  </si>
  <si>
    <t xml:space="preserve">Net $ Impact</t>
  </si>
  <si>
    <t xml:space="preserve">Bid-Risk Signal</t>
  </si>
  <si>
    <t xml:space="preserve">POSITIVE — recoverable</t>
  </si>
  <si>
    <t xml:space="preserve">Predictive Signals — Leading Indicators</t>
  </si>
  <si>
    <t xml:space="preserve">Forward-looking metrics that predict CO waves, schedule slips, and margin erosion</t>
  </si>
  <si>
    <t xml:space="preserve">CURRENT-STATE SIGNALS</t>
  </si>
  <si>
    <t xml:space="preserve">Indicator</t>
  </si>
  <si>
    <t xml:space="preserve">Current Value</t>
  </si>
  <si>
    <t xml:space="preserve">Benchmark</t>
  </si>
  <si>
    <t xml:space="preserve">Predictive Meaning</t>
  </si>
  <si>
    <t xml:space="preserve">RFI Total (closed)</t>
  </si>
  <si>
    <t xml:space="preserve">&lt;50 for mid-size</t>
  </si>
  <si>
    <t xml:space="preserve">INFO</t>
  </si>
  <si>
    <t xml:space="preserve">Volume proxy for design doc quality</t>
  </si>
  <si>
    <t xml:space="preserve">RFI Velocity (per month, derived)</t>
  </si>
  <si>
    <t xml:space="preserve">See KPIs D50</t>
  </si>
  <si>
    <t xml:space="preserve">&lt;3.0/wk</t>
  </si>
  <si>
    <t xml:space="preserve">&gt;3/wk = CO wave in 4-8 wks</t>
  </si>
  <si>
    <t xml:space="preserve">RFI Avg Cycle Time (days)</t>
  </si>
  <si>
    <t xml:space="preserve">Unknown</t>
  </si>
  <si>
    <t xml:space="preserve">&lt;14</t>
  </si>
  <si>
    <t xml:space="preserve">N/A</t>
  </si>
  <si>
    <t xml:space="preserve">&gt;30 avg signals schedule slip</t>
  </si>
  <si>
    <t xml:space="preserve">ASI / OCD Count</t>
  </si>
  <si>
    <t xml:space="preserve">&lt;5</t>
  </si>
  <si>
    <t xml:space="preserve">HEALTHY</t>
  </si>
  <si>
    <t xml:space="preserve">High ASI = owner scope churn</t>
  </si>
  <si>
    <t xml:space="preserve">Backcharge Count</t>
  </si>
  <si>
    <t xml:space="preserve">&lt;3</t>
  </si>
  <si>
    <t xml:space="preserve">BC clusters = coordination weakness</t>
  </si>
  <si>
    <t xml:space="preserve">Change Order Count</t>
  </si>
  <si>
    <t xml:space="preserve">ELEVATED</t>
  </si>
  <si>
    <t xml:space="preserve">CO count signals scope definition</t>
  </si>
  <si>
    <t xml:space="preserve">T&amp;M Event Count</t>
  </si>
  <si>
    <t xml:space="preserve">&lt;2</t>
  </si>
  <si>
    <t xml:space="preserve">T&amp;M = directed work pipeline</t>
  </si>
  <si>
    <t xml:space="preserve">Submittal resubmission count</t>
  </si>
  <si>
    <t xml:space="preserve">&lt;10</t>
  </si>
  <si>
    <t xml:space="preserve">Repeats = coord issues incubating</t>
  </si>
  <si>
    <t xml:space="preserve">Net $ Impact (all events)</t>
  </si>
  <si>
    <t xml:space="preserve">Near $0</t>
  </si>
  <si>
    <t xml:space="preserve">POSITIVE</t>
  </si>
  <si>
    <t xml:space="preserve">Net recoverable vs absorbed</t>
  </si>
  <si>
    <t xml:space="preserve">FORECAST MODELS (closed-project — actuals)</t>
  </si>
  <si>
    <t xml:space="preserve">Forecast</t>
  </si>
  <si>
    <t xml:space="preserve">Current Estimate</t>
  </si>
  <si>
    <t xml:space="preserve">Driver</t>
  </si>
  <si>
    <t xml:space="preserve">Model Note</t>
  </si>
  <si>
    <t xml:space="preserve">Projected final CO % of contract</t>
  </si>
  <si>
    <t xml:space="preserve">Closed project</t>
  </si>
  <si>
    <t xml:space="preserve">CO$ / orig contract</t>
  </si>
  <si>
    <t xml:space="preserve">Projected EAC (direct cost)</t>
  </si>
  <si>
    <t xml:space="preserve">Sum of L+M+OH+Burden</t>
  </si>
  <si>
    <t xml:space="preserve">Projected final margin</t>
  </si>
  <si>
    <t xml:space="preserve">(Rev - DC) / Rev</t>
  </si>
  <si>
    <t xml:space="preserve">Composite risk score (0-100)</t>
  </si>
  <si>
    <t xml:space="preserve">Medium</t>
  </si>
  <si>
    <t xml:space="preserve">1 BCs + 0 ASI/OCDs</t>
  </si>
  <si>
    <t xml:space="preserve">Custom Cortex scoring</t>
  </si>
  <si>
    <t xml:space="preserve">Metric Registry — Cortex Data Catalog</t>
  </si>
  <si>
    <t xml:space="preserve">Every metric with data_label, confidence_level, and source_document — the machine-readable JCR index</t>
  </si>
  <si>
    <t xml:space="preserve">#</t>
  </si>
  <si>
    <t xml:space="preserve">Data Label</t>
  </si>
  <si>
    <t xml:space="preserve">Human Label</t>
  </si>
  <si>
    <t xml:space="preserve">Unit</t>
  </si>
  <si>
    <t xml:space="preserve">Source Tab</t>
  </si>
  <si>
    <t xml:space="preserve">Source Document(s)</t>
  </si>
  <si>
    <t xml:space="preserve">Formula / Derivation</t>
  </si>
  <si>
    <t xml:space="preserve">id</t>
  </si>
  <si>
    <t xml:space="preserve">JDR header</t>
  </si>
  <si>
    <t xml:space="preserve">See Benchmark KPIs tab</t>
  </si>
  <si>
    <t xml:space="preserve">text</t>
  </si>
  <si>
    <t xml:space="preserve">Contract folder</t>
  </si>
  <si>
    <t xml:space="preserve">Permit/Plans</t>
  </si>
  <si>
    <t xml:space="preserve">Plans</t>
  </si>
  <si>
    <t xml:space="preserve">months</t>
  </si>
  <si>
    <t xml:space="preserve">First-to-last invoice</t>
  </si>
  <si>
    <t xml:space="preserve">Plumbing permit + P-tag list</t>
  </si>
  <si>
    <t xml:space="preserve">count</t>
  </si>
  <si>
    <t xml:space="preserve">Permit detail</t>
  </si>
  <si>
    <t xml:space="preserve">Contract Original</t>
  </si>
  <si>
    <t xml:space="preserve">USD</t>
  </si>
  <si>
    <t xml:space="preserve">Contract SOV</t>
  </si>
  <si>
    <t xml:space="preserve">Contract Final</t>
  </si>
  <si>
    <t xml:space="preserve">Final billing SOV</t>
  </si>
  <si>
    <t xml:space="preserve">JDR revised - original</t>
  </si>
  <si>
    <t xml:space="preserve">Aggregate billing</t>
  </si>
  <si>
    <t xml:space="preserve">Revenue - Direct Cost</t>
  </si>
  <si>
    <t xml:space="preserve">Gross Margin %</t>
  </si>
  <si>
    <t xml:space="preserve">%</t>
  </si>
  <si>
    <t xml:space="preserve">Derived</t>
  </si>
  <si>
    <t xml:space="preserve">JDR cost codes</t>
  </si>
  <si>
    <t xml:space="preserve">JDR labor codes</t>
  </si>
  <si>
    <t xml:space="preserve">JDR material codes</t>
  </si>
  <si>
    <t xml:space="preserve">JDR overhead codes</t>
  </si>
  <si>
    <t xml:space="preserve">JDR burden codes</t>
  </si>
  <si>
    <t xml:space="preserve">Aggregate billing row</t>
  </si>
  <si>
    <t xml:space="preserve">hours</t>
  </si>
  <si>
    <t xml:space="preserve">JDR payroll</t>
  </si>
  <si>
    <t xml:space="preserve">JDR unique workers</t>
  </si>
  <si>
    <t xml:space="preserve">USD/hr</t>
  </si>
  <si>
    <t xml:space="preserve">Labor $ / Hours</t>
  </si>
  <si>
    <t xml:space="preserve">JDR AP unique</t>
  </si>
  <si>
    <t xml:space="preserve">PO folder count</t>
  </si>
  <si>
    <t xml:space="preserve">CO % of Original</t>
  </si>
  <si>
    <t xml:space="preserve">rfi_total_count</t>
  </si>
  <si>
    <t xml:space="preserve">RFIs Total</t>
  </si>
  <si>
    <t xml:space="preserve">Predictive Signals</t>
  </si>
  <si>
    <t xml:space="preserve">ASI-RFI folder count</t>
  </si>
  <si>
    <t xml:space="preserve">See Predictive Signals tab</t>
  </si>
  <si>
    <t xml:space="preserve">asi_ocd_count</t>
  </si>
  <si>
    <t xml:space="preserve">ASI + OCD Count</t>
  </si>
  <si>
    <t xml:space="preserve">Change Log</t>
  </si>
  <si>
    <t xml:space="preserve">ASI-RFI folder + Change Orders</t>
  </si>
  <si>
    <t xml:space="preserve">See Change Log tab</t>
  </si>
  <si>
    <t xml:space="preserve">co_count_total</t>
  </si>
  <si>
    <t xml:space="preserve">Change Orders folder</t>
  </si>
  <si>
    <t xml:space="preserve">backcharge_count</t>
  </si>
  <si>
    <t xml:space="preserve">Invoices/Backcharges</t>
  </si>
  <si>
    <t xml:space="preserve">tm_event_count</t>
  </si>
  <si>
    <t xml:space="preserve">Change Orders / JDR 038</t>
  </si>
  <si>
    <t xml:space="preserve">submittal_resub_count</t>
  </si>
  <si>
    <t xml:space="preserve">Submittal Resubmissions</t>
  </si>
  <si>
    <t xml:space="preserve">Submittals folder</t>
  </si>
  <si>
    <t xml:space="preserve">change_event_total</t>
  </si>
  <si>
    <t xml:space="preserve">Total Tracked Events</t>
  </si>
  <si>
    <t xml:space="preserve">Change Log tab</t>
  </si>
  <si>
    <t xml:space="preserve">change_net_impact</t>
  </si>
  <si>
    <t xml:space="preserve">Change Net $ Impact</t>
  </si>
  <si>
    <t xml:space="preserve">SUM H col</t>
  </si>
  <si>
    <t xml:space="preserve">Reconciliation — Tie-out Proofs</t>
  </si>
  <si>
    <t xml:space="preserve">Live cross-sheet formulas verify data consistency across all 17 tabs</t>
  </si>
  <si>
    <t xml:space="preserve">Check</t>
  </si>
  <si>
    <t xml:space="preserve">Computed</t>
  </si>
  <si>
    <t xml:space="preserve">Expected</t>
  </si>
  <si>
    <t xml:space="preserve">A. JDR COST CODE ROLLUP</t>
  </si>
  <si>
    <t xml:space="preserve">Labor subtotal (10 codes)</t>
  </si>
  <si>
    <t xml:space="preserve">Material subtotal (9 codes)</t>
  </si>
  <si>
    <t xml:space="preserve">Overhead subtotal (3 codes)</t>
  </si>
  <si>
    <t xml:space="preserve">Burden subtotal (2 codes)</t>
  </si>
  <si>
    <t xml:space="preserve">Direct Cost (all categories)</t>
  </si>
  <si>
    <t xml:space="preserve">Revenue (code 999)</t>
  </si>
  <si>
    <t xml:space="preserve">Net Profit (Revenue - Expenses)</t>
  </si>
  <si>
    <t xml:space="preserve">B. LABOR HOURS ROLLUP</t>
  </si>
  <si>
    <t xml:space="preserve">JDR Cost Code hours (Payroll Hours lines)</t>
  </si>
  <si>
    <t xml:space="preserve">Per-worker hours (sum of PR Regular)</t>
  </si>
  <si>
    <t xml:space="preserve">C. BILLING (SOV) ↔ JDR</t>
  </si>
  <si>
    <t xml:space="preserve">D. VENDOR AP ↔ JDR</t>
  </si>
  <si>
    <t xml:space="preserve">Vendor AP total (sum of invoices)</t>
  </si>
  <si>
    <t xml:space="preserve">TIES = within $1 or 5 hrs  •  WITHIN = within 5%  •  OFF = investigate</t>
  </si>
  <si>
    <t xml:space="preserve">K. CHANGE LOG ↔ ROOT CAUSE ANALYSIS</t>
  </si>
  <si>
    <t xml:space="preserve">Total Event Count</t>
  </si>
  <si>
    <t xml:space="preserve">13↔14</t>
  </si>
  <si>
    <t xml:space="preserve">L. PREDICTIVE SIGNALS ↔ CHANGE LOG</t>
  </si>
  <si>
    <t xml:space="preserve">Backcharge Count signal</t>
  </si>
  <si>
    <t xml:space="preserve">15↔13</t>
  </si>
  <si>
    <t xml:space="preserve">M. METRIC REGISTRY ↔ BENCHMARK KPIs</t>
  </si>
  <si>
    <t xml:space="preserve">revenue (row 17)</t>
  </si>
  <si>
    <t xml:space="preserve">16↔11</t>
  </si>
  <si>
    <t xml:space="preserve">unit_count (row 12)</t>
  </si>
  <si>
    <t xml:space="preserve">total_fixtures (row 13)</t>
  </si>
  <si>
    <t xml:space="preserve">direct_cost (row 19)</t>
  </si>
  <si>
    <t xml:space="preserve">total_pos (row 30)</t>
  </si>
  <si>
    <t xml:space="preserve">N. CHANGE LOG ↔ METRIC REGISTRY (event counts)</t>
  </si>
  <si>
    <t xml:space="preserve">16↔13</t>
  </si>
  <si>
    <t xml:space="preserve">Job #2019 — Cortex v2 17-tab layout</t>
  </si>
  <si>
    <t xml:space="preserve">12 analytical tabs + Change Log + Root Cause Analysis + Predictive Signals + Metric Registry + Reconciliation</t>
  </si>
  <si>
    <t xml:space="preserve">Canonical source: 2019 Job Detail Report.pdf (Sage Timberline export)</t>
  </si>
  <si>
    <t xml:space="preserve">Change artifacts: folders scanned — ASI-RFI, Change Orders, Submittals, Invoices (Backcharges), JDR cost codes</t>
  </si>
  <si>
    <t xml:space="preserve">Every Change Log row cites its source document path</t>
  </si>
  <si>
    <t xml:space="preserve">TIES = within $1/5hrs/exact count  •  WITHIN = within 5%  •  OFF = investigate</t>
  </si>
  <si>
    <t xml:space="preserve">Cross-sheet formulas (='Tab'!Cell) update automatically when source tabs change</t>
  </si>
  <si>
    <t xml:space="preserve">Tabs: 1-12 analytical  •  13=ChangeLog  •  14=RootCause  •  15=PredictiveSignals  •  16=MetricRegistry  •  17=Reconciliation</t>
  </si>
  <si>
    <t xml:space="preserve">Vendor Detail — Job #2019</t>
  </si>
  <si>
    <t xml:space="preserve">Vendors</t>
  </si>
  <si>
    <t xml:space="preserve">Top vendor</t>
  </si>
  <si>
    <t xml:space="preserve">Invoices</t>
  </si>
  <si>
    <t xml:space="preserve">Top 3 share</t>
  </si>
  <si>
    <t xml:space="preserve">Total AP</t>
  </si>
  <si>
    <t xml:space="preserve">Source</t>
  </si>
  <si>
    <t xml:space="preserve">2019 Job Detail Report.pdf (Sage Timberline AP export)</t>
  </si>
  <si>
    <t xml:space="preserve">Avg Inv</t>
  </si>
  <si>
    <t xml:space="preserve">Rank</t>
  </si>
  <si>
    <t xml:space="preserve">Vendor Code</t>
  </si>
  <si>
    <t xml:space="preserve">Avg / Invoice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</si>
</sst>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;&quot;($&quot;#,##0\);\-"/>
    <numFmt numFmtId="166" formatCode="0.0%;\(0.0%\);\-"/>
    <numFmt numFmtId="167" formatCode="0"/>
    <numFmt numFmtId="168" formatCode="#,##0.0"/>
    <numFmt numFmtId="169" formatCode="\$#,##0.00"/>
    <numFmt numFmtId="170" formatCode="0.00"/>
    <numFmt numFmtId="171" formatCode="#,##0.00"/>
    <numFmt numFmtId="172" formatCode="\$#,##0;[RED]&quot;-$&quot;#,##0"/>
    <numFmt numFmtId="173" formatCode="0.0%"/>
    <numFmt numFmtId="174" formatCode="#,##0.0;[RED]\-#,##0.0"/>
    <numFmt numFmtId="175" formatCode="#,##0"/>
    <numFmt numFmtId="176" formatCode="\$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E5E7EB"/>
        <bgColor rgb="FFD9E1F2"/>
      </patternFill>
    </fill>
    <fill>
      <patternFill patternType="solid">
        <fgColor rgb="FFF3F4F6"/>
        <bgColor rgb="FFF2F2F2"/>
      </patternFill>
    </fill>
    <fill>
      <patternFill patternType="solid">
        <fgColor rgb="FF1F2937"/>
        <bgColor rgb="FF1F3864"/>
      </patternFill>
    </fill>
    <fill>
      <patternFill patternType="solid">
        <fgColor rgb="FF2E5090"/>
        <bgColor rgb="FF1F3864"/>
      </patternFill>
    </fill>
    <fill>
      <patternFill patternType="solid">
        <fgColor rgb="FFE2EFDA"/>
        <bgColor rgb="FFE5E7EB"/>
      </patternFill>
    </fill>
    <fill>
      <patternFill patternType="solid">
        <fgColor rgb="FF1F3864"/>
        <bgColor rgb="FF1F2937"/>
      </patternFill>
    </fill>
    <fill>
      <patternFill patternType="solid">
        <fgColor rgb="FFF2F2F2"/>
        <bgColor rgb="FFF3F4F6"/>
      </patternFill>
    </fill>
    <fill>
      <patternFill patternType="solid">
        <fgColor rgb="FFFFF2CC"/>
        <bgColor rgb="FFF2F2F2"/>
      </patternFill>
    </fill>
    <fill>
      <patternFill patternType="solid">
        <fgColor rgb="FF4472C4"/>
        <bgColor rgb="FF6B7280"/>
      </patternFill>
    </fill>
    <fill>
      <patternFill patternType="solid">
        <fgColor rgb="FFD9E1F2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66666"/>
      <rgbColor rgb="FF9999FF"/>
      <rgbColor rgb="FF595959"/>
      <rgbColor rgb="FFFFF2CC"/>
      <rgbColor rgb="FFF3F4F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E5E7EB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2E5090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8" min="3" style="1" width="16"/>
  </cols>
  <sheetData>
    <row r="2" customFormat="false" ht="1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5" t="s">
        <v>3</v>
      </c>
      <c r="C6" s="6" t="s">
        <v>4</v>
      </c>
    </row>
    <row r="7" customFormat="false" ht="15" hidden="false" customHeight="true" outlineLevel="0" collapsed="false">
      <c r="B7" s="5" t="s">
        <v>5</v>
      </c>
      <c r="C7" s="6" t="s">
        <v>6</v>
      </c>
    </row>
    <row r="8" customFormat="false" ht="15" hidden="false" customHeight="true" outlineLevel="0" collapsed="false">
      <c r="B8" s="5" t="s">
        <v>7</v>
      </c>
      <c r="C8" s="6" t="s">
        <v>8</v>
      </c>
    </row>
    <row r="9" customFormat="false" ht="15" hidden="false" customHeight="true" outlineLevel="0" collapsed="false">
      <c r="B9" s="5" t="s">
        <v>9</v>
      </c>
      <c r="C9" s="6" t="s">
        <v>10</v>
      </c>
    </row>
    <row r="10" customFormat="false" ht="15" hidden="false" customHeight="true" outlineLevel="0" collapsed="false">
      <c r="B10" s="5" t="s">
        <v>11</v>
      </c>
      <c r="C10" s="6" t="s">
        <v>12</v>
      </c>
    </row>
    <row r="11" customFormat="false" ht="15" hidden="false" customHeight="true" outlineLevel="0" collapsed="false">
      <c r="B11" s="5" t="s">
        <v>13</v>
      </c>
      <c r="C11" s="6" t="s">
        <v>14</v>
      </c>
    </row>
    <row r="13" customFormat="false" ht="15" hidden="false" customHeight="true" outlineLevel="0" collapsed="false">
      <c r="B13" s="7" t="s">
        <v>15</v>
      </c>
      <c r="D13" s="7" t="s">
        <v>16</v>
      </c>
      <c r="F13" s="7" t="s">
        <v>17</v>
      </c>
      <c r="H13" s="7" t="s">
        <v>18</v>
      </c>
    </row>
    <row r="14" customFormat="false" ht="17.25" hidden="false" customHeight="true" outlineLevel="0" collapsed="false">
      <c r="B14" s="8" t="s">
        <v>19</v>
      </c>
      <c r="D14" s="8" t="s">
        <v>20</v>
      </c>
      <c r="F14" s="8" t="s">
        <v>21</v>
      </c>
      <c r="H14" s="8" t="s">
        <v>22</v>
      </c>
    </row>
    <row r="15" customFormat="false" ht="15" hidden="false" customHeight="true" outlineLevel="0" collapsed="false">
      <c r="B15" s="9" t="s">
        <v>23</v>
      </c>
      <c r="D15" s="9" t="s">
        <v>24</v>
      </c>
      <c r="F15" s="9" t="s">
        <v>25</v>
      </c>
      <c r="H15" s="9" t="s">
        <v>26</v>
      </c>
    </row>
    <row r="18" customFormat="false" ht="15" hidden="false" customHeight="true" outlineLevel="0" collapsed="false">
      <c r="B18" s="4" t="s">
        <v>27</v>
      </c>
      <c r="C18" s="4"/>
      <c r="D18" s="4"/>
      <c r="E18" s="4"/>
      <c r="F18" s="4"/>
      <c r="G18" s="4"/>
    </row>
    <row r="19" customFormat="false" ht="15" hidden="false" customHeight="true" outlineLevel="0" collapsed="false">
      <c r="B19" s="10" t="s">
        <v>28</v>
      </c>
      <c r="C19" s="10" t="s">
        <v>29</v>
      </c>
      <c r="D19" s="10" t="s">
        <v>30</v>
      </c>
      <c r="E19" s="10" t="s">
        <v>31</v>
      </c>
      <c r="F19" s="10" t="s">
        <v>32</v>
      </c>
      <c r="G19" s="10" t="s">
        <v>33</v>
      </c>
    </row>
    <row r="20" customFormat="false" ht="15" hidden="false" customHeight="true" outlineLevel="0" collapsed="false">
      <c r="B20" s="5" t="s">
        <v>34</v>
      </c>
      <c r="C20" s="11" t="n">
        <v>630261</v>
      </c>
      <c r="D20" s="11" t="n">
        <v>550832.62</v>
      </c>
      <c r="E20" s="11" t="n">
        <f aca="false">C20-D20</f>
        <v>79428.38</v>
      </c>
      <c r="F20" s="12" t="n">
        <f aca="false">IF(C20=0,0,D20/C20)</f>
        <v>0.873975416533785</v>
      </c>
      <c r="G20" s="12" t="n">
        <f aca="false">IF($D$24=0,0,D20/$D$24)</f>
        <v>0.361424798898662</v>
      </c>
    </row>
    <row r="21" customFormat="false" ht="15" hidden="false" customHeight="true" outlineLevel="0" collapsed="false">
      <c r="B21" s="5" t="s">
        <v>35</v>
      </c>
      <c r="C21" s="11" t="n">
        <v>974017</v>
      </c>
      <c r="D21" s="11" t="n">
        <v>660548.93</v>
      </c>
      <c r="E21" s="11" t="n">
        <f aca="false">C21-D21</f>
        <v>313468.07</v>
      </c>
      <c r="F21" s="12" t="n">
        <f aca="false">IF(C21=0,0,D21/C21)</f>
        <v>0.678169816337908</v>
      </c>
      <c r="G21" s="12" t="n">
        <f aca="false">IF($D$24=0,0,D21/$D$24)</f>
        <v>0.433414354051829</v>
      </c>
    </row>
    <row r="22" customFormat="false" ht="15" hidden="false" customHeight="true" outlineLevel="0" collapsed="false">
      <c r="B22" s="5" t="s">
        <v>36</v>
      </c>
      <c r="C22" s="11" t="n">
        <v>65850</v>
      </c>
      <c r="D22" s="11" t="n">
        <v>59981.3</v>
      </c>
      <c r="E22" s="11" t="n">
        <f aca="false">C22-D22</f>
        <v>5868.7</v>
      </c>
      <c r="F22" s="12" t="n">
        <f aca="false">IF(C22=0,0,D22/C22)</f>
        <v>0.91087775246773</v>
      </c>
      <c r="G22" s="12" t="n">
        <f aca="false">IF($D$24=0,0,D22/$D$24)</f>
        <v>0.0393562917355554</v>
      </c>
    </row>
    <row r="23" customFormat="false" ht="15" hidden="false" customHeight="true" outlineLevel="0" collapsed="false">
      <c r="B23" s="5" t="s">
        <v>37</v>
      </c>
      <c r="C23" s="11" t="n">
        <v>297111.35</v>
      </c>
      <c r="D23" s="11" t="n">
        <v>252695.88</v>
      </c>
      <c r="E23" s="11" t="n">
        <f aca="false">C23-D23</f>
        <v>44415.47</v>
      </c>
      <c r="F23" s="12" t="n">
        <f aca="false">IF(C23=0,0,D23/C23)</f>
        <v>0.850509009500984</v>
      </c>
      <c r="G23" s="12" t="n">
        <f aca="false">IF($D$24=0,0,D23/$D$24)</f>
        <v>0.165804555313954</v>
      </c>
    </row>
    <row r="24" customFormat="false" ht="15" hidden="false" customHeight="true" outlineLevel="0" collapsed="false">
      <c r="B24" s="6" t="s">
        <v>38</v>
      </c>
      <c r="C24" s="13" t="n">
        <f aca="false">SUM(C20:C23)</f>
        <v>1967239.35</v>
      </c>
      <c r="D24" s="13" t="n">
        <f aca="false">SUM(D20:D23)</f>
        <v>1524058.73</v>
      </c>
      <c r="E24" s="13" t="n">
        <f aca="false">C24-D24</f>
        <v>443180.62</v>
      </c>
      <c r="F24" s="14" t="n">
        <f aca="false">IF(C24=0,0,D24/C24)</f>
        <v>0.774719522563434</v>
      </c>
      <c r="G24" s="14" t="n">
        <v>1</v>
      </c>
    </row>
    <row r="27" customFormat="false" ht="15" hidden="false" customHeight="true" outlineLevel="0" collapsed="false">
      <c r="B27" s="4" t="s">
        <v>39</v>
      </c>
      <c r="C27" s="4"/>
      <c r="D27" s="4"/>
      <c r="E27" s="4"/>
      <c r="F27" s="4"/>
      <c r="G27" s="4"/>
    </row>
    <row r="28" customFormat="false" ht="15" hidden="false" customHeight="true" outlineLevel="0" collapsed="false">
      <c r="B28" s="6" t="s">
        <v>40</v>
      </c>
      <c r="C28" s="6" t="s">
        <v>41</v>
      </c>
      <c r="D28" s="6" t="s">
        <v>40</v>
      </c>
      <c r="E28" s="6" t="s">
        <v>41</v>
      </c>
      <c r="F28" s="6" t="s">
        <v>40</v>
      </c>
      <c r="G28" s="6" t="s">
        <v>41</v>
      </c>
    </row>
    <row r="29" customFormat="false" ht="15" hidden="false" customHeight="true" outlineLevel="0" collapsed="false">
      <c r="B29" s="5" t="s">
        <v>42</v>
      </c>
      <c r="C29" s="6" t="s">
        <v>43</v>
      </c>
      <c r="D29" s="5" t="s">
        <v>44</v>
      </c>
      <c r="E29" s="6" t="s">
        <v>43</v>
      </c>
      <c r="F29" s="5" t="s">
        <v>45</v>
      </c>
      <c r="G29" s="6" t="s">
        <v>43</v>
      </c>
    </row>
    <row r="30" customFormat="false" ht="15" hidden="false" customHeight="true" outlineLevel="0" collapsed="false">
      <c r="B30" s="5" t="s">
        <v>46</v>
      </c>
      <c r="C30" s="6" t="s">
        <v>47</v>
      </c>
      <c r="D30" s="5" t="s">
        <v>48</v>
      </c>
      <c r="E30" s="6" t="s">
        <v>49</v>
      </c>
      <c r="F30" s="5" t="s">
        <v>50</v>
      </c>
      <c r="G30" s="6" t="s">
        <v>43</v>
      </c>
    </row>
    <row r="31" customFormat="false" ht="15" hidden="false" customHeight="true" outlineLevel="0" collapsed="false">
      <c r="B31" s="5" t="s">
        <v>51</v>
      </c>
      <c r="C31" s="6" t="s">
        <v>52</v>
      </c>
      <c r="D31" s="5" t="s">
        <v>53</v>
      </c>
      <c r="E31" s="6" t="s">
        <v>54</v>
      </c>
      <c r="F31" s="5" t="s">
        <v>55</v>
      </c>
      <c r="G31" s="6" t="s">
        <v>43</v>
      </c>
    </row>
    <row r="32" customFormat="false" ht="15" hidden="false" customHeight="true" outlineLevel="0" collapsed="false">
      <c r="B32" s="5" t="s">
        <v>56</v>
      </c>
      <c r="C32" s="6" t="s">
        <v>57</v>
      </c>
      <c r="D32" s="5" t="s">
        <v>58</v>
      </c>
      <c r="E32" s="6" t="s">
        <v>59</v>
      </c>
      <c r="F32" s="5" t="s">
        <v>60</v>
      </c>
      <c r="G32" s="6" t="s">
        <v>61</v>
      </c>
    </row>
    <row r="33" customFormat="false" ht="15" hidden="false" customHeight="true" outlineLevel="0" collapsed="false">
      <c r="B33" s="5" t="s">
        <v>62</v>
      </c>
      <c r="C33" s="6" t="s">
        <v>63</v>
      </c>
      <c r="D33" s="5" t="s">
        <v>64</v>
      </c>
      <c r="E33" s="6" t="s">
        <v>65</v>
      </c>
    </row>
    <row r="36" customFormat="false" ht="15" hidden="false" customHeight="true" outlineLevel="0" collapsed="false">
      <c r="B36" s="4" t="s">
        <v>66</v>
      </c>
      <c r="C36" s="4"/>
      <c r="D36" s="4"/>
      <c r="E36" s="4"/>
      <c r="F36" s="4"/>
      <c r="G36" s="4"/>
    </row>
    <row r="37" customFormat="false" ht="15" hidden="false" customHeight="true" outlineLevel="0" collapsed="false">
      <c r="B37" s="3" t="s">
        <v>67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68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69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70</v>
      </c>
      <c r="C40" s="3"/>
      <c r="D40" s="3"/>
      <c r="E40" s="3"/>
      <c r="F40" s="3"/>
      <c r="G40" s="3"/>
    </row>
    <row r="41" customFormat="false" ht="15" hidden="false" customHeight="true" outlineLevel="0" collapsed="false">
      <c r="B41" s="3" t="s">
        <v>71</v>
      </c>
      <c r="C41" s="3"/>
      <c r="D41" s="3"/>
      <c r="E41" s="3"/>
      <c r="F41" s="3"/>
      <c r="G41" s="3"/>
    </row>
    <row r="42" customFormat="false" ht="15" hidden="false" customHeight="true" outlineLevel="0" collapsed="false">
      <c r="B42" s="3" t="s">
        <v>72</v>
      </c>
      <c r="C42" s="3"/>
      <c r="D42" s="3"/>
      <c r="E42" s="3"/>
      <c r="F42" s="3"/>
      <c r="G42" s="3"/>
    </row>
    <row r="43" customFormat="false" ht="15" hidden="false" customHeight="true" outlineLevel="0" collapsed="false">
      <c r="B43" s="3" t="s">
        <v>73</v>
      </c>
      <c r="C43" s="3"/>
      <c r="D43" s="3"/>
      <c r="E43" s="3"/>
      <c r="F43" s="3"/>
      <c r="G43" s="3"/>
    </row>
    <row r="44" customFormat="false" ht="15" hidden="false" customHeight="true" outlineLevel="0" collapsed="false">
      <c r="B44" s="3" t="s">
        <v>74</v>
      </c>
      <c r="C44" s="3"/>
      <c r="D44" s="3"/>
      <c r="E44" s="3"/>
      <c r="F44" s="3"/>
      <c r="G44" s="3"/>
    </row>
    <row r="45" customFormat="false" ht="15" hidden="false" customHeight="true" outlineLevel="0" collapsed="false">
      <c r="B45" s="3" t="s">
        <v>75</v>
      </c>
      <c r="C45" s="3"/>
      <c r="D45" s="3"/>
      <c r="E45" s="3"/>
      <c r="F45" s="3"/>
      <c r="G45" s="3"/>
    </row>
  </sheetData>
  <mergeCells count="15">
    <mergeCell ref="B2:H2"/>
    <mergeCell ref="B3:H3"/>
    <mergeCell ref="B5:G5"/>
    <mergeCell ref="B18:G18"/>
    <mergeCell ref="B27:G27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8" min="4" style="1" width="14"/>
  </cols>
  <sheetData>
    <row r="2" customFormat="false" ht="19.5" hidden="false" customHeight="true" outlineLevel="0" collapsed="false">
      <c r="B2" s="2" t="s">
        <v>76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0" t="s">
        <v>77</v>
      </c>
      <c r="C4" s="10" t="s">
        <v>78</v>
      </c>
      <c r="D4" s="10" t="s">
        <v>79</v>
      </c>
      <c r="E4" s="10" t="s">
        <v>80</v>
      </c>
      <c r="F4" s="10" t="s">
        <v>30</v>
      </c>
      <c r="G4" s="10" t="s">
        <v>31</v>
      </c>
      <c r="H4" s="10" t="s">
        <v>81</v>
      </c>
    </row>
    <row r="5" customFormat="false" ht="15" hidden="false" customHeight="true" outlineLevel="0" collapsed="false">
      <c r="B5" s="4" t="s">
        <v>82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5" t="s">
        <v>83</v>
      </c>
      <c r="C6" s="5" t="s">
        <v>84</v>
      </c>
      <c r="D6" s="11" t="n">
        <v>14700</v>
      </c>
      <c r="E6" s="11" t="n">
        <v>18480</v>
      </c>
      <c r="F6" s="11" t="n">
        <v>13841.5</v>
      </c>
      <c r="G6" s="11" t="n">
        <f aca="false">E6-F6</f>
        <v>4638.5</v>
      </c>
      <c r="H6" s="12" t="n">
        <f aca="false">IF(E6=0,0,F6/E6)</f>
        <v>0.748998917748918</v>
      </c>
    </row>
    <row r="7" customFormat="false" ht="15" hidden="false" customHeight="true" outlineLevel="0" collapsed="false">
      <c r="B7" s="5" t="s">
        <v>85</v>
      </c>
      <c r="C7" s="5" t="s">
        <v>86</v>
      </c>
      <c r="D7" s="11" t="n">
        <v>14700</v>
      </c>
      <c r="E7" s="11" t="n">
        <v>26068</v>
      </c>
      <c r="F7" s="11" t="n">
        <v>27212.5</v>
      </c>
      <c r="G7" s="11" t="n">
        <f aca="false">E7-F7</f>
        <v>-1144.5</v>
      </c>
      <c r="H7" s="12" t="n">
        <f aca="false">IF(E7=0,0,F7/E7)</f>
        <v>1.04390440386681</v>
      </c>
    </row>
    <row r="8" customFormat="false" ht="15" hidden="false" customHeight="true" outlineLevel="0" collapsed="false">
      <c r="B8" s="5" t="s">
        <v>87</v>
      </c>
      <c r="C8" s="5" t="s">
        <v>88</v>
      </c>
      <c r="D8" s="11" t="n">
        <v>12700</v>
      </c>
      <c r="E8" s="11" t="n">
        <v>12700</v>
      </c>
      <c r="F8" s="11" t="n">
        <v>11835</v>
      </c>
      <c r="G8" s="11" t="n">
        <f aca="false">E8-F8</f>
        <v>865</v>
      </c>
      <c r="H8" s="12" t="n">
        <f aca="false">IF(E8=0,0,F8/E8)</f>
        <v>0.931889763779528</v>
      </c>
    </row>
    <row r="9" customFormat="false" ht="15" hidden="false" customHeight="true" outlineLevel="0" collapsed="false">
      <c r="B9" s="5" t="s">
        <v>89</v>
      </c>
      <c r="C9" s="5" t="s">
        <v>90</v>
      </c>
      <c r="D9" s="11" t="n">
        <v>80400</v>
      </c>
      <c r="E9" s="11" t="n">
        <v>84100</v>
      </c>
      <c r="F9" s="11" t="n">
        <v>65168.5</v>
      </c>
      <c r="G9" s="11" t="n">
        <f aca="false">E9-F9</f>
        <v>18931.5</v>
      </c>
      <c r="H9" s="12" t="n">
        <f aca="false">IF(E9=0,0,F9/E9)</f>
        <v>0.774892984542212</v>
      </c>
    </row>
    <row r="10" customFormat="false" ht="15" hidden="false" customHeight="true" outlineLevel="0" collapsed="false">
      <c r="B10" s="5" t="s">
        <v>91</v>
      </c>
      <c r="C10" s="5" t="s">
        <v>92</v>
      </c>
      <c r="D10" s="11" t="n">
        <v>44800</v>
      </c>
      <c r="E10" s="11" t="n">
        <v>48150</v>
      </c>
      <c r="F10" s="11" t="n">
        <v>47229</v>
      </c>
      <c r="G10" s="11" t="n">
        <f aca="false">E10-F10</f>
        <v>921</v>
      </c>
      <c r="H10" s="12" t="n">
        <f aca="false">IF(E10=0,0,F10/E10)</f>
        <v>0.980872274143302</v>
      </c>
    </row>
    <row r="11" customFormat="false" ht="15" hidden="false" customHeight="true" outlineLevel="0" collapsed="false">
      <c r="B11" s="5" t="s">
        <v>93</v>
      </c>
      <c r="C11" s="5" t="s">
        <v>94</v>
      </c>
      <c r="D11" s="11" t="n">
        <v>281500</v>
      </c>
      <c r="E11" s="11" t="n">
        <v>294635</v>
      </c>
      <c r="F11" s="11" t="n">
        <v>301244.35</v>
      </c>
      <c r="G11" s="11" t="n">
        <f aca="false">E11-F11</f>
        <v>-6609.34999999998</v>
      </c>
      <c r="H11" s="12" t="n">
        <f aca="false">IF(E11=0,0,F11/E11)</f>
        <v>1.02243233152884</v>
      </c>
    </row>
    <row r="12" customFormat="false" ht="15" hidden="false" customHeight="true" outlineLevel="0" collapsed="false">
      <c r="B12" s="5" t="s">
        <v>95</v>
      </c>
      <c r="C12" s="5" t="s">
        <v>96</v>
      </c>
      <c r="D12" s="11" t="n">
        <v>54000</v>
      </c>
      <c r="E12" s="11" t="n">
        <v>55373</v>
      </c>
      <c r="F12" s="11" t="n">
        <v>36001.25</v>
      </c>
      <c r="G12" s="11" t="n">
        <f aca="false">E12-F12</f>
        <v>19371.75</v>
      </c>
      <c r="H12" s="12" t="n">
        <f aca="false">IF(E12=0,0,F12/E12)</f>
        <v>0.65015892221841</v>
      </c>
    </row>
    <row r="13" customFormat="false" ht="15" hidden="false" customHeight="true" outlineLevel="0" collapsed="false">
      <c r="B13" s="5" t="s">
        <v>97</v>
      </c>
      <c r="C13" s="5" t="s">
        <v>98</v>
      </c>
      <c r="D13" s="11" t="n">
        <v>14700</v>
      </c>
      <c r="E13" s="11" t="n">
        <v>15325</v>
      </c>
      <c r="F13" s="11" t="n">
        <v>7665</v>
      </c>
      <c r="G13" s="11" t="n">
        <f aca="false">E13-F13</f>
        <v>7660</v>
      </c>
      <c r="H13" s="12" t="n">
        <f aca="false">IF(E13=0,0,F13/E13)</f>
        <v>0.500163132137031</v>
      </c>
    </row>
    <row r="14" customFormat="false" ht="15" hidden="false" customHeight="true" outlineLevel="0" collapsed="false">
      <c r="B14" s="5" t="s">
        <v>99</v>
      </c>
      <c r="C14" s="5" t="s">
        <v>100</v>
      </c>
      <c r="D14" s="11" t="n">
        <v>74800</v>
      </c>
      <c r="E14" s="11" t="n">
        <v>75430</v>
      </c>
      <c r="F14" s="11" t="n">
        <v>39821.52</v>
      </c>
      <c r="G14" s="11" t="n">
        <f aca="false">E14-F14</f>
        <v>35608.48</v>
      </c>
      <c r="H14" s="12" t="n">
        <f aca="false">IF(E14=0,0,F14/E14)</f>
        <v>0.527926819567811</v>
      </c>
    </row>
    <row r="15" customFormat="false" ht="15" hidden="false" customHeight="true" outlineLevel="0" collapsed="false">
      <c r="B15" s="5" t="s">
        <v>101</v>
      </c>
      <c r="C15" s="5" t="s">
        <v>102</v>
      </c>
      <c r="D15" s="11" t="n">
        <v>0</v>
      </c>
      <c r="E15" s="11" t="n">
        <v>0</v>
      </c>
      <c r="F15" s="11" t="n">
        <v>814</v>
      </c>
      <c r="G15" s="11" t="n">
        <f aca="false">E15-F15</f>
        <v>-814</v>
      </c>
      <c r="H15" s="12" t="n">
        <f aca="false">IF(E15=0,0,F15/E15)</f>
        <v>0</v>
      </c>
    </row>
    <row r="16" customFormat="false" ht="15" hidden="false" customHeight="true" outlineLevel="0" collapsed="false">
      <c r="B16" s="4" t="s">
        <v>103</v>
      </c>
      <c r="C16" s="4"/>
      <c r="D16" s="4"/>
      <c r="E16" s="4"/>
      <c r="F16" s="4"/>
      <c r="G16" s="4"/>
      <c r="H16" s="4"/>
    </row>
    <row r="17" customFormat="false" ht="15" hidden="false" customHeight="true" outlineLevel="0" collapsed="false">
      <c r="B17" s="5" t="s">
        <v>104</v>
      </c>
      <c r="C17" s="5" t="s">
        <v>105</v>
      </c>
      <c r="D17" s="11" t="n">
        <v>16500</v>
      </c>
      <c r="E17" s="11" t="n">
        <v>16500</v>
      </c>
      <c r="F17" s="11" t="n">
        <v>9932.16</v>
      </c>
      <c r="G17" s="11" t="n">
        <f aca="false">E17-F17</f>
        <v>6567.84</v>
      </c>
      <c r="H17" s="12" t="n">
        <f aca="false">IF(E17=0,0,F17/E17)</f>
        <v>0.601949090909091</v>
      </c>
    </row>
    <row r="18" customFormat="false" ht="15" hidden="false" customHeight="true" outlineLevel="0" collapsed="false">
      <c r="B18" s="5" t="s">
        <v>43</v>
      </c>
      <c r="C18" s="5" t="s">
        <v>106</v>
      </c>
      <c r="D18" s="11" t="n">
        <v>55800</v>
      </c>
      <c r="E18" s="11" t="n">
        <v>57063</v>
      </c>
      <c r="F18" s="11" t="n">
        <v>22168.78</v>
      </c>
      <c r="G18" s="11" t="n">
        <f aca="false">E18-F18</f>
        <v>34894.22</v>
      </c>
      <c r="H18" s="12" t="n">
        <f aca="false">IF(E18=0,0,F18/E18)</f>
        <v>0.388496573962112</v>
      </c>
    </row>
    <row r="19" customFormat="false" ht="15" hidden="false" customHeight="true" outlineLevel="0" collapsed="false">
      <c r="B19" s="5" t="s">
        <v>107</v>
      </c>
      <c r="C19" s="5" t="s">
        <v>108</v>
      </c>
      <c r="D19" s="11" t="n">
        <v>69200</v>
      </c>
      <c r="E19" s="11" t="n">
        <v>69350</v>
      </c>
      <c r="F19" s="11" t="n">
        <v>40231.97</v>
      </c>
      <c r="G19" s="11" t="n">
        <f aca="false">E19-F19</f>
        <v>29118.03</v>
      </c>
      <c r="H19" s="12" t="n">
        <f aca="false">IF(E19=0,0,F19/E19)</f>
        <v>0.580129343907715</v>
      </c>
    </row>
    <row r="20" customFormat="false" ht="15" hidden="false" customHeight="true" outlineLevel="0" collapsed="false">
      <c r="B20" s="5" t="s">
        <v>109</v>
      </c>
      <c r="C20" s="5" t="s">
        <v>110</v>
      </c>
      <c r="D20" s="11" t="n">
        <v>212400</v>
      </c>
      <c r="E20" s="11" t="n">
        <v>215686</v>
      </c>
      <c r="F20" s="11" t="n">
        <v>176444.92</v>
      </c>
      <c r="G20" s="11" t="n">
        <f aca="false">E20-F20</f>
        <v>39241.08</v>
      </c>
      <c r="H20" s="12" t="n">
        <f aca="false">IF(E20=0,0,F20/E20)</f>
        <v>0.818063852081266</v>
      </c>
    </row>
    <row r="21" customFormat="false" ht="15" hidden="false" customHeight="true" outlineLevel="0" collapsed="false">
      <c r="B21" s="5" t="s">
        <v>111</v>
      </c>
      <c r="C21" s="5" t="s">
        <v>112</v>
      </c>
      <c r="D21" s="11" t="n">
        <v>461500</v>
      </c>
      <c r="E21" s="11" t="n">
        <v>488611</v>
      </c>
      <c r="F21" s="11" t="n">
        <v>313722.19</v>
      </c>
      <c r="G21" s="11" t="n">
        <f aca="false">E21-F21</f>
        <v>174888.81</v>
      </c>
      <c r="H21" s="12" t="n">
        <f aca="false">IF(E21=0,0,F21/E21)</f>
        <v>0.64206943765081</v>
      </c>
    </row>
    <row r="22" customFormat="false" ht="15" hidden="false" customHeight="true" outlineLevel="0" collapsed="false">
      <c r="B22" s="5" t="s">
        <v>113</v>
      </c>
      <c r="C22" s="5" t="s">
        <v>114</v>
      </c>
      <c r="D22" s="11" t="n">
        <v>10300</v>
      </c>
      <c r="E22" s="11" t="n">
        <v>10532</v>
      </c>
      <c r="F22" s="11" t="n">
        <v>4568.01</v>
      </c>
      <c r="G22" s="11" t="n">
        <f aca="false">E22-F22</f>
        <v>5963.99</v>
      </c>
      <c r="H22" s="12" t="n">
        <f aca="false">IF(E22=0,0,F22/E22)</f>
        <v>0.433726737561717</v>
      </c>
    </row>
    <row r="23" customFormat="false" ht="15" hidden="false" customHeight="true" outlineLevel="0" collapsed="false">
      <c r="B23" s="5" t="s">
        <v>115</v>
      </c>
      <c r="C23" s="5" t="s">
        <v>116</v>
      </c>
      <c r="D23" s="11" t="n">
        <v>83500</v>
      </c>
      <c r="E23" s="11" t="n">
        <v>83775</v>
      </c>
      <c r="F23" s="11" t="n">
        <v>69305.69</v>
      </c>
      <c r="G23" s="11" t="n">
        <f aca="false">E23-F23</f>
        <v>14469.31</v>
      </c>
      <c r="H23" s="12" t="n">
        <f aca="false">IF(E23=0,0,F23/E23)</f>
        <v>0.827283676514473</v>
      </c>
    </row>
    <row r="24" customFormat="false" ht="15" hidden="false" customHeight="true" outlineLevel="0" collapsed="false">
      <c r="B24" s="5" t="s">
        <v>117</v>
      </c>
      <c r="C24" s="5" t="s">
        <v>118</v>
      </c>
      <c r="D24" s="11" t="n">
        <v>32500</v>
      </c>
      <c r="E24" s="11" t="n">
        <v>32500</v>
      </c>
      <c r="F24" s="11" t="n">
        <v>24175.21</v>
      </c>
      <c r="G24" s="11" t="n">
        <f aca="false">E24-F24</f>
        <v>8324.79</v>
      </c>
      <c r="H24" s="12" t="n">
        <f aca="false">IF(E24=0,0,F24/E24)</f>
        <v>0.743852615384615</v>
      </c>
    </row>
    <row r="25" customFormat="false" ht="15" hidden="false" customHeight="true" outlineLevel="0" collapsed="false">
      <c r="B25" s="5" t="s">
        <v>119</v>
      </c>
      <c r="C25" s="5" t="s">
        <v>120</v>
      </c>
      <c r="D25" s="11" t="n">
        <v>0</v>
      </c>
      <c r="E25" s="11" t="n">
        <v>0</v>
      </c>
      <c r="F25" s="11" t="n">
        <v>0</v>
      </c>
      <c r="G25" s="11" t="n">
        <f aca="false">E25-F25</f>
        <v>0</v>
      </c>
      <c r="H25" s="12" t="n">
        <f aca="false">IF(E25=0,0,F25/E25)</f>
        <v>0</v>
      </c>
    </row>
    <row r="26" customFormat="false" ht="15" hidden="false" customHeight="true" outlineLevel="0" collapsed="false">
      <c r="B26" s="4" t="s">
        <v>121</v>
      </c>
      <c r="C26" s="4"/>
      <c r="D26" s="4"/>
      <c r="E26" s="4"/>
      <c r="F26" s="4"/>
      <c r="G26" s="4"/>
      <c r="H26" s="4"/>
    </row>
    <row r="27" customFormat="false" ht="15" hidden="false" customHeight="true" outlineLevel="0" collapsed="false">
      <c r="B27" s="5" t="s">
        <v>122</v>
      </c>
      <c r="C27" s="5" t="s">
        <v>123</v>
      </c>
      <c r="D27" s="11" t="n">
        <v>21600</v>
      </c>
      <c r="E27" s="11" t="n">
        <v>45850</v>
      </c>
      <c r="F27" s="11" t="n">
        <v>31086.35</v>
      </c>
      <c r="G27" s="11" t="n">
        <f aca="false">E27-F27</f>
        <v>14763.65</v>
      </c>
      <c r="H27" s="12" t="n">
        <f aca="false">IF(E27=0,0,F27/E27)</f>
        <v>0.678001090512541</v>
      </c>
    </row>
    <row r="28" customFormat="false" ht="15" hidden="false" customHeight="true" outlineLevel="0" collapsed="false">
      <c r="B28" s="5" t="s">
        <v>124</v>
      </c>
      <c r="C28" s="5" t="s">
        <v>125</v>
      </c>
      <c r="D28" s="11" t="n">
        <v>5000</v>
      </c>
      <c r="E28" s="11" t="n">
        <v>5000</v>
      </c>
      <c r="F28" s="11" t="n">
        <v>10226</v>
      </c>
      <c r="G28" s="11" t="n">
        <f aca="false">E28-F28</f>
        <v>-5226</v>
      </c>
      <c r="H28" s="12" t="n">
        <f aca="false">IF(E28=0,0,F28/E28)</f>
        <v>2.0452</v>
      </c>
    </row>
    <row r="29" customFormat="false" ht="15" hidden="false" customHeight="true" outlineLevel="0" collapsed="false">
      <c r="B29" s="5" t="s">
        <v>126</v>
      </c>
      <c r="C29" s="5" t="s">
        <v>127</v>
      </c>
      <c r="D29" s="11" t="n">
        <v>15000</v>
      </c>
      <c r="E29" s="11" t="n">
        <v>15000</v>
      </c>
      <c r="F29" s="11" t="n">
        <v>18668.95</v>
      </c>
      <c r="G29" s="11" t="n">
        <f aca="false">E29-F29</f>
        <v>-3668.95</v>
      </c>
      <c r="H29" s="12" t="n">
        <f aca="false">IF(E29=0,0,F29/E29)</f>
        <v>1.24459666666667</v>
      </c>
    </row>
    <row r="30" customFormat="false" ht="15" hidden="false" customHeight="true" outlineLevel="0" collapsed="false">
      <c r="B30" s="4" t="s">
        <v>128</v>
      </c>
      <c r="C30" s="4"/>
      <c r="D30" s="4"/>
      <c r="E30" s="4"/>
      <c r="F30" s="4"/>
      <c r="G30" s="4"/>
      <c r="H30" s="4"/>
    </row>
    <row r="31" customFormat="false" ht="15" hidden="false" customHeight="true" outlineLevel="0" collapsed="false">
      <c r="B31" s="5" t="s">
        <v>129</v>
      </c>
      <c r="C31" s="5" t="s">
        <v>130</v>
      </c>
      <c r="D31" s="11" t="n">
        <v>262831.05</v>
      </c>
      <c r="E31" s="11" t="n">
        <v>247825.38</v>
      </c>
      <c r="F31" s="11" t="n">
        <v>209946.79</v>
      </c>
      <c r="G31" s="11" t="n">
        <f aca="false">E31-F31</f>
        <v>37878.59</v>
      </c>
      <c r="H31" s="12" t="n">
        <f aca="false">IF(E31=0,0,F31/E31)</f>
        <v>0.847156130659418</v>
      </c>
    </row>
    <row r="32" customFormat="false" ht="15" hidden="false" customHeight="true" outlineLevel="0" collapsed="false">
      <c r="B32" s="5" t="s">
        <v>131</v>
      </c>
      <c r="C32" s="5" t="s">
        <v>132</v>
      </c>
      <c r="D32" s="11" t="n">
        <v>46381.95</v>
      </c>
      <c r="E32" s="11" t="n">
        <v>49285.97</v>
      </c>
      <c r="F32" s="11" t="n">
        <v>42749.09</v>
      </c>
      <c r="G32" s="11" t="n">
        <f aca="false">E32-F32</f>
        <v>6536.88000000001</v>
      </c>
      <c r="H32" s="12" t="n">
        <f aca="false">IF(E32=0,0,F32/E32)</f>
        <v>0.867368340320785</v>
      </c>
    </row>
    <row r="33" customFormat="false" ht="15" hidden="false" customHeight="true" outlineLevel="0" collapsed="false">
      <c r="B33" s="6" t="s">
        <v>38</v>
      </c>
      <c r="C33" s="6" t="s">
        <v>133</v>
      </c>
      <c r="D33" s="13" t="n">
        <v>1884813</v>
      </c>
      <c r="E33" s="13" t="n">
        <v>1967239.35</v>
      </c>
      <c r="F33" s="13" t="n">
        <v>1524058.73</v>
      </c>
      <c r="G33" s="13" t="n">
        <f aca="false">E33-F33</f>
        <v>443180.62</v>
      </c>
      <c r="H33" s="14" t="n">
        <f aca="false">IF(E33=0,0,F33/E33)</f>
        <v>0.774719522563434</v>
      </c>
    </row>
    <row r="36" customFormat="false" ht="15" hidden="false" customHeight="true" outlineLevel="0" collapsed="false">
      <c r="B36" s="4" t="s">
        <v>66</v>
      </c>
      <c r="C36" s="4"/>
      <c r="D36" s="4"/>
      <c r="E36" s="4"/>
      <c r="F36" s="4"/>
      <c r="G36" s="4"/>
      <c r="H36" s="4"/>
    </row>
    <row r="37" customFormat="false" ht="15" hidden="false" customHeight="true" outlineLevel="0" collapsed="false">
      <c r="B37" s="3" t="s">
        <v>67</v>
      </c>
      <c r="C37" s="3"/>
      <c r="D37" s="3"/>
      <c r="E37" s="3"/>
      <c r="F37" s="3"/>
      <c r="G37" s="3"/>
      <c r="H37" s="3"/>
    </row>
    <row r="38" customFormat="false" ht="15" hidden="false" customHeight="true" outlineLevel="0" collapsed="false">
      <c r="B38" s="3" t="s">
        <v>68</v>
      </c>
      <c r="C38" s="3"/>
      <c r="D38" s="3"/>
      <c r="E38" s="3"/>
      <c r="F38" s="3"/>
      <c r="G38" s="3"/>
      <c r="H38" s="3"/>
    </row>
    <row r="39" customFormat="false" ht="15" hidden="false" customHeight="true" outlineLevel="0" collapsed="false">
      <c r="B39" s="3" t="s">
        <v>69</v>
      </c>
      <c r="C39" s="3"/>
      <c r="D39" s="3"/>
      <c r="E39" s="3"/>
      <c r="F39" s="3"/>
      <c r="G39" s="3"/>
      <c r="H39" s="3"/>
    </row>
    <row r="40" customFormat="false" ht="15" hidden="false" customHeight="true" outlineLevel="0" collapsed="false">
      <c r="B40" s="3" t="s">
        <v>70</v>
      </c>
      <c r="C40" s="3"/>
      <c r="D40" s="3"/>
      <c r="E40" s="3"/>
      <c r="F40" s="3"/>
      <c r="G40" s="3"/>
      <c r="H40" s="3"/>
    </row>
    <row r="41" customFormat="false" ht="15" hidden="false" customHeight="true" outlineLevel="0" collapsed="false">
      <c r="B41" s="3" t="s">
        <v>71</v>
      </c>
      <c r="C41" s="3"/>
      <c r="D41" s="3"/>
      <c r="E41" s="3"/>
      <c r="F41" s="3"/>
      <c r="G41" s="3"/>
      <c r="H41" s="3"/>
    </row>
    <row r="42" customFormat="false" ht="15" hidden="false" customHeight="true" outlineLevel="0" collapsed="false">
      <c r="B42" s="3" t="s">
        <v>72</v>
      </c>
      <c r="C42" s="3"/>
      <c r="D42" s="3"/>
      <c r="E42" s="3"/>
      <c r="F42" s="3"/>
      <c r="G42" s="3"/>
      <c r="H42" s="3"/>
    </row>
    <row r="43" customFormat="false" ht="15" hidden="false" customHeight="true" outlineLevel="0" collapsed="false">
      <c r="B43" s="3" t="s">
        <v>73</v>
      </c>
      <c r="C43" s="3"/>
      <c r="D43" s="3"/>
      <c r="E43" s="3"/>
      <c r="F43" s="3"/>
      <c r="G43" s="3"/>
      <c r="H43" s="3"/>
    </row>
    <row r="44" customFormat="false" ht="15" hidden="false" customHeight="true" outlineLevel="0" collapsed="false">
      <c r="B44" s="3" t="s">
        <v>74</v>
      </c>
      <c r="C44" s="3"/>
      <c r="D44" s="3"/>
      <c r="E44" s="3"/>
      <c r="F44" s="3"/>
      <c r="G44" s="3"/>
      <c r="H44" s="3"/>
    </row>
    <row r="45" customFormat="false" ht="15" hidden="false" customHeight="true" outlineLevel="0" collapsed="false">
      <c r="B45" s="3" t="s">
        <v>75</v>
      </c>
      <c r="C45" s="3"/>
      <c r="D45" s="3"/>
      <c r="E45" s="3"/>
      <c r="F45" s="3"/>
      <c r="G45" s="3"/>
      <c r="H45" s="3"/>
    </row>
  </sheetData>
  <mergeCells count="15">
    <mergeCell ref="B2:H2"/>
    <mergeCell ref="B5:H5"/>
    <mergeCell ref="B16:H16"/>
    <mergeCell ref="B26:H26"/>
    <mergeCell ref="B30:H30"/>
    <mergeCell ref="B36:H36"/>
    <mergeCell ref="B37:H37"/>
    <mergeCell ref="B38:H38"/>
    <mergeCell ref="B39:H39"/>
    <mergeCell ref="B40:H40"/>
    <mergeCell ref="B41:H41"/>
    <mergeCell ref="B42:H42"/>
    <mergeCell ref="B43:H43"/>
    <mergeCell ref="B44:H44"/>
    <mergeCell ref="B45:H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4"/>
    <col collapsed="false" customWidth="true" hidden="false" outlineLevel="0" max="3" min="3" style="1" width="30"/>
    <col collapsed="false" customWidth="true" hidden="false" outlineLevel="0" max="9" min="4" style="1" width="14"/>
  </cols>
  <sheetData>
    <row r="2" customFormat="false" ht="19.5" hidden="false" customHeight="true" outlineLevel="0" collapsed="false">
      <c r="B2" s="2" t="s">
        <v>134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4" t="s">
        <v>135</v>
      </c>
      <c r="C4" s="4"/>
      <c r="D4" s="4"/>
      <c r="E4" s="4"/>
      <c r="F4" s="4"/>
      <c r="G4" s="4"/>
      <c r="H4" s="4"/>
      <c r="I4" s="4"/>
    </row>
    <row r="5" customFormat="false" ht="15" hidden="false" customHeight="true" outlineLevel="0" collapsed="false">
      <c r="B5" s="10" t="s">
        <v>28</v>
      </c>
      <c r="C5" s="10" t="s">
        <v>136</v>
      </c>
      <c r="D5" s="10" t="s">
        <v>29</v>
      </c>
      <c r="E5" s="10" t="s">
        <v>30</v>
      </c>
      <c r="F5" s="10" t="s">
        <v>31</v>
      </c>
      <c r="G5" s="10" t="s">
        <v>32</v>
      </c>
      <c r="H5" s="10" t="s">
        <v>33</v>
      </c>
      <c r="I5" s="10" t="s">
        <v>137</v>
      </c>
    </row>
    <row r="6" customFormat="false" ht="15" hidden="false" customHeight="true" outlineLevel="0" collapsed="false">
      <c r="B6" s="5" t="s">
        <v>34</v>
      </c>
      <c r="C6" s="15" t="n">
        <v>10</v>
      </c>
      <c r="D6" s="11" t="n">
        <v>630261</v>
      </c>
      <c r="E6" s="11" t="n">
        <v>550832.62</v>
      </c>
      <c r="F6" s="11" t="n">
        <f aca="false">D6-E6</f>
        <v>79428.38</v>
      </c>
      <c r="G6" s="12" t="n">
        <f aca="false">IF(D6=0,0,E6/D6)</f>
        <v>0.873975416533785</v>
      </c>
      <c r="H6" s="12" t="n">
        <f aca="false">IF(1524058.73=0,0,E6/1524058.73)</f>
        <v>0.361424798898662</v>
      </c>
      <c r="I6" s="11" t="n">
        <f aca="false">IF(211=0,0,E6/211)</f>
        <v>2610.58113744076</v>
      </c>
    </row>
    <row r="7" customFormat="false" ht="15" hidden="false" customHeight="true" outlineLevel="0" collapsed="false">
      <c r="B7" s="5" t="s">
        <v>35</v>
      </c>
      <c r="C7" s="15" t="n">
        <v>9</v>
      </c>
      <c r="D7" s="11" t="n">
        <v>974017</v>
      </c>
      <c r="E7" s="11" t="n">
        <v>660548.93</v>
      </c>
      <c r="F7" s="11" t="n">
        <f aca="false">D7-E7</f>
        <v>313468.07</v>
      </c>
      <c r="G7" s="12" t="n">
        <f aca="false">IF(D7=0,0,E7/D7)</f>
        <v>0.678169816337908</v>
      </c>
      <c r="H7" s="12" t="n">
        <f aca="false">IF(1524058.73=0,0,E7/1524058.73)</f>
        <v>0.433414354051829</v>
      </c>
      <c r="I7" s="11" t="n">
        <f aca="false">IF(211=0,0,E7/211)</f>
        <v>3130.5636492891</v>
      </c>
    </row>
    <row r="8" customFormat="false" ht="15" hidden="false" customHeight="true" outlineLevel="0" collapsed="false">
      <c r="B8" s="5" t="s">
        <v>36</v>
      </c>
      <c r="C8" s="15" t="n">
        <v>3</v>
      </c>
      <c r="D8" s="11" t="n">
        <v>65850</v>
      </c>
      <c r="E8" s="11" t="n">
        <v>59981.3</v>
      </c>
      <c r="F8" s="11" t="n">
        <f aca="false">D8-E8</f>
        <v>5868.7</v>
      </c>
      <c r="G8" s="12" t="n">
        <f aca="false">IF(D8=0,0,E8/D8)</f>
        <v>0.91087775246773</v>
      </c>
      <c r="H8" s="12" t="n">
        <f aca="false">IF(1524058.73=0,0,E8/1524058.73)</f>
        <v>0.0393562917355554</v>
      </c>
      <c r="I8" s="11" t="n">
        <f aca="false">IF(211=0,0,E8/211)</f>
        <v>284.271563981043</v>
      </c>
    </row>
    <row r="9" customFormat="false" ht="15" hidden="false" customHeight="true" outlineLevel="0" collapsed="false">
      <c r="B9" s="5" t="s">
        <v>37</v>
      </c>
      <c r="C9" s="15" t="n">
        <v>2</v>
      </c>
      <c r="D9" s="11" t="n">
        <v>297111.35</v>
      </c>
      <c r="E9" s="11" t="n">
        <v>252695.88</v>
      </c>
      <c r="F9" s="11" t="n">
        <f aca="false">D9-E9</f>
        <v>44415.47</v>
      </c>
      <c r="G9" s="12" t="n">
        <f aca="false">IF(D9=0,0,E9/D9)</f>
        <v>0.850509009500984</v>
      </c>
      <c r="H9" s="12" t="n">
        <f aca="false">IF(1524058.73=0,0,E9/1524058.73)</f>
        <v>0.165804555313954</v>
      </c>
      <c r="I9" s="11" t="n">
        <f aca="false">IF(211=0,0,E9/211)</f>
        <v>1197.6108056872</v>
      </c>
    </row>
    <row r="12" customFormat="false" ht="15" hidden="false" customHeight="true" outlineLevel="0" collapsed="false">
      <c r="B12" s="4" t="s">
        <v>138</v>
      </c>
      <c r="C12" s="4"/>
      <c r="D12" s="4"/>
      <c r="E12" s="4"/>
      <c r="F12" s="4"/>
      <c r="G12" s="4"/>
      <c r="H12" s="4"/>
      <c r="I12" s="4"/>
    </row>
    <row r="13" customFormat="false" ht="15" hidden="false" customHeight="true" outlineLevel="0" collapsed="false">
      <c r="B13" s="10" t="s">
        <v>77</v>
      </c>
      <c r="C13" s="10" t="s">
        <v>78</v>
      </c>
      <c r="D13" s="10" t="s">
        <v>80</v>
      </c>
      <c r="E13" s="10" t="s">
        <v>30</v>
      </c>
      <c r="F13" s="10" t="s">
        <v>139</v>
      </c>
      <c r="G13" s="10" t="s">
        <v>140</v>
      </c>
    </row>
    <row r="14" customFormat="false" ht="15" hidden="false" customHeight="true" outlineLevel="0" collapsed="false">
      <c r="B14" s="5" t="s">
        <v>93</v>
      </c>
      <c r="C14" s="5" t="s">
        <v>94</v>
      </c>
      <c r="D14" s="11" t="n">
        <v>294635</v>
      </c>
      <c r="E14" s="11" t="n">
        <v>301244.35</v>
      </c>
      <c r="F14" s="11" t="n">
        <f aca="false">E14-D14</f>
        <v>6609.34999999998</v>
      </c>
      <c r="G14" s="12" t="n">
        <f aca="false">IF(D14=0,0,F14/D14)</f>
        <v>0.0224323315288407</v>
      </c>
    </row>
    <row r="15" customFormat="false" ht="15" hidden="false" customHeight="true" outlineLevel="0" collapsed="false">
      <c r="B15" s="5" t="s">
        <v>124</v>
      </c>
      <c r="C15" s="5" t="s">
        <v>125</v>
      </c>
      <c r="D15" s="11" t="n">
        <v>5000</v>
      </c>
      <c r="E15" s="11" t="n">
        <v>10226</v>
      </c>
      <c r="F15" s="11" t="n">
        <f aca="false">E15-D15</f>
        <v>5226</v>
      </c>
      <c r="G15" s="12" t="n">
        <f aca="false">IF(D15=0,0,F15/D15)</f>
        <v>1.0452</v>
      </c>
    </row>
    <row r="16" customFormat="false" ht="15" hidden="false" customHeight="true" outlineLevel="0" collapsed="false">
      <c r="B16" s="5" t="s">
        <v>126</v>
      </c>
      <c r="C16" s="5" t="s">
        <v>127</v>
      </c>
      <c r="D16" s="11" t="n">
        <v>15000</v>
      </c>
      <c r="E16" s="11" t="n">
        <v>18668.95</v>
      </c>
      <c r="F16" s="11" t="n">
        <f aca="false">E16-D16</f>
        <v>3668.95</v>
      </c>
      <c r="G16" s="12" t="n">
        <f aca="false">IF(D16=0,0,F16/D16)</f>
        <v>0.244596666666667</v>
      </c>
    </row>
    <row r="17" customFormat="false" ht="15" hidden="false" customHeight="true" outlineLevel="0" collapsed="false">
      <c r="B17" s="5" t="s">
        <v>85</v>
      </c>
      <c r="C17" s="5" t="s">
        <v>86</v>
      </c>
      <c r="D17" s="11" t="n">
        <v>26068</v>
      </c>
      <c r="E17" s="11" t="n">
        <v>27212.5</v>
      </c>
      <c r="F17" s="11" t="n">
        <f aca="false">E17-D17</f>
        <v>1144.5</v>
      </c>
      <c r="G17" s="12" t="n">
        <f aca="false">IF(D17=0,0,F17/D17)</f>
        <v>0.0439044038668099</v>
      </c>
    </row>
    <row r="18" customFormat="false" ht="15" hidden="false" customHeight="true" outlineLevel="0" collapsed="false">
      <c r="B18" s="5" t="s">
        <v>101</v>
      </c>
      <c r="C18" s="5" t="s">
        <v>102</v>
      </c>
      <c r="D18" s="11" t="n">
        <v>0</v>
      </c>
      <c r="E18" s="11" t="n">
        <v>814</v>
      </c>
      <c r="F18" s="11" t="n">
        <f aca="false">E18-D18</f>
        <v>814</v>
      </c>
      <c r="G18" s="12" t="n">
        <f aca="false">IF(D18=0,0,F18/D18)</f>
        <v>0</v>
      </c>
    </row>
    <row r="21" customFormat="false" ht="15" hidden="false" customHeight="true" outlineLevel="0" collapsed="false">
      <c r="B21" s="4" t="s">
        <v>141</v>
      </c>
      <c r="C21" s="4"/>
      <c r="D21" s="4"/>
      <c r="E21" s="4"/>
      <c r="F21" s="4"/>
      <c r="G21" s="4"/>
      <c r="H21" s="4"/>
      <c r="I21" s="4"/>
    </row>
    <row r="22" customFormat="false" ht="15" hidden="false" customHeight="true" outlineLevel="0" collapsed="false">
      <c r="B22" s="10" t="s">
        <v>77</v>
      </c>
      <c r="C22" s="10" t="s">
        <v>78</v>
      </c>
      <c r="D22" s="10" t="s">
        <v>80</v>
      </c>
      <c r="E22" s="10" t="s">
        <v>30</v>
      </c>
      <c r="F22" s="10" t="s">
        <v>142</v>
      </c>
      <c r="G22" s="10" t="s">
        <v>143</v>
      </c>
    </row>
    <row r="23" customFormat="false" ht="15" hidden="false" customHeight="true" outlineLevel="0" collapsed="false">
      <c r="B23" s="5" t="s">
        <v>111</v>
      </c>
      <c r="C23" s="5" t="s">
        <v>112</v>
      </c>
      <c r="D23" s="11" t="n">
        <v>488611</v>
      </c>
      <c r="E23" s="11" t="n">
        <v>313722.19</v>
      </c>
      <c r="F23" s="11" t="n">
        <f aca="false">D23-E23</f>
        <v>174888.81</v>
      </c>
      <c r="G23" s="12" t="n">
        <f aca="false">IF(D23=0,0,F23/D23)</f>
        <v>0.35793056234919</v>
      </c>
    </row>
    <row r="24" customFormat="false" ht="15" hidden="false" customHeight="true" outlineLevel="0" collapsed="false">
      <c r="B24" s="5" t="s">
        <v>109</v>
      </c>
      <c r="C24" s="5" t="s">
        <v>110</v>
      </c>
      <c r="D24" s="11" t="n">
        <v>215686</v>
      </c>
      <c r="E24" s="11" t="n">
        <v>176444.92</v>
      </c>
      <c r="F24" s="11" t="n">
        <f aca="false">D24-E24</f>
        <v>39241.08</v>
      </c>
      <c r="G24" s="12" t="n">
        <f aca="false">IF(D24=0,0,F24/D24)</f>
        <v>0.181936147918734</v>
      </c>
    </row>
    <row r="25" customFormat="false" ht="15" hidden="false" customHeight="true" outlineLevel="0" collapsed="false">
      <c r="B25" s="5" t="s">
        <v>129</v>
      </c>
      <c r="C25" s="5" t="s">
        <v>130</v>
      </c>
      <c r="D25" s="11" t="n">
        <v>247825.38</v>
      </c>
      <c r="E25" s="11" t="n">
        <v>209946.79</v>
      </c>
      <c r="F25" s="11" t="n">
        <f aca="false">D25-E25</f>
        <v>37878.59</v>
      </c>
      <c r="G25" s="12" t="n">
        <f aca="false">IF(D25=0,0,F25/D25)</f>
        <v>0.152843869340582</v>
      </c>
    </row>
    <row r="26" customFormat="false" ht="15" hidden="false" customHeight="true" outlineLevel="0" collapsed="false">
      <c r="B26" s="5" t="s">
        <v>99</v>
      </c>
      <c r="C26" s="5" t="s">
        <v>100</v>
      </c>
      <c r="D26" s="11" t="n">
        <v>75430</v>
      </c>
      <c r="E26" s="11" t="n">
        <v>39821.52</v>
      </c>
      <c r="F26" s="11" t="n">
        <f aca="false">D26-E26</f>
        <v>35608.48</v>
      </c>
      <c r="G26" s="12" t="n">
        <f aca="false">IF(D26=0,0,F26/D26)</f>
        <v>0.472073180432189</v>
      </c>
    </row>
    <row r="27" customFormat="false" ht="15" hidden="false" customHeight="true" outlineLevel="0" collapsed="false">
      <c r="B27" s="5" t="s">
        <v>43</v>
      </c>
      <c r="C27" s="5" t="s">
        <v>106</v>
      </c>
      <c r="D27" s="11" t="n">
        <v>57063</v>
      </c>
      <c r="E27" s="11" t="n">
        <v>22168.78</v>
      </c>
      <c r="F27" s="11" t="n">
        <f aca="false">D27-E27</f>
        <v>34894.22</v>
      </c>
      <c r="G27" s="12" t="n">
        <f aca="false">IF(D27=0,0,F27/D27)</f>
        <v>0.611503426037888</v>
      </c>
    </row>
    <row r="28" customFormat="false" ht="15" hidden="false" customHeight="true" outlineLevel="0" collapsed="false">
      <c r="B28" s="5" t="s">
        <v>107</v>
      </c>
      <c r="C28" s="5" t="s">
        <v>108</v>
      </c>
      <c r="D28" s="11" t="n">
        <v>69350</v>
      </c>
      <c r="E28" s="11" t="n">
        <v>40231.97</v>
      </c>
      <c r="F28" s="11" t="n">
        <f aca="false">D28-E28</f>
        <v>29118.03</v>
      </c>
      <c r="G28" s="12" t="n">
        <f aca="false">IF(D28=0,0,F28/D28)</f>
        <v>0.419870656092285</v>
      </c>
    </row>
    <row r="29" customFormat="false" ht="15" hidden="false" customHeight="true" outlineLevel="0" collapsed="false">
      <c r="B29" s="5" t="s">
        <v>95</v>
      </c>
      <c r="C29" s="5" t="s">
        <v>96</v>
      </c>
      <c r="D29" s="11" t="n">
        <v>55373</v>
      </c>
      <c r="E29" s="11" t="n">
        <v>36001.25</v>
      </c>
      <c r="F29" s="11" t="n">
        <f aca="false">D29-E29</f>
        <v>19371.75</v>
      </c>
      <c r="G29" s="12" t="n">
        <f aca="false">IF(D29=0,0,F29/D29)</f>
        <v>0.34984107778159</v>
      </c>
    </row>
    <row r="30" customFormat="false" ht="15" hidden="false" customHeight="true" outlineLevel="0" collapsed="false">
      <c r="B30" s="5" t="s">
        <v>89</v>
      </c>
      <c r="C30" s="5" t="s">
        <v>90</v>
      </c>
      <c r="D30" s="11" t="n">
        <v>84100</v>
      </c>
      <c r="E30" s="11" t="n">
        <v>65168.5</v>
      </c>
      <c r="F30" s="11" t="n">
        <f aca="false">D30-E30</f>
        <v>18931.5</v>
      </c>
      <c r="G30" s="12" t="n">
        <f aca="false">IF(D30=0,0,F30/D30)</f>
        <v>0.225107015457788</v>
      </c>
    </row>
    <row r="31" customFormat="false" ht="15" hidden="false" customHeight="true" outlineLevel="0" collapsed="false">
      <c r="B31" s="5" t="s">
        <v>122</v>
      </c>
      <c r="C31" s="5" t="s">
        <v>123</v>
      </c>
      <c r="D31" s="11" t="n">
        <v>45850</v>
      </c>
      <c r="E31" s="11" t="n">
        <v>31086.35</v>
      </c>
      <c r="F31" s="11" t="n">
        <f aca="false">D31-E31</f>
        <v>14763.65</v>
      </c>
      <c r="G31" s="12" t="n">
        <f aca="false">IF(D31=0,0,F31/D31)</f>
        <v>0.321998909487459</v>
      </c>
    </row>
    <row r="32" customFormat="false" ht="15" hidden="false" customHeight="true" outlineLevel="0" collapsed="false">
      <c r="B32" s="5" t="s">
        <v>115</v>
      </c>
      <c r="C32" s="5" t="s">
        <v>116</v>
      </c>
      <c r="D32" s="11" t="n">
        <v>83775</v>
      </c>
      <c r="E32" s="11" t="n">
        <v>69305.69</v>
      </c>
      <c r="F32" s="11" t="n">
        <f aca="false">D32-E32</f>
        <v>14469.31</v>
      </c>
      <c r="G32" s="12" t="n">
        <f aca="false">IF(D32=0,0,F32/D32)</f>
        <v>0.172716323485527</v>
      </c>
    </row>
    <row r="35" customFormat="false" ht="15" hidden="false" customHeight="true" outlineLevel="0" collapsed="false">
      <c r="B35" s="4" t="s">
        <v>66</v>
      </c>
      <c r="C35" s="4"/>
      <c r="D35" s="4"/>
      <c r="E35" s="4"/>
      <c r="F35" s="4"/>
      <c r="G35" s="4"/>
      <c r="H35" s="4"/>
      <c r="I35" s="4"/>
    </row>
    <row r="36" customFormat="false" ht="15" hidden="false" customHeight="true" outlineLevel="0" collapsed="false">
      <c r="B36" s="3" t="s">
        <v>67</v>
      </c>
      <c r="C36" s="3"/>
      <c r="D36" s="3"/>
      <c r="E36" s="3"/>
      <c r="F36" s="3"/>
      <c r="G36" s="3"/>
      <c r="H36" s="3"/>
      <c r="I36" s="3"/>
    </row>
    <row r="37" customFormat="false" ht="15" hidden="false" customHeight="true" outlineLevel="0" collapsed="false">
      <c r="B37" s="3" t="s">
        <v>68</v>
      </c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B38" s="3" t="s">
        <v>69</v>
      </c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B39" s="3" t="s">
        <v>70</v>
      </c>
      <c r="C39" s="3"/>
      <c r="D39" s="3"/>
      <c r="E39" s="3"/>
      <c r="F39" s="3"/>
      <c r="G39" s="3"/>
      <c r="H39" s="3"/>
      <c r="I39" s="3"/>
    </row>
    <row r="40" customFormat="false" ht="15" hidden="false" customHeight="true" outlineLevel="0" collapsed="false">
      <c r="B40" s="3" t="s">
        <v>71</v>
      </c>
      <c r="C40" s="3"/>
      <c r="D40" s="3"/>
      <c r="E40" s="3"/>
      <c r="F40" s="3"/>
      <c r="G40" s="3"/>
      <c r="H40" s="3"/>
      <c r="I40" s="3"/>
    </row>
    <row r="41" customFormat="false" ht="15" hidden="false" customHeight="true" outlineLevel="0" collapsed="false">
      <c r="B41" s="3" t="s">
        <v>72</v>
      </c>
      <c r="C41" s="3"/>
      <c r="D41" s="3"/>
      <c r="E41" s="3"/>
      <c r="F41" s="3"/>
      <c r="G41" s="3"/>
      <c r="H41" s="3"/>
      <c r="I41" s="3"/>
    </row>
    <row r="42" customFormat="false" ht="15" hidden="false" customHeight="true" outlineLevel="0" collapsed="false">
      <c r="B42" s="3" t="s">
        <v>73</v>
      </c>
      <c r="C42" s="3"/>
      <c r="D42" s="3"/>
      <c r="E42" s="3"/>
      <c r="F42" s="3"/>
      <c r="G42" s="3"/>
      <c r="H42" s="3"/>
      <c r="I42" s="3"/>
    </row>
    <row r="43" customFormat="false" ht="15" hidden="false" customHeight="true" outlineLevel="0" collapsed="false">
      <c r="B43" s="3" t="s">
        <v>74</v>
      </c>
      <c r="C43" s="3"/>
      <c r="D43" s="3"/>
      <c r="E43" s="3"/>
      <c r="F43" s="3"/>
      <c r="G43" s="3"/>
      <c r="H43" s="3"/>
      <c r="I43" s="3"/>
    </row>
    <row r="44" customFormat="false" ht="15" hidden="false" customHeight="true" outlineLevel="0" collapsed="false">
      <c r="B44" s="3" t="s">
        <v>75</v>
      </c>
      <c r="C44" s="3"/>
      <c r="D44" s="3"/>
      <c r="E44" s="3"/>
      <c r="F44" s="3"/>
      <c r="G44" s="3"/>
      <c r="H44" s="3"/>
      <c r="I44" s="3"/>
    </row>
  </sheetData>
  <mergeCells count="14">
    <mergeCell ref="B2:I2"/>
    <mergeCell ref="B4:I4"/>
    <mergeCell ref="B12:I12"/>
    <mergeCell ref="B21:I21"/>
    <mergeCell ref="B35:I35"/>
    <mergeCell ref="B36:I36"/>
    <mergeCell ref="B37:I37"/>
    <mergeCell ref="B38:I38"/>
    <mergeCell ref="B39:I39"/>
    <mergeCell ref="B40:I40"/>
    <mergeCell ref="B41:I41"/>
    <mergeCell ref="B42:I42"/>
    <mergeCell ref="B43:I43"/>
    <mergeCell ref="B44:I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9" min="4" style="1" width="14"/>
  </cols>
  <sheetData>
    <row r="2" customFormat="false" ht="19.5" hidden="false" customHeight="true" outlineLevel="0" collapsed="false">
      <c r="B2" s="2" t="s">
        <v>144</v>
      </c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B3" s="3" t="s">
        <v>145</v>
      </c>
      <c r="C3" s="3"/>
      <c r="D3" s="3"/>
      <c r="E3" s="3"/>
      <c r="F3" s="3"/>
      <c r="G3" s="3"/>
      <c r="H3" s="3"/>
      <c r="I3" s="3"/>
    </row>
    <row r="5" customFormat="false" ht="15" hidden="false" customHeight="true" outlineLevel="0" collapsed="false">
      <c r="B5" s="4" t="s">
        <v>146</v>
      </c>
      <c r="C5" s="4"/>
      <c r="D5" s="4"/>
      <c r="E5" s="4"/>
      <c r="F5" s="4"/>
      <c r="G5" s="4"/>
      <c r="H5" s="4"/>
      <c r="I5" s="4"/>
    </row>
    <row r="6" customFormat="false" ht="15" hidden="false" customHeight="true" outlineLevel="0" collapsed="false">
      <c r="B6" s="10" t="s">
        <v>77</v>
      </c>
      <c r="C6" s="10" t="s">
        <v>78</v>
      </c>
      <c r="D6" s="10" t="s">
        <v>80</v>
      </c>
      <c r="E6" s="10" t="s">
        <v>30</v>
      </c>
      <c r="F6" s="10" t="s">
        <v>31</v>
      </c>
      <c r="G6" s="10" t="s">
        <v>81</v>
      </c>
      <c r="H6" s="10" t="s">
        <v>147</v>
      </c>
      <c r="I6" s="10" t="s">
        <v>137</v>
      </c>
    </row>
    <row r="7" customFormat="false" ht="15" hidden="false" customHeight="true" outlineLevel="0" collapsed="false">
      <c r="B7" s="5" t="s">
        <v>104</v>
      </c>
      <c r="C7" s="5" t="s">
        <v>105</v>
      </c>
      <c r="D7" s="11" t="n">
        <v>16500</v>
      </c>
      <c r="E7" s="11" t="n">
        <v>9932.16</v>
      </c>
      <c r="F7" s="11" t="n">
        <f aca="false">D7-E7</f>
        <v>6567.84</v>
      </c>
      <c r="G7" s="12" t="n">
        <f aca="false">IF(D7=0,0,E7/D7)</f>
        <v>0.601949090909091</v>
      </c>
      <c r="H7" s="12" t="n">
        <f aca="false">IF(660548.93=0,0,E7/660548.93)</f>
        <v>0.0150362214650775</v>
      </c>
      <c r="I7" s="11" t="n">
        <f aca="false">IF(211=0,0,E7/211)</f>
        <v>47.0718483412322</v>
      </c>
    </row>
    <row r="8" customFormat="false" ht="15" hidden="false" customHeight="true" outlineLevel="0" collapsed="false">
      <c r="B8" s="5" t="s">
        <v>43</v>
      </c>
      <c r="C8" s="5" t="s">
        <v>106</v>
      </c>
      <c r="D8" s="11" t="n">
        <v>57063</v>
      </c>
      <c r="E8" s="11" t="n">
        <v>22168.78</v>
      </c>
      <c r="F8" s="11" t="n">
        <f aca="false">D8-E8</f>
        <v>34894.22</v>
      </c>
      <c r="G8" s="12" t="n">
        <f aca="false">IF(D8=0,0,E8/D8)</f>
        <v>0.388496573962112</v>
      </c>
      <c r="H8" s="12" t="n">
        <f aca="false">IF(660548.93=0,0,E8/660548.93)</f>
        <v>0.0335611473929721</v>
      </c>
      <c r="I8" s="11" t="n">
        <f aca="false">IF(211=0,0,E8/211)</f>
        <v>105.065308056872</v>
      </c>
    </row>
    <row r="9" customFormat="false" ht="15" hidden="false" customHeight="true" outlineLevel="0" collapsed="false">
      <c r="B9" s="5" t="s">
        <v>107</v>
      </c>
      <c r="C9" s="5" t="s">
        <v>108</v>
      </c>
      <c r="D9" s="11" t="n">
        <v>69350</v>
      </c>
      <c r="E9" s="11" t="n">
        <v>40231.97</v>
      </c>
      <c r="F9" s="11" t="n">
        <f aca="false">D9-E9</f>
        <v>29118.03</v>
      </c>
      <c r="G9" s="12" t="n">
        <f aca="false">IF(D9=0,0,E9/D9)</f>
        <v>0.580129343907715</v>
      </c>
      <c r="H9" s="12" t="n">
        <f aca="false">IF(660548.93=0,0,E9/660548.93)</f>
        <v>0.0609068733182264</v>
      </c>
      <c r="I9" s="11" t="n">
        <f aca="false">IF(211=0,0,E9/211)</f>
        <v>190.672843601896</v>
      </c>
    </row>
    <row r="10" customFormat="false" ht="15" hidden="false" customHeight="true" outlineLevel="0" collapsed="false">
      <c r="B10" s="5" t="s">
        <v>109</v>
      </c>
      <c r="C10" s="5" t="s">
        <v>110</v>
      </c>
      <c r="D10" s="11" t="n">
        <v>215686</v>
      </c>
      <c r="E10" s="11" t="n">
        <v>176444.92</v>
      </c>
      <c r="F10" s="11" t="n">
        <f aca="false">D10-E10</f>
        <v>39241.08</v>
      </c>
      <c r="G10" s="12" t="n">
        <f aca="false">IF(D10=0,0,E10/D10)</f>
        <v>0.818063852081266</v>
      </c>
      <c r="H10" s="12" t="n">
        <f aca="false">IF(660548.93=0,0,E10/660548.93)</f>
        <v>0.267118622083</v>
      </c>
      <c r="I10" s="11" t="n">
        <f aca="false">IF(211=0,0,E10/211)</f>
        <v>836.231848341232</v>
      </c>
    </row>
    <row r="11" customFormat="false" ht="15" hidden="false" customHeight="true" outlineLevel="0" collapsed="false">
      <c r="B11" s="5" t="s">
        <v>111</v>
      </c>
      <c r="C11" s="5" t="s">
        <v>112</v>
      </c>
      <c r="D11" s="11" t="n">
        <v>488611</v>
      </c>
      <c r="E11" s="11" t="n">
        <v>313722.19</v>
      </c>
      <c r="F11" s="11" t="n">
        <f aca="false">D11-E11</f>
        <v>174888.81</v>
      </c>
      <c r="G11" s="12" t="n">
        <f aca="false">IF(D11=0,0,E11/D11)</f>
        <v>0.64206943765081</v>
      </c>
      <c r="H11" s="12" t="n">
        <f aca="false">IF(660548.93=0,0,E11/660548.93)</f>
        <v>0.474941636798957</v>
      </c>
      <c r="I11" s="11" t="n">
        <f aca="false">IF(211=0,0,E11/211)</f>
        <v>1486.83502369668</v>
      </c>
    </row>
    <row r="12" customFormat="false" ht="15" hidden="false" customHeight="true" outlineLevel="0" collapsed="false">
      <c r="B12" s="5" t="s">
        <v>113</v>
      </c>
      <c r="C12" s="5" t="s">
        <v>114</v>
      </c>
      <c r="D12" s="11" t="n">
        <v>10532</v>
      </c>
      <c r="E12" s="11" t="n">
        <v>4568.01</v>
      </c>
      <c r="F12" s="11" t="n">
        <f aca="false">D12-E12</f>
        <v>5963.99</v>
      </c>
      <c r="G12" s="12" t="n">
        <f aca="false">IF(D12=0,0,E12/D12)</f>
        <v>0.433726737561717</v>
      </c>
      <c r="H12" s="12" t="n">
        <f aca="false">IF(660548.93=0,0,E12/660548.93)</f>
        <v>0.00691547558785691</v>
      </c>
      <c r="I12" s="11" t="n">
        <f aca="false">IF(211=0,0,E12/211)</f>
        <v>21.649336492891</v>
      </c>
    </row>
    <row r="13" customFormat="false" ht="15" hidden="false" customHeight="true" outlineLevel="0" collapsed="false">
      <c r="B13" s="5" t="s">
        <v>115</v>
      </c>
      <c r="C13" s="5" t="s">
        <v>116</v>
      </c>
      <c r="D13" s="11" t="n">
        <v>83775</v>
      </c>
      <c r="E13" s="11" t="n">
        <v>69305.69</v>
      </c>
      <c r="F13" s="11" t="n">
        <f aca="false">D13-E13</f>
        <v>14469.31</v>
      </c>
      <c r="G13" s="12" t="n">
        <f aca="false">IF(D13=0,0,E13/D13)</f>
        <v>0.827283676514473</v>
      </c>
      <c r="H13" s="12" t="n">
        <f aca="false">IF(660548.93=0,0,E13/660548.93)</f>
        <v>0.104921356847857</v>
      </c>
      <c r="I13" s="11" t="n">
        <f aca="false">IF(211=0,0,E13/211)</f>
        <v>328.462985781991</v>
      </c>
    </row>
    <row r="14" customFormat="false" ht="15" hidden="false" customHeight="true" outlineLevel="0" collapsed="false">
      <c r="B14" s="5" t="s">
        <v>117</v>
      </c>
      <c r="C14" s="5" t="s">
        <v>118</v>
      </c>
      <c r="D14" s="11" t="n">
        <v>32500</v>
      </c>
      <c r="E14" s="11" t="n">
        <v>24175.21</v>
      </c>
      <c r="F14" s="11" t="n">
        <f aca="false">D14-E14</f>
        <v>8324.79</v>
      </c>
      <c r="G14" s="12" t="n">
        <f aca="false">IF(D14=0,0,E14/D14)</f>
        <v>0.743852615384615</v>
      </c>
      <c r="H14" s="12" t="n">
        <f aca="false">IF(660548.93=0,0,E14/660548.93)</f>
        <v>0.0365986665060528</v>
      </c>
      <c r="I14" s="11" t="n">
        <f aca="false">IF(211=0,0,E14/211)</f>
        <v>114.574454976303</v>
      </c>
    </row>
    <row r="15" customFormat="false" ht="15" hidden="false" customHeight="true" outlineLevel="0" collapsed="false">
      <c r="B15" s="5" t="s">
        <v>119</v>
      </c>
      <c r="C15" s="5" t="s">
        <v>120</v>
      </c>
      <c r="D15" s="11" t="n">
        <v>0</v>
      </c>
      <c r="E15" s="11" t="n">
        <v>0</v>
      </c>
      <c r="F15" s="11" t="n">
        <f aca="false">D15-E15</f>
        <v>0</v>
      </c>
      <c r="G15" s="12" t="n">
        <f aca="false">IF(D15=0,0,E15/D15)</f>
        <v>0</v>
      </c>
      <c r="H15" s="12" t="n">
        <f aca="false">IF(660548.93=0,0,E15/660548.93)</f>
        <v>0</v>
      </c>
      <c r="I15" s="11" t="n">
        <f aca="false">IF(211=0,0,E15/211)</f>
        <v>0</v>
      </c>
    </row>
    <row r="16" customFormat="false" ht="15" hidden="false" customHeight="true" outlineLevel="0" collapsed="false">
      <c r="B16" s="6" t="s">
        <v>38</v>
      </c>
      <c r="C16" s="6" t="s">
        <v>148</v>
      </c>
      <c r="D16" s="13" t="n">
        <f aca="false">SUM(D7:D15)</f>
        <v>974017</v>
      </c>
      <c r="E16" s="13" t="n">
        <f aca="false">SUM(E7:E15)</f>
        <v>660548.93</v>
      </c>
      <c r="F16" s="13" t="n">
        <f aca="false">D16-E16</f>
        <v>313468.07</v>
      </c>
      <c r="G16" s="14" t="n">
        <f aca="false">IF(D16=0,0,E16/D16)</f>
        <v>0.678169816337908</v>
      </c>
      <c r="H16" s="14" t="n">
        <v>1</v>
      </c>
      <c r="I16" s="13" t="n">
        <f aca="false">IF(211=0,0,E16/211)</f>
        <v>3130.5636492891</v>
      </c>
    </row>
    <row r="19" customFormat="false" ht="15" hidden="false" customHeight="true" outlineLevel="0" collapsed="false">
      <c r="B19" s="4" t="s">
        <v>149</v>
      </c>
      <c r="C19" s="4"/>
      <c r="D19" s="4"/>
      <c r="E19" s="4"/>
      <c r="F19" s="4"/>
      <c r="G19" s="4"/>
      <c r="H19" s="4"/>
      <c r="I19" s="4"/>
    </row>
    <row r="20" customFormat="false" ht="15" hidden="false" customHeight="true" outlineLevel="0" collapsed="false">
      <c r="B20" s="10" t="s">
        <v>150</v>
      </c>
      <c r="C20" s="10" t="s">
        <v>151</v>
      </c>
      <c r="D20" s="10" t="s">
        <v>152</v>
      </c>
      <c r="E20" s="10" t="s">
        <v>153</v>
      </c>
      <c r="F20" s="10"/>
      <c r="G20" s="10"/>
      <c r="H20" s="10"/>
      <c r="I20" s="10" t="s">
        <v>154</v>
      </c>
    </row>
    <row r="21" customFormat="false" ht="15" hidden="false" customHeight="true" outlineLevel="0" collapsed="false">
      <c r="B21" s="5" t="s">
        <v>155</v>
      </c>
      <c r="C21" s="15" t="n">
        <v>97</v>
      </c>
      <c r="D21" s="11" t="n">
        <v>248013.68</v>
      </c>
      <c r="E21" s="12" t="n">
        <f aca="false">IF(766653.25=0,0,D21/766653.25)</f>
        <v>0.323501765628725</v>
      </c>
      <c r="I21" s="11" t="n">
        <f aca="false">IF(C21=0,0,D21/C21)</f>
        <v>2556.84206185567</v>
      </c>
    </row>
    <row r="22" customFormat="false" ht="15" hidden="false" customHeight="true" outlineLevel="0" collapsed="false">
      <c r="B22" s="5" t="s">
        <v>156</v>
      </c>
      <c r="C22" s="15" t="n">
        <v>57</v>
      </c>
      <c r="D22" s="11" t="n">
        <v>104759.63</v>
      </c>
      <c r="E22" s="12" t="n">
        <f aca="false">IF(766653.25=0,0,D22/766653.25)</f>
        <v>0.136645386946445</v>
      </c>
      <c r="I22" s="11" t="n">
        <f aca="false">IF(C22=0,0,D22/C22)</f>
        <v>1837.88824561404</v>
      </c>
    </row>
    <row r="23" customFormat="false" ht="15" hidden="false" customHeight="true" outlineLevel="0" collapsed="false">
      <c r="B23" s="5" t="s">
        <v>157</v>
      </c>
      <c r="C23" s="15" t="n">
        <v>66</v>
      </c>
      <c r="D23" s="11" t="n">
        <v>101721.98</v>
      </c>
      <c r="E23" s="12" t="n">
        <f aca="false">IF(766653.25=0,0,D23/766653.25)</f>
        <v>0.132683165433656</v>
      </c>
      <c r="I23" s="11" t="n">
        <f aca="false">IF(C23=0,0,D23/C23)</f>
        <v>1541.24212121212</v>
      </c>
    </row>
    <row r="24" customFormat="false" ht="15" hidden="false" customHeight="true" outlineLevel="0" collapsed="false">
      <c r="B24" s="5" t="s">
        <v>158</v>
      </c>
      <c r="C24" s="15" t="n">
        <v>19</v>
      </c>
      <c r="D24" s="11" t="n">
        <v>94572.5</v>
      </c>
      <c r="E24" s="12" t="n">
        <f aca="false">IF(766653.25=0,0,D24/766653.25)</f>
        <v>0.123357593540496</v>
      </c>
      <c r="I24" s="11" t="n">
        <f aca="false">IF(C24=0,0,D24/C24)</f>
        <v>4977.5</v>
      </c>
    </row>
    <row r="25" customFormat="false" ht="15" hidden="false" customHeight="true" outlineLevel="0" collapsed="false">
      <c r="B25" s="5" t="s">
        <v>159</v>
      </c>
      <c r="C25" s="15" t="n">
        <v>4</v>
      </c>
      <c r="D25" s="11" t="n">
        <v>70651.37</v>
      </c>
      <c r="E25" s="12" t="n">
        <f aca="false">IF(766653.25=0,0,D25/766653.25)</f>
        <v>0.0921555735921031</v>
      </c>
      <c r="I25" s="11" t="n">
        <f aca="false">IF(C25=0,0,D25/C25)</f>
        <v>17662.8425</v>
      </c>
    </row>
    <row r="26" customFormat="false" ht="15" hidden="false" customHeight="true" outlineLevel="0" collapsed="false">
      <c r="B26" s="5" t="s">
        <v>160</v>
      </c>
      <c r="C26" s="15" t="n">
        <v>27</v>
      </c>
      <c r="D26" s="11" t="n">
        <v>45650.81</v>
      </c>
      <c r="E26" s="12" t="n">
        <f aca="false">IF(766653.25=0,0,D26/766653.25)</f>
        <v>0.0595455768302032</v>
      </c>
      <c r="I26" s="11" t="n">
        <f aca="false">IF(C26=0,0,D26/C26)</f>
        <v>1690.77074074074</v>
      </c>
    </row>
    <row r="27" customFormat="false" ht="15" hidden="false" customHeight="true" outlineLevel="0" collapsed="false">
      <c r="B27" s="5" t="s">
        <v>161</v>
      </c>
      <c r="C27" s="15" t="n">
        <v>1</v>
      </c>
      <c r="D27" s="11" t="n">
        <v>19963</v>
      </c>
      <c r="E27" s="12" t="n">
        <f aca="false">IF(766653.25=0,0,D27/766653.25)</f>
        <v>0.0260391513373223</v>
      </c>
      <c r="I27" s="11" t="n">
        <f aca="false">IF(C27=0,0,D27/C27)</f>
        <v>19963</v>
      </c>
    </row>
    <row r="28" customFormat="false" ht="15" hidden="false" customHeight="true" outlineLevel="0" collapsed="false">
      <c r="B28" s="5" t="s">
        <v>162</v>
      </c>
      <c r="C28" s="15" t="n">
        <v>59</v>
      </c>
      <c r="D28" s="11" t="n">
        <v>18513.01</v>
      </c>
      <c r="E28" s="12" t="n">
        <f aca="false">IF(766653.25=0,0,D28/766653.25)</f>
        <v>0.0241478269347974</v>
      </c>
      <c r="I28" s="11" t="n">
        <f aca="false">IF(C28=0,0,D28/C28)</f>
        <v>313.779830508475</v>
      </c>
    </row>
    <row r="29" customFormat="false" ht="15" hidden="false" customHeight="true" outlineLevel="0" collapsed="false">
      <c r="B29" s="5" t="s">
        <v>163</v>
      </c>
      <c r="C29" s="15" t="n">
        <v>10</v>
      </c>
      <c r="D29" s="11" t="n">
        <v>16471.05</v>
      </c>
      <c r="E29" s="12" t="n">
        <f aca="false">IF(766653.25=0,0,D29/766653.25)</f>
        <v>0.0214843542370687</v>
      </c>
      <c r="I29" s="11" t="n">
        <f aca="false">IF(C29=0,0,D29/C29)</f>
        <v>1647.105</v>
      </c>
    </row>
    <row r="30" customFormat="false" ht="15" hidden="false" customHeight="true" outlineLevel="0" collapsed="false">
      <c r="B30" s="5" t="s">
        <v>164</v>
      </c>
      <c r="C30" s="15" t="n">
        <v>18</v>
      </c>
      <c r="D30" s="11" t="n">
        <v>9870.42</v>
      </c>
      <c r="E30" s="12" t="n">
        <f aca="false">IF(766653.25=0,0,D30/766653.25)</f>
        <v>0.0128746861765733</v>
      </c>
      <c r="I30" s="11" t="n">
        <f aca="false">IF(C30=0,0,D30/C30)</f>
        <v>548.356666666667</v>
      </c>
    </row>
    <row r="31" customFormat="false" ht="15" hidden="false" customHeight="true" outlineLevel="0" collapsed="false">
      <c r="B31" s="5" t="s">
        <v>165</v>
      </c>
      <c r="C31" s="15" t="n">
        <v>7</v>
      </c>
      <c r="D31" s="11" t="n">
        <v>8878</v>
      </c>
      <c r="E31" s="12" t="n">
        <f aca="false">IF(766653.25=0,0,D31/766653.25)</f>
        <v>0.0115802026535464</v>
      </c>
      <c r="I31" s="11" t="n">
        <f aca="false">IF(C31=0,0,D31/C31)</f>
        <v>1268.28571428571</v>
      </c>
    </row>
    <row r="32" customFormat="false" ht="15" hidden="false" customHeight="true" outlineLevel="0" collapsed="false">
      <c r="B32" s="5" t="s">
        <v>166</v>
      </c>
      <c r="C32" s="15" t="n">
        <v>3</v>
      </c>
      <c r="D32" s="11" t="n">
        <v>6463.4</v>
      </c>
      <c r="E32" s="12" t="n">
        <f aca="false">IF(766653.25=0,0,D32/766653.25)</f>
        <v>0.00843066927584276</v>
      </c>
      <c r="I32" s="11" t="n">
        <f aca="false">IF(C32=0,0,D32/C32)</f>
        <v>2154.46666666667</v>
      </c>
    </row>
    <row r="33" customFormat="false" ht="15" hidden="false" customHeight="true" outlineLevel="0" collapsed="false">
      <c r="B33" s="5" t="s">
        <v>167</v>
      </c>
      <c r="C33" s="15" t="n">
        <v>7</v>
      </c>
      <c r="D33" s="11" t="n">
        <v>4731.84</v>
      </c>
      <c r="E33" s="12" t="n">
        <f aca="false">IF(766653.25=0,0,D33/766653.25)</f>
        <v>0.00617207322867281</v>
      </c>
      <c r="I33" s="11" t="n">
        <f aca="false">IF(C33=0,0,D33/C33)</f>
        <v>675.977142857143</v>
      </c>
    </row>
    <row r="34" customFormat="false" ht="15" hidden="false" customHeight="true" outlineLevel="0" collapsed="false">
      <c r="B34" s="5" t="s">
        <v>168</v>
      </c>
      <c r="C34" s="15" t="n">
        <v>3</v>
      </c>
      <c r="D34" s="11" t="n">
        <v>4012.56</v>
      </c>
      <c r="E34" s="12" t="n">
        <f aca="false">IF(766653.25=0,0,D34/766653.25)</f>
        <v>0.00523386550568983</v>
      </c>
      <c r="I34" s="11" t="n">
        <f aca="false">IF(C34=0,0,D34/C34)</f>
        <v>1337.52</v>
      </c>
    </row>
    <row r="35" customFormat="false" ht="15" hidden="false" customHeight="true" outlineLevel="0" collapsed="false">
      <c r="B35" s="5" t="s">
        <v>169</v>
      </c>
      <c r="C35" s="15" t="n">
        <v>1</v>
      </c>
      <c r="D35" s="11" t="n">
        <v>3908</v>
      </c>
      <c r="E35" s="12" t="n">
        <f aca="false">IF(766653.25=0,0,D35/766653.25)</f>
        <v>0.00509748051025676</v>
      </c>
      <c r="I35" s="11" t="n">
        <f aca="false">IF(C35=0,0,D35/C35)</f>
        <v>3908</v>
      </c>
    </row>
    <row r="36" customFormat="false" ht="15" hidden="false" customHeight="true" outlineLevel="0" collapsed="false">
      <c r="B36" s="5" t="s">
        <v>170</v>
      </c>
      <c r="C36" s="15" t="n">
        <v>4</v>
      </c>
      <c r="D36" s="11" t="n">
        <v>2674.82</v>
      </c>
      <c r="E36" s="12" t="n">
        <f aca="false">IF(766653.25=0,0,D36/766653.25)</f>
        <v>0.00348895670891632</v>
      </c>
      <c r="I36" s="11" t="n">
        <f aca="false">IF(C36=0,0,D36/C36)</f>
        <v>668.705</v>
      </c>
    </row>
    <row r="37" customFormat="false" ht="15" hidden="false" customHeight="true" outlineLevel="0" collapsed="false">
      <c r="B37" s="5" t="s">
        <v>171</v>
      </c>
      <c r="C37" s="15" t="n">
        <v>1</v>
      </c>
      <c r="D37" s="11" t="n">
        <v>1775</v>
      </c>
      <c r="E37" s="12" t="n">
        <f aca="false">IF(766653.25=0,0,D37/766653.25)</f>
        <v>0.00231525790831774</v>
      </c>
      <c r="I37" s="11" t="n">
        <f aca="false">IF(C37=0,0,D37/C37)</f>
        <v>1775</v>
      </c>
    </row>
    <row r="38" customFormat="false" ht="15" hidden="false" customHeight="true" outlineLevel="0" collapsed="false">
      <c r="B38" s="5" t="s">
        <v>172</v>
      </c>
      <c r="C38" s="15" t="n">
        <v>3</v>
      </c>
      <c r="D38" s="11" t="n">
        <v>1526.25</v>
      </c>
      <c r="E38" s="12" t="n">
        <f aca="false">IF(766653.25=0,0,D38/766653.25)</f>
        <v>0.00199079570849012</v>
      </c>
      <c r="I38" s="11" t="n">
        <f aca="false">IF(C38=0,0,D38/C38)</f>
        <v>508.75</v>
      </c>
    </row>
    <row r="39" customFormat="false" ht="15" hidden="false" customHeight="true" outlineLevel="0" collapsed="false">
      <c r="B39" s="5" t="s">
        <v>173</v>
      </c>
      <c r="C39" s="15" t="n">
        <v>1</v>
      </c>
      <c r="D39" s="11" t="n">
        <v>671.5</v>
      </c>
      <c r="E39" s="12" t="n">
        <f aca="false">IF(766653.25=0,0,D39/766653.25)</f>
        <v>0.000875884893203022</v>
      </c>
      <c r="I39" s="11" t="n">
        <f aca="false">IF(C39=0,0,D39/C39)</f>
        <v>671.5</v>
      </c>
    </row>
    <row r="40" customFormat="false" ht="15" hidden="false" customHeight="true" outlineLevel="0" collapsed="false">
      <c r="B40" s="5" t="s">
        <v>174</v>
      </c>
      <c r="C40" s="15" t="n">
        <v>2</v>
      </c>
      <c r="D40" s="11" t="n">
        <v>607.04</v>
      </c>
      <c r="E40" s="12" t="n">
        <f aca="false">IF(766653.25=0,0,D40/766653.25)</f>
        <v>0.000791805160938143</v>
      </c>
      <c r="I40" s="11" t="n">
        <f aca="false">IF(C40=0,0,D40/C40)</f>
        <v>303.52</v>
      </c>
    </row>
    <row r="41" customFormat="false" ht="15" hidden="false" customHeight="true" outlineLevel="0" collapsed="false">
      <c r="B41" s="5" t="s">
        <v>175</v>
      </c>
      <c r="C41" s="15" t="n">
        <v>3</v>
      </c>
      <c r="D41" s="11" t="n">
        <v>470.35</v>
      </c>
      <c r="E41" s="12" t="n">
        <f aca="false">IF(766653.25=0,0,D41/766653.25)</f>
        <v>0.000613510736437888</v>
      </c>
      <c r="I41" s="11" t="n">
        <f aca="false">IF(C41=0,0,D41/C41)</f>
        <v>156.783333333333</v>
      </c>
    </row>
    <row r="42" customFormat="false" ht="15" hidden="false" customHeight="true" outlineLevel="0" collapsed="false">
      <c r="B42" s="5" t="s">
        <v>176</v>
      </c>
      <c r="C42" s="15" t="n">
        <v>5</v>
      </c>
      <c r="D42" s="11" t="n">
        <v>351.93</v>
      </c>
      <c r="E42" s="12" t="n">
        <f aca="false">IF(766653.25=0,0,D42/766653.25)</f>
        <v>0.000459047163760148</v>
      </c>
      <c r="I42" s="11" t="n">
        <f aca="false">IF(C42=0,0,D42/C42)</f>
        <v>70.386</v>
      </c>
    </row>
    <row r="43" customFormat="false" ht="15" hidden="false" customHeight="true" outlineLevel="0" collapsed="false">
      <c r="B43" s="5" t="s">
        <v>177</v>
      </c>
      <c r="C43" s="15" t="n">
        <v>1</v>
      </c>
      <c r="D43" s="11" t="n">
        <v>155</v>
      </c>
      <c r="E43" s="12" t="n">
        <f aca="false">IF(766653.25=0,0,D43/766653.25)</f>
        <v>0.000202177451148873</v>
      </c>
      <c r="I43" s="11" t="n">
        <f aca="false">IF(C43=0,0,D43/C43)</f>
        <v>155</v>
      </c>
    </row>
    <row r="44" customFormat="false" ht="15" hidden="false" customHeight="true" outlineLevel="0" collapsed="false">
      <c r="B44" s="5" t="s">
        <v>178</v>
      </c>
      <c r="C44" s="15" t="n">
        <v>2</v>
      </c>
      <c r="D44" s="11" t="n">
        <v>150.11</v>
      </c>
      <c r="E44" s="12" t="n">
        <f aca="false">IF(766653.25=0,0,D44/766653.25)</f>
        <v>0.00019579907865779</v>
      </c>
      <c r="I44" s="11" t="n">
        <f aca="false">IF(C44=0,0,D44/C44)</f>
        <v>75.055</v>
      </c>
    </row>
    <row r="45" customFormat="false" ht="15" hidden="false" customHeight="true" outlineLevel="0" collapsed="false">
      <c r="B45" s="5" t="s">
        <v>179</v>
      </c>
      <c r="C45" s="15" t="n">
        <v>1</v>
      </c>
      <c r="D45" s="11" t="n">
        <v>90</v>
      </c>
      <c r="E45" s="12" t="n">
        <f aca="false">IF(766653.25=0,0,D45/766653.25)</f>
        <v>0.000117393358731604</v>
      </c>
      <c r="I45" s="11" t="n">
        <f aca="false">IF(C45=0,0,D45/C45)</f>
        <v>90</v>
      </c>
    </row>
    <row r="46" customFormat="false" ht="15" hidden="false" customHeight="true" outlineLevel="0" collapsed="false">
      <c r="B46" s="6" t="s">
        <v>38</v>
      </c>
      <c r="C46" s="16" t="n">
        <f aca="false">SUM(C21:C45)</f>
        <v>402</v>
      </c>
      <c r="D46" s="13" t="n">
        <f aca="false">SUM(D21:D45)</f>
        <v>766653.25</v>
      </c>
      <c r="E46" s="14" t="n">
        <v>1</v>
      </c>
    </row>
    <row r="49" customFormat="false" ht="15" hidden="false" customHeight="true" outlineLevel="0" collapsed="false">
      <c r="B49" s="4" t="s">
        <v>66</v>
      </c>
      <c r="C49" s="4"/>
      <c r="D49" s="4"/>
      <c r="E49" s="4"/>
      <c r="F49" s="4"/>
      <c r="G49" s="4"/>
      <c r="H49" s="4"/>
      <c r="I49" s="4"/>
    </row>
    <row r="50" customFormat="false" ht="15" hidden="false" customHeight="true" outlineLevel="0" collapsed="false">
      <c r="B50" s="3" t="s">
        <v>67</v>
      </c>
      <c r="C50" s="3"/>
      <c r="D50" s="3"/>
      <c r="E50" s="3"/>
      <c r="F50" s="3"/>
      <c r="G50" s="3"/>
      <c r="H50" s="3"/>
      <c r="I50" s="3"/>
    </row>
    <row r="51" customFormat="false" ht="15" hidden="false" customHeight="true" outlineLevel="0" collapsed="false">
      <c r="B51" s="3" t="s">
        <v>68</v>
      </c>
      <c r="C51" s="3"/>
      <c r="D51" s="3"/>
      <c r="E51" s="3"/>
      <c r="F51" s="3"/>
      <c r="G51" s="3"/>
      <c r="H51" s="3"/>
      <c r="I51" s="3"/>
    </row>
    <row r="52" customFormat="false" ht="15" hidden="false" customHeight="true" outlineLevel="0" collapsed="false">
      <c r="B52" s="3" t="s">
        <v>69</v>
      </c>
      <c r="C52" s="3"/>
      <c r="D52" s="3"/>
      <c r="E52" s="3"/>
      <c r="F52" s="3"/>
      <c r="G52" s="3"/>
      <c r="H52" s="3"/>
      <c r="I52" s="3"/>
    </row>
    <row r="53" customFormat="false" ht="15" hidden="false" customHeight="true" outlineLevel="0" collapsed="false">
      <c r="B53" s="3" t="s">
        <v>70</v>
      </c>
      <c r="C53" s="3"/>
      <c r="D53" s="3"/>
      <c r="E53" s="3"/>
      <c r="F53" s="3"/>
      <c r="G53" s="3"/>
      <c r="H53" s="3"/>
      <c r="I53" s="3"/>
    </row>
    <row r="54" customFormat="false" ht="15" hidden="false" customHeight="true" outlineLevel="0" collapsed="false">
      <c r="B54" s="3" t="s">
        <v>71</v>
      </c>
      <c r="C54" s="3"/>
      <c r="D54" s="3"/>
      <c r="E54" s="3"/>
      <c r="F54" s="3"/>
      <c r="G54" s="3"/>
      <c r="H54" s="3"/>
      <c r="I54" s="3"/>
    </row>
    <row r="55" customFormat="false" ht="15" hidden="false" customHeight="true" outlineLevel="0" collapsed="false">
      <c r="B55" s="3" t="s">
        <v>72</v>
      </c>
      <c r="C55" s="3"/>
      <c r="D55" s="3"/>
      <c r="E55" s="3"/>
      <c r="F55" s="3"/>
      <c r="G55" s="3"/>
      <c r="H55" s="3"/>
      <c r="I55" s="3"/>
    </row>
    <row r="56" customFormat="false" ht="15" hidden="false" customHeight="true" outlineLevel="0" collapsed="false">
      <c r="B56" s="3" t="s">
        <v>73</v>
      </c>
      <c r="C56" s="3"/>
      <c r="D56" s="3"/>
      <c r="E56" s="3"/>
      <c r="F56" s="3"/>
      <c r="G56" s="3"/>
      <c r="H56" s="3"/>
      <c r="I56" s="3"/>
    </row>
    <row r="57" customFormat="false" ht="15" hidden="false" customHeight="true" outlineLevel="0" collapsed="false">
      <c r="B57" s="3" t="s">
        <v>74</v>
      </c>
      <c r="C57" s="3"/>
      <c r="D57" s="3"/>
      <c r="E57" s="3"/>
      <c r="F57" s="3"/>
      <c r="G57" s="3"/>
      <c r="H57" s="3"/>
      <c r="I57" s="3"/>
    </row>
    <row r="58" customFormat="false" ht="15" hidden="false" customHeight="true" outlineLevel="0" collapsed="false">
      <c r="B58" s="3" t="s">
        <v>75</v>
      </c>
      <c r="C58" s="3"/>
      <c r="D58" s="3"/>
      <c r="E58" s="3"/>
      <c r="F58" s="3"/>
      <c r="G58" s="3"/>
      <c r="H58" s="3"/>
      <c r="I58" s="3"/>
    </row>
    <row r="59" customFormat="false" ht="15" hidden="false" customHeight="true" outlineLevel="0" collapsed="false">
      <c r="B59" s="3" t="s">
        <v>180</v>
      </c>
      <c r="C59" s="3"/>
      <c r="D59" s="3"/>
      <c r="E59" s="3"/>
      <c r="F59" s="3"/>
      <c r="G59" s="3"/>
      <c r="H59" s="3"/>
      <c r="I59" s="3"/>
    </row>
  </sheetData>
  <mergeCells count="15">
    <mergeCell ref="B2:I2"/>
    <mergeCell ref="B3:I3"/>
    <mergeCell ref="B5:I5"/>
    <mergeCell ref="B19:I19"/>
    <mergeCell ref="B49:I49"/>
    <mergeCell ref="B50:I50"/>
    <mergeCell ref="B51:I51"/>
    <mergeCell ref="B52:I52"/>
    <mergeCell ref="B53:I53"/>
    <mergeCell ref="B54:I54"/>
    <mergeCell ref="B55:I55"/>
    <mergeCell ref="B56:I56"/>
    <mergeCell ref="B57:I57"/>
    <mergeCell ref="B58:I58"/>
    <mergeCell ref="B59:I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181</v>
      </c>
      <c r="C2" s="2"/>
      <c r="D2" s="2"/>
      <c r="E2" s="2"/>
      <c r="F2" s="2"/>
    </row>
    <row r="4" customFormat="false" ht="15" hidden="false" customHeight="true" outlineLevel="0" collapsed="false">
      <c r="B4" s="10" t="s">
        <v>182</v>
      </c>
      <c r="C4" s="10" t="s">
        <v>183</v>
      </c>
      <c r="D4" s="10" t="s">
        <v>184</v>
      </c>
      <c r="E4" s="10" t="s">
        <v>185</v>
      </c>
      <c r="F4" s="10" t="s">
        <v>186</v>
      </c>
    </row>
    <row r="5" customFormat="false" ht="15" hidden="false" customHeight="true" outlineLevel="0" collapsed="false">
      <c r="B5" s="5" t="s">
        <v>187</v>
      </c>
      <c r="C5" s="17" t="n">
        <v>2074</v>
      </c>
      <c r="D5" s="11" t="n">
        <v>45573.5</v>
      </c>
      <c r="E5" s="18" t="n">
        <f aca="false">IF(C5=0,0,D5/C5)</f>
        <v>21.9737222757956</v>
      </c>
      <c r="F5" s="5" t="s">
        <v>188</v>
      </c>
    </row>
    <row r="6" customFormat="false" ht="15" hidden="false" customHeight="true" outlineLevel="0" collapsed="false">
      <c r="B6" s="5" t="s">
        <v>189</v>
      </c>
      <c r="C6" s="17" t="n">
        <v>2001</v>
      </c>
      <c r="D6" s="11" t="n">
        <v>64237</v>
      </c>
      <c r="E6" s="18" t="n">
        <f aca="false">IF(C6=0,0,D6/C6)</f>
        <v>32.1024487756122</v>
      </c>
      <c r="F6" s="5" t="s">
        <v>190</v>
      </c>
    </row>
    <row r="7" customFormat="false" ht="15" hidden="false" customHeight="true" outlineLevel="0" collapsed="false">
      <c r="B7" s="5" t="s">
        <v>191</v>
      </c>
      <c r="C7" s="17" t="n">
        <v>1310</v>
      </c>
      <c r="D7" s="11" t="n">
        <v>36285</v>
      </c>
      <c r="E7" s="18" t="n">
        <f aca="false">IF(C7=0,0,D7/C7)</f>
        <v>27.6984732824427</v>
      </c>
      <c r="F7" s="5" t="s">
        <v>188</v>
      </c>
    </row>
    <row r="8" customFormat="false" ht="15" hidden="false" customHeight="true" outlineLevel="0" collapsed="false">
      <c r="B8" s="5" t="s">
        <v>192</v>
      </c>
      <c r="C8" s="17" t="n">
        <v>1297.5</v>
      </c>
      <c r="D8" s="11" t="n">
        <v>18473</v>
      </c>
      <c r="E8" s="18" t="n">
        <f aca="false">IF(C8=0,0,D8/C8)</f>
        <v>14.2373795761079</v>
      </c>
      <c r="F8" s="5" t="s">
        <v>193</v>
      </c>
    </row>
    <row r="9" customFormat="false" ht="15" hidden="false" customHeight="true" outlineLevel="0" collapsed="false">
      <c r="B9" s="5" t="s">
        <v>194</v>
      </c>
      <c r="C9" s="17" t="n">
        <v>1041.5</v>
      </c>
      <c r="D9" s="11" t="n">
        <v>14941</v>
      </c>
      <c r="E9" s="18" t="n">
        <f aca="false">IF(C9=0,0,D9/C9)</f>
        <v>14.3456553048488</v>
      </c>
      <c r="F9" s="5" t="s">
        <v>193</v>
      </c>
    </row>
    <row r="10" customFormat="false" ht="15" hidden="false" customHeight="true" outlineLevel="0" collapsed="false">
      <c r="B10" s="5" t="s">
        <v>195</v>
      </c>
      <c r="C10" s="17" t="n">
        <v>912</v>
      </c>
      <c r="D10" s="11" t="n">
        <v>19840</v>
      </c>
      <c r="E10" s="18" t="n">
        <f aca="false">IF(C10=0,0,D10/C10)</f>
        <v>21.7543859649123</v>
      </c>
      <c r="F10" s="5" t="s">
        <v>188</v>
      </c>
    </row>
    <row r="11" customFormat="false" ht="15" hidden="false" customHeight="true" outlineLevel="0" collapsed="false">
      <c r="B11" s="5" t="s">
        <v>196</v>
      </c>
      <c r="C11" s="17" t="n">
        <v>857</v>
      </c>
      <c r="D11" s="11" t="n">
        <v>14617</v>
      </c>
      <c r="E11" s="18" t="n">
        <f aca="false">IF(C11=0,0,D11/C11)</f>
        <v>17.0560093348891</v>
      </c>
      <c r="F11" s="5" t="s">
        <v>193</v>
      </c>
    </row>
    <row r="12" customFormat="false" ht="15" hidden="false" customHeight="true" outlineLevel="0" collapsed="false">
      <c r="B12" s="5" t="s">
        <v>197</v>
      </c>
      <c r="C12" s="17" t="n">
        <v>852</v>
      </c>
      <c r="D12" s="11" t="n">
        <v>11396</v>
      </c>
      <c r="E12" s="18" t="n">
        <f aca="false">IF(C12=0,0,D12/C12)</f>
        <v>13.3755868544601</v>
      </c>
      <c r="F12" s="5" t="s">
        <v>193</v>
      </c>
    </row>
    <row r="13" customFormat="false" ht="15" hidden="false" customHeight="true" outlineLevel="0" collapsed="false">
      <c r="B13" s="5" t="s">
        <v>198</v>
      </c>
      <c r="C13" s="17" t="n">
        <v>823.5</v>
      </c>
      <c r="D13" s="11" t="n">
        <v>17606</v>
      </c>
      <c r="E13" s="18" t="n">
        <f aca="false">IF(C13=0,0,D13/C13)</f>
        <v>21.3794778384942</v>
      </c>
      <c r="F13" s="5" t="s">
        <v>188</v>
      </c>
    </row>
    <row r="14" customFormat="false" ht="15" hidden="false" customHeight="true" outlineLevel="0" collapsed="false">
      <c r="B14" s="5" t="s">
        <v>199</v>
      </c>
      <c r="C14" s="17" t="n">
        <v>810.5</v>
      </c>
      <c r="D14" s="11" t="n">
        <v>14589</v>
      </c>
      <c r="E14" s="18" t="n">
        <f aca="false">IF(C14=0,0,D14/C14)</f>
        <v>18</v>
      </c>
      <c r="F14" s="5" t="s">
        <v>188</v>
      </c>
    </row>
    <row r="15" customFormat="false" ht="15" hidden="false" customHeight="true" outlineLevel="0" collapsed="false">
      <c r="B15" s="5" t="s">
        <v>200</v>
      </c>
      <c r="C15" s="17" t="n">
        <v>799.5</v>
      </c>
      <c r="D15" s="11" t="n">
        <v>11992.5</v>
      </c>
      <c r="E15" s="18" t="n">
        <f aca="false">IF(C15=0,0,D15/C15)</f>
        <v>15</v>
      </c>
      <c r="F15" s="5" t="s">
        <v>193</v>
      </c>
    </row>
    <row r="16" customFormat="false" ht="15" hidden="false" customHeight="true" outlineLevel="0" collapsed="false">
      <c r="B16" s="5" t="s">
        <v>201</v>
      </c>
      <c r="C16" s="17" t="n">
        <v>776</v>
      </c>
      <c r="D16" s="11" t="n">
        <v>11184</v>
      </c>
      <c r="E16" s="18" t="n">
        <f aca="false">IF(C16=0,0,D16/C16)</f>
        <v>14.4123711340206</v>
      </c>
      <c r="F16" s="5" t="s">
        <v>193</v>
      </c>
    </row>
    <row r="17" customFormat="false" ht="15" hidden="false" customHeight="true" outlineLevel="0" collapsed="false">
      <c r="B17" s="5" t="s">
        <v>202</v>
      </c>
      <c r="C17" s="17" t="n">
        <v>772.5</v>
      </c>
      <c r="D17" s="11" t="n">
        <v>10815</v>
      </c>
      <c r="E17" s="18" t="n">
        <f aca="false">IF(C17=0,0,D17/C17)</f>
        <v>14</v>
      </c>
      <c r="F17" s="5" t="s">
        <v>193</v>
      </c>
    </row>
    <row r="18" customFormat="false" ht="15" hidden="false" customHeight="true" outlineLevel="0" collapsed="false">
      <c r="B18" s="5" t="s">
        <v>203</v>
      </c>
      <c r="C18" s="17" t="n">
        <v>749</v>
      </c>
      <c r="D18" s="11" t="n">
        <v>11259</v>
      </c>
      <c r="E18" s="18" t="n">
        <f aca="false">IF(C18=0,0,D18/C18)</f>
        <v>15.0320427236315</v>
      </c>
      <c r="F18" s="5" t="s">
        <v>193</v>
      </c>
    </row>
    <row r="19" customFormat="false" ht="15" hidden="false" customHeight="true" outlineLevel="0" collapsed="false">
      <c r="B19" s="5" t="s">
        <v>204</v>
      </c>
      <c r="C19" s="17" t="n">
        <v>731</v>
      </c>
      <c r="D19" s="11" t="n">
        <v>26293</v>
      </c>
      <c r="E19" s="18" t="n">
        <f aca="false">IF(C19=0,0,D19/C19)</f>
        <v>35.96853625171</v>
      </c>
      <c r="F19" s="5" t="s">
        <v>190</v>
      </c>
    </row>
    <row r="20" customFormat="false" ht="15" hidden="false" customHeight="true" outlineLevel="0" collapsed="false">
      <c r="B20" s="5" t="s">
        <v>205</v>
      </c>
      <c r="C20" s="17" t="n">
        <v>721.5</v>
      </c>
      <c r="D20" s="11" t="n">
        <v>10765.5</v>
      </c>
      <c r="E20" s="18" t="n">
        <f aca="false">IF(C20=0,0,D20/C20)</f>
        <v>14.9209979209979</v>
      </c>
      <c r="F20" s="5" t="s">
        <v>193</v>
      </c>
    </row>
    <row r="21" customFormat="false" ht="15" hidden="false" customHeight="true" outlineLevel="0" collapsed="false">
      <c r="B21" s="5" t="s">
        <v>206</v>
      </c>
      <c r="C21" s="17" t="n">
        <v>717.5</v>
      </c>
      <c r="D21" s="11" t="n">
        <v>9655.5</v>
      </c>
      <c r="E21" s="18" t="n">
        <f aca="false">IF(C21=0,0,D21/C21)</f>
        <v>13.4571428571429</v>
      </c>
      <c r="F21" s="5" t="s">
        <v>193</v>
      </c>
    </row>
    <row r="22" customFormat="false" ht="15" hidden="false" customHeight="true" outlineLevel="0" collapsed="false">
      <c r="B22" s="5" t="s">
        <v>207</v>
      </c>
      <c r="C22" s="17" t="n">
        <v>665.5</v>
      </c>
      <c r="D22" s="11" t="n">
        <v>11979</v>
      </c>
      <c r="E22" s="18" t="n">
        <f aca="false">IF(C22=0,0,D22/C22)</f>
        <v>18</v>
      </c>
      <c r="F22" s="5" t="s">
        <v>188</v>
      </c>
    </row>
    <row r="23" customFormat="false" ht="15" hidden="false" customHeight="true" outlineLevel="0" collapsed="false">
      <c r="B23" s="5" t="s">
        <v>208</v>
      </c>
      <c r="C23" s="17" t="n">
        <v>657</v>
      </c>
      <c r="D23" s="11" t="n">
        <v>29615</v>
      </c>
      <c r="E23" s="18" t="n">
        <f aca="false">IF(C23=0,0,D23/C23)</f>
        <v>45.076103500761</v>
      </c>
      <c r="F23" s="5" t="s">
        <v>190</v>
      </c>
    </row>
    <row r="24" customFormat="false" ht="15" hidden="false" customHeight="true" outlineLevel="0" collapsed="false">
      <c r="B24" s="5" t="s">
        <v>209</v>
      </c>
      <c r="C24" s="17" t="n">
        <v>629</v>
      </c>
      <c r="D24" s="11" t="n">
        <v>8448.5</v>
      </c>
      <c r="E24" s="18" t="n">
        <f aca="false">IF(C24=0,0,D24/C24)</f>
        <v>13.4316375198728</v>
      </c>
      <c r="F24" s="5" t="s">
        <v>193</v>
      </c>
    </row>
    <row r="25" customFormat="false" ht="15" hidden="false" customHeight="true" outlineLevel="0" collapsed="false">
      <c r="B25" s="5" t="s">
        <v>210</v>
      </c>
      <c r="C25" s="17" t="n">
        <v>568</v>
      </c>
      <c r="D25" s="11" t="n">
        <v>18176</v>
      </c>
      <c r="E25" s="18" t="n">
        <f aca="false">IF(C25=0,0,D25/C25)</f>
        <v>32</v>
      </c>
      <c r="F25" s="5" t="s">
        <v>190</v>
      </c>
    </row>
    <row r="26" customFormat="false" ht="15" hidden="false" customHeight="true" outlineLevel="0" collapsed="false">
      <c r="B26" s="5" t="s">
        <v>211</v>
      </c>
      <c r="C26" s="17" t="n">
        <v>568</v>
      </c>
      <c r="D26" s="11" t="n">
        <v>7952</v>
      </c>
      <c r="E26" s="18" t="n">
        <f aca="false">IF(C26=0,0,D26/C26)</f>
        <v>14</v>
      </c>
      <c r="F26" s="5" t="s">
        <v>193</v>
      </c>
    </row>
    <row r="27" customFormat="false" ht="15" hidden="false" customHeight="true" outlineLevel="0" collapsed="false">
      <c r="B27" s="5" t="s">
        <v>212</v>
      </c>
      <c r="C27" s="17" t="n">
        <v>496.5</v>
      </c>
      <c r="D27" s="11" t="n">
        <v>8152</v>
      </c>
      <c r="E27" s="18" t="n">
        <f aca="false">IF(C27=0,0,D27/C27)</f>
        <v>16.4189325276939</v>
      </c>
      <c r="F27" s="5" t="s">
        <v>193</v>
      </c>
    </row>
    <row r="28" customFormat="false" ht="15" hidden="false" customHeight="true" outlineLevel="0" collapsed="false">
      <c r="B28" s="5" t="s">
        <v>213</v>
      </c>
      <c r="C28" s="17" t="n">
        <v>444</v>
      </c>
      <c r="D28" s="11" t="n">
        <v>5772</v>
      </c>
      <c r="E28" s="18" t="n">
        <f aca="false">IF(C28=0,0,D28/C28)</f>
        <v>13</v>
      </c>
      <c r="F28" s="5" t="s">
        <v>193</v>
      </c>
    </row>
    <row r="29" customFormat="false" ht="15" hidden="false" customHeight="true" outlineLevel="0" collapsed="false">
      <c r="B29" s="5" t="s">
        <v>214</v>
      </c>
      <c r="C29" s="17" t="n">
        <v>423</v>
      </c>
      <c r="D29" s="11" t="n">
        <v>5499</v>
      </c>
      <c r="E29" s="18" t="n">
        <f aca="false">IF(C29=0,0,D29/C29)</f>
        <v>13</v>
      </c>
      <c r="F29" s="5" t="s">
        <v>193</v>
      </c>
    </row>
    <row r="30" customFormat="false" ht="15" hidden="false" customHeight="true" outlineLevel="0" collapsed="false">
      <c r="B30" s="5" t="s">
        <v>215</v>
      </c>
      <c r="C30" s="17" t="n">
        <v>400</v>
      </c>
      <c r="D30" s="11" t="n">
        <v>5232</v>
      </c>
      <c r="E30" s="18" t="n">
        <f aca="false">IF(C30=0,0,D30/C30)</f>
        <v>13.08</v>
      </c>
      <c r="F30" s="5" t="s">
        <v>193</v>
      </c>
    </row>
    <row r="31" customFormat="false" ht="15" hidden="false" customHeight="true" outlineLevel="0" collapsed="false">
      <c r="B31" s="5" t="s">
        <v>216</v>
      </c>
      <c r="C31" s="17" t="n">
        <v>400</v>
      </c>
      <c r="D31" s="11" t="n">
        <v>6181</v>
      </c>
      <c r="E31" s="18" t="n">
        <f aca="false">IF(C31=0,0,D31/C31)</f>
        <v>15.4525</v>
      </c>
      <c r="F31" s="5" t="s">
        <v>193</v>
      </c>
    </row>
    <row r="32" customFormat="false" ht="15" hidden="false" customHeight="true" outlineLevel="0" collapsed="false">
      <c r="B32" s="5" t="s">
        <v>217</v>
      </c>
      <c r="C32" s="17" t="n">
        <v>351</v>
      </c>
      <c r="D32" s="11" t="n">
        <v>11196</v>
      </c>
      <c r="E32" s="18" t="n">
        <f aca="false">IF(C32=0,0,D32/C32)</f>
        <v>31.8974358974359</v>
      </c>
      <c r="F32" s="5" t="s">
        <v>190</v>
      </c>
    </row>
    <row r="33" customFormat="false" ht="15" hidden="false" customHeight="true" outlineLevel="0" collapsed="false">
      <c r="B33" s="5" t="s">
        <v>218</v>
      </c>
      <c r="C33" s="17" t="n">
        <v>341.5</v>
      </c>
      <c r="D33" s="11" t="n">
        <v>6619</v>
      </c>
      <c r="E33" s="18" t="n">
        <f aca="false">IF(C33=0,0,D33/C33)</f>
        <v>19.3821376281113</v>
      </c>
      <c r="F33" s="5" t="s">
        <v>188</v>
      </c>
    </row>
    <row r="34" customFormat="false" ht="15" hidden="false" customHeight="true" outlineLevel="0" collapsed="false">
      <c r="B34" s="5" t="s">
        <v>219</v>
      </c>
      <c r="C34" s="17" t="n">
        <v>293</v>
      </c>
      <c r="D34" s="11" t="n">
        <v>5471</v>
      </c>
      <c r="E34" s="18" t="n">
        <f aca="false">IF(C34=0,0,D34/C34)</f>
        <v>18.6723549488055</v>
      </c>
      <c r="F34" s="5" t="s">
        <v>188</v>
      </c>
    </row>
    <row r="35" customFormat="false" ht="15" hidden="false" customHeight="true" outlineLevel="0" collapsed="false">
      <c r="B35" s="5" t="s">
        <v>220</v>
      </c>
      <c r="C35" s="17" t="n">
        <v>286</v>
      </c>
      <c r="D35" s="11" t="n">
        <v>11606</v>
      </c>
      <c r="E35" s="18" t="n">
        <f aca="false">IF(C35=0,0,D35/C35)</f>
        <v>40.5804195804196</v>
      </c>
      <c r="F35" s="5" t="s">
        <v>190</v>
      </c>
    </row>
    <row r="36" customFormat="false" ht="15" hidden="false" customHeight="true" outlineLevel="0" collapsed="false">
      <c r="B36" s="5" t="s">
        <v>221</v>
      </c>
      <c r="C36" s="17" t="n">
        <v>263</v>
      </c>
      <c r="D36" s="11" t="n">
        <v>3419</v>
      </c>
      <c r="E36" s="18" t="n">
        <f aca="false">IF(C36=0,0,D36/C36)</f>
        <v>13</v>
      </c>
      <c r="F36" s="5" t="s">
        <v>193</v>
      </c>
    </row>
    <row r="37" customFormat="false" ht="15" hidden="false" customHeight="true" outlineLevel="0" collapsed="false">
      <c r="B37" s="5" t="s">
        <v>222</v>
      </c>
      <c r="C37" s="17" t="n">
        <v>260</v>
      </c>
      <c r="D37" s="11" t="n">
        <v>3380</v>
      </c>
      <c r="E37" s="18" t="n">
        <f aca="false">IF(C37=0,0,D37/C37)</f>
        <v>13</v>
      </c>
      <c r="F37" s="5" t="s">
        <v>193</v>
      </c>
    </row>
    <row r="38" customFormat="false" ht="15" hidden="false" customHeight="true" outlineLevel="0" collapsed="false">
      <c r="B38" s="5" t="s">
        <v>223</v>
      </c>
      <c r="C38" s="17" t="n">
        <v>256</v>
      </c>
      <c r="D38" s="11" t="n">
        <v>7936</v>
      </c>
      <c r="E38" s="18" t="n">
        <f aca="false">IF(C38=0,0,D38/C38)</f>
        <v>31</v>
      </c>
      <c r="F38" s="5" t="s">
        <v>190</v>
      </c>
    </row>
    <row r="39" customFormat="false" ht="15" hidden="false" customHeight="true" outlineLevel="0" collapsed="false">
      <c r="B39" s="5" t="s">
        <v>224</v>
      </c>
      <c r="C39" s="17" t="n">
        <v>240</v>
      </c>
      <c r="D39" s="11" t="n">
        <v>3840</v>
      </c>
      <c r="E39" s="18" t="n">
        <f aca="false">IF(C39=0,0,D39/C39)</f>
        <v>16</v>
      </c>
      <c r="F39" s="5" t="s">
        <v>193</v>
      </c>
    </row>
    <row r="40" customFormat="false" ht="15" hidden="false" customHeight="true" outlineLevel="0" collapsed="false">
      <c r="B40" s="5" t="s">
        <v>225</v>
      </c>
      <c r="C40" s="17" t="n">
        <v>240</v>
      </c>
      <c r="D40" s="11" t="n">
        <v>4320</v>
      </c>
      <c r="E40" s="18" t="n">
        <f aca="false">IF(C40=0,0,D40/C40)</f>
        <v>18</v>
      </c>
      <c r="F40" s="5" t="s">
        <v>188</v>
      </c>
    </row>
    <row r="41" customFormat="false" ht="15" hidden="false" customHeight="true" outlineLevel="0" collapsed="false">
      <c r="B41" s="5" t="s">
        <v>226</v>
      </c>
      <c r="C41" s="17" t="n">
        <v>232</v>
      </c>
      <c r="D41" s="11" t="n">
        <v>3424</v>
      </c>
      <c r="E41" s="18" t="n">
        <f aca="false">IF(C41=0,0,D41/C41)</f>
        <v>14.7586206896552</v>
      </c>
      <c r="F41" s="5" t="s">
        <v>193</v>
      </c>
    </row>
    <row r="42" customFormat="false" ht="15" hidden="false" customHeight="true" outlineLevel="0" collapsed="false">
      <c r="B42" s="5" t="s">
        <v>227</v>
      </c>
      <c r="C42" s="17" t="n">
        <v>191</v>
      </c>
      <c r="D42" s="11" t="n">
        <v>3629</v>
      </c>
      <c r="E42" s="18" t="n">
        <f aca="false">IF(C42=0,0,D42/C42)</f>
        <v>19</v>
      </c>
      <c r="F42" s="5" t="s">
        <v>188</v>
      </c>
    </row>
    <row r="43" customFormat="false" ht="15" hidden="false" customHeight="true" outlineLevel="0" collapsed="false">
      <c r="B43" s="5" t="s">
        <v>228</v>
      </c>
      <c r="C43" s="17" t="n">
        <v>188.5</v>
      </c>
      <c r="D43" s="11" t="n">
        <v>6486.5</v>
      </c>
      <c r="E43" s="18" t="n">
        <f aca="false">IF(C43=0,0,D43/C43)</f>
        <v>34.4111405835544</v>
      </c>
      <c r="F43" s="5" t="s">
        <v>190</v>
      </c>
    </row>
    <row r="44" customFormat="false" ht="15" hidden="false" customHeight="true" outlineLevel="0" collapsed="false">
      <c r="B44" s="5" t="s">
        <v>229</v>
      </c>
      <c r="C44" s="17" t="n">
        <v>175</v>
      </c>
      <c r="D44" s="11" t="n">
        <v>4900</v>
      </c>
      <c r="E44" s="18" t="n">
        <f aca="false">IF(C44=0,0,D44/C44)</f>
        <v>28</v>
      </c>
      <c r="F44" s="5" t="s">
        <v>188</v>
      </c>
    </row>
    <row r="45" customFormat="false" ht="15" hidden="false" customHeight="true" outlineLevel="0" collapsed="false">
      <c r="B45" s="5" t="s">
        <v>230</v>
      </c>
      <c r="C45" s="17" t="n">
        <v>159</v>
      </c>
      <c r="D45" s="11" t="n">
        <v>3498</v>
      </c>
      <c r="E45" s="18" t="n">
        <f aca="false">IF(C45=0,0,D45/C45)</f>
        <v>22</v>
      </c>
      <c r="F45" s="5" t="s">
        <v>188</v>
      </c>
    </row>
    <row r="46" customFormat="false" ht="15" hidden="false" customHeight="true" outlineLevel="0" collapsed="false">
      <c r="B46" s="5" t="s">
        <v>231</v>
      </c>
      <c r="C46" s="17" t="n">
        <v>120</v>
      </c>
      <c r="D46" s="11" t="n">
        <v>1672</v>
      </c>
      <c r="E46" s="18" t="n">
        <f aca="false">IF(C46=0,0,D46/C46)</f>
        <v>13.9333333333333</v>
      </c>
      <c r="F46" s="5" t="s">
        <v>193</v>
      </c>
    </row>
    <row r="47" customFormat="false" ht="15" hidden="false" customHeight="true" outlineLevel="0" collapsed="false">
      <c r="B47" s="5" t="s">
        <v>232</v>
      </c>
      <c r="C47" s="17" t="n">
        <v>53.5</v>
      </c>
      <c r="D47" s="11" t="n">
        <v>815</v>
      </c>
      <c r="E47" s="18" t="n">
        <f aca="false">IF(C47=0,0,D47/C47)</f>
        <v>15.2336448598131</v>
      </c>
      <c r="F47" s="5" t="s">
        <v>193</v>
      </c>
    </row>
    <row r="48" customFormat="false" ht="15" hidden="false" customHeight="true" outlineLevel="0" collapsed="false">
      <c r="B48" s="5" t="s">
        <v>233</v>
      </c>
      <c r="C48" s="17" t="n">
        <v>51</v>
      </c>
      <c r="D48" s="11" t="n">
        <v>816</v>
      </c>
      <c r="E48" s="18" t="n">
        <f aca="false">IF(C48=0,0,D48/C48)</f>
        <v>16</v>
      </c>
      <c r="F48" s="5" t="s">
        <v>193</v>
      </c>
    </row>
    <row r="49" customFormat="false" ht="15" hidden="false" customHeight="true" outlineLevel="0" collapsed="false">
      <c r="B49" s="5" t="s">
        <v>234</v>
      </c>
      <c r="C49" s="17" t="n">
        <v>48</v>
      </c>
      <c r="D49" s="11" t="n">
        <v>960</v>
      </c>
      <c r="E49" s="18" t="n">
        <f aca="false">IF(C49=0,0,D49/C49)</f>
        <v>20</v>
      </c>
      <c r="F49" s="5" t="s">
        <v>188</v>
      </c>
    </row>
    <row r="50" customFormat="false" ht="15" hidden="false" customHeight="true" outlineLevel="0" collapsed="false">
      <c r="B50" s="5" t="s">
        <v>235</v>
      </c>
      <c r="C50" s="17" t="n">
        <v>40</v>
      </c>
      <c r="D50" s="11" t="n">
        <v>1192</v>
      </c>
      <c r="E50" s="18" t="n">
        <f aca="false">IF(C50=0,0,D50/C50)</f>
        <v>29.8</v>
      </c>
      <c r="F50" s="5" t="s">
        <v>188</v>
      </c>
    </row>
    <row r="51" customFormat="false" ht="15" hidden="false" customHeight="true" outlineLevel="0" collapsed="false">
      <c r="B51" s="5" t="s">
        <v>236</v>
      </c>
      <c r="C51" s="17" t="n">
        <v>40</v>
      </c>
      <c r="D51" s="11" t="n">
        <v>560</v>
      </c>
      <c r="E51" s="18" t="n">
        <f aca="false">IF(C51=0,0,D51/C51)</f>
        <v>14</v>
      </c>
      <c r="F51" s="5" t="s">
        <v>193</v>
      </c>
    </row>
    <row r="52" customFormat="false" ht="15" hidden="false" customHeight="true" outlineLevel="0" collapsed="false">
      <c r="B52" s="5" t="s">
        <v>237</v>
      </c>
      <c r="C52" s="17" t="n">
        <v>24</v>
      </c>
      <c r="D52" s="11" t="n">
        <v>408</v>
      </c>
      <c r="E52" s="18" t="n">
        <f aca="false">IF(C52=0,0,D52/C52)</f>
        <v>17</v>
      </c>
      <c r="F52" s="5" t="s">
        <v>193</v>
      </c>
    </row>
    <row r="53" customFormat="false" ht="15" hidden="false" customHeight="true" outlineLevel="0" collapsed="false">
      <c r="B53" s="5" t="s">
        <v>238</v>
      </c>
      <c r="C53" s="17" t="n">
        <v>16</v>
      </c>
      <c r="D53" s="11" t="n">
        <v>368</v>
      </c>
      <c r="E53" s="18" t="n">
        <f aca="false">IF(C53=0,0,D53/C53)</f>
        <v>23</v>
      </c>
      <c r="F53" s="5" t="s">
        <v>188</v>
      </c>
    </row>
    <row r="54" customFormat="false" ht="15" hidden="false" customHeight="true" outlineLevel="0" collapsed="false">
      <c r="B54" s="5" t="s">
        <v>239</v>
      </c>
      <c r="C54" s="17" t="n">
        <v>16</v>
      </c>
      <c r="D54" s="11" t="n">
        <v>224</v>
      </c>
      <c r="E54" s="18" t="n">
        <f aca="false">IF(C54=0,0,D54/C54)</f>
        <v>14</v>
      </c>
      <c r="F54" s="5" t="s">
        <v>193</v>
      </c>
    </row>
    <row r="55" customFormat="false" ht="15" hidden="false" customHeight="true" outlineLevel="0" collapsed="false">
      <c r="B55" s="5" t="s">
        <v>240</v>
      </c>
      <c r="C55" s="17" t="n">
        <v>14.5</v>
      </c>
      <c r="D55" s="11" t="n">
        <v>188.5</v>
      </c>
      <c r="E55" s="18" t="n">
        <f aca="false">IF(C55=0,0,D55/C55)</f>
        <v>13</v>
      </c>
      <c r="F55" s="5" t="s">
        <v>193</v>
      </c>
    </row>
    <row r="56" customFormat="false" ht="15" hidden="false" customHeight="true" outlineLevel="0" collapsed="false">
      <c r="B56" s="5" t="s">
        <v>241</v>
      </c>
      <c r="C56" s="17" t="n">
        <v>14.5</v>
      </c>
      <c r="D56" s="11" t="n">
        <v>188.5</v>
      </c>
      <c r="E56" s="18" t="n">
        <f aca="false">IF(C56=0,0,D56/C56)</f>
        <v>13</v>
      </c>
      <c r="F56" s="5" t="s">
        <v>193</v>
      </c>
    </row>
    <row r="57" customFormat="false" ht="15" hidden="false" customHeight="true" outlineLevel="0" collapsed="false">
      <c r="B57" s="5" t="s">
        <v>242</v>
      </c>
      <c r="C57" s="17" t="n">
        <v>14</v>
      </c>
      <c r="D57" s="11" t="n">
        <v>476</v>
      </c>
      <c r="E57" s="18" t="n">
        <f aca="false">IF(C57=0,0,D57/C57)</f>
        <v>34</v>
      </c>
      <c r="F57" s="5" t="s">
        <v>190</v>
      </c>
    </row>
    <row r="58" customFormat="false" ht="15" hidden="false" customHeight="true" outlineLevel="0" collapsed="false">
      <c r="B58" s="5" t="s">
        <v>243</v>
      </c>
      <c r="C58" s="17" t="n">
        <v>8</v>
      </c>
      <c r="D58" s="11" t="n">
        <v>120</v>
      </c>
      <c r="E58" s="18" t="n">
        <f aca="false">IF(C58=0,0,D58/C58)</f>
        <v>15</v>
      </c>
      <c r="F58" s="5" t="s">
        <v>193</v>
      </c>
    </row>
    <row r="59" customFormat="false" ht="15" hidden="false" customHeight="true" outlineLevel="0" collapsed="false">
      <c r="B59" s="5" t="s">
        <v>244</v>
      </c>
      <c r="C59" s="17" t="n">
        <v>8</v>
      </c>
      <c r="D59" s="11" t="n">
        <v>104</v>
      </c>
      <c r="E59" s="18" t="n">
        <f aca="false">IF(C59=0,0,D59/C59)</f>
        <v>13</v>
      </c>
      <c r="F59" s="5" t="s">
        <v>193</v>
      </c>
    </row>
    <row r="60" customFormat="false" ht="15" hidden="false" customHeight="true" outlineLevel="0" collapsed="false">
      <c r="B60" s="5" t="s">
        <v>245</v>
      </c>
      <c r="C60" s="17" t="n">
        <v>8</v>
      </c>
      <c r="D60" s="11" t="n">
        <v>144</v>
      </c>
      <c r="E60" s="18" t="n">
        <f aca="false">IF(C60=0,0,D60/C60)</f>
        <v>18</v>
      </c>
      <c r="F60" s="5" t="s">
        <v>188</v>
      </c>
    </row>
    <row r="61" customFormat="false" ht="15" hidden="false" customHeight="true" outlineLevel="0" collapsed="false">
      <c r="B61" s="6" t="s">
        <v>246</v>
      </c>
      <c r="C61" s="19" t="n">
        <f aca="false">SUM(C5:C60)</f>
        <v>26448.5</v>
      </c>
      <c r="D61" s="13" t="n">
        <f aca="false">SUM(D5:D60)</f>
        <v>544489</v>
      </c>
      <c r="E61" s="20" t="n">
        <f aca="false">IF(C61=0,0,D61/C61)</f>
        <v>20.5867629544209</v>
      </c>
    </row>
    <row r="64" customFormat="false" ht="15" hidden="false" customHeight="true" outlineLevel="0" collapsed="false">
      <c r="B64" s="4" t="s">
        <v>66</v>
      </c>
      <c r="C64" s="4"/>
      <c r="D64" s="4"/>
      <c r="E64" s="4"/>
      <c r="F64" s="4"/>
    </row>
    <row r="65" customFormat="false" ht="15" hidden="false" customHeight="true" outlineLevel="0" collapsed="false">
      <c r="B65" s="3" t="s">
        <v>67</v>
      </c>
      <c r="C65" s="3"/>
      <c r="D65" s="3"/>
      <c r="E65" s="3"/>
      <c r="F65" s="3"/>
    </row>
    <row r="66" customFormat="false" ht="15" hidden="false" customHeight="true" outlineLevel="0" collapsed="false">
      <c r="B66" s="3" t="s">
        <v>68</v>
      </c>
      <c r="C66" s="3"/>
      <c r="D66" s="3"/>
      <c r="E66" s="3"/>
      <c r="F66" s="3"/>
    </row>
    <row r="67" customFormat="false" ht="15" hidden="false" customHeight="true" outlineLevel="0" collapsed="false">
      <c r="B67" s="3" t="s">
        <v>69</v>
      </c>
      <c r="C67" s="3"/>
      <c r="D67" s="3"/>
      <c r="E67" s="3"/>
      <c r="F67" s="3"/>
    </row>
    <row r="68" customFormat="false" ht="15" hidden="false" customHeight="true" outlineLevel="0" collapsed="false">
      <c r="B68" s="3" t="s">
        <v>70</v>
      </c>
      <c r="C68" s="3"/>
      <c r="D68" s="3"/>
      <c r="E68" s="3"/>
      <c r="F68" s="3"/>
    </row>
    <row r="69" customFormat="false" ht="15" hidden="false" customHeight="true" outlineLevel="0" collapsed="false">
      <c r="B69" s="3" t="s">
        <v>71</v>
      </c>
      <c r="C69" s="3"/>
      <c r="D69" s="3"/>
      <c r="E69" s="3"/>
      <c r="F69" s="3"/>
    </row>
    <row r="70" customFormat="false" ht="15" hidden="false" customHeight="true" outlineLevel="0" collapsed="false">
      <c r="B70" s="3" t="s">
        <v>72</v>
      </c>
      <c r="C70" s="3"/>
      <c r="D70" s="3"/>
      <c r="E70" s="3"/>
      <c r="F70" s="3"/>
    </row>
    <row r="71" customFormat="false" ht="15" hidden="false" customHeight="true" outlineLevel="0" collapsed="false">
      <c r="B71" s="3" t="s">
        <v>73</v>
      </c>
      <c r="C71" s="3"/>
      <c r="D71" s="3"/>
      <c r="E71" s="3"/>
      <c r="F71" s="3"/>
    </row>
    <row r="72" customFormat="false" ht="15" hidden="false" customHeight="true" outlineLevel="0" collapsed="false">
      <c r="B72" s="3" t="s">
        <v>74</v>
      </c>
      <c r="C72" s="3"/>
      <c r="D72" s="3"/>
      <c r="E72" s="3"/>
      <c r="F72" s="3"/>
    </row>
    <row r="73" customFormat="false" ht="15" hidden="false" customHeight="true" outlineLevel="0" collapsed="false">
      <c r="B73" s="3" t="s">
        <v>75</v>
      </c>
      <c r="C73" s="3"/>
      <c r="D73" s="3"/>
      <c r="E73" s="3"/>
      <c r="F73" s="3"/>
    </row>
    <row r="74" customFormat="false" ht="15" hidden="false" customHeight="true" outlineLevel="0" collapsed="false">
      <c r="B74" s="3" t="s">
        <v>247</v>
      </c>
      <c r="C74" s="3"/>
      <c r="D74" s="3"/>
      <c r="E74" s="3"/>
      <c r="F74" s="3"/>
    </row>
  </sheetData>
  <mergeCells count="12">
    <mergeCell ref="B2:F2"/>
    <mergeCell ref="B64:F64"/>
    <mergeCell ref="B65:F65"/>
    <mergeCell ref="B66:F66"/>
    <mergeCell ref="B67:F67"/>
    <mergeCell ref="B68:F68"/>
    <mergeCell ref="B69:F69"/>
    <mergeCell ref="B70:F70"/>
    <mergeCell ref="B71:F71"/>
    <mergeCell ref="B72:F72"/>
    <mergeCell ref="B73:F73"/>
    <mergeCell ref="B74:F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6" min="3" style="1" width="16"/>
  </cols>
  <sheetData>
    <row r="2" customFormat="false" ht="19.5" hidden="false" customHeight="true" outlineLevel="0" collapsed="false">
      <c r="B2" s="2" t="s">
        <v>248</v>
      </c>
      <c r="C2" s="2"/>
      <c r="D2" s="2"/>
      <c r="E2" s="2"/>
      <c r="F2" s="2"/>
    </row>
    <row r="4" customFormat="false" ht="15" hidden="false" customHeight="true" outlineLevel="0" collapsed="false">
      <c r="B4" s="4" t="s">
        <v>249</v>
      </c>
      <c r="C4" s="4"/>
      <c r="D4" s="4"/>
      <c r="E4" s="4"/>
      <c r="F4" s="4"/>
    </row>
    <row r="5" customFormat="false" ht="15" hidden="false" customHeight="true" outlineLevel="0" collapsed="false">
      <c r="B5" s="10" t="s">
        <v>186</v>
      </c>
      <c r="C5" s="10" t="s">
        <v>250</v>
      </c>
      <c r="D5" s="10" t="s">
        <v>183</v>
      </c>
      <c r="E5" s="10" t="s">
        <v>184</v>
      </c>
      <c r="F5" s="10" t="s">
        <v>251</v>
      </c>
    </row>
    <row r="6" customFormat="false" ht="15" hidden="false" customHeight="true" outlineLevel="0" collapsed="false">
      <c r="B6" s="5" t="s">
        <v>190</v>
      </c>
      <c r="C6" s="15" t="n">
        <v>9</v>
      </c>
      <c r="D6" s="17" t="n">
        <v>5052.5</v>
      </c>
      <c r="E6" s="11" t="n">
        <v>176021.5</v>
      </c>
      <c r="F6" s="12" t="n">
        <f aca="false">IF(26448.5=0,0,D6/26448.5)</f>
        <v>0.191031627502505</v>
      </c>
    </row>
    <row r="7" customFormat="false" ht="15" hidden="false" customHeight="true" outlineLevel="0" collapsed="false">
      <c r="B7" s="5" t="s">
        <v>188</v>
      </c>
      <c r="C7" s="15" t="n">
        <v>16</v>
      </c>
      <c r="D7" s="17" t="n">
        <v>8107</v>
      </c>
      <c r="E7" s="11" t="n">
        <v>176973.5</v>
      </c>
      <c r="F7" s="12" t="n">
        <f aca="false">IF(26448.5=0,0,D7/26448.5)</f>
        <v>0.306520218537913</v>
      </c>
    </row>
    <row r="8" customFormat="false" ht="15" hidden="false" customHeight="true" outlineLevel="0" collapsed="false">
      <c r="B8" s="5" t="s">
        <v>193</v>
      </c>
      <c r="C8" s="15" t="n">
        <v>31</v>
      </c>
      <c r="D8" s="17" t="n">
        <v>13289</v>
      </c>
      <c r="E8" s="11" t="n">
        <v>191494</v>
      </c>
      <c r="F8" s="12" t="n">
        <f aca="false">IF(26448.5=0,0,D8/26448.5)</f>
        <v>0.502448153959582</v>
      </c>
    </row>
    <row r="11" customFormat="false" ht="15" hidden="false" customHeight="true" outlineLevel="0" collapsed="false">
      <c r="B11" s="4" t="s">
        <v>252</v>
      </c>
      <c r="C11" s="4"/>
      <c r="D11" s="4"/>
      <c r="E11" s="4"/>
      <c r="F11" s="4"/>
    </row>
    <row r="12" customFormat="false" ht="15" hidden="false" customHeight="true" outlineLevel="0" collapsed="false">
      <c r="B12" s="5" t="s">
        <v>253</v>
      </c>
      <c r="C12" s="21" t="n">
        <v>20.5867629544209</v>
      </c>
      <c r="F12" s="22" t="s">
        <v>254</v>
      </c>
    </row>
    <row r="13" customFormat="false" ht="15" hidden="false" customHeight="true" outlineLevel="0" collapsed="false">
      <c r="B13" s="5" t="s">
        <v>255</v>
      </c>
      <c r="C13" s="21" t="n">
        <v>30.3808722611868</v>
      </c>
      <c r="F13" s="22" t="s">
        <v>256</v>
      </c>
    </row>
    <row r="14" customFormat="false" ht="15" hidden="false" customHeight="true" outlineLevel="0" collapsed="false">
      <c r="B14" s="5" t="s">
        <v>257</v>
      </c>
      <c r="C14" s="21" t="n">
        <v>1.47574790307977</v>
      </c>
      <c r="F14" s="22" t="s">
        <v>258</v>
      </c>
    </row>
    <row r="15" customFormat="false" ht="15" hidden="false" customHeight="true" outlineLevel="0" collapsed="false">
      <c r="B15" s="5" t="s">
        <v>259</v>
      </c>
      <c r="C15" s="21" t="n">
        <v>13</v>
      </c>
      <c r="F15" s="22" t="s">
        <v>260</v>
      </c>
    </row>
    <row r="16" customFormat="false" ht="15" hidden="false" customHeight="true" outlineLevel="0" collapsed="false">
      <c r="B16" s="5" t="s">
        <v>261</v>
      </c>
      <c r="C16" s="21" t="n">
        <v>45.076103500761</v>
      </c>
      <c r="F16" s="22" t="s">
        <v>262</v>
      </c>
    </row>
    <row r="17" customFormat="false" ht="15" hidden="false" customHeight="true" outlineLevel="0" collapsed="false">
      <c r="B17" s="5" t="s">
        <v>263</v>
      </c>
      <c r="C17" s="21" t="n">
        <v>472.294642857143</v>
      </c>
      <c r="F17" s="22" t="s">
        <v>264</v>
      </c>
    </row>
    <row r="20" customFormat="false" ht="15" hidden="false" customHeight="true" outlineLevel="0" collapsed="false">
      <c r="B20" s="4" t="s">
        <v>66</v>
      </c>
      <c r="C20" s="4"/>
      <c r="D20" s="4"/>
      <c r="E20" s="4"/>
      <c r="F20" s="4"/>
    </row>
    <row r="21" customFormat="false" ht="15" hidden="false" customHeight="true" outlineLevel="0" collapsed="false">
      <c r="B21" s="3" t="s">
        <v>67</v>
      </c>
      <c r="C21" s="3"/>
      <c r="D21" s="3"/>
      <c r="E21" s="3"/>
      <c r="F21" s="3"/>
    </row>
    <row r="22" customFormat="false" ht="15" hidden="false" customHeight="true" outlineLevel="0" collapsed="false">
      <c r="B22" s="3" t="s">
        <v>68</v>
      </c>
      <c r="C22" s="3"/>
      <c r="D22" s="3"/>
      <c r="E22" s="3"/>
      <c r="F22" s="3"/>
    </row>
    <row r="23" customFormat="false" ht="15" hidden="false" customHeight="true" outlineLevel="0" collapsed="false">
      <c r="B23" s="3" t="s">
        <v>69</v>
      </c>
      <c r="C23" s="3"/>
      <c r="D23" s="3"/>
      <c r="E23" s="3"/>
      <c r="F23" s="3"/>
    </row>
    <row r="24" customFormat="false" ht="15" hidden="false" customHeight="true" outlineLevel="0" collapsed="false">
      <c r="B24" s="3" t="s">
        <v>70</v>
      </c>
      <c r="C24" s="3"/>
      <c r="D24" s="3"/>
      <c r="E24" s="3"/>
      <c r="F24" s="3"/>
    </row>
    <row r="25" customFormat="false" ht="15" hidden="false" customHeight="true" outlineLevel="0" collapsed="false">
      <c r="B25" s="3" t="s">
        <v>71</v>
      </c>
      <c r="C25" s="3"/>
      <c r="D25" s="3"/>
      <c r="E25" s="3"/>
      <c r="F25" s="3"/>
    </row>
    <row r="26" customFormat="false" ht="15" hidden="false" customHeight="true" outlineLevel="0" collapsed="false">
      <c r="B26" s="3" t="s">
        <v>72</v>
      </c>
      <c r="C26" s="3"/>
      <c r="D26" s="3"/>
      <c r="E26" s="3"/>
      <c r="F26" s="3"/>
    </row>
    <row r="27" customFormat="false" ht="15" hidden="false" customHeight="true" outlineLevel="0" collapsed="false">
      <c r="B27" s="3" t="s">
        <v>73</v>
      </c>
      <c r="C27" s="3"/>
      <c r="D27" s="3"/>
      <c r="E27" s="3"/>
      <c r="F27" s="3"/>
    </row>
    <row r="28" customFormat="false" ht="15" hidden="false" customHeight="true" outlineLevel="0" collapsed="false">
      <c r="B28" s="3" t="s">
        <v>74</v>
      </c>
      <c r="C28" s="3"/>
      <c r="D28" s="3"/>
      <c r="E28" s="3"/>
      <c r="F28" s="3"/>
    </row>
    <row r="29" customFormat="false" ht="15" hidden="false" customHeight="true" outlineLevel="0" collapsed="false">
      <c r="B29" s="3" t="s">
        <v>75</v>
      </c>
      <c r="C29" s="3"/>
      <c r="D29" s="3"/>
      <c r="E29" s="3"/>
      <c r="F29" s="3"/>
    </row>
  </sheetData>
  <mergeCells count="13">
    <mergeCell ref="B2:F2"/>
    <mergeCell ref="B4:F4"/>
    <mergeCell ref="B11:F11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4"/>
    <col collapsed="false" customWidth="true" hidden="false" outlineLevel="0" max="7" min="3" style="1" width="14"/>
  </cols>
  <sheetData>
    <row r="2" customFormat="false" ht="19.5" hidden="false" customHeight="true" outlineLevel="0" collapsed="false">
      <c r="B2" s="2" t="s">
        <v>265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4" t="s">
        <v>266</v>
      </c>
      <c r="C4" s="4"/>
      <c r="D4" s="4"/>
      <c r="E4" s="4"/>
      <c r="F4" s="4"/>
      <c r="G4" s="4"/>
    </row>
    <row r="5" customFormat="false" ht="15" hidden="false" customHeight="true" outlineLevel="0" collapsed="false">
      <c r="B5" s="10" t="s">
        <v>267</v>
      </c>
      <c r="C5" s="10" t="s">
        <v>268</v>
      </c>
      <c r="D5" s="10" t="s">
        <v>183</v>
      </c>
      <c r="E5" s="10" t="s">
        <v>269</v>
      </c>
      <c r="F5" s="10" t="s">
        <v>270</v>
      </c>
    </row>
    <row r="6" customFormat="false" ht="15" hidden="false" customHeight="true" outlineLevel="0" collapsed="false">
      <c r="B6" s="5" t="s">
        <v>84</v>
      </c>
      <c r="C6" s="5" t="s">
        <v>83</v>
      </c>
      <c r="D6" s="17" t="n">
        <v>315.5</v>
      </c>
      <c r="E6" s="12" t="n">
        <f aca="false">IF(26599=0,0,D6/26599)</f>
        <v>0.0118613481709839</v>
      </c>
      <c r="F6" s="23" t="n">
        <f aca="false">IF(211=0,0,D6/211)</f>
        <v>1.49526066350711</v>
      </c>
    </row>
    <row r="7" customFormat="false" ht="15" hidden="false" customHeight="true" outlineLevel="0" collapsed="false">
      <c r="B7" s="5" t="s">
        <v>271</v>
      </c>
      <c r="C7" s="5" t="s">
        <v>85</v>
      </c>
      <c r="D7" s="17" t="n">
        <v>625.5</v>
      </c>
      <c r="E7" s="12" t="n">
        <f aca="false">IF(26599=0,0,D7/26599)</f>
        <v>0.0235159216511899</v>
      </c>
      <c r="F7" s="23" t="n">
        <f aca="false">IF(211=0,0,D7/211)</f>
        <v>2.96445497630332</v>
      </c>
    </row>
    <row r="8" customFormat="false" ht="15" hidden="false" customHeight="true" outlineLevel="0" collapsed="false">
      <c r="B8" s="5" t="s">
        <v>272</v>
      </c>
      <c r="C8" s="5" t="s">
        <v>87</v>
      </c>
      <c r="D8" s="17" t="n">
        <v>436.5</v>
      </c>
      <c r="E8" s="12" t="n">
        <f aca="false">IF(26599=0,0,D8/26599)</f>
        <v>0.0164103913680965</v>
      </c>
      <c r="F8" s="23" t="n">
        <f aca="false">IF(211=0,0,D8/211)</f>
        <v>2.06872037914692</v>
      </c>
    </row>
    <row r="9" customFormat="false" ht="15" hidden="false" customHeight="true" outlineLevel="0" collapsed="false">
      <c r="B9" s="5" t="s">
        <v>273</v>
      </c>
      <c r="C9" s="5" t="s">
        <v>89</v>
      </c>
      <c r="D9" s="17" t="n">
        <v>3023</v>
      </c>
      <c r="E9" s="12" t="n">
        <f aca="false">IF(26599=0,0,D9/26599)</f>
        <v>0.11365088913117</v>
      </c>
      <c r="F9" s="23" t="n">
        <f aca="false">IF(211=0,0,D9/211)</f>
        <v>14.3270142180095</v>
      </c>
    </row>
    <row r="10" customFormat="false" ht="15" hidden="false" customHeight="true" outlineLevel="0" collapsed="false">
      <c r="B10" s="5" t="s">
        <v>274</v>
      </c>
      <c r="C10" s="5" t="s">
        <v>91</v>
      </c>
      <c r="D10" s="17" t="n">
        <v>1811.5</v>
      </c>
      <c r="E10" s="12" t="n">
        <f aca="false">IF(26599=0,0,D10/26599)</f>
        <v>0.0681040640625587</v>
      </c>
      <c r="F10" s="23" t="n">
        <f aca="false">IF(211=0,0,D10/211)</f>
        <v>8.58530805687204</v>
      </c>
    </row>
    <row r="11" customFormat="false" ht="15" hidden="false" customHeight="true" outlineLevel="0" collapsed="false">
      <c r="B11" s="5" t="s">
        <v>275</v>
      </c>
      <c r="C11" s="5" t="s">
        <v>93</v>
      </c>
      <c r="D11" s="17" t="n">
        <v>16040</v>
      </c>
      <c r="E11" s="12" t="n">
        <f aca="false">IF(26599=0,0,D11/26599)</f>
        <v>0.603030189104854</v>
      </c>
      <c r="F11" s="23" t="n">
        <f aca="false">IF(211=0,0,D11/211)</f>
        <v>76.0189573459716</v>
      </c>
    </row>
    <row r="12" customFormat="false" ht="15" hidden="false" customHeight="true" outlineLevel="0" collapsed="false">
      <c r="B12" s="5" t="s">
        <v>276</v>
      </c>
      <c r="C12" s="5" t="s">
        <v>95</v>
      </c>
      <c r="D12" s="17" t="n">
        <v>1790</v>
      </c>
      <c r="E12" s="12" t="n">
        <f aca="false">IF(26599=0,0,D12/26599)</f>
        <v>0.067295762998609</v>
      </c>
      <c r="F12" s="23" t="n">
        <f aca="false">IF(211=0,0,D12/211)</f>
        <v>8.48341232227488</v>
      </c>
    </row>
    <row r="13" customFormat="false" ht="15" hidden="false" customHeight="true" outlineLevel="0" collapsed="false">
      <c r="B13" s="5" t="s">
        <v>277</v>
      </c>
      <c r="C13" s="5" t="s">
        <v>97</v>
      </c>
      <c r="D13" s="17" t="n">
        <v>356</v>
      </c>
      <c r="E13" s="12" t="n">
        <f aca="false">IF(26599=0,0,D13/26599)</f>
        <v>0.0133839618030753</v>
      </c>
      <c r="F13" s="23" t="n">
        <f aca="false">IF(211=0,0,D13/211)</f>
        <v>1.68720379146919</v>
      </c>
    </row>
    <row r="14" customFormat="false" ht="15" hidden="false" customHeight="true" outlineLevel="0" collapsed="false">
      <c r="B14" s="5" t="s">
        <v>278</v>
      </c>
      <c r="C14" s="5" t="s">
        <v>99</v>
      </c>
      <c r="D14" s="17" t="n">
        <v>2179</v>
      </c>
      <c r="E14" s="12" t="n">
        <f aca="false">IF(26599=0,0,D14/26599)</f>
        <v>0.0819203729463514</v>
      </c>
      <c r="F14" s="23" t="n">
        <f aca="false">IF(211=0,0,D14/211)</f>
        <v>10.3270142180095</v>
      </c>
    </row>
    <row r="15" customFormat="false" ht="15" hidden="false" customHeight="true" outlineLevel="0" collapsed="false">
      <c r="B15" s="5" t="s">
        <v>279</v>
      </c>
      <c r="C15" s="5" t="s">
        <v>101</v>
      </c>
      <c r="D15" s="17" t="n">
        <v>22</v>
      </c>
      <c r="E15" s="12" t="n">
        <f aca="false">IF(26599=0,0,D15/26599)</f>
        <v>0.000827098763111395</v>
      </c>
      <c r="F15" s="23" t="n">
        <f aca="false">IF(211=0,0,D15/211)</f>
        <v>0.104265402843602</v>
      </c>
    </row>
    <row r="16" customFormat="false" ht="15" hidden="false" customHeight="true" outlineLevel="0" collapsed="false">
      <c r="B16" s="6" t="s">
        <v>38</v>
      </c>
      <c r="D16" s="19" t="n">
        <f aca="false">SUM(D6:D15)</f>
        <v>26599</v>
      </c>
      <c r="E16" s="14" t="n">
        <v>1</v>
      </c>
      <c r="F16" s="21" t="n">
        <f aca="false">IF(211=0,0,D16/211)</f>
        <v>126.061611374408</v>
      </c>
    </row>
    <row r="19" customFormat="false" ht="15" hidden="false" customHeight="true" outlineLevel="0" collapsed="false">
      <c r="B19" s="4" t="s">
        <v>280</v>
      </c>
      <c r="C19" s="4"/>
      <c r="D19" s="4"/>
      <c r="E19" s="4"/>
      <c r="F19" s="4"/>
      <c r="G19" s="4"/>
    </row>
    <row r="20" customFormat="false" ht="15" hidden="false" customHeight="true" outlineLevel="0" collapsed="false">
      <c r="B20" s="10" t="s">
        <v>40</v>
      </c>
      <c r="C20" s="10" t="s">
        <v>41</v>
      </c>
      <c r="D20" s="10" t="s">
        <v>281</v>
      </c>
      <c r="E20" s="10"/>
      <c r="F20" s="10" t="s">
        <v>282</v>
      </c>
    </row>
    <row r="21" customFormat="false" ht="15" hidden="false" customHeight="true" outlineLevel="0" collapsed="false">
      <c r="B21" s="5" t="s">
        <v>270</v>
      </c>
      <c r="C21" s="24" t="n">
        <v>126.061611374408</v>
      </c>
      <c r="D21" s="5" t="s">
        <v>283</v>
      </c>
      <c r="F21" s="22" t="s">
        <v>284</v>
      </c>
    </row>
    <row r="22" customFormat="false" ht="15" hidden="false" customHeight="true" outlineLevel="0" collapsed="false">
      <c r="B22" s="5" t="s">
        <v>285</v>
      </c>
      <c r="C22" s="24" t="n">
        <v>22.239966555184</v>
      </c>
      <c r="D22" s="5" t="s">
        <v>283</v>
      </c>
      <c r="F22" s="22" t="s">
        <v>286</v>
      </c>
    </row>
    <row r="23" customFormat="false" ht="15" hidden="false" customHeight="true" outlineLevel="0" collapsed="false">
      <c r="B23" s="5" t="s">
        <v>287</v>
      </c>
      <c r="C23" s="24" t="n">
        <v>108.17017933005</v>
      </c>
      <c r="D23" s="5" t="s">
        <v>288</v>
      </c>
      <c r="F23" s="22" t="s">
        <v>289</v>
      </c>
    </row>
    <row r="24" customFormat="false" ht="15" hidden="false" customHeight="true" outlineLevel="0" collapsed="false">
      <c r="B24" s="5" t="s">
        <v>290</v>
      </c>
      <c r="C24" s="24" t="n">
        <v>50.8725843076808</v>
      </c>
      <c r="D24" s="5" t="s">
        <v>288</v>
      </c>
      <c r="F24" s="22" t="s">
        <v>291</v>
      </c>
    </row>
    <row r="25" customFormat="false" ht="15" hidden="false" customHeight="true" outlineLevel="0" collapsed="false">
      <c r="B25" s="5" t="s">
        <v>292</v>
      </c>
      <c r="C25" s="24" t="n">
        <v>9.59090909090909</v>
      </c>
      <c r="D25" s="5" t="s">
        <v>293</v>
      </c>
      <c r="F25" s="22" t="s">
        <v>294</v>
      </c>
    </row>
    <row r="26" customFormat="false" ht="15" hidden="false" customHeight="true" outlineLevel="0" collapsed="false">
      <c r="B26" s="5" t="s">
        <v>295</v>
      </c>
      <c r="C26" s="24" t="n">
        <v>54.3636363636364</v>
      </c>
      <c r="D26" s="5" t="s">
        <v>296</v>
      </c>
      <c r="F26" s="22" t="s">
        <v>297</v>
      </c>
    </row>
    <row r="27" customFormat="false" ht="15" hidden="false" customHeight="true" outlineLevel="0" collapsed="false">
      <c r="B27" s="5" t="s">
        <v>298</v>
      </c>
      <c r="C27" s="24" t="n">
        <v>1209.04545454546</v>
      </c>
      <c r="D27" s="5" t="s">
        <v>283</v>
      </c>
      <c r="F27" s="22" t="s">
        <v>299</v>
      </c>
    </row>
    <row r="28" customFormat="false" ht="15" hidden="false" customHeight="true" outlineLevel="0" collapsed="false">
      <c r="B28" s="5" t="s">
        <v>300</v>
      </c>
      <c r="C28" s="24" t="n">
        <v>130782.663636364</v>
      </c>
      <c r="D28" s="5" t="s">
        <v>288</v>
      </c>
      <c r="F28" s="22" t="s">
        <v>301</v>
      </c>
    </row>
    <row r="31" customFormat="false" ht="15" hidden="false" customHeight="true" outlineLevel="0" collapsed="false">
      <c r="B31" s="4" t="s">
        <v>66</v>
      </c>
      <c r="C31" s="4"/>
      <c r="D31" s="4"/>
      <c r="E31" s="4"/>
      <c r="F31" s="4"/>
      <c r="G31" s="4"/>
    </row>
    <row r="32" customFormat="false" ht="15" hidden="false" customHeight="true" outlineLevel="0" collapsed="false">
      <c r="B32" s="3" t="s">
        <v>67</v>
      </c>
      <c r="C32" s="3"/>
      <c r="D32" s="3"/>
      <c r="E32" s="3"/>
      <c r="F32" s="3"/>
      <c r="G32" s="3"/>
    </row>
    <row r="33" customFormat="false" ht="15" hidden="false" customHeight="true" outlineLevel="0" collapsed="false">
      <c r="B33" s="3" t="s">
        <v>68</v>
      </c>
      <c r="C33" s="3"/>
      <c r="D33" s="3"/>
      <c r="E33" s="3"/>
      <c r="F33" s="3"/>
      <c r="G33" s="3"/>
    </row>
    <row r="34" customFormat="false" ht="15" hidden="false" customHeight="true" outlineLevel="0" collapsed="false">
      <c r="B34" s="3" t="s">
        <v>69</v>
      </c>
      <c r="C34" s="3"/>
      <c r="D34" s="3"/>
      <c r="E34" s="3"/>
      <c r="F34" s="3"/>
      <c r="G34" s="3"/>
    </row>
    <row r="35" customFormat="false" ht="15" hidden="false" customHeight="true" outlineLevel="0" collapsed="false">
      <c r="B35" s="3" t="s">
        <v>70</v>
      </c>
      <c r="C35" s="3"/>
      <c r="D35" s="3"/>
      <c r="E35" s="3"/>
      <c r="F35" s="3"/>
      <c r="G35" s="3"/>
    </row>
    <row r="36" customFormat="false" ht="15" hidden="false" customHeight="true" outlineLevel="0" collapsed="false">
      <c r="B36" s="3" t="s">
        <v>71</v>
      </c>
      <c r="C36" s="3"/>
      <c r="D36" s="3"/>
      <c r="E36" s="3"/>
      <c r="F36" s="3"/>
      <c r="G36" s="3"/>
    </row>
    <row r="37" customFormat="false" ht="15" hidden="false" customHeight="true" outlineLevel="0" collapsed="false">
      <c r="B37" s="3" t="s">
        <v>72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73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74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75</v>
      </c>
      <c r="C40" s="3"/>
      <c r="D40" s="3"/>
      <c r="E40" s="3"/>
      <c r="F40" s="3"/>
      <c r="G40" s="3"/>
    </row>
  </sheetData>
  <mergeCells count="13">
    <mergeCell ref="B2:G2"/>
    <mergeCell ref="B4:G4"/>
    <mergeCell ref="B19:G19"/>
    <mergeCell ref="B31:G31"/>
    <mergeCell ref="B32:G32"/>
    <mergeCell ref="B33:G33"/>
    <mergeCell ref="B34:G34"/>
    <mergeCell ref="B35:G35"/>
    <mergeCell ref="B36:G36"/>
    <mergeCell ref="B37:G37"/>
    <mergeCell ref="B38:G38"/>
    <mergeCell ref="B39:G39"/>
    <mergeCell ref="B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28"/>
    <col collapsed="false" customWidth="true" hidden="false" outlineLevel="0" max="7" min="4" style="1" width="14"/>
  </cols>
  <sheetData>
    <row r="2" customFormat="false" ht="19.5" hidden="false" customHeight="true" outlineLevel="0" collapsed="false">
      <c r="B2" s="2" t="s">
        <v>302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303</v>
      </c>
      <c r="C3" s="3"/>
      <c r="D3" s="3"/>
      <c r="E3" s="3"/>
      <c r="F3" s="3"/>
      <c r="G3" s="3"/>
    </row>
    <row r="5" customFormat="false" ht="15" hidden="false" customHeight="true" outlineLevel="0" collapsed="false">
      <c r="B5" s="4" t="s">
        <v>304</v>
      </c>
      <c r="C5" s="4"/>
      <c r="D5" s="4"/>
      <c r="E5" s="4"/>
      <c r="F5" s="4"/>
      <c r="G5" s="4"/>
    </row>
    <row r="6" customFormat="false" ht="15" hidden="false" customHeight="true" outlineLevel="0" collapsed="false">
      <c r="B6" s="10" t="s">
        <v>305</v>
      </c>
      <c r="C6" s="10" t="s">
        <v>306</v>
      </c>
      <c r="D6" s="10" t="s">
        <v>307</v>
      </c>
      <c r="E6" s="10" t="s">
        <v>308</v>
      </c>
      <c r="F6" s="10" t="s">
        <v>309</v>
      </c>
    </row>
    <row r="7" customFormat="false" ht="15" hidden="false" customHeight="true" outlineLevel="0" collapsed="false">
      <c r="B7" s="5" t="s">
        <v>310</v>
      </c>
      <c r="C7" s="5" t="s">
        <v>311</v>
      </c>
      <c r="D7" s="15" t="n">
        <v>22</v>
      </c>
      <c r="E7" s="12" t="n">
        <f aca="false">IF(194=0,0,D7/194)</f>
        <v>0.11340206185567</v>
      </c>
    </row>
    <row r="8" customFormat="false" ht="15" hidden="false" customHeight="true" outlineLevel="0" collapsed="false">
      <c r="B8" s="5" t="s">
        <v>312</v>
      </c>
      <c r="C8" s="5" t="s">
        <v>313</v>
      </c>
      <c r="D8" s="15" t="n">
        <v>33</v>
      </c>
      <c r="E8" s="12" t="n">
        <f aca="false">IF(194=0,0,D8/194)</f>
        <v>0.170103092783505</v>
      </c>
    </row>
    <row r="9" customFormat="false" ht="15" hidden="false" customHeight="true" outlineLevel="0" collapsed="false">
      <c r="B9" s="5" t="s">
        <v>314</v>
      </c>
      <c r="C9" s="5" t="s">
        <v>315</v>
      </c>
      <c r="D9" s="15" t="n">
        <v>14</v>
      </c>
      <c r="E9" s="12" t="n">
        <f aca="false">IF(194=0,0,D9/194)</f>
        <v>0.0721649484536082</v>
      </c>
    </row>
    <row r="10" customFormat="false" ht="15" hidden="false" customHeight="true" outlineLevel="0" collapsed="false">
      <c r="B10" s="5" t="s">
        <v>316</v>
      </c>
      <c r="C10" s="5" t="s">
        <v>317</v>
      </c>
      <c r="D10" s="15" t="n">
        <v>4</v>
      </c>
      <c r="E10" s="12" t="n">
        <f aca="false">IF(194=0,0,D10/194)</f>
        <v>0.0206185567010309</v>
      </c>
    </row>
    <row r="11" customFormat="false" ht="15" hidden="false" customHeight="true" outlineLevel="0" collapsed="false">
      <c r="B11" s="5" t="s">
        <v>318</v>
      </c>
      <c r="C11" s="5" t="s">
        <v>319</v>
      </c>
      <c r="D11" s="15" t="n">
        <v>12</v>
      </c>
      <c r="E11" s="12" t="n">
        <f aca="false">IF(194=0,0,D11/194)</f>
        <v>0.0618556701030928</v>
      </c>
    </row>
    <row r="12" customFormat="false" ht="15" hidden="false" customHeight="true" outlineLevel="0" collapsed="false">
      <c r="B12" s="5" t="s">
        <v>320</v>
      </c>
      <c r="C12" s="5" t="s">
        <v>321</v>
      </c>
      <c r="D12" s="15" t="n">
        <v>109</v>
      </c>
      <c r="E12" s="12" t="n">
        <f aca="false">IF(194=0,0,D12/194)</f>
        <v>0.561855670103093</v>
      </c>
    </row>
    <row r="13" customFormat="false" ht="15" hidden="false" customHeight="true" outlineLevel="0" collapsed="false">
      <c r="B13" s="6" t="s">
        <v>38</v>
      </c>
      <c r="D13" s="16" t="n">
        <f aca="false">SUM(D7:D12)</f>
        <v>194</v>
      </c>
      <c r="E13" s="14" t="n">
        <v>1</v>
      </c>
      <c r="F13" s="13" t="n">
        <v>660548.93</v>
      </c>
    </row>
    <row r="16" customFormat="false" ht="15" hidden="false" customHeight="true" outlineLevel="0" collapsed="false">
      <c r="B16" s="4" t="s">
        <v>322</v>
      </c>
      <c r="C16" s="4"/>
      <c r="D16" s="4"/>
      <c r="E16" s="4"/>
      <c r="F16" s="4"/>
      <c r="G16" s="4"/>
    </row>
    <row r="17" customFormat="false" ht="15" hidden="false" customHeight="true" outlineLevel="0" collapsed="false">
      <c r="B17" s="10" t="s">
        <v>150</v>
      </c>
      <c r="C17" s="10" t="s">
        <v>307</v>
      </c>
      <c r="D17" s="10" t="s">
        <v>308</v>
      </c>
    </row>
    <row r="18" customFormat="false" ht="15" hidden="false" customHeight="true" outlineLevel="0" collapsed="false">
      <c r="B18" s="5" t="s">
        <v>323</v>
      </c>
      <c r="C18" s="15" t="n">
        <v>69</v>
      </c>
      <c r="D18" s="12" t="n">
        <f aca="false">IF(194=0,0,C18/194)</f>
        <v>0.355670103092784</v>
      </c>
    </row>
    <row r="19" customFormat="false" ht="15" hidden="false" customHeight="true" outlineLevel="0" collapsed="false">
      <c r="B19" s="5" t="s">
        <v>324</v>
      </c>
      <c r="C19" s="15" t="n">
        <v>46</v>
      </c>
      <c r="D19" s="12" t="n">
        <f aca="false">IF(194=0,0,C19/194)</f>
        <v>0.237113402061856</v>
      </c>
    </row>
    <row r="20" customFormat="false" ht="15" hidden="false" customHeight="true" outlineLevel="0" collapsed="false">
      <c r="B20" s="5" t="s">
        <v>325</v>
      </c>
      <c r="C20" s="15" t="n">
        <v>41</v>
      </c>
      <c r="D20" s="12" t="n">
        <f aca="false">IF(194=0,0,C20/194)</f>
        <v>0.211340206185567</v>
      </c>
    </row>
    <row r="21" customFormat="false" ht="15" hidden="false" customHeight="true" outlineLevel="0" collapsed="false">
      <c r="B21" s="5" t="s">
        <v>320</v>
      </c>
      <c r="C21" s="15" t="n">
        <v>16</v>
      </c>
      <c r="D21" s="12" t="n">
        <f aca="false">IF(194=0,0,C21/194)</f>
        <v>0.0824742268041237</v>
      </c>
    </row>
    <row r="22" customFormat="false" ht="15" hidden="false" customHeight="true" outlineLevel="0" collapsed="false">
      <c r="B22" s="5" t="s">
        <v>326</v>
      </c>
      <c r="C22" s="15" t="n">
        <v>16</v>
      </c>
      <c r="D22" s="12" t="n">
        <f aca="false">IF(194=0,0,C22/194)</f>
        <v>0.0824742268041237</v>
      </c>
    </row>
    <row r="23" customFormat="false" ht="15" hidden="false" customHeight="true" outlineLevel="0" collapsed="false">
      <c r="B23" s="5" t="s">
        <v>327</v>
      </c>
      <c r="C23" s="15" t="n">
        <v>3</v>
      </c>
      <c r="D23" s="12" t="n">
        <f aca="false">IF(194=0,0,C23/194)</f>
        <v>0.0154639175257732</v>
      </c>
    </row>
    <row r="24" customFormat="false" ht="15" hidden="false" customHeight="true" outlineLevel="0" collapsed="false">
      <c r="B24" s="5" t="s">
        <v>328</v>
      </c>
      <c r="C24" s="15" t="n">
        <v>2</v>
      </c>
      <c r="D24" s="12" t="n">
        <f aca="false">IF(194=0,0,C24/194)</f>
        <v>0.0103092783505155</v>
      </c>
    </row>
    <row r="25" customFormat="false" ht="15" hidden="false" customHeight="true" outlineLevel="0" collapsed="false">
      <c r="B25" s="5" t="s">
        <v>329</v>
      </c>
      <c r="C25" s="15" t="n">
        <v>1</v>
      </c>
      <c r="D25" s="12" t="n">
        <f aca="false">IF(194=0,0,C25/194)</f>
        <v>0.00515463917525773</v>
      </c>
    </row>
    <row r="28" customFormat="false" ht="15" hidden="false" customHeight="true" outlineLevel="0" collapsed="false">
      <c r="B28" s="4" t="s">
        <v>330</v>
      </c>
      <c r="C28" s="4"/>
      <c r="D28" s="4"/>
      <c r="E28" s="4"/>
      <c r="F28" s="4"/>
      <c r="G28" s="4"/>
    </row>
    <row r="29" customFormat="false" ht="15" hidden="false" customHeight="true" outlineLevel="0" collapsed="false">
      <c r="B29" s="5" t="s">
        <v>331</v>
      </c>
      <c r="E29" s="11" t="n">
        <v>660548.93</v>
      </c>
    </row>
    <row r="30" customFormat="false" ht="15" hidden="false" customHeight="true" outlineLevel="0" collapsed="false">
      <c r="B30" s="5" t="s">
        <v>332</v>
      </c>
      <c r="E30" s="15" t="n">
        <v>194</v>
      </c>
    </row>
    <row r="31" customFormat="false" ht="15" hidden="false" customHeight="true" outlineLevel="0" collapsed="false">
      <c r="B31" s="22" t="s">
        <v>333</v>
      </c>
    </row>
    <row r="34" customFormat="false" ht="15" hidden="false" customHeight="true" outlineLevel="0" collapsed="false">
      <c r="B34" s="4" t="s">
        <v>66</v>
      </c>
      <c r="C34" s="4"/>
      <c r="D34" s="4"/>
      <c r="E34" s="4"/>
      <c r="F34" s="4"/>
      <c r="G34" s="4"/>
    </row>
    <row r="35" customFormat="false" ht="15" hidden="false" customHeight="true" outlineLevel="0" collapsed="false">
      <c r="B35" s="3" t="s">
        <v>67</v>
      </c>
      <c r="C35" s="3"/>
      <c r="D35" s="3"/>
      <c r="E35" s="3"/>
      <c r="F35" s="3"/>
      <c r="G35" s="3"/>
    </row>
    <row r="36" customFormat="false" ht="15" hidden="false" customHeight="true" outlineLevel="0" collapsed="false">
      <c r="B36" s="3" t="s">
        <v>68</v>
      </c>
      <c r="C36" s="3"/>
      <c r="D36" s="3"/>
      <c r="E36" s="3"/>
      <c r="F36" s="3"/>
      <c r="G36" s="3"/>
    </row>
    <row r="37" customFormat="false" ht="15" hidden="false" customHeight="true" outlineLevel="0" collapsed="false">
      <c r="B37" s="3" t="s">
        <v>69</v>
      </c>
      <c r="C37" s="3"/>
      <c r="D37" s="3"/>
      <c r="E37" s="3"/>
      <c r="F37" s="3"/>
      <c r="G37" s="3"/>
    </row>
    <row r="38" customFormat="false" ht="15" hidden="false" customHeight="true" outlineLevel="0" collapsed="false">
      <c r="B38" s="3" t="s">
        <v>70</v>
      </c>
      <c r="C38" s="3"/>
      <c r="D38" s="3"/>
      <c r="E38" s="3"/>
      <c r="F38" s="3"/>
      <c r="G38" s="3"/>
    </row>
    <row r="39" customFormat="false" ht="15" hidden="false" customHeight="true" outlineLevel="0" collapsed="false">
      <c r="B39" s="3" t="s">
        <v>71</v>
      </c>
      <c r="C39" s="3"/>
      <c r="D39" s="3"/>
      <c r="E39" s="3"/>
      <c r="F39" s="3"/>
      <c r="G39" s="3"/>
    </row>
    <row r="40" customFormat="false" ht="15" hidden="false" customHeight="true" outlineLevel="0" collapsed="false">
      <c r="B40" s="3" t="s">
        <v>72</v>
      </c>
      <c r="C40" s="3"/>
      <c r="D40" s="3"/>
      <c r="E40" s="3"/>
      <c r="F40" s="3"/>
      <c r="G40" s="3"/>
    </row>
    <row r="41" customFormat="false" ht="15" hidden="false" customHeight="true" outlineLevel="0" collapsed="false">
      <c r="B41" s="3" t="s">
        <v>73</v>
      </c>
      <c r="C41" s="3"/>
      <c r="D41" s="3"/>
      <c r="E41" s="3"/>
      <c r="F41" s="3"/>
      <c r="G41" s="3"/>
    </row>
    <row r="42" customFormat="false" ht="15" hidden="false" customHeight="true" outlineLevel="0" collapsed="false">
      <c r="B42" s="3" t="s">
        <v>74</v>
      </c>
      <c r="C42" s="3"/>
      <c r="D42" s="3"/>
      <c r="E42" s="3"/>
      <c r="F42" s="3"/>
      <c r="G42" s="3"/>
    </row>
    <row r="43" customFormat="false" ht="15" hidden="false" customHeight="true" outlineLevel="0" collapsed="false">
      <c r="B43" s="3" t="s">
        <v>75</v>
      </c>
      <c r="C43" s="3"/>
      <c r="D43" s="3"/>
      <c r="E43" s="3"/>
      <c r="F43" s="3"/>
      <c r="G43" s="3"/>
    </row>
    <row r="44" customFormat="false" ht="15" hidden="false" customHeight="true" outlineLevel="0" collapsed="false">
      <c r="B44" s="3" t="s">
        <v>334</v>
      </c>
      <c r="C44" s="3"/>
      <c r="D44" s="3"/>
      <c r="E44" s="3"/>
      <c r="F44" s="3"/>
      <c r="G44" s="3"/>
    </row>
    <row r="45" customFormat="false" ht="15" hidden="false" customHeight="true" outlineLevel="0" collapsed="false">
      <c r="B45" s="3" t="s">
        <v>335</v>
      </c>
      <c r="C45" s="3"/>
      <c r="D45" s="3"/>
      <c r="E45" s="3"/>
      <c r="F45" s="3"/>
      <c r="G45" s="3"/>
    </row>
  </sheetData>
  <mergeCells count="17">
    <mergeCell ref="B2:G2"/>
    <mergeCell ref="B3:G3"/>
    <mergeCell ref="B5:G5"/>
    <mergeCell ref="B16:G16"/>
    <mergeCell ref="B28:G28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8" min="3" style="1" width="14"/>
  </cols>
  <sheetData>
    <row r="2" customFormat="false" ht="19.5" hidden="false" customHeight="true" outlineLevel="0" collapsed="false">
      <c r="B2" s="2" t="s">
        <v>336</v>
      </c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337</v>
      </c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B5" s="4" t="s">
        <v>338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B6" s="5" t="s">
        <v>339</v>
      </c>
      <c r="G6" s="11" t="n">
        <v>2721210</v>
      </c>
    </row>
    <row r="7" customFormat="false" ht="15" hidden="false" customHeight="true" outlineLevel="0" collapsed="false">
      <c r="B7" s="5" t="s">
        <v>340</v>
      </c>
      <c r="G7" s="11" t="n">
        <v>156009</v>
      </c>
    </row>
    <row r="8" customFormat="false" ht="15" hidden="false" customHeight="true" outlineLevel="0" collapsed="false">
      <c r="B8" s="5" t="s">
        <v>341</v>
      </c>
      <c r="G8" s="11" t="n">
        <v>2877219</v>
      </c>
    </row>
    <row r="9" customFormat="false" ht="15" hidden="false" customHeight="true" outlineLevel="0" collapsed="false">
      <c r="B9" s="5" t="s">
        <v>342</v>
      </c>
      <c r="G9" s="11" t="n">
        <v>143861</v>
      </c>
    </row>
    <row r="10" customFormat="false" ht="15" hidden="false" customHeight="true" outlineLevel="0" collapsed="false">
      <c r="B10" s="5" t="s">
        <v>343</v>
      </c>
      <c r="G10" s="11" t="n">
        <v>2733358</v>
      </c>
    </row>
    <row r="12" customFormat="false" ht="15" hidden="false" customHeight="true" outlineLevel="0" collapsed="false">
      <c r="B12" s="4" t="s">
        <v>344</v>
      </c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B13" s="10" t="s">
        <v>345</v>
      </c>
      <c r="C13" s="10" t="s">
        <v>346</v>
      </c>
      <c r="D13" s="10" t="s">
        <v>347</v>
      </c>
      <c r="E13" s="10" t="s">
        <v>348</v>
      </c>
      <c r="F13" s="10" t="s">
        <v>349</v>
      </c>
      <c r="G13" s="10" t="s">
        <v>350</v>
      </c>
      <c r="H13" s="10" t="s">
        <v>351</v>
      </c>
    </row>
    <row r="14" customFormat="false" ht="15" hidden="false" customHeight="true" outlineLevel="0" collapsed="false">
      <c r="B14" s="5" t="n">
        <v>1</v>
      </c>
      <c r="C14" s="5" t="s">
        <v>352</v>
      </c>
      <c r="D14" s="11" t="n">
        <v>80750</v>
      </c>
      <c r="E14" s="11" t="n">
        <v>4037.5</v>
      </c>
      <c r="F14" s="11" t="n">
        <f aca="false">D14-E14</f>
        <v>76712.5</v>
      </c>
      <c r="G14" s="11" t="n">
        <v>76712.5</v>
      </c>
      <c r="H14" s="12" t="n">
        <f aca="false">IF(2877218.6=0,0,G14/2877218.6)</f>
        <v>0.0266620339518172</v>
      </c>
    </row>
    <row r="15" customFormat="false" ht="15" hidden="false" customHeight="true" outlineLevel="0" collapsed="false">
      <c r="B15" s="5" t="n">
        <v>2</v>
      </c>
      <c r="C15" s="5" t="s">
        <v>353</v>
      </c>
      <c r="D15" s="11" t="n">
        <v>68250</v>
      </c>
      <c r="E15" s="11" t="n">
        <v>3412.5</v>
      </c>
      <c r="F15" s="11" t="n">
        <f aca="false">D15-E15</f>
        <v>64837.5</v>
      </c>
      <c r="G15" s="11" t="n">
        <v>141550</v>
      </c>
      <c r="H15" s="12" t="n">
        <f aca="false">IF(2877218.6=0,0,G15/2877218.6)</f>
        <v>0.0491968180658918</v>
      </c>
    </row>
    <row r="16" customFormat="false" ht="15" hidden="false" customHeight="true" outlineLevel="0" collapsed="false">
      <c r="B16" s="5" t="n">
        <v>3</v>
      </c>
      <c r="C16" s="5" t="s">
        <v>354</v>
      </c>
      <c r="D16" s="11" t="n">
        <v>66400</v>
      </c>
      <c r="E16" s="11" t="n">
        <v>3320</v>
      </c>
      <c r="F16" s="11" t="n">
        <f aca="false">D16-E16</f>
        <v>63080</v>
      </c>
      <c r="G16" s="11" t="n">
        <v>204630</v>
      </c>
      <c r="H16" s="12" t="n">
        <f aca="false">IF(2877218.6=0,0,G16/2877218.6)</f>
        <v>0.0711207692039805</v>
      </c>
    </row>
    <row r="17" customFormat="false" ht="15" hidden="false" customHeight="true" outlineLevel="0" collapsed="false">
      <c r="B17" s="5" t="n">
        <v>4</v>
      </c>
      <c r="C17" s="5" t="s">
        <v>355</v>
      </c>
      <c r="D17" s="11" t="n">
        <v>14800</v>
      </c>
      <c r="E17" s="11" t="n">
        <v>740</v>
      </c>
      <c r="F17" s="11" t="n">
        <f aca="false">D17-E17</f>
        <v>14060</v>
      </c>
      <c r="G17" s="11" t="n">
        <v>218690</v>
      </c>
      <c r="H17" s="12" t="n">
        <f aca="false">IF(2877218.6=0,0,G17/2877218.6)</f>
        <v>0.0760074330118678</v>
      </c>
    </row>
    <row r="18" customFormat="false" ht="15" hidden="false" customHeight="true" outlineLevel="0" collapsed="false">
      <c r="B18" s="5" t="n">
        <v>5</v>
      </c>
      <c r="C18" s="5" t="s">
        <v>356</v>
      </c>
      <c r="D18" s="11" t="n">
        <v>25583</v>
      </c>
      <c r="E18" s="11" t="n">
        <v>1279.15</v>
      </c>
      <c r="F18" s="11" t="n">
        <f aca="false">D18-E18</f>
        <v>24303.85</v>
      </c>
      <c r="G18" s="11" t="n">
        <v>242993.85</v>
      </c>
      <c r="H18" s="12" t="n">
        <f aca="false">IF(2877218.6=0,0,G18/2877218.6)</f>
        <v>0.0844544276197853</v>
      </c>
    </row>
    <row r="19" customFormat="false" ht="15" hidden="false" customHeight="true" outlineLevel="0" collapsed="false">
      <c r="B19" s="5" t="n">
        <v>6</v>
      </c>
      <c r="C19" s="5" t="s">
        <v>357</v>
      </c>
      <c r="D19" s="11" t="n">
        <v>71858</v>
      </c>
      <c r="E19" s="11" t="n">
        <v>3592.9</v>
      </c>
      <c r="F19" s="11" t="n">
        <f aca="false">D19-E19</f>
        <v>68265.1</v>
      </c>
      <c r="G19" s="11" t="n">
        <v>311258.95</v>
      </c>
      <c r="H19" s="12" t="n">
        <f aca="false">IF(2877218.6=0,0,G19/2877218.6)</f>
        <v>0.108180501127026</v>
      </c>
    </row>
    <row r="20" customFormat="false" ht="15" hidden="false" customHeight="true" outlineLevel="0" collapsed="false">
      <c r="B20" s="5" t="n">
        <v>7</v>
      </c>
      <c r="C20" s="5" t="s">
        <v>358</v>
      </c>
      <c r="D20" s="11" t="n">
        <v>83700</v>
      </c>
      <c r="E20" s="11" t="n">
        <v>4185</v>
      </c>
      <c r="F20" s="11" t="n">
        <f aca="false">D20-E20</f>
        <v>79515</v>
      </c>
      <c r="G20" s="11" t="n">
        <v>390773.95</v>
      </c>
      <c r="H20" s="12" t="n">
        <f aca="false">IF(2877218.6=0,0,G20/2877218.6)</f>
        <v>0.13581656604055</v>
      </c>
    </row>
    <row r="21" customFormat="false" ht="15" hidden="false" customHeight="true" outlineLevel="0" collapsed="false">
      <c r="B21" s="5" t="n">
        <v>8</v>
      </c>
      <c r="C21" s="5" t="s">
        <v>359</v>
      </c>
      <c r="D21" s="11" t="n">
        <v>251140</v>
      </c>
      <c r="E21" s="11" t="n">
        <v>12557</v>
      </c>
      <c r="F21" s="11" t="n">
        <f aca="false">D21-E21</f>
        <v>238583</v>
      </c>
      <c r="G21" s="11" t="n">
        <v>629356.95</v>
      </c>
      <c r="H21" s="12" t="n">
        <f aca="false">IF(2877218.6=0,0,G21/2877218.6)</f>
        <v>0.218737967980605</v>
      </c>
    </row>
    <row r="22" customFormat="false" ht="15" hidden="false" customHeight="true" outlineLevel="0" collapsed="false">
      <c r="B22" s="5" t="n">
        <v>9</v>
      </c>
      <c r="C22" s="5" t="s">
        <v>360</v>
      </c>
      <c r="D22" s="11" t="n">
        <v>378861</v>
      </c>
      <c r="E22" s="11" t="n">
        <v>18943.05</v>
      </c>
      <c r="F22" s="11" t="n">
        <f aca="false">D22-E22</f>
        <v>359917.95</v>
      </c>
      <c r="G22" s="11" t="n">
        <v>989274.9</v>
      </c>
      <c r="H22" s="12" t="n">
        <f aca="false">IF(2877218.6=0,0,G22/2877218.6)</f>
        <v>0.343830288042765</v>
      </c>
    </row>
    <row r="23" customFormat="false" ht="15" hidden="false" customHeight="true" outlineLevel="0" collapsed="false">
      <c r="B23" s="5" t="n">
        <v>10</v>
      </c>
      <c r="C23" s="5" t="s">
        <v>361</v>
      </c>
      <c r="D23" s="11" t="n">
        <v>513990</v>
      </c>
      <c r="E23" s="11" t="n">
        <v>25699.5</v>
      </c>
      <c r="F23" s="11" t="n">
        <f aca="false">D23-E23</f>
        <v>488290.5</v>
      </c>
      <c r="G23" s="11" t="n">
        <v>1477565.4</v>
      </c>
      <c r="H23" s="12" t="n">
        <f aca="false">IF(2877218.6=0,0,G23/2877218.6)</f>
        <v>0.51353949957087</v>
      </c>
    </row>
    <row r="24" customFormat="false" ht="15" hidden="false" customHeight="true" outlineLevel="0" collapsed="false">
      <c r="B24" s="5" t="n">
        <v>11</v>
      </c>
      <c r="C24" s="5" t="s">
        <v>362</v>
      </c>
      <c r="D24" s="11" t="n">
        <v>344920</v>
      </c>
      <c r="E24" s="11" t="n">
        <v>17246</v>
      </c>
      <c r="F24" s="11" t="n">
        <f aca="false">D24-E24</f>
        <v>327674</v>
      </c>
      <c r="G24" s="11" t="n">
        <v>1805239.4</v>
      </c>
      <c r="H24" s="12" t="n">
        <f aca="false">IF(2877218.6=0,0,G24/2877218.6)</f>
        <v>0.627425180693605</v>
      </c>
    </row>
    <row r="25" customFormat="false" ht="15" hidden="false" customHeight="true" outlineLevel="0" collapsed="false">
      <c r="B25" s="5" t="n">
        <v>12</v>
      </c>
      <c r="C25" s="5" t="s">
        <v>363</v>
      </c>
      <c r="D25" s="11" t="n">
        <v>458370</v>
      </c>
      <c r="E25" s="11" t="n">
        <v>22918.5</v>
      </c>
      <c r="F25" s="11" t="n">
        <f aca="false">D25-E25</f>
        <v>435451.5</v>
      </c>
      <c r="G25" s="11" t="n">
        <v>2240690.9</v>
      </c>
      <c r="H25" s="12" t="n">
        <f aca="false">IF(2877218.6=0,0,G25/2877218.6)</f>
        <v>0.778769781343691</v>
      </c>
    </row>
    <row r="26" customFormat="false" ht="15" hidden="false" customHeight="true" outlineLevel="0" collapsed="false">
      <c r="B26" s="5" t="n">
        <v>13</v>
      </c>
      <c r="C26" s="5" t="s">
        <v>364</v>
      </c>
      <c r="D26" s="11" t="n">
        <v>134559</v>
      </c>
      <c r="E26" s="11" t="n">
        <v>6727.95</v>
      </c>
      <c r="F26" s="11" t="n">
        <f aca="false">D26-E26</f>
        <v>127831.05</v>
      </c>
      <c r="G26" s="11" t="n">
        <v>2368521.95</v>
      </c>
      <c r="H26" s="12" t="n">
        <f aca="false">IF(2877218.6=0,0,G26/2877218.6)</f>
        <v>0.823198470217035</v>
      </c>
    </row>
    <row r="27" customFormat="false" ht="15" hidden="false" customHeight="true" outlineLevel="0" collapsed="false">
      <c r="B27" s="5" t="n">
        <v>14</v>
      </c>
      <c r="C27" s="5" t="s">
        <v>365</v>
      </c>
      <c r="D27" s="11" t="n">
        <v>83557</v>
      </c>
      <c r="E27" s="11" t="n">
        <v>4177.85</v>
      </c>
      <c r="F27" s="11" t="n">
        <f aca="false">D27-E27</f>
        <v>79379.15</v>
      </c>
      <c r="G27" s="11" t="n">
        <v>2447901.1</v>
      </c>
      <c r="H27" s="12" t="n">
        <f aca="false">IF(2877218.6=0,0,G27/2877218.6)</f>
        <v>0.850787319392416</v>
      </c>
    </row>
    <row r="28" customFormat="false" ht="15" hidden="false" customHeight="true" outlineLevel="0" collapsed="false">
      <c r="B28" s="5" t="n">
        <v>15</v>
      </c>
      <c r="C28" s="5" t="s">
        <v>366</v>
      </c>
      <c r="D28" s="11" t="n">
        <v>50811.6</v>
      </c>
      <c r="E28" s="11" t="n">
        <v>2540.58</v>
      </c>
      <c r="F28" s="11" t="n">
        <f aca="false">D28-E28</f>
        <v>48271.02</v>
      </c>
      <c r="G28" s="11" t="n">
        <v>2496172.12</v>
      </c>
      <c r="H28" s="12" t="n">
        <f aca="false">IF(2877218.6=0,0,G28/2877218.6)</f>
        <v>0.867564292820851</v>
      </c>
    </row>
    <row r="29" customFormat="false" ht="15" hidden="false" customHeight="true" outlineLevel="0" collapsed="false">
      <c r="B29" s="5" t="n">
        <v>16</v>
      </c>
      <c r="C29" s="5" t="s">
        <v>367</v>
      </c>
      <c r="D29" s="11" t="n">
        <v>77330</v>
      </c>
      <c r="E29" s="11" t="n">
        <v>3866.5</v>
      </c>
      <c r="F29" s="11" t="n">
        <f aca="false">D29-E29</f>
        <v>73463.5</v>
      </c>
      <c r="G29" s="11" t="n">
        <v>2569635.62</v>
      </c>
      <c r="H29" s="12" t="n">
        <f aca="false">IF(2877218.6=0,0,G29/2877218.6)</f>
        <v>0.893097111217062</v>
      </c>
    </row>
    <row r="30" customFormat="false" ht="15" hidden="false" customHeight="true" outlineLevel="0" collapsed="false">
      <c r="B30" s="5" t="n">
        <v>17</v>
      </c>
      <c r="C30" s="5" t="s">
        <v>368</v>
      </c>
      <c r="D30" s="11" t="n">
        <v>107419</v>
      </c>
      <c r="E30" s="11" t="n">
        <v>5370.95</v>
      </c>
      <c r="F30" s="11" t="n">
        <f aca="false">D30-E30</f>
        <v>102048.05</v>
      </c>
      <c r="G30" s="11" t="n">
        <v>2671683.67</v>
      </c>
      <c r="H30" s="12" t="n">
        <f aca="false">IF(2877218.6=0,0,G30/2877218.6)</f>
        <v>0.9285647152427</v>
      </c>
    </row>
    <row r="31" customFormat="false" ht="15" hidden="false" customHeight="true" outlineLevel="0" collapsed="false">
      <c r="B31" s="5" t="n">
        <v>18</v>
      </c>
      <c r="C31" s="5" t="s">
        <v>369</v>
      </c>
      <c r="D31" s="11" t="n">
        <v>19220</v>
      </c>
      <c r="E31" s="11" t="n">
        <v>961</v>
      </c>
      <c r="F31" s="11" t="n">
        <f aca="false">D31-E31</f>
        <v>18259</v>
      </c>
      <c r="G31" s="11" t="n">
        <v>2689942.67</v>
      </c>
      <c r="H31" s="12" t="n">
        <f aca="false">IF(2877218.6=0,0,G31/2877218.6)</f>
        <v>0.934910774593213</v>
      </c>
    </row>
    <row r="32" customFormat="false" ht="15" hidden="false" customHeight="true" outlineLevel="0" collapsed="false">
      <c r="B32" s="5" t="n">
        <v>19</v>
      </c>
      <c r="C32" s="5" t="s">
        <v>370</v>
      </c>
      <c r="D32" s="11" t="n">
        <v>28401</v>
      </c>
      <c r="E32" s="11" t="n">
        <v>1420.05</v>
      </c>
      <c r="F32" s="11" t="n">
        <f aca="false">D32-E32</f>
        <v>26980.95</v>
      </c>
      <c r="G32" s="11" t="n">
        <v>2716923.62</v>
      </c>
      <c r="H32" s="12" t="n">
        <f aca="false">IF(2877218.6=0,0,G32/2877218.6)</f>
        <v>0.944288216404551</v>
      </c>
    </row>
    <row r="33" customFormat="false" ht="15" hidden="false" customHeight="true" outlineLevel="0" collapsed="false">
      <c r="B33" s="5" t="n">
        <v>20</v>
      </c>
      <c r="C33" s="5" t="s">
        <v>371</v>
      </c>
      <c r="D33" s="11" t="n">
        <v>17299</v>
      </c>
      <c r="E33" s="11" t="n">
        <v>864.95</v>
      </c>
      <c r="F33" s="11" t="n">
        <f aca="false">D33-E33</f>
        <v>16434.05</v>
      </c>
      <c r="G33" s="11" t="n">
        <v>2733357.67</v>
      </c>
      <c r="H33" s="12" t="n">
        <f aca="false">IF(2877218.6=0,0,G33/2877218.6)</f>
        <v>0.95</v>
      </c>
    </row>
    <row r="35" customFormat="false" ht="15" hidden="false" customHeight="true" outlineLevel="0" collapsed="false">
      <c r="B35" s="4" t="s">
        <v>372</v>
      </c>
      <c r="C35" s="4"/>
      <c r="D35" s="4"/>
      <c r="E35" s="4"/>
      <c r="F35" s="4"/>
      <c r="G35" s="4"/>
      <c r="H35" s="4"/>
    </row>
    <row r="36" customFormat="false" ht="15" hidden="false" customHeight="true" outlineLevel="0" collapsed="false">
      <c r="B36" s="10" t="s">
        <v>40</v>
      </c>
      <c r="C36" s="10" t="s">
        <v>373</v>
      </c>
      <c r="D36" s="10" t="s">
        <v>374</v>
      </c>
      <c r="E36" s="10" t="s">
        <v>375</v>
      </c>
      <c r="F36" s="10" t="s">
        <v>376</v>
      </c>
    </row>
    <row r="37" customFormat="false" ht="15" hidden="false" customHeight="true" outlineLevel="0" collapsed="false">
      <c r="B37" s="5" t="s">
        <v>341</v>
      </c>
      <c r="C37" s="11" t="n">
        <v>2877218.6</v>
      </c>
      <c r="D37" s="11" t="n">
        <v>2877219</v>
      </c>
      <c r="E37" s="11" t="n">
        <f aca="false">C37-D37</f>
        <v>-0.399999999906868</v>
      </c>
      <c r="F37" s="6" t="str">
        <f aca="false">IF(ABS(E37)&lt;=1,"TIES",IF(ABS(E37)&lt;=ABS(D37)*0.05,"WITHIN","OFF"))</f>
        <v>TIES</v>
      </c>
    </row>
    <row r="38" customFormat="false" ht="15" hidden="false" customHeight="true" outlineLevel="0" collapsed="false">
      <c r="B38" s="5" t="s">
        <v>377</v>
      </c>
      <c r="C38" s="11" t="n">
        <v>143861</v>
      </c>
      <c r="D38" s="11" t="n">
        <v>143861</v>
      </c>
      <c r="E38" s="11" t="n">
        <f aca="false">C38-D38</f>
        <v>0</v>
      </c>
      <c r="F38" s="6" t="str">
        <f aca="false">IF(ABS(E38)&lt;=1,"TIES",IF(ABS(E38)&lt;=ABS(D38)*0.05,"WITHIN","OFF"))</f>
        <v>TIES</v>
      </c>
    </row>
    <row r="39" customFormat="false" ht="15" hidden="false" customHeight="true" outlineLevel="0" collapsed="false">
      <c r="B39" s="5" t="s">
        <v>133</v>
      </c>
      <c r="C39" s="11" t="n">
        <v>1524058.73</v>
      </c>
      <c r="D39" s="11" t="n">
        <v>1524058.73</v>
      </c>
      <c r="E39" s="11" t="n">
        <f aca="false">C39-D39</f>
        <v>0</v>
      </c>
      <c r="F39" s="6" t="str">
        <f aca="false">IF(ABS(E39)&lt;=1,"TIES",IF(ABS(E39)&lt;=ABS(D39)*0.05,"WITHIN","OFF"))</f>
        <v>TIES</v>
      </c>
    </row>
    <row r="43" customFormat="false" ht="15" hidden="false" customHeight="true" outlineLevel="0" collapsed="false">
      <c r="B43" s="4" t="s">
        <v>66</v>
      </c>
      <c r="C43" s="4"/>
      <c r="D43" s="4"/>
      <c r="E43" s="4"/>
      <c r="F43" s="4"/>
      <c r="G43" s="4"/>
      <c r="H43" s="4"/>
    </row>
    <row r="44" customFormat="false" ht="15" hidden="false" customHeight="true" outlineLevel="0" collapsed="false">
      <c r="B44" s="3" t="s">
        <v>67</v>
      </c>
      <c r="C44" s="3"/>
      <c r="D44" s="3"/>
      <c r="E44" s="3"/>
      <c r="F44" s="3"/>
      <c r="G44" s="3"/>
      <c r="H44" s="3"/>
    </row>
    <row r="45" customFormat="false" ht="15" hidden="false" customHeight="true" outlineLevel="0" collapsed="false">
      <c r="B45" s="3" t="s">
        <v>68</v>
      </c>
      <c r="C45" s="3"/>
      <c r="D45" s="3"/>
      <c r="E45" s="3"/>
      <c r="F45" s="3"/>
      <c r="G45" s="3"/>
      <c r="H45" s="3"/>
    </row>
    <row r="46" customFormat="false" ht="15" hidden="false" customHeight="true" outlineLevel="0" collapsed="false">
      <c r="B46" s="3" t="s">
        <v>69</v>
      </c>
      <c r="C46" s="3"/>
      <c r="D46" s="3"/>
      <c r="E46" s="3"/>
      <c r="F46" s="3"/>
      <c r="G46" s="3"/>
      <c r="H46" s="3"/>
    </row>
    <row r="47" customFormat="false" ht="15" hidden="false" customHeight="true" outlineLevel="0" collapsed="false">
      <c r="B47" s="3" t="s">
        <v>70</v>
      </c>
      <c r="C47" s="3"/>
      <c r="D47" s="3"/>
      <c r="E47" s="3"/>
      <c r="F47" s="3"/>
      <c r="G47" s="3"/>
      <c r="H47" s="3"/>
    </row>
    <row r="48" customFormat="false" ht="15" hidden="false" customHeight="true" outlineLevel="0" collapsed="false">
      <c r="B48" s="3" t="s">
        <v>71</v>
      </c>
      <c r="C48" s="3"/>
      <c r="D48" s="3"/>
      <c r="E48" s="3"/>
      <c r="F48" s="3"/>
      <c r="G48" s="3"/>
      <c r="H48" s="3"/>
    </row>
    <row r="49" customFormat="false" ht="15" hidden="false" customHeight="true" outlineLevel="0" collapsed="false">
      <c r="B49" s="3" t="s">
        <v>72</v>
      </c>
      <c r="C49" s="3"/>
      <c r="D49" s="3"/>
      <c r="E49" s="3"/>
      <c r="F49" s="3"/>
      <c r="G49" s="3"/>
      <c r="H49" s="3"/>
    </row>
    <row r="50" customFormat="false" ht="15" hidden="false" customHeight="true" outlineLevel="0" collapsed="false">
      <c r="B50" s="3" t="s">
        <v>73</v>
      </c>
      <c r="C50" s="3"/>
      <c r="D50" s="3"/>
      <c r="E50" s="3"/>
      <c r="F50" s="3"/>
      <c r="G50" s="3"/>
      <c r="H50" s="3"/>
    </row>
    <row r="51" customFormat="false" ht="15" hidden="false" customHeight="true" outlineLevel="0" collapsed="false">
      <c r="B51" s="3" t="s">
        <v>74</v>
      </c>
      <c r="C51" s="3"/>
      <c r="D51" s="3"/>
      <c r="E51" s="3"/>
      <c r="F51" s="3"/>
      <c r="G51" s="3"/>
      <c r="H51" s="3"/>
    </row>
    <row r="52" customFormat="false" ht="15" hidden="false" customHeight="true" outlineLevel="0" collapsed="false">
      <c r="B52" s="3" t="s">
        <v>75</v>
      </c>
      <c r="C52" s="3"/>
      <c r="D52" s="3"/>
      <c r="E52" s="3"/>
      <c r="F52" s="3"/>
      <c r="G52" s="3"/>
      <c r="H52" s="3"/>
    </row>
  </sheetData>
  <mergeCells count="15">
    <mergeCell ref="B2:H2"/>
    <mergeCell ref="B3:H3"/>
    <mergeCell ref="B5:H5"/>
    <mergeCell ref="B12:H12"/>
    <mergeCell ref="B35:H35"/>
    <mergeCell ref="B43:H43"/>
    <mergeCell ref="B44:H44"/>
    <mergeCell ref="B45:H45"/>
    <mergeCell ref="B46:H46"/>
    <mergeCell ref="B47:H47"/>
    <mergeCell ref="B48:H48"/>
    <mergeCell ref="B49:H49"/>
    <mergeCell ref="B50:H50"/>
    <mergeCell ref="B51:H51"/>
    <mergeCell ref="B52:H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10"/>
  </cols>
  <sheetData>
    <row r="2" customFormat="false" ht="19.5" hidden="false" customHeight="true" outlineLevel="0" collapsed="false">
      <c r="B2" s="2" t="s">
        <v>378</v>
      </c>
      <c r="C2" s="2"/>
    </row>
    <row r="3" customFormat="false" ht="15" hidden="false" customHeight="true" outlineLevel="0" collapsed="false">
      <c r="B3" s="3" t="s">
        <v>379</v>
      </c>
      <c r="C3" s="3"/>
    </row>
    <row r="5" customFormat="false" ht="31.5" hidden="false" customHeight="true" outlineLevel="0" collapsed="false">
      <c r="B5" s="6" t="s">
        <v>380</v>
      </c>
      <c r="C5" s="25" t="s">
        <v>381</v>
      </c>
    </row>
    <row r="6" customFormat="false" ht="31.5" hidden="false" customHeight="true" outlineLevel="0" collapsed="false">
      <c r="B6" s="6" t="s">
        <v>382</v>
      </c>
      <c r="C6" s="25" t="s">
        <v>383</v>
      </c>
    </row>
    <row r="7" customFormat="false" ht="31.5" hidden="false" customHeight="true" outlineLevel="0" collapsed="false">
      <c r="B7" s="6" t="s">
        <v>384</v>
      </c>
      <c r="C7" s="25" t="s">
        <v>385</v>
      </c>
    </row>
    <row r="8" customFormat="false" ht="31.5" hidden="false" customHeight="true" outlineLevel="0" collapsed="false">
      <c r="B8" s="6" t="s">
        <v>386</v>
      </c>
      <c r="C8" s="25" t="s">
        <v>387</v>
      </c>
    </row>
    <row r="9" customFormat="false" ht="31.5" hidden="false" customHeight="true" outlineLevel="0" collapsed="false">
      <c r="B9" s="6" t="s">
        <v>388</v>
      </c>
      <c r="C9" s="25" t="s">
        <v>389</v>
      </c>
    </row>
    <row r="10" customFormat="false" ht="31.5" hidden="false" customHeight="true" outlineLevel="0" collapsed="false">
      <c r="B10" s="6" t="s">
        <v>390</v>
      </c>
      <c r="C10" s="25" t="s">
        <v>391</v>
      </c>
    </row>
    <row r="11" customFormat="false" ht="31.5" hidden="false" customHeight="true" outlineLevel="0" collapsed="false">
      <c r="B11" s="6" t="s">
        <v>392</v>
      </c>
      <c r="C11" s="25" t="s">
        <v>393</v>
      </c>
    </row>
    <row r="12" customFormat="false" ht="31.5" hidden="false" customHeight="true" outlineLevel="0" collapsed="false">
      <c r="B12" s="6" t="s">
        <v>394</v>
      </c>
      <c r="C12" s="25" t="s">
        <v>395</v>
      </c>
    </row>
    <row r="13" customFormat="false" ht="31.5" hidden="false" customHeight="true" outlineLevel="0" collapsed="false">
      <c r="B13" s="6" t="s">
        <v>396</v>
      </c>
      <c r="C13" s="25" t="s">
        <v>397</v>
      </c>
    </row>
    <row r="14" customFormat="false" ht="31.5" hidden="false" customHeight="true" outlineLevel="0" collapsed="false">
      <c r="B14" s="6" t="s">
        <v>398</v>
      </c>
      <c r="C14" s="25" t="s">
        <v>399</v>
      </c>
    </row>
    <row r="16" customFormat="false" ht="15" hidden="false" customHeight="true" outlineLevel="0" collapsed="false">
      <c r="B16" s="4" t="s">
        <v>400</v>
      </c>
      <c r="C16" s="4"/>
    </row>
    <row r="17" customFormat="false" ht="49.5" hidden="false" customHeight="true" outlineLevel="0" collapsed="false">
      <c r="B17" s="26" t="s">
        <v>401</v>
      </c>
      <c r="C17" s="26"/>
    </row>
    <row r="20" customFormat="false" ht="15" hidden="false" customHeight="true" outlineLevel="0" collapsed="false">
      <c r="B20" s="4" t="s">
        <v>66</v>
      </c>
      <c r="C20" s="4"/>
    </row>
    <row r="21" customFormat="false" ht="15" hidden="false" customHeight="true" outlineLevel="0" collapsed="false">
      <c r="B21" s="3" t="s">
        <v>67</v>
      </c>
      <c r="C21" s="3"/>
    </row>
    <row r="22" customFormat="false" ht="15" hidden="false" customHeight="true" outlineLevel="0" collapsed="false">
      <c r="B22" s="3" t="s">
        <v>68</v>
      </c>
      <c r="C22" s="3"/>
    </row>
    <row r="23" customFormat="false" ht="15" hidden="false" customHeight="true" outlineLevel="0" collapsed="false">
      <c r="B23" s="3" t="s">
        <v>69</v>
      </c>
      <c r="C23" s="3"/>
    </row>
    <row r="24" customFormat="false" ht="15" hidden="false" customHeight="true" outlineLevel="0" collapsed="false">
      <c r="B24" s="3" t="s">
        <v>70</v>
      </c>
      <c r="C24" s="3"/>
    </row>
    <row r="25" customFormat="false" ht="15" hidden="false" customHeight="true" outlineLevel="0" collapsed="false">
      <c r="B25" s="3" t="s">
        <v>71</v>
      </c>
      <c r="C25" s="3"/>
    </row>
    <row r="26" customFormat="false" ht="15" hidden="false" customHeight="true" outlineLevel="0" collapsed="false">
      <c r="B26" s="3" t="s">
        <v>72</v>
      </c>
      <c r="C26" s="3"/>
    </row>
    <row r="27" customFormat="false" ht="15" hidden="false" customHeight="true" outlineLevel="0" collapsed="false">
      <c r="B27" s="3" t="s">
        <v>73</v>
      </c>
      <c r="C27" s="3"/>
    </row>
    <row r="28" customFormat="false" ht="15" hidden="false" customHeight="true" outlineLevel="0" collapsed="false">
      <c r="B28" s="3" t="s">
        <v>74</v>
      </c>
      <c r="C28" s="3"/>
    </row>
    <row r="29" customFormat="false" ht="15" hidden="false" customHeight="true" outlineLevel="0" collapsed="false">
      <c r="B29" s="3" t="s">
        <v>75</v>
      </c>
      <c r="C29" s="3"/>
    </row>
  </sheetData>
  <mergeCells count="14">
    <mergeCell ref="B2:C2"/>
    <mergeCell ref="B3:C3"/>
    <mergeCell ref="B16:C16"/>
    <mergeCell ref="B17:C1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2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45"/>
    <col collapsed="false" customWidth="true" hidden="false" outlineLevel="0" max="7" min="7" style="0" width="13"/>
    <col collapsed="false" customWidth="true" hidden="false" outlineLevel="0" max="8" min="8" style="0" width="42"/>
  </cols>
  <sheetData>
    <row r="2" customFormat="false" ht="19.5" hidden="false" customHeight="true" outlineLevel="0" collapsed="false">
      <c r="B2" s="2" t="s">
        <v>402</v>
      </c>
      <c r="C2" s="2"/>
      <c r="D2" s="2"/>
      <c r="E2" s="2"/>
      <c r="F2" s="2"/>
    </row>
    <row r="3" customFormat="false" ht="15" hidden="false" customHeight="true" outlineLevel="0" collapsed="false">
      <c r="B3" s="3" t="s">
        <v>403</v>
      </c>
      <c r="C3" s="3"/>
      <c r="D3" s="3"/>
      <c r="E3" s="3"/>
      <c r="F3" s="3"/>
    </row>
    <row r="5" customFormat="false" ht="15" hidden="false" customHeight="true" outlineLevel="0" collapsed="false">
      <c r="B5" s="10" t="s">
        <v>404</v>
      </c>
      <c r="C5" s="10" t="s">
        <v>405</v>
      </c>
      <c r="D5" s="10" t="s">
        <v>41</v>
      </c>
      <c r="E5" s="10" t="s">
        <v>28</v>
      </c>
      <c r="F5" s="10" t="s">
        <v>282</v>
      </c>
      <c r="G5" s="27" t="s">
        <v>406</v>
      </c>
      <c r="H5" s="27" t="s">
        <v>407</v>
      </c>
    </row>
    <row r="6" customFormat="false" ht="15" hidden="false" customHeight="true" outlineLevel="0" collapsed="false">
      <c r="B6" s="5" t="s">
        <v>408</v>
      </c>
      <c r="C6" s="28" t="s">
        <v>409</v>
      </c>
      <c r="D6" s="6" t="s">
        <v>4</v>
      </c>
      <c r="E6" s="5" t="s">
        <v>410</v>
      </c>
      <c r="F6" s="22" t="s">
        <v>411</v>
      </c>
      <c r="G6" s="29" t="s">
        <v>412</v>
      </c>
      <c r="H6" s="30" t="s">
        <v>413</v>
      </c>
    </row>
    <row r="7" customFormat="false" ht="15" hidden="false" customHeight="true" outlineLevel="0" collapsed="false">
      <c r="B7" s="5" t="s">
        <v>414</v>
      </c>
      <c r="C7" s="28" t="s">
        <v>415</v>
      </c>
      <c r="D7" s="6" t="s">
        <v>6</v>
      </c>
      <c r="E7" s="5" t="s">
        <v>410</v>
      </c>
      <c r="G7" s="29" t="s">
        <v>412</v>
      </c>
      <c r="H7" s="30" t="s">
        <v>413</v>
      </c>
    </row>
    <row r="8" customFormat="false" ht="15" hidden="false" customHeight="true" outlineLevel="0" collapsed="false">
      <c r="B8" s="5" t="s">
        <v>7</v>
      </c>
      <c r="C8" s="28" t="s">
        <v>416</v>
      </c>
      <c r="D8" s="6" t="s">
        <v>8</v>
      </c>
      <c r="E8" s="5" t="s">
        <v>410</v>
      </c>
      <c r="G8" s="29" t="s">
        <v>412</v>
      </c>
      <c r="H8" s="30" t="s">
        <v>413</v>
      </c>
    </row>
    <row r="9" customFormat="false" ht="15" hidden="false" customHeight="true" outlineLevel="0" collapsed="false">
      <c r="B9" s="5" t="s">
        <v>9</v>
      </c>
      <c r="C9" s="28" t="s">
        <v>417</v>
      </c>
      <c r="D9" s="6" t="s">
        <v>10</v>
      </c>
      <c r="E9" s="5" t="s">
        <v>410</v>
      </c>
      <c r="G9" s="29" t="s">
        <v>412</v>
      </c>
      <c r="H9" s="30" t="s">
        <v>413</v>
      </c>
    </row>
    <row r="10" customFormat="false" ht="15" hidden="false" customHeight="true" outlineLevel="0" collapsed="false">
      <c r="B10" s="5" t="s">
        <v>418</v>
      </c>
      <c r="C10" s="28" t="s">
        <v>419</v>
      </c>
      <c r="D10" s="6" t="s">
        <v>420</v>
      </c>
      <c r="E10" s="5" t="s">
        <v>410</v>
      </c>
      <c r="G10" s="29" t="s">
        <v>412</v>
      </c>
      <c r="H10" s="30" t="s">
        <v>413</v>
      </c>
    </row>
    <row r="11" customFormat="false" ht="15" hidden="false" customHeight="true" outlineLevel="0" collapsed="false">
      <c r="B11" s="5" t="s">
        <v>421</v>
      </c>
      <c r="C11" s="28" t="s">
        <v>422</v>
      </c>
      <c r="D11" s="6" t="n">
        <v>22</v>
      </c>
      <c r="E11" s="5" t="s">
        <v>410</v>
      </c>
      <c r="F11" s="22" t="s">
        <v>12</v>
      </c>
      <c r="G11" s="29" t="s">
        <v>412</v>
      </c>
      <c r="H11" s="30" t="s">
        <v>413</v>
      </c>
    </row>
    <row r="12" customFormat="false" ht="15" hidden="false" customHeight="true" outlineLevel="0" collapsed="false">
      <c r="B12" s="5" t="s">
        <v>423</v>
      </c>
      <c r="C12" s="28" t="s">
        <v>424</v>
      </c>
      <c r="D12" s="13" t="n">
        <v>211</v>
      </c>
      <c r="E12" s="5" t="s">
        <v>410</v>
      </c>
      <c r="G12" s="29" t="s">
        <v>412</v>
      </c>
      <c r="H12" s="30" t="s">
        <v>413</v>
      </c>
    </row>
    <row r="13" customFormat="false" ht="15" hidden="false" customHeight="true" outlineLevel="0" collapsed="false">
      <c r="B13" s="5" t="s">
        <v>46</v>
      </c>
      <c r="C13" s="28" t="s">
        <v>425</v>
      </c>
      <c r="D13" s="13" t="n">
        <v>1196</v>
      </c>
      <c r="E13" s="5" t="s">
        <v>410</v>
      </c>
      <c r="G13" s="29" t="s">
        <v>412</v>
      </c>
      <c r="H13" s="30" t="s">
        <v>413</v>
      </c>
    </row>
    <row r="14" customFormat="false" ht="15" hidden="false" customHeight="true" outlineLevel="0" collapsed="false">
      <c r="B14" s="5" t="s">
        <v>426</v>
      </c>
      <c r="C14" s="28" t="s">
        <v>427</v>
      </c>
      <c r="D14" s="21" t="n">
        <v>5.66824644549763</v>
      </c>
      <c r="E14" s="5" t="s">
        <v>410</v>
      </c>
      <c r="G14" s="29" t="s">
        <v>412</v>
      </c>
      <c r="H14" s="30" t="s">
        <v>413</v>
      </c>
    </row>
    <row r="15" customFormat="false" ht="15" hidden="false" customHeight="true" outlineLevel="0" collapsed="false">
      <c r="B15" s="5" t="s">
        <v>428</v>
      </c>
      <c r="C15" s="28" t="s">
        <v>429</v>
      </c>
      <c r="D15" s="13" t="n">
        <v>2721210</v>
      </c>
      <c r="E15" s="5" t="s">
        <v>430</v>
      </c>
      <c r="G15" s="29" t="s">
        <v>412</v>
      </c>
      <c r="H15" s="30" t="s">
        <v>413</v>
      </c>
    </row>
    <row r="16" customFormat="false" ht="15" hidden="false" customHeight="true" outlineLevel="0" collapsed="false">
      <c r="B16" s="5" t="s">
        <v>431</v>
      </c>
      <c r="C16" s="28" t="s">
        <v>432</v>
      </c>
      <c r="D16" s="13" t="n">
        <v>2877218.6</v>
      </c>
      <c r="E16" s="5" t="s">
        <v>430</v>
      </c>
      <c r="F16" s="22" t="s">
        <v>433</v>
      </c>
      <c r="G16" s="29" t="s">
        <v>412</v>
      </c>
      <c r="H16" s="30" t="s">
        <v>413</v>
      </c>
    </row>
    <row r="17" customFormat="false" ht="15" hidden="false" customHeight="true" outlineLevel="0" collapsed="false">
      <c r="B17" s="5" t="s">
        <v>434</v>
      </c>
      <c r="C17" s="28" t="s">
        <v>435</v>
      </c>
      <c r="D17" s="13" t="n">
        <v>156008.6</v>
      </c>
      <c r="E17" s="5" t="s">
        <v>430</v>
      </c>
      <c r="G17" s="29" t="s">
        <v>412</v>
      </c>
      <c r="H17" s="30" t="s">
        <v>413</v>
      </c>
    </row>
    <row r="18" customFormat="false" ht="15" hidden="false" customHeight="true" outlineLevel="0" collapsed="false">
      <c r="B18" s="5" t="s">
        <v>436</v>
      </c>
      <c r="C18" s="28" t="s">
        <v>437</v>
      </c>
      <c r="D18" s="13" t="n">
        <v>2877218.6</v>
      </c>
      <c r="E18" s="5" t="s">
        <v>430</v>
      </c>
      <c r="G18" s="29" t="s">
        <v>412</v>
      </c>
      <c r="H18" s="30" t="s">
        <v>413</v>
      </c>
    </row>
    <row r="19" customFormat="false" ht="15" hidden="false" customHeight="true" outlineLevel="0" collapsed="false">
      <c r="B19" s="5" t="s">
        <v>438</v>
      </c>
      <c r="C19" s="28" t="s">
        <v>439</v>
      </c>
      <c r="D19" s="13" t="n">
        <v>1353159.87</v>
      </c>
      <c r="E19" s="5" t="s">
        <v>430</v>
      </c>
      <c r="G19" s="29" t="s">
        <v>412</v>
      </c>
      <c r="H19" s="30" t="s">
        <v>413</v>
      </c>
    </row>
    <row r="20" customFormat="false" ht="15" hidden="false" customHeight="true" outlineLevel="0" collapsed="false">
      <c r="B20" s="5" t="s">
        <v>440</v>
      </c>
      <c r="C20" s="28" t="s">
        <v>441</v>
      </c>
      <c r="D20" s="21" t="n">
        <v>0.470301377170299</v>
      </c>
      <c r="E20" s="5" t="s">
        <v>430</v>
      </c>
      <c r="G20" s="29" t="s">
        <v>412</v>
      </c>
      <c r="H20" s="30" t="s">
        <v>413</v>
      </c>
    </row>
    <row r="21" customFormat="false" ht="15" hidden="false" customHeight="true" outlineLevel="0" collapsed="false">
      <c r="B21" s="5" t="s">
        <v>133</v>
      </c>
      <c r="C21" s="28" t="s">
        <v>442</v>
      </c>
      <c r="D21" s="13" t="n">
        <v>1524058.73</v>
      </c>
      <c r="E21" s="5" t="s">
        <v>430</v>
      </c>
      <c r="G21" s="29" t="s">
        <v>412</v>
      </c>
      <c r="H21" s="30" t="s">
        <v>413</v>
      </c>
    </row>
    <row r="22" customFormat="false" ht="15" hidden="false" customHeight="true" outlineLevel="0" collapsed="false">
      <c r="B22" s="5" t="s">
        <v>443</v>
      </c>
      <c r="C22" s="28" t="s">
        <v>444</v>
      </c>
      <c r="D22" s="13" t="n">
        <v>550832.62</v>
      </c>
      <c r="E22" s="5" t="s">
        <v>34</v>
      </c>
      <c r="F22" s="22" t="s">
        <v>445</v>
      </c>
      <c r="G22" s="29" t="s">
        <v>412</v>
      </c>
      <c r="H22" s="30" t="s">
        <v>413</v>
      </c>
    </row>
    <row r="23" customFormat="false" ht="15" hidden="false" customHeight="true" outlineLevel="0" collapsed="false">
      <c r="B23" s="5" t="s">
        <v>446</v>
      </c>
      <c r="C23" s="28" t="s">
        <v>447</v>
      </c>
      <c r="D23" s="13" t="n">
        <v>660548.93</v>
      </c>
      <c r="E23" s="5" t="s">
        <v>35</v>
      </c>
      <c r="F23" s="22" t="s">
        <v>448</v>
      </c>
      <c r="G23" s="29" t="s">
        <v>412</v>
      </c>
      <c r="H23" s="30" t="s">
        <v>413</v>
      </c>
    </row>
    <row r="24" customFormat="false" ht="15" hidden="false" customHeight="true" outlineLevel="0" collapsed="false">
      <c r="B24" s="5" t="s">
        <v>449</v>
      </c>
      <c r="C24" s="28" t="s">
        <v>450</v>
      </c>
      <c r="D24" s="13" t="n">
        <v>59981.3</v>
      </c>
      <c r="E24" s="5" t="s">
        <v>430</v>
      </c>
      <c r="F24" s="22" t="s">
        <v>451</v>
      </c>
      <c r="G24" s="29" t="s">
        <v>412</v>
      </c>
      <c r="H24" s="30" t="s">
        <v>413</v>
      </c>
    </row>
    <row r="25" customFormat="false" ht="15" hidden="false" customHeight="true" outlineLevel="0" collapsed="false">
      <c r="B25" s="5" t="s">
        <v>452</v>
      </c>
      <c r="C25" s="28" t="s">
        <v>453</v>
      </c>
      <c r="D25" s="13" t="n">
        <v>252695.88</v>
      </c>
      <c r="E25" s="5" t="s">
        <v>430</v>
      </c>
      <c r="F25" s="22" t="s">
        <v>454</v>
      </c>
      <c r="G25" s="29" t="s">
        <v>412</v>
      </c>
      <c r="H25" s="30" t="s">
        <v>413</v>
      </c>
    </row>
    <row r="26" customFormat="false" ht="15" hidden="false" customHeight="true" outlineLevel="0" collapsed="false">
      <c r="B26" s="5" t="s">
        <v>377</v>
      </c>
      <c r="C26" s="28" t="s">
        <v>455</v>
      </c>
      <c r="D26" s="13" t="n">
        <v>143861</v>
      </c>
      <c r="E26" s="5" t="s">
        <v>430</v>
      </c>
      <c r="F26" s="22" t="s">
        <v>456</v>
      </c>
      <c r="G26" s="29" t="s">
        <v>412</v>
      </c>
      <c r="H26" s="30" t="s">
        <v>413</v>
      </c>
    </row>
    <row r="27" customFormat="false" ht="15" hidden="false" customHeight="true" outlineLevel="0" collapsed="false">
      <c r="B27" s="5" t="s">
        <v>457</v>
      </c>
      <c r="C27" s="28" t="s">
        <v>458</v>
      </c>
      <c r="D27" s="13" t="n">
        <v>13636.1071090047</v>
      </c>
      <c r="E27" s="5" t="s">
        <v>430</v>
      </c>
      <c r="G27" s="29" t="s">
        <v>412</v>
      </c>
      <c r="H27" s="30" t="s">
        <v>413</v>
      </c>
    </row>
    <row r="28" customFormat="false" ht="15" hidden="false" customHeight="true" outlineLevel="0" collapsed="false">
      <c r="B28" s="5" t="s">
        <v>459</v>
      </c>
      <c r="C28" s="28" t="s">
        <v>460</v>
      </c>
      <c r="D28" s="13" t="n">
        <v>6413.07995260664</v>
      </c>
      <c r="E28" s="5" t="s">
        <v>430</v>
      </c>
      <c r="G28" s="29" t="s">
        <v>412</v>
      </c>
      <c r="H28" s="30" t="s">
        <v>413</v>
      </c>
    </row>
    <row r="29" customFormat="false" ht="15" hidden="false" customHeight="true" outlineLevel="0" collapsed="false">
      <c r="B29" s="5" t="s">
        <v>461</v>
      </c>
      <c r="C29" s="28" t="s">
        <v>462</v>
      </c>
      <c r="D29" s="13" t="n">
        <v>7223.0271563981</v>
      </c>
      <c r="E29" s="5" t="s">
        <v>430</v>
      </c>
      <c r="G29" s="29" t="s">
        <v>412</v>
      </c>
      <c r="H29" s="30" t="s">
        <v>413</v>
      </c>
    </row>
    <row r="30" customFormat="false" ht="15" hidden="false" customHeight="true" outlineLevel="0" collapsed="false">
      <c r="B30" s="5" t="s">
        <v>463</v>
      </c>
      <c r="C30" s="28" t="s">
        <v>464</v>
      </c>
      <c r="D30" s="13" t="n">
        <v>2610.58113744076</v>
      </c>
      <c r="E30" s="5" t="s">
        <v>34</v>
      </c>
      <c r="G30" s="29" t="s">
        <v>412</v>
      </c>
      <c r="H30" s="30" t="s">
        <v>413</v>
      </c>
    </row>
    <row r="31" customFormat="false" ht="15" hidden="false" customHeight="true" outlineLevel="0" collapsed="false">
      <c r="B31" s="5" t="s">
        <v>465</v>
      </c>
      <c r="C31" s="28" t="s">
        <v>466</v>
      </c>
      <c r="D31" s="13" t="n">
        <v>3130.5636492891</v>
      </c>
      <c r="E31" s="5" t="s">
        <v>35</v>
      </c>
      <c r="G31" s="29" t="s">
        <v>412</v>
      </c>
      <c r="H31" s="30" t="s">
        <v>413</v>
      </c>
    </row>
    <row r="32" customFormat="false" ht="15" hidden="false" customHeight="true" outlineLevel="0" collapsed="false">
      <c r="B32" s="5" t="s">
        <v>467</v>
      </c>
      <c r="C32" s="28" t="s">
        <v>468</v>
      </c>
      <c r="D32" s="13" t="n">
        <v>2405.70117056856</v>
      </c>
      <c r="E32" s="5" t="s">
        <v>430</v>
      </c>
      <c r="G32" s="29" t="s">
        <v>412</v>
      </c>
      <c r="H32" s="30" t="s">
        <v>413</v>
      </c>
    </row>
    <row r="33" customFormat="false" ht="15" hidden="false" customHeight="true" outlineLevel="0" collapsed="false">
      <c r="B33" s="5" t="s">
        <v>469</v>
      </c>
      <c r="C33" s="28" t="s">
        <v>470</v>
      </c>
      <c r="D33" s="13" t="n">
        <v>1131.4045735786</v>
      </c>
      <c r="E33" s="5" t="s">
        <v>430</v>
      </c>
      <c r="G33" s="29" t="s">
        <v>412</v>
      </c>
      <c r="H33" s="30" t="s">
        <v>413</v>
      </c>
    </row>
    <row r="34" customFormat="false" ht="15" hidden="false" customHeight="true" outlineLevel="0" collapsed="false">
      <c r="B34" s="5" t="s">
        <v>471</v>
      </c>
      <c r="C34" s="28" t="s">
        <v>472</v>
      </c>
      <c r="D34" s="13" t="n">
        <v>1274.29659698997</v>
      </c>
      <c r="E34" s="5" t="s">
        <v>430</v>
      </c>
      <c r="G34" s="29" t="s">
        <v>412</v>
      </c>
      <c r="H34" s="30" t="s">
        <v>413</v>
      </c>
    </row>
    <row r="35" customFormat="false" ht="15" hidden="false" customHeight="true" outlineLevel="0" collapsed="false">
      <c r="B35" s="5" t="s">
        <v>473</v>
      </c>
      <c r="C35" s="28" t="s">
        <v>474</v>
      </c>
      <c r="D35" s="13" t="n">
        <v>460.562391304348</v>
      </c>
      <c r="E35" s="5" t="s">
        <v>34</v>
      </c>
      <c r="G35" s="29" t="s">
        <v>412</v>
      </c>
      <c r="H35" s="30" t="s">
        <v>413</v>
      </c>
    </row>
    <row r="36" customFormat="false" ht="15" hidden="false" customHeight="true" outlineLevel="0" collapsed="false">
      <c r="B36" s="5" t="s">
        <v>475</v>
      </c>
      <c r="C36" s="28" t="s">
        <v>476</v>
      </c>
      <c r="D36" s="13" t="n">
        <v>552.29843645485</v>
      </c>
      <c r="E36" s="5" t="s">
        <v>35</v>
      </c>
      <c r="G36" s="29" t="s">
        <v>412</v>
      </c>
      <c r="H36" s="30" t="s">
        <v>413</v>
      </c>
    </row>
    <row r="37" customFormat="false" ht="15" hidden="false" customHeight="true" outlineLevel="0" collapsed="false">
      <c r="B37" s="5" t="s">
        <v>477</v>
      </c>
      <c r="C37" s="28" t="s">
        <v>478</v>
      </c>
      <c r="D37" s="13" t="n">
        <v>26599</v>
      </c>
      <c r="E37" s="5" t="s">
        <v>34</v>
      </c>
      <c r="F37" s="22" t="s">
        <v>479</v>
      </c>
      <c r="G37" s="29" t="s">
        <v>412</v>
      </c>
      <c r="H37" s="30" t="s">
        <v>413</v>
      </c>
    </row>
    <row r="38" customFormat="false" ht="15" hidden="false" customHeight="true" outlineLevel="0" collapsed="false">
      <c r="B38" s="5" t="s">
        <v>480</v>
      </c>
      <c r="C38" s="28" t="s">
        <v>481</v>
      </c>
      <c r="D38" s="6" t="n">
        <v>56</v>
      </c>
      <c r="E38" s="5" t="s">
        <v>34</v>
      </c>
      <c r="F38" s="22" t="s">
        <v>482</v>
      </c>
      <c r="G38" s="29" t="s">
        <v>412</v>
      </c>
      <c r="H38" s="30" t="s">
        <v>413</v>
      </c>
    </row>
    <row r="39" customFormat="false" ht="15" hidden="false" customHeight="true" outlineLevel="0" collapsed="false">
      <c r="B39" s="5" t="s">
        <v>253</v>
      </c>
      <c r="C39" s="28" t="s">
        <v>483</v>
      </c>
      <c r="D39" s="14" t="n">
        <v>20.4702808376255</v>
      </c>
      <c r="E39" s="5" t="s">
        <v>34</v>
      </c>
      <c r="F39" s="22" t="s">
        <v>484</v>
      </c>
      <c r="G39" s="29" t="s">
        <v>412</v>
      </c>
      <c r="H39" s="30" t="s">
        <v>413</v>
      </c>
    </row>
    <row r="40" customFormat="false" ht="15" hidden="false" customHeight="true" outlineLevel="0" collapsed="false">
      <c r="B40" s="5" t="s">
        <v>255</v>
      </c>
      <c r="C40" s="28" t="s">
        <v>485</v>
      </c>
      <c r="D40" s="14" t="n">
        <v>30.2089740215798</v>
      </c>
      <c r="E40" s="5" t="s">
        <v>34</v>
      </c>
      <c r="F40" s="22" t="s">
        <v>486</v>
      </c>
      <c r="G40" s="29" t="s">
        <v>412</v>
      </c>
      <c r="H40" s="30" t="s">
        <v>413</v>
      </c>
    </row>
    <row r="41" customFormat="false" ht="15" hidden="false" customHeight="true" outlineLevel="0" collapsed="false">
      <c r="B41" s="5" t="s">
        <v>257</v>
      </c>
      <c r="C41" s="28" t="s">
        <v>487</v>
      </c>
      <c r="D41" s="21" t="n">
        <v>1.47574790307977</v>
      </c>
      <c r="E41" s="5" t="s">
        <v>34</v>
      </c>
      <c r="G41" s="29" t="s">
        <v>412</v>
      </c>
      <c r="H41" s="30" t="s">
        <v>413</v>
      </c>
    </row>
    <row r="42" customFormat="false" ht="15" hidden="false" customHeight="true" outlineLevel="0" collapsed="false">
      <c r="B42" s="5" t="s">
        <v>488</v>
      </c>
      <c r="C42" s="28" t="s">
        <v>489</v>
      </c>
      <c r="D42" s="13" t="n">
        <v>126.061611374408</v>
      </c>
      <c r="E42" s="5" t="s">
        <v>34</v>
      </c>
      <c r="F42" s="22" t="s">
        <v>490</v>
      </c>
      <c r="G42" s="29" t="s">
        <v>412</v>
      </c>
      <c r="H42" s="30" t="s">
        <v>413</v>
      </c>
    </row>
    <row r="43" customFormat="false" ht="15" hidden="false" customHeight="true" outlineLevel="0" collapsed="false">
      <c r="B43" s="5" t="s">
        <v>491</v>
      </c>
      <c r="C43" s="28" t="s">
        <v>492</v>
      </c>
      <c r="D43" s="14" t="n">
        <v>22.239966555184</v>
      </c>
      <c r="E43" s="5" t="s">
        <v>34</v>
      </c>
      <c r="F43" s="22" t="s">
        <v>490</v>
      </c>
      <c r="G43" s="29" t="s">
        <v>412</v>
      </c>
      <c r="H43" s="30" t="s">
        <v>413</v>
      </c>
    </row>
    <row r="44" customFormat="false" ht="15" hidden="false" customHeight="true" outlineLevel="0" collapsed="false">
      <c r="B44" s="5" t="s">
        <v>493</v>
      </c>
      <c r="C44" s="28" t="s">
        <v>494</v>
      </c>
      <c r="D44" s="13" t="n">
        <v>108.17017933005</v>
      </c>
      <c r="E44" s="5" t="s">
        <v>495</v>
      </c>
      <c r="G44" s="29" t="s">
        <v>412</v>
      </c>
      <c r="H44" s="30" t="s">
        <v>413</v>
      </c>
    </row>
    <row r="45" customFormat="false" ht="15" hidden="false" customHeight="true" outlineLevel="0" collapsed="false">
      <c r="B45" s="5" t="s">
        <v>496</v>
      </c>
      <c r="C45" s="28" t="s">
        <v>497</v>
      </c>
      <c r="D45" s="14" t="n">
        <v>50.8725843076808</v>
      </c>
      <c r="E45" s="5" t="s">
        <v>495</v>
      </c>
      <c r="G45" s="29" t="s">
        <v>412</v>
      </c>
      <c r="H45" s="30" t="s">
        <v>413</v>
      </c>
    </row>
    <row r="46" customFormat="false" ht="15" hidden="false" customHeight="true" outlineLevel="0" collapsed="false">
      <c r="B46" s="5" t="s">
        <v>498</v>
      </c>
      <c r="C46" s="28" t="s">
        <v>499</v>
      </c>
      <c r="D46" s="21" t="n">
        <v>0.191446218233123</v>
      </c>
      <c r="E46" s="5" t="s">
        <v>500</v>
      </c>
      <c r="G46" s="29" t="s">
        <v>412</v>
      </c>
      <c r="H46" s="30" t="s">
        <v>413</v>
      </c>
    </row>
    <row r="47" customFormat="false" ht="15" hidden="false" customHeight="true" outlineLevel="0" collapsed="false">
      <c r="B47" s="5" t="s">
        <v>501</v>
      </c>
      <c r="C47" s="28" t="s">
        <v>502</v>
      </c>
      <c r="D47" s="21" t="n">
        <v>0.229578986455878</v>
      </c>
      <c r="E47" s="5" t="s">
        <v>500</v>
      </c>
      <c r="G47" s="29" t="s">
        <v>412</v>
      </c>
      <c r="H47" s="30" t="s">
        <v>413</v>
      </c>
    </row>
    <row r="48" customFormat="false" ht="15" hidden="false" customHeight="true" outlineLevel="0" collapsed="false">
      <c r="B48" s="5" t="s">
        <v>503</v>
      </c>
      <c r="C48" s="28" t="s">
        <v>504</v>
      </c>
      <c r="D48" s="13" t="n">
        <v>130782.663636364</v>
      </c>
      <c r="E48" s="5" t="s">
        <v>495</v>
      </c>
      <c r="G48" s="29" t="s">
        <v>412</v>
      </c>
      <c r="H48" s="30" t="s">
        <v>413</v>
      </c>
    </row>
    <row r="49" customFormat="false" ht="15" hidden="false" customHeight="true" outlineLevel="0" collapsed="false">
      <c r="B49" s="5" t="s">
        <v>505</v>
      </c>
      <c r="C49" s="28" t="s">
        <v>506</v>
      </c>
      <c r="D49" s="13" t="n">
        <v>1209.04545454546</v>
      </c>
      <c r="E49" s="5" t="s">
        <v>495</v>
      </c>
      <c r="G49" s="29" t="s">
        <v>412</v>
      </c>
      <c r="H49" s="30" t="s">
        <v>413</v>
      </c>
    </row>
    <row r="50" customFormat="false" ht="15" hidden="false" customHeight="true" outlineLevel="0" collapsed="false">
      <c r="B50" s="5" t="s">
        <v>507</v>
      </c>
      <c r="C50" s="28" t="s">
        <v>508</v>
      </c>
      <c r="D50" s="21" t="n">
        <v>9.59090909090909</v>
      </c>
      <c r="E50" s="5" t="s">
        <v>495</v>
      </c>
      <c r="G50" s="29" t="s">
        <v>412</v>
      </c>
      <c r="H50" s="30" t="s">
        <v>413</v>
      </c>
    </row>
    <row r="51" customFormat="false" ht="15" hidden="false" customHeight="true" outlineLevel="0" collapsed="false">
      <c r="B51" s="5" t="s">
        <v>509</v>
      </c>
      <c r="C51" s="28" t="s">
        <v>510</v>
      </c>
      <c r="D51" s="6" t="n">
        <v>25</v>
      </c>
      <c r="E51" s="5" t="s">
        <v>35</v>
      </c>
      <c r="F51" s="22" t="s">
        <v>511</v>
      </c>
      <c r="G51" s="29" t="s">
        <v>412</v>
      </c>
      <c r="H51" s="30" t="s">
        <v>413</v>
      </c>
    </row>
    <row r="52" customFormat="false" ht="15" hidden="false" customHeight="true" outlineLevel="0" collapsed="false">
      <c r="B52" s="5" t="s">
        <v>512</v>
      </c>
      <c r="C52" s="28" t="s">
        <v>513</v>
      </c>
      <c r="D52" s="13" t="n">
        <v>248013.68</v>
      </c>
      <c r="E52" s="5" t="s">
        <v>35</v>
      </c>
      <c r="F52" s="22" t="s">
        <v>155</v>
      </c>
      <c r="G52" s="29" t="s">
        <v>412</v>
      </c>
      <c r="H52" s="30" t="s">
        <v>413</v>
      </c>
    </row>
    <row r="53" customFormat="false" ht="15" hidden="false" customHeight="true" outlineLevel="0" collapsed="false">
      <c r="B53" s="5" t="s">
        <v>514</v>
      </c>
      <c r="C53" s="28" t="s">
        <v>515</v>
      </c>
      <c r="D53" s="21" t="n">
        <v>0.323501765628725</v>
      </c>
      <c r="E53" s="5" t="s">
        <v>35</v>
      </c>
      <c r="G53" s="29" t="s">
        <v>412</v>
      </c>
      <c r="H53" s="30" t="s">
        <v>413</v>
      </c>
    </row>
    <row r="54" customFormat="false" ht="15" hidden="false" customHeight="true" outlineLevel="0" collapsed="false">
      <c r="B54" s="5" t="s">
        <v>516</v>
      </c>
      <c r="C54" s="28" t="s">
        <v>517</v>
      </c>
      <c r="D54" s="13" t="n">
        <v>194</v>
      </c>
      <c r="E54" s="5" t="s">
        <v>35</v>
      </c>
      <c r="F54" s="22" t="s">
        <v>518</v>
      </c>
      <c r="G54" s="29" t="s">
        <v>412</v>
      </c>
      <c r="H54" s="30" t="s">
        <v>413</v>
      </c>
    </row>
    <row r="55" customFormat="false" ht="15" hidden="false" customHeight="true" outlineLevel="0" collapsed="false">
      <c r="B55" s="5" t="s">
        <v>519</v>
      </c>
      <c r="C55" s="28" t="s">
        <v>520</v>
      </c>
      <c r="D55" s="21" t="n">
        <v>0.0573305992554783</v>
      </c>
      <c r="E55" s="5" t="s">
        <v>430</v>
      </c>
      <c r="G55" s="29" t="s">
        <v>412</v>
      </c>
      <c r="H55" s="30" t="s">
        <v>413</v>
      </c>
    </row>
    <row r="56" customFormat="false" ht="15" hidden="false" customHeight="true" outlineLevel="0" collapsed="false">
      <c r="B56" s="5" t="s">
        <v>521</v>
      </c>
      <c r="C56" s="28" t="s">
        <v>522</v>
      </c>
      <c r="D56" s="13" t="n">
        <v>108.17017933005</v>
      </c>
      <c r="E56" s="5" t="s">
        <v>495</v>
      </c>
      <c r="G56" s="29" t="s">
        <v>412</v>
      </c>
      <c r="H56" s="30" t="s">
        <v>413</v>
      </c>
    </row>
    <row r="60" customFormat="false" ht="15" hidden="false" customHeight="true" outlineLevel="0" collapsed="false">
      <c r="B60" s="4" t="s">
        <v>66</v>
      </c>
      <c r="C60" s="4"/>
      <c r="D60" s="4"/>
      <c r="E60" s="4"/>
      <c r="F60" s="4"/>
    </row>
    <row r="61" customFormat="false" ht="15" hidden="false" customHeight="true" outlineLevel="0" collapsed="false">
      <c r="B61" s="3" t="s">
        <v>67</v>
      </c>
      <c r="C61" s="3"/>
      <c r="D61" s="3"/>
      <c r="E61" s="3"/>
      <c r="F61" s="3"/>
    </row>
    <row r="62" customFormat="false" ht="15" hidden="false" customHeight="true" outlineLevel="0" collapsed="false">
      <c r="B62" s="3" t="s">
        <v>68</v>
      </c>
      <c r="C62" s="3"/>
      <c r="D62" s="3"/>
      <c r="E62" s="3"/>
      <c r="F62" s="3"/>
    </row>
    <row r="63" customFormat="false" ht="15" hidden="false" customHeight="true" outlineLevel="0" collapsed="false">
      <c r="B63" s="3" t="s">
        <v>69</v>
      </c>
      <c r="C63" s="3"/>
      <c r="D63" s="3"/>
      <c r="E63" s="3"/>
      <c r="F63" s="3"/>
    </row>
    <row r="64" customFormat="false" ht="15" hidden="false" customHeight="true" outlineLevel="0" collapsed="false">
      <c r="B64" s="3" t="s">
        <v>70</v>
      </c>
      <c r="C64" s="3"/>
      <c r="D64" s="3"/>
      <c r="E64" s="3"/>
      <c r="F64" s="3"/>
    </row>
    <row r="65" customFormat="false" ht="15" hidden="false" customHeight="true" outlineLevel="0" collapsed="false">
      <c r="B65" s="3" t="s">
        <v>71</v>
      </c>
      <c r="C65" s="3"/>
      <c r="D65" s="3"/>
      <c r="E65" s="3"/>
      <c r="F65" s="3"/>
    </row>
    <row r="66" customFormat="false" ht="15" hidden="false" customHeight="true" outlineLevel="0" collapsed="false">
      <c r="B66" s="3" t="s">
        <v>72</v>
      </c>
      <c r="C66" s="3"/>
      <c r="D66" s="3"/>
      <c r="E66" s="3"/>
      <c r="F66" s="3"/>
    </row>
    <row r="67" customFormat="false" ht="15" hidden="false" customHeight="true" outlineLevel="0" collapsed="false">
      <c r="B67" s="3" t="s">
        <v>73</v>
      </c>
      <c r="C67" s="3"/>
      <c r="D67" s="3"/>
      <c r="E67" s="3"/>
      <c r="F67" s="3"/>
    </row>
    <row r="68" customFormat="false" ht="15" hidden="false" customHeight="true" outlineLevel="0" collapsed="false">
      <c r="B68" s="3" t="s">
        <v>74</v>
      </c>
      <c r="C68" s="3"/>
      <c r="D68" s="3"/>
      <c r="E68" s="3"/>
      <c r="F68" s="3"/>
    </row>
    <row r="69" customFormat="false" ht="15" hidden="false" customHeight="true" outlineLevel="0" collapsed="false">
      <c r="B69" s="3" t="s">
        <v>75</v>
      </c>
      <c r="C69" s="3"/>
      <c r="D69" s="3"/>
      <c r="E69" s="3"/>
      <c r="F69" s="3"/>
    </row>
    <row r="70" customFormat="false" ht="15" hidden="false" customHeight="true" outlineLevel="0" collapsed="false">
      <c r="B70" s="3" t="s">
        <v>523</v>
      </c>
      <c r="C70" s="3"/>
      <c r="D70" s="3"/>
      <c r="E70" s="3"/>
      <c r="F70" s="3"/>
    </row>
  </sheetData>
  <mergeCells count="13">
    <mergeCell ref="B2:F2"/>
    <mergeCell ref="B3:F3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  <mergeCell ref="B70:F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45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20"/>
    <col collapsed="false" customWidth="true" hidden="false" outlineLevel="0" max="11" min="11" style="0" width="60"/>
  </cols>
  <sheetData>
    <row r="2" customFormat="false" ht="27.75" hidden="false" customHeight="true" outlineLevel="0" collapsed="false">
      <c r="B2" s="31" t="s">
        <v>524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525</v>
      </c>
      <c r="C3" s="32"/>
      <c r="D3" s="32"/>
      <c r="E3" s="32"/>
      <c r="F3" s="32"/>
      <c r="G3" s="32"/>
      <c r="H3" s="32"/>
      <c r="I3" s="32"/>
      <c r="J3" s="32"/>
    </row>
    <row r="5" customFormat="false" ht="23.85" hidden="false" customHeight="false" outlineLevel="0" collapsed="false">
      <c r="B5" s="27" t="s">
        <v>526</v>
      </c>
      <c r="C5" s="27" t="s">
        <v>527</v>
      </c>
      <c r="D5" s="27" t="s">
        <v>346</v>
      </c>
      <c r="E5" s="27" t="s">
        <v>528</v>
      </c>
      <c r="F5" s="27" t="s">
        <v>529</v>
      </c>
      <c r="G5" s="27" t="s">
        <v>530</v>
      </c>
      <c r="H5" s="27" t="s">
        <v>531</v>
      </c>
      <c r="I5" s="27" t="s">
        <v>532</v>
      </c>
      <c r="J5" s="27" t="s">
        <v>376</v>
      </c>
      <c r="K5" s="27" t="s">
        <v>407</v>
      </c>
    </row>
    <row r="6" customFormat="false" ht="15" hidden="false" customHeight="false" outlineLevel="0" collapsed="false">
      <c r="B6" s="33" t="s">
        <v>533</v>
      </c>
      <c r="C6" s="33" t="s">
        <v>534</v>
      </c>
      <c r="D6" s="33" t="s">
        <v>535</v>
      </c>
      <c r="E6" s="30" t="s">
        <v>536</v>
      </c>
      <c r="F6" s="33" t="s">
        <v>537</v>
      </c>
      <c r="G6" s="33" t="s">
        <v>538</v>
      </c>
      <c r="H6" s="34" t="n">
        <v>0</v>
      </c>
      <c r="I6" s="33" t="n">
        <v>0</v>
      </c>
      <c r="J6" s="33" t="s">
        <v>539</v>
      </c>
      <c r="K6" s="35" t="s">
        <v>540</v>
      </c>
    </row>
    <row r="7" customFormat="false" ht="19.4" hidden="false" customHeight="false" outlineLevel="0" collapsed="false">
      <c r="B7" s="33" t="s">
        <v>541</v>
      </c>
      <c r="C7" s="33" t="s">
        <v>534</v>
      </c>
      <c r="D7" s="33" t="s">
        <v>542</v>
      </c>
      <c r="E7" s="30" t="s">
        <v>543</v>
      </c>
      <c r="F7" s="33" t="s">
        <v>537</v>
      </c>
      <c r="G7" s="33"/>
      <c r="H7" s="34" t="n">
        <v>0</v>
      </c>
      <c r="I7" s="33" t="n">
        <v>0</v>
      </c>
      <c r="J7" s="33" t="s">
        <v>544</v>
      </c>
      <c r="K7" s="35" t="s">
        <v>545</v>
      </c>
    </row>
    <row r="8" customFormat="false" ht="19.4" hidden="false" customHeight="false" outlineLevel="0" collapsed="false">
      <c r="B8" s="33" t="s">
        <v>546</v>
      </c>
      <c r="C8" s="33" t="s">
        <v>534</v>
      </c>
      <c r="D8" s="33" t="s">
        <v>547</v>
      </c>
      <c r="E8" s="30" t="s">
        <v>548</v>
      </c>
      <c r="F8" s="33" t="s">
        <v>537</v>
      </c>
      <c r="G8" s="33"/>
      <c r="H8" s="34" t="n">
        <v>0</v>
      </c>
      <c r="I8" s="33" t="n">
        <v>1</v>
      </c>
      <c r="J8" s="33" t="s">
        <v>544</v>
      </c>
      <c r="K8" s="35" t="s">
        <v>549</v>
      </c>
    </row>
    <row r="9" customFormat="false" ht="23.85" hidden="false" customHeight="false" outlineLevel="0" collapsed="false">
      <c r="B9" s="33" t="s">
        <v>550</v>
      </c>
      <c r="C9" s="33" t="s">
        <v>534</v>
      </c>
      <c r="D9" s="33" t="s">
        <v>551</v>
      </c>
      <c r="E9" s="30" t="s">
        <v>552</v>
      </c>
      <c r="F9" s="33" t="s">
        <v>537</v>
      </c>
      <c r="G9" s="33"/>
      <c r="H9" s="36" t="n">
        <v>1120</v>
      </c>
      <c r="I9" s="33" t="n">
        <v>0</v>
      </c>
      <c r="J9" s="33" t="s">
        <v>553</v>
      </c>
      <c r="K9" s="35" t="s">
        <v>554</v>
      </c>
    </row>
    <row r="10" customFormat="false" ht="19.4" hidden="false" customHeight="false" outlineLevel="0" collapsed="false">
      <c r="B10" s="33" t="s">
        <v>555</v>
      </c>
      <c r="C10" s="33" t="s">
        <v>534</v>
      </c>
      <c r="D10" s="33" t="s">
        <v>556</v>
      </c>
      <c r="E10" s="30" t="s">
        <v>557</v>
      </c>
      <c r="F10" s="33" t="s">
        <v>537</v>
      </c>
      <c r="G10" s="33" t="s">
        <v>558</v>
      </c>
      <c r="H10" s="34" t="n">
        <v>0</v>
      </c>
      <c r="I10" s="33" t="n">
        <v>0</v>
      </c>
      <c r="J10" s="33" t="s">
        <v>544</v>
      </c>
      <c r="K10" s="35" t="s">
        <v>559</v>
      </c>
    </row>
    <row r="11" customFormat="false" ht="19.4" hidden="false" customHeight="false" outlineLevel="0" collapsed="false">
      <c r="B11" s="33" t="s">
        <v>560</v>
      </c>
      <c r="C11" s="33" t="s">
        <v>534</v>
      </c>
      <c r="D11" s="33" t="s">
        <v>561</v>
      </c>
      <c r="E11" s="30" t="s">
        <v>562</v>
      </c>
      <c r="F11" s="33" t="s">
        <v>537</v>
      </c>
      <c r="G11" s="33" t="s">
        <v>563</v>
      </c>
      <c r="H11" s="34" t="n">
        <v>0</v>
      </c>
      <c r="I11" s="33" t="n">
        <v>0</v>
      </c>
      <c r="J11" s="33" t="s">
        <v>544</v>
      </c>
      <c r="K11" s="35" t="s">
        <v>564</v>
      </c>
    </row>
    <row r="12" customFormat="false" ht="19.4" hidden="false" customHeight="false" outlineLevel="0" collapsed="false">
      <c r="B12" s="33" t="s">
        <v>565</v>
      </c>
      <c r="C12" s="33" t="s">
        <v>534</v>
      </c>
      <c r="D12" s="33" t="s">
        <v>356</v>
      </c>
      <c r="E12" s="30" t="s">
        <v>566</v>
      </c>
      <c r="F12" s="33" t="s">
        <v>537</v>
      </c>
      <c r="G12" s="33"/>
      <c r="H12" s="34" t="n">
        <v>0</v>
      </c>
      <c r="I12" s="33" t="n">
        <v>0</v>
      </c>
      <c r="J12" s="33" t="s">
        <v>544</v>
      </c>
      <c r="K12" s="35" t="s">
        <v>567</v>
      </c>
    </row>
    <row r="13" customFormat="false" ht="19.4" hidden="false" customHeight="false" outlineLevel="0" collapsed="false">
      <c r="B13" s="33" t="s">
        <v>568</v>
      </c>
      <c r="C13" s="33" t="s">
        <v>534</v>
      </c>
      <c r="D13" s="33" t="s">
        <v>569</v>
      </c>
      <c r="E13" s="30" t="s">
        <v>570</v>
      </c>
      <c r="F13" s="33" t="s">
        <v>537</v>
      </c>
      <c r="G13" s="33"/>
      <c r="H13" s="36" t="n">
        <v>12133</v>
      </c>
      <c r="I13" s="33" t="n">
        <v>0</v>
      </c>
      <c r="J13" s="33" t="s">
        <v>553</v>
      </c>
      <c r="K13" s="35" t="s">
        <v>571</v>
      </c>
    </row>
    <row r="14" customFormat="false" ht="19.4" hidden="false" customHeight="false" outlineLevel="0" collapsed="false">
      <c r="B14" s="33" t="s">
        <v>572</v>
      </c>
      <c r="C14" s="33" t="s">
        <v>534</v>
      </c>
      <c r="D14" s="33" t="s">
        <v>573</v>
      </c>
      <c r="E14" s="30" t="s">
        <v>574</v>
      </c>
      <c r="F14" s="33" t="s">
        <v>537</v>
      </c>
      <c r="G14" s="33" t="s">
        <v>575</v>
      </c>
      <c r="H14" s="34" t="n">
        <v>0</v>
      </c>
      <c r="I14" s="33" t="n">
        <v>0</v>
      </c>
      <c r="J14" s="33" t="s">
        <v>544</v>
      </c>
      <c r="K14" s="35" t="s">
        <v>576</v>
      </c>
    </row>
    <row r="15" customFormat="false" ht="23.85" hidden="false" customHeight="false" outlineLevel="0" collapsed="false">
      <c r="B15" s="33" t="s">
        <v>577</v>
      </c>
      <c r="C15" s="33" t="s">
        <v>578</v>
      </c>
      <c r="D15" s="33" t="s">
        <v>579</v>
      </c>
      <c r="E15" s="30" t="s">
        <v>580</v>
      </c>
      <c r="F15" s="33" t="s">
        <v>537</v>
      </c>
      <c r="G15" s="33"/>
      <c r="H15" s="36" t="n">
        <v>1781</v>
      </c>
      <c r="I15" s="33" t="n">
        <v>0</v>
      </c>
      <c r="J15" s="33" t="s">
        <v>581</v>
      </c>
      <c r="K15" s="35" t="s">
        <v>582</v>
      </c>
    </row>
    <row r="16" customFormat="false" ht="19.4" hidden="false" customHeight="false" outlineLevel="0" collapsed="false">
      <c r="B16" s="33" t="s">
        <v>583</v>
      </c>
      <c r="C16" s="33" t="s">
        <v>534</v>
      </c>
      <c r="D16" s="33" t="s">
        <v>584</v>
      </c>
      <c r="E16" s="30" t="s">
        <v>585</v>
      </c>
      <c r="F16" s="33" t="s">
        <v>537</v>
      </c>
      <c r="G16" s="33"/>
      <c r="H16" s="34" t="n">
        <v>0</v>
      </c>
      <c r="I16" s="33" t="n">
        <v>0</v>
      </c>
      <c r="J16" s="33" t="s">
        <v>544</v>
      </c>
      <c r="K16" s="35" t="s">
        <v>586</v>
      </c>
    </row>
    <row r="17" customFormat="false" ht="19.4" hidden="false" customHeight="false" outlineLevel="0" collapsed="false">
      <c r="B17" s="33" t="s">
        <v>587</v>
      </c>
      <c r="C17" s="33" t="s">
        <v>534</v>
      </c>
      <c r="D17" s="33" t="s">
        <v>588</v>
      </c>
      <c r="E17" s="30" t="s">
        <v>589</v>
      </c>
      <c r="F17" s="33" t="s">
        <v>537</v>
      </c>
      <c r="G17" s="33"/>
      <c r="H17" s="34" t="n">
        <v>0</v>
      </c>
      <c r="I17" s="33" t="n">
        <v>0</v>
      </c>
      <c r="J17" s="33" t="s">
        <v>544</v>
      </c>
      <c r="K17" s="35" t="s">
        <v>590</v>
      </c>
    </row>
    <row r="18" customFormat="false" ht="23.85" hidden="false" customHeight="false" outlineLevel="0" collapsed="false">
      <c r="B18" s="33" t="s">
        <v>591</v>
      </c>
      <c r="C18" s="33" t="s">
        <v>534</v>
      </c>
      <c r="D18" s="33" t="s">
        <v>592</v>
      </c>
      <c r="E18" s="30" t="s">
        <v>593</v>
      </c>
      <c r="F18" s="33" t="s">
        <v>537</v>
      </c>
      <c r="G18" s="33"/>
      <c r="H18" s="34" t="n">
        <v>0</v>
      </c>
      <c r="I18" s="33" t="n">
        <v>0</v>
      </c>
      <c r="J18" s="33" t="s">
        <v>544</v>
      </c>
      <c r="K18" s="35" t="s">
        <v>594</v>
      </c>
    </row>
    <row r="19" customFormat="false" ht="19.4" hidden="false" customHeight="false" outlineLevel="0" collapsed="false">
      <c r="B19" s="33" t="s">
        <v>595</v>
      </c>
      <c r="C19" s="33" t="s">
        <v>534</v>
      </c>
      <c r="D19" s="33" t="s">
        <v>596</v>
      </c>
      <c r="E19" s="30" t="s">
        <v>597</v>
      </c>
      <c r="F19" s="33" t="s">
        <v>537</v>
      </c>
      <c r="G19" s="33"/>
      <c r="H19" s="34" t="n">
        <v>0</v>
      </c>
      <c r="I19" s="33" t="n">
        <v>0</v>
      </c>
      <c r="J19" s="33" t="s">
        <v>544</v>
      </c>
      <c r="K19" s="35" t="s">
        <v>598</v>
      </c>
    </row>
    <row r="20" customFormat="false" ht="19.4" hidden="false" customHeight="false" outlineLevel="0" collapsed="false">
      <c r="B20" s="33" t="s">
        <v>599</v>
      </c>
      <c r="C20" s="33" t="s">
        <v>534</v>
      </c>
      <c r="D20" s="33" t="s">
        <v>600</v>
      </c>
      <c r="E20" s="30" t="s">
        <v>601</v>
      </c>
      <c r="F20" s="33" t="s">
        <v>537</v>
      </c>
      <c r="G20" s="33" t="s">
        <v>602</v>
      </c>
      <c r="H20" s="34" t="n">
        <v>0</v>
      </c>
      <c r="I20" s="33" t="n">
        <v>0</v>
      </c>
      <c r="J20" s="33" t="s">
        <v>544</v>
      </c>
      <c r="K20" s="35" t="s">
        <v>603</v>
      </c>
    </row>
    <row r="21" customFormat="false" ht="19.4" hidden="false" customHeight="false" outlineLevel="0" collapsed="false">
      <c r="B21" s="33" t="s">
        <v>604</v>
      </c>
      <c r="C21" s="33" t="s">
        <v>534</v>
      </c>
      <c r="D21" s="33" t="s">
        <v>605</v>
      </c>
      <c r="E21" s="30" t="s">
        <v>606</v>
      </c>
      <c r="F21" s="33" t="s">
        <v>537</v>
      </c>
      <c r="G21" s="33" t="s">
        <v>607</v>
      </c>
      <c r="H21" s="34" t="n">
        <v>0</v>
      </c>
      <c r="I21" s="33" t="n">
        <v>0</v>
      </c>
      <c r="J21" s="33" t="s">
        <v>544</v>
      </c>
      <c r="K21" s="35" t="s">
        <v>608</v>
      </c>
    </row>
    <row r="22" customFormat="false" ht="19.4" hidden="false" customHeight="false" outlineLevel="0" collapsed="false">
      <c r="B22" s="33" t="s">
        <v>609</v>
      </c>
      <c r="C22" s="33" t="s">
        <v>534</v>
      </c>
      <c r="D22" s="33" t="s">
        <v>610</v>
      </c>
      <c r="E22" s="30" t="s">
        <v>611</v>
      </c>
      <c r="F22" s="33" t="s">
        <v>537</v>
      </c>
      <c r="G22" s="33" t="s">
        <v>612</v>
      </c>
      <c r="H22" s="34" t="n">
        <v>0</v>
      </c>
      <c r="I22" s="33" t="n">
        <v>0</v>
      </c>
      <c r="J22" s="33" t="s">
        <v>544</v>
      </c>
      <c r="K22" s="35" t="s">
        <v>613</v>
      </c>
    </row>
    <row r="23" customFormat="false" ht="19.4" hidden="false" customHeight="false" outlineLevel="0" collapsed="false">
      <c r="B23" s="33" t="s">
        <v>614</v>
      </c>
      <c r="C23" s="33" t="s">
        <v>534</v>
      </c>
      <c r="D23" s="33" t="s">
        <v>615</v>
      </c>
      <c r="E23" s="30" t="s">
        <v>616</v>
      </c>
      <c r="F23" s="33" t="s">
        <v>537</v>
      </c>
      <c r="G23" s="33"/>
      <c r="H23" s="34" t="n">
        <v>0</v>
      </c>
      <c r="I23" s="33" t="n">
        <v>0</v>
      </c>
      <c r="J23" s="33" t="s">
        <v>544</v>
      </c>
      <c r="K23" s="35" t="s">
        <v>617</v>
      </c>
    </row>
    <row r="24" customFormat="false" ht="19.4" hidden="false" customHeight="false" outlineLevel="0" collapsed="false">
      <c r="B24" s="33" t="s">
        <v>618</v>
      </c>
      <c r="C24" s="33" t="s">
        <v>534</v>
      </c>
      <c r="D24" s="33" t="s">
        <v>619</v>
      </c>
      <c r="E24" s="30" t="s">
        <v>620</v>
      </c>
      <c r="F24" s="33" t="s">
        <v>537</v>
      </c>
      <c r="G24" s="33"/>
      <c r="H24" s="34" t="n">
        <v>0</v>
      </c>
      <c r="I24" s="33" t="n">
        <v>0</v>
      </c>
      <c r="J24" s="33" t="s">
        <v>544</v>
      </c>
      <c r="K24" s="35" t="s">
        <v>621</v>
      </c>
    </row>
    <row r="25" customFormat="false" ht="19.4" hidden="false" customHeight="false" outlineLevel="0" collapsed="false">
      <c r="B25" s="33" t="s">
        <v>622</v>
      </c>
      <c r="C25" s="33" t="s">
        <v>534</v>
      </c>
      <c r="D25" s="33" t="s">
        <v>619</v>
      </c>
      <c r="E25" s="30" t="s">
        <v>623</v>
      </c>
      <c r="F25" s="33" t="s">
        <v>537</v>
      </c>
      <c r="G25" s="33"/>
      <c r="H25" s="34" t="n">
        <v>0</v>
      </c>
      <c r="I25" s="33" t="n">
        <v>0</v>
      </c>
      <c r="J25" s="33" t="s">
        <v>544</v>
      </c>
      <c r="K25" s="35" t="s">
        <v>624</v>
      </c>
    </row>
    <row r="26" customFormat="false" ht="23.85" hidden="false" customHeight="false" outlineLevel="0" collapsed="false">
      <c r="B26" s="33" t="s">
        <v>625</v>
      </c>
      <c r="C26" s="33" t="s">
        <v>626</v>
      </c>
      <c r="D26" s="33" t="s">
        <v>627</v>
      </c>
      <c r="E26" s="30" t="s">
        <v>628</v>
      </c>
      <c r="F26" s="33" t="s">
        <v>537</v>
      </c>
      <c r="G26" s="33"/>
      <c r="H26" s="34" t="n">
        <v>0</v>
      </c>
      <c r="I26" s="33" t="n">
        <v>0</v>
      </c>
      <c r="J26" s="33" t="s">
        <v>544</v>
      </c>
      <c r="K26" s="35" t="s">
        <v>629</v>
      </c>
    </row>
    <row r="27" customFormat="false" ht="19.4" hidden="false" customHeight="false" outlineLevel="0" collapsed="false">
      <c r="B27" s="33" t="s">
        <v>630</v>
      </c>
      <c r="C27" s="33" t="s">
        <v>534</v>
      </c>
      <c r="D27" s="33" t="s">
        <v>631</v>
      </c>
      <c r="E27" s="30" t="s">
        <v>632</v>
      </c>
      <c r="F27" s="33" t="s">
        <v>537</v>
      </c>
      <c r="G27" s="33"/>
      <c r="H27" s="34" t="n">
        <v>0</v>
      </c>
      <c r="I27" s="33" t="n">
        <v>0</v>
      </c>
      <c r="J27" s="33" t="s">
        <v>544</v>
      </c>
      <c r="K27" s="35" t="s">
        <v>633</v>
      </c>
    </row>
    <row r="28" customFormat="false" ht="19.4" hidden="false" customHeight="false" outlineLevel="0" collapsed="false">
      <c r="B28" s="33" t="s">
        <v>634</v>
      </c>
      <c r="C28" s="33" t="s">
        <v>534</v>
      </c>
      <c r="D28" s="33" t="s">
        <v>635</v>
      </c>
      <c r="E28" s="30" t="s">
        <v>636</v>
      </c>
      <c r="F28" s="33" t="s">
        <v>537</v>
      </c>
      <c r="G28" s="33"/>
      <c r="H28" s="34" t="n">
        <v>0</v>
      </c>
      <c r="I28" s="33" t="n">
        <v>0</v>
      </c>
      <c r="J28" s="33" t="s">
        <v>544</v>
      </c>
      <c r="K28" s="35" t="s">
        <v>637</v>
      </c>
    </row>
    <row r="29" customFormat="false" ht="19.4" hidden="false" customHeight="false" outlineLevel="0" collapsed="false">
      <c r="B29" s="33" t="s">
        <v>638</v>
      </c>
      <c r="C29" s="33" t="s">
        <v>534</v>
      </c>
      <c r="D29" s="33" t="s">
        <v>639</v>
      </c>
      <c r="E29" s="30" t="s">
        <v>640</v>
      </c>
      <c r="F29" s="33" t="s">
        <v>537</v>
      </c>
      <c r="G29" s="33" t="s">
        <v>641</v>
      </c>
      <c r="H29" s="34" t="n">
        <v>0</v>
      </c>
      <c r="I29" s="33" t="n">
        <v>0</v>
      </c>
      <c r="J29" s="33" t="s">
        <v>544</v>
      </c>
      <c r="K29" s="35" t="s">
        <v>642</v>
      </c>
    </row>
    <row r="30" customFormat="false" ht="19.4" hidden="false" customHeight="false" outlineLevel="0" collapsed="false">
      <c r="B30" s="33" t="s">
        <v>643</v>
      </c>
      <c r="C30" s="33" t="s">
        <v>534</v>
      </c>
      <c r="D30" s="33" t="s">
        <v>644</v>
      </c>
      <c r="E30" s="30" t="s">
        <v>645</v>
      </c>
      <c r="F30" s="33" t="s">
        <v>537</v>
      </c>
      <c r="G30" s="33"/>
      <c r="H30" s="34" t="n">
        <v>0</v>
      </c>
      <c r="I30" s="33" t="n">
        <v>0</v>
      </c>
      <c r="J30" s="33" t="s">
        <v>544</v>
      </c>
      <c r="K30" s="35" t="s">
        <v>646</v>
      </c>
    </row>
    <row r="31" customFormat="false" ht="19.4" hidden="false" customHeight="false" outlineLevel="0" collapsed="false">
      <c r="B31" s="33" t="s">
        <v>647</v>
      </c>
      <c r="C31" s="33" t="s">
        <v>534</v>
      </c>
      <c r="D31" s="33" t="s">
        <v>648</v>
      </c>
      <c r="E31" s="30" t="s">
        <v>649</v>
      </c>
      <c r="F31" s="33" t="s">
        <v>537</v>
      </c>
      <c r="G31" s="33"/>
      <c r="H31" s="34" t="n">
        <v>0</v>
      </c>
      <c r="I31" s="33" t="n">
        <v>0</v>
      </c>
      <c r="J31" s="33" t="s">
        <v>544</v>
      </c>
      <c r="K31" s="35" t="s">
        <v>650</v>
      </c>
    </row>
    <row r="32" customFormat="false" ht="23.85" hidden="false" customHeight="false" outlineLevel="0" collapsed="false">
      <c r="B32" s="33" t="s">
        <v>651</v>
      </c>
      <c r="C32" s="33" t="s">
        <v>652</v>
      </c>
      <c r="D32" s="33" t="s">
        <v>653</v>
      </c>
      <c r="E32" s="30" t="s">
        <v>654</v>
      </c>
      <c r="F32" s="33" t="s">
        <v>655</v>
      </c>
      <c r="G32" s="33"/>
      <c r="H32" s="36" t="n">
        <v>12352</v>
      </c>
      <c r="I32" s="33" t="n">
        <v>0</v>
      </c>
      <c r="J32" s="33" t="s">
        <v>656</v>
      </c>
      <c r="K32" s="35" t="s">
        <v>657</v>
      </c>
    </row>
    <row r="33" customFormat="false" ht="23.85" hidden="false" customHeight="false" outlineLevel="0" collapsed="false">
      <c r="B33" s="33" t="s">
        <v>658</v>
      </c>
      <c r="C33" s="33" t="s">
        <v>652</v>
      </c>
      <c r="D33" s="33" t="s">
        <v>659</v>
      </c>
      <c r="E33" s="30" t="s">
        <v>660</v>
      </c>
      <c r="F33" s="33" t="s">
        <v>655</v>
      </c>
      <c r="G33" s="33" t="s">
        <v>661</v>
      </c>
      <c r="H33" s="36" t="n">
        <v>5708</v>
      </c>
      <c r="I33" s="33" t="n">
        <v>0</v>
      </c>
      <c r="J33" s="33" t="s">
        <v>656</v>
      </c>
      <c r="K33" s="35" t="s">
        <v>662</v>
      </c>
    </row>
    <row r="34" customFormat="false" ht="19.4" hidden="false" customHeight="false" outlineLevel="0" collapsed="false">
      <c r="B34" s="33" t="s">
        <v>663</v>
      </c>
      <c r="C34" s="33" t="s">
        <v>652</v>
      </c>
      <c r="D34" s="33" t="s">
        <v>664</v>
      </c>
      <c r="E34" s="30" t="s">
        <v>665</v>
      </c>
      <c r="F34" s="33" t="s">
        <v>655</v>
      </c>
      <c r="G34" s="33"/>
      <c r="H34" s="34" t="n">
        <v>0</v>
      </c>
      <c r="I34" s="33" t="n">
        <v>0</v>
      </c>
      <c r="J34" s="33" t="s">
        <v>666</v>
      </c>
      <c r="K34" s="35" t="s">
        <v>667</v>
      </c>
    </row>
    <row r="35" customFormat="false" ht="19.4" hidden="false" customHeight="false" outlineLevel="0" collapsed="false">
      <c r="B35" s="33" t="s">
        <v>668</v>
      </c>
      <c r="C35" s="33" t="s">
        <v>652</v>
      </c>
      <c r="D35" s="33" t="s">
        <v>664</v>
      </c>
      <c r="E35" s="30" t="s">
        <v>669</v>
      </c>
      <c r="F35" s="33" t="s">
        <v>655</v>
      </c>
      <c r="G35" s="33"/>
      <c r="H35" s="34" t="n">
        <v>0</v>
      </c>
      <c r="I35" s="33" t="n">
        <v>0</v>
      </c>
      <c r="J35" s="33" t="s">
        <v>666</v>
      </c>
      <c r="K35" s="35" t="s">
        <v>670</v>
      </c>
    </row>
    <row r="36" customFormat="false" ht="23.85" hidden="false" customHeight="false" outlineLevel="0" collapsed="false">
      <c r="B36" s="33" t="s">
        <v>671</v>
      </c>
      <c r="C36" s="33" t="s">
        <v>672</v>
      </c>
      <c r="D36" s="33" t="s">
        <v>673</v>
      </c>
      <c r="E36" s="30" t="s">
        <v>674</v>
      </c>
      <c r="F36" s="33" t="s">
        <v>655</v>
      </c>
      <c r="G36" s="33"/>
      <c r="H36" s="34" t="n">
        <v>0</v>
      </c>
      <c r="I36" s="33" t="n">
        <v>0</v>
      </c>
      <c r="J36" s="33" t="s">
        <v>675</v>
      </c>
      <c r="K36" s="35" t="s">
        <v>676</v>
      </c>
    </row>
    <row r="37" customFormat="false" ht="35.05" hidden="false" customHeight="false" outlineLevel="0" collapsed="false">
      <c r="B37" s="33" t="s">
        <v>677</v>
      </c>
      <c r="C37" s="33" t="s">
        <v>672</v>
      </c>
      <c r="D37" s="33" t="s">
        <v>664</v>
      </c>
      <c r="E37" s="30" t="s">
        <v>678</v>
      </c>
      <c r="F37" s="33" t="s">
        <v>679</v>
      </c>
      <c r="G37" s="33"/>
      <c r="H37" s="34" t="n">
        <v>0</v>
      </c>
      <c r="I37" s="33" t="n">
        <v>0</v>
      </c>
      <c r="J37" s="33" t="s">
        <v>680</v>
      </c>
      <c r="K37" s="35" t="s">
        <v>681</v>
      </c>
    </row>
    <row r="39" customFormat="false" ht="15" hidden="false" customHeight="false" outlineLevel="0" collapsed="false">
      <c r="B39" s="37" t="s">
        <v>38</v>
      </c>
      <c r="H39" s="38" t="n">
        <f aca="false">SUM(H6:H37)</f>
        <v>33094</v>
      </c>
      <c r="I39" s="37" t="n">
        <f aca="false">SUM(I6:I37)</f>
        <v>1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60"/>
  </cols>
  <sheetData>
    <row r="2" customFormat="false" ht="27.75" hidden="false" customHeight="true" outlineLevel="0" collapsed="false">
      <c r="B2" s="31" t="s">
        <v>682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683</v>
      </c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B5" s="39" t="s">
        <v>684</v>
      </c>
    </row>
    <row r="6" customFormat="false" ht="15" hidden="false" customHeight="false" outlineLevel="0" collapsed="false">
      <c r="B6" s="27" t="s">
        <v>685</v>
      </c>
      <c r="C6" s="27" t="s">
        <v>686</v>
      </c>
      <c r="D6" s="27" t="s">
        <v>687</v>
      </c>
      <c r="E6" s="27" t="s">
        <v>688</v>
      </c>
      <c r="F6" s="27" t="s">
        <v>689</v>
      </c>
      <c r="G6" s="27" t="s">
        <v>282</v>
      </c>
    </row>
    <row r="7" customFormat="false" ht="15" hidden="false" customHeight="false" outlineLevel="0" collapsed="false">
      <c r="B7" s="30" t="s">
        <v>690</v>
      </c>
      <c r="C7" s="33" t="n">
        <v>2</v>
      </c>
      <c r="D7" s="34" t="n">
        <v>12133</v>
      </c>
      <c r="E7" s="40" t="n">
        <f aca="false">C7/32</f>
        <v>0.0625</v>
      </c>
      <c r="F7" s="30" t="s">
        <v>691</v>
      </c>
      <c r="G7" s="30" t="s">
        <v>543</v>
      </c>
    </row>
    <row r="8" customFormat="false" ht="15" hidden="false" customHeight="false" outlineLevel="0" collapsed="false">
      <c r="B8" s="30" t="s">
        <v>692</v>
      </c>
      <c r="C8" s="33" t="n">
        <v>9</v>
      </c>
      <c r="D8" s="34" t="n">
        <v>5708</v>
      </c>
      <c r="E8" s="40" t="n">
        <f aca="false">C8/32</f>
        <v>0.28125</v>
      </c>
      <c r="F8" s="30" t="s">
        <v>691</v>
      </c>
      <c r="G8" s="30" t="s">
        <v>536</v>
      </c>
    </row>
    <row r="9" customFormat="false" ht="15" hidden="false" customHeight="false" outlineLevel="0" collapsed="false">
      <c r="B9" s="30" t="s">
        <v>693</v>
      </c>
      <c r="C9" s="33" t="n">
        <v>6</v>
      </c>
      <c r="D9" s="34" t="n">
        <v>1120</v>
      </c>
      <c r="E9" s="40" t="n">
        <f aca="false">C9/32</f>
        <v>0.1875</v>
      </c>
      <c r="F9" s="30" t="s">
        <v>694</v>
      </c>
      <c r="G9" s="30" t="s">
        <v>548</v>
      </c>
    </row>
    <row r="10" customFormat="false" ht="15" hidden="false" customHeight="false" outlineLevel="0" collapsed="false">
      <c r="B10" s="30" t="s">
        <v>695</v>
      </c>
      <c r="C10" s="33" t="n">
        <v>2</v>
      </c>
      <c r="D10" s="34" t="n">
        <v>1781</v>
      </c>
      <c r="E10" s="40" t="n">
        <f aca="false">C10/32</f>
        <v>0.0625</v>
      </c>
      <c r="F10" s="30" t="s">
        <v>694</v>
      </c>
      <c r="G10" s="30" t="s">
        <v>696</v>
      </c>
    </row>
    <row r="11" customFormat="false" ht="15" hidden="false" customHeight="false" outlineLevel="0" collapsed="false">
      <c r="B11" s="30" t="s">
        <v>697</v>
      </c>
      <c r="C11" s="33" t="n">
        <v>2</v>
      </c>
      <c r="D11" s="34" t="n">
        <v>0</v>
      </c>
      <c r="E11" s="40" t="n">
        <f aca="false">C11/32</f>
        <v>0.0625</v>
      </c>
      <c r="F11" s="30" t="s">
        <v>698</v>
      </c>
      <c r="G11" s="30" t="s">
        <v>601</v>
      </c>
    </row>
    <row r="12" customFormat="false" ht="15" hidden="false" customHeight="false" outlineLevel="0" collapsed="false">
      <c r="B12" s="30" t="s">
        <v>699</v>
      </c>
      <c r="C12" s="33" t="n">
        <v>3</v>
      </c>
      <c r="D12" s="34" t="n">
        <v>0</v>
      </c>
      <c r="E12" s="40" t="n">
        <f aca="false">C12/32</f>
        <v>0.09375</v>
      </c>
      <c r="F12" s="30" t="s">
        <v>691</v>
      </c>
      <c r="G12" s="30" t="s">
        <v>566</v>
      </c>
    </row>
    <row r="13" customFormat="false" ht="15" hidden="false" customHeight="false" outlineLevel="0" collapsed="false">
      <c r="B13" s="30" t="s">
        <v>700</v>
      </c>
      <c r="C13" s="33" t="n">
        <v>2</v>
      </c>
      <c r="D13" s="34" t="n">
        <v>0</v>
      </c>
      <c r="E13" s="40" t="n">
        <f aca="false">C13/32</f>
        <v>0.0625</v>
      </c>
      <c r="F13" s="30" t="s">
        <v>694</v>
      </c>
      <c r="G13" s="30" t="s">
        <v>593</v>
      </c>
    </row>
    <row r="14" customFormat="false" ht="15" hidden="false" customHeight="false" outlineLevel="0" collapsed="false">
      <c r="B14" s="30" t="s">
        <v>701</v>
      </c>
      <c r="C14" s="33" t="n">
        <v>2</v>
      </c>
      <c r="D14" s="34" t="n">
        <v>0</v>
      </c>
      <c r="E14" s="40" t="n">
        <f aca="false">C14/32</f>
        <v>0.0625</v>
      </c>
      <c r="F14" s="30" t="s">
        <v>698</v>
      </c>
      <c r="G14" s="30" t="s">
        <v>636</v>
      </c>
    </row>
    <row r="15" customFormat="false" ht="15" hidden="false" customHeight="false" outlineLevel="0" collapsed="false">
      <c r="B15" s="30" t="s">
        <v>702</v>
      </c>
      <c r="C15" s="33" t="n">
        <v>4</v>
      </c>
      <c r="D15" s="34" t="n">
        <v>12352</v>
      </c>
      <c r="E15" s="40" t="n">
        <f aca="false">C15/32</f>
        <v>0.125</v>
      </c>
      <c r="F15" s="30" t="s">
        <v>698</v>
      </c>
      <c r="G15" s="30" t="s">
        <v>654</v>
      </c>
    </row>
    <row r="16" customFormat="false" ht="15" hidden="false" customHeight="false" outlineLevel="0" collapsed="false">
      <c r="B16" s="37" t="s">
        <v>38</v>
      </c>
      <c r="C16" s="37" t="n">
        <f aca="false">SUM(C7:C15)</f>
        <v>32</v>
      </c>
      <c r="D16" s="38" t="n">
        <f aca="false">SUM(D7:D15)</f>
        <v>33094</v>
      </c>
    </row>
    <row r="19" customFormat="false" ht="15" hidden="false" customHeight="false" outlineLevel="0" collapsed="false">
      <c r="B19" s="39" t="s">
        <v>703</v>
      </c>
    </row>
    <row r="20" customFormat="false" ht="15" hidden="false" customHeight="false" outlineLevel="0" collapsed="false">
      <c r="B20" s="27" t="s">
        <v>704</v>
      </c>
      <c r="C20" s="27" t="s">
        <v>686</v>
      </c>
      <c r="D20" s="27" t="s">
        <v>705</v>
      </c>
      <c r="E20" s="27" t="s">
        <v>706</v>
      </c>
    </row>
    <row r="21" customFormat="false" ht="23.85" hidden="false" customHeight="false" outlineLevel="0" collapsed="false">
      <c r="B21" s="30" t="s">
        <v>691</v>
      </c>
      <c r="C21" s="33" t="n">
        <v>14</v>
      </c>
      <c r="D21" s="34" t="n">
        <v>17841</v>
      </c>
      <c r="E21" s="30" t="s">
        <v>707</v>
      </c>
    </row>
    <row r="22" customFormat="false" ht="23.85" hidden="false" customHeight="false" outlineLevel="0" collapsed="false">
      <c r="B22" s="30" t="s">
        <v>694</v>
      </c>
      <c r="C22" s="33" t="n">
        <v>9</v>
      </c>
      <c r="D22" s="34" t="n">
        <v>2901</v>
      </c>
      <c r="E22" s="30" t="s">
        <v>707</v>
      </c>
    </row>
    <row r="23" customFormat="false" ht="23.85" hidden="false" customHeight="false" outlineLevel="0" collapsed="false">
      <c r="B23" s="30" t="s">
        <v>698</v>
      </c>
      <c r="C23" s="33" t="n">
        <v>9</v>
      </c>
      <c r="D23" s="34" t="n">
        <v>12352</v>
      </c>
      <c r="E23" s="30" t="s">
        <v>707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60"/>
  </cols>
  <sheetData>
    <row r="2" customFormat="false" ht="27.75" hidden="false" customHeight="true" outlineLevel="0" collapsed="false">
      <c r="B2" s="31" t="s">
        <v>708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709</v>
      </c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B5" s="39" t="s">
        <v>710</v>
      </c>
    </row>
    <row r="6" customFormat="false" ht="15" hidden="false" customHeight="false" outlineLevel="0" collapsed="false">
      <c r="B6" s="27" t="s">
        <v>711</v>
      </c>
      <c r="C6" s="27" t="s">
        <v>712</v>
      </c>
      <c r="D6" s="27" t="s">
        <v>713</v>
      </c>
      <c r="E6" s="27" t="s">
        <v>376</v>
      </c>
      <c r="F6" s="27" t="s">
        <v>714</v>
      </c>
    </row>
    <row r="7" customFormat="false" ht="15" hidden="false" customHeight="false" outlineLevel="0" collapsed="false">
      <c r="B7" s="30" t="s">
        <v>715</v>
      </c>
      <c r="C7" s="41" t="n">
        <v>319</v>
      </c>
      <c r="D7" s="33" t="s">
        <v>716</v>
      </c>
      <c r="E7" s="30" t="s">
        <v>717</v>
      </c>
      <c r="F7" s="30" t="s">
        <v>718</v>
      </c>
    </row>
    <row r="8" customFormat="false" ht="15" hidden="false" customHeight="false" outlineLevel="0" collapsed="false">
      <c r="B8" s="30" t="s">
        <v>719</v>
      </c>
      <c r="C8" s="33" t="s">
        <v>720</v>
      </c>
      <c r="D8" s="33" t="s">
        <v>721</v>
      </c>
      <c r="E8" s="30" t="s">
        <v>717</v>
      </c>
      <c r="F8" s="30" t="s">
        <v>722</v>
      </c>
    </row>
    <row r="9" customFormat="false" ht="15" hidden="false" customHeight="false" outlineLevel="0" collapsed="false">
      <c r="B9" s="30" t="s">
        <v>723</v>
      </c>
      <c r="C9" s="33" t="s">
        <v>724</v>
      </c>
      <c r="D9" s="33" t="s">
        <v>725</v>
      </c>
      <c r="E9" s="30" t="s">
        <v>726</v>
      </c>
      <c r="F9" s="30" t="s">
        <v>727</v>
      </c>
    </row>
    <row r="10" customFormat="false" ht="15" hidden="false" customHeight="false" outlineLevel="0" collapsed="false">
      <c r="B10" s="30" t="s">
        <v>728</v>
      </c>
      <c r="C10" s="41" t="n">
        <v>0</v>
      </c>
      <c r="D10" s="33" t="s">
        <v>729</v>
      </c>
      <c r="E10" s="42" t="s">
        <v>730</v>
      </c>
      <c r="F10" s="30" t="s">
        <v>731</v>
      </c>
    </row>
    <row r="11" customFormat="false" ht="15" hidden="false" customHeight="false" outlineLevel="0" collapsed="false">
      <c r="B11" s="30" t="s">
        <v>732</v>
      </c>
      <c r="C11" s="41" t="n">
        <v>1</v>
      </c>
      <c r="D11" s="33" t="s">
        <v>733</v>
      </c>
      <c r="E11" s="42" t="s">
        <v>730</v>
      </c>
      <c r="F11" s="30" t="s">
        <v>734</v>
      </c>
    </row>
    <row r="12" customFormat="false" ht="15" hidden="false" customHeight="false" outlineLevel="0" collapsed="false">
      <c r="B12" s="30" t="s">
        <v>735</v>
      </c>
      <c r="C12" s="41" t="n">
        <v>28</v>
      </c>
      <c r="D12" s="33" t="s">
        <v>733</v>
      </c>
      <c r="E12" s="43" t="s">
        <v>736</v>
      </c>
      <c r="F12" s="30" t="s">
        <v>737</v>
      </c>
    </row>
    <row r="13" customFormat="false" ht="15" hidden="false" customHeight="false" outlineLevel="0" collapsed="false">
      <c r="B13" s="30" t="s">
        <v>738</v>
      </c>
      <c r="C13" s="41" t="n">
        <v>1</v>
      </c>
      <c r="D13" s="33" t="s">
        <v>739</v>
      </c>
      <c r="E13" s="42" t="s">
        <v>730</v>
      </c>
      <c r="F13" s="30" t="s">
        <v>740</v>
      </c>
    </row>
    <row r="14" customFormat="false" ht="15" hidden="false" customHeight="false" outlineLevel="0" collapsed="false">
      <c r="B14" s="30" t="s">
        <v>741</v>
      </c>
      <c r="C14" s="41" t="n">
        <v>15</v>
      </c>
      <c r="D14" s="33" t="s">
        <v>742</v>
      </c>
      <c r="E14" s="43" t="s">
        <v>736</v>
      </c>
      <c r="F14" s="30" t="s">
        <v>743</v>
      </c>
    </row>
    <row r="15" customFormat="false" ht="15" hidden="false" customHeight="false" outlineLevel="0" collapsed="false">
      <c r="B15" s="30" t="s">
        <v>744</v>
      </c>
      <c r="C15" s="41" t="n">
        <v>33094</v>
      </c>
      <c r="D15" s="33" t="s">
        <v>745</v>
      </c>
      <c r="E15" s="42" t="s">
        <v>746</v>
      </c>
      <c r="F15" s="30" t="s">
        <v>747</v>
      </c>
    </row>
    <row r="18" customFormat="false" ht="15" hidden="false" customHeight="false" outlineLevel="0" collapsed="false">
      <c r="B18" s="39" t="s">
        <v>748</v>
      </c>
    </row>
    <row r="19" customFormat="false" ht="15" hidden="false" customHeight="false" outlineLevel="0" collapsed="false">
      <c r="B19" s="27" t="s">
        <v>749</v>
      </c>
      <c r="C19" s="27" t="s">
        <v>750</v>
      </c>
      <c r="D19" s="27" t="s">
        <v>406</v>
      </c>
      <c r="E19" s="27" t="s">
        <v>751</v>
      </c>
      <c r="F19" s="27" t="s">
        <v>752</v>
      </c>
    </row>
    <row r="20" customFormat="false" ht="15" hidden="false" customHeight="false" outlineLevel="0" collapsed="false">
      <c r="B20" s="30" t="s">
        <v>753</v>
      </c>
      <c r="C20" s="44" t="n">
        <f aca="false">'Benchmark KPIs'!D55</f>
        <v>0.0573305992554783</v>
      </c>
      <c r="D20" s="33" t="s">
        <v>30</v>
      </c>
      <c r="E20" s="30" t="s">
        <v>754</v>
      </c>
      <c r="F20" s="30" t="s">
        <v>755</v>
      </c>
    </row>
    <row r="21" customFormat="false" ht="15" hidden="false" customHeight="false" outlineLevel="0" collapsed="false">
      <c r="B21" s="30" t="s">
        <v>756</v>
      </c>
      <c r="C21" s="45" t="n">
        <f aca="false">'Benchmark KPIs'!D21</f>
        <v>1524058.73</v>
      </c>
      <c r="D21" s="33" t="s">
        <v>30</v>
      </c>
      <c r="E21" s="30" t="s">
        <v>754</v>
      </c>
      <c r="F21" s="30" t="s">
        <v>757</v>
      </c>
    </row>
    <row r="22" customFormat="false" ht="15" hidden="false" customHeight="false" outlineLevel="0" collapsed="false">
      <c r="B22" s="30" t="s">
        <v>758</v>
      </c>
      <c r="C22" s="44" t="n">
        <f aca="false">'Benchmark KPIs'!D20</f>
        <v>0.470301377170299</v>
      </c>
      <c r="D22" s="33" t="s">
        <v>30</v>
      </c>
      <c r="E22" s="30" t="s">
        <v>754</v>
      </c>
      <c r="F22" s="30" t="s">
        <v>759</v>
      </c>
    </row>
    <row r="23" customFormat="false" ht="15" hidden="false" customHeight="false" outlineLevel="0" collapsed="false">
      <c r="B23" s="30" t="s">
        <v>760</v>
      </c>
      <c r="C23" s="33" t="n">
        <v>25</v>
      </c>
      <c r="D23" s="33" t="s">
        <v>761</v>
      </c>
      <c r="E23" s="30" t="s">
        <v>762</v>
      </c>
      <c r="F23" s="30" t="s">
        <v>763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5"/>
    <col collapsed="false" customWidth="true" hidden="false" outlineLevel="0" max="4" min="3" style="0" width="26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36"/>
    <col collapsed="false" customWidth="true" hidden="false" outlineLevel="0" max="10" min="10" style="0" width="26"/>
  </cols>
  <sheetData>
    <row r="2" customFormat="false" ht="27.75" hidden="false" customHeight="true" outlineLevel="0" collapsed="false">
      <c r="B2" s="31" t="s">
        <v>764</v>
      </c>
      <c r="C2" s="31"/>
      <c r="D2" s="31"/>
      <c r="E2" s="31"/>
      <c r="F2" s="31"/>
      <c r="G2" s="31"/>
      <c r="H2" s="31"/>
      <c r="I2" s="31"/>
      <c r="J2" s="31"/>
    </row>
    <row r="3" customFormat="false" ht="15" hidden="false" customHeight="false" outlineLevel="0" collapsed="false">
      <c r="B3" s="32" t="s">
        <v>765</v>
      </c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B5" s="27" t="s">
        <v>766</v>
      </c>
      <c r="C5" s="27" t="s">
        <v>767</v>
      </c>
      <c r="D5" s="27" t="s">
        <v>768</v>
      </c>
      <c r="E5" s="27" t="s">
        <v>41</v>
      </c>
      <c r="F5" s="27" t="s">
        <v>769</v>
      </c>
      <c r="G5" s="27" t="s">
        <v>770</v>
      </c>
      <c r="H5" s="27" t="s">
        <v>406</v>
      </c>
      <c r="I5" s="27" t="s">
        <v>771</v>
      </c>
      <c r="J5" s="27" t="s">
        <v>772</v>
      </c>
    </row>
    <row r="6" customFormat="false" ht="15" hidden="false" customHeight="false" outlineLevel="0" collapsed="false">
      <c r="B6" s="33" t="n">
        <v>1</v>
      </c>
      <c r="C6" s="30" t="s">
        <v>409</v>
      </c>
      <c r="D6" s="30" t="s">
        <v>408</v>
      </c>
      <c r="E6" s="33" t="str">
        <f aca="false">'Benchmark KPIs'!D6</f>
        <v>2019</v>
      </c>
      <c r="F6" s="33" t="s">
        <v>773</v>
      </c>
      <c r="G6" s="30" t="s">
        <v>402</v>
      </c>
      <c r="H6" s="29" t="s">
        <v>412</v>
      </c>
      <c r="I6" s="30" t="s">
        <v>774</v>
      </c>
      <c r="J6" s="30" t="s">
        <v>775</v>
      </c>
    </row>
    <row r="7" customFormat="false" ht="35.05" hidden="false" customHeight="false" outlineLevel="0" collapsed="false">
      <c r="B7" s="33" t="n">
        <v>2</v>
      </c>
      <c r="C7" s="30" t="s">
        <v>415</v>
      </c>
      <c r="D7" s="30" t="s">
        <v>414</v>
      </c>
      <c r="E7" s="33" t="str">
        <f aca="false">'Benchmark KPIs'!D7</f>
        <v>Exxel Pacific 8th &amp; Republican Apartments</v>
      </c>
      <c r="F7" s="33" t="s">
        <v>776</v>
      </c>
      <c r="G7" s="30" t="s">
        <v>402</v>
      </c>
      <c r="H7" s="29" t="s">
        <v>412</v>
      </c>
      <c r="I7" s="30" t="s">
        <v>777</v>
      </c>
      <c r="J7" s="30" t="s">
        <v>775</v>
      </c>
    </row>
    <row r="8" customFormat="false" ht="35.05" hidden="false" customHeight="false" outlineLevel="0" collapsed="false">
      <c r="B8" s="33" t="n">
        <v>3</v>
      </c>
      <c r="C8" s="30" t="s">
        <v>416</v>
      </c>
      <c r="D8" s="30" t="s">
        <v>7</v>
      </c>
      <c r="E8" s="33" t="str">
        <f aca="false">'Benchmark KPIs'!D8</f>
        <v>Exxel Pacific, Inc. (Owner: The Wolff Company)</v>
      </c>
      <c r="F8" s="33" t="s">
        <v>776</v>
      </c>
      <c r="G8" s="30" t="s">
        <v>402</v>
      </c>
      <c r="H8" s="29" t="s">
        <v>412</v>
      </c>
      <c r="I8" s="30" t="s">
        <v>777</v>
      </c>
      <c r="J8" s="30" t="s">
        <v>775</v>
      </c>
    </row>
    <row r="9" customFormat="false" ht="23.85" hidden="false" customHeight="false" outlineLevel="0" collapsed="false">
      <c r="B9" s="33" t="n">
        <v>4</v>
      </c>
      <c r="C9" s="30" t="s">
        <v>417</v>
      </c>
      <c r="D9" s="30" t="s">
        <v>9</v>
      </c>
      <c r="E9" s="33" t="str">
        <f aca="false">'Benchmark KPIs'!D9</f>
        <v>Seattle, WA (430 8th Ave N)</v>
      </c>
      <c r="F9" s="33" t="s">
        <v>776</v>
      </c>
      <c r="G9" s="30" t="s">
        <v>402</v>
      </c>
      <c r="H9" s="29" t="s">
        <v>412</v>
      </c>
      <c r="I9" s="30" t="s">
        <v>778</v>
      </c>
      <c r="J9" s="30" t="s">
        <v>775</v>
      </c>
    </row>
    <row r="10" customFormat="false" ht="46.25" hidden="false" customHeight="false" outlineLevel="0" collapsed="false">
      <c r="B10" s="33" t="n">
        <v>5</v>
      </c>
      <c r="C10" s="30" t="s">
        <v>419</v>
      </c>
      <c r="D10" s="30" t="s">
        <v>418</v>
      </c>
      <c r="E10" s="33" t="str">
        <f aca="false">'Benchmark KPIs'!D10</f>
        <v>8-story 211-unit multifamily apartments + ground-floor retail/amenity</v>
      </c>
      <c r="F10" s="33" t="s">
        <v>776</v>
      </c>
      <c r="G10" s="30" t="s">
        <v>402</v>
      </c>
      <c r="H10" s="29" t="s">
        <v>412</v>
      </c>
      <c r="I10" s="30" t="s">
        <v>779</v>
      </c>
      <c r="J10" s="30" t="s">
        <v>775</v>
      </c>
    </row>
    <row r="11" customFormat="false" ht="15" hidden="false" customHeight="false" outlineLevel="0" collapsed="false">
      <c r="B11" s="33" t="n">
        <v>6</v>
      </c>
      <c r="C11" s="30" t="s">
        <v>422</v>
      </c>
      <c r="D11" s="30" t="s">
        <v>421</v>
      </c>
      <c r="E11" s="33" t="n">
        <f aca="false">'Benchmark KPIs'!D11</f>
        <v>22</v>
      </c>
      <c r="F11" s="33" t="s">
        <v>780</v>
      </c>
      <c r="G11" s="30" t="s">
        <v>402</v>
      </c>
      <c r="H11" s="29" t="s">
        <v>412</v>
      </c>
      <c r="I11" s="30" t="s">
        <v>781</v>
      </c>
      <c r="J11" s="30" t="s">
        <v>775</v>
      </c>
    </row>
    <row r="12" customFormat="false" ht="15" hidden="false" customHeight="false" outlineLevel="0" collapsed="false">
      <c r="B12" s="33" t="n">
        <v>7</v>
      </c>
      <c r="C12" s="30" t="s">
        <v>424</v>
      </c>
      <c r="D12" s="30" t="s">
        <v>423</v>
      </c>
      <c r="E12" s="45" t="n">
        <f aca="false">'Benchmark KPIs'!D12</f>
        <v>211</v>
      </c>
      <c r="F12" s="33" t="s">
        <v>293</v>
      </c>
      <c r="G12" s="30" t="s">
        <v>402</v>
      </c>
      <c r="H12" s="29" t="s">
        <v>412</v>
      </c>
      <c r="I12" s="30" t="s">
        <v>782</v>
      </c>
      <c r="J12" s="30" t="s">
        <v>775</v>
      </c>
    </row>
    <row r="13" customFormat="false" ht="15" hidden="false" customHeight="false" outlineLevel="0" collapsed="false">
      <c r="B13" s="33" t="n">
        <v>8</v>
      </c>
      <c r="C13" s="30" t="s">
        <v>425</v>
      </c>
      <c r="D13" s="30" t="s">
        <v>46</v>
      </c>
      <c r="E13" s="45" t="n">
        <f aca="false">'Benchmark KPIs'!D13</f>
        <v>1196</v>
      </c>
      <c r="F13" s="33" t="s">
        <v>783</v>
      </c>
      <c r="G13" s="30" t="s">
        <v>402</v>
      </c>
      <c r="H13" s="29" t="s">
        <v>412</v>
      </c>
      <c r="I13" s="30" t="s">
        <v>784</v>
      </c>
      <c r="J13" s="30" t="s">
        <v>775</v>
      </c>
    </row>
    <row r="14" customFormat="false" ht="15" hidden="false" customHeight="false" outlineLevel="0" collapsed="false">
      <c r="B14" s="33" t="n">
        <v>9</v>
      </c>
      <c r="C14" s="30" t="s">
        <v>429</v>
      </c>
      <c r="D14" s="30" t="s">
        <v>785</v>
      </c>
      <c r="E14" s="45" t="n">
        <f aca="false">'Benchmark KPIs'!D15</f>
        <v>2721210</v>
      </c>
      <c r="F14" s="33" t="s">
        <v>786</v>
      </c>
      <c r="G14" s="30" t="s">
        <v>402</v>
      </c>
      <c r="H14" s="29" t="s">
        <v>412</v>
      </c>
      <c r="I14" s="30" t="s">
        <v>787</v>
      </c>
      <c r="J14" s="30" t="s">
        <v>775</v>
      </c>
    </row>
    <row r="15" customFormat="false" ht="15" hidden="false" customHeight="false" outlineLevel="0" collapsed="false">
      <c r="B15" s="33" t="n">
        <v>10</v>
      </c>
      <c r="C15" s="30" t="s">
        <v>432</v>
      </c>
      <c r="D15" s="30" t="s">
        <v>788</v>
      </c>
      <c r="E15" s="45" t="n">
        <f aca="false">'Benchmark KPIs'!D16</f>
        <v>2877218.6</v>
      </c>
      <c r="F15" s="33" t="s">
        <v>786</v>
      </c>
      <c r="G15" s="30" t="s">
        <v>402</v>
      </c>
      <c r="H15" s="29" t="s">
        <v>412</v>
      </c>
      <c r="I15" s="30" t="s">
        <v>789</v>
      </c>
      <c r="J15" s="30" t="s">
        <v>775</v>
      </c>
    </row>
    <row r="16" customFormat="false" ht="15" hidden="false" customHeight="false" outlineLevel="0" collapsed="false">
      <c r="B16" s="33" t="n">
        <v>11</v>
      </c>
      <c r="C16" s="30" t="s">
        <v>435</v>
      </c>
      <c r="D16" s="30" t="s">
        <v>434</v>
      </c>
      <c r="E16" s="45" t="n">
        <f aca="false">'Benchmark KPIs'!D17</f>
        <v>156008.6</v>
      </c>
      <c r="F16" s="33" t="s">
        <v>786</v>
      </c>
      <c r="G16" s="30" t="s">
        <v>402</v>
      </c>
      <c r="H16" s="29" t="s">
        <v>412</v>
      </c>
      <c r="I16" s="30" t="s">
        <v>790</v>
      </c>
      <c r="J16" s="30" t="s">
        <v>775</v>
      </c>
    </row>
    <row r="17" customFormat="false" ht="15" hidden="false" customHeight="false" outlineLevel="0" collapsed="false">
      <c r="B17" s="33" t="n">
        <v>12</v>
      </c>
      <c r="C17" s="30" t="s">
        <v>437</v>
      </c>
      <c r="D17" s="30" t="s">
        <v>436</v>
      </c>
      <c r="E17" s="45" t="n">
        <f aca="false">'Benchmark KPIs'!D18</f>
        <v>2877218.6</v>
      </c>
      <c r="F17" s="33" t="s">
        <v>786</v>
      </c>
      <c r="G17" s="30" t="s">
        <v>402</v>
      </c>
      <c r="H17" s="29" t="s">
        <v>412</v>
      </c>
      <c r="I17" s="30" t="s">
        <v>791</v>
      </c>
      <c r="J17" s="30" t="s">
        <v>775</v>
      </c>
    </row>
    <row r="18" customFormat="false" ht="15" hidden="false" customHeight="false" outlineLevel="0" collapsed="false">
      <c r="B18" s="33" t="n">
        <v>13</v>
      </c>
      <c r="C18" s="30" t="s">
        <v>439</v>
      </c>
      <c r="D18" s="30" t="s">
        <v>438</v>
      </c>
      <c r="E18" s="45" t="n">
        <f aca="false">'Benchmark KPIs'!D19</f>
        <v>1353159.87</v>
      </c>
      <c r="F18" s="33" t="s">
        <v>786</v>
      </c>
      <c r="G18" s="30" t="s">
        <v>402</v>
      </c>
      <c r="H18" s="29" t="s">
        <v>412</v>
      </c>
      <c r="I18" s="30" t="s">
        <v>792</v>
      </c>
      <c r="J18" s="30" t="s">
        <v>775</v>
      </c>
    </row>
    <row r="19" customFormat="false" ht="15" hidden="false" customHeight="false" outlineLevel="0" collapsed="false">
      <c r="B19" s="33" t="n">
        <v>14</v>
      </c>
      <c r="C19" s="30" t="s">
        <v>441</v>
      </c>
      <c r="D19" s="30" t="s">
        <v>793</v>
      </c>
      <c r="E19" s="44" t="n">
        <f aca="false">'Benchmark KPIs'!D20</f>
        <v>0.470301377170299</v>
      </c>
      <c r="F19" s="33" t="s">
        <v>794</v>
      </c>
      <c r="G19" s="30" t="s">
        <v>402</v>
      </c>
      <c r="H19" s="29" t="s">
        <v>412</v>
      </c>
      <c r="I19" s="30" t="s">
        <v>795</v>
      </c>
      <c r="J19" s="30" t="s">
        <v>775</v>
      </c>
    </row>
    <row r="20" customFormat="false" ht="15" hidden="false" customHeight="false" outlineLevel="0" collapsed="false">
      <c r="B20" s="33" t="n">
        <v>15</v>
      </c>
      <c r="C20" s="30" t="s">
        <v>442</v>
      </c>
      <c r="D20" s="30" t="s">
        <v>133</v>
      </c>
      <c r="E20" s="45" t="n">
        <f aca="false">'Benchmark KPIs'!D21</f>
        <v>1524058.73</v>
      </c>
      <c r="F20" s="33" t="s">
        <v>786</v>
      </c>
      <c r="G20" s="30" t="s">
        <v>402</v>
      </c>
      <c r="H20" s="29" t="s">
        <v>412</v>
      </c>
      <c r="I20" s="30" t="s">
        <v>796</v>
      </c>
      <c r="J20" s="30" t="s">
        <v>775</v>
      </c>
    </row>
    <row r="21" customFormat="false" ht="15" hidden="false" customHeight="false" outlineLevel="0" collapsed="false">
      <c r="B21" s="33" t="n">
        <v>16</v>
      </c>
      <c r="C21" s="30" t="s">
        <v>444</v>
      </c>
      <c r="D21" s="30" t="s">
        <v>443</v>
      </c>
      <c r="E21" s="45" t="n">
        <f aca="false">'Benchmark KPIs'!D22</f>
        <v>550832.62</v>
      </c>
      <c r="F21" s="33" t="s">
        <v>786</v>
      </c>
      <c r="G21" s="30" t="s">
        <v>402</v>
      </c>
      <c r="H21" s="29" t="s">
        <v>412</v>
      </c>
      <c r="I21" s="30" t="s">
        <v>797</v>
      </c>
      <c r="J21" s="30" t="s">
        <v>775</v>
      </c>
    </row>
    <row r="22" customFormat="false" ht="15" hidden="false" customHeight="false" outlineLevel="0" collapsed="false">
      <c r="B22" s="33" t="n">
        <v>17</v>
      </c>
      <c r="C22" s="30" t="s">
        <v>447</v>
      </c>
      <c r="D22" s="30" t="s">
        <v>446</v>
      </c>
      <c r="E22" s="45" t="n">
        <f aca="false">'Benchmark KPIs'!D23</f>
        <v>660548.93</v>
      </c>
      <c r="F22" s="33" t="s">
        <v>786</v>
      </c>
      <c r="G22" s="30" t="s">
        <v>402</v>
      </c>
      <c r="H22" s="29" t="s">
        <v>412</v>
      </c>
      <c r="I22" s="30" t="s">
        <v>798</v>
      </c>
      <c r="J22" s="30" t="s">
        <v>775</v>
      </c>
    </row>
    <row r="23" customFormat="false" ht="15" hidden="false" customHeight="false" outlineLevel="0" collapsed="false">
      <c r="B23" s="33" t="n">
        <v>18</v>
      </c>
      <c r="C23" s="30" t="s">
        <v>450</v>
      </c>
      <c r="D23" s="30" t="s">
        <v>449</v>
      </c>
      <c r="E23" s="45" t="n">
        <f aca="false">'Benchmark KPIs'!D24</f>
        <v>59981.3</v>
      </c>
      <c r="F23" s="33" t="s">
        <v>786</v>
      </c>
      <c r="G23" s="30" t="s">
        <v>402</v>
      </c>
      <c r="H23" s="29" t="s">
        <v>412</v>
      </c>
      <c r="I23" s="30" t="s">
        <v>799</v>
      </c>
      <c r="J23" s="30" t="s">
        <v>775</v>
      </c>
    </row>
    <row r="24" customFormat="false" ht="15" hidden="false" customHeight="false" outlineLevel="0" collapsed="false">
      <c r="B24" s="33" t="n">
        <v>19</v>
      </c>
      <c r="C24" s="30" t="s">
        <v>453</v>
      </c>
      <c r="D24" s="30" t="s">
        <v>452</v>
      </c>
      <c r="E24" s="45" t="n">
        <f aca="false">'Benchmark KPIs'!D25</f>
        <v>252695.88</v>
      </c>
      <c r="F24" s="33" t="s">
        <v>786</v>
      </c>
      <c r="G24" s="30" t="s">
        <v>402</v>
      </c>
      <c r="H24" s="29" t="s">
        <v>412</v>
      </c>
      <c r="I24" s="30" t="s">
        <v>800</v>
      </c>
      <c r="J24" s="30" t="s">
        <v>775</v>
      </c>
    </row>
    <row r="25" customFormat="false" ht="15" hidden="false" customHeight="false" outlineLevel="0" collapsed="false">
      <c r="B25" s="33" t="n">
        <v>20</v>
      </c>
      <c r="C25" s="30" t="s">
        <v>455</v>
      </c>
      <c r="D25" s="30" t="s">
        <v>377</v>
      </c>
      <c r="E25" s="45" t="n">
        <f aca="false">'Benchmark KPIs'!D26</f>
        <v>143861</v>
      </c>
      <c r="F25" s="33" t="s">
        <v>786</v>
      </c>
      <c r="G25" s="30" t="s">
        <v>402</v>
      </c>
      <c r="H25" s="29" t="s">
        <v>412</v>
      </c>
      <c r="I25" s="30" t="s">
        <v>801</v>
      </c>
      <c r="J25" s="30" t="s">
        <v>775</v>
      </c>
    </row>
    <row r="26" customFormat="false" ht="15" hidden="false" customHeight="false" outlineLevel="0" collapsed="false">
      <c r="B26" s="33" t="n">
        <v>21</v>
      </c>
      <c r="C26" s="30" t="s">
        <v>478</v>
      </c>
      <c r="D26" s="30" t="s">
        <v>477</v>
      </c>
      <c r="E26" s="45" t="n">
        <f aca="false">'Benchmark KPIs'!D37</f>
        <v>26599</v>
      </c>
      <c r="F26" s="33" t="s">
        <v>802</v>
      </c>
      <c r="G26" s="30" t="s">
        <v>402</v>
      </c>
      <c r="H26" s="29" t="s">
        <v>412</v>
      </c>
      <c r="I26" s="30" t="s">
        <v>803</v>
      </c>
      <c r="J26" s="30" t="s">
        <v>775</v>
      </c>
    </row>
    <row r="27" customFormat="false" ht="15" hidden="false" customHeight="false" outlineLevel="0" collapsed="false">
      <c r="B27" s="33" t="n">
        <v>22</v>
      </c>
      <c r="C27" s="30" t="s">
        <v>481</v>
      </c>
      <c r="D27" s="30" t="s">
        <v>480</v>
      </c>
      <c r="E27" s="33" t="n">
        <f aca="false">'Benchmark KPIs'!D38</f>
        <v>56</v>
      </c>
      <c r="F27" s="33" t="s">
        <v>783</v>
      </c>
      <c r="G27" s="30" t="s">
        <v>402</v>
      </c>
      <c r="H27" s="29" t="s">
        <v>412</v>
      </c>
      <c r="I27" s="30" t="s">
        <v>804</v>
      </c>
      <c r="J27" s="30" t="s">
        <v>775</v>
      </c>
    </row>
    <row r="28" customFormat="false" ht="15" hidden="false" customHeight="false" outlineLevel="0" collapsed="false">
      <c r="B28" s="33" t="n">
        <v>23</v>
      </c>
      <c r="C28" s="30" t="s">
        <v>483</v>
      </c>
      <c r="D28" s="30" t="s">
        <v>253</v>
      </c>
      <c r="E28" s="46" t="n">
        <f aca="false">'Benchmark KPIs'!D39</f>
        <v>20.4702808376255</v>
      </c>
      <c r="F28" s="33" t="s">
        <v>805</v>
      </c>
      <c r="G28" s="30" t="s">
        <v>402</v>
      </c>
      <c r="H28" s="29" t="s">
        <v>412</v>
      </c>
      <c r="I28" s="30" t="s">
        <v>806</v>
      </c>
      <c r="J28" s="30" t="s">
        <v>775</v>
      </c>
    </row>
    <row r="29" customFormat="false" ht="15" hidden="false" customHeight="false" outlineLevel="0" collapsed="false">
      <c r="B29" s="33" t="n">
        <v>24</v>
      </c>
      <c r="C29" s="30" t="s">
        <v>510</v>
      </c>
      <c r="D29" s="30" t="s">
        <v>509</v>
      </c>
      <c r="E29" s="33" t="n">
        <f aca="false">'Benchmark KPIs'!D51</f>
        <v>25</v>
      </c>
      <c r="F29" s="33" t="s">
        <v>783</v>
      </c>
      <c r="G29" s="30" t="s">
        <v>402</v>
      </c>
      <c r="H29" s="29" t="s">
        <v>412</v>
      </c>
      <c r="I29" s="30" t="s">
        <v>807</v>
      </c>
      <c r="J29" s="30" t="s">
        <v>775</v>
      </c>
    </row>
    <row r="30" customFormat="false" ht="15" hidden="false" customHeight="false" outlineLevel="0" collapsed="false">
      <c r="B30" s="33" t="n">
        <v>25</v>
      </c>
      <c r="C30" s="30" t="s">
        <v>517</v>
      </c>
      <c r="D30" s="30" t="s">
        <v>516</v>
      </c>
      <c r="E30" s="45" t="n">
        <f aca="false">'Benchmark KPIs'!D54</f>
        <v>194</v>
      </c>
      <c r="F30" s="33" t="s">
        <v>783</v>
      </c>
      <c r="G30" s="30" t="s">
        <v>402</v>
      </c>
      <c r="H30" s="29" t="s">
        <v>412</v>
      </c>
      <c r="I30" s="30" t="s">
        <v>808</v>
      </c>
      <c r="J30" s="30" t="s">
        <v>775</v>
      </c>
    </row>
    <row r="31" customFormat="false" ht="15" hidden="false" customHeight="false" outlineLevel="0" collapsed="false">
      <c r="B31" s="33" t="n">
        <v>26</v>
      </c>
      <c r="C31" s="30" t="s">
        <v>520</v>
      </c>
      <c r="D31" s="30" t="s">
        <v>809</v>
      </c>
      <c r="E31" s="44" t="n">
        <f aca="false">'Benchmark KPIs'!D55</f>
        <v>0.0573305992554783</v>
      </c>
      <c r="F31" s="33" t="s">
        <v>794</v>
      </c>
      <c r="G31" s="30" t="s">
        <v>402</v>
      </c>
      <c r="H31" s="29" t="s">
        <v>412</v>
      </c>
      <c r="I31" s="30" t="s">
        <v>795</v>
      </c>
      <c r="J31" s="30" t="s">
        <v>775</v>
      </c>
    </row>
    <row r="32" customFormat="false" ht="15" hidden="false" customHeight="false" outlineLevel="0" collapsed="false">
      <c r="B32" s="33" t="n">
        <v>27</v>
      </c>
      <c r="C32" s="30" t="s">
        <v>810</v>
      </c>
      <c r="D32" s="30" t="s">
        <v>811</v>
      </c>
      <c r="E32" s="33" t="n">
        <v>319</v>
      </c>
      <c r="F32" s="33" t="s">
        <v>783</v>
      </c>
      <c r="G32" s="30" t="s">
        <v>812</v>
      </c>
      <c r="H32" s="29" t="s">
        <v>412</v>
      </c>
      <c r="I32" s="30" t="s">
        <v>813</v>
      </c>
      <c r="J32" s="30" t="s">
        <v>814</v>
      </c>
    </row>
    <row r="33" customFormat="false" ht="15" hidden="false" customHeight="false" outlineLevel="0" collapsed="false">
      <c r="B33" s="33" t="n">
        <v>28</v>
      </c>
      <c r="C33" s="30" t="s">
        <v>815</v>
      </c>
      <c r="D33" s="30" t="s">
        <v>816</v>
      </c>
      <c r="E33" s="33" t="n">
        <v>0</v>
      </c>
      <c r="F33" s="33" t="s">
        <v>783</v>
      </c>
      <c r="G33" s="30" t="s">
        <v>817</v>
      </c>
      <c r="H33" s="29" t="s">
        <v>412</v>
      </c>
      <c r="I33" s="30" t="s">
        <v>818</v>
      </c>
      <c r="J33" s="30" t="s">
        <v>819</v>
      </c>
    </row>
    <row r="34" customFormat="false" ht="15" hidden="false" customHeight="false" outlineLevel="0" collapsed="false">
      <c r="B34" s="33" t="n">
        <v>29</v>
      </c>
      <c r="C34" s="30" t="s">
        <v>820</v>
      </c>
      <c r="D34" s="30" t="s">
        <v>735</v>
      </c>
      <c r="E34" s="33" t="n">
        <v>28</v>
      </c>
      <c r="F34" s="33" t="s">
        <v>783</v>
      </c>
      <c r="G34" s="30" t="s">
        <v>817</v>
      </c>
      <c r="H34" s="29" t="s">
        <v>412</v>
      </c>
      <c r="I34" s="30" t="s">
        <v>821</v>
      </c>
      <c r="J34" s="30" t="s">
        <v>819</v>
      </c>
    </row>
    <row r="35" customFormat="false" ht="15" hidden="false" customHeight="false" outlineLevel="0" collapsed="false">
      <c r="B35" s="33" t="n">
        <v>30</v>
      </c>
      <c r="C35" s="30" t="s">
        <v>822</v>
      </c>
      <c r="D35" s="30" t="s">
        <v>732</v>
      </c>
      <c r="E35" s="33" t="n">
        <v>1</v>
      </c>
      <c r="F35" s="33" t="s">
        <v>783</v>
      </c>
      <c r="G35" s="30" t="s">
        <v>817</v>
      </c>
      <c r="H35" s="29" t="s">
        <v>412</v>
      </c>
      <c r="I35" s="30" t="s">
        <v>823</v>
      </c>
      <c r="J35" s="30" t="s">
        <v>819</v>
      </c>
    </row>
    <row r="36" customFormat="false" ht="15" hidden="false" customHeight="false" outlineLevel="0" collapsed="false">
      <c r="B36" s="33" t="n">
        <v>31</v>
      </c>
      <c r="C36" s="30" t="s">
        <v>824</v>
      </c>
      <c r="D36" s="30" t="s">
        <v>738</v>
      </c>
      <c r="E36" s="33" t="n">
        <v>1</v>
      </c>
      <c r="F36" s="33" t="s">
        <v>783</v>
      </c>
      <c r="G36" s="30" t="s">
        <v>817</v>
      </c>
      <c r="H36" s="29" t="s">
        <v>412</v>
      </c>
      <c r="I36" s="30" t="s">
        <v>825</v>
      </c>
      <c r="J36" s="30" t="s">
        <v>819</v>
      </c>
    </row>
    <row r="37" customFormat="false" ht="15" hidden="false" customHeight="false" outlineLevel="0" collapsed="false">
      <c r="B37" s="33" t="n">
        <v>32</v>
      </c>
      <c r="C37" s="30" t="s">
        <v>826</v>
      </c>
      <c r="D37" s="30" t="s">
        <v>827</v>
      </c>
      <c r="E37" s="33" t="n">
        <v>15</v>
      </c>
      <c r="F37" s="33" t="s">
        <v>783</v>
      </c>
      <c r="G37" s="30" t="s">
        <v>812</v>
      </c>
      <c r="H37" s="29" t="s">
        <v>412</v>
      </c>
      <c r="I37" s="30" t="s">
        <v>828</v>
      </c>
      <c r="J37" s="30" t="s">
        <v>814</v>
      </c>
    </row>
    <row r="38" customFormat="false" ht="15" hidden="false" customHeight="false" outlineLevel="0" collapsed="false">
      <c r="B38" s="33" t="n">
        <v>33</v>
      </c>
      <c r="C38" s="30" t="s">
        <v>829</v>
      </c>
      <c r="D38" s="30" t="s">
        <v>830</v>
      </c>
      <c r="E38" s="33" t="n">
        <v>32</v>
      </c>
      <c r="F38" s="33" t="s">
        <v>783</v>
      </c>
      <c r="G38" s="30" t="s">
        <v>817</v>
      </c>
      <c r="H38" s="29" t="s">
        <v>412</v>
      </c>
      <c r="I38" s="30" t="s">
        <v>831</v>
      </c>
      <c r="J38" s="30" t="s">
        <v>819</v>
      </c>
    </row>
    <row r="39" customFormat="false" ht="15" hidden="false" customHeight="false" outlineLevel="0" collapsed="false">
      <c r="B39" s="33" t="n">
        <v>34</v>
      </c>
      <c r="C39" s="30" t="s">
        <v>832</v>
      </c>
      <c r="D39" s="30" t="s">
        <v>833</v>
      </c>
      <c r="E39" s="34" t="n">
        <f aca="false">'Change Log'!H39</f>
        <v>33094</v>
      </c>
      <c r="F39" s="33" t="s">
        <v>786</v>
      </c>
      <c r="G39" s="30" t="s">
        <v>817</v>
      </c>
      <c r="H39" s="29" t="s">
        <v>412</v>
      </c>
      <c r="I39" s="30" t="s">
        <v>834</v>
      </c>
      <c r="J39" s="30" t="s">
        <v>819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6" min="3" style="1" width="14"/>
  </cols>
  <sheetData>
    <row r="2" customFormat="false" ht="19.5" hidden="false" customHeight="true" outlineLevel="0" collapsed="false">
      <c r="B2" s="2" t="s">
        <v>835</v>
      </c>
      <c r="C2" s="2"/>
      <c r="D2" s="2"/>
      <c r="E2" s="2"/>
      <c r="F2" s="2"/>
    </row>
    <row r="3" customFormat="false" ht="15" hidden="false" customHeight="false" outlineLevel="0" collapsed="false">
      <c r="B3" s="47" t="s">
        <v>836</v>
      </c>
    </row>
    <row r="4" customFormat="false" ht="15" hidden="false" customHeight="true" outlineLevel="0" collapsed="false">
      <c r="B4" s="10" t="s">
        <v>837</v>
      </c>
      <c r="C4" s="10" t="s">
        <v>838</v>
      </c>
      <c r="D4" s="10" t="s">
        <v>839</v>
      </c>
      <c r="E4" s="10" t="s">
        <v>375</v>
      </c>
      <c r="F4" s="10" t="s">
        <v>376</v>
      </c>
    </row>
    <row r="5" customFormat="false" ht="15" hidden="false" customHeight="true" outlineLevel="0" collapsed="false">
      <c r="B5" s="4" t="s">
        <v>840</v>
      </c>
      <c r="C5" s="4"/>
      <c r="D5" s="4"/>
      <c r="E5" s="4"/>
      <c r="F5" s="4"/>
    </row>
    <row r="6" customFormat="false" ht="15" hidden="false" customHeight="true" outlineLevel="0" collapsed="false">
      <c r="B6" s="5" t="s">
        <v>841</v>
      </c>
      <c r="C6" s="11" t="n">
        <v>550832.62</v>
      </c>
      <c r="D6" s="11" t="n">
        <v>550832.62</v>
      </c>
      <c r="E6" s="11" t="n">
        <f aca="false">C6-D6</f>
        <v>0</v>
      </c>
      <c r="F6" s="6" t="str">
        <f aca="false">IF(ABS(E6)&lt;=1,"TIES",IF(ABS(E6)&lt;=ABS(D6)*0.05,"WITHIN","OFF"))</f>
        <v>TIES</v>
      </c>
    </row>
    <row r="7" customFormat="false" ht="15" hidden="false" customHeight="true" outlineLevel="0" collapsed="false">
      <c r="B7" s="5" t="s">
        <v>842</v>
      </c>
      <c r="C7" s="11" t="n">
        <v>660548.93</v>
      </c>
      <c r="D7" s="11" t="n">
        <v>660548.93</v>
      </c>
      <c r="E7" s="11" t="n">
        <f aca="false">C7-D7</f>
        <v>0</v>
      </c>
      <c r="F7" s="6" t="str">
        <f aca="false">IF(ABS(E7)&lt;=1,"TIES",IF(ABS(E7)&lt;=ABS(D7)*0.05,"WITHIN","OFF"))</f>
        <v>TIES</v>
      </c>
    </row>
    <row r="8" customFormat="false" ht="15" hidden="false" customHeight="true" outlineLevel="0" collapsed="false">
      <c r="B8" s="5" t="s">
        <v>843</v>
      </c>
      <c r="C8" s="11" t="n">
        <v>59981.3</v>
      </c>
      <c r="D8" s="11" t="n">
        <v>59981.3</v>
      </c>
      <c r="E8" s="11" t="n">
        <f aca="false">C8-D8</f>
        <v>0</v>
      </c>
      <c r="F8" s="6" t="str">
        <f aca="false">IF(ABS(E8)&lt;=1,"TIES",IF(ABS(E8)&lt;=ABS(D8)*0.05,"WITHIN","OFF"))</f>
        <v>TIES</v>
      </c>
    </row>
    <row r="9" customFormat="false" ht="15" hidden="false" customHeight="true" outlineLevel="0" collapsed="false">
      <c r="B9" s="5" t="s">
        <v>844</v>
      </c>
      <c r="C9" s="11" t="n">
        <v>252695.88</v>
      </c>
      <c r="D9" s="11" t="n">
        <v>252695.88</v>
      </c>
      <c r="E9" s="11" t="n">
        <f aca="false">C9-D9</f>
        <v>0</v>
      </c>
      <c r="F9" s="6" t="str">
        <f aca="false">IF(ABS(E9)&lt;=1,"TIES",IF(ABS(E9)&lt;=ABS(D9)*0.05,"WITHIN","OFF"))</f>
        <v>TIES</v>
      </c>
    </row>
    <row r="10" customFormat="false" ht="15" hidden="false" customHeight="true" outlineLevel="0" collapsed="false">
      <c r="B10" s="5" t="s">
        <v>845</v>
      </c>
      <c r="C10" s="11" t="n">
        <v>1524058.73</v>
      </c>
      <c r="D10" s="11" t="n">
        <v>1524058.73</v>
      </c>
      <c r="E10" s="11" t="n">
        <f aca="false">C10-D10</f>
        <v>0</v>
      </c>
      <c r="F10" s="6" t="str">
        <f aca="false">IF(ABS(E10)&lt;=1,"TIES",IF(ABS(E10)&lt;=ABS(D10)*0.05,"WITHIN","OFF"))</f>
        <v>TIES</v>
      </c>
    </row>
    <row r="11" customFormat="false" ht="15" hidden="false" customHeight="true" outlineLevel="0" collapsed="false">
      <c r="B11" s="5" t="s">
        <v>846</v>
      </c>
      <c r="C11" s="11" t="n">
        <v>2877218.6</v>
      </c>
      <c r="D11" s="11" t="n">
        <v>2877218.6</v>
      </c>
      <c r="E11" s="11" t="n">
        <f aca="false">C11-D11</f>
        <v>0</v>
      </c>
      <c r="F11" s="6" t="str">
        <f aca="false">IF(ABS(E11)&lt;=1,"TIES",IF(ABS(E11)&lt;=ABS(D11)*0.05,"WITHIN","OFF"))</f>
        <v>TIES</v>
      </c>
    </row>
    <row r="12" customFormat="false" ht="15" hidden="false" customHeight="true" outlineLevel="0" collapsed="false">
      <c r="B12" s="5" t="s">
        <v>847</v>
      </c>
      <c r="C12" s="11" t="n">
        <v>1353159.87</v>
      </c>
      <c r="D12" s="11" t="n">
        <v>1353159.87</v>
      </c>
      <c r="E12" s="11" t="n">
        <f aca="false">C12-D12</f>
        <v>0</v>
      </c>
      <c r="F12" s="6" t="str">
        <f aca="false">IF(ABS(E12)&lt;=1,"TIES",IF(ABS(E12)&lt;=ABS(D12)*0.05,"WITHIN","OFF"))</f>
        <v>TIES</v>
      </c>
    </row>
    <row r="14" customFormat="false" ht="15" hidden="false" customHeight="true" outlineLevel="0" collapsed="false">
      <c r="B14" s="4" t="s">
        <v>848</v>
      </c>
      <c r="C14" s="4"/>
      <c r="D14" s="4"/>
      <c r="E14" s="4"/>
      <c r="F14" s="4"/>
    </row>
    <row r="15" customFormat="false" ht="15" hidden="false" customHeight="true" outlineLevel="0" collapsed="false">
      <c r="B15" s="5" t="s">
        <v>849</v>
      </c>
      <c r="C15" s="48" t="n">
        <v>26599</v>
      </c>
      <c r="D15" s="48" t="n">
        <v>26599</v>
      </c>
      <c r="E15" s="48" t="n">
        <f aca="false">C15-D15</f>
        <v>0</v>
      </c>
      <c r="F15" s="6" t="str">
        <f aca="false">IF(ABS(E15)&lt;=5,"TIES",IF(ABS(E15)&lt;=ABS(D15)*0.05,"WITHIN","OFF"))</f>
        <v>TIES</v>
      </c>
    </row>
    <row r="16" customFormat="false" ht="15" hidden="false" customHeight="true" outlineLevel="0" collapsed="false">
      <c r="B16" s="5" t="s">
        <v>850</v>
      </c>
      <c r="C16" s="48" t="n">
        <v>26448.5</v>
      </c>
      <c r="D16" s="48" t="n">
        <v>26599</v>
      </c>
      <c r="E16" s="48" t="n">
        <f aca="false">C16-D16</f>
        <v>-150.5</v>
      </c>
      <c r="F16" s="6" t="str">
        <f aca="false">IF(ABS(E16)&lt;=5,"TIES",IF(ABS(E16)&lt;=ABS(D16)*0.05,"WITHIN","OFF"))</f>
        <v>WITHIN</v>
      </c>
    </row>
    <row r="18" customFormat="false" ht="15" hidden="false" customHeight="true" outlineLevel="0" collapsed="false">
      <c r="B18" s="4" t="s">
        <v>851</v>
      </c>
      <c r="C18" s="4"/>
      <c r="D18" s="4"/>
      <c r="E18" s="4"/>
      <c r="F18" s="4"/>
    </row>
    <row r="19" customFormat="false" ht="15" hidden="false" customHeight="true" outlineLevel="0" collapsed="false">
      <c r="B19" s="5" t="s">
        <v>341</v>
      </c>
      <c r="C19" s="11" t="n">
        <v>2877218.6</v>
      </c>
      <c r="D19" s="11" t="n">
        <v>2877219</v>
      </c>
      <c r="E19" s="11" t="n">
        <f aca="false">C19-D19</f>
        <v>-0.399999999906868</v>
      </c>
      <c r="F19" s="6" t="str">
        <f aca="false">IF(ABS(E19)&lt;=1,"TIES",IF(ABS(E19)&lt;=ABS(D19)*0.05,"WITHIN","OFF"))</f>
        <v>TIES</v>
      </c>
    </row>
    <row r="20" customFormat="false" ht="15" hidden="false" customHeight="true" outlineLevel="0" collapsed="false">
      <c r="B20" s="5" t="s">
        <v>377</v>
      </c>
      <c r="C20" s="11" t="n">
        <v>143861</v>
      </c>
      <c r="D20" s="11" t="n">
        <v>143861</v>
      </c>
      <c r="E20" s="11" t="n">
        <f aca="false">C20-D20</f>
        <v>0</v>
      </c>
      <c r="F20" s="6" t="str">
        <f aca="false">IF(ABS(E20)&lt;=1,"TIES",IF(ABS(E20)&lt;=ABS(D20)*0.05,"WITHIN","OFF"))</f>
        <v>TIES</v>
      </c>
    </row>
    <row r="21" customFormat="false" ht="15" hidden="false" customHeight="true" outlineLevel="0" collapsed="false">
      <c r="B21" s="5" t="s">
        <v>133</v>
      </c>
      <c r="C21" s="11" t="n">
        <v>1524058.73</v>
      </c>
      <c r="D21" s="11" t="n">
        <v>1524058.73</v>
      </c>
      <c r="E21" s="11" t="n">
        <f aca="false">C21-D21</f>
        <v>0</v>
      </c>
      <c r="F21" s="6" t="str">
        <f aca="false">IF(ABS(E21)&lt;=1,"TIES",IF(ABS(E21)&lt;=ABS(D21)*0.05,"WITHIN","OFF"))</f>
        <v>TIES</v>
      </c>
    </row>
    <row r="23" customFormat="false" ht="15" hidden="false" customHeight="true" outlineLevel="0" collapsed="false">
      <c r="B23" s="4" t="s">
        <v>852</v>
      </c>
      <c r="C23" s="4"/>
      <c r="D23" s="4"/>
      <c r="E23" s="4"/>
      <c r="F23" s="4"/>
    </row>
    <row r="24" customFormat="false" ht="15" hidden="false" customHeight="true" outlineLevel="0" collapsed="false">
      <c r="B24" s="5" t="s">
        <v>853</v>
      </c>
      <c r="C24" s="11" t="n">
        <v>766653.25</v>
      </c>
      <c r="D24" s="11" t="n">
        <v>748852</v>
      </c>
      <c r="E24" s="11" t="n">
        <f aca="false">C24-D24</f>
        <v>17801.25</v>
      </c>
      <c r="F24" s="6" t="str">
        <f aca="false">IF(ABS(E24)&lt;=5,"TIES",IF(ABS(E24)&lt;=ABS(D24)*0.05,"WITHIN","OFF"))</f>
        <v>WITHIN</v>
      </c>
    </row>
    <row r="28" customFormat="false" ht="15" hidden="false" customHeight="true" outlineLevel="0" collapsed="false">
      <c r="B28" s="4" t="s">
        <v>66</v>
      </c>
      <c r="C28" s="4"/>
      <c r="D28" s="4"/>
      <c r="E28" s="4"/>
      <c r="F28" s="4"/>
    </row>
    <row r="29" customFormat="false" ht="15" hidden="false" customHeight="true" outlineLevel="0" collapsed="false">
      <c r="B29" s="3" t="s">
        <v>67</v>
      </c>
      <c r="C29" s="3"/>
      <c r="D29" s="3"/>
      <c r="E29" s="3"/>
      <c r="F29" s="3"/>
    </row>
    <row r="30" customFormat="false" ht="15" hidden="false" customHeight="true" outlineLevel="0" collapsed="false">
      <c r="B30" s="3" t="s">
        <v>68</v>
      </c>
      <c r="C30" s="3"/>
      <c r="D30" s="3"/>
      <c r="E30" s="3"/>
      <c r="F30" s="3"/>
    </row>
    <row r="31" customFormat="false" ht="15" hidden="false" customHeight="true" outlineLevel="0" collapsed="false">
      <c r="B31" s="3" t="s">
        <v>69</v>
      </c>
      <c r="C31" s="3"/>
      <c r="D31" s="3"/>
      <c r="E31" s="3"/>
      <c r="F31" s="3"/>
    </row>
    <row r="32" customFormat="false" ht="15" hidden="false" customHeight="true" outlineLevel="0" collapsed="false">
      <c r="B32" s="3" t="s">
        <v>70</v>
      </c>
      <c r="C32" s="3"/>
      <c r="D32" s="3"/>
      <c r="E32" s="3"/>
      <c r="F32" s="3"/>
    </row>
    <row r="33" customFormat="false" ht="15" hidden="false" customHeight="true" outlineLevel="0" collapsed="false">
      <c r="B33" s="3" t="s">
        <v>71</v>
      </c>
      <c r="C33" s="3"/>
      <c r="D33" s="3"/>
      <c r="E33" s="3"/>
      <c r="F33" s="3"/>
    </row>
    <row r="34" customFormat="false" ht="15" hidden="false" customHeight="true" outlineLevel="0" collapsed="false">
      <c r="B34" s="3" t="s">
        <v>72</v>
      </c>
      <c r="C34" s="3"/>
      <c r="D34" s="3"/>
      <c r="E34" s="3"/>
      <c r="F34" s="3"/>
    </row>
    <row r="35" customFormat="false" ht="15" hidden="false" customHeight="true" outlineLevel="0" collapsed="false">
      <c r="B35" s="3" t="s">
        <v>73</v>
      </c>
      <c r="C35" s="3"/>
      <c r="D35" s="3"/>
      <c r="E35" s="3"/>
      <c r="F35" s="3"/>
    </row>
    <row r="36" customFormat="false" ht="15" hidden="false" customHeight="true" outlineLevel="0" collapsed="false">
      <c r="B36" s="3" t="s">
        <v>74</v>
      </c>
      <c r="C36" s="3"/>
      <c r="D36" s="3"/>
      <c r="E36" s="3"/>
      <c r="F36" s="3"/>
    </row>
    <row r="37" customFormat="false" ht="15" hidden="false" customHeight="true" outlineLevel="0" collapsed="false">
      <c r="B37" s="3" t="s">
        <v>75</v>
      </c>
      <c r="C37" s="3"/>
      <c r="D37" s="3"/>
      <c r="E37" s="3"/>
      <c r="F37" s="3"/>
    </row>
    <row r="38" customFormat="false" ht="15" hidden="false" customHeight="true" outlineLevel="0" collapsed="false">
      <c r="B38" s="3" t="s">
        <v>854</v>
      </c>
      <c r="C38" s="3"/>
      <c r="D38" s="3"/>
      <c r="E38" s="3"/>
      <c r="F38" s="3"/>
    </row>
    <row r="48" customFormat="false" ht="15" hidden="false" customHeight="false" outlineLevel="0" collapsed="false">
      <c r="B48" s="49" t="s">
        <v>855</v>
      </c>
      <c r="C48" s="50"/>
      <c r="D48" s="50"/>
      <c r="E48" s="50"/>
      <c r="F48" s="50"/>
      <c r="G48" s="50"/>
      <c r="H48" s="51"/>
      <c r="I48" s="51"/>
    </row>
    <row r="49" customFormat="false" ht="15" hidden="false" customHeight="false" outlineLevel="0" collapsed="false">
      <c r="B49" s="52" t="s">
        <v>856</v>
      </c>
      <c r="C49" s="52" t="n">
        <v>32</v>
      </c>
      <c r="D49" s="52" t="n">
        <f aca="false">'Root Cause Analysis'!C16</f>
        <v>32</v>
      </c>
      <c r="E49" s="52" t="n">
        <f aca="false">C49-D49</f>
        <v>0</v>
      </c>
      <c r="F49" s="52" t="str">
        <f aca="false">IF(ABS(E49)&lt;=1,"TIES",IF(ABS(E49)&lt;=ABS(D49)*0.05,"WITHIN","OFF"))</f>
        <v>TIES</v>
      </c>
      <c r="G49" s="52" t="s">
        <v>857</v>
      </c>
      <c r="H49" s="51"/>
      <c r="I49" s="51"/>
    </row>
    <row r="50" customFormat="false" ht="15" hidden="false" customHeight="false" outlineLevel="0" collapsed="false">
      <c r="B50" s="52" t="s">
        <v>744</v>
      </c>
      <c r="C50" s="53" t="n">
        <f aca="false">'Change Log'!H39</f>
        <v>33094</v>
      </c>
      <c r="D50" s="53" t="n">
        <f aca="false">'Root Cause Analysis'!D16</f>
        <v>33094</v>
      </c>
      <c r="E50" s="52" t="n">
        <f aca="false">C50-D50</f>
        <v>0</v>
      </c>
      <c r="F50" s="52" t="str">
        <f aca="false">IF(ABS(E50)&lt;=1,"TIES",IF(ABS(E50)&lt;=ABS(D50)*0.05,"WITHIN","OFF"))</f>
        <v>TIES</v>
      </c>
      <c r="G50" s="52" t="s">
        <v>857</v>
      </c>
      <c r="H50" s="51"/>
      <c r="I50" s="51"/>
    </row>
    <row r="51" customFormat="false" ht="15" hidden="false" customHeight="false" outlineLevel="0" collapsed="false">
      <c r="B51" s="51"/>
      <c r="C51" s="51"/>
      <c r="D51" s="51"/>
      <c r="E51" s="51"/>
      <c r="F51" s="51"/>
      <c r="G51" s="51"/>
      <c r="H51" s="51"/>
      <c r="I51" s="51"/>
    </row>
    <row r="52" customFormat="false" ht="15" hidden="false" customHeight="false" outlineLevel="0" collapsed="false">
      <c r="B52" s="49" t="s">
        <v>858</v>
      </c>
      <c r="C52" s="50"/>
      <c r="D52" s="50"/>
      <c r="E52" s="50"/>
      <c r="F52" s="50"/>
      <c r="G52" s="50"/>
      <c r="H52" s="51"/>
      <c r="I52" s="51"/>
    </row>
    <row r="53" customFormat="false" ht="15" hidden="false" customHeight="false" outlineLevel="0" collapsed="false">
      <c r="B53" s="52" t="s">
        <v>859</v>
      </c>
      <c r="C53" s="52" t="n">
        <v>1</v>
      </c>
      <c r="D53" s="52" t="n">
        <f aca="false">COUNTIF('Change Log'!C6:C38,"Backcharge")</f>
        <v>1</v>
      </c>
      <c r="E53" s="52" t="n">
        <f aca="false">C53-D53</f>
        <v>0</v>
      </c>
      <c r="F53" s="52" t="str">
        <f aca="false">IF(ABS(E53)&lt;=1,"TIES",IF(ABS(E53)&lt;=ABS(D53)*0.05,"WITHIN","OFF"))</f>
        <v>TIES</v>
      </c>
      <c r="G53" s="52" t="s">
        <v>860</v>
      </c>
      <c r="H53" s="51"/>
      <c r="I53" s="51"/>
    </row>
    <row r="54" customFormat="false" ht="15" hidden="false" customHeight="false" outlineLevel="0" collapsed="false">
      <c r="B54" s="51"/>
      <c r="C54" s="51"/>
      <c r="D54" s="51"/>
      <c r="E54" s="51"/>
      <c r="F54" s="51"/>
      <c r="G54" s="51"/>
      <c r="H54" s="51"/>
      <c r="I54" s="51"/>
    </row>
    <row r="55" customFormat="false" ht="15" hidden="false" customHeight="false" outlineLevel="0" collapsed="false">
      <c r="B55" s="49" t="s">
        <v>861</v>
      </c>
      <c r="C55" s="50"/>
      <c r="D55" s="50"/>
      <c r="E55" s="50"/>
      <c r="F55" s="50"/>
      <c r="G55" s="50"/>
      <c r="H55" s="51"/>
      <c r="I55" s="51"/>
    </row>
    <row r="56" customFormat="false" ht="15" hidden="false" customHeight="false" outlineLevel="0" collapsed="false">
      <c r="B56" s="52" t="s">
        <v>862</v>
      </c>
      <c r="C56" s="54" t="n">
        <f aca="false">'Metric Registry'!E17</f>
        <v>2877218.6</v>
      </c>
      <c r="D56" s="54" t="n">
        <f aca="false">'Benchmark KPIs'!D18</f>
        <v>2877218.6</v>
      </c>
      <c r="E56" s="52" t="n">
        <f aca="false">C56-D56</f>
        <v>0</v>
      </c>
      <c r="F56" s="52" t="str">
        <f aca="false">IF(ABS(E56)&lt;=1,"TIES",IF(ABS(E56)&lt;=ABS(D56)*0.05,"WITHIN","OFF"))</f>
        <v>TIES</v>
      </c>
      <c r="G56" s="52" t="s">
        <v>863</v>
      </c>
      <c r="H56" s="51"/>
      <c r="I56" s="51"/>
    </row>
    <row r="57" customFormat="false" ht="15" hidden="false" customHeight="false" outlineLevel="0" collapsed="false">
      <c r="B57" s="52" t="s">
        <v>864</v>
      </c>
      <c r="C57" s="54" t="n">
        <f aca="false">'Metric Registry'!E12</f>
        <v>211</v>
      </c>
      <c r="D57" s="54" t="n">
        <f aca="false">'Benchmark KPIs'!D12</f>
        <v>211</v>
      </c>
      <c r="E57" s="52" t="n">
        <f aca="false">C57-D57</f>
        <v>0</v>
      </c>
      <c r="F57" s="52" t="str">
        <f aca="false">IF(ABS(E57)&lt;=1,"TIES",IF(ABS(E57)&lt;=ABS(D57)*0.05,"WITHIN","OFF"))</f>
        <v>TIES</v>
      </c>
      <c r="G57" s="52" t="s">
        <v>863</v>
      </c>
      <c r="H57" s="51"/>
      <c r="I57" s="51"/>
    </row>
    <row r="58" customFormat="false" ht="15" hidden="false" customHeight="false" outlineLevel="0" collapsed="false">
      <c r="B58" s="52" t="s">
        <v>865</v>
      </c>
      <c r="C58" s="54" t="n">
        <f aca="false">'Metric Registry'!E13</f>
        <v>1196</v>
      </c>
      <c r="D58" s="54" t="n">
        <f aca="false">'Benchmark KPIs'!D13</f>
        <v>1196</v>
      </c>
      <c r="E58" s="52" t="n">
        <f aca="false">C58-D58</f>
        <v>0</v>
      </c>
      <c r="F58" s="52" t="str">
        <f aca="false">IF(ABS(E58)&lt;=1,"TIES",IF(ABS(E58)&lt;=ABS(D58)*0.05,"WITHIN","OFF"))</f>
        <v>TIES</v>
      </c>
      <c r="G58" s="52" t="s">
        <v>863</v>
      </c>
      <c r="H58" s="51"/>
      <c r="I58" s="51"/>
    </row>
    <row r="59" customFormat="false" ht="15" hidden="false" customHeight="false" outlineLevel="0" collapsed="false">
      <c r="B59" s="52" t="s">
        <v>866</v>
      </c>
      <c r="C59" s="55" t="n">
        <f aca="false">'Metric Registry'!E19</f>
        <v>0.470301377170299</v>
      </c>
      <c r="D59" s="54" t="n">
        <f aca="false">'Benchmark KPIs'!D21</f>
        <v>1524058.73</v>
      </c>
      <c r="E59" s="52" t="n">
        <f aca="false">C59-D59</f>
        <v>-1524058.25969862</v>
      </c>
      <c r="F59" s="52" t="str">
        <f aca="false">IF(ABS(E59)&lt;=1,"TIES",IF(ABS(E59)&lt;=ABS(D59)*0.05,"WITHIN","OFF"))</f>
        <v>OFF</v>
      </c>
      <c r="G59" s="52" t="s">
        <v>863</v>
      </c>
      <c r="H59" s="51"/>
      <c r="I59" s="51"/>
    </row>
    <row r="60" customFormat="false" ht="15" hidden="false" customHeight="false" outlineLevel="0" collapsed="false">
      <c r="B60" s="52" t="s">
        <v>867</v>
      </c>
      <c r="C60" s="54" t="n">
        <f aca="false">'Metric Registry'!E30</f>
        <v>194</v>
      </c>
      <c r="D60" s="54" t="n">
        <f aca="false">'Benchmark KPIs'!D54</f>
        <v>194</v>
      </c>
      <c r="E60" s="52" t="n">
        <f aca="false">C60-D60</f>
        <v>0</v>
      </c>
      <c r="F60" s="52" t="str">
        <f aca="false">IF(ABS(E60)&lt;=1,"TIES",IF(ABS(E60)&lt;=ABS(D60)*0.05,"WITHIN","OFF"))</f>
        <v>TIES</v>
      </c>
      <c r="G60" s="52" t="s">
        <v>863</v>
      </c>
      <c r="H60" s="51"/>
      <c r="I60" s="51"/>
    </row>
    <row r="61" customFormat="false" ht="15" hidden="false" customHeight="false" outlineLevel="0" collapsed="false">
      <c r="B61" s="51"/>
      <c r="C61" s="51"/>
      <c r="D61" s="51"/>
      <c r="E61" s="51"/>
      <c r="F61" s="51"/>
      <c r="G61" s="51"/>
      <c r="H61" s="51"/>
      <c r="I61" s="51"/>
    </row>
    <row r="62" customFormat="false" ht="15" hidden="false" customHeight="false" outlineLevel="0" collapsed="false">
      <c r="B62" s="49" t="s">
        <v>868</v>
      </c>
      <c r="C62" s="50"/>
      <c r="D62" s="50"/>
      <c r="E62" s="50"/>
      <c r="F62" s="50"/>
      <c r="G62" s="50"/>
      <c r="H62" s="51"/>
      <c r="I62" s="51"/>
    </row>
    <row r="63" customFormat="false" ht="15" hidden="false" customHeight="false" outlineLevel="0" collapsed="false">
      <c r="B63" s="52" t="s">
        <v>829</v>
      </c>
      <c r="C63" s="52" t="n">
        <f aca="false">'Metric Registry'!E36</f>
        <v>1</v>
      </c>
      <c r="D63" s="52" t="n">
        <v>32</v>
      </c>
      <c r="E63" s="52" t="n">
        <f aca="false">C63-D63</f>
        <v>-31</v>
      </c>
      <c r="F63" s="52" t="str">
        <f aca="false">IF(ABS(E63)&lt;=1,"TIES",IF(ABS(E63)&lt;=ABS(D63)*0.05,"WITHIN","OFF"))</f>
        <v>OFF</v>
      </c>
      <c r="G63" s="52" t="s">
        <v>869</v>
      </c>
      <c r="H63" s="51"/>
      <c r="I63" s="51"/>
    </row>
    <row r="64" customFormat="false" ht="15" hidden="false" customHeight="false" outlineLevel="0" collapsed="false">
      <c r="B64" s="51"/>
      <c r="C64" s="51"/>
      <c r="D64" s="51"/>
      <c r="E64" s="51"/>
      <c r="F64" s="51"/>
      <c r="G64" s="51"/>
      <c r="H64" s="51"/>
      <c r="I64" s="51"/>
    </row>
    <row r="65" customFormat="false" ht="15" hidden="false" customHeight="false" outlineLevel="0" collapsed="false">
      <c r="B65" s="51"/>
      <c r="C65" s="51"/>
      <c r="D65" s="51"/>
      <c r="E65" s="51"/>
      <c r="F65" s="51"/>
      <c r="G65" s="51"/>
      <c r="H65" s="51"/>
      <c r="I65" s="51"/>
    </row>
    <row r="66" customFormat="false" ht="15" hidden="false" customHeight="false" outlineLevel="0" collapsed="false">
      <c r="B66" s="56" t="s">
        <v>66</v>
      </c>
      <c r="C66" s="57"/>
      <c r="D66" s="57"/>
      <c r="E66" s="57"/>
      <c r="F66" s="57"/>
      <c r="G66" s="57"/>
      <c r="H66" s="51"/>
      <c r="I66" s="51"/>
    </row>
    <row r="67" customFormat="false" ht="15" hidden="false" customHeight="false" outlineLevel="0" collapsed="false">
      <c r="B67" s="58" t="s">
        <v>870</v>
      </c>
      <c r="C67" s="51"/>
      <c r="D67" s="51"/>
      <c r="E67" s="51"/>
      <c r="F67" s="51"/>
      <c r="G67" s="51"/>
      <c r="H67" s="51"/>
      <c r="I67" s="51"/>
    </row>
    <row r="68" customFormat="false" ht="15" hidden="false" customHeight="false" outlineLevel="0" collapsed="false">
      <c r="B68" s="58" t="s">
        <v>871</v>
      </c>
      <c r="C68" s="51"/>
      <c r="D68" s="51"/>
      <c r="E68" s="51"/>
      <c r="F68" s="51"/>
      <c r="G68" s="51"/>
      <c r="H68" s="51"/>
      <c r="I68" s="51"/>
    </row>
    <row r="69" customFormat="false" ht="15" hidden="false" customHeight="false" outlineLevel="0" collapsed="false">
      <c r="B69" s="58" t="s">
        <v>872</v>
      </c>
      <c r="C69" s="51"/>
      <c r="D69" s="51"/>
      <c r="E69" s="51"/>
      <c r="F69" s="51"/>
      <c r="G69" s="51"/>
      <c r="H69" s="51"/>
      <c r="I69" s="51"/>
    </row>
    <row r="70" customFormat="false" ht="15" hidden="false" customHeight="false" outlineLevel="0" collapsed="false">
      <c r="B70" s="59" t="s">
        <v>873</v>
      </c>
    </row>
    <row r="71" customFormat="false" ht="15" hidden="false" customHeight="false" outlineLevel="0" collapsed="false">
      <c r="B71" s="59" t="s">
        <v>874</v>
      </c>
    </row>
    <row r="72" customFormat="false" ht="15" hidden="false" customHeight="false" outlineLevel="0" collapsed="false">
      <c r="B72" s="59" t="s">
        <v>875</v>
      </c>
    </row>
    <row r="73" customFormat="false" ht="15" hidden="false" customHeight="false" outlineLevel="0" collapsed="false">
      <c r="B73" s="59" t="s">
        <v>876</v>
      </c>
    </row>
    <row r="74" customFormat="false" ht="15" hidden="false" customHeight="false" outlineLevel="0" collapsed="false">
      <c r="B74" s="59" t="s">
        <v>877</v>
      </c>
    </row>
  </sheetData>
  <mergeCells count="16">
    <mergeCell ref="B2:F2"/>
    <mergeCell ref="B5:F5"/>
    <mergeCell ref="B14:F14"/>
    <mergeCell ref="B18:F18"/>
    <mergeCell ref="B23:F23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16"/>
  </cols>
  <sheetData>
    <row r="1" customFormat="false" ht="25.5" hidden="false" customHeight="true" outlineLevel="0" collapsed="false">
      <c r="A1" s="60" t="s">
        <v>878</v>
      </c>
      <c r="B1" s="60"/>
      <c r="C1" s="60"/>
      <c r="D1" s="60"/>
      <c r="E1" s="60"/>
      <c r="F1" s="60"/>
      <c r="G1" s="60"/>
    </row>
    <row r="3" customFormat="false" ht="15" hidden="false" customHeight="true" outlineLevel="0" collapsed="false">
      <c r="A3" s="61" t="s">
        <v>879</v>
      </c>
      <c r="B3" s="62" t="n">
        <v>25</v>
      </c>
      <c r="D3" s="61" t="s">
        <v>880</v>
      </c>
      <c r="E3" s="62" t="s">
        <v>155</v>
      </c>
    </row>
    <row r="4" customFormat="false" ht="15" hidden="false" customHeight="true" outlineLevel="0" collapsed="false">
      <c r="A4" s="61" t="s">
        <v>881</v>
      </c>
      <c r="B4" s="62" t="n">
        <v>402</v>
      </c>
      <c r="D4" s="61" t="s">
        <v>882</v>
      </c>
      <c r="E4" s="63" t="n">
        <f aca="false">454495.29/766653.25</f>
        <v>0.592830318008826</v>
      </c>
    </row>
    <row r="5" customFormat="false" ht="15" hidden="false" customHeight="true" outlineLevel="0" collapsed="false">
      <c r="A5" s="61" t="s">
        <v>883</v>
      </c>
      <c r="B5" s="64" t="n">
        <v>766653.25</v>
      </c>
      <c r="D5" s="61" t="s">
        <v>884</v>
      </c>
      <c r="E5" s="65" t="s">
        <v>885</v>
      </c>
    </row>
    <row r="6" customFormat="false" ht="15" hidden="false" customHeight="true" outlineLevel="0" collapsed="false">
      <c r="A6" s="61" t="s">
        <v>886</v>
      </c>
      <c r="B6" s="66" t="n">
        <f aca="false">B5/B4</f>
        <v>1907.09763681592</v>
      </c>
    </row>
    <row r="8" customFormat="false" ht="19.5" hidden="false" customHeight="true" outlineLevel="0" collapsed="false">
      <c r="A8" s="67" t="s">
        <v>887</v>
      </c>
      <c r="B8" s="67" t="s">
        <v>150</v>
      </c>
      <c r="C8" s="67" t="s">
        <v>888</v>
      </c>
      <c r="D8" s="67" t="s">
        <v>881</v>
      </c>
      <c r="E8" s="67" t="s">
        <v>152</v>
      </c>
      <c r="F8" s="67" t="s">
        <v>153</v>
      </c>
      <c r="G8" s="67" t="s">
        <v>889</v>
      </c>
    </row>
    <row r="9" customFormat="false" ht="15" hidden="false" customHeight="true" outlineLevel="0" collapsed="false">
      <c r="A9" s="68" t="n">
        <v>1</v>
      </c>
      <c r="B9" s="69" t="s">
        <v>155</v>
      </c>
      <c r="C9" s="68"/>
      <c r="D9" s="68" t="n">
        <v>97</v>
      </c>
      <c r="E9" s="70" t="n">
        <v>248013.68</v>
      </c>
      <c r="F9" s="71" t="n">
        <f aca="false">E9/E$34</f>
        <v>0.323501765628725</v>
      </c>
      <c r="G9" s="72" t="n">
        <f aca="false">E9/D9</f>
        <v>2556.84206185567</v>
      </c>
    </row>
    <row r="10" customFormat="false" ht="15" hidden="false" customHeight="true" outlineLevel="0" collapsed="false">
      <c r="A10" s="68" t="n">
        <v>2</v>
      </c>
      <c r="B10" s="69" t="s">
        <v>156</v>
      </c>
      <c r="C10" s="68"/>
      <c r="D10" s="68" t="n">
        <v>57</v>
      </c>
      <c r="E10" s="70" t="n">
        <v>104759.63</v>
      </c>
      <c r="F10" s="71" t="n">
        <f aca="false">E10/E$34</f>
        <v>0.136645386946445</v>
      </c>
      <c r="G10" s="72" t="n">
        <f aca="false">E10/D10</f>
        <v>1837.88824561404</v>
      </c>
    </row>
    <row r="11" customFormat="false" ht="15" hidden="false" customHeight="true" outlineLevel="0" collapsed="false">
      <c r="A11" s="68" t="n">
        <v>3</v>
      </c>
      <c r="B11" s="69" t="s">
        <v>157</v>
      </c>
      <c r="C11" s="68"/>
      <c r="D11" s="68" t="n">
        <v>66</v>
      </c>
      <c r="E11" s="70" t="n">
        <v>101721.98</v>
      </c>
      <c r="F11" s="71" t="n">
        <f aca="false">E11/E$34</f>
        <v>0.132683165433656</v>
      </c>
      <c r="G11" s="72" t="n">
        <f aca="false">E11/D11</f>
        <v>1541.24212121212</v>
      </c>
    </row>
    <row r="12" customFormat="false" ht="15" hidden="false" customHeight="true" outlineLevel="0" collapsed="false">
      <c r="A12" s="73" t="n">
        <v>4</v>
      </c>
      <c r="B12" s="74" t="s">
        <v>158</v>
      </c>
      <c r="C12" s="73"/>
      <c r="D12" s="73" t="n">
        <v>19</v>
      </c>
      <c r="E12" s="75" t="n">
        <v>94572.5</v>
      </c>
      <c r="F12" s="76" t="n">
        <f aca="false">E12/E$34</f>
        <v>0.123357593540496</v>
      </c>
      <c r="G12" s="77" t="n">
        <f aca="false">E12/D12</f>
        <v>4977.5</v>
      </c>
    </row>
    <row r="13" customFormat="false" ht="15" hidden="false" customHeight="true" outlineLevel="0" collapsed="false">
      <c r="A13" s="78" t="n">
        <v>5</v>
      </c>
      <c r="B13" s="79" t="s">
        <v>159</v>
      </c>
      <c r="C13" s="78"/>
      <c r="D13" s="78" t="n">
        <v>4</v>
      </c>
      <c r="E13" s="80" t="n">
        <v>70651.37</v>
      </c>
      <c r="F13" s="81" t="n">
        <f aca="false">E13/E$34</f>
        <v>0.0921555735921031</v>
      </c>
      <c r="G13" s="82" t="n">
        <f aca="false">E13/D13</f>
        <v>17662.8425</v>
      </c>
    </row>
    <row r="14" customFormat="false" ht="15" hidden="false" customHeight="true" outlineLevel="0" collapsed="false">
      <c r="A14" s="73" t="n">
        <v>6</v>
      </c>
      <c r="B14" s="74" t="s">
        <v>160</v>
      </c>
      <c r="C14" s="73"/>
      <c r="D14" s="73" t="n">
        <v>27</v>
      </c>
      <c r="E14" s="75" t="n">
        <v>45650.81</v>
      </c>
      <c r="F14" s="76" t="n">
        <f aca="false">E14/E$34</f>
        <v>0.0595455768302032</v>
      </c>
      <c r="G14" s="77" t="n">
        <f aca="false">E14/D14</f>
        <v>1690.77074074074</v>
      </c>
    </row>
    <row r="15" customFormat="false" ht="15" hidden="false" customHeight="true" outlineLevel="0" collapsed="false">
      <c r="A15" s="78" t="n">
        <v>7</v>
      </c>
      <c r="B15" s="79" t="s">
        <v>161</v>
      </c>
      <c r="C15" s="78"/>
      <c r="D15" s="78" t="n">
        <v>1</v>
      </c>
      <c r="E15" s="80" t="n">
        <v>19963</v>
      </c>
      <c r="F15" s="81" t="n">
        <f aca="false">E15/E$34</f>
        <v>0.0260391513373223</v>
      </c>
      <c r="G15" s="82" t="n">
        <f aca="false">E15/D15</f>
        <v>19963</v>
      </c>
    </row>
    <row r="16" customFormat="false" ht="15" hidden="false" customHeight="true" outlineLevel="0" collapsed="false">
      <c r="A16" s="73" t="n">
        <v>8</v>
      </c>
      <c r="B16" s="74" t="s">
        <v>162</v>
      </c>
      <c r="C16" s="73"/>
      <c r="D16" s="73" t="n">
        <v>59</v>
      </c>
      <c r="E16" s="75" t="n">
        <v>18513.01</v>
      </c>
      <c r="F16" s="76" t="n">
        <f aca="false">E16/E$34</f>
        <v>0.0241478269347974</v>
      </c>
      <c r="G16" s="77" t="n">
        <f aca="false">E16/D16</f>
        <v>313.779830508475</v>
      </c>
    </row>
    <row r="17" customFormat="false" ht="15" hidden="false" customHeight="true" outlineLevel="0" collapsed="false">
      <c r="A17" s="78" t="n">
        <v>9</v>
      </c>
      <c r="B17" s="79" t="s">
        <v>163</v>
      </c>
      <c r="C17" s="78"/>
      <c r="D17" s="78" t="n">
        <v>10</v>
      </c>
      <c r="E17" s="80" t="n">
        <v>16471.05</v>
      </c>
      <c r="F17" s="81" t="n">
        <f aca="false">E17/E$34</f>
        <v>0.0214843542370687</v>
      </c>
      <c r="G17" s="82" t="n">
        <f aca="false">E17/D17</f>
        <v>1647.105</v>
      </c>
    </row>
    <row r="18" customFormat="false" ht="15" hidden="false" customHeight="true" outlineLevel="0" collapsed="false">
      <c r="A18" s="73" t="n">
        <v>10</v>
      </c>
      <c r="B18" s="74" t="s">
        <v>164</v>
      </c>
      <c r="C18" s="73"/>
      <c r="D18" s="73" t="n">
        <v>18</v>
      </c>
      <c r="E18" s="75" t="n">
        <v>9870.42</v>
      </c>
      <c r="F18" s="76" t="n">
        <f aca="false">E18/E$34</f>
        <v>0.0128746861765733</v>
      </c>
      <c r="G18" s="77" t="n">
        <f aca="false">E18/D18</f>
        <v>548.356666666667</v>
      </c>
    </row>
    <row r="19" customFormat="false" ht="15" hidden="false" customHeight="true" outlineLevel="0" collapsed="false">
      <c r="A19" s="78" t="n">
        <v>11</v>
      </c>
      <c r="B19" s="79" t="s">
        <v>165</v>
      </c>
      <c r="C19" s="78"/>
      <c r="D19" s="78" t="n">
        <v>7</v>
      </c>
      <c r="E19" s="80" t="n">
        <v>8878</v>
      </c>
      <c r="F19" s="81" t="n">
        <f aca="false">E19/E$34</f>
        <v>0.0115802026535464</v>
      </c>
      <c r="G19" s="82" t="n">
        <f aca="false">E19/D19</f>
        <v>1268.28571428571</v>
      </c>
    </row>
    <row r="20" customFormat="false" ht="15" hidden="false" customHeight="true" outlineLevel="0" collapsed="false">
      <c r="A20" s="73" t="n">
        <v>12</v>
      </c>
      <c r="B20" s="74" t="s">
        <v>166</v>
      </c>
      <c r="C20" s="73"/>
      <c r="D20" s="73" t="n">
        <v>3</v>
      </c>
      <c r="E20" s="75" t="n">
        <v>6463.4</v>
      </c>
      <c r="F20" s="76" t="n">
        <f aca="false">E20/E$34</f>
        <v>0.00843066927584276</v>
      </c>
      <c r="G20" s="77" t="n">
        <f aca="false">E20/D20</f>
        <v>2154.46666666667</v>
      </c>
    </row>
    <row r="21" customFormat="false" ht="15" hidden="false" customHeight="true" outlineLevel="0" collapsed="false">
      <c r="A21" s="78" t="n">
        <v>13</v>
      </c>
      <c r="B21" s="79" t="s">
        <v>167</v>
      </c>
      <c r="C21" s="78"/>
      <c r="D21" s="78" t="n">
        <v>7</v>
      </c>
      <c r="E21" s="80" t="n">
        <v>4731.84</v>
      </c>
      <c r="F21" s="81" t="n">
        <f aca="false">E21/E$34</f>
        <v>0.00617207322867281</v>
      </c>
      <c r="G21" s="82" t="n">
        <f aca="false">E21/D21</f>
        <v>675.977142857143</v>
      </c>
    </row>
    <row r="22" customFormat="false" ht="15" hidden="false" customHeight="true" outlineLevel="0" collapsed="false">
      <c r="A22" s="73" t="n">
        <v>14</v>
      </c>
      <c r="B22" s="74" t="s">
        <v>168</v>
      </c>
      <c r="C22" s="73"/>
      <c r="D22" s="73" t="n">
        <v>3</v>
      </c>
      <c r="E22" s="75" t="n">
        <v>4012.56</v>
      </c>
      <c r="F22" s="76" t="n">
        <f aca="false">E22/E$34</f>
        <v>0.00523386550568983</v>
      </c>
      <c r="G22" s="77" t="n">
        <f aca="false">E22/D22</f>
        <v>1337.52</v>
      </c>
    </row>
    <row r="23" customFormat="false" ht="15" hidden="false" customHeight="true" outlineLevel="0" collapsed="false">
      <c r="A23" s="78" t="n">
        <v>15</v>
      </c>
      <c r="B23" s="79" t="s">
        <v>169</v>
      </c>
      <c r="C23" s="78"/>
      <c r="D23" s="78" t="n">
        <v>1</v>
      </c>
      <c r="E23" s="80" t="n">
        <v>3908</v>
      </c>
      <c r="F23" s="81" t="n">
        <f aca="false">E23/E$34</f>
        <v>0.00509748051025676</v>
      </c>
      <c r="G23" s="82" t="n">
        <f aca="false">E23/D23</f>
        <v>3908</v>
      </c>
    </row>
    <row r="24" customFormat="false" ht="15" hidden="false" customHeight="true" outlineLevel="0" collapsed="false">
      <c r="A24" s="73" t="n">
        <v>16</v>
      </c>
      <c r="B24" s="74" t="s">
        <v>170</v>
      </c>
      <c r="C24" s="73"/>
      <c r="D24" s="73" t="n">
        <v>4</v>
      </c>
      <c r="E24" s="75" t="n">
        <v>2674.82</v>
      </c>
      <c r="F24" s="76" t="n">
        <f aca="false">E24/E$34</f>
        <v>0.00348895670891632</v>
      </c>
      <c r="G24" s="77" t="n">
        <f aca="false">E24/D24</f>
        <v>668.705</v>
      </c>
    </row>
    <row r="25" customFormat="false" ht="15" hidden="false" customHeight="true" outlineLevel="0" collapsed="false">
      <c r="A25" s="78" t="n">
        <v>17</v>
      </c>
      <c r="B25" s="79" t="s">
        <v>171</v>
      </c>
      <c r="C25" s="78"/>
      <c r="D25" s="78" t="n">
        <v>1</v>
      </c>
      <c r="E25" s="80" t="n">
        <v>1775</v>
      </c>
      <c r="F25" s="81" t="n">
        <f aca="false">E25/E$34</f>
        <v>0.00231525790831774</v>
      </c>
      <c r="G25" s="82" t="n">
        <f aca="false">E25/D25</f>
        <v>1775</v>
      </c>
    </row>
    <row r="26" customFormat="false" ht="15" hidden="false" customHeight="true" outlineLevel="0" collapsed="false">
      <c r="A26" s="73" t="n">
        <v>18</v>
      </c>
      <c r="B26" s="74" t="s">
        <v>172</v>
      </c>
      <c r="C26" s="73"/>
      <c r="D26" s="73" t="n">
        <v>3</v>
      </c>
      <c r="E26" s="75" t="n">
        <v>1526.25</v>
      </c>
      <c r="F26" s="76" t="n">
        <f aca="false">E26/E$34</f>
        <v>0.00199079570849012</v>
      </c>
      <c r="G26" s="77" t="n">
        <f aca="false">E26/D26</f>
        <v>508.75</v>
      </c>
    </row>
    <row r="27" customFormat="false" ht="15" hidden="false" customHeight="true" outlineLevel="0" collapsed="false">
      <c r="A27" s="78" t="n">
        <v>19</v>
      </c>
      <c r="B27" s="79" t="s">
        <v>173</v>
      </c>
      <c r="C27" s="78"/>
      <c r="D27" s="78" t="n">
        <v>1</v>
      </c>
      <c r="E27" s="80" t="n">
        <v>671.5</v>
      </c>
      <c r="F27" s="81" t="n">
        <f aca="false">E27/E$34</f>
        <v>0.000875884893203022</v>
      </c>
      <c r="G27" s="82" t="n">
        <f aca="false">E27/D27</f>
        <v>671.5</v>
      </c>
    </row>
    <row r="28" customFormat="false" ht="15" hidden="false" customHeight="true" outlineLevel="0" collapsed="false">
      <c r="A28" s="73" t="n">
        <v>20</v>
      </c>
      <c r="B28" s="74" t="s">
        <v>174</v>
      </c>
      <c r="C28" s="73"/>
      <c r="D28" s="73" t="n">
        <v>2</v>
      </c>
      <c r="E28" s="75" t="n">
        <v>607.04</v>
      </c>
      <c r="F28" s="76" t="n">
        <f aca="false">E28/E$34</f>
        <v>0.000791805160938143</v>
      </c>
      <c r="G28" s="77" t="n">
        <f aca="false">E28/D28</f>
        <v>303.52</v>
      </c>
    </row>
    <row r="29" customFormat="false" ht="15" hidden="false" customHeight="true" outlineLevel="0" collapsed="false">
      <c r="A29" s="78" t="n">
        <v>21</v>
      </c>
      <c r="B29" s="79" t="s">
        <v>175</v>
      </c>
      <c r="C29" s="78"/>
      <c r="D29" s="78" t="n">
        <v>3</v>
      </c>
      <c r="E29" s="80" t="n">
        <v>470.35</v>
      </c>
      <c r="F29" s="81" t="n">
        <f aca="false">E29/E$34</f>
        <v>0.000613510736437888</v>
      </c>
      <c r="G29" s="82" t="n">
        <f aca="false">E29/D29</f>
        <v>156.783333333333</v>
      </c>
    </row>
    <row r="30" customFormat="false" ht="15" hidden="false" customHeight="true" outlineLevel="0" collapsed="false">
      <c r="A30" s="73" t="n">
        <v>22</v>
      </c>
      <c r="B30" s="74" t="s">
        <v>176</v>
      </c>
      <c r="C30" s="73"/>
      <c r="D30" s="73" t="n">
        <v>5</v>
      </c>
      <c r="E30" s="75" t="n">
        <v>351.93</v>
      </c>
      <c r="F30" s="76" t="n">
        <f aca="false">E30/E$34</f>
        <v>0.000459047163760148</v>
      </c>
      <c r="G30" s="77" t="n">
        <f aca="false">E30/D30</f>
        <v>70.386</v>
      </c>
    </row>
    <row r="31" customFormat="false" ht="15" hidden="false" customHeight="true" outlineLevel="0" collapsed="false">
      <c r="A31" s="78" t="n">
        <v>23</v>
      </c>
      <c r="B31" s="79" t="s">
        <v>177</v>
      </c>
      <c r="C31" s="78"/>
      <c r="D31" s="78" t="n">
        <v>1</v>
      </c>
      <c r="E31" s="80" t="n">
        <v>155</v>
      </c>
      <c r="F31" s="81" t="n">
        <f aca="false">E31/E$34</f>
        <v>0.000202177451148873</v>
      </c>
      <c r="G31" s="82" t="n">
        <f aca="false">E31/D31</f>
        <v>155</v>
      </c>
    </row>
    <row r="32" customFormat="false" ht="15" hidden="false" customHeight="true" outlineLevel="0" collapsed="false">
      <c r="A32" s="73" t="n">
        <v>24</v>
      </c>
      <c r="B32" s="74" t="s">
        <v>178</v>
      </c>
      <c r="C32" s="73"/>
      <c r="D32" s="73" t="n">
        <v>2</v>
      </c>
      <c r="E32" s="75" t="n">
        <v>150.11</v>
      </c>
      <c r="F32" s="76" t="n">
        <f aca="false">E32/E$34</f>
        <v>0.00019579907865779</v>
      </c>
      <c r="G32" s="77" t="n">
        <f aca="false">E32/D32</f>
        <v>75.055</v>
      </c>
    </row>
    <row r="33" customFormat="false" ht="15" hidden="false" customHeight="true" outlineLevel="0" collapsed="false">
      <c r="A33" s="78" t="n">
        <v>25</v>
      </c>
      <c r="B33" s="79" t="s">
        <v>179</v>
      </c>
      <c r="C33" s="78"/>
      <c r="D33" s="78" t="n">
        <v>1</v>
      </c>
      <c r="E33" s="80" t="n">
        <v>90</v>
      </c>
      <c r="F33" s="81" t="n">
        <f aca="false">E33/E$34</f>
        <v>0.000117393358731604</v>
      </c>
      <c r="G33" s="82" t="n">
        <f aca="false">E33/D33</f>
        <v>90</v>
      </c>
    </row>
    <row r="34" customFormat="false" ht="15" hidden="false" customHeight="true" outlineLevel="0" collapsed="false">
      <c r="A34" s="83"/>
      <c r="B34" s="84" t="s">
        <v>38</v>
      </c>
      <c r="C34" s="83"/>
      <c r="D34" s="85" t="n">
        <f aca="false">SUM(D9:D33)</f>
        <v>402</v>
      </c>
      <c r="E34" s="86" t="n">
        <f aca="false">SUM(E9:E33)</f>
        <v>766653.25</v>
      </c>
      <c r="F34" s="87" t="n">
        <f aca="false">SUM(F9:F33)</f>
        <v>1</v>
      </c>
      <c r="G34" s="86" t="n">
        <f aca="false">E34/D34</f>
        <v>1907.09763681592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2026-04-09T16:34:51Z</dcterms:created>
  <dc:creator>openpyxl</dc:creator>
  <dc:description/>
  <dc:language>en-US</dc:language>
  <cp:lastModifiedBy/>
  <dcterms:modified xsi:type="dcterms:W3CDTF">2026-04-13T21:09:34Z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