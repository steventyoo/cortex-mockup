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<sst xmlns="http://schemas.openxmlformats.org/spreadsheetml/2006/main" count="418" uniqueCount="311">
  <si>
    <t xml:space="preserve">OWP #2057 · Plaza Apartments</t>
  </si>
  <si>
    <t xml:space="preserve">Natural &amp; Built · 10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</si>
  <si>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</si>
  <si>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</si>
  <si>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</si>
  <si>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</si>
  <si>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</si>
  <si>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</si>
  <si>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</si>
  <si>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</si>
  <si>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</si>
  <si>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</si>
  <si>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</si>
  <si>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</si>
  <si>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</si>
  <si>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</si>
  <si>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</si>
  <si>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</si>
  <si>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</si>
  <si>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</si>
  <si>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#2057 · NATURAL &amp; BUILT · Plaza Apartments — FULL PROJECT INFORMATION</t>
  </si>
  <si>
    <t xml:space="preserve">Sourced from contract + ticket + GDrive folder + JDR. Subcontract TBD (no contract on file in GDrive).</t>
  </si>
  <si>
    <t xml:space="preserve">IDENTITY</t>
  </si>
  <si>
    <t xml:space="preserve">OWP Job ID</t>
  </si>
  <si>
    <t xml:space="preserve">2057</t>
  </si>
  <si>
    <t xml:space="preserve">Project Name</t>
  </si>
  <si>
    <t xml:space="preserve">Plaza Apartments</t>
  </si>
  <si>
    <t xml:space="preserve">Site Address</t>
  </si>
  <si>
    <t xml:space="preserve">330 4th Street, Kirkland WA 98033</t>
  </si>
  <si>
    <t xml:space="preserve">Subcontract Number</t>
  </si>
  <si>
    <t xml:space="preserve">TBD (no contract on file in GDrive)</t>
  </si>
  <si>
    <t xml:space="preserve">Effective Date</t>
  </si>
  <si>
    <t xml:space="preserve">2018-2019</t>
  </si>
  <si>
    <t xml:space="preserve">PROJECT TEAM — GENERAL CONTRACTOR</t>
  </si>
  <si>
    <t xml:space="preserve">GC Legal Name</t>
  </si>
  <si>
    <t xml:space="preserve">Natural &amp; Built</t>
  </si>
  <si>
    <t xml:space="preserve">GC Address</t>
  </si>
  <si>
    <t xml:space="preserve">(N&amp;B Construction)</t>
  </si>
  <si>
    <t xml:space="preserve">GC Contract Signatory</t>
  </si>
  <si>
    <t xml:space="preserve">TBD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</si>
  <si>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</si>
  <si>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</si>
  <si>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</si>
  <si>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</si>
  <si>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</si>
  <si>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</si>
  <si>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</si>
  <si>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</si>
  <si>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</si>
  <si>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</si>
  <si>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</si>
  <si>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</si>
  <si>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</si>
  <si>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Kirkland Sustainable Investments</t>
  </si>
  <si>
    <t xml:space="preserve">Owner Address</t>
  </si>
  <si>
    <t xml:space="preserve">Kirkland WA</t>
  </si>
  <si>
    <t xml:space="preserve">PROJECT TEAM — DESIGN</t>
  </si>
  <si>
    <t xml:space="preserve">Architect</t>
  </si>
  <si>
    <t xml:space="preserve">MEP / Plumbing Engineer</t>
  </si>
  <si>
    <t xml:space="preserve">INSURANCE &amp; BONDING</t>
  </si>
  <si>
    <t xml:space="preserve">Insurance Type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</si>
  <si>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</si>
  <si>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</si>
  <si>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</si>
  <si>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</si>
  <si>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$1,098,897 original</t>
  </si>
  <si>
    <t xml:space="preserve">CHANGE-EVENT META</t>
  </si>
  <si>
    <t xml:space="preserve">Executed CO Count</t>
  </si>
  <si>
    <t xml:space="preserve">COR Count</t>
  </si>
  <si>
    <t xml:space="preserve">RFI Count</t>
  </si>
  <si>
    <t xml:space="preserve">ASI Count</t>
  </si>
  <si>
    <t xml:space="preserve">CO Inventory</t>
  </si>
  <si>
    <t xml:space="preserve">CO #10 Water Meters at Studio Units</t>
  </si>
  <si>
    <t xml:space="preserve">COR Themes</t>
  </si>
  <si>
    <t xml:space="preserve">(see GDrive)</t>
  </si>
  <si>
    <t xml:space="preserve">Key RFIs</t>
  </si>
  <si>
    <t xml:space="preserve">DOCUMENTS ON FILE (GDrive)</t>
  </si>
  <si>
    <t xml:space="preserve">Latest Job Ticket</t>
  </si>
  <si>
    <t xml:space="preserve">Natural and Built Plaza Kirkland Job Ticket - October 15 2019.pdf</t>
  </si>
  <si>
    <t xml:space="preserve">GDrive Folder</t>
  </si>
  <si>
    <t xml:space="preserve">Job Books - Completed Jobs/2057-...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</si>
  <si>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</si>
  <si>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</si>
  <si>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</si>
  <si>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 — SRO bathrooms</t>
  </si>
  <si>
    <t xml:space="preserve">101 Niagara N7716/14 + 6 Toto CST454CEF ADA + 3 common ADA</t>
  </si>
  <si>
    <t xml:space="preserve">Lavs</t>
  </si>
  <si>
    <t xml:space="preserve">15 oval self-rim + 3 common K2028/2057</t>
  </si>
  <si>
    <t xml:space="preserve">Bar sinks (unit kitchenettes)</t>
  </si>
  <si>
    <t xml:space="preserve">Dayton D11516 + Delta 1959LF chrome bar faucet 0.5gpm</t>
  </si>
  <si>
    <t xml:space="preserve">Showers</t>
  </si>
  <si>
    <t xml:space="preserve">101 Aquatic 1363EN + 6 1363BFSC w/ Moen 62370</t>
  </si>
  <si>
    <t xml:space="preserve">Full-kitchen sinks</t>
  </si>
  <si>
    <t xml:space="preserve">9 Dayton K12522 + 1 ADA GE12522</t>
  </si>
  <si>
    <t xml:space="preserve">Common kitchen sinks</t>
  </si>
  <si>
    <t xml:space="preserve">Dayton GE12522 ADA + Peerless P188103LF</t>
  </si>
  <si>
    <t xml:space="preserve">Drinking fountain</t>
  </si>
  <si>
    <t xml:space="preserve">Elkay EZSTL8LC dual-level</t>
  </si>
  <si>
    <t xml:space="preserve">Insta-hot</t>
  </si>
  <si>
    <t xml:space="preserve">ISE FGN1100 L1 common</t>
  </si>
  <si>
    <t xml:space="preserve">Watts FD15 deck drains</t>
  </si>
  <si>
    <t xml:space="preserve">L1 restrooms</t>
  </si>
  <si>
    <t xml:space="preserve">Retail bathrooms</t>
  </si>
  <si>
    <t xml:space="preserve">Waste/water/vent roughin only</t>
  </si>
  <si>
    <t xml:space="preserve">Urinal</t>
  </si>
  <si>
    <t xml:space="preserve">Kohler K-4991-ET + Sloan ECOS</t>
  </si>
  <si>
    <t xml:space="preserve">VERIFIED MAIN FIXTURE COUNT</t>
  </si>
  <si>
    <t xml:space="preserve">Per full-kitchen unit (10): 35.0  ·  Per SRO bedroom (101): 3.47</t>
  </si>
  <si>
    <t xml:space="preserve">AUDIT NOTE (2026-04-25): First-pass count of 354 was the all-itemized sum (included drains, hose bibs, condensate stacks, water heaters, appliance rough-ins). Verified main count of 350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</si>
  <si>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</si>
  <si>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</si>
  <si>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</si>
  <si>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</si>
  <si>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</si>
  <si>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</si>
  <si>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</si>
  <si>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</si>
  <si>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</si>
  <si>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</si>
  <si>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</si>
  <si>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</si>
  <si>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</si>
  <si>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</si>
  <si>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</si>
  <si>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</si>
  <si>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</si>
  <si>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</si>
  <si>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</si>
  <si>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</si>
  <si>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</si>
  <si>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</si>
  <si>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</si>
  <si>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</si>
  <si>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</si>
  <si>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</si>
  <si>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</si>
  <si>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</si>
  <si>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</si>
  <si>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</si>
  <si>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</si>
  <si>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</si>
  <si>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</si>
  <si>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</si>
  <si>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</si>
  <si>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</si>
  <si>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</si>
  <si>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</si>
  <si>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</si>
  <si>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</si>
  <si>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</si>
  <si>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</si>
  <si>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</si>
  <si>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</si>
  <si>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</si>
  <si>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</si>
  <si>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</si>
  <si>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</si>
  <si>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</si>
  <si>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</si>
  <si>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</si>
  <si>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</si>
  <si>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</si>
  <si>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</si>
  <si>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</si>
  <si>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</si>
  <si>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</si>
  <si>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</si>
  <si>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</si>
  <si>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</si>
  <si>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</si>
  <si>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</si>
  <si>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</si>
  <si>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</si>
  <si>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</si>
  <si>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</si>
  <si>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</si>
  <si>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</si>
  <si>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</si>
  <si>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</si>
  <si>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602</t>
  </si>
  <si>
    <t xml:space="preserve">Rental Equipment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</si>
  <si>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</si>
  <si>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</si>
  <si>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</si>
  <si>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</si>
  <si>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</si>
  <si>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</si>
  <si>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</si>
  <si>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</si>
  <si>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</si>
  <si>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</si>
  <si>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</si>
  <si>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</si>
  <si>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</si>
  <si>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</si>
  <si>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</si>
  <si>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</si>
  <si>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</si>
  <si>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</si>
  <si>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</si>
  <si>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</si>
  <si>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</si>
  <si>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Keller Supply Company</t>
  </si>
  <si>
    <t xml:space="preserve">Consolidated Supply Co.</t>
  </si>
  <si>
    <t xml:space="preserve">Rosen Supply Kirkland</t>
  </si>
  <si>
    <t xml:space="preserve">Ferguson Enterprises, Inc. #3007</t>
  </si>
  <si>
    <t xml:space="preserve">Patchworks, Inc.</t>
  </si>
  <si>
    <t xml:space="preserve">California Hydronics Corp</t>
  </si>
  <si>
    <t xml:space="preserve">Old Castle Infrastructure, Inc.</t>
  </si>
  <si>
    <t xml:space="preserve">Quality Concrete Products, Inc. $32</t>
  </si>
  <si>
    <t xml:space="preserve">Minol, Inc.</t>
  </si>
  <si>
    <t xml:space="preserve">Manor Hardware &amp; Construction Supply</t>
  </si>
  <si>
    <t xml:space="preserve">R.A. Brown Backflow Testing</t>
  </si>
  <si>
    <t xml:space="preserve">Kele, Inc $ MI Controls</t>
  </si>
  <si>
    <t xml:space="preserve">AllWest Underground, Inc.</t>
  </si>
  <si>
    <t xml:space="preserve">Capital One Credit Card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</si>
  <si>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</si>
  <si>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</si>
  <si>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</si>
  <si>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</si>
  <si>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</si>
  <si>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</si>
  <si>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</si>
  <si>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Reed, Reuben H</t>
  </si>
  <si>
    <t xml:space="preserve">LEAD/SUPERVISOR</t>
  </si>
  <si>
    <t xml:space="preserve">Castro Hernandez, Jose A</t>
  </si>
  <si>
    <t xml:space="preserve">JOURNEYMAN</t>
  </si>
  <si>
    <t xml:space="preserve">Gauthier, Dillon R</t>
  </si>
  <si>
    <t xml:space="preserve">APPRENTICE/HELPER</t>
  </si>
  <si>
    <t xml:space="preserve">Silva Morales, Jair J</t>
  </si>
  <si>
    <t xml:space="preserve">Lucas Tzintzun, Rafael</t>
  </si>
  <si>
    <t xml:space="preserve">Kinssies, Jr, John E</t>
  </si>
  <si>
    <t xml:space="preserve">Cruz Guzman, Joel A</t>
  </si>
  <si>
    <t xml:space="preserve">Eliassen, Cory H</t>
  </si>
  <si>
    <t xml:space="preserve">Gerard, Jeffrey S</t>
  </si>
  <si>
    <t xml:space="preserve">McCabe, Thomas C</t>
  </si>
  <si>
    <t xml:space="preserve">Hubbard, Robert W</t>
  </si>
  <si>
    <t xml:space="preserve">Sepulveda Gonzalez, Alfredo</t>
  </si>
  <si>
    <t xml:space="preserve">Romero Garza, Jesus I</t>
  </si>
  <si>
    <t xml:space="preserve">Guerrero, Ali A</t>
  </si>
  <si>
    <t xml:space="preserve">Donelson, Richard T</t>
  </si>
  <si>
    <t xml:space="preserve">Sanders, Allen O</t>
  </si>
  <si>
    <t xml:space="preserve">Roberts, Lake A</t>
  </si>
  <si>
    <t xml:space="preserve">Vazquez Popoca, Jose N</t>
  </si>
  <si>
    <t xml:space="preserve">Cruz Reyes, Jose</t>
  </si>
  <si>
    <t xml:space="preserve">Trower-Kelly, Fidel D</t>
  </si>
  <si>
    <t xml:space="preserve">Hubbard, Dustin R</t>
  </si>
  <si>
    <t xml:space="preserve">Cruz Gonzalez, Julio C</t>
  </si>
  <si>
    <t xml:space="preserve">Gerard, Jordan E</t>
  </si>
  <si>
    <t xml:space="preserve">Wage Tier Distribution</t>
  </si>
  <si>
    <t xml:space="preserve"># Workers</t>
  </si>
  <si>
    <t xml:space="preserve">% of Hours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</si>
  <si>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</si>
  <si>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</si>
  <si>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</si>
  <si>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</si>
  <si>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</si>
  <si>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</si>
  <si>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</si>
  <si>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</si>
  <si>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</si>
  <si>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</si>
  <si>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</si>
  <si>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</si>
  <si>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</si>
  <si>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</si>
  <si>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</si>
  <si>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</si>
  <si>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</si>
  <si>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Gas Labor (140) over revised</t>
  </si>
  <si>
    <t xml:space="preserve">⚠ WATCH</t>
  </si>
  <si>
    <t xml:space="preserve">Actual $8,361 vs revised $7,520 (+11%) — monitor</t>
  </si>
  <si>
    <t xml:space="preserve">Subcontractor (600) CRITICAL overrun</t>
  </si>
  <si>
    <t xml:space="preserve">Actual $4,654 vs revised $1,000 (+365%) — needs immediate attention</t>
  </si>
  <si>
    <t xml:space="preserve">Top vendor concentration (Keller Supply Compan)</t>
  </si>
  <si>
    <t xml:space="preserve">52% of AP ($98,250) — high, monitor</t>
  </si>
  <si>
    <t xml:space="preserve">Retention aging</t>
  </si>
  <si>
    <t xml:space="preserve">✓ OK</t>
  </si>
  <si>
    <t xml:space="preserve">$56,698 held · 5.0% of billed · standard range</t>
  </si>
  <si>
    <t xml:space="preserve">26.5%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</si>
  <si>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</si>
  <si>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</si>
  <si>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</si>
  <si>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</si>
  <si>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</si>
  <si>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</si>
  <si>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</si>
  <si>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</si>
  <si>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</si>
  <si>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</si>
  <si>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</si>
  <si>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</si>
  <si>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</si>
  <si>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</si>
  <si>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</si>
  <si>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</si>
  <si>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</si>
  <si>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</si>
  <si>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</si>
  <si>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</si>
  <si>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</si>
  <si>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</si>
  <si>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</si>
  <si>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</si>
  <si>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</si>
  <si>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</si>
  <si>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</si>
  <si>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</si>
  <si>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</si>
  <si>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</si>
  <si>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#2057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</si>
</sst>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1133967</v>
      </c>
    </row>
    <row r="6" customFormat="false" ht="15" hidden="false" customHeight="true" outlineLevel="0" collapsed="false">
      <c r="A6" s="5" t="s">
        <v>4</v>
      </c>
      <c r="B6" s="6" t="n">
        <v>833731.04</v>
      </c>
    </row>
    <row r="7" customFormat="false" ht="15" hidden="false" customHeight="true" outlineLevel="0" collapsed="false">
      <c r="A7" s="5" t="s">
        <v>5</v>
      </c>
      <c r="B7" s="7" t="n">
        <f aca="false">B5-B6</f>
        <v>300235.96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0.264766046983731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1133967</v>
      </c>
    </row>
    <row r="12" customFormat="false" ht="15" hidden="false" customHeight="true" outlineLevel="0" collapsed="false">
      <c r="A12" s="5" t="s">
        <v>9</v>
      </c>
      <c r="B12" s="6" t="n">
        <v>56698.36</v>
      </c>
    </row>
    <row r="13" customFormat="false" ht="15" hidden="false" customHeight="true" outlineLevel="0" collapsed="false">
      <c r="A13" s="5" t="s">
        <v>10</v>
      </c>
      <c r="B13" s="7" t="n">
        <f aca="false">B11-B12</f>
        <v>1077268.64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47903.11</v>
      </c>
    </row>
    <row r="20" customFormat="false" ht="15" hidden="false" customHeight="true" outlineLevel="0" collapsed="false">
      <c r="A20" s="5" t="s">
        <v>17</v>
      </c>
      <c r="B20" s="10" t="n">
        <v>189798.24</v>
      </c>
    </row>
    <row r="21" customFormat="false" ht="15" hidden="false" customHeight="true" outlineLevel="0" collapsed="false">
      <c r="A21" s="5" t="s">
        <v>18</v>
      </c>
      <c r="B21" s="10" t="n">
        <v>336529.36</v>
      </c>
    </row>
    <row r="22" customFormat="false" ht="15" hidden="false" customHeight="true" outlineLevel="0" collapsed="false">
      <c r="A22" s="5" t="s">
        <v>19</v>
      </c>
      <c r="B22" s="10" t="n">
        <v>-1133967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53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54</v>
      </c>
      <c r="B25" s="16" t="s">
        <v>55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56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57</v>
      </c>
      <c r="B28" s="16" t="s">
        <v>39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58</v>
      </c>
      <c r="B29" s="16" t="s">
        <v>39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59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60</v>
      </c>
      <c r="B32" s="16" t="s">
        <v>39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61</v>
      </c>
      <c r="B33" s="16" t="s">
        <v>62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63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64</v>
      </c>
      <c r="B36" s="16" t="s">
        <v>65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66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67</v>
      </c>
      <c r="B39" s="16" t="n">
        <v>10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68</v>
      </c>
      <c r="B40" s="16" t="s">
        <v>39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69</v>
      </c>
      <c r="B41" s="16" t="s">
        <v>39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70</v>
      </c>
      <c r="B42" s="16" t="s">
        <v>39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71</v>
      </c>
      <c r="B43" s="16" t="s">
        <v>72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73</v>
      </c>
      <c r="B44" s="16" t="s">
        <v>74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75</v>
      </c>
      <c r="B45" s="16" t="s">
        <v>74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76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77</v>
      </c>
      <c r="B48" s="16" t="s">
        <v>78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79</v>
      </c>
      <c r="B49" s="16" t="s">
        <v>80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81</v>
      </c>
      <c r="B50" s="16" t="s">
        <v>82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83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84</v>
      </c>
      <c r="B53" s="18" t="n">
        <v>110</v>
      </c>
      <c r="C53" s="16" t="s">
        <v>85</v>
      </c>
      <c r="D53" s="16"/>
      <c r="E53" s="16"/>
      <c r="F53" s="16"/>
    </row>
    <row r="54" customFormat="false" ht="15" hidden="false" customHeight="true" outlineLevel="0" collapsed="false">
      <c r="A54" s="15" t="s">
        <v>86</v>
      </c>
      <c r="B54" s="18" t="n">
        <v>18</v>
      </c>
      <c r="C54" s="16" t="s">
        <v>87</v>
      </c>
      <c r="D54" s="16"/>
      <c r="E54" s="16"/>
      <c r="F54" s="16"/>
    </row>
    <row r="55" customFormat="false" ht="15" hidden="false" customHeight="true" outlineLevel="0" collapsed="false">
      <c r="A55" s="15" t="s">
        <v>88</v>
      </c>
      <c r="B55" s="18" t="n">
        <v>96</v>
      </c>
      <c r="C55" s="16" t="s">
        <v>89</v>
      </c>
      <c r="D55" s="16"/>
      <c r="E55" s="16"/>
      <c r="F55" s="16"/>
    </row>
    <row r="56" customFormat="false" ht="15" hidden="false" customHeight="true" outlineLevel="0" collapsed="false">
      <c r="A56" s="15" t="s">
        <v>90</v>
      </c>
      <c r="B56" s="18" t="n">
        <v>107</v>
      </c>
      <c r="C56" s="16" t="s">
        <v>91</v>
      </c>
      <c r="D56" s="16"/>
      <c r="E56" s="16"/>
      <c r="F56" s="16"/>
    </row>
    <row r="57" customFormat="false" ht="15" hidden="false" customHeight="true" outlineLevel="0" collapsed="false">
      <c r="A57" s="15" t="s">
        <v>92</v>
      </c>
      <c r="B57" s="18" t="n">
        <v>10</v>
      </c>
      <c r="C57" s="16" t="s">
        <v>93</v>
      </c>
      <c r="D57" s="16"/>
      <c r="E57" s="16"/>
      <c r="F57" s="16"/>
    </row>
    <row r="58" customFormat="false" ht="15" hidden="false" customHeight="true" outlineLevel="0" collapsed="false">
      <c r="A58" s="15" t="s">
        <v>94</v>
      </c>
      <c r="B58" s="18" t="n">
        <v>6</v>
      </c>
      <c r="C58" s="16" t="s">
        <v>95</v>
      </c>
      <c r="D58" s="16"/>
      <c r="E58" s="16"/>
      <c r="F58" s="16"/>
    </row>
    <row r="59" customFormat="false" ht="15" hidden="false" customHeight="true" outlineLevel="0" collapsed="false">
      <c r="A59" s="15" t="s">
        <v>96</v>
      </c>
      <c r="B59" s="18" t="n">
        <v>1</v>
      </c>
      <c r="C59" s="16" t="s">
        <v>97</v>
      </c>
      <c r="D59" s="16"/>
      <c r="E59" s="16"/>
      <c r="F59" s="16"/>
    </row>
    <row r="60" customFormat="false" ht="15" hidden="false" customHeight="true" outlineLevel="0" collapsed="false">
      <c r="A60" s="15" t="s">
        <v>98</v>
      </c>
      <c r="B60" s="18" t="n">
        <v>1</v>
      </c>
      <c r="C60" s="16" t="s">
        <v>99</v>
      </c>
      <c r="D60" s="16"/>
      <c r="E60" s="16"/>
      <c r="F60" s="16"/>
    </row>
    <row r="61" customFormat="false" ht="15" hidden="false" customHeight="true" outlineLevel="0" collapsed="false">
      <c r="A61" s="15" t="s">
        <v>100</v>
      </c>
      <c r="B61" s="18" t="n">
        <v>2</v>
      </c>
      <c r="C61" s="16" t="s">
        <v>101</v>
      </c>
      <c r="D61" s="16"/>
      <c r="E61" s="16"/>
      <c r="F61" s="16"/>
    </row>
    <row r="62" customFormat="false" ht="15" hidden="false" customHeight="true" outlineLevel="0" collapsed="false">
      <c r="A62" s="15" t="s">
        <v>102</v>
      </c>
      <c r="B62" s="18" t="n">
        <v>2</v>
      </c>
      <c r="C62" s="16" t="s">
        <v>103</v>
      </c>
      <c r="D62" s="16"/>
      <c r="E62" s="16"/>
      <c r="F62" s="16"/>
    </row>
    <row r="63" customFormat="false" ht="12" hidden="false" customHeight="true" outlineLevel="0" collapsed="false">
      <c r="A63" s="15" t="s">
        <v>104</v>
      </c>
      <c r="B63" s="18" t="n">
        <v>1</v>
      </c>
      <c r="C63" s="16" t="s">
        <v>105</v>
      </c>
      <c r="D63" s="16"/>
      <c r="E63" s="16"/>
      <c r="F63" s="16"/>
    </row>
    <row r="64" customFormat="false" ht="15" hidden="false" customHeight="true" outlineLevel="0" collapsed="false">
      <c r="A64" s="19" t="s">
        <v>106</v>
      </c>
      <c r="B64" s="19" t="n">
        <v>350</v>
      </c>
    </row>
    <row r="65" customFormat="false" ht="15" hidden="false" customHeight="false" outlineLevel="0" collapsed="false">
      <c r="A65" s="20" t="s">
        <v>107</v>
      </c>
    </row>
    <row r="66" customFormat="false" ht="35.05" hidden="false" customHeight="true" outlineLevel="0" collapsed="false">
      <c r="A66" s="21" t="s">
        <v>108</v>
      </c>
      <c r="B66" s="21"/>
      <c r="C66" s="21"/>
      <c r="D66" s="21"/>
      <c r="E66" s="21"/>
      <c r="F66" s="21"/>
    </row>
  </sheetData>
  <mergeCells count="54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109</v>
      </c>
    </row>
    <row r="3" customFormat="false" ht="15" hidden="false" customHeight="true" outlineLevel="0" collapsed="false">
      <c r="A3" s="22" t="s">
        <v>110</v>
      </c>
      <c r="B3" s="22" t="s">
        <v>111</v>
      </c>
      <c r="C3" s="22" t="s">
        <v>112</v>
      </c>
      <c r="D3" s="22" t="s">
        <v>113</v>
      </c>
    </row>
    <row r="4" customFormat="false" ht="15" hidden="false" customHeight="true" outlineLevel="0" collapsed="false">
      <c r="A4" s="5" t="s">
        <v>114</v>
      </c>
      <c r="B4" s="6" t="n">
        <v>1098897</v>
      </c>
      <c r="C4" s="6" t="n">
        <v>1133967</v>
      </c>
      <c r="D4" s="10" t="n">
        <f aca="false">C4-B4</f>
        <v>35070</v>
      </c>
    </row>
    <row r="5" customFormat="false" ht="15" hidden="false" customHeight="true" outlineLevel="0" collapsed="false">
      <c r="A5" s="5" t="s">
        <v>115</v>
      </c>
      <c r="B5" s="6" t="n">
        <v>0</v>
      </c>
      <c r="C5" s="6" t="n">
        <v>35070</v>
      </c>
      <c r="D5" s="10" t="n">
        <f aca="false">C5-B5</f>
        <v>35070</v>
      </c>
    </row>
    <row r="6" customFormat="false" ht="15" hidden="false" customHeight="true" outlineLevel="0" collapsed="false">
      <c r="A6" s="13" t="s">
        <v>116</v>
      </c>
      <c r="B6" s="7" t="n">
        <f aca="false">SUM(B4:B5)</f>
        <v>1098897</v>
      </c>
      <c r="C6" s="7" t="n">
        <f aca="false">SUM(C4:C5)</f>
        <v>1169037</v>
      </c>
      <c r="D6" s="7" t="n">
        <f aca="false">SUM(D4:D5)</f>
        <v>70140</v>
      </c>
    </row>
    <row r="9" customFormat="false" ht="15" hidden="false" customHeight="true" outlineLevel="0" collapsed="false">
      <c r="A9" s="4" t="s">
        <v>117</v>
      </c>
    </row>
    <row r="10" customFormat="false" ht="15" hidden="false" customHeight="true" outlineLevel="0" collapsed="false">
      <c r="A10" s="22" t="s">
        <v>118</v>
      </c>
      <c r="B10" s="22" t="s">
        <v>119</v>
      </c>
      <c r="C10" s="2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121</v>
      </c>
    </row>
    <row r="3" customFormat="false" ht="15" hidden="false" customHeight="true" outlineLevel="0" collapsed="false">
      <c r="A3" s="22" t="s">
        <v>122</v>
      </c>
      <c r="B3" s="22" t="s">
        <v>123</v>
      </c>
      <c r="C3" s="22" t="s">
        <v>124</v>
      </c>
      <c r="D3" s="22" t="s">
        <v>125</v>
      </c>
      <c r="E3" s="22" t="s">
        <v>126</v>
      </c>
      <c r="F3" s="22" t="s">
        <v>127</v>
      </c>
      <c r="G3" s="2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129</v>
      </c>
    </row>
    <row r="3" customFormat="false" ht="15" hidden="false" customHeight="true" outlineLevel="0" collapsed="false">
      <c r="A3" s="22" t="s">
        <v>130</v>
      </c>
      <c r="B3" s="22" t="s">
        <v>131</v>
      </c>
      <c r="C3" s="22" t="s">
        <v>119</v>
      </c>
      <c r="D3" s="22" t="s">
        <v>120</v>
      </c>
      <c r="E3" s="2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133</v>
      </c>
    </row>
    <row r="3" customFormat="false" ht="15" hidden="false" customHeight="true" outlineLevel="0" collapsed="false">
      <c r="A3" s="22" t="s">
        <v>134</v>
      </c>
      <c r="B3" s="22" t="s">
        <v>119</v>
      </c>
      <c r="C3" s="22" t="s">
        <v>111</v>
      </c>
      <c r="D3" s="22" t="s">
        <v>112</v>
      </c>
      <c r="E3" s="22" t="s">
        <v>135</v>
      </c>
      <c r="F3" s="22" t="s">
        <v>136</v>
      </c>
      <c r="G3" s="22" t="s">
        <v>137</v>
      </c>
      <c r="H3" s="22" t="s">
        <v>138</v>
      </c>
    </row>
    <row r="4" customFormat="false" ht="15" hidden="false" customHeight="true" outlineLevel="0" collapsed="false">
      <c r="A4" s="5" t="s">
        <v>139</v>
      </c>
      <c r="B4" s="5" t="s">
        <v>140</v>
      </c>
      <c r="C4" s="6" t="n">
        <v>9630</v>
      </c>
      <c r="D4" s="6" t="n">
        <v>9980</v>
      </c>
      <c r="E4" s="6" t="n">
        <v>3488.5</v>
      </c>
      <c r="F4" s="10" t="n">
        <f aca="false">D4-E4</f>
        <v>6491.5</v>
      </c>
      <c r="G4" s="6" t="n">
        <v>0</v>
      </c>
      <c r="H4" s="23" t="n">
        <f aca="false">IFERROR(E4/D4,0)</f>
        <v>0.349549098196393</v>
      </c>
    </row>
    <row r="5" customFormat="false" ht="15" hidden="false" customHeight="true" outlineLevel="0" collapsed="false">
      <c r="A5" s="5" t="s">
        <v>141</v>
      </c>
      <c r="B5" s="5" t="s">
        <v>142</v>
      </c>
      <c r="C5" s="6" t="n">
        <v>13910</v>
      </c>
      <c r="D5" s="6" t="n">
        <v>14210</v>
      </c>
      <c r="E5" s="6" t="n">
        <v>9538</v>
      </c>
      <c r="F5" s="10" t="n">
        <f aca="false">D5-E5</f>
        <v>4672</v>
      </c>
      <c r="G5" s="6" t="n">
        <v>0</v>
      </c>
      <c r="H5" s="23" t="n">
        <f aca="false">IFERROR(E5/D5,0)</f>
        <v>0.671217452498241</v>
      </c>
    </row>
    <row r="6" customFormat="false" ht="15" hidden="false" customHeight="true" outlineLevel="0" collapsed="false">
      <c r="A6" s="5" t="s">
        <v>143</v>
      </c>
      <c r="B6" s="5" t="s">
        <v>144</v>
      </c>
      <c r="C6" s="6" t="n">
        <v>9000</v>
      </c>
      <c r="D6" s="6" t="n">
        <v>9000</v>
      </c>
      <c r="E6" s="6" t="n">
        <v>2949</v>
      </c>
      <c r="F6" s="10" t="n">
        <f aca="false">D6-E6</f>
        <v>6051</v>
      </c>
      <c r="G6" s="6" t="n">
        <v>0</v>
      </c>
      <c r="H6" s="23" t="n">
        <f aca="false">IFERROR(E6/D6,0)</f>
        <v>0.327666666666667</v>
      </c>
    </row>
    <row r="7" customFormat="false" ht="15" hidden="false" customHeight="true" outlineLevel="0" collapsed="false">
      <c r="A7" s="5" t="s">
        <v>145</v>
      </c>
      <c r="B7" s="5" t="s">
        <v>146</v>
      </c>
      <c r="C7" s="6" t="n">
        <v>31350</v>
      </c>
      <c r="D7" s="6" t="n">
        <v>36848</v>
      </c>
      <c r="E7" s="6" t="n">
        <v>32824</v>
      </c>
      <c r="F7" s="10" t="n">
        <f aca="false">D7-E7</f>
        <v>4024</v>
      </c>
      <c r="G7" s="6" t="n">
        <v>0</v>
      </c>
      <c r="H7" s="23" t="n">
        <f aca="false">IFERROR(E7/D7,0)</f>
        <v>0.890794615718628</v>
      </c>
    </row>
    <row r="8" customFormat="false" ht="15" hidden="false" customHeight="true" outlineLevel="0" collapsed="false">
      <c r="A8" s="5" t="s">
        <v>147</v>
      </c>
      <c r="B8" s="5" t="s">
        <v>148</v>
      </c>
      <c r="C8" s="6" t="n">
        <v>9176</v>
      </c>
      <c r="D8" s="6" t="n">
        <v>9601</v>
      </c>
      <c r="E8" s="6" t="n">
        <v>9569</v>
      </c>
      <c r="F8" s="10" t="n">
        <f aca="false">D8-E8</f>
        <v>32</v>
      </c>
      <c r="G8" s="6" t="n">
        <v>0</v>
      </c>
      <c r="H8" s="23" t="n">
        <f aca="false">IFERROR(E8/D8,0)</f>
        <v>0.996667013852724</v>
      </c>
    </row>
    <row r="9" customFormat="false" ht="15" hidden="false" customHeight="true" outlineLevel="0" collapsed="false">
      <c r="A9" s="5" t="s">
        <v>149</v>
      </c>
      <c r="B9" s="5" t="s">
        <v>150</v>
      </c>
      <c r="C9" s="6" t="n">
        <v>98240</v>
      </c>
      <c r="D9" s="6" t="n">
        <v>98240</v>
      </c>
      <c r="E9" s="6" t="n">
        <v>96775</v>
      </c>
      <c r="F9" s="10" t="n">
        <f aca="false">D9-E9</f>
        <v>1465</v>
      </c>
      <c r="G9" s="6" t="n">
        <v>0</v>
      </c>
      <c r="H9" s="23" t="n">
        <f aca="false">IFERROR(E9/D9,0)</f>
        <v>0.985087540716612</v>
      </c>
    </row>
    <row r="10" customFormat="false" ht="15" hidden="false" customHeight="true" outlineLevel="0" collapsed="false">
      <c r="A10" s="5" t="s">
        <v>151</v>
      </c>
      <c r="B10" s="5" t="s">
        <v>152</v>
      </c>
      <c r="C10" s="6" t="n">
        <v>23058</v>
      </c>
      <c r="D10" s="6" t="n">
        <v>23938</v>
      </c>
      <c r="E10" s="6" t="n">
        <v>17090.5</v>
      </c>
      <c r="F10" s="10" t="n">
        <f aca="false">D10-E10</f>
        <v>6847.5</v>
      </c>
      <c r="G10" s="6" t="n">
        <v>0</v>
      </c>
      <c r="H10" s="23" t="n">
        <f aca="false">IFERROR(E10/D10,0)</f>
        <v>0.71394853371209</v>
      </c>
    </row>
    <row r="11" customFormat="false" ht="15" hidden="false" customHeight="true" outlineLevel="0" collapsed="false">
      <c r="A11" s="5" t="s">
        <v>153</v>
      </c>
      <c r="B11" s="5" t="s">
        <v>154</v>
      </c>
      <c r="C11" s="6" t="n">
        <v>6750</v>
      </c>
      <c r="D11" s="6" t="n">
        <v>7520</v>
      </c>
      <c r="E11" s="6" t="n">
        <v>8361</v>
      </c>
      <c r="F11" s="10" t="n">
        <f aca="false">D11-E11</f>
        <v>-841</v>
      </c>
      <c r="G11" s="6" t="n">
        <v>0</v>
      </c>
      <c r="H11" s="23" t="n">
        <f aca="false">IFERROR(E11/D11,0)</f>
        <v>1.11183510638298</v>
      </c>
    </row>
    <row r="12" customFormat="false" ht="15" hidden="false" customHeight="true" outlineLevel="0" collapsed="false">
      <c r="A12" s="5" t="s">
        <v>155</v>
      </c>
      <c r="B12" s="5" t="s">
        <v>156</v>
      </c>
      <c r="C12" s="6" t="n">
        <v>44440</v>
      </c>
      <c r="D12" s="6" t="n">
        <v>46100</v>
      </c>
      <c r="E12" s="6" t="n">
        <v>35756</v>
      </c>
      <c r="F12" s="10" t="n">
        <f aca="false">D12-E12</f>
        <v>10344</v>
      </c>
      <c r="G12" s="6" t="n">
        <v>0</v>
      </c>
      <c r="H12" s="23" t="n">
        <f aca="false">IFERROR(E12/D12,0)</f>
        <v>0.775618221258135</v>
      </c>
    </row>
    <row r="13" customFormat="false" ht="15" hidden="false" customHeight="true" outlineLevel="0" collapsed="false">
      <c r="A13" s="5" t="s">
        <v>157</v>
      </c>
      <c r="B13" s="5" t="s">
        <v>158</v>
      </c>
      <c r="C13" s="6" t="n">
        <v>7000</v>
      </c>
      <c r="D13" s="6" t="n">
        <v>7300</v>
      </c>
      <c r="E13" s="6" t="n">
        <v>5049.5</v>
      </c>
      <c r="F13" s="10" t="n">
        <f aca="false">D13-E13</f>
        <v>2250.5</v>
      </c>
      <c r="G13" s="6" t="n">
        <v>0</v>
      </c>
      <c r="H13" s="23" t="n">
        <f aca="false">IFERROR(E13/D13,0)</f>
        <v>0.691712328767123</v>
      </c>
    </row>
    <row r="14" customFormat="false" ht="15" hidden="false" customHeight="true" outlineLevel="0" collapsed="false">
      <c r="A14" s="5" t="s">
        <v>159</v>
      </c>
      <c r="B14" s="5" t="s">
        <v>160</v>
      </c>
      <c r="C14" s="6" t="n">
        <v>9500</v>
      </c>
      <c r="D14" s="6" t="n">
        <v>9500</v>
      </c>
      <c r="E14" s="6" t="n">
        <v>648.12</v>
      </c>
      <c r="F14" s="10" t="n">
        <f aca="false">D14-E14</f>
        <v>8851.88</v>
      </c>
      <c r="G14" s="6" t="n">
        <v>0</v>
      </c>
      <c r="H14" s="23" t="n">
        <f aca="false">IFERROR(E14/D14,0)</f>
        <v>0.0682231578947369</v>
      </c>
    </row>
    <row r="15" customFormat="false" ht="15" hidden="false" customHeight="true" outlineLevel="0" collapsed="false">
      <c r="A15" s="5" t="s">
        <v>161</v>
      </c>
      <c r="B15" s="5" t="s">
        <v>162</v>
      </c>
      <c r="C15" s="6" t="n">
        <v>30850</v>
      </c>
      <c r="D15" s="6" t="n">
        <v>33497</v>
      </c>
      <c r="E15" s="6" t="n">
        <v>17156.73</v>
      </c>
      <c r="F15" s="10" t="n">
        <f aca="false">D15-E15</f>
        <v>16340.27</v>
      </c>
      <c r="G15" s="6" t="n">
        <v>0</v>
      </c>
      <c r="H15" s="23" t="n">
        <f aca="false">IFERROR(E15/D15,0)</f>
        <v>0.512187061527898</v>
      </c>
    </row>
    <row r="16" customFormat="false" ht="15" hidden="false" customHeight="true" outlineLevel="0" collapsed="false">
      <c r="A16" s="5" t="s">
        <v>163</v>
      </c>
      <c r="B16" s="5" t="s">
        <v>164</v>
      </c>
      <c r="C16" s="6" t="n">
        <v>7440</v>
      </c>
      <c r="D16" s="6" t="n">
        <v>7915</v>
      </c>
      <c r="E16" s="6" t="n">
        <v>8186.91</v>
      </c>
      <c r="F16" s="10" t="n">
        <f aca="false">D16-E16</f>
        <v>-271.91</v>
      </c>
      <c r="G16" s="6" t="n">
        <v>0</v>
      </c>
      <c r="H16" s="23" t="n">
        <f aca="false">IFERROR(E16/D16,0)</f>
        <v>1.03435375868604</v>
      </c>
    </row>
    <row r="17" customFormat="false" ht="15" hidden="false" customHeight="true" outlineLevel="0" collapsed="false">
      <c r="A17" s="5" t="s">
        <v>165</v>
      </c>
      <c r="B17" s="5" t="s">
        <v>166</v>
      </c>
      <c r="C17" s="6" t="n">
        <v>53020</v>
      </c>
      <c r="D17" s="6" t="n">
        <v>53020</v>
      </c>
      <c r="E17" s="6" t="n">
        <v>25828.61</v>
      </c>
      <c r="F17" s="10" t="n">
        <f aca="false">D17-E17</f>
        <v>27191.39</v>
      </c>
      <c r="G17" s="6" t="n">
        <v>0</v>
      </c>
      <c r="H17" s="23" t="n">
        <f aca="false">IFERROR(E17/D17,0)</f>
        <v>0.487148434552999</v>
      </c>
    </row>
    <row r="18" customFormat="false" ht="15" hidden="false" customHeight="true" outlineLevel="0" collapsed="false">
      <c r="A18" s="5" t="s">
        <v>167</v>
      </c>
      <c r="B18" s="5" t="s">
        <v>168</v>
      </c>
      <c r="C18" s="6" t="n">
        <v>253455</v>
      </c>
      <c r="D18" s="6" t="n">
        <v>260209</v>
      </c>
      <c r="E18" s="6" t="n">
        <v>141842.79</v>
      </c>
      <c r="F18" s="10" t="n">
        <f aca="false">D18-E18</f>
        <v>118366.21</v>
      </c>
      <c r="G18" s="6" t="n">
        <v>0</v>
      </c>
      <c r="H18" s="23" t="n">
        <f aca="false">IFERROR(E18/D18,0)</f>
        <v>0.545111006921359</v>
      </c>
    </row>
    <row r="19" customFormat="false" ht="15" hidden="false" customHeight="true" outlineLevel="0" collapsed="false">
      <c r="A19" s="5" t="s">
        <v>169</v>
      </c>
      <c r="B19" s="5" t="s">
        <v>170</v>
      </c>
      <c r="C19" s="6" t="n">
        <v>10800</v>
      </c>
      <c r="D19" s="6" t="n">
        <v>10972</v>
      </c>
      <c r="E19" s="6" t="n">
        <v>1138.79</v>
      </c>
      <c r="F19" s="10" t="n">
        <f aca="false">D19-E19</f>
        <v>9833.21</v>
      </c>
      <c r="G19" s="6" t="n">
        <v>0</v>
      </c>
      <c r="H19" s="23" t="n">
        <f aca="false">IFERROR(E19/D19,0)</f>
        <v>0.103790557783449</v>
      </c>
    </row>
    <row r="20" customFormat="false" ht="15" hidden="false" customHeight="true" outlineLevel="0" collapsed="false">
      <c r="A20" s="5" t="s">
        <v>171</v>
      </c>
      <c r="B20" s="5" t="s">
        <v>172</v>
      </c>
      <c r="C20" s="6" t="n">
        <v>47140</v>
      </c>
      <c r="D20" s="6" t="n">
        <v>48750</v>
      </c>
      <c r="E20" s="6" t="n">
        <v>30721.75</v>
      </c>
      <c r="F20" s="10" t="n">
        <f aca="false">D20-E20</f>
        <v>18028.25</v>
      </c>
      <c r="G20" s="6" t="n">
        <v>0</v>
      </c>
      <c r="H20" s="23" t="n">
        <f aca="false">IFERROR(E20/D20,0)</f>
        <v>0.630189743589744</v>
      </c>
    </row>
    <row r="21" customFormat="false" ht="15" hidden="false" customHeight="true" outlineLevel="0" collapsed="false">
      <c r="A21" s="5" t="s">
        <v>173</v>
      </c>
      <c r="B21" s="5" t="s">
        <v>174</v>
      </c>
      <c r="C21" s="6" t="n">
        <v>7000</v>
      </c>
      <c r="D21" s="6" t="n">
        <v>7200</v>
      </c>
      <c r="E21" s="6" t="n">
        <v>7324.66</v>
      </c>
      <c r="F21" s="10" t="n">
        <f aca="false">D21-E21</f>
        <v>-124.66</v>
      </c>
      <c r="G21" s="6" t="n">
        <v>0</v>
      </c>
      <c r="H21" s="23" t="n">
        <f aca="false">IFERROR(E21/D21,0)</f>
        <v>1.01731388888889</v>
      </c>
    </row>
    <row r="22" customFormat="false" ht="15" hidden="false" customHeight="true" outlineLevel="0" collapsed="false">
      <c r="A22" s="5" t="s">
        <v>175</v>
      </c>
      <c r="B22" s="5" t="s">
        <v>176</v>
      </c>
      <c r="C22" s="6" t="n">
        <v>0</v>
      </c>
      <c r="D22" s="6" t="n">
        <v>0</v>
      </c>
      <c r="E22" s="6" t="n">
        <v>0</v>
      </c>
      <c r="F22" s="10" t="n">
        <f aca="false">D22-E22</f>
        <v>0</v>
      </c>
      <c r="G22" s="6" t="n">
        <v>0</v>
      </c>
      <c r="H22" s="23" t="n">
        <f aca="false">IFERROR(E22/D22,0)</f>
        <v>0</v>
      </c>
    </row>
    <row r="23" customFormat="false" ht="15" hidden="false" customHeight="true" outlineLevel="0" collapsed="false">
      <c r="A23" s="5" t="s">
        <v>177</v>
      </c>
      <c r="B23" s="5" t="s">
        <v>178</v>
      </c>
      <c r="C23" s="6" t="n">
        <v>1000</v>
      </c>
      <c r="D23" s="6" t="n">
        <v>1000</v>
      </c>
      <c r="E23" s="6" t="n">
        <v>4653.75</v>
      </c>
      <c r="F23" s="10" t="n">
        <f aca="false">D23-E23</f>
        <v>-3653.75</v>
      </c>
      <c r="G23" s="6" t="n">
        <v>0</v>
      </c>
      <c r="H23" s="23" t="n">
        <f aca="false">IFERROR(E23/D23,0)</f>
        <v>4.65375</v>
      </c>
    </row>
    <row r="24" customFormat="false" ht="15" hidden="false" customHeight="true" outlineLevel="0" collapsed="false">
      <c r="A24" s="5" t="s">
        <v>179</v>
      </c>
      <c r="B24" s="5" t="s">
        <v>180</v>
      </c>
      <c r="C24" s="6" t="n">
        <v>600</v>
      </c>
      <c r="D24" s="6" t="n">
        <v>600</v>
      </c>
      <c r="E24" s="6" t="n">
        <v>199.24</v>
      </c>
      <c r="F24" s="10" t="n">
        <f aca="false">D24-E24</f>
        <v>400.76</v>
      </c>
      <c r="G24" s="6" t="n">
        <v>0</v>
      </c>
      <c r="H24" s="23" t="n">
        <f aca="false">IFERROR(E24/D24,0)</f>
        <v>0.332066666666667</v>
      </c>
    </row>
    <row r="25" customFormat="false" ht="15" hidden="false" customHeight="true" outlineLevel="0" collapsed="false">
      <c r="A25" s="5" t="s">
        <v>181</v>
      </c>
      <c r="B25" s="5" t="s">
        <v>182</v>
      </c>
      <c r="C25" s="6" t="n">
        <v>113649.3</v>
      </c>
      <c r="D25" s="6" t="n">
        <v>118231.65</v>
      </c>
      <c r="E25" s="6" t="n">
        <v>98191.39</v>
      </c>
      <c r="F25" s="10" t="n">
        <f aca="false">D25-E25</f>
        <v>20040.26</v>
      </c>
      <c r="G25" s="6" t="n">
        <v>0</v>
      </c>
      <c r="H25" s="23" t="n">
        <f aca="false">IFERROR(E25/D25,0)</f>
        <v>0.83050003954102</v>
      </c>
    </row>
    <row r="26" customFormat="false" ht="15" hidden="false" customHeight="true" outlineLevel="0" collapsed="false">
      <c r="A26" s="5" t="s">
        <v>183</v>
      </c>
      <c r="B26" s="5" t="s">
        <v>184</v>
      </c>
      <c r="C26" s="6" t="n">
        <v>19320.38</v>
      </c>
      <c r="D26" s="6" t="n">
        <v>20099.39</v>
      </c>
      <c r="E26" s="6" t="n">
        <v>16937.47</v>
      </c>
      <c r="F26" s="10" t="n">
        <f aca="false">D26-E26</f>
        <v>3161.92</v>
      </c>
      <c r="G26" s="6" t="n">
        <v>0</v>
      </c>
      <c r="H26" s="23" t="n">
        <f aca="false">IFERROR(E26/D26,0)</f>
        <v>0.842685773050824</v>
      </c>
    </row>
    <row r="27" customFormat="false" ht="15" hidden="false" customHeight="true" outlineLevel="0" collapsed="false">
      <c r="A27" s="13" t="s">
        <v>185</v>
      </c>
      <c r="C27" s="7" t="n">
        <f aca="false">SUM(C4:C26)</f>
        <v>806328.68</v>
      </c>
      <c r="D27" s="7" t="n">
        <f aca="false">SUM(D4:D26)</f>
        <v>833731.04</v>
      </c>
      <c r="E27" s="7" t="n">
        <f aca="false">SUM(E4:E26)</f>
        <v>574230.71</v>
      </c>
      <c r="F27" s="7" t="n">
        <f aca="false">SUM(F4:F26)</f>
        <v>259500.33</v>
      </c>
      <c r="G27" s="7" t="n">
        <f aca="false">SUM(G4:G26)</f>
        <v>0</v>
      </c>
      <c r="H27" s="8" t="n">
        <f aca="false">IFERROR(E27/D27,0)</f>
        <v>0.688748148323709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186</v>
      </c>
    </row>
    <row r="3" customFormat="false" ht="15" hidden="false" customHeight="true" outlineLevel="0" collapsed="false">
      <c r="A3" s="22" t="s">
        <v>187</v>
      </c>
      <c r="B3" s="22" t="s">
        <v>188</v>
      </c>
      <c r="C3" s="22" t="s">
        <v>189</v>
      </c>
      <c r="D3" s="22" t="s">
        <v>135</v>
      </c>
      <c r="E3" s="22" t="s">
        <v>136</v>
      </c>
      <c r="F3" s="22" t="s">
        <v>138</v>
      </c>
    </row>
    <row r="4" customFormat="false" ht="15" hidden="false" customHeight="true" outlineLevel="0" collapsed="false">
      <c r="A4" s="13" t="s">
        <v>190</v>
      </c>
      <c r="B4" s="5" t="n">
        <v>10</v>
      </c>
      <c r="C4" s="6" t="n">
        <v>262737</v>
      </c>
      <c r="D4" s="6" t="n">
        <v>221400.5</v>
      </c>
      <c r="E4" s="10" t="n">
        <f aca="false">C4-D4</f>
        <v>41336.5</v>
      </c>
      <c r="F4" s="23" t="n">
        <f aca="false">IFERROR(D4/C4,0)</f>
        <v>0.842669665863582</v>
      </c>
    </row>
    <row r="5" customFormat="false" ht="15" hidden="false" customHeight="true" outlineLevel="0" collapsed="false">
      <c r="A5" s="13" t="s">
        <v>191</v>
      </c>
      <c r="B5" s="5" t="n">
        <v>9</v>
      </c>
      <c r="C5" s="6" t="n">
        <v>431063</v>
      </c>
      <c r="D5" s="6" t="n">
        <v>232848.36</v>
      </c>
      <c r="E5" s="10" t="n">
        <f aca="false">C5-D5</f>
        <v>198214.64</v>
      </c>
      <c r="F5" s="23" t="n">
        <f aca="false">IFERROR(D5/C5,0)</f>
        <v>0.540172457390219</v>
      </c>
    </row>
    <row r="6" customFormat="false" ht="15" hidden="false" customHeight="true" outlineLevel="0" collapsed="false">
      <c r="A6" s="13" t="s">
        <v>192</v>
      </c>
      <c r="B6" s="5" t="n">
        <v>2</v>
      </c>
      <c r="C6" s="6" t="n">
        <v>1600</v>
      </c>
      <c r="D6" s="6" t="n">
        <v>4852.99</v>
      </c>
      <c r="E6" s="10" t="n">
        <f aca="false">C6-D6</f>
        <v>-3252.99</v>
      </c>
      <c r="F6" s="23" t="n">
        <f aca="false">IFERROR(D6/C6,0)</f>
        <v>3.03311875</v>
      </c>
    </row>
    <row r="7" customFormat="false" ht="15" hidden="false" customHeight="true" outlineLevel="0" collapsed="false">
      <c r="A7" s="13" t="s">
        <v>193</v>
      </c>
      <c r="B7" s="5" t="n">
        <v>2</v>
      </c>
      <c r="C7" s="6" t="n">
        <v>138331.04</v>
      </c>
      <c r="D7" s="6" t="n">
        <v>115128.86</v>
      </c>
      <c r="E7" s="10" t="n">
        <f aca="false">C7-D7</f>
        <v>23202.18</v>
      </c>
      <c r="F7" s="23" t="n">
        <f aca="false">IFERROR(D7/C7,0)</f>
        <v>0.832270616920107</v>
      </c>
    </row>
    <row r="8" customFormat="false" ht="15" hidden="false" customHeight="true" outlineLevel="0" collapsed="false">
      <c r="A8" s="13" t="s">
        <v>185</v>
      </c>
      <c r="B8" s="24" t="n">
        <f aca="false">SUM(B4:B7)</f>
        <v>23</v>
      </c>
      <c r="C8" s="7" t="n">
        <f aca="false">SUM(C4:C7)</f>
        <v>833731.04</v>
      </c>
      <c r="D8" s="7" t="n">
        <f aca="false">SUM(D4:D7)</f>
        <v>574230.71</v>
      </c>
      <c r="E8" s="7" t="n">
        <f aca="false">SUM(E4:E7)</f>
        <v>259500.33</v>
      </c>
      <c r="F8" s="8" t="n">
        <f aca="false">IFERROR(D8/C8,0)</f>
        <v>0.688748148323709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194</v>
      </c>
    </row>
    <row r="2" customFormat="false" ht="15" hidden="false" customHeight="true" outlineLevel="0" collapsed="false">
      <c r="A2" s="3" t="s">
        <v>195</v>
      </c>
    </row>
    <row r="4" customFormat="false" ht="15" hidden="false" customHeight="true" outlineLevel="0" collapsed="false">
      <c r="A4" s="22" t="s">
        <v>134</v>
      </c>
      <c r="B4" s="22" t="s">
        <v>119</v>
      </c>
      <c r="C4" s="22" t="s">
        <v>112</v>
      </c>
      <c r="D4" s="22" t="s">
        <v>135</v>
      </c>
      <c r="E4" s="22" t="s">
        <v>136</v>
      </c>
      <c r="F4" s="22" t="s">
        <v>196</v>
      </c>
      <c r="G4" s="22" t="s">
        <v>132</v>
      </c>
    </row>
    <row r="5" customFormat="false" ht="15" hidden="false" customHeight="true" outlineLevel="0" collapsed="false">
      <c r="A5" s="5" t="s">
        <v>139</v>
      </c>
      <c r="B5" s="5" t="s">
        <v>140</v>
      </c>
      <c r="C5" s="6" t="n">
        <v>9980</v>
      </c>
      <c r="D5" s="6" t="n">
        <v>3488.5</v>
      </c>
      <c r="E5" s="10" t="n">
        <f aca="false">C5-D5</f>
        <v>6491.5</v>
      </c>
      <c r="F5" s="23" t="n">
        <f aca="false">IFERROR((D5-C5)/C5,0)</f>
        <v>-0.650450901803607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141</v>
      </c>
      <c r="B6" s="5" t="s">
        <v>142</v>
      </c>
      <c r="C6" s="6" t="n">
        <v>14210</v>
      </c>
      <c r="D6" s="6" t="n">
        <v>9538</v>
      </c>
      <c r="E6" s="10" t="n">
        <f aca="false">C6-D6</f>
        <v>4672</v>
      </c>
      <c r="F6" s="23" t="n">
        <f aca="false">IFERROR((D6-C6)/C6,0)</f>
        <v>-0.328782547501759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143</v>
      </c>
      <c r="B7" s="5" t="s">
        <v>144</v>
      </c>
      <c r="C7" s="6" t="n">
        <v>9000</v>
      </c>
      <c r="D7" s="6" t="n">
        <v>2949</v>
      </c>
      <c r="E7" s="10" t="n">
        <f aca="false">C7-D7</f>
        <v>6051</v>
      </c>
      <c r="F7" s="23" t="n">
        <f aca="false">IFERROR((D7-C7)/C7,0)</f>
        <v>-0.672333333333333</v>
      </c>
      <c r="G7" s="25" t="str">
        <f aca="false">IF(C7=0,"UNBUDGETED",IF(F7&gt;0.5,"CRITICAL",IF(F7&gt;0.1,"OVER",IF(F7&lt;-0.1,"UNDER","ON"))))</f>
        <v>UNDER</v>
      </c>
    </row>
    <row r="8" customFormat="false" ht="15" hidden="false" customHeight="true" outlineLevel="0" collapsed="false">
      <c r="A8" s="5" t="s">
        <v>145</v>
      </c>
      <c r="B8" s="5" t="s">
        <v>146</v>
      </c>
      <c r="C8" s="6" t="n">
        <v>36848</v>
      </c>
      <c r="D8" s="6" t="n">
        <v>32824</v>
      </c>
      <c r="E8" s="10" t="n">
        <f aca="false">C8-D8</f>
        <v>4024</v>
      </c>
      <c r="F8" s="23" t="n">
        <f aca="false">IFERROR((D8-C8)/C8,0)</f>
        <v>-0.109205384281372</v>
      </c>
      <c r="G8" s="25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147</v>
      </c>
      <c r="B9" s="5" t="s">
        <v>148</v>
      </c>
      <c r="C9" s="6" t="n">
        <v>9601</v>
      </c>
      <c r="D9" s="6" t="n">
        <v>9569</v>
      </c>
      <c r="E9" s="10" t="n">
        <f aca="false">C9-D9</f>
        <v>32</v>
      </c>
      <c r="F9" s="23" t="n">
        <f aca="false">IFERROR((D9-C9)/C9,0)</f>
        <v>-0.00333298614727633</v>
      </c>
      <c r="G9" s="25" t="str">
        <f aca="false">IF(C9=0,"UNBUDGETED",IF(F9&gt;0.5,"CRITICAL",IF(F9&gt;0.1,"OVER",IF(F9&lt;-0.1,"UNDER","ON"))))</f>
        <v>ON</v>
      </c>
    </row>
    <row r="10" customFormat="false" ht="15" hidden="false" customHeight="true" outlineLevel="0" collapsed="false">
      <c r="A10" s="5" t="s">
        <v>149</v>
      </c>
      <c r="B10" s="5" t="s">
        <v>150</v>
      </c>
      <c r="C10" s="6" t="n">
        <v>98240</v>
      </c>
      <c r="D10" s="6" t="n">
        <v>96775</v>
      </c>
      <c r="E10" s="10" t="n">
        <f aca="false">C10-D10</f>
        <v>1465</v>
      </c>
      <c r="F10" s="23" t="n">
        <f aca="false">IFERROR((D10-C10)/C10,0)</f>
        <v>-0.0149124592833876</v>
      </c>
      <c r="G10" s="25" t="str">
        <f aca="false">IF(C10=0,"UNBUDGETED",IF(F10&gt;0.5,"CRITICAL",IF(F10&gt;0.1,"OVER",IF(F10&lt;-0.1,"UNDER","ON"))))</f>
        <v>ON</v>
      </c>
    </row>
    <row r="11" customFormat="false" ht="15" hidden="false" customHeight="true" outlineLevel="0" collapsed="false">
      <c r="A11" s="5" t="s">
        <v>151</v>
      </c>
      <c r="B11" s="5" t="s">
        <v>152</v>
      </c>
      <c r="C11" s="6" t="n">
        <v>23938</v>
      </c>
      <c r="D11" s="6" t="n">
        <v>17090.5</v>
      </c>
      <c r="E11" s="10" t="n">
        <f aca="false">C11-D11</f>
        <v>6847.5</v>
      </c>
      <c r="F11" s="23" t="n">
        <f aca="false">IFERROR((D11-C11)/C11,0)</f>
        <v>-0.28605146628791</v>
      </c>
      <c r="G11" s="25" t="str">
        <f aca="false">IF(C11=0,"UNBUDGETED",IF(F11&gt;0.5,"CRITICAL",IF(F11&gt;0.1,"OVER",IF(F11&lt;-0.1,"UNDER","ON"))))</f>
        <v>UNDER</v>
      </c>
    </row>
    <row r="12" customFormat="false" ht="15" hidden="false" customHeight="true" outlineLevel="0" collapsed="false">
      <c r="A12" s="5" t="s">
        <v>153</v>
      </c>
      <c r="B12" s="5" t="s">
        <v>154</v>
      </c>
      <c r="C12" s="6" t="n">
        <v>7520</v>
      </c>
      <c r="D12" s="6" t="n">
        <v>8361</v>
      </c>
      <c r="E12" s="10" t="n">
        <f aca="false">C12-D12</f>
        <v>-841</v>
      </c>
      <c r="F12" s="23" t="n">
        <f aca="false">IFERROR((D12-C12)/C12,0)</f>
        <v>0.111835106382979</v>
      </c>
      <c r="G12" s="25" t="str">
        <f aca="false">IF(C12=0,"UNBUDGETED",IF(F12&gt;0.5,"CRITICAL",IF(F12&gt;0.1,"OVER",IF(F12&lt;-0.1,"UNDER","ON"))))</f>
        <v>OVER</v>
      </c>
    </row>
    <row r="13" customFormat="false" ht="15" hidden="false" customHeight="true" outlineLevel="0" collapsed="false">
      <c r="A13" s="5" t="s">
        <v>155</v>
      </c>
      <c r="B13" s="5" t="s">
        <v>156</v>
      </c>
      <c r="C13" s="6" t="n">
        <v>46100</v>
      </c>
      <c r="D13" s="6" t="n">
        <v>35756</v>
      </c>
      <c r="E13" s="10" t="n">
        <f aca="false">C13-D13</f>
        <v>10344</v>
      </c>
      <c r="F13" s="23" t="n">
        <f aca="false">IFERROR((D13-C13)/C13,0)</f>
        <v>-0.224381778741866</v>
      </c>
      <c r="G13" s="25" t="str">
        <f aca="false">IF(C13=0,"UNBUDGETED",IF(F13&gt;0.5,"CRITICAL",IF(F13&gt;0.1,"OVER",IF(F13&lt;-0.1,"UNDER","ON"))))</f>
        <v>UNDER</v>
      </c>
    </row>
    <row r="14" customFormat="false" ht="15" hidden="false" customHeight="true" outlineLevel="0" collapsed="false">
      <c r="A14" s="5" t="s">
        <v>157</v>
      </c>
      <c r="B14" s="5" t="s">
        <v>158</v>
      </c>
      <c r="C14" s="6" t="n">
        <v>7300</v>
      </c>
      <c r="D14" s="6" t="n">
        <v>5049.5</v>
      </c>
      <c r="E14" s="10" t="n">
        <f aca="false">C14-D14</f>
        <v>2250.5</v>
      </c>
      <c r="F14" s="23" t="n">
        <f aca="false">IFERROR((D14-C14)/C14,0)</f>
        <v>-0.308287671232877</v>
      </c>
      <c r="G14" s="25" t="str">
        <f aca="false">IF(C14=0,"UNBUDGETED",IF(F14&gt;0.5,"CRITICAL",IF(F14&gt;0.1,"OVER",IF(F14&lt;-0.1,"UNDER","ON"))))</f>
        <v>UNDER</v>
      </c>
    </row>
    <row r="15" customFormat="false" ht="15" hidden="false" customHeight="true" outlineLevel="0" collapsed="false">
      <c r="A15" s="5" t="s">
        <v>159</v>
      </c>
      <c r="B15" s="5" t="s">
        <v>160</v>
      </c>
      <c r="C15" s="6" t="n">
        <v>9500</v>
      </c>
      <c r="D15" s="6" t="n">
        <v>648.12</v>
      </c>
      <c r="E15" s="10" t="n">
        <f aca="false">C15-D15</f>
        <v>8851.88</v>
      </c>
      <c r="F15" s="23" t="n">
        <f aca="false">IFERROR((D15-C15)/C15,0)</f>
        <v>-0.931776842105263</v>
      </c>
      <c r="G15" s="25" t="str">
        <f aca="false">IF(C15=0,"UNBUDGETED",IF(F15&gt;0.5,"CRITICAL",IF(F15&gt;0.1,"OVER",IF(F15&lt;-0.1,"UNDER","ON"))))</f>
        <v>UNDER</v>
      </c>
    </row>
    <row r="16" customFormat="false" ht="15" hidden="false" customHeight="true" outlineLevel="0" collapsed="false">
      <c r="A16" s="5" t="s">
        <v>161</v>
      </c>
      <c r="B16" s="5" t="s">
        <v>162</v>
      </c>
      <c r="C16" s="6" t="n">
        <v>33497</v>
      </c>
      <c r="D16" s="6" t="n">
        <v>17156.73</v>
      </c>
      <c r="E16" s="10" t="n">
        <f aca="false">C16-D16</f>
        <v>16340.27</v>
      </c>
      <c r="F16" s="23" t="n">
        <f aca="false">IFERROR((D16-C16)/C16,0)</f>
        <v>-0.487812938472102</v>
      </c>
      <c r="G16" s="25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163</v>
      </c>
      <c r="B17" s="5" t="s">
        <v>164</v>
      </c>
      <c r="C17" s="6" t="n">
        <v>7915</v>
      </c>
      <c r="D17" s="6" t="n">
        <v>8186.91</v>
      </c>
      <c r="E17" s="10" t="n">
        <f aca="false">C17-D17</f>
        <v>-271.91</v>
      </c>
      <c r="F17" s="23" t="n">
        <f aca="false">IFERROR((D17-C17)/C17,0)</f>
        <v>0.0343537586860392</v>
      </c>
      <c r="G17" s="25" t="str">
        <f aca="false">IF(C17=0,"UNBUDGETED",IF(F17&gt;0.5,"CRITICAL",IF(F17&gt;0.1,"OVER",IF(F17&lt;-0.1,"UNDER","ON"))))</f>
        <v>ON</v>
      </c>
    </row>
    <row r="18" customFormat="false" ht="15" hidden="false" customHeight="true" outlineLevel="0" collapsed="false">
      <c r="A18" s="5" t="s">
        <v>165</v>
      </c>
      <c r="B18" s="5" t="s">
        <v>166</v>
      </c>
      <c r="C18" s="6" t="n">
        <v>53020</v>
      </c>
      <c r="D18" s="6" t="n">
        <v>25828.61</v>
      </c>
      <c r="E18" s="10" t="n">
        <f aca="false">C18-D18</f>
        <v>27191.39</v>
      </c>
      <c r="F18" s="23" t="n">
        <f aca="false">IFERROR((D18-C18)/C18,0)</f>
        <v>-0.512851565447001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167</v>
      </c>
      <c r="B19" s="5" t="s">
        <v>168</v>
      </c>
      <c r="C19" s="6" t="n">
        <v>260209</v>
      </c>
      <c r="D19" s="6" t="n">
        <v>141842.79</v>
      </c>
      <c r="E19" s="10" t="n">
        <f aca="false">C19-D19</f>
        <v>118366.21</v>
      </c>
      <c r="F19" s="23" t="n">
        <f aca="false">IFERROR((D19-C19)/C19,0)</f>
        <v>-0.454888993078641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169</v>
      </c>
      <c r="B20" s="5" t="s">
        <v>170</v>
      </c>
      <c r="C20" s="6" t="n">
        <v>10972</v>
      </c>
      <c r="D20" s="6" t="n">
        <v>1138.79</v>
      </c>
      <c r="E20" s="10" t="n">
        <f aca="false">C20-D20</f>
        <v>9833.21</v>
      </c>
      <c r="F20" s="23" t="n">
        <f aca="false">IFERROR((D20-C20)/C20,0)</f>
        <v>-0.896209442216551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171</v>
      </c>
      <c r="B21" s="5" t="s">
        <v>172</v>
      </c>
      <c r="C21" s="6" t="n">
        <v>48750</v>
      </c>
      <c r="D21" s="6" t="n">
        <v>30721.75</v>
      </c>
      <c r="E21" s="10" t="n">
        <f aca="false">C21-D21</f>
        <v>18028.25</v>
      </c>
      <c r="F21" s="23" t="n">
        <f aca="false">IFERROR((D21-C21)/C21,0)</f>
        <v>-0.369810256410256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173</v>
      </c>
      <c r="B22" s="5" t="s">
        <v>174</v>
      </c>
      <c r="C22" s="6" t="n">
        <v>7200</v>
      </c>
      <c r="D22" s="6" t="n">
        <v>7324.66</v>
      </c>
      <c r="E22" s="10" t="n">
        <f aca="false">C22-D22</f>
        <v>-124.66</v>
      </c>
      <c r="F22" s="23" t="n">
        <f aca="false">IFERROR((D22-C22)/C22,0)</f>
        <v>0.0173138888888889</v>
      </c>
      <c r="G22" s="25" t="str">
        <f aca="false">IF(C22=0,"UNBUDGETED",IF(F22&gt;0.5,"CRITICAL",IF(F22&gt;0.1,"OVER",IF(F22&lt;-0.1,"UNDER","ON"))))</f>
        <v>ON</v>
      </c>
    </row>
    <row r="23" customFormat="false" ht="15" hidden="false" customHeight="true" outlineLevel="0" collapsed="false">
      <c r="A23" s="5" t="s">
        <v>177</v>
      </c>
      <c r="B23" s="5" t="s">
        <v>178</v>
      </c>
      <c r="C23" s="6" t="n">
        <v>1000</v>
      </c>
      <c r="D23" s="6" t="n">
        <v>4653.75</v>
      </c>
      <c r="E23" s="10" t="n">
        <f aca="false">C23-D23</f>
        <v>-3653.75</v>
      </c>
      <c r="F23" s="23" t="n">
        <f aca="false">IFERROR((D23-C23)/C23,0)</f>
        <v>3.65375</v>
      </c>
      <c r="G23" s="25" t="str">
        <f aca="false">IF(C23=0,"UNBUDGETED",IF(F23&gt;0.5,"CRITICAL",IF(F23&gt;0.1,"OVER",IF(F23&lt;-0.1,"UNDER","ON"))))</f>
        <v>CRITICAL</v>
      </c>
    </row>
    <row r="24" customFormat="false" ht="15" hidden="false" customHeight="true" outlineLevel="0" collapsed="false">
      <c r="A24" s="5" t="s">
        <v>179</v>
      </c>
      <c r="B24" s="5" t="s">
        <v>180</v>
      </c>
      <c r="C24" s="6" t="n">
        <v>600</v>
      </c>
      <c r="D24" s="6" t="n">
        <v>199.24</v>
      </c>
      <c r="E24" s="10" t="n">
        <f aca="false">C24-D24</f>
        <v>400.76</v>
      </c>
      <c r="F24" s="23" t="n">
        <f aca="false">IFERROR((D24-C24)/C24,0)</f>
        <v>-0.667933333333333</v>
      </c>
      <c r="G24" s="25" t="str">
        <f aca="false">IF(C24=0,"UNBUDGETED",IF(F24&gt;0.5,"CRITICAL",IF(F24&gt;0.1,"OVER",IF(F24&lt;-0.1,"UNDER","ON"))))</f>
        <v>UNDER</v>
      </c>
    </row>
    <row r="25" customFormat="false" ht="15" hidden="false" customHeight="true" outlineLevel="0" collapsed="false">
      <c r="A25" s="5" t="s">
        <v>181</v>
      </c>
      <c r="B25" s="5" t="s">
        <v>182</v>
      </c>
      <c r="C25" s="6" t="n">
        <v>118231.65</v>
      </c>
      <c r="D25" s="6" t="n">
        <v>98191.39</v>
      </c>
      <c r="E25" s="10" t="n">
        <f aca="false">C25-D25</f>
        <v>20040.26</v>
      </c>
      <c r="F25" s="23" t="n">
        <f aca="false">IFERROR((D25-C25)/C25,0)</f>
        <v>-0.16949996045898</v>
      </c>
      <c r="G25" s="25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183</v>
      </c>
      <c r="B26" s="5" t="s">
        <v>184</v>
      </c>
      <c r="C26" s="6" t="n">
        <v>20099.39</v>
      </c>
      <c r="D26" s="6" t="n">
        <v>16937.47</v>
      </c>
      <c r="E26" s="10" t="n">
        <f aca="false">C26-D26</f>
        <v>3161.92</v>
      </c>
      <c r="F26" s="23" t="n">
        <f aca="false">IFERROR((D26-C26)/C26,0)</f>
        <v>-0.157314226949176</v>
      </c>
      <c r="G26" s="25" t="str">
        <f aca="false">IF(C26=0,"UNBUDGETED",IF(F26&gt;0.5,"CRITICAL",IF(F26&gt;0.1,"OVER",IF(F26&lt;-0.1,"UNDER","ON"))))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197</v>
      </c>
    </row>
    <row r="3" customFormat="false" ht="15" hidden="false" customHeight="true" outlineLevel="0" collapsed="false">
      <c r="A3" s="22" t="s">
        <v>198</v>
      </c>
      <c r="B3" s="22" t="s">
        <v>199</v>
      </c>
      <c r="C3" s="22" t="s">
        <v>200</v>
      </c>
      <c r="D3" s="22" t="s">
        <v>201</v>
      </c>
    </row>
    <row r="4" customFormat="false" ht="15" hidden="false" customHeight="true" outlineLevel="0" collapsed="false">
      <c r="A4" s="5" t="s">
        <v>202</v>
      </c>
      <c r="B4" s="6" t="n">
        <v>98249.98</v>
      </c>
      <c r="C4" s="5" t="n">
        <v>32</v>
      </c>
      <c r="D4" s="23" t="n">
        <f aca="false">IFERROR(B4/SUM(B$4:B$17),0)</f>
        <v>0.517654852858488</v>
      </c>
    </row>
    <row r="5" customFormat="false" ht="15" hidden="false" customHeight="true" outlineLevel="0" collapsed="false">
      <c r="A5" s="5" t="s">
        <v>203</v>
      </c>
      <c r="B5" s="6" t="n">
        <v>36841.22</v>
      </c>
      <c r="C5" s="5" t="n">
        <v>34</v>
      </c>
      <c r="D5" s="23" t="n">
        <f aca="false">IFERROR(B5/SUM(B$4:B$17),0)</f>
        <v>0.194107279393107</v>
      </c>
    </row>
    <row r="6" customFormat="false" ht="15" hidden="false" customHeight="true" outlineLevel="0" collapsed="false">
      <c r="A6" s="5" t="s">
        <v>204</v>
      </c>
      <c r="B6" s="6" t="n">
        <v>32948.34</v>
      </c>
      <c r="C6" s="5" t="n">
        <v>65</v>
      </c>
      <c r="D6" s="23" t="n">
        <f aca="false">IFERROR(B6/SUM(B$4:B$17),0)</f>
        <v>0.173596657166052</v>
      </c>
    </row>
    <row r="7" customFormat="false" ht="15" hidden="false" customHeight="true" outlineLevel="0" collapsed="false">
      <c r="A7" s="5" t="s">
        <v>205</v>
      </c>
      <c r="B7" s="6" t="n">
        <v>7236.35</v>
      </c>
      <c r="C7" s="5" t="n">
        <v>19</v>
      </c>
      <c r="D7" s="23" t="n">
        <f aca="false">IFERROR(B7/SUM(B$4:B$17),0)</f>
        <v>0.0381265390026799</v>
      </c>
    </row>
    <row r="8" customFormat="false" ht="15" hidden="false" customHeight="true" outlineLevel="0" collapsed="false">
      <c r="A8" s="5" t="s">
        <v>206</v>
      </c>
      <c r="B8" s="6" t="n">
        <v>4393.75</v>
      </c>
      <c r="C8" s="5" t="n">
        <v>1</v>
      </c>
      <c r="D8" s="23" t="n">
        <f aca="false">IFERROR(B8/SUM(B$4:B$17),0)</f>
        <v>0.0231495824197316</v>
      </c>
    </row>
    <row r="9" customFormat="false" ht="15" hidden="false" customHeight="true" outlineLevel="0" collapsed="false">
      <c r="A9" s="5" t="s">
        <v>207</v>
      </c>
      <c r="B9" s="6" t="n">
        <v>4131</v>
      </c>
      <c r="C9" s="5" t="n">
        <v>3</v>
      </c>
      <c r="D9" s="23" t="n">
        <f aca="false">IFERROR(B9/SUM(B$4:B$17),0)</f>
        <v>0.0217652176332088</v>
      </c>
    </row>
    <row r="10" customFormat="false" ht="15" hidden="false" customHeight="true" outlineLevel="0" collapsed="false">
      <c r="A10" s="5" t="s">
        <v>208</v>
      </c>
      <c r="B10" s="6" t="n">
        <v>2115</v>
      </c>
      <c r="C10" s="5" t="n">
        <v>1</v>
      </c>
      <c r="D10" s="23" t="n">
        <f aca="false">IFERROR(B10/SUM(B$4:B$17),0)</f>
        <v>0.0111434120780045</v>
      </c>
    </row>
    <row r="11" customFormat="false" ht="15" hidden="false" customHeight="true" outlineLevel="0" collapsed="false">
      <c r="A11" s="5" t="s">
        <v>209</v>
      </c>
      <c r="B11" s="6" t="n">
        <v>2061</v>
      </c>
      <c r="C11" s="5" t="n">
        <v>2</v>
      </c>
      <c r="D11" s="23" t="n">
        <f aca="false">IFERROR(B11/SUM(B$4:B$17),0)</f>
        <v>0.0108588994292044</v>
      </c>
    </row>
    <row r="12" customFormat="false" ht="15" hidden="false" customHeight="true" outlineLevel="0" collapsed="false">
      <c r="A12" s="5" t="s">
        <v>210</v>
      </c>
      <c r="B12" s="6" t="n">
        <v>745.5</v>
      </c>
      <c r="C12" s="5" t="n">
        <v>3</v>
      </c>
      <c r="D12" s="23" t="n">
        <f aca="false">IFERROR(B12/SUM(B$4:B$17),0)</f>
        <v>0.00392785517926826</v>
      </c>
    </row>
    <row r="13" customFormat="false" ht="15" hidden="false" customHeight="true" outlineLevel="0" collapsed="false">
      <c r="A13" s="5" t="s">
        <v>211</v>
      </c>
      <c r="B13" s="6" t="n">
        <v>305.76</v>
      </c>
      <c r="C13" s="5" t="n">
        <v>1</v>
      </c>
      <c r="D13" s="23" t="n">
        <f aca="false">IFERROR(B13/SUM(B$4:B$17),0)</f>
        <v>0.00161097384253932</v>
      </c>
    </row>
    <row r="14" customFormat="false" ht="15" hidden="false" customHeight="true" outlineLevel="0" collapsed="false">
      <c r="A14" s="5" t="s">
        <v>212</v>
      </c>
      <c r="B14" s="6" t="n">
        <v>260</v>
      </c>
      <c r="C14" s="5" t="n">
        <v>2</v>
      </c>
      <c r="D14" s="23" t="n">
        <f aca="false">IFERROR(B14/SUM(B$4:B$17),0)</f>
        <v>0.001369875716445</v>
      </c>
    </row>
    <row r="15" customFormat="false" ht="15" hidden="false" customHeight="true" outlineLevel="0" collapsed="false">
      <c r="A15" s="5" t="s">
        <v>213</v>
      </c>
      <c r="B15" s="6" t="n">
        <v>231.39</v>
      </c>
      <c r="C15" s="5" t="n">
        <v>1</v>
      </c>
      <c r="D15" s="23" t="n">
        <f aca="false">IFERROR(B15/SUM(B$4:B$17),0)</f>
        <v>0.00121913670010849</v>
      </c>
    </row>
    <row r="16" customFormat="false" ht="15" hidden="false" customHeight="true" outlineLevel="0" collapsed="false">
      <c r="A16" s="5" t="s">
        <v>214</v>
      </c>
      <c r="B16" s="6" t="n">
        <v>199.24</v>
      </c>
      <c r="C16" s="5" t="n">
        <v>1</v>
      </c>
      <c r="D16" s="23" t="n">
        <f aca="false">IFERROR(B16/SUM(B$4:B$17),0)</f>
        <v>0.00104974629901731</v>
      </c>
    </row>
    <row r="17" customFormat="false" ht="15" hidden="false" customHeight="true" outlineLevel="0" collapsed="false">
      <c r="A17" s="5" t="s">
        <v>215</v>
      </c>
      <c r="B17" s="6" t="n">
        <v>79.71</v>
      </c>
      <c r="C17" s="5" t="n">
        <v>4</v>
      </c>
      <c r="D17" s="23" t="n">
        <f aca="false">IFERROR(B17/SUM(B$4:B$17),0)</f>
        <v>0.000419972282145504</v>
      </c>
    </row>
    <row r="18" customFormat="false" ht="15" hidden="false" customHeight="true" outlineLevel="0" collapsed="false">
      <c r="A18" s="13" t="s">
        <v>216</v>
      </c>
      <c r="B18" s="7" t="n">
        <f aca="false">SUM(B4:B17)</f>
        <v>189798.24</v>
      </c>
      <c r="C18" s="26" t="n">
        <f aca="false">SUM(C4:C17)</f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217</v>
      </c>
    </row>
    <row r="3" customFormat="false" ht="15" hidden="false" customHeight="true" outlineLevel="0" collapsed="false">
      <c r="A3" s="22" t="s">
        <v>218</v>
      </c>
      <c r="B3" s="22" t="s">
        <v>219</v>
      </c>
      <c r="C3" s="22" t="s">
        <v>220</v>
      </c>
      <c r="D3" s="22" t="s">
        <v>221</v>
      </c>
      <c r="E3" s="22" t="s">
        <v>222</v>
      </c>
    </row>
    <row r="4" customFormat="false" ht="15" hidden="false" customHeight="true" outlineLevel="0" collapsed="false">
      <c r="A4" s="5" t="s">
        <v>223</v>
      </c>
      <c r="B4" s="27" t="n">
        <v>1459.5</v>
      </c>
      <c r="C4" s="6" t="n">
        <v>64382</v>
      </c>
      <c r="D4" s="28" t="n">
        <f aca="false">IFERROR(C4/B4,0)</f>
        <v>44.1123672490579</v>
      </c>
      <c r="E4" s="5" t="s">
        <v>224</v>
      </c>
    </row>
    <row r="5" customFormat="false" ht="15" hidden="false" customHeight="true" outlineLevel="0" collapsed="false">
      <c r="A5" s="5" t="s">
        <v>225</v>
      </c>
      <c r="B5" s="27" t="n">
        <v>1150</v>
      </c>
      <c r="C5" s="6" t="n">
        <v>39171</v>
      </c>
      <c r="D5" s="28" t="n">
        <f aca="false">IFERROR(C5/B5,0)</f>
        <v>34.0617391304348</v>
      </c>
      <c r="E5" s="5" t="s">
        <v>226</v>
      </c>
    </row>
    <row r="6" customFormat="false" ht="15" hidden="false" customHeight="true" outlineLevel="0" collapsed="false">
      <c r="A6" s="5" t="s">
        <v>227</v>
      </c>
      <c r="B6" s="27" t="n">
        <v>978</v>
      </c>
      <c r="C6" s="6" t="n">
        <v>16590</v>
      </c>
      <c r="D6" s="28" t="n">
        <f aca="false">IFERROR(C6/B6,0)</f>
        <v>16.9631901840491</v>
      </c>
      <c r="E6" s="5" t="s">
        <v>228</v>
      </c>
    </row>
    <row r="7" customFormat="false" ht="15" hidden="false" customHeight="true" outlineLevel="0" collapsed="false">
      <c r="A7" s="5" t="s">
        <v>229</v>
      </c>
      <c r="B7" s="27" t="n">
        <v>968</v>
      </c>
      <c r="C7" s="6" t="n">
        <v>25281</v>
      </c>
      <c r="D7" s="28" t="n">
        <f aca="false">IFERROR(C7/B7,0)</f>
        <v>26.1167355371901</v>
      </c>
      <c r="E7" s="5" t="s">
        <v>226</v>
      </c>
    </row>
    <row r="8" customFormat="false" ht="15" hidden="false" customHeight="true" outlineLevel="0" collapsed="false">
      <c r="A8" s="5" t="s">
        <v>230</v>
      </c>
      <c r="B8" s="27" t="n">
        <v>471</v>
      </c>
      <c r="C8" s="6" t="n">
        <v>8478</v>
      </c>
      <c r="D8" s="28" t="n">
        <f aca="false">IFERROR(C8/B8,0)</f>
        <v>18</v>
      </c>
      <c r="E8" s="5" t="s">
        <v>228</v>
      </c>
    </row>
    <row r="9" customFormat="false" ht="15" hidden="false" customHeight="true" outlineLevel="0" collapsed="false">
      <c r="A9" s="5" t="s">
        <v>231</v>
      </c>
      <c r="B9" s="27" t="n">
        <v>379</v>
      </c>
      <c r="C9" s="6" t="n">
        <v>11051</v>
      </c>
      <c r="D9" s="28" t="n">
        <f aca="false">IFERROR(C9/B9,0)</f>
        <v>29.1583113456464</v>
      </c>
      <c r="E9" s="5" t="s">
        <v>226</v>
      </c>
    </row>
    <row r="10" customFormat="false" ht="15" hidden="false" customHeight="true" outlineLevel="0" collapsed="false">
      <c r="A10" s="5" t="s">
        <v>232</v>
      </c>
      <c r="B10" s="27" t="n">
        <v>334</v>
      </c>
      <c r="C10" s="6" t="n">
        <v>9385</v>
      </c>
      <c r="D10" s="28" t="n">
        <f aca="false">IFERROR(C10/B10,0)</f>
        <v>28.0988023952096</v>
      </c>
      <c r="E10" s="5" t="s">
        <v>226</v>
      </c>
    </row>
    <row r="11" customFormat="false" ht="15" hidden="false" customHeight="true" outlineLevel="0" collapsed="false">
      <c r="A11" s="5" t="s">
        <v>233</v>
      </c>
      <c r="B11" s="27" t="n">
        <v>305</v>
      </c>
      <c r="C11" s="6" t="n">
        <v>8283</v>
      </c>
      <c r="D11" s="28" t="n">
        <f aca="false">IFERROR(C11/B11,0)</f>
        <v>27.1573770491803</v>
      </c>
      <c r="E11" s="5" t="s">
        <v>226</v>
      </c>
    </row>
    <row r="12" customFormat="false" ht="15" hidden="false" customHeight="true" outlineLevel="0" collapsed="false">
      <c r="A12" s="5" t="s">
        <v>234</v>
      </c>
      <c r="B12" s="27" t="n">
        <v>166</v>
      </c>
      <c r="C12" s="6" t="n">
        <v>8776</v>
      </c>
      <c r="D12" s="28" t="n">
        <f aca="false">IFERROR(C12/B12,0)</f>
        <v>52.8674698795181</v>
      </c>
      <c r="E12" s="5" t="s">
        <v>224</v>
      </c>
    </row>
    <row r="13" customFormat="false" ht="15" hidden="false" customHeight="true" outlineLevel="0" collapsed="false">
      <c r="A13" s="5" t="s">
        <v>235</v>
      </c>
      <c r="B13" s="27" t="n">
        <v>145.5</v>
      </c>
      <c r="C13" s="6" t="n">
        <v>4863</v>
      </c>
      <c r="D13" s="28" t="n">
        <f aca="false">IFERROR(C13/B13,0)</f>
        <v>33.4226804123711</v>
      </c>
      <c r="E13" s="5" t="s">
        <v>226</v>
      </c>
    </row>
    <row r="14" customFormat="false" ht="15" hidden="false" customHeight="true" outlineLevel="0" collapsed="false">
      <c r="A14" s="5" t="s">
        <v>236</v>
      </c>
      <c r="B14" s="27" t="n">
        <v>143.5</v>
      </c>
      <c r="C14" s="6" t="n">
        <v>6869</v>
      </c>
      <c r="D14" s="28" t="n">
        <f aca="false">IFERROR(C14/B14,0)</f>
        <v>47.8675958188153</v>
      </c>
      <c r="E14" s="5" t="s">
        <v>224</v>
      </c>
    </row>
    <row r="15" customFormat="false" ht="15" hidden="false" customHeight="true" outlineLevel="0" collapsed="false">
      <c r="A15" s="5" t="s">
        <v>237</v>
      </c>
      <c r="B15" s="27" t="n">
        <v>131</v>
      </c>
      <c r="C15" s="6" t="n">
        <v>4477</v>
      </c>
      <c r="D15" s="28" t="n">
        <f aca="false">IFERROR(C15/B15,0)</f>
        <v>34.175572519084</v>
      </c>
      <c r="E15" s="5" t="s">
        <v>226</v>
      </c>
    </row>
    <row r="16" customFormat="false" ht="15" hidden="false" customHeight="true" outlineLevel="0" collapsed="false">
      <c r="A16" s="5" t="s">
        <v>238</v>
      </c>
      <c r="B16" s="27" t="n">
        <v>130</v>
      </c>
      <c r="C16" s="6" t="n">
        <v>2484</v>
      </c>
      <c r="D16" s="28" t="n">
        <f aca="false">IFERROR(C16/B16,0)</f>
        <v>19.1076923076923</v>
      </c>
      <c r="E16" s="5" t="s">
        <v>228</v>
      </c>
    </row>
    <row r="17" customFormat="false" ht="15" hidden="false" customHeight="true" outlineLevel="0" collapsed="false">
      <c r="A17" s="5" t="s">
        <v>239</v>
      </c>
      <c r="B17" s="27" t="n">
        <v>112</v>
      </c>
      <c r="C17" s="6" t="n">
        <v>1904</v>
      </c>
      <c r="D17" s="28" t="n">
        <f aca="false">IFERROR(C17/B17,0)</f>
        <v>17</v>
      </c>
      <c r="E17" s="5" t="s">
        <v>228</v>
      </c>
    </row>
    <row r="18" customFormat="false" ht="15" hidden="false" customHeight="true" outlineLevel="0" collapsed="false">
      <c r="A18" s="5" t="s">
        <v>240</v>
      </c>
      <c r="B18" s="27" t="n">
        <v>68</v>
      </c>
      <c r="C18" s="6" t="n">
        <v>4250</v>
      </c>
      <c r="D18" s="28" t="n">
        <f aca="false">IFERROR(C18/B18,0)</f>
        <v>62.5</v>
      </c>
      <c r="E18" s="5" t="s">
        <v>224</v>
      </c>
    </row>
    <row r="19" customFormat="false" ht="15" hidden="false" customHeight="true" outlineLevel="0" collapsed="false">
      <c r="A19" s="5" t="s">
        <v>241</v>
      </c>
      <c r="B19" s="27" t="n">
        <v>58.5</v>
      </c>
      <c r="C19" s="6" t="n">
        <v>2956</v>
      </c>
      <c r="D19" s="28" t="n">
        <f aca="false">IFERROR(C19/B19,0)</f>
        <v>50.5299145299145</v>
      </c>
      <c r="E19" s="5" t="s">
        <v>224</v>
      </c>
    </row>
    <row r="20" customFormat="false" ht="15" hidden="false" customHeight="true" outlineLevel="0" collapsed="false">
      <c r="A20" s="5" t="s">
        <v>242</v>
      </c>
      <c r="B20" s="27" t="n">
        <v>24</v>
      </c>
      <c r="C20" s="6" t="n">
        <v>600</v>
      </c>
      <c r="D20" s="28" t="n">
        <f aca="false">IFERROR(C20/B20,0)</f>
        <v>25</v>
      </c>
      <c r="E20" s="5" t="s">
        <v>226</v>
      </c>
    </row>
    <row r="21" customFormat="false" ht="15" hidden="false" customHeight="true" outlineLevel="0" collapsed="false">
      <c r="A21" s="5" t="s">
        <v>243</v>
      </c>
      <c r="B21" s="27" t="n">
        <v>21</v>
      </c>
      <c r="C21" s="6" t="n">
        <v>405</v>
      </c>
      <c r="D21" s="28" t="n">
        <f aca="false">IFERROR(C21/B21,0)</f>
        <v>19.2857142857143</v>
      </c>
      <c r="E21" s="5" t="s">
        <v>228</v>
      </c>
    </row>
    <row r="22" customFormat="false" ht="15" hidden="false" customHeight="true" outlineLevel="0" collapsed="false">
      <c r="A22" s="5" t="s">
        <v>244</v>
      </c>
      <c r="B22" s="27" t="n">
        <v>16</v>
      </c>
      <c r="C22" s="6" t="n">
        <v>384</v>
      </c>
      <c r="D22" s="28" t="n">
        <f aca="false">IFERROR(C22/B22,0)</f>
        <v>24</v>
      </c>
      <c r="E22" s="5" t="s">
        <v>226</v>
      </c>
    </row>
    <row r="23" customFormat="false" ht="15" hidden="false" customHeight="true" outlineLevel="0" collapsed="false">
      <c r="A23" s="5" t="s">
        <v>245</v>
      </c>
      <c r="B23" s="27" t="n">
        <v>13</v>
      </c>
      <c r="C23" s="6" t="n">
        <v>258</v>
      </c>
      <c r="D23" s="28" t="n">
        <f aca="false">IFERROR(C23/B23,0)</f>
        <v>19.8461538461538</v>
      </c>
      <c r="E23" s="5" t="s">
        <v>228</v>
      </c>
    </row>
    <row r="24" customFormat="false" ht="15" hidden="false" customHeight="true" outlineLevel="0" collapsed="false">
      <c r="A24" s="5" t="s">
        <v>246</v>
      </c>
      <c r="B24" s="27" t="n">
        <v>8</v>
      </c>
      <c r="C24" s="6" t="n">
        <v>184</v>
      </c>
      <c r="D24" s="28" t="n">
        <f aca="false">IFERROR(C24/B24,0)</f>
        <v>23</v>
      </c>
      <c r="E24" s="5" t="s">
        <v>226</v>
      </c>
    </row>
    <row r="25" customFormat="false" ht="15" hidden="false" customHeight="true" outlineLevel="0" collapsed="false">
      <c r="A25" s="5" t="s">
        <v>247</v>
      </c>
      <c r="B25" s="27" t="n">
        <v>8</v>
      </c>
      <c r="C25" s="6" t="n">
        <v>224</v>
      </c>
      <c r="D25" s="28" t="n">
        <f aca="false">IFERROR(C25/B25,0)</f>
        <v>28</v>
      </c>
      <c r="E25" s="5" t="s">
        <v>226</v>
      </c>
    </row>
    <row r="26" customFormat="false" ht="15" hidden="false" customHeight="true" outlineLevel="0" collapsed="false">
      <c r="A26" s="5" t="s">
        <v>248</v>
      </c>
      <c r="B26" s="27" t="n">
        <v>4</v>
      </c>
      <c r="C26" s="6" t="n">
        <v>144</v>
      </c>
      <c r="D26" s="28" t="n">
        <f aca="false">IFERROR(C26/B26,0)</f>
        <v>36</v>
      </c>
      <c r="E26" s="5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249</v>
      </c>
    </row>
    <row r="3" customFormat="false" ht="15" hidden="false" customHeight="true" outlineLevel="0" collapsed="false">
      <c r="A3" s="22" t="s">
        <v>222</v>
      </c>
      <c r="B3" s="22" t="s">
        <v>250</v>
      </c>
      <c r="C3" s="22" t="s">
        <v>219</v>
      </c>
      <c r="D3" s="22" t="s">
        <v>220</v>
      </c>
      <c r="E3" s="22" t="s">
        <v>251</v>
      </c>
    </row>
    <row r="4" customFormat="false" ht="15" hidden="false" customHeight="true" outlineLevel="0" collapsed="false">
      <c r="A4" s="13" t="s">
        <v>224</v>
      </c>
      <c r="B4" s="5" t="n">
        <v>6</v>
      </c>
      <c r="C4" s="27" t="n">
        <v>1899.5</v>
      </c>
      <c r="D4" s="6" t="n">
        <v>87378</v>
      </c>
      <c r="E4" s="23" t="n">
        <f aca="false">IFERROR(C4/SUM(C$4:C$7),0)</f>
        <v>0.267799238686028</v>
      </c>
    </row>
    <row r="5" customFormat="false" ht="15" hidden="false" customHeight="true" outlineLevel="0" collapsed="false">
      <c r="A5" s="13" t="s">
        <v>226</v>
      </c>
      <c r="B5" s="5" t="n">
        <v>11</v>
      </c>
      <c r="C5" s="27" t="n">
        <v>3468.5</v>
      </c>
      <c r="D5" s="6" t="n">
        <v>103903</v>
      </c>
      <c r="E5" s="23" t="n">
        <f aca="false">IFERROR(C5/SUM(C$4:C$7),0)</f>
        <v>0.489003242633582</v>
      </c>
    </row>
    <row r="6" customFormat="false" ht="15" hidden="false" customHeight="true" outlineLevel="0" collapsed="false">
      <c r="A6" s="13" t="s">
        <v>228</v>
      </c>
      <c r="B6" s="5" t="n">
        <v>6</v>
      </c>
      <c r="C6" s="27" t="n">
        <v>1725</v>
      </c>
      <c r="D6" s="6" t="n">
        <v>30119</v>
      </c>
      <c r="E6" s="23" t="n">
        <f aca="false">IFERROR(C6/SUM(C$4:C$7),0)</f>
        <v>0.243197518680389</v>
      </c>
    </row>
    <row r="7" customFormat="false" ht="15" hidden="false" customHeight="true" outlineLevel="0" collapsed="false">
      <c r="A7" s="13" t="s">
        <v>252</v>
      </c>
      <c r="B7" s="5" t="n">
        <v>0</v>
      </c>
      <c r="C7" s="27" t="n">
        <v>0</v>
      </c>
      <c r="D7" s="6" t="n">
        <v>0</v>
      </c>
      <c r="E7" s="23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253</v>
      </c>
    </row>
    <row r="3" customFormat="false" ht="15" hidden="false" customHeight="true" outlineLevel="0" collapsed="false">
      <c r="A3" s="5" t="s">
        <v>254</v>
      </c>
      <c r="B3" s="27" t="n">
        <v>7093</v>
      </c>
    </row>
    <row r="4" customFormat="false" ht="15" hidden="false" customHeight="true" outlineLevel="0" collapsed="false">
      <c r="A4" s="5" t="s">
        <v>255</v>
      </c>
      <c r="B4" s="29" t="n">
        <v>23</v>
      </c>
    </row>
    <row r="5" customFormat="false" ht="15" hidden="false" customHeight="true" outlineLevel="0" collapsed="false">
      <c r="A5" s="5" t="s">
        <v>256</v>
      </c>
      <c r="B5" s="27" t="n">
        <v>709.3</v>
      </c>
    </row>
    <row r="6" customFormat="false" ht="15" hidden="false" customHeight="true" outlineLevel="0" collapsed="false">
      <c r="A6" s="5" t="s">
        <v>257</v>
      </c>
      <c r="B6" s="30" t="n">
        <v>159.87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258</v>
      </c>
    </row>
    <row r="3" customFormat="false" ht="15" hidden="false" customHeight="true" outlineLevel="0" collapsed="false">
      <c r="A3" s="22" t="s">
        <v>259</v>
      </c>
      <c r="B3" s="22" t="s">
        <v>260</v>
      </c>
      <c r="C3" s="22" t="s">
        <v>261</v>
      </c>
      <c r="D3" s="22" t="s">
        <v>113</v>
      </c>
    </row>
    <row r="4" customFormat="false" ht="15" hidden="false" customHeight="true" outlineLevel="0" collapsed="false">
      <c r="A4" s="5" t="s">
        <v>262</v>
      </c>
      <c r="B4" s="31" t="n">
        <v>0.264766046983731</v>
      </c>
      <c r="C4" s="31" t="n">
        <v>0.34</v>
      </c>
      <c r="D4" s="23" t="n">
        <f aca="false">B4-C4</f>
        <v>-0.075233953016269</v>
      </c>
    </row>
    <row r="5" customFormat="false" ht="15" hidden="false" customHeight="true" outlineLevel="0" collapsed="false">
      <c r="A5" s="5" t="s">
        <v>263</v>
      </c>
      <c r="B5" s="31" t="n">
        <v>0.373910031704709</v>
      </c>
      <c r="C5" s="31" t="n">
        <v>0.45</v>
      </c>
      <c r="D5" s="23" t="n">
        <f aca="false">B5-C5</f>
        <v>-0.076089968295291</v>
      </c>
    </row>
    <row r="6" customFormat="false" ht="15" hidden="false" customHeight="true" outlineLevel="0" collapsed="false">
      <c r="A6" s="5" t="s">
        <v>264</v>
      </c>
      <c r="B6" s="31" t="n">
        <v>0.517654852858488</v>
      </c>
      <c r="C6" s="31" t="n">
        <v>0.38</v>
      </c>
      <c r="D6" s="23" t="n">
        <f aca="false">B6-C6</f>
        <v>0.137654852858488</v>
      </c>
    </row>
    <row r="7" customFormat="false" ht="15" hidden="false" customHeight="true" outlineLevel="0" collapsed="false">
      <c r="A7" s="5" t="s">
        <v>265</v>
      </c>
      <c r="B7" s="27" t="n">
        <v>709.3</v>
      </c>
      <c r="C7" s="27" t="n">
        <v>95</v>
      </c>
      <c r="D7" s="32" t="n">
        <f aca="false">B7-C7</f>
        <v>614.3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266</v>
      </c>
    </row>
    <row r="3" customFormat="false" ht="15" hidden="false" customHeight="true" outlineLevel="0" collapsed="false">
      <c r="A3" s="22" t="s">
        <v>267</v>
      </c>
      <c r="B3" s="22" t="s">
        <v>132</v>
      </c>
      <c r="C3" s="22" t="s">
        <v>268</v>
      </c>
    </row>
    <row r="4" customFormat="false" ht="15" hidden="false" customHeight="true" outlineLevel="0" collapsed="false">
      <c r="A4" s="5" t="s">
        <v>269</v>
      </c>
      <c r="B4" s="33" t="s">
        <v>270</v>
      </c>
      <c r="C4" s="5" t="s">
        <v>271</v>
      </c>
    </row>
    <row r="5" customFormat="false" ht="15" hidden="false" customHeight="true" outlineLevel="0" collapsed="false">
      <c r="A5" s="5" t="s">
        <v>272</v>
      </c>
      <c r="B5" s="33" t="s">
        <v>270</v>
      </c>
      <c r="C5" s="5" t="s">
        <v>273</v>
      </c>
    </row>
    <row r="6" customFormat="false" ht="15" hidden="false" customHeight="true" outlineLevel="0" collapsed="false">
      <c r="A6" s="5" t="s">
        <v>274</v>
      </c>
      <c r="B6" s="33" t="s">
        <v>270</v>
      </c>
      <c r="C6" s="5" t="s">
        <v>275</v>
      </c>
    </row>
    <row r="7" customFormat="false" ht="15" hidden="false" customHeight="true" outlineLevel="0" collapsed="false">
      <c r="A7" s="5" t="s">
        <v>276</v>
      </c>
      <c r="B7" s="34" t="s">
        <v>277</v>
      </c>
      <c r="C7" s="5" t="s">
        <v>278</v>
      </c>
    </row>
    <row r="8" customFormat="false" ht="15" hidden="false" customHeight="true" outlineLevel="0" collapsed="false">
      <c r="A8" s="5" t="s">
        <v>6</v>
      </c>
      <c r="B8" s="34" t="s">
        <v>277</v>
      </c>
      <c r="C8" s="5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280</v>
      </c>
    </row>
    <row r="3" customFormat="false" ht="15" hidden="false" customHeight="true" outlineLevel="0" collapsed="false">
      <c r="A3" s="22" t="s">
        <v>14</v>
      </c>
      <c r="B3" s="22" t="s">
        <v>281</v>
      </c>
      <c r="C3" s="22" t="s">
        <v>282</v>
      </c>
      <c r="D3" s="22" t="s">
        <v>113</v>
      </c>
    </row>
    <row r="4" customFormat="false" ht="15" hidden="false" customHeight="true" outlineLevel="0" collapsed="false">
      <c r="A4" s="5" t="s">
        <v>283</v>
      </c>
      <c r="B4" s="6" t="n">
        <v>574230.71</v>
      </c>
      <c r="C4" s="6" t="n">
        <v>574230.71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284</v>
      </c>
      <c r="B5" s="6" t="n">
        <v>-1133967</v>
      </c>
      <c r="C5" s="6" t="n">
        <v>1133967</v>
      </c>
      <c r="D5" s="10" t="n">
        <f aca="false">IF(ISNUMBER(B5),B5-C5,"—")</f>
        <v>-2267934</v>
      </c>
    </row>
    <row r="6" customFormat="false" ht="15" hidden="false" customHeight="true" outlineLevel="0" collapsed="false">
      <c r="A6" s="5" t="s">
        <v>285</v>
      </c>
      <c r="C6" s="6" t="n">
        <v>189798.24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286</v>
      </c>
      <c r="C7" s="6" t="n">
        <v>336529.36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287</v>
      </c>
      <c r="C8" s="6" t="n">
        <v>47903.11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288</v>
      </c>
    </row>
    <row r="3" customFormat="false" ht="15" hidden="false" customHeight="true" outlineLevel="0" collapsed="false">
      <c r="A3" s="22" t="s">
        <v>259</v>
      </c>
      <c r="B3" s="22" t="s">
        <v>289</v>
      </c>
      <c r="C3" s="22" t="s">
        <v>290</v>
      </c>
    </row>
    <row r="4" customFormat="false" ht="15" hidden="false" customHeight="true" outlineLevel="0" collapsed="false">
      <c r="A4" s="35" t="s">
        <v>262</v>
      </c>
      <c r="B4" s="35" t="s">
        <v>291</v>
      </c>
      <c r="C4" s="35" t="s">
        <v>292</v>
      </c>
    </row>
    <row r="5" customFormat="false" ht="15" hidden="false" customHeight="true" outlineLevel="0" collapsed="false">
      <c r="A5" s="35" t="s">
        <v>12</v>
      </c>
      <c r="B5" s="35" t="s">
        <v>291</v>
      </c>
      <c r="C5" s="35" t="s">
        <v>293</v>
      </c>
    </row>
    <row r="6" customFormat="false" ht="15" hidden="false" customHeight="true" outlineLevel="0" collapsed="false">
      <c r="A6" s="35" t="s">
        <v>294</v>
      </c>
      <c r="B6" s="35" t="s">
        <v>295</v>
      </c>
      <c r="C6" s="35" t="s">
        <v>296</v>
      </c>
    </row>
    <row r="7" customFormat="false" ht="15" hidden="false" customHeight="true" outlineLevel="0" collapsed="false">
      <c r="A7" s="35" t="s">
        <v>264</v>
      </c>
      <c r="B7" s="35" t="s">
        <v>297</v>
      </c>
      <c r="C7" s="35" t="s">
        <v>298</v>
      </c>
    </row>
    <row r="8" customFormat="false" ht="15" hidden="false" customHeight="true" outlineLevel="0" collapsed="false">
      <c r="A8" s="35" t="s">
        <v>265</v>
      </c>
      <c r="B8" s="35" t="s">
        <v>299</v>
      </c>
      <c r="C8" s="35" t="s">
        <v>300</v>
      </c>
    </row>
    <row r="9" customFormat="false" ht="23.25" hidden="false" customHeight="true" outlineLevel="0" collapsed="false">
      <c r="A9" s="35" t="s">
        <v>301</v>
      </c>
      <c r="B9" s="35" t="s">
        <v>302</v>
      </c>
      <c r="C9" s="35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304</v>
      </c>
    </row>
    <row r="3" customFormat="false" ht="15" hidden="false" customHeight="true" outlineLevel="0" collapsed="false">
      <c r="A3" s="22" t="s">
        <v>305</v>
      </c>
      <c r="B3" s="22" t="s">
        <v>306</v>
      </c>
      <c r="C3" s="22" t="s">
        <v>307</v>
      </c>
    </row>
    <row r="4" customFormat="false" ht="15" hidden="false" customHeight="true" outlineLevel="0" collapsed="false">
      <c r="A4" s="5" t="s">
        <v>308</v>
      </c>
      <c r="B4" s="5" t="s">
        <v>309</v>
      </c>
      <c r="C4" s="5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2026-04-26T02:18:35Z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