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<sst xmlns="http://schemas.openxmlformats.org/spreadsheetml/2006/main" count="1484" uniqueCount="660">
  <si>
    <t xml:space="preserve">Job #2048 · GRE Ballinger Apartments (1795 NE 205th St, Shoreline WA)</t>
  </si>
  <si>
    <t xml:space="preserve">Cortex JCR v2  •  GRE (customer 2048SH)  •  1795 NE 205th Street, Shoreline, WA 98155  •  Owner: GRE 205th LLC</t>
  </si>
  <si>
    <t xml:space="preserve">PROJECT OVERVIEW</t>
  </si>
  <si>
    <t xml:space="preserve">Project Job #</t>
  </si>
  <si>
    <t xml:space="preserve">2048</t>
  </si>
  <si>
    <t xml:space="preserve">2048 Job Detail Report.pdf (Sage Timberline, 04/03/2026)</t>
  </si>
  <si>
    <t xml:space="preserve">Project Name (Sage)</t>
  </si>
  <si>
    <t xml:space="preserve">GRE Greenlake</t>
  </si>
  <si>
    <t xml:space="preserve">Project Description</t>
  </si>
  <si>
    <t xml:space="preserve">GRE Ballinger Apartments — 72-unit 7-story midrise multi-family (4 Type A ADA), Seattle</t>
  </si>
  <si>
    <t xml:space="preserve">OWP Project List with Schedule - UPDATED 04-01-26.xlsx + contract</t>
  </si>
  <si>
    <t xml:space="preserve">General Contractor</t>
  </si>
  <si>
    <t xml:space="preserve">GRE</t>
  </si>
  <si>
    <t xml:space="preserve">OWP Project List with Schedule - UPDATED 04-01-26.xlsx</t>
  </si>
  <si>
    <t xml:space="preserve">Customer Code (Sage)</t>
  </si>
  <si>
    <t xml:space="preserve">2048SH</t>
  </si>
  <si>
    <t xml:space="preserve">Owner / Developer</t>
  </si>
  <si>
    <t xml:space="preserve">GRE 205th LLC</t>
  </si>
  <si>
    <t xml:space="preserve">GC PM</t>
  </si>
  <si>
    <t xml:space="preserve">Eric Bentler</t>
  </si>
  <si>
    <t xml:space="preserve">2048-Shelter Holdings subcontract 7921 + Boren &amp; Spruce CO docs</t>
  </si>
  <si>
    <t xml:space="preserve">GC Superintendent</t>
  </si>
  <si>
    <t xml:space="preserve">Victor Vo / Brett (per GRE Ballinger Brett folder)</t>
  </si>
  <si>
    <t xml:space="preserve">GC PE</t>
  </si>
  <si>
    <t xml:space="preserve">N/A</t>
  </si>
  <si>
    <t xml:space="preserve">OWP Signatory</t>
  </si>
  <si>
    <t xml:space="preserve">Mike Donelson (OWP per Subcontractor Work Order 7921, 10/23/2017; miked@owpllc.net / 425.968.8314)</t>
  </si>
  <si>
    <t xml:space="preserve">Jobsite Location</t>
  </si>
  <si>
    <t xml:space="preserve">1795 NE 205th Street, Shoreline, WA 98155</t>
  </si>
  <si>
    <t xml:space="preserve">Insurance</t>
  </si>
  <si>
    <t xml:space="preserve">Not Wrap</t>
  </si>
  <si>
    <t xml:space="preserve">Fixture Schedule</t>
  </si>
  <si>
    <t xml:space="preserve">410 fixtures total (656 unit + 98 retail/common)</t>
  </si>
  <si>
    <t xml:space="preserve">Submittal Table of Contents + Plumbing Scope</t>
  </si>
  <si>
    <t xml:space="preserve">Architect</t>
  </si>
  <si>
    <t xml:space="preserve">TBD — per Plans folder</t>
  </si>
  <si>
    <t xml:space="preserve">GRE Ballinger Apartments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</si>
  <si>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</si>
  <si>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</si>
  <si>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</si>
  <si>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</si>
  <si>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</si>
  <si>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2017-10 start → 2018-10 (12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</si>
  <si>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</si>
  <si>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</si>
  <si>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</si>
  <si>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</si>
  <si>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</si>
  <si>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$498,700.00 + ($18,368.00) COs (3.68%)</t>
  </si>
  <si>
    <t xml:space="preserve">43.0% margin</t>
  </si>
  <si>
    <t xml:space="preserve">57.0% of revenue</t>
  </si>
  <si>
    <t xml:space="preserve">30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</si>
  <si>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</si>
  <si>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</si>
  <si>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72-unit mixed-use (102 Type B + 6 Type A/ADA) at 1795 NE 205th Street, Shoreline, WA 98155, 7-story midrise multi-family (Type 1A podium + Type VA above).</t>
  </si>
  <si>
    <t xml:space="preserve">GC: GRE (2048SH); Owner: GRE 205th LLC.</t>
  </si>
  <si>
    <t xml:space="preserve">Insurance: Not Wrap (retail-adjacent residential).</t>
  </si>
  <si>
    <t xml:space="preserve">Project team: Eric Bentler (GC PM) · Victor Vo / Brett (per GRE Ballinger Brett folder) (GC Sup) · TBD — per Plans folder (Architect) · Mike Donelson (OWP per Subcontractor Work Order 7921, 10/23/2017; miked@owpllc.net / 425.968.8314) (OWP signatory).</t>
  </si>
  <si>
    <t xml:space="preserve">SOURCES</t>
  </si>
  <si>
    <t xml:space="preserve">Canonical financial source: 2048 Job Detail Report.pdf (Sage Timberline, 04/03/2026)</t>
  </si>
  <si>
    <t xml:space="preserve">Job totals (JDR footer): Revenue $517,068.00 / Expenses $294,712.63 / Net $222,355.37 / Retainage $25,853.40</t>
  </si>
  <si>
    <t xml:space="preserve">Source breakdown (derived): PR $178,388.59 · AP $115,060.40 · GL $1,263.64</t>
  </si>
  <si>
    <t xml:space="preserve">Contract: Lump Sum $498,700.00 → $517,068.00</t>
  </si>
  <si>
    <t xml:space="preserve">Change Orders (executed): $18,368.00 net across 6 COs (CO log in enriched meta)</t>
  </si>
  <si>
    <t xml:space="preserve">Project Team: Eric Bentler (PM) · Victor Vo / Brett (per GRE Ballinger Brett folder) (Sup) · TBD — per Plans folder · GRE 205th LLC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</si>
  <si>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</si>
  <si>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</si>
  <si>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</si>
  <si>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</si>
  <si>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</si>
  <si>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</si>
  <si>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</si>
  <si>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</si>
  <si>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</si>
  <si>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</si>
  <si>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</si>
  <si>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</si>
  <si>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</si>
  <si>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14 cost codes from JDR. Contract $498,700 → $517,068.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</si>
  <si>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</si>
  <si>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</si>
  <si>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</si>
  <si>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</si>
  <si>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</si>
  <si>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</si>
  <si>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</si>
  <si>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</si>
  <si>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</si>
  <si>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</si>
  <si>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</si>
  <si>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</si>
  <si>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</si>
  <si>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</si>
  <si>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</si>
  <si>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</si>
  <si>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</si>
  <si>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</si>
  <si>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</si>
  <si>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211</t>
  </si>
  <si>
    <t xml:space="preserve">Garage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</si>
  <si>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</si>
  <si>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</si>
  <si>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</si>
  <si>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</si>
  <si>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241</t>
  </si>
  <si>
    <t xml:space="preserve">Water Main/Insulation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</si>
  <si>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</si>
  <si>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</si>
  <si>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</si>
  <si>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</si>
  <si>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</si>
  <si>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</si>
  <si>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</si>
  <si>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</si>
  <si>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</si>
  <si>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</si>
  <si>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</si>
  <si>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</si>
  <si>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</si>
  <si>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</si>
  <si>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</si>
  <si>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</si>
  <si>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</si>
  <si>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</si>
  <si>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</si>
  <si>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100,101,112,120,130</t>
  </si>
  <si>
    <t xml:space="preserve">Material</t>
  </si>
  <si>
    <t xml:space="preserve">211,220,230,241</t>
  </si>
  <si>
    <t xml:space="preserve">Overhead</t>
  </si>
  <si>
    <t xml:space="preserve">600,601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</si>
  <si>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</si>
  <si>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</si>
  <si>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</si>
  <si>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</si>
  <si>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</si>
  <si>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</si>
  <si>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</si>
  <si>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</si>
  <si>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2048KS</t>
  </si>
  <si>
    <t xml:space="preserve">Keller Supply Co. $Ballinger</t>
  </si>
  <si>
    <t xml:space="preserve">Plumbing / Supplies</t>
  </si>
  <si>
    <t xml:space="preserve">2048CS</t>
  </si>
  <si>
    <t xml:space="preserve">Consolidated Supply Co. $Ballinger</t>
  </si>
  <si>
    <t xml:space="preserve">2048FE</t>
  </si>
  <si>
    <t xml:space="preserve">Ferguson Enterprises, Inc. $Ballinger</t>
  </si>
  <si>
    <t xml:space="preserve">2048RS</t>
  </si>
  <si>
    <t xml:space="preserve">Rosen Supply Company, Inc. $Ballinger</t>
  </si>
  <si>
    <t xml:space="preserve">1175FE</t>
  </si>
  <si>
    <t xml:space="preserve">Ferguson Enterprises, Inc. #3007</t>
  </si>
  <si>
    <t xml:space="preserve">1380RS</t>
  </si>
  <si>
    <t xml:space="preserve">Rosen Supply Kirkland</t>
  </si>
  <si>
    <t xml:space="preserve">5560CH</t>
  </si>
  <si>
    <t xml:space="preserve">California Hydronics Corp</t>
  </si>
  <si>
    <t xml:space="preserve">7230BB</t>
  </si>
  <si>
    <t xml:space="preserve">Best Bath Systems</t>
  </si>
  <si>
    <t xml:space="preserve">Uncategorized</t>
  </si>
  <si>
    <t xml:space="preserve">1231KS</t>
  </si>
  <si>
    <t xml:space="preserve">Keller Supply Company</t>
  </si>
  <si>
    <t xml:space="preserve">2047RS</t>
  </si>
  <si>
    <t xml:space="preserve">Rosen Supply Company, Inc. $Green Lake</t>
  </si>
  <si>
    <t xml:space="preserve">1625FE</t>
  </si>
  <si>
    <t xml:space="preserve">Franklin Engineering</t>
  </si>
  <si>
    <t xml:space="preserve">Engineering (601)</t>
  </si>
  <si>
    <t xml:space="preserve">1130CS</t>
  </si>
  <si>
    <t xml:space="preserve">Consolidated Supply Co.</t>
  </si>
  <si>
    <t xml:space="preserve">1421RA</t>
  </si>
  <si>
    <t xml:space="preserve">R.A. Brown Backflow Testing</t>
  </si>
  <si>
    <t xml:space="preserve">Testing subcontractor</t>
  </si>
  <si>
    <t xml:space="preserve">1234CO</t>
  </si>
  <si>
    <t xml:space="preserve">Capital One Credit Card</t>
  </si>
  <si>
    <t xml:space="preserve">Credit Card (mixed)</t>
  </si>
  <si>
    <t xml:space="preserve">1234BA</t>
  </si>
  <si>
    <t xml:space="preserve">Bank of America CC</t>
  </si>
  <si>
    <t xml:space="preserve">Crew &amp; Labor — Worker Roster</t>
  </si>
  <si>
    <t xml:space="preserve">All 30 unique payroll workers. OWP signatory: Mike Donelson (OWP per Subcontractor Work Order 7921, 10/23/2017; miked@owpllc.net / 425.968.8314).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</si>
  <si>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</si>
  <si>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</si>
  <si>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</si>
  <si>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</si>
  <si>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</si>
  <si>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</si>
  <si>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CR77</t>
  </si>
  <si>
    <t xml:space="preserve">Cruz Gonzalez, Julio C</t>
  </si>
  <si>
    <t xml:space="preserve">CO69</t>
  </si>
  <si>
    <t xml:space="preserve">Cornejo Orellana, Carlos E</t>
  </si>
  <si>
    <t xml:space="preserve">GA46</t>
  </si>
  <si>
    <t xml:space="preserve">Galdamez, Dagoberto A</t>
  </si>
  <si>
    <t xml:space="preserve">QU35</t>
  </si>
  <si>
    <t xml:space="preserve">Quintanilla, Esteban R</t>
  </si>
  <si>
    <t xml:space="preserve">BE54</t>
  </si>
  <si>
    <t xml:space="preserve">Benites Portillo, Marvin E</t>
  </si>
  <si>
    <t xml:space="preserve">GE70</t>
  </si>
  <si>
    <t xml:space="preserve">Gerard, Jordan E</t>
  </si>
  <si>
    <t xml:space="preserve">RA57</t>
  </si>
  <si>
    <t xml:space="preserve">Ramos Melendez, Carlos M</t>
  </si>
  <si>
    <t xml:space="preserve">LO87</t>
  </si>
  <si>
    <t xml:space="preserve">Lovo, German G</t>
  </si>
  <si>
    <t xml:space="preserve">YO29</t>
  </si>
  <si>
    <t xml:space="preserve">Yohannes Jr., Samson</t>
  </si>
  <si>
    <t xml:space="preserve">RI89</t>
  </si>
  <si>
    <t xml:space="preserve">Rivera Oseguera, Kate Y</t>
  </si>
  <si>
    <t xml:space="preserve">OL17</t>
  </si>
  <si>
    <t xml:space="preserve">Olea Galeana, Maricela</t>
  </si>
  <si>
    <t xml:space="preserve">GE69</t>
  </si>
  <si>
    <t xml:space="preserve">Gerard, Jeffrey S</t>
  </si>
  <si>
    <t xml:space="preserve">GO51</t>
  </si>
  <si>
    <t xml:space="preserve">Gomez Reyes, Edith N</t>
  </si>
  <si>
    <t xml:space="preserve">SA54</t>
  </si>
  <si>
    <t xml:space="preserve">Sanders, Allen O</t>
  </si>
  <si>
    <t xml:space="preserve">RI87</t>
  </si>
  <si>
    <t xml:space="preserve">Rivera, Jorge A</t>
  </si>
  <si>
    <t xml:space="preserve">CA50</t>
  </si>
  <si>
    <t xml:space="preserve">Caro, Camilo</t>
  </si>
  <si>
    <t xml:space="preserve">HU06</t>
  </si>
  <si>
    <t xml:space="preserve">Hubbard, Robert W</t>
  </si>
  <si>
    <t xml:space="preserve">NE46</t>
  </si>
  <si>
    <t xml:space="preserve">Nelson, Charles E</t>
  </si>
  <si>
    <t xml:space="preserve">DO56</t>
  </si>
  <si>
    <t xml:space="preserve">Donelson, Richard T</t>
  </si>
  <si>
    <t xml:space="preserve">MC09</t>
  </si>
  <si>
    <t xml:space="preserve">McCabe, Thomas C</t>
  </si>
  <si>
    <t xml:space="preserve">MO56</t>
  </si>
  <si>
    <t xml:space="preserve">Montenegro, Carlos E</t>
  </si>
  <si>
    <t xml:space="preserve">LO58</t>
  </si>
  <si>
    <t xml:space="preserve">Lopez Reyes, Boris O</t>
  </si>
  <si>
    <t xml:space="preserve">SE64</t>
  </si>
  <si>
    <t xml:space="preserve">Sepulveda Gonzalez, Alfredo</t>
  </si>
  <si>
    <t xml:space="preserve">HE70</t>
  </si>
  <si>
    <t xml:space="preserve">Hernandez Gonzalez, Osbaldo</t>
  </si>
  <si>
    <t xml:space="preserve">CR79</t>
  </si>
  <si>
    <t xml:space="preserve">Cruz Guzman, Joel A</t>
  </si>
  <si>
    <t xml:space="preserve">SA51</t>
  </si>
  <si>
    <t xml:space="preserve">Sanchez, Derli</t>
  </si>
  <si>
    <t xml:space="preserve">GE71</t>
  </si>
  <si>
    <t xml:space="preserve">Gerard, Mitchell J</t>
  </si>
  <si>
    <t xml:space="preserve">HU04</t>
  </si>
  <si>
    <t xml:space="preserve">Hubbard, Dustin R</t>
  </si>
  <si>
    <t xml:space="preserve">EL33</t>
  </si>
  <si>
    <t xml:space="preserve">Eliassen, Cory H</t>
  </si>
  <si>
    <t xml:space="preserve">SA53</t>
  </si>
  <si>
    <t xml:space="preserve">Sanchez Olea, Itzel G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</si>
  <si>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</si>
  <si>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</si>
  <si>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</si>
  <si>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</si>
  <si>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</si>
  <si>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</si>
  <si>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</si>
  <si>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</si>
  <si>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</si>
  <si>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</si>
  <si>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</si>
  <si>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</si>
  <si>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</si>
  <si>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</si>
  <si>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</si>
  <si>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CR77 Cruz Gonzalez, Julio C (554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</si>
  <si>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</si>
  <si>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</si>
  <si>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</si>
  <si>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</si>
  <si>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</si>
  <si>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</si>
  <si>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</si>
  <si>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</si>
  <si>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</si>
  <si>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</si>
  <si>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72 units (410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</si>
  <si>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</si>
  <si>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</si>
  <si>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</si>
  <si>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</si>
  <si>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</si>
  <si>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</si>
  <si>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</si>
  <si>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</si>
  <si>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</si>
  <si>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</si>
  <si>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</si>
  <si>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</si>
  <si>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</si>
  <si>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</si>
  <si>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</si>
  <si>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</si>
  <si>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</si>
  <si>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</si>
  <si>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</si>
  <si>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</si>
  <si>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</si>
  <si>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</si>
  <si>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(72)</t>
  </si>
  <si>
    <t xml:space="preserve">USD</t>
  </si>
  <si>
    <t xml:space="preserve">72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</si>
  <si>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</si>
  <si>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</si>
  <si>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</si>
  <si>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</si>
  <si>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</si>
  <si>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</si>
  <si>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410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</si>
  <si>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</si>
  <si>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</si>
  <si>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</si>
  <si>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</si>
  <si>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</si>
  <si>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</si>
  <si>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</si>
  <si>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</si>
  <si>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</si>
  <si>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2017-10-25</t>
  </si>
  <si>
    <t xml:space="preserve">Lump Sum Subcontract</t>
  </si>
  <si>
    <t xml:space="preserve">Closed</t>
  </si>
  <si>
    <t xml:space="preserve">GRE Ballinger Apartments plumbing (72 units, 7 stories) — per Div 22</t>
  </si>
  <si>
    <t xml:space="preserve">CO-NET</t>
  </si>
  <si>
    <t xml:space="preserve">—</t>
  </si>
  <si>
    <t xml:space="preserve">Change Orders (executed, 6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</si>
  <si>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</si>
  <si>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</si>
  <si>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</si>
  <si>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</si>
  <si>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122 invoices to GRE. Retainage $25,853.40.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</si>
  <si>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</si>
  <si>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</si>
  <si>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</si>
  <si>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</si>
  <si>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465</t>
  </si>
  <si>
    <t xml:space="preserve">01/19/18</t>
  </si>
  <si>
    <t xml:space="preserve">443</t>
  </si>
  <si>
    <t xml:space="preserve">03/20/18</t>
  </si>
  <si>
    <t xml:space="preserve">549</t>
  </si>
  <si>
    <t xml:space="preserve">04/20/18</t>
  </si>
  <si>
    <t xml:space="preserve">511</t>
  </si>
  <si>
    <t xml:space="preserve">05/18/18</t>
  </si>
  <si>
    <t xml:space="preserve">673</t>
  </si>
  <si>
    <t xml:space="preserve">06/20/18</t>
  </si>
  <si>
    <t xml:space="preserve">527</t>
  </si>
  <si>
    <t xml:space="preserve">07/20/18</t>
  </si>
  <si>
    <t xml:space="preserve">362</t>
  </si>
  <si>
    <t xml:space="preserve">10/20/17</t>
  </si>
  <si>
    <t xml:space="preserve">375</t>
  </si>
  <si>
    <t xml:space="preserve">11/17/17</t>
  </si>
  <si>
    <t xml:space="preserve">537</t>
  </si>
  <si>
    <t xml:space="preserve">12/15/17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</si>
  <si>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</si>
  <si>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</si>
  <si>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</si>
  <si>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</si>
  <si>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</si>
  <si>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</si>
  <si>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</si>
  <si>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</si>
  <si>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$222,355.37 on $517,068.00 revenue = 43.0% gross margin.</t>
  </si>
  <si>
    <t xml:space="preserve">Verified</t>
  </si>
  <si>
    <t xml:space="preserve">CONTRACT CHANGE</t>
  </si>
  <si>
    <t xml:space="preserve">Original $498,700.00 → final $517,068.00 = $+18,368.00 net (3.68%) across 6 executed COs.</t>
  </si>
  <si>
    <t xml:space="preserve">2048 Job Detail Report.pdf (Sage Timberline, 04/03/2026) + CO log</t>
  </si>
  <si>
    <t xml:space="preserve">LABOR PROFILE</t>
  </si>
  <si>
    <t xml:space="preserve">Labor cost $117,360.75 (22.7% of rev) across 4,672 hrs and 30 workers. Blended wage $25.12/hr.</t>
  </si>
  <si>
    <t xml:space="preserve">VENDOR CONCENTRATION</t>
  </si>
  <si>
    <t xml:space="preserve">Top 5 AP vendors: ~$104,671.74 (91% of AP). Top vendor: Keller Supply Co. $Ballinger ($31,366.94).</t>
  </si>
  <si>
    <t xml:space="preserve">RETAINAGE</t>
  </si>
  <si>
    <t xml:space="preserve">Retainage $25,853.40 — outstanding as of report date.</t>
  </si>
  <si>
    <t xml:space="preserve">ROUGH-IN SHARE</t>
  </si>
  <si>
    <t xml:space="preserve">Code 120 Roughin Labor = 3,280 hrs (70% of labor hours).</t>
  </si>
  <si>
    <t xml:space="preserve">TOP COST CODE</t>
  </si>
  <si>
    <t xml:space="preserve">Largest actual cost: 120 Roughin Labor = $82,885.25</t>
  </si>
  <si>
    <t xml:space="preserve">WORKER CONCENTRATION</t>
  </si>
  <si>
    <t xml:space="preserve">Top worker Cruz Gonzalez, Julio C = 554 hrs (12% of total).</t>
  </si>
  <si>
    <t xml:space="preserve">INSURANCE</t>
  </si>
  <si>
    <t xml:space="preserve">Not Wrap — retail-adjacent mixed-use.</t>
  </si>
  <si>
    <t xml:space="preserve">SCOPE CONTEXT</t>
  </si>
  <si>
    <t xml:space="preserve">GRE Ballinger Apartments — 72-unit 7-story midrise (68 standard + 4 Type A ADA) + P1/P2 parking at 1795 NE 205th Street, Shoreline, WA 98155.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</si>
  <si>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</si>
  <si>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</si>
  <si>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</si>
  <si>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</si>
  <si>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</si>
  <si>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</si>
  <si>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</si>
  <si>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</si>
  <si>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</si>
  <si>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</si>
  <si>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</si>
  <si>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</si>
  <si>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GRE Ballinger Apartments (1795 NE 205th St, Shoreline WA)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</si>
  <si>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</si>
  <si>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</si>
  <si>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</si>
  <si>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</si>
  <si>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</si>
  <si>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</si>
  <si>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</si>
  <si>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Mid-rise multi-family apartments: 72 residential units (68 Type B + 4 Type A ADA) with L1 amenity restroom + lounge + rooftop deck sink. Post-tension deck construction with existing ProSet sleeves (Peltram-installed double-check valve POC).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</si>
  <si>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</si>
  <si>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</si>
  <si>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</si>
  <si>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</si>
  <si>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</si>
  <si>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</si>
  <si>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</si>
  <si>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</si>
  <si>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</si>
  <si>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</si>
  <si>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</si>
  <si>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2017-10</t>
  </si>
  <si>
    <t xml:space="preserve">Work End</t>
  </si>
  <si>
    <t xml:space="preserve">end_date</t>
  </si>
  <si>
    <t xml:space="preserve">2018-10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</si>
  <si>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</si>
  <si>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</si>
  <si>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</si>
  <si>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</si>
  <si>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</si>
  <si>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</si>
  <si>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</si>
  <si>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</si>
  <si>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</si>
  <si>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</si>
  <si>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</si>
  <si>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</si>
  <si>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</si>
  <si>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</si>
  <si>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</si>
  <si>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6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</si>
  <si>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</si>
  <si>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</si>
  <si>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</si>
  <si>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</si>
  <si>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</si>
  <si>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</si>
  <si>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</si>
  <si>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</si>
  <si>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</si>
  <si>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</si>
  <si>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</si>
  <si>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</si>
  <si>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</si>
  <si>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</si>
  <si>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</si>
  <si>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</si>
  <si>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</si>
  <si>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</si>
  <si>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</si>
  <si>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</si>
  <si>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</si>
  <si>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</si>
  <si>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</si>
  <si>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</si>
  <si>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</si>
  <si>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</si>
  <si>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</si>
  <si>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</si>
  <si>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</si>
  <si>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</si>
  <si>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</si>
  <si>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</si>
  <si>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</si>
  <si>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</si>
  <si>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</si>
  <si>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</si>
  <si>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</si>
  <si>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</si>
  <si>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</si>
  <si>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</si>
  <si>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</si>
  <si>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</si>
  <si>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</si>
  <si>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</si>
  <si>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</si>
  <si>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</si>
  <si>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</si>
  <si>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</si>
  <si>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</si>
  <si>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</si>
  <si>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</si>
  <si>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</si>
  <si>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</si>
  <si>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</si>
  <si>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</si>
  <si>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</si>
  <si>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</si>
  <si>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</si>
  <si>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</si>
  <si>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</si>
  <si>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</si>
  <si>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</si>
  <si>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</si>
  <si>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</si>
  <si>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</si>
  <si>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</si>
  <si>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</si>
  <si>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</si>
  <si>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</si>
  <si>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</si>
  <si>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</si>
  <si>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</si>
  <si>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</si>
  <si>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</si>
  <si>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</si>
  <si>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</si>
  <si>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</si>
  <si>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</si>
  <si>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</si>
  <si>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</si>
  <si>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</si>
  <si>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</si>
  <si>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</si>
  <si>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</si>
  <si>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</si>
  <si>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</si>
  <si>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</si>
  <si>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</si>
  <si>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</si>
  <si>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</si>
  <si>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</si>
  <si>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</si>
  <si>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</si>
  <si>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</si>
  <si>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</si>
  <si>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</si>
  <si>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6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</si>
  <si>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</si>
  <si>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</si>
  <si>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</si>
  <si>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</si>
  <si>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</si>
  <si>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</si>
  <si>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$498,700.00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</si>
  <si>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</si>
  <si>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</si>
  <si>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</si>
  <si>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</si>
  <si>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</si>
  <si>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</si>
  <si>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</si>
  <si>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</si>
  <si>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</si>
  <si>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$25,853.40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</si>
  <si>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</si>
  <si>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</si>
  <si>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</si>
  <si>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</si>
  <si>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</si>
  <si>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</si>
  <si>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</si>
  <si>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</si>
  <si>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</si>
  <si>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$498,700 → $517,068 (6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</si>
  <si>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</si>
  <si>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</si>
  <si>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</si>
  <si>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</si>
  <si>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15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</si>
  <si>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</si>
  <si>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</si>
  <si>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</si>
  <si>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</si>
  <si>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</si>
  <si>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</si>
  <si>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</si>
  <si>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</si>
  <si>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</si>
  <si>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</si>
  <si>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</si>
  <si>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</si>
  <si>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</si>
  <si>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</si>
  <si>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</si>
  <si>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</si>
  <si>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</si>
  <si>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</si>
  <si>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</si>
  <si>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</si>
  <si>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</si>
  <si>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</si>
  <si>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</si>
  <si>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</si>
  <si>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</si>
  <si>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</si>
  <si>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</si>
  <si>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3.68%</t>
  </si>
  <si>
    <t xml:space="preserve">±10%</t>
  </si>
  <si>
    <t xml:space="preserve">HEALTHY</t>
  </si>
  <si>
    <t xml:space="preserve">+3.68% net (6 COs)</t>
  </si>
  <si>
    <t xml:space="preserve">&lt;30%</t>
  </si>
  <si>
    <t xml:space="preserve">22.7%</t>
  </si>
  <si>
    <t xml:space="preserve">GL Overhead % of Revenue</t>
  </si>
  <si>
    <t xml:space="preserve">&lt;5%</t>
  </si>
  <si>
    <t xml:space="preserve">0.2%</t>
  </si>
  <si>
    <t xml:space="preserve">Vendor Concentration (Top 5)</t>
  </si>
  <si>
    <t xml:space="preserve">&lt;95%</t>
  </si>
  <si>
    <t xml:space="preserve">Top 5 = 91% of AP</t>
  </si>
  <si>
    <t xml:space="preserve">Retainage %</t>
  </si>
  <si>
    <t xml:space="preserve">&lt;10%</t>
  </si>
  <si>
    <t xml:space="preserve">5.0%</t>
  </si>
  <si>
    <t xml:space="preserve">&gt;30%</t>
  </si>
  <si>
    <t xml:space="preserve">43.0%</t>
  </si>
  <si>
    <t xml:space="preserve">Labor Hrs Total</t>
  </si>
  <si>
    <t xml:space="preserve">varies</t>
  </si>
  <si>
    <t xml:space="preserve">INFO</t>
  </si>
  <si>
    <t xml:space="preserve">4,672 hrs, 30 workers</t>
  </si>
  <si>
    <t xml:space="preserve">Worker Concentration (top 1)</t>
  </si>
  <si>
    <t xml:space="preserve">&lt;25%</t>
  </si>
  <si>
    <t xml:space="preserve">11.9% (Cruz Gonzalez, Julio C)</t>
  </si>
  <si>
    <t xml:space="preserve">Rough-in Labor Share</t>
  </si>
  <si>
    <t xml:space="preserve">40-65%</t>
  </si>
  <si>
    <t xml:space="preserve">WATCH</t>
  </si>
  <si>
    <t xml:space="preserve">70%</t>
  </si>
  <si>
    <t xml:space="preserve">Retainage Legacy</t>
  </si>
  <si>
    <t xml:space="preserve">OUTSTANDING</t>
  </si>
  <si>
    <t xml:space="preserve">&lt;90 days post-closeout</t>
  </si>
  <si>
    <t xml:space="preserve">$25,853.40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</si>
  <si>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</si>
  <si>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</si>
  <si>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</si>
  <si>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</si>
  <si>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</si>
  <si>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</si>
  <si>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</si>
  <si>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</si>
  <si>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</si>
  <si>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</si>
  <si>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$7,182/unit rev, $3,088/unit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</si>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</sst>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72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517068</v>
      </c>
      <c r="D25" s="9" t="n">
        <v>222355.37</v>
      </c>
      <c r="F25" s="9" t="n">
        <v>294712.63</v>
      </c>
      <c r="H25" s="10" t="n">
        <v>4671.5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4320</v>
      </c>
      <c r="E6" s="15" t="n">
        <v>4420</v>
      </c>
      <c r="F6" s="9" t="n">
        <v>3089.5</v>
      </c>
      <c r="G6" s="16" t="n">
        <f aca="false">F6-E6</f>
        <v>-1330.5</v>
      </c>
      <c r="H6" s="17" t="n">
        <f aca="false">IF(E6=0,"",F6/E6)</f>
        <v>0.698981900452489</v>
      </c>
      <c r="I6" s="10" t="n">
        <v>63.5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9000</v>
      </c>
      <c r="E7" s="15" t="n">
        <v>9200</v>
      </c>
      <c r="F7" s="9" t="n">
        <v>4715.5</v>
      </c>
      <c r="G7" s="16" t="n">
        <f aca="false">F7-E7</f>
        <v>-4484.5</v>
      </c>
      <c r="H7" s="17" t="n">
        <f aca="false">IF(E7=0,"",F7/E7)</f>
        <v>0.512554347826087</v>
      </c>
      <c r="I7" s="10" t="n">
        <v>91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0</v>
      </c>
      <c r="E8" s="15" t="n">
        <v>0</v>
      </c>
      <c r="F8" s="9" t="n">
        <v>0</v>
      </c>
      <c r="G8" s="16" t="n">
        <f aca="false">F8-E8</f>
        <v>0</v>
      </c>
      <c r="H8" s="17" t="str">
        <f aca="false">IF(E8=0,"",F8/E8)</f>
        <v/>
      </c>
      <c r="I8" s="11"/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98181</v>
      </c>
      <c r="E9" s="15" t="n">
        <v>104646</v>
      </c>
      <c r="F9" s="9" t="n">
        <v>82885.25</v>
      </c>
      <c r="G9" s="16" t="n">
        <f aca="false">F9-E9</f>
        <v>-21760.75</v>
      </c>
      <c r="H9" s="17" t="n">
        <f aca="false">IF(E9=0,"",F9/E9)</f>
        <v>0.792053685759609</v>
      </c>
      <c r="I9" s="10" t="n">
        <v>3279.5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26460</v>
      </c>
      <c r="E10" s="15" t="n">
        <v>27252</v>
      </c>
      <c r="F10" s="9" t="n">
        <v>26670.5</v>
      </c>
      <c r="G10" s="16" t="n">
        <f aca="false">F10-E10</f>
        <v>-581.5</v>
      </c>
      <c r="H10" s="17" t="n">
        <f aca="false">IF(E10=0,"",F10/E10)</f>
        <v>0.978662116541905</v>
      </c>
      <c r="I10" s="10" t="n">
        <v>1224.5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0</v>
      </c>
      <c r="E11" s="15" t="n">
        <v>1644</v>
      </c>
      <c r="F11" s="9" t="n">
        <v>0</v>
      </c>
      <c r="G11" s="16" t="n">
        <f aca="false">F11-E11</f>
        <v>-1644</v>
      </c>
      <c r="H11" s="17" t="n">
        <f aca="false">IF(E11=0,"",F11/E11)</f>
        <v>0</v>
      </c>
      <c r="I11" s="11"/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62505</v>
      </c>
      <c r="E12" s="15" t="n">
        <v>63290</v>
      </c>
      <c r="F12" s="9" t="n">
        <v>51415.82</v>
      </c>
      <c r="G12" s="16" t="n">
        <f aca="false">F12-E12</f>
        <v>-11874.18</v>
      </c>
      <c r="H12" s="17" t="n">
        <f aca="false">IF(E12=0,"",F12/E12)</f>
        <v>0.812384578922421</v>
      </c>
      <c r="I12" s="11"/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81287</v>
      </c>
      <c r="E13" s="15" t="n">
        <v>86964</v>
      </c>
      <c r="F13" s="9" t="n">
        <v>64020.72</v>
      </c>
      <c r="G13" s="16" t="n">
        <f aca="false">F13-E13</f>
        <v>-22943.28</v>
      </c>
      <c r="H13" s="17" t="n">
        <f aca="false">IF(E13=0,"",F13/E13)</f>
        <v>0.73617496895267</v>
      </c>
      <c r="I13" s="11"/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0</v>
      </c>
      <c r="E14" s="15" t="n">
        <v>0</v>
      </c>
      <c r="F14" s="9" t="n">
        <v>0</v>
      </c>
      <c r="G14" s="16" t="n">
        <f aca="false">F14-E14</f>
        <v>0</v>
      </c>
      <c r="H14" s="17" t="str">
        <f aca="false">IF(E14=0,"",F14/E14)</f>
        <v/>
      </c>
      <c r="I14" s="11"/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500</v>
      </c>
      <c r="E15" s="15" t="n">
        <v>500</v>
      </c>
      <c r="F15" s="9" t="n">
        <v>115</v>
      </c>
      <c r="G15" s="16" t="n">
        <f aca="false">F15-E15</f>
        <v>-385</v>
      </c>
      <c r="H15" s="17" t="n">
        <f aca="false">IF(E15=0,"",F15/E15)</f>
        <v>0.23</v>
      </c>
      <c r="I15" s="11"/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1000</v>
      </c>
      <c r="E16" s="15" t="n">
        <v>1000</v>
      </c>
      <c r="F16" s="9" t="n">
        <v>772.5</v>
      </c>
      <c r="G16" s="16" t="n">
        <f aca="false">F16-E16</f>
        <v>-227.5</v>
      </c>
      <c r="H16" s="17" t="n">
        <f aca="false">IF(E16=0,"",F16/E16)</f>
        <v>0.7725</v>
      </c>
      <c r="I16" s="11"/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62565.31</v>
      </c>
      <c r="E17" s="15" t="n">
        <v>66233.59</v>
      </c>
      <c r="F17" s="9" t="n">
        <v>52049.65</v>
      </c>
      <c r="G17" s="16" t="n">
        <f aca="false">F17-E17</f>
        <v>-14183.94</v>
      </c>
      <c r="H17" s="17" t="n">
        <f aca="false">IF(E17=0,"",F17/E17)</f>
        <v>0.785849747839427</v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10554.02</v>
      </c>
      <c r="E18" s="15" t="n">
        <v>11191.8</v>
      </c>
      <c r="F18" s="9" t="n">
        <v>8978.19</v>
      </c>
      <c r="G18" s="16" t="n">
        <f aca="false">F18-E18</f>
        <v>-2213.61</v>
      </c>
      <c r="H18" s="17" t="n">
        <f aca="false">IF(E18=0,"",F18/E18)</f>
        <v>0.802211440518951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-498700</v>
      </c>
      <c r="E19" s="15" t="n">
        <v>-517068</v>
      </c>
      <c r="F19" s="9" t="n">
        <v>-517068</v>
      </c>
      <c r="G19" s="16" t="n">
        <f aca="false">F19-E19</f>
        <v>0</v>
      </c>
      <c r="H19" s="17" t="n">
        <f aca="false">IF(E19=0,"",F19/E19)</f>
        <v>1</v>
      </c>
      <c r="I19" s="11"/>
      <c r="J19" s="11" t="s">
        <v>5</v>
      </c>
    </row>
    <row r="20" customFormat="false" ht="15" hidden="false" customHeight="false" outlineLevel="0" collapsed="false">
      <c r="B20" s="18" t="s">
        <v>116</v>
      </c>
      <c r="D20" s="19" t="n">
        <f aca="false">SUM(D6:D19)</f>
        <v>-142327.67</v>
      </c>
      <c r="E20" s="19" t="n">
        <f aca="false">SUM(E6:E19)</f>
        <v>-140726.61</v>
      </c>
      <c r="F20" s="20" t="n">
        <f aca="false">SUM(F6:F19)</f>
        <v>-222355.37</v>
      </c>
      <c r="G20" s="16" t="n">
        <f aca="false">F20-E20</f>
        <v>-81628.76</v>
      </c>
      <c r="I20" s="21" t="n">
        <f aca="false">SUM(I6:I19)</f>
        <v>4658.5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117</v>
      </c>
    </row>
    <row r="3" customFormat="false" ht="21.75" hidden="false" customHeight="true" outlineLevel="0" collapsed="false">
      <c r="B3" s="2" t="s">
        <v>118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119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87</v>
      </c>
    </row>
    <row r="6" customFormat="false" ht="15" hidden="false" customHeight="false" outlineLevel="0" collapsed="false">
      <c r="B6" s="11" t="s">
        <v>124</v>
      </c>
      <c r="C6" s="11" t="s">
        <v>125</v>
      </c>
      <c r="D6" s="9" t="n">
        <v>117360.75</v>
      </c>
      <c r="E6" s="17" t="n">
        <f aca="false">D6/$D$11</f>
        <v>0.398220972070318</v>
      </c>
      <c r="F6" s="17" t="n">
        <f aca="false">D6/517068</f>
        <v>0.226973531527768</v>
      </c>
      <c r="G6" s="11" t="s">
        <v>5</v>
      </c>
    </row>
    <row r="7" customFormat="false" ht="15" hidden="false" customHeight="false" outlineLevel="0" collapsed="false">
      <c r="B7" s="11" t="s">
        <v>126</v>
      </c>
      <c r="C7" s="11" t="s">
        <v>127</v>
      </c>
      <c r="D7" s="9" t="n">
        <v>115436.54</v>
      </c>
      <c r="E7" s="17" t="n">
        <f aca="false">D7/$D$11</f>
        <v>0.391691866073062</v>
      </c>
      <c r="F7" s="17" t="n">
        <f aca="false">D7/517068</f>
        <v>0.223252144785599</v>
      </c>
      <c r="G7" s="11" t="s">
        <v>5</v>
      </c>
    </row>
    <row r="8" customFormat="false" ht="15" hidden="false" customHeight="false" outlineLevel="0" collapsed="false">
      <c r="B8" s="11" t="s">
        <v>128</v>
      </c>
      <c r="C8" s="11" t="s">
        <v>129</v>
      </c>
      <c r="D8" s="9" t="n">
        <v>887.5</v>
      </c>
      <c r="E8" s="17" t="n">
        <f aca="false">D8/$D$11</f>
        <v>0.00301140809608329</v>
      </c>
      <c r="F8" s="17" t="n">
        <f aca="false">D8/517068</f>
        <v>0.0017164086735207</v>
      </c>
      <c r="G8" s="11" t="s">
        <v>5</v>
      </c>
    </row>
    <row r="9" customFormat="false" ht="15" hidden="false" customHeight="false" outlineLevel="0" collapsed="false">
      <c r="B9" s="11" t="s">
        <v>111</v>
      </c>
      <c r="C9" s="11" t="s">
        <v>110</v>
      </c>
      <c r="D9" s="9" t="n">
        <v>52049.65</v>
      </c>
      <c r="E9" s="17" t="n">
        <f aca="false">D9/$D$11</f>
        <v>0.176611535107946</v>
      </c>
      <c r="F9" s="17" t="n">
        <f aca="false">D9/517068</f>
        <v>0.10066306559292</v>
      </c>
      <c r="G9" s="11" t="s">
        <v>5</v>
      </c>
    </row>
    <row r="10" customFormat="false" ht="15" hidden="false" customHeight="false" outlineLevel="0" collapsed="false">
      <c r="B10" s="11" t="s">
        <v>113</v>
      </c>
      <c r="C10" s="11" t="s">
        <v>112</v>
      </c>
      <c r="D10" s="9" t="n">
        <v>8978.19</v>
      </c>
      <c r="E10" s="17" t="n">
        <f aca="false">D10/$D$11</f>
        <v>0.0304642186525905</v>
      </c>
      <c r="F10" s="17" t="n">
        <f aca="false">D10/517068</f>
        <v>0.0173636542969203</v>
      </c>
      <c r="G10" s="11" t="s">
        <v>5</v>
      </c>
    </row>
    <row r="11" customFormat="false" ht="15" hidden="false" customHeight="false" outlineLevel="0" collapsed="false">
      <c r="B11" s="18" t="s">
        <v>130</v>
      </c>
      <c r="D11" s="20" t="n">
        <f aca="false">SUM(D6:D10)</f>
        <v>294712.63</v>
      </c>
      <c r="E11" s="17" t="n">
        <v>1</v>
      </c>
      <c r="F11" s="17" t="n">
        <f aca="false">D11/517068</f>
        <v>0.569968804876728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131</v>
      </c>
    </row>
    <row r="3" customFormat="false" ht="21.75" hidden="false" customHeight="true" outlineLevel="0" collapsed="false">
      <c r="B3" s="2" t="s">
        <v>132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87</v>
      </c>
    </row>
    <row r="6" customFormat="false" ht="15" hidden="false" customHeight="false" outlineLevel="0" collapsed="false">
      <c r="B6" s="11" t="s">
        <v>138</v>
      </c>
      <c r="C6" s="11" t="s">
        <v>139</v>
      </c>
      <c r="D6" s="9" t="n">
        <v>31366.94</v>
      </c>
      <c r="E6" s="22" t="n">
        <v>16</v>
      </c>
      <c r="F6" s="11" t="s">
        <v>140</v>
      </c>
      <c r="G6" s="11" t="s">
        <v>5</v>
      </c>
    </row>
    <row r="7" customFormat="false" ht="15" hidden="false" customHeight="false" outlineLevel="0" collapsed="false">
      <c r="B7" s="11" t="s">
        <v>141</v>
      </c>
      <c r="C7" s="11" t="s">
        <v>142</v>
      </c>
      <c r="D7" s="9" t="n">
        <v>28202.19</v>
      </c>
      <c r="E7" s="22" t="n">
        <v>26</v>
      </c>
      <c r="F7" s="11" t="s">
        <v>140</v>
      </c>
      <c r="G7" s="11" t="s">
        <v>5</v>
      </c>
    </row>
    <row r="8" customFormat="false" ht="15" hidden="false" customHeight="false" outlineLevel="0" collapsed="false">
      <c r="B8" s="11" t="s">
        <v>143</v>
      </c>
      <c r="C8" s="11" t="s">
        <v>144</v>
      </c>
      <c r="D8" s="9" t="n">
        <v>25339.47</v>
      </c>
      <c r="E8" s="22" t="n">
        <v>12</v>
      </c>
      <c r="F8" s="11" t="s">
        <v>140</v>
      </c>
      <c r="G8" s="11" t="s">
        <v>5</v>
      </c>
    </row>
    <row r="9" customFormat="false" ht="15" hidden="false" customHeight="false" outlineLevel="0" collapsed="false">
      <c r="B9" s="11" t="s">
        <v>145</v>
      </c>
      <c r="C9" s="11" t="s">
        <v>146</v>
      </c>
      <c r="D9" s="9" t="n">
        <v>16702.81</v>
      </c>
      <c r="E9" s="22" t="n">
        <v>42</v>
      </c>
      <c r="F9" s="11" t="s">
        <v>140</v>
      </c>
      <c r="G9" s="11" t="s">
        <v>5</v>
      </c>
    </row>
    <row r="10" customFormat="false" ht="15" hidden="false" customHeight="false" outlineLevel="0" collapsed="false">
      <c r="B10" s="11" t="s">
        <v>147</v>
      </c>
      <c r="C10" s="11" t="s">
        <v>148</v>
      </c>
      <c r="D10" s="9" t="n">
        <v>3060.33</v>
      </c>
      <c r="E10" s="22" t="n">
        <v>11</v>
      </c>
      <c r="F10" s="11" t="s">
        <v>140</v>
      </c>
      <c r="G10" s="11" t="s">
        <v>5</v>
      </c>
    </row>
    <row r="11" customFormat="false" ht="15" hidden="false" customHeight="false" outlineLevel="0" collapsed="false">
      <c r="B11" s="11" t="s">
        <v>149</v>
      </c>
      <c r="C11" s="11" t="s">
        <v>150</v>
      </c>
      <c r="D11" s="9" t="n">
        <v>2626.57</v>
      </c>
      <c r="E11" s="22" t="n">
        <v>9</v>
      </c>
      <c r="F11" s="11" t="s">
        <v>140</v>
      </c>
      <c r="G11" s="11" t="s">
        <v>5</v>
      </c>
    </row>
    <row r="12" customFormat="false" ht="15" hidden="false" customHeight="false" outlineLevel="0" collapsed="false">
      <c r="B12" s="11" t="s">
        <v>151</v>
      </c>
      <c r="C12" s="11" t="s">
        <v>152</v>
      </c>
      <c r="D12" s="9" t="n">
        <v>1859</v>
      </c>
      <c r="E12" s="22" t="n">
        <v>1</v>
      </c>
      <c r="F12" s="11" t="s">
        <v>140</v>
      </c>
      <c r="G12" s="11" t="s">
        <v>5</v>
      </c>
    </row>
    <row r="13" customFormat="false" ht="15" hidden="false" customHeight="false" outlineLevel="0" collapsed="false">
      <c r="B13" s="11" t="s">
        <v>153</v>
      </c>
      <c r="C13" s="11" t="s">
        <v>154</v>
      </c>
      <c r="D13" s="9" t="n">
        <v>1683.63</v>
      </c>
      <c r="E13" s="22" t="n">
        <v>2</v>
      </c>
      <c r="F13" s="11" t="s">
        <v>155</v>
      </c>
      <c r="G13" s="11" t="s">
        <v>5</v>
      </c>
    </row>
    <row r="14" customFormat="false" ht="15" hidden="false" customHeight="false" outlineLevel="0" collapsed="false">
      <c r="B14" s="11" t="s">
        <v>156</v>
      </c>
      <c r="C14" s="11" t="s">
        <v>157</v>
      </c>
      <c r="D14" s="9" t="n">
        <v>1674.87</v>
      </c>
      <c r="E14" s="22" t="n">
        <v>4</v>
      </c>
      <c r="F14" s="11" t="s">
        <v>140</v>
      </c>
      <c r="G14" s="11" t="s">
        <v>5</v>
      </c>
    </row>
    <row r="15" customFormat="false" ht="15" hidden="false" customHeight="false" outlineLevel="0" collapsed="false">
      <c r="B15" s="11" t="s">
        <v>158</v>
      </c>
      <c r="C15" s="11" t="s">
        <v>159</v>
      </c>
      <c r="D15" s="9" t="n">
        <v>948.61</v>
      </c>
      <c r="E15" s="22" t="n">
        <v>3</v>
      </c>
      <c r="F15" s="11" t="s">
        <v>140</v>
      </c>
      <c r="G15" s="11" t="s">
        <v>5</v>
      </c>
    </row>
    <row r="16" customFormat="false" ht="15" hidden="false" customHeight="false" outlineLevel="0" collapsed="false">
      <c r="B16" s="11" t="s">
        <v>160</v>
      </c>
      <c r="C16" s="11" t="s">
        <v>161</v>
      </c>
      <c r="D16" s="9" t="n">
        <v>772.5</v>
      </c>
      <c r="E16" s="22" t="n">
        <v>1</v>
      </c>
      <c r="F16" s="11" t="s">
        <v>162</v>
      </c>
      <c r="G16" s="11" t="s">
        <v>5</v>
      </c>
    </row>
    <row r="17" customFormat="false" ht="15" hidden="false" customHeight="false" outlineLevel="0" collapsed="false">
      <c r="B17" s="11" t="s">
        <v>163</v>
      </c>
      <c r="C17" s="11" t="s">
        <v>164</v>
      </c>
      <c r="D17" s="9" t="n">
        <v>589.93</v>
      </c>
      <c r="E17" s="22" t="n">
        <v>1</v>
      </c>
      <c r="F17" s="11" t="s">
        <v>140</v>
      </c>
      <c r="G17" s="11" t="s">
        <v>5</v>
      </c>
    </row>
    <row r="18" customFormat="false" ht="15" hidden="false" customHeight="false" outlineLevel="0" collapsed="false">
      <c r="B18" s="11" t="s">
        <v>165</v>
      </c>
      <c r="C18" s="11" t="s">
        <v>166</v>
      </c>
      <c r="D18" s="9" t="n">
        <v>115</v>
      </c>
      <c r="E18" s="22" t="n">
        <v>1</v>
      </c>
      <c r="F18" s="11" t="s">
        <v>167</v>
      </c>
      <c r="G18" s="11" t="s">
        <v>5</v>
      </c>
    </row>
    <row r="19" customFormat="false" ht="15" hidden="false" customHeight="false" outlineLevel="0" collapsed="false">
      <c r="B19" s="11" t="s">
        <v>168</v>
      </c>
      <c r="C19" s="11" t="s">
        <v>169</v>
      </c>
      <c r="D19" s="9" t="n">
        <v>113.09</v>
      </c>
      <c r="E19" s="22" t="n">
        <v>2</v>
      </c>
      <c r="F19" s="11" t="s">
        <v>170</v>
      </c>
      <c r="G19" s="11" t="s">
        <v>5</v>
      </c>
    </row>
    <row r="20" customFormat="false" ht="15" hidden="false" customHeight="false" outlineLevel="0" collapsed="false">
      <c r="B20" s="11" t="s">
        <v>171</v>
      </c>
      <c r="C20" s="11" t="s">
        <v>172</v>
      </c>
      <c r="D20" s="9" t="n">
        <v>5.46</v>
      </c>
      <c r="E20" s="22" t="n">
        <v>1</v>
      </c>
      <c r="F20" s="11" t="s">
        <v>170</v>
      </c>
      <c r="G20" s="11" t="s">
        <v>5</v>
      </c>
    </row>
    <row r="21" customFormat="false" ht="15" hidden="false" customHeight="false" outlineLevel="0" collapsed="false">
      <c r="B21" s="18" t="s">
        <v>116</v>
      </c>
      <c r="D21" s="20" t="n">
        <f aca="false">SUM(D6:D20)</f>
        <v>115060.4</v>
      </c>
      <c r="E21" s="23" t="n">
        <f aca="false">SUM(E6:E20)</f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173</v>
      </c>
    </row>
    <row r="3" customFormat="false" ht="21.75" hidden="false" customHeight="true" outlineLevel="0" collapsed="false">
      <c r="B3" s="2" t="s">
        <v>174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175</v>
      </c>
      <c r="C5" s="3" t="s">
        <v>176</v>
      </c>
      <c r="D5" s="3" t="s">
        <v>177</v>
      </c>
      <c r="E5" s="3" t="s">
        <v>178</v>
      </c>
      <c r="F5" s="3" t="s">
        <v>179</v>
      </c>
      <c r="G5" s="3" t="s">
        <v>180</v>
      </c>
      <c r="H5" s="3" t="s">
        <v>87</v>
      </c>
    </row>
    <row r="6" customFormat="false" ht="15" hidden="false" customHeight="false" outlineLevel="0" collapsed="false">
      <c r="B6" s="11" t="s">
        <v>181</v>
      </c>
      <c r="C6" s="11" t="s">
        <v>182</v>
      </c>
      <c r="D6" s="10" t="n">
        <v>554</v>
      </c>
      <c r="E6" s="9" t="n">
        <v>10858.5</v>
      </c>
      <c r="F6" s="20" t="n">
        <f aca="false">IF(D6=0,0,E6/D6)</f>
        <v>19.6001805054152</v>
      </c>
      <c r="G6" s="22" t="n">
        <v>17</v>
      </c>
      <c r="H6" s="11" t="s">
        <v>5</v>
      </c>
    </row>
    <row r="7" customFormat="false" ht="15" hidden="false" customHeight="false" outlineLevel="0" collapsed="false">
      <c r="B7" s="11" t="s">
        <v>183</v>
      </c>
      <c r="C7" s="11" t="s">
        <v>184</v>
      </c>
      <c r="D7" s="10" t="n">
        <v>525.5</v>
      </c>
      <c r="E7" s="9" t="n">
        <v>9652.5</v>
      </c>
      <c r="F7" s="20" t="n">
        <f aca="false">IF(D7=0,0,E7/D7)</f>
        <v>18.3682207421503</v>
      </c>
      <c r="G7" s="22" t="n">
        <v>18</v>
      </c>
      <c r="H7" s="11" t="s">
        <v>5</v>
      </c>
    </row>
    <row r="8" customFormat="false" ht="15" hidden="false" customHeight="false" outlineLevel="0" collapsed="false">
      <c r="B8" s="11" t="s">
        <v>185</v>
      </c>
      <c r="C8" s="11" t="s">
        <v>186</v>
      </c>
      <c r="D8" s="10" t="n">
        <v>494</v>
      </c>
      <c r="E8" s="9" t="n">
        <v>12024</v>
      </c>
      <c r="F8" s="20" t="n">
        <f aca="false">IF(D8=0,0,E8/D8)</f>
        <v>24.3400809716599</v>
      </c>
      <c r="G8" s="22" t="n">
        <v>14</v>
      </c>
      <c r="H8" s="11" t="s">
        <v>5</v>
      </c>
    </row>
    <row r="9" customFormat="false" ht="15" hidden="false" customHeight="false" outlineLevel="0" collapsed="false">
      <c r="B9" s="11" t="s">
        <v>187</v>
      </c>
      <c r="C9" s="11" t="s">
        <v>188</v>
      </c>
      <c r="D9" s="10" t="n">
        <v>442</v>
      </c>
      <c r="E9" s="9" t="n">
        <v>19801.5</v>
      </c>
      <c r="F9" s="20" t="n">
        <f aca="false">IF(D9=0,0,E9/D9)</f>
        <v>44.7997737556561</v>
      </c>
      <c r="G9" s="22" t="n">
        <v>17</v>
      </c>
      <c r="H9" s="11" t="s">
        <v>5</v>
      </c>
    </row>
    <row r="10" customFormat="false" ht="15" hidden="false" customHeight="false" outlineLevel="0" collapsed="false">
      <c r="B10" s="11" t="s">
        <v>189</v>
      </c>
      <c r="C10" s="11" t="s">
        <v>190</v>
      </c>
      <c r="D10" s="10" t="n">
        <v>441</v>
      </c>
      <c r="E10" s="9" t="n">
        <v>9628.5</v>
      </c>
      <c r="F10" s="20" t="n">
        <f aca="false">IF(D10=0,0,E10/D10)</f>
        <v>21.8333333333333</v>
      </c>
      <c r="G10" s="22" t="n">
        <v>14</v>
      </c>
      <c r="H10" s="11" t="s">
        <v>5</v>
      </c>
    </row>
    <row r="11" customFormat="false" ht="15" hidden="false" customHeight="false" outlineLevel="0" collapsed="false">
      <c r="B11" s="11" t="s">
        <v>191</v>
      </c>
      <c r="C11" s="11" t="s">
        <v>192</v>
      </c>
      <c r="D11" s="10" t="n">
        <v>309.5</v>
      </c>
      <c r="E11" s="9" t="n">
        <v>8434.5</v>
      </c>
      <c r="F11" s="20" t="n">
        <f aca="false">IF(D11=0,0,E11/D11)</f>
        <v>27.2520193861066</v>
      </c>
      <c r="G11" s="22" t="n">
        <v>14</v>
      </c>
      <c r="H11" s="11" t="s">
        <v>5</v>
      </c>
    </row>
    <row r="12" customFormat="false" ht="15" hidden="false" customHeight="false" outlineLevel="0" collapsed="false">
      <c r="B12" s="11" t="s">
        <v>193</v>
      </c>
      <c r="C12" s="11" t="s">
        <v>194</v>
      </c>
      <c r="D12" s="10" t="n">
        <v>306</v>
      </c>
      <c r="E12" s="9" t="n">
        <v>5886</v>
      </c>
      <c r="F12" s="20" t="n">
        <f aca="false">IF(D12=0,0,E12/D12)</f>
        <v>19.2352941176471</v>
      </c>
      <c r="G12" s="22" t="n">
        <v>8</v>
      </c>
      <c r="H12" s="11" t="s">
        <v>5</v>
      </c>
    </row>
    <row r="13" customFormat="false" ht="15" hidden="false" customHeight="false" outlineLevel="0" collapsed="false">
      <c r="B13" s="11" t="s">
        <v>195</v>
      </c>
      <c r="C13" s="11" t="s">
        <v>196</v>
      </c>
      <c r="D13" s="10" t="n">
        <v>242.5</v>
      </c>
      <c r="E13" s="9" t="n">
        <v>5836.25</v>
      </c>
      <c r="F13" s="20" t="n">
        <f aca="false">IF(D13=0,0,E13/D13)</f>
        <v>24.0670103092784</v>
      </c>
      <c r="G13" s="22" t="n">
        <v>7</v>
      </c>
      <c r="H13" s="11" t="s">
        <v>5</v>
      </c>
    </row>
    <row r="14" customFormat="false" ht="15" hidden="false" customHeight="false" outlineLevel="0" collapsed="false">
      <c r="B14" s="11" t="s">
        <v>197</v>
      </c>
      <c r="C14" s="11" t="s">
        <v>198</v>
      </c>
      <c r="D14" s="10" t="n">
        <v>224</v>
      </c>
      <c r="E14" s="9" t="n">
        <v>4032</v>
      </c>
      <c r="F14" s="20" t="n">
        <f aca="false">IF(D14=0,0,E14/D14)</f>
        <v>18</v>
      </c>
      <c r="G14" s="22" t="n">
        <v>10</v>
      </c>
      <c r="H14" s="11" t="s">
        <v>5</v>
      </c>
    </row>
    <row r="15" customFormat="false" ht="15" hidden="false" customHeight="false" outlineLevel="0" collapsed="false">
      <c r="B15" s="11" t="s">
        <v>199</v>
      </c>
      <c r="C15" s="11" t="s">
        <v>200</v>
      </c>
      <c r="D15" s="10" t="n">
        <v>205.5</v>
      </c>
      <c r="E15" s="9" t="n">
        <v>3320</v>
      </c>
      <c r="F15" s="20" t="n">
        <f aca="false">IF(D15=0,0,E15/D15)</f>
        <v>16.1557177615572</v>
      </c>
      <c r="G15" s="22" t="n">
        <v>7</v>
      </c>
      <c r="H15" s="11" t="s">
        <v>5</v>
      </c>
    </row>
    <row r="16" customFormat="false" ht="15" hidden="false" customHeight="false" outlineLevel="0" collapsed="false">
      <c r="B16" s="11" t="s">
        <v>201</v>
      </c>
      <c r="C16" s="11" t="s">
        <v>202</v>
      </c>
      <c r="D16" s="10" t="n">
        <v>203.5</v>
      </c>
      <c r="E16" s="9" t="n">
        <v>3336</v>
      </c>
      <c r="F16" s="20" t="n">
        <f aca="false">IF(D16=0,0,E16/D16)</f>
        <v>16.3931203931204</v>
      </c>
      <c r="G16" s="22" t="n">
        <v>7</v>
      </c>
      <c r="H16" s="11" t="s">
        <v>5</v>
      </c>
    </row>
    <row r="17" customFormat="false" ht="15" hidden="false" customHeight="false" outlineLevel="0" collapsed="false">
      <c r="B17" s="11" t="s">
        <v>203</v>
      </c>
      <c r="C17" s="11" t="s">
        <v>204</v>
      </c>
      <c r="D17" s="10" t="n">
        <v>122.5</v>
      </c>
      <c r="E17" s="9" t="n">
        <v>5892.5</v>
      </c>
      <c r="F17" s="20" t="n">
        <f aca="false">IF(D17=0,0,E17/D17)</f>
        <v>48.1020408163265</v>
      </c>
      <c r="G17" s="22" t="n">
        <v>33</v>
      </c>
      <c r="H17" s="11" t="s">
        <v>5</v>
      </c>
    </row>
    <row r="18" customFormat="false" ht="15" hidden="false" customHeight="false" outlineLevel="0" collapsed="false">
      <c r="B18" s="11" t="s">
        <v>205</v>
      </c>
      <c r="C18" s="11" t="s">
        <v>206</v>
      </c>
      <c r="D18" s="10" t="n">
        <v>83</v>
      </c>
      <c r="E18" s="9" t="n">
        <v>1629</v>
      </c>
      <c r="F18" s="20" t="n">
        <f aca="false">IF(D18=0,0,E18/D18)</f>
        <v>19.6265060240964</v>
      </c>
      <c r="G18" s="22" t="n">
        <v>6</v>
      </c>
      <c r="H18" s="11" t="s">
        <v>5</v>
      </c>
    </row>
    <row r="19" customFormat="false" ht="15" hidden="false" customHeight="false" outlineLevel="0" collapsed="false">
      <c r="B19" s="11" t="s">
        <v>207</v>
      </c>
      <c r="C19" s="11" t="s">
        <v>208</v>
      </c>
      <c r="D19" s="10" t="n">
        <v>83</v>
      </c>
      <c r="E19" s="9" t="n">
        <v>3664</v>
      </c>
      <c r="F19" s="20" t="n">
        <f aca="false">IF(D19=0,0,E19/D19)</f>
        <v>44.144578313253</v>
      </c>
      <c r="G19" s="22" t="n">
        <v>14</v>
      </c>
      <c r="H19" s="11" t="s">
        <v>5</v>
      </c>
    </row>
    <row r="20" customFormat="false" ht="15" hidden="false" customHeight="false" outlineLevel="0" collapsed="false">
      <c r="B20" s="11" t="s">
        <v>209</v>
      </c>
      <c r="C20" s="11" t="s">
        <v>210</v>
      </c>
      <c r="D20" s="10" t="n">
        <v>80</v>
      </c>
      <c r="E20" s="9" t="n">
        <v>2604</v>
      </c>
      <c r="F20" s="20" t="n">
        <f aca="false">IF(D20=0,0,E20/D20)</f>
        <v>32.55</v>
      </c>
      <c r="G20" s="22" t="n">
        <v>3</v>
      </c>
      <c r="H20" s="11" t="s">
        <v>5</v>
      </c>
    </row>
    <row r="21" customFormat="false" ht="15" hidden="false" customHeight="false" outlineLevel="0" collapsed="false">
      <c r="B21" s="11" t="s">
        <v>211</v>
      </c>
      <c r="C21" s="11" t="s">
        <v>212</v>
      </c>
      <c r="D21" s="10" t="n">
        <v>64.5</v>
      </c>
      <c r="E21" s="9" t="n">
        <v>1096</v>
      </c>
      <c r="F21" s="20" t="n">
        <f aca="false">IF(D21=0,0,E21/D21)</f>
        <v>16.9922480620155</v>
      </c>
      <c r="G21" s="22" t="n">
        <v>3</v>
      </c>
      <c r="H21" s="11" t="s">
        <v>5</v>
      </c>
    </row>
    <row r="22" customFormat="false" ht="15" hidden="false" customHeight="false" outlineLevel="0" collapsed="false">
      <c r="B22" s="11" t="s">
        <v>213</v>
      </c>
      <c r="C22" s="11" t="s">
        <v>214</v>
      </c>
      <c r="D22" s="10" t="n">
        <v>58.5</v>
      </c>
      <c r="E22" s="9" t="n">
        <v>2421.5</v>
      </c>
      <c r="F22" s="20" t="n">
        <f aca="false">IF(D22=0,0,E22/D22)</f>
        <v>41.3931623931624</v>
      </c>
      <c r="G22" s="22" t="n">
        <v>9</v>
      </c>
      <c r="H22" s="11" t="s">
        <v>5</v>
      </c>
    </row>
    <row r="23" customFormat="false" ht="15" hidden="false" customHeight="false" outlineLevel="0" collapsed="false">
      <c r="B23" s="11" t="s">
        <v>215</v>
      </c>
      <c r="C23" s="11" t="s">
        <v>216</v>
      </c>
      <c r="D23" s="10" t="n">
        <v>40</v>
      </c>
      <c r="E23" s="9" t="n">
        <v>640</v>
      </c>
      <c r="F23" s="20" t="n">
        <f aca="false">IF(D23=0,0,E23/D23)</f>
        <v>16</v>
      </c>
      <c r="G23" s="22" t="n">
        <v>3</v>
      </c>
      <c r="H23" s="11" t="s">
        <v>5</v>
      </c>
    </row>
    <row r="24" customFormat="false" ht="15" hidden="false" customHeight="false" outlineLevel="0" collapsed="false">
      <c r="B24" s="11" t="s">
        <v>217</v>
      </c>
      <c r="C24" s="11" t="s">
        <v>218</v>
      </c>
      <c r="D24" s="10" t="n">
        <v>36</v>
      </c>
      <c r="E24" s="9" t="n">
        <v>1912.5</v>
      </c>
      <c r="F24" s="20" t="n">
        <f aca="false">IF(D24=0,0,E24/D24)</f>
        <v>53.125</v>
      </c>
      <c r="G24" s="22" t="n">
        <v>17</v>
      </c>
      <c r="H24" s="11" t="s">
        <v>5</v>
      </c>
    </row>
    <row r="25" customFormat="false" ht="15" hidden="false" customHeight="false" outlineLevel="0" collapsed="false">
      <c r="B25" s="11" t="s">
        <v>219</v>
      </c>
      <c r="C25" s="11" t="s">
        <v>220</v>
      </c>
      <c r="D25" s="10" t="n">
        <v>35</v>
      </c>
      <c r="E25" s="9" t="n">
        <v>1279</v>
      </c>
      <c r="F25" s="20" t="n">
        <f aca="false">IF(D25=0,0,E25/D25)</f>
        <v>36.5428571428571</v>
      </c>
      <c r="G25" s="22" t="n">
        <v>4</v>
      </c>
      <c r="H25" s="11" t="s">
        <v>5</v>
      </c>
    </row>
    <row r="26" customFormat="false" ht="15" hidden="false" customHeight="false" outlineLevel="0" collapsed="false">
      <c r="B26" s="11" t="s">
        <v>221</v>
      </c>
      <c r="C26" s="11" t="s">
        <v>222</v>
      </c>
      <c r="D26" s="10" t="n">
        <v>28</v>
      </c>
      <c r="E26" s="9" t="n">
        <v>1039.5</v>
      </c>
      <c r="F26" s="20" t="n">
        <f aca="false">IF(D26=0,0,E26/D26)</f>
        <v>37.125</v>
      </c>
      <c r="G26" s="22" t="n">
        <v>4</v>
      </c>
      <c r="H26" s="11" t="s">
        <v>5</v>
      </c>
    </row>
    <row r="27" customFormat="false" ht="15" hidden="false" customHeight="false" outlineLevel="0" collapsed="false">
      <c r="B27" s="11" t="s">
        <v>223</v>
      </c>
      <c r="C27" s="11" t="s">
        <v>224</v>
      </c>
      <c r="D27" s="10" t="n">
        <v>24</v>
      </c>
      <c r="E27" s="9" t="n">
        <v>432</v>
      </c>
      <c r="F27" s="20" t="n">
        <f aca="false">IF(D27=0,0,E27/D27)</f>
        <v>18</v>
      </c>
      <c r="G27" s="22" t="n">
        <v>2</v>
      </c>
      <c r="H27" s="11" t="s">
        <v>5</v>
      </c>
    </row>
    <row r="28" customFormat="false" ht="15" hidden="false" customHeight="false" outlineLevel="0" collapsed="false">
      <c r="B28" s="11" t="s">
        <v>225</v>
      </c>
      <c r="C28" s="11" t="s">
        <v>226</v>
      </c>
      <c r="D28" s="10" t="n">
        <v>21</v>
      </c>
      <c r="E28" s="9" t="n">
        <v>713</v>
      </c>
      <c r="F28" s="20" t="n">
        <f aca="false">IF(D28=0,0,E28/D28)</f>
        <v>33.952380952381</v>
      </c>
      <c r="G28" s="22" t="n">
        <v>2</v>
      </c>
      <c r="H28" s="11" t="s">
        <v>5</v>
      </c>
    </row>
    <row r="29" customFormat="false" ht="15" hidden="false" customHeight="false" outlineLevel="0" collapsed="false">
      <c r="B29" s="11" t="s">
        <v>227</v>
      </c>
      <c r="C29" s="11" t="s">
        <v>228</v>
      </c>
      <c r="D29" s="10" t="n">
        <v>14</v>
      </c>
      <c r="E29" s="9" t="n">
        <v>399</v>
      </c>
      <c r="F29" s="20" t="n">
        <f aca="false">IF(D29=0,0,E29/D29)</f>
        <v>28.5</v>
      </c>
      <c r="G29" s="22" t="n">
        <v>2</v>
      </c>
      <c r="H29" s="11" t="s">
        <v>5</v>
      </c>
    </row>
    <row r="30" customFormat="false" ht="15" hidden="false" customHeight="false" outlineLevel="0" collapsed="false">
      <c r="B30" s="11" t="s">
        <v>229</v>
      </c>
      <c r="C30" s="11" t="s">
        <v>230</v>
      </c>
      <c r="D30" s="10" t="n">
        <v>14</v>
      </c>
      <c r="E30" s="9" t="n">
        <v>462</v>
      </c>
      <c r="F30" s="20" t="n">
        <f aca="false">IF(D30=0,0,E30/D30)</f>
        <v>33</v>
      </c>
      <c r="G30" s="22" t="n">
        <v>1</v>
      </c>
      <c r="H30" s="11" t="s">
        <v>5</v>
      </c>
    </row>
    <row r="31" customFormat="false" ht="15" hidden="false" customHeight="false" outlineLevel="0" collapsed="false">
      <c r="B31" s="11" t="s">
        <v>231</v>
      </c>
      <c r="C31" s="11" t="s">
        <v>232</v>
      </c>
      <c r="D31" s="10" t="n">
        <v>7</v>
      </c>
      <c r="E31" s="9" t="n">
        <v>180</v>
      </c>
      <c r="F31" s="20" t="n">
        <f aca="false">IF(D31=0,0,E31/D31)</f>
        <v>25.7142857142857</v>
      </c>
      <c r="G31" s="22" t="n">
        <v>1</v>
      </c>
      <c r="H31" s="11" t="s">
        <v>5</v>
      </c>
    </row>
    <row r="32" customFormat="false" ht="15" hidden="false" customHeight="false" outlineLevel="0" collapsed="false">
      <c r="B32" s="11" t="s">
        <v>233</v>
      </c>
      <c r="C32" s="11" t="s">
        <v>234</v>
      </c>
      <c r="D32" s="10" t="n">
        <v>4</v>
      </c>
      <c r="E32" s="9" t="n">
        <v>0</v>
      </c>
      <c r="F32" s="20" t="n">
        <f aca="false">IF(D32=0,0,E32/D32)</f>
        <v>0</v>
      </c>
      <c r="G32" s="22" t="n">
        <v>1</v>
      </c>
      <c r="H32" s="11" t="s">
        <v>5</v>
      </c>
    </row>
    <row r="33" customFormat="false" ht="15" hidden="false" customHeight="false" outlineLevel="0" collapsed="false">
      <c r="B33" s="11" t="s">
        <v>235</v>
      </c>
      <c r="C33" s="11" t="s">
        <v>236</v>
      </c>
      <c r="D33" s="10" t="n">
        <v>4</v>
      </c>
      <c r="E33" s="9" t="n">
        <v>84</v>
      </c>
      <c r="F33" s="20" t="n">
        <f aca="false">IF(D33=0,0,E33/D33)</f>
        <v>21</v>
      </c>
      <c r="G33" s="22" t="n">
        <v>2</v>
      </c>
      <c r="H33" s="11" t="s">
        <v>5</v>
      </c>
    </row>
    <row r="34" customFormat="false" ht="15" hidden="false" customHeight="false" outlineLevel="0" collapsed="false">
      <c r="B34" s="11" t="s">
        <v>237</v>
      </c>
      <c r="C34" s="11" t="s">
        <v>238</v>
      </c>
      <c r="D34" s="10" t="n">
        <v>3</v>
      </c>
      <c r="E34" s="9" t="n">
        <v>63</v>
      </c>
      <c r="F34" s="20" t="n">
        <f aca="false">IF(D34=0,0,E34/D34)</f>
        <v>21</v>
      </c>
      <c r="G34" s="22" t="n">
        <v>1</v>
      </c>
      <c r="H34" s="11" t="s">
        <v>5</v>
      </c>
    </row>
    <row r="35" customFormat="false" ht="15" hidden="false" customHeight="false" outlineLevel="0" collapsed="false">
      <c r="B35" s="11" t="s">
        <v>239</v>
      </c>
      <c r="C35" s="11" t="s">
        <v>240</v>
      </c>
      <c r="D35" s="10" t="n">
        <v>2.5</v>
      </c>
      <c r="E35" s="9" t="n">
        <v>40</v>
      </c>
      <c r="F35" s="20" t="n">
        <f aca="false">IF(D35=0,0,E35/D35)</f>
        <v>16</v>
      </c>
      <c r="G35" s="22" t="n">
        <v>1</v>
      </c>
      <c r="H35" s="11" t="s">
        <v>5</v>
      </c>
    </row>
    <row r="36" customFormat="false" ht="15" hidden="false" customHeight="false" outlineLevel="0" collapsed="false">
      <c r="B36" s="18" t="s">
        <v>116</v>
      </c>
      <c r="D36" s="21" t="n">
        <f aca="false">SUM(D6:D35)</f>
        <v>4671.5</v>
      </c>
      <c r="E36" s="20" t="n">
        <f aca="false">SUM(E6:E35)</f>
        <v>117360.75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241</v>
      </c>
    </row>
    <row r="3" customFormat="false" ht="21.75" hidden="false" customHeight="true" outlineLevel="0" collapsed="false">
      <c r="B3" s="2" t="s">
        <v>242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243</v>
      </c>
    </row>
    <row r="6" customFormat="false" ht="15" hidden="false" customHeight="false" outlineLevel="0" collapsed="false">
      <c r="B6" s="3" t="s">
        <v>244</v>
      </c>
      <c r="C6" s="3" t="s">
        <v>245</v>
      </c>
      <c r="D6" s="3" t="s">
        <v>246</v>
      </c>
      <c r="E6" s="3" t="s">
        <v>87</v>
      </c>
    </row>
    <row r="7" customFormat="false" ht="15" hidden="false" customHeight="false" outlineLevel="0" collapsed="false">
      <c r="B7" s="11" t="s">
        <v>247</v>
      </c>
      <c r="C7" s="10" t="n">
        <v>30</v>
      </c>
      <c r="D7" s="11" t="s">
        <v>248</v>
      </c>
      <c r="E7" s="11" t="s">
        <v>5</v>
      </c>
    </row>
    <row r="8" customFormat="false" ht="15" hidden="false" customHeight="false" outlineLevel="0" collapsed="false">
      <c r="B8" s="11" t="s">
        <v>249</v>
      </c>
      <c r="C8" s="10" t="n">
        <v>4671.5</v>
      </c>
      <c r="D8" s="11" t="s">
        <v>250</v>
      </c>
      <c r="E8" s="11" t="s">
        <v>5</v>
      </c>
    </row>
    <row r="9" customFormat="false" ht="15" hidden="false" customHeight="false" outlineLevel="0" collapsed="false">
      <c r="B9" s="11" t="s">
        <v>251</v>
      </c>
      <c r="C9" s="10" t="n">
        <v>117360.75</v>
      </c>
      <c r="D9" s="11" t="s">
        <v>250</v>
      </c>
      <c r="E9" s="11" t="s">
        <v>5</v>
      </c>
    </row>
    <row r="10" customFormat="false" ht="15" hidden="false" customHeight="false" outlineLevel="0" collapsed="false">
      <c r="B10" s="11" t="s">
        <v>252</v>
      </c>
      <c r="C10" s="9" t="n">
        <v>25.1227121909451</v>
      </c>
      <c r="D10" s="11" t="s">
        <v>253</v>
      </c>
      <c r="E10" s="11" t="s">
        <v>254</v>
      </c>
    </row>
    <row r="11" customFormat="false" ht="15" hidden="false" customHeight="false" outlineLevel="0" collapsed="false">
      <c r="B11" s="11" t="s">
        <v>255</v>
      </c>
      <c r="C11" s="24" t="n">
        <v>0.118591458846195</v>
      </c>
      <c r="D11" s="11" t="s">
        <v>256</v>
      </c>
      <c r="E11" s="11" t="s">
        <v>254</v>
      </c>
    </row>
    <row r="12" customFormat="false" ht="15" hidden="false" customHeight="false" outlineLevel="0" collapsed="false">
      <c r="B12" s="11" t="s">
        <v>257</v>
      </c>
      <c r="C12" s="24" t="n">
        <v>0.525848228620358</v>
      </c>
      <c r="D12" s="11" t="s">
        <v>258</v>
      </c>
      <c r="E12" s="11" t="s">
        <v>254</v>
      </c>
    </row>
    <row r="13" customFormat="false" ht="15" hidden="false" customHeight="false" outlineLevel="0" collapsed="false">
      <c r="B13" s="11" t="s">
        <v>259</v>
      </c>
      <c r="C13" s="9" t="n">
        <v>53.125</v>
      </c>
      <c r="D13" s="11" t="s">
        <v>260</v>
      </c>
      <c r="E13" s="11" t="s">
        <v>254</v>
      </c>
    </row>
    <row r="14" customFormat="false" ht="15" hidden="false" customHeight="false" outlineLevel="0" collapsed="false">
      <c r="B14" s="11" t="s">
        <v>261</v>
      </c>
      <c r="C14" s="9" t="n">
        <v>0</v>
      </c>
      <c r="D14" s="11" t="s">
        <v>260</v>
      </c>
      <c r="E14" s="11" t="s">
        <v>254</v>
      </c>
    </row>
    <row r="15" customFormat="false" ht="15" hidden="false" customHeight="false" outlineLevel="0" collapsed="false">
      <c r="B15" s="11" t="s">
        <v>262</v>
      </c>
      <c r="C15" s="10" t="n">
        <v>155.716666666667</v>
      </c>
      <c r="D15" s="11" t="s">
        <v>263</v>
      </c>
      <c r="E15" s="11" t="s">
        <v>254</v>
      </c>
    </row>
    <row r="16" customFormat="false" ht="15" hidden="false" customHeight="false" outlineLevel="0" collapsed="false">
      <c r="B16" s="11" t="s">
        <v>264</v>
      </c>
      <c r="C16" s="10" t="n">
        <v>8.06666666666667</v>
      </c>
      <c r="D16" s="11" t="s">
        <v>265</v>
      </c>
      <c r="E16" s="11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266</v>
      </c>
    </row>
    <row r="3" customFormat="false" ht="21.75" hidden="false" customHeight="true" outlineLevel="0" collapsed="false">
      <c r="B3" s="2" t="s">
        <v>267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244</v>
      </c>
      <c r="C5" s="3" t="s">
        <v>245</v>
      </c>
      <c r="D5" s="3" t="s">
        <v>268</v>
      </c>
      <c r="E5" s="3" t="s">
        <v>269</v>
      </c>
    </row>
    <row r="6" customFormat="false" ht="15" hidden="false" customHeight="false" outlineLevel="0" collapsed="false">
      <c r="B6" s="11" t="s">
        <v>270</v>
      </c>
      <c r="C6" s="9" t="n">
        <v>110.685647008456</v>
      </c>
      <c r="D6" s="11" t="s">
        <v>271</v>
      </c>
    </row>
    <row r="7" customFormat="false" ht="15" hidden="false" customHeight="false" outlineLevel="0" collapsed="false">
      <c r="B7" s="11" t="s">
        <v>272</v>
      </c>
      <c r="C7" s="9" t="n">
        <v>47.5982810660387</v>
      </c>
      <c r="D7" s="11" t="s">
        <v>271</v>
      </c>
    </row>
    <row r="8" customFormat="false" ht="15" hidden="false" customHeight="false" outlineLevel="0" collapsed="false">
      <c r="B8" s="11" t="s">
        <v>273</v>
      </c>
      <c r="C8" s="9" t="n">
        <v>25.1227121909451</v>
      </c>
      <c r="D8" s="11" t="s">
        <v>271</v>
      </c>
      <c r="E8" s="11" t="s">
        <v>274</v>
      </c>
    </row>
    <row r="9" customFormat="false" ht="15" hidden="false" customHeight="false" outlineLevel="0" collapsed="false">
      <c r="B9" s="11" t="s">
        <v>275</v>
      </c>
      <c r="C9" s="9" t="n">
        <v>51.2504</v>
      </c>
      <c r="D9" s="11" t="s">
        <v>271</v>
      </c>
      <c r="E9" s="11" t="s">
        <v>276</v>
      </c>
    </row>
    <row r="10" customFormat="false" ht="15" hidden="false" customHeight="false" outlineLevel="0" collapsed="false">
      <c r="B10" s="11" t="s">
        <v>277</v>
      </c>
      <c r="C10" s="25" t="n">
        <v>1.3421</v>
      </c>
      <c r="D10" s="11" t="s">
        <v>278</v>
      </c>
      <c r="E10" s="11" t="s">
        <v>279</v>
      </c>
    </row>
    <row r="11" customFormat="false" ht="15" hidden="false" customHeight="false" outlineLevel="0" collapsed="false">
      <c r="B11" s="11" t="s">
        <v>280</v>
      </c>
      <c r="C11" s="10" t="n">
        <v>3279.5</v>
      </c>
      <c r="D11" s="11" t="s">
        <v>281</v>
      </c>
    </row>
    <row r="12" customFormat="false" ht="15" hidden="false" customHeight="false" outlineLevel="0" collapsed="false">
      <c r="B12" s="11" t="s">
        <v>282</v>
      </c>
      <c r="C12" s="10" t="n">
        <v>1224.5</v>
      </c>
      <c r="D12" s="11" t="s">
        <v>281</v>
      </c>
    </row>
    <row r="13" customFormat="false" ht="15" hidden="false" customHeight="false" outlineLevel="0" collapsed="false">
      <c r="B13" s="11" t="s">
        <v>283</v>
      </c>
      <c r="C13" s="26" t="n">
        <v>0.703981968444778</v>
      </c>
      <c r="D13" s="11" t="s">
        <v>284</v>
      </c>
    </row>
    <row r="14" customFormat="false" ht="15" hidden="false" customHeight="false" outlineLevel="0" collapsed="false">
      <c r="B14" s="11" t="s">
        <v>285</v>
      </c>
      <c r="C14" s="26" t="n">
        <v>0.430031195123272</v>
      </c>
      <c r="D14" s="11" t="s">
        <v>284</v>
      </c>
    </row>
    <row r="15" customFormat="false" ht="15" hidden="false" customHeight="false" outlineLevel="0" collapsed="false">
      <c r="B15" s="11" t="s">
        <v>286</v>
      </c>
      <c r="C15" s="26" t="n">
        <v>0.226973531527768</v>
      </c>
      <c r="D15" s="11" t="s">
        <v>284</v>
      </c>
    </row>
    <row r="16" customFormat="false" ht="15" hidden="false" customHeight="false" outlineLevel="0" collapsed="false">
      <c r="B16" s="11" t="s">
        <v>287</v>
      </c>
      <c r="C16" s="26" t="n">
        <v>0.223252144785599</v>
      </c>
      <c r="D16" s="11" t="s">
        <v>284</v>
      </c>
    </row>
    <row r="17" customFormat="false" ht="15" hidden="false" customHeight="false" outlineLevel="0" collapsed="false">
      <c r="B17" s="11" t="s">
        <v>288</v>
      </c>
      <c r="C17" s="26" t="n">
        <v>0.569968804876728</v>
      </c>
      <c r="D17" s="11" t="s">
        <v>284</v>
      </c>
      <c r="E17" s="11" t="s">
        <v>289</v>
      </c>
    </row>
    <row r="18" customFormat="false" ht="15" hidden="false" customHeight="false" outlineLevel="0" collapsed="false">
      <c r="B18" s="11" t="s">
        <v>290</v>
      </c>
      <c r="C18" s="9" t="n">
        <v>7181.5</v>
      </c>
      <c r="D18" s="11" t="s">
        <v>291</v>
      </c>
      <c r="E18" s="11" t="s">
        <v>292</v>
      </c>
    </row>
    <row r="19" customFormat="false" ht="15" hidden="false" customHeight="false" outlineLevel="0" collapsed="false">
      <c r="B19" s="11" t="s">
        <v>293</v>
      </c>
      <c r="C19" s="10" t="n">
        <v>64.8819444444444</v>
      </c>
      <c r="D19" s="11" t="s">
        <v>281</v>
      </c>
    </row>
    <row r="20" customFormat="false" ht="15" hidden="false" customHeight="false" outlineLevel="0" collapsed="false">
      <c r="B20" s="11" t="s">
        <v>294</v>
      </c>
      <c r="C20" s="9" t="n">
        <v>1630.01041666667</v>
      </c>
      <c r="D20" s="11" t="s">
        <v>291</v>
      </c>
    </row>
    <row r="21" customFormat="false" ht="15" hidden="false" customHeight="false" outlineLevel="0" collapsed="false">
      <c r="B21" s="11" t="s">
        <v>295</v>
      </c>
      <c r="C21" s="9" t="n">
        <v>1603.28527777778</v>
      </c>
      <c r="D21" s="11" t="s">
        <v>291</v>
      </c>
    </row>
    <row r="22" customFormat="false" ht="15" hidden="false" customHeight="false" outlineLevel="0" collapsed="false">
      <c r="B22" s="11" t="s">
        <v>296</v>
      </c>
      <c r="C22" s="9" t="n">
        <v>4093.23097222222</v>
      </c>
      <c r="D22" s="11" t="s">
        <v>291</v>
      </c>
    </row>
    <row r="23" customFormat="false" ht="15" hidden="false" customHeight="false" outlineLevel="0" collapsed="false">
      <c r="B23" s="11" t="s">
        <v>297</v>
      </c>
      <c r="C23" s="10" t="n">
        <v>45.5486111111111</v>
      </c>
      <c r="D23" s="11" t="s">
        <v>281</v>
      </c>
    </row>
    <row r="24" customFormat="false" ht="15" hidden="false" customHeight="false" outlineLevel="0" collapsed="false">
      <c r="B24" s="11" t="s">
        <v>298</v>
      </c>
      <c r="C24" s="9" t="n">
        <v>1261.14146341463</v>
      </c>
      <c r="D24" s="11" t="s">
        <v>291</v>
      </c>
      <c r="E24" s="11" t="s">
        <v>299</v>
      </c>
    </row>
    <row r="25" customFormat="false" ht="15" hidden="false" customHeight="false" outlineLevel="0" collapsed="false">
      <c r="B25" s="11" t="s">
        <v>300</v>
      </c>
      <c r="C25" s="10" t="n">
        <v>11.3939024390244</v>
      </c>
      <c r="D25" s="11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301</v>
      </c>
    </row>
    <row r="3" customFormat="false" ht="21.75" hidden="false" customHeight="true" outlineLevel="0" collapsed="false">
      <c r="B3" s="2" t="s">
        <v>302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303</v>
      </c>
      <c r="C5" s="3" t="s">
        <v>304</v>
      </c>
      <c r="D5" s="3" t="s">
        <v>305</v>
      </c>
      <c r="E5" s="3" t="s">
        <v>306</v>
      </c>
      <c r="F5" s="3" t="s">
        <v>67</v>
      </c>
      <c r="G5" s="3" t="s">
        <v>80</v>
      </c>
      <c r="H5" s="3" t="s">
        <v>307</v>
      </c>
      <c r="I5" s="3" t="s">
        <v>87</v>
      </c>
    </row>
    <row r="6" customFormat="false" ht="15" hidden="false" customHeight="false" outlineLevel="0" collapsed="false">
      <c r="B6" s="11" t="s">
        <v>308</v>
      </c>
      <c r="C6" s="11" t="s">
        <v>309</v>
      </c>
      <c r="D6" s="11" t="s">
        <v>12</v>
      </c>
      <c r="E6" s="11" t="s">
        <v>310</v>
      </c>
      <c r="F6" s="11" t="s">
        <v>311</v>
      </c>
      <c r="G6" s="11" t="s">
        <v>312</v>
      </c>
      <c r="H6" s="9" t="n">
        <v>498700</v>
      </c>
      <c r="I6" s="11" t="s">
        <v>20</v>
      </c>
    </row>
    <row r="7" customFormat="false" ht="15" hidden="false" customHeight="false" outlineLevel="0" collapsed="false">
      <c r="B7" s="11" t="s">
        <v>313</v>
      </c>
      <c r="C7" s="11" t="s">
        <v>314</v>
      </c>
      <c r="D7" s="11" t="s">
        <v>12</v>
      </c>
      <c r="E7" s="11" t="s">
        <v>315</v>
      </c>
      <c r="F7" s="11" t="s">
        <v>316</v>
      </c>
      <c r="G7" s="11" t="s">
        <v>317</v>
      </c>
      <c r="H7" s="9" t="n">
        <v>18368</v>
      </c>
      <c r="I7" s="11" t="s">
        <v>5</v>
      </c>
    </row>
    <row r="8" customFormat="false" ht="15" hidden="false" customHeight="false" outlineLevel="0" collapsed="false">
      <c r="B8" s="18" t="s">
        <v>318</v>
      </c>
      <c r="H8" s="20" t="n">
        <f aca="false">SUM(H6:H7)</f>
        <v>517068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319</v>
      </c>
    </row>
    <row r="3" customFormat="false" ht="21.75" hidden="false" customHeight="true" outlineLevel="0" collapsed="false">
      <c r="B3" s="2" t="s">
        <v>320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321</v>
      </c>
      <c r="C5" s="3" t="s">
        <v>304</v>
      </c>
      <c r="D5" s="3" t="s">
        <v>322</v>
      </c>
      <c r="E5" s="3" t="s">
        <v>323</v>
      </c>
      <c r="F5" s="3" t="s">
        <v>324</v>
      </c>
      <c r="G5" s="3" t="s">
        <v>87</v>
      </c>
    </row>
    <row r="6" customFormat="false" ht="15" hidden="false" customHeight="false" outlineLevel="0" collapsed="false">
      <c r="B6" s="11" t="s">
        <v>325</v>
      </c>
      <c r="C6" s="11" t="s">
        <v>326</v>
      </c>
      <c r="D6" s="27" t="n">
        <v>-20423</v>
      </c>
      <c r="E6" s="27" t="n">
        <v>-1021.15</v>
      </c>
      <c r="F6" s="22" t="n">
        <v>5</v>
      </c>
      <c r="G6" s="11" t="s">
        <v>5</v>
      </c>
    </row>
    <row r="7" customFormat="false" ht="15" hidden="false" customHeight="false" outlineLevel="0" collapsed="false">
      <c r="B7" s="11" t="s">
        <v>327</v>
      </c>
      <c r="C7" s="11" t="s">
        <v>328</v>
      </c>
      <c r="D7" s="27" t="n">
        <v>-22650</v>
      </c>
      <c r="E7" s="27" t="n">
        <v>-1132.5</v>
      </c>
      <c r="F7" s="22" t="n">
        <v>1</v>
      </c>
      <c r="G7" s="11" t="s">
        <v>5</v>
      </c>
    </row>
    <row r="8" customFormat="false" ht="15" hidden="false" customHeight="false" outlineLevel="0" collapsed="false">
      <c r="B8" s="11" t="s">
        <v>329</v>
      </c>
      <c r="C8" s="11" t="s">
        <v>330</v>
      </c>
      <c r="D8" s="27" t="n">
        <v>-95083</v>
      </c>
      <c r="E8" s="27" t="n">
        <v>-4754.15</v>
      </c>
      <c r="F8" s="22" t="n">
        <v>6</v>
      </c>
      <c r="G8" s="11" t="s">
        <v>5</v>
      </c>
    </row>
    <row r="9" customFormat="false" ht="15" hidden="false" customHeight="false" outlineLevel="0" collapsed="false">
      <c r="B9" s="11" t="s">
        <v>331</v>
      </c>
      <c r="C9" s="11" t="s">
        <v>332</v>
      </c>
      <c r="D9" s="27" t="n">
        <v>-4097</v>
      </c>
      <c r="E9" s="27" t="n">
        <v>-204.85</v>
      </c>
      <c r="F9" s="22" t="n">
        <v>2</v>
      </c>
      <c r="G9" s="11" t="s">
        <v>5</v>
      </c>
    </row>
    <row r="10" customFormat="false" ht="15" hidden="false" customHeight="false" outlineLevel="0" collapsed="false">
      <c r="B10" s="11" t="s">
        <v>333</v>
      </c>
      <c r="C10" s="11" t="s">
        <v>334</v>
      </c>
      <c r="D10" s="27" t="n">
        <v>-2412</v>
      </c>
      <c r="E10" s="27" t="n">
        <v>-120.6</v>
      </c>
      <c r="F10" s="22" t="n">
        <v>1</v>
      </c>
      <c r="G10" s="11" t="s">
        <v>5</v>
      </c>
    </row>
    <row r="11" customFormat="false" ht="15" hidden="false" customHeight="false" outlineLevel="0" collapsed="false">
      <c r="B11" s="11" t="s">
        <v>335</v>
      </c>
      <c r="C11" s="11" t="s">
        <v>336</v>
      </c>
      <c r="D11" s="27" t="n">
        <v>-4603</v>
      </c>
      <c r="E11" s="27" t="n">
        <v>-230.15</v>
      </c>
      <c r="F11" s="22" t="n">
        <v>2</v>
      </c>
      <c r="G11" s="11" t="s">
        <v>5</v>
      </c>
    </row>
    <row r="12" customFormat="false" ht="15" hidden="false" customHeight="false" outlineLevel="0" collapsed="false">
      <c r="B12" s="11" t="s">
        <v>337</v>
      </c>
      <c r="C12" s="11" t="s">
        <v>338</v>
      </c>
      <c r="D12" s="27" t="n">
        <v>-183550</v>
      </c>
      <c r="E12" s="27" t="n">
        <v>-9177.5</v>
      </c>
      <c r="F12" s="22" t="n">
        <v>6</v>
      </c>
      <c r="G12" s="11" t="s">
        <v>5</v>
      </c>
    </row>
    <row r="13" customFormat="false" ht="15" hidden="false" customHeight="false" outlineLevel="0" collapsed="false">
      <c r="B13" s="11" t="s">
        <v>339</v>
      </c>
      <c r="C13" s="11" t="s">
        <v>340</v>
      </c>
      <c r="D13" s="27" t="n">
        <v>-177050</v>
      </c>
      <c r="E13" s="27" t="n">
        <v>-8852.5</v>
      </c>
      <c r="F13" s="22" t="n">
        <v>9</v>
      </c>
      <c r="G13" s="11" t="s">
        <v>5</v>
      </c>
    </row>
    <row r="14" customFormat="false" ht="15" hidden="false" customHeight="false" outlineLevel="0" collapsed="false">
      <c r="B14" s="11" t="s">
        <v>341</v>
      </c>
      <c r="C14" s="11" t="s">
        <v>342</v>
      </c>
      <c r="D14" s="27" t="n">
        <v>-7200</v>
      </c>
      <c r="E14" s="27" t="n">
        <v>-360</v>
      </c>
      <c r="F14" s="22" t="n">
        <v>2</v>
      </c>
      <c r="G14" s="11" t="s">
        <v>5</v>
      </c>
    </row>
    <row r="15" customFormat="false" ht="15" hidden="false" customHeight="false" outlineLevel="0" collapsed="false">
      <c r="B15" s="18" t="s">
        <v>343</v>
      </c>
      <c r="D15" s="16" t="n">
        <f aca="false">SUM(D6:D14)</f>
        <v>-517068</v>
      </c>
      <c r="E15" s="16" t="n">
        <f aca="false">SUM(E6:E14)</f>
        <v>-25853.4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344</v>
      </c>
    </row>
    <row r="3" customFormat="false" ht="21.75" hidden="false" customHeight="true" outlineLevel="0" collapsed="false">
      <c r="B3" s="2" t="s">
        <v>345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346</v>
      </c>
      <c r="C5" s="3" t="s">
        <v>347</v>
      </c>
      <c r="D5" s="3" t="s">
        <v>348</v>
      </c>
      <c r="E5" s="3" t="s">
        <v>349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350</v>
      </c>
      <c r="D6" s="11" t="s">
        <v>351</v>
      </c>
      <c r="E6" s="13" t="s">
        <v>352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353</v>
      </c>
      <c r="D7" s="11" t="s">
        <v>354</v>
      </c>
      <c r="E7" s="13" t="s">
        <v>352</v>
      </c>
      <c r="F7" s="11" t="s">
        <v>355</v>
      </c>
    </row>
    <row r="8" customFormat="false" ht="15" hidden="false" customHeight="false" outlineLevel="0" collapsed="false">
      <c r="B8" s="11" t="n">
        <v>3</v>
      </c>
      <c r="C8" s="11" t="s">
        <v>356</v>
      </c>
      <c r="D8" s="11" t="s">
        <v>357</v>
      </c>
      <c r="E8" s="13" t="s">
        <v>352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358</v>
      </c>
      <c r="D9" s="11" t="s">
        <v>359</v>
      </c>
      <c r="E9" s="13" t="s">
        <v>352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360</v>
      </c>
      <c r="D10" s="11" t="s">
        <v>361</v>
      </c>
      <c r="E10" s="13" t="s">
        <v>352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362</v>
      </c>
      <c r="D11" s="11" t="s">
        <v>363</v>
      </c>
      <c r="E11" s="13" t="s">
        <v>352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364</v>
      </c>
      <c r="D12" s="11" t="s">
        <v>365</v>
      </c>
      <c r="E12" s="13" t="s">
        <v>352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366</v>
      </c>
      <c r="D13" s="11" t="s">
        <v>367</v>
      </c>
      <c r="E13" s="13" t="s">
        <v>352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368</v>
      </c>
      <c r="D14" s="11" t="s">
        <v>369</v>
      </c>
      <c r="E14" s="13" t="s">
        <v>352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370</v>
      </c>
      <c r="D15" s="11" t="s">
        <v>371</v>
      </c>
      <c r="E15" s="13" t="s">
        <v>352</v>
      </c>
      <c r="F15" s="11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373</v>
      </c>
    </row>
    <row r="3" customFormat="false" ht="21.75" hidden="false" customHeight="true" outlineLevel="0" collapsed="false">
      <c r="B3" s="2" t="s">
        <v>374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375</v>
      </c>
      <c r="C5" s="3" t="s">
        <v>376</v>
      </c>
      <c r="D5" s="3" t="s">
        <v>245</v>
      </c>
      <c r="E5" s="3" t="s">
        <v>119</v>
      </c>
      <c r="F5" s="3" t="s">
        <v>246</v>
      </c>
      <c r="G5" s="3" t="s">
        <v>349</v>
      </c>
      <c r="H5" s="3" t="s">
        <v>377</v>
      </c>
    </row>
    <row r="6" customFormat="false" ht="15" hidden="false" customHeight="false" outlineLevel="0" collapsed="false">
      <c r="B6" s="11" t="s">
        <v>378</v>
      </c>
      <c r="C6" s="11" t="s">
        <v>379</v>
      </c>
      <c r="D6" s="11" t="s">
        <v>4</v>
      </c>
      <c r="E6" s="11" t="s">
        <v>380</v>
      </c>
      <c r="F6" s="11" t="s">
        <v>381</v>
      </c>
      <c r="G6" s="13" t="s">
        <v>352</v>
      </c>
      <c r="H6" s="11" t="s">
        <v>5</v>
      </c>
    </row>
    <row r="7" customFormat="false" ht="15" hidden="false" customHeight="false" outlineLevel="0" collapsed="false">
      <c r="B7" s="11" t="s">
        <v>382</v>
      </c>
      <c r="C7" s="11" t="s">
        <v>383</v>
      </c>
      <c r="D7" s="11" t="s">
        <v>384</v>
      </c>
      <c r="E7" s="11" t="s">
        <v>380</v>
      </c>
      <c r="F7" s="11"/>
      <c r="G7" s="13" t="s">
        <v>352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385</v>
      </c>
      <c r="D8" s="11" t="s">
        <v>12</v>
      </c>
      <c r="E8" s="11" t="s">
        <v>380</v>
      </c>
      <c r="F8" s="11"/>
      <c r="G8" s="13" t="s">
        <v>352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386</v>
      </c>
      <c r="D9" s="11" t="s">
        <v>17</v>
      </c>
      <c r="E9" s="11" t="s">
        <v>380</v>
      </c>
      <c r="F9" s="11"/>
      <c r="G9" s="13" t="s">
        <v>352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387</v>
      </c>
      <c r="D10" s="11" t="s">
        <v>35</v>
      </c>
      <c r="E10" s="11" t="s">
        <v>380</v>
      </c>
      <c r="F10" s="11"/>
      <c r="G10" s="13" t="s">
        <v>352</v>
      </c>
      <c r="H10" s="11" t="s">
        <v>36</v>
      </c>
    </row>
    <row r="11" customFormat="false" ht="15" hidden="false" customHeight="false" outlineLevel="0" collapsed="false">
      <c r="B11" s="11" t="s">
        <v>388</v>
      </c>
      <c r="C11" s="11" t="s">
        <v>389</v>
      </c>
      <c r="D11" s="11" t="s">
        <v>28</v>
      </c>
      <c r="E11" s="11" t="s">
        <v>380</v>
      </c>
      <c r="F11" s="11"/>
      <c r="G11" s="13" t="s">
        <v>352</v>
      </c>
      <c r="H11" s="11" t="s">
        <v>13</v>
      </c>
    </row>
    <row r="12" customFormat="false" ht="15" hidden="false" customHeight="false" outlineLevel="0" collapsed="false">
      <c r="B12" s="11" t="s">
        <v>390</v>
      </c>
      <c r="C12" s="11" t="s">
        <v>391</v>
      </c>
      <c r="D12" s="11" t="s">
        <v>392</v>
      </c>
      <c r="E12" s="11" t="s">
        <v>380</v>
      </c>
      <c r="F12" s="11"/>
      <c r="G12" s="13" t="s">
        <v>352</v>
      </c>
      <c r="H12" s="11" t="s">
        <v>393</v>
      </c>
    </row>
    <row r="13" customFormat="false" ht="15" hidden="false" customHeight="false" outlineLevel="0" collapsed="false">
      <c r="B13" s="11" t="s">
        <v>394</v>
      </c>
      <c r="C13" s="11" t="s">
        <v>395</v>
      </c>
      <c r="D13" s="11" t="s">
        <v>30</v>
      </c>
      <c r="E13" s="11" t="s">
        <v>380</v>
      </c>
      <c r="F13" s="11"/>
      <c r="G13" s="13" t="s">
        <v>352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396</v>
      </c>
      <c r="D14" s="11" t="s">
        <v>19</v>
      </c>
      <c r="E14" s="11" t="s">
        <v>380</v>
      </c>
      <c r="F14" s="11"/>
      <c r="G14" s="13" t="s">
        <v>352</v>
      </c>
      <c r="H14" s="11" t="s">
        <v>20</v>
      </c>
    </row>
    <row r="15" customFormat="false" ht="15" hidden="false" customHeight="false" outlineLevel="0" collapsed="false">
      <c r="B15" s="11" t="s">
        <v>397</v>
      </c>
      <c r="C15" s="11" t="s">
        <v>398</v>
      </c>
      <c r="D15" s="11" t="s">
        <v>22</v>
      </c>
      <c r="E15" s="11" t="s">
        <v>380</v>
      </c>
      <c r="F15" s="11"/>
      <c r="G15" s="13" t="s">
        <v>352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399</v>
      </c>
      <c r="D16" s="11" t="s">
        <v>26</v>
      </c>
      <c r="E16" s="11" t="s">
        <v>380</v>
      </c>
      <c r="F16" s="11"/>
      <c r="G16" s="13" t="s">
        <v>352</v>
      </c>
      <c r="H16" s="11" t="s">
        <v>20</v>
      </c>
    </row>
    <row r="17" customFormat="false" ht="15" hidden="false" customHeight="false" outlineLevel="0" collapsed="false">
      <c r="B17" s="11" t="s">
        <v>400</v>
      </c>
      <c r="C17" s="11" t="s">
        <v>401</v>
      </c>
      <c r="D17" s="11" t="s">
        <v>309</v>
      </c>
      <c r="E17" s="11" t="s">
        <v>380</v>
      </c>
      <c r="F17" s="11"/>
      <c r="G17" s="13" t="s">
        <v>352</v>
      </c>
      <c r="H17" s="11" t="s">
        <v>20</v>
      </c>
    </row>
    <row r="18" customFormat="false" ht="15" hidden="false" customHeight="false" outlineLevel="0" collapsed="false">
      <c r="B18" s="11" t="s">
        <v>402</v>
      </c>
      <c r="C18" s="11" t="s">
        <v>403</v>
      </c>
      <c r="D18" s="11" t="s">
        <v>404</v>
      </c>
      <c r="E18" s="11" t="s">
        <v>380</v>
      </c>
      <c r="F18" s="11"/>
      <c r="G18" s="13" t="s">
        <v>352</v>
      </c>
      <c r="H18" s="11" t="s">
        <v>5</v>
      </c>
    </row>
    <row r="19" customFormat="false" ht="15" hidden="false" customHeight="false" outlineLevel="0" collapsed="false">
      <c r="B19" s="11" t="s">
        <v>405</v>
      </c>
      <c r="C19" s="11" t="s">
        <v>406</v>
      </c>
      <c r="D19" s="11" t="s">
        <v>407</v>
      </c>
      <c r="E19" s="11" t="s">
        <v>380</v>
      </c>
      <c r="F19" s="11"/>
      <c r="G19" s="13" t="s">
        <v>352</v>
      </c>
      <c r="H19" s="11" t="s">
        <v>5</v>
      </c>
    </row>
    <row r="20" customFormat="false" ht="15" hidden="false" customHeight="false" outlineLevel="0" collapsed="false">
      <c r="B20" s="11" t="s">
        <v>408</v>
      </c>
      <c r="C20" s="11" t="s">
        <v>409</v>
      </c>
      <c r="D20" s="22" t="n">
        <v>12</v>
      </c>
      <c r="E20" s="11" t="s">
        <v>380</v>
      </c>
      <c r="F20" s="11"/>
      <c r="G20" s="13" t="s">
        <v>352</v>
      </c>
      <c r="H20" s="11" t="s">
        <v>254</v>
      </c>
    </row>
    <row r="21" customFormat="false" ht="15" hidden="false" customHeight="false" outlineLevel="0" collapsed="false">
      <c r="B21" s="11" t="s">
        <v>39</v>
      </c>
      <c r="C21" s="11" t="s">
        <v>410</v>
      </c>
      <c r="D21" s="22" t="n">
        <v>72</v>
      </c>
      <c r="E21" s="11" t="s">
        <v>380</v>
      </c>
      <c r="F21" s="11" t="s">
        <v>411</v>
      </c>
      <c r="G21" s="13" t="s">
        <v>352</v>
      </c>
      <c r="H21" s="11" t="s">
        <v>412</v>
      </c>
    </row>
    <row r="22" customFormat="false" ht="15" hidden="false" customHeight="false" outlineLevel="0" collapsed="false">
      <c r="B22" s="11" t="s">
        <v>413</v>
      </c>
      <c r="C22" s="11" t="s">
        <v>414</v>
      </c>
      <c r="D22" s="22" t="n">
        <v>410</v>
      </c>
      <c r="E22" s="11" t="s">
        <v>380</v>
      </c>
      <c r="F22" s="11" t="s">
        <v>415</v>
      </c>
      <c r="G22" s="13" t="s">
        <v>352</v>
      </c>
      <c r="H22" s="11" t="s">
        <v>412</v>
      </c>
    </row>
    <row r="23" customFormat="false" ht="15" hidden="false" customHeight="false" outlineLevel="0" collapsed="false">
      <c r="B23" s="11" t="s">
        <v>416</v>
      </c>
      <c r="C23" s="11" t="s">
        <v>417</v>
      </c>
      <c r="D23" s="9" t="n">
        <v>498700</v>
      </c>
      <c r="E23" s="11" t="s">
        <v>418</v>
      </c>
      <c r="F23" s="11"/>
      <c r="G23" s="13" t="s">
        <v>352</v>
      </c>
      <c r="H23" s="11" t="s">
        <v>13</v>
      </c>
    </row>
    <row r="24" customFormat="false" ht="15" hidden="false" customHeight="false" outlineLevel="0" collapsed="false">
      <c r="B24" s="11" t="s">
        <v>419</v>
      </c>
      <c r="C24" s="11" t="s">
        <v>420</v>
      </c>
      <c r="D24" s="9" t="n">
        <v>517068</v>
      </c>
      <c r="E24" s="11" t="s">
        <v>418</v>
      </c>
      <c r="F24" s="11"/>
      <c r="G24" s="13" t="s">
        <v>352</v>
      </c>
      <c r="H24" s="11" t="s">
        <v>13</v>
      </c>
    </row>
    <row r="25" customFormat="false" ht="15" hidden="false" customHeight="false" outlineLevel="0" collapsed="false">
      <c r="B25" s="11" t="s">
        <v>421</v>
      </c>
      <c r="C25" s="11" t="s">
        <v>422</v>
      </c>
      <c r="D25" s="9" t="n">
        <v>18368</v>
      </c>
      <c r="E25" s="11" t="s">
        <v>418</v>
      </c>
      <c r="F25" s="11" t="s">
        <v>423</v>
      </c>
      <c r="G25" s="13" t="s">
        <v>352</v>
      </c>
      <c r="H25" s="11" t="s">
        <v>355</v>
      </c>
    </row>
    <row r="26" customFormat="false" ht="15" hidden="false" customHeight="false" outlineLevel="0" collapsed="false">
      <c r="B26" s="11" t="s">
        <v>424</v>
      </c>
      <c r="C26" s="11" t="s">
        <v>425</v>
      </c>
      <c r="D26" s="26" t="n">
        <v>0.0368317625827151</v>
      </c>
      <c r="E26" s="11" t="s">
        <v>418</v>
      </c>
      <c r="F26" s="11"/>
      <c r="G26" s="13" t="s">
        <v>352</v>
      </c>
      <c r="H26" s="11" t="s">
        <v>254</v>
      </c>
    </row>
    <row r="27" customFormat="false" ht="15" hidden="false" customHeight="false" outlineLevel="0" collapsed="false">
      <c r="B27" s="11" t="s">
        <v>426</v>
      </c>
      <c r="C27" s="11" t="s">
        <v>427</v>
      </c>
      <c r="D27" s="9" t="n">
        <v>517068</v>
      </c>
      <c r="E27" s="11" t="s">
        <v>418</v>
      </c>
      <c r="F27" s="11" t="s">
        <v>428</v>
      </c>
      <c r="G27" s="13" t="s">
        <v>352</v>
      </c>
      <c r="H27" s="11" t="s">
        <v>5</v>
      </c>
    </row>
    <row r="28" customFormat="false" ht="15" hidden="false" customHeight="false" outlineLevel="0" collapsed="false">
      <c r="B28" s="11" t="s">
        <v>429</v>
      </c>
      <c r="C28" s="11" t="s">
        <v>430</v>
      </c>
      <c r="D28" s="9" t="n">
        <v>294712.63</v>
      </c>
      <c r="E28" s="11" t="s">
        <v>418</v>
      </c>
      <c r="F28" s="11" t="s">
        <v>431</v>
      </c>
      <c r="G28" s="13" t="s">
        <v>352</v>
      </c>
      <c r="H28" s="11" t="s">
        <v>5</v>
      </c>
    </row>
    <row r="29" customFormat="false" ht="15" hidden="false" customHeight="false" outlineLevel="0" collapsed="false">
      <c r="B29" s="11" t="s">
        <v>432</v>
      </c>
      <c r="C29" s="11" t="s">
        <v>433</v>
      </c>
      <c r="D29" s="9" t="n">
        <v>222355.37</v>
      </c>
      <c r="E29" s="11" t="s">
        <v>418</v>
      </c>
      <c r="F29" s="11" t="s">
        <v>434</v>
      </c>
      <c r="G29" s="13" t="s">
        <v>352</v>
      </c>
      <c r="H29" s="11" t="s">
        <v>5</v>
      </c>
    </row>
    <row r="30" customFormat="false" ht="15" hidden="false" customHeight="false" outlineLevel="0" collapsed="false">
      <c r="B30" s="11" t="s">
        <v>285</v>
      </c>
      <c r="C30" s="11" t="s">
        <v>435</v>
      </c>
      <c r="D30" s="26" t="n">
        <v>0.430031195123272</v>
      </c>
      <c r="E30" s="11" t="s">
        <v>418</v>
      </c>
      <c r="F30" s="11"/>
      <c r="G30" s="13" t="s">
        <v>352</v>
      </c>
      <c r="H30" s="11" t="s">
        <v>254</v>
      </c>
    </row>
    <row r="31" customFormat="false" ht="15" hidden="false" customHeight="false" outlineLevel="0" collapsed="false">
      <c r="B31" s="11" t="s">
        <v>436</v>
      </c>
      <c r="C31" s="11" t="s">
        <v>437</v>
      </c>
      <c r="D31" s="9" t="n">
        <v>25853.4</v>
      </c>
      <c r="E31" s="11" t="s">
        <v>418</v>
      </c>
      <c r="F31" s="11" t="s">
        <v>438</v>
      </c>
      <c r="G31" s="13" t="s">
        <v>352</v>
      </c>
      <c r="H31" s="11" t="s">
        <v>5</v>
      </c>
    </row>
    <row r="32" customFormat="false" ht="15" hidden="false" customHeight="false" outlineLevel="0" collapsed="false">
      <c r="B32" s="11" t="s">
        <v>439</v>
      </c>
      <c r="C32" s="11" t="s">
        <v>440</v>
      </c>
      <c r="D32" s="26" t="n">
        <v>0.05</v>
      </c>
      <c r="E32" s="11" t="s">
        <v>418</v>
      </c>
      <c r="F32" s="11"/>
      <c r="G32" s="13" t="s">
        <v>352</v>
      </c>
      <c r="H32" s="11" t="s">
        <v>254</v>
      </c>
    </row>
    <row r="33" customFormat="false" ht="15" hidden="false" customHeight="false" outlineLevel="0" collapsed="false">
      <c r="B33" s="11" t="s">
        <v>441</v>
      </c>
      <c r="C33" s="11" t="s">
        <v>442</v>
      </c>
      <c r="D33" s="9" t="n">
        <v>117360.75</v>
      </c>
      <c r="E33" s="11" t="s">
        <v>124</v>
      </c>
      <c r="F33" s="11" t="s">
        <v>443</v>
      </c>
      <c r="G33" s="13" t="s">
        <v>352</v>
      </c>
      <c r="H33" s="11" t="s">
        <v>5</v>
      </c>
    </row>
    <row r="34" customFormat="false" ht="15" hidden="false" customHeight="false" outlineLevel="0" collapsed="false">
      <c r="B34" s="11" t="s">
        <v>444</v>
      </c>
      <c r="C34" s="11" t="s">
        <v>445</v>
      </c>
      <c r="D34" s="9" t="n">
        <v>115436.54</v>
      </c>
      <c r="E34" s="11" t="s">
        <v>126</v>
      </c>
      <c r="F34" s="11" t="s">
        <v>446</v>
      </c>
      <c r="G34" s="13" t="s">
        <v>352</v>
      </c>
      <c r="H34" s="11" t="s">
        <v>5</v>
      </c>
    </row>
    <row r="35" customFormat="false" ht="15" hidden="false" customHeight="false" outlineLevel="0" collapsed="false">
      <c r="B35" s="11" t="s">
        <v>447</v>
      </c>
      <c r="C35" s="11" t="s">
        <v>448</v>
      </c>
      <c r="D35" s="9" t="n">
        <v>887.5</v>
      </c>
      <c r="E35" s="11" t="s">
        <v>418</v>
      </c>
      <c r="F35" s="11" t="s">
        <v>449</v>
      </c>
      <c r="G35" s="13" t="s">
        <v>352</v>
      </c>
      <c r="H35" s="11" t="s">
        <v>5</v>
      </c>
    </row>
    <row r="36" customFormat="false" ht="15" hidden="false" customHeight="false" outlineLevel="0" collapsed="false">
      <c r="B36" s="11" t="s">
        <v>450</v>
      </c>
      <c r="C36" s="11" t="s">
        <v>451</v>
      </c>
      <c r="D36" s="9" t="n">
        <v>52049.65</v>
      </c>
      <c r="E36" s="11" t="s">
        <v>124</v>
      </c>
      <c r="F36" s="11" t="s">
        <v>452</v>
      </c>
      <c r="G36" s="13" t="s">
        <v>352</v>
      </c>
      <c r="H36" s="11" t="s">
        <v>5</v>
      </c>
    </row>
    <row r="37" customFormat="false" ht="15" hidden="false" customHeight="false" outlineLevel="0" collapsed="false">
      <c r="B37" s="11" t="s">
        <v>453</v>
      </c>
      <c r="C37" s="11" t="s">
        <v>454</v>
      </c>
      <c r="D37" s="9" t="n">
        <v>8978.19</v>
      </c>
      <c r="E37" s="11" t="s">
        <v>124</v>
      </c>
      <c r="F37" s="11" t="s">
        <v>455</v>
      </c>
      <c r="G37" s="13" t="s">
        <v>352</v>
      </c>
      <c r="H37" s="11" t="s">
        <v>5</v>
      </c>
    </row>
    <row r="38" customFormat="false" ht="15" hidden="false" customHeight="false" outlineLevel="0" collapsed="false">
      <c r="B38" s="11" t="s">
        <v>249</v>
      </c>
      <c r="C38" s="11" t="s">
        <v>456</v>
      </c>
      <c r="D38" s="10" t="n">
        <v>4671.5</v>
      </c>
      <c r="E38" s="11" t="s">
        <v>124</v>
      </c>
      <c r="F38" s="11" t="s">
        <v>457</v>
      </c>
      <c r="G38" s="13" t="s">
        <v>352</v>
      </c>
      <c r="H38" s="11" t="s">
        <v>5</v>
      </c>
    </row>
    <row r="39" customFormat="false" ht="15" hidden="false" customHeight="false" outlineLevel="0" collapsed="false">
      <c r="B39" s="11" t="s">
        <v>247</v>
      </c>
      <c r="C39" s="11" t="s">
        <v>458</v>
      </c>
      <c r="D39" s="22" t="n">
        <v>30</v>
      </c>
      <c r="E39" s="11" t="s">
        <v>124</v>
      </c>
      <c r="F39" s="11" t="s">
        <v>459</v>
      </c>
      <c r="G39" s="13" t="s">
        <v>352</v>
      </c>
      <c r="H39" s="11" t="s">
        <v>5</v>
      </c>
    </row>
    <row r="40" customFormat="false" ht="15" hidden="false" customHeight="false" outlineLevel="0" collapsed="false">
      <c r="B40" s="11" t="s">
        <v>460</v>
      </c>
      <c r="C40" s="11" t="s">
        <v>461</v>
      </c>
      <c r="D40" s="9" t="n">
        <v>25.1227121909451</v>
      </c>
      <c r="E40" s="11" t="s">
        <v>124</v>
      </c>
      <c r="F40" s="11"/>
      <c r="G40" s="13" t="s">
        <v>352</v>
      </c>
      <c r="H40" s="11" t="s">
        <v>254</v>
      </c>
    </row>
    <row r="41" customFormat="false" ht="15" hidden="false" customHeight="false" outlineLevel="0" collapsed="false">
      <c r="B41" s="11" t="s">
        <v>462</v>
      </c>
      <c r="C41" s="11" t="s">
        <v>463</v>
      </c>
      <c r="D41" s="9" t="n">
        <v>51.2504</v>
      </c>
      <c r="E41" s="11" t="s">
        <v>124</v>
      </c>
      <c r="F41" s="11"/>
      <c r="G41" s="13" t="s">
        <v>352</v>
      </c>
      <c r="H41" s="11" t="s">
        <v>254</v>
      </c>
    </row>
    <row r="42" customFormat="false" ht="15" hidden="false" customHeight="false" outlineLevel="0" collapsed="false">
      <c r="B42" s="11" t="s">
        <v>277</v>
      </c>
      <c r="C42" s="11" t="s">
        <v>464</v>
      </c>
      <c r="D42" s="25" t="n">
        <v>1.3421</v>
      </c>
      <c r="E42" s="11" t="s">
        <v>124</v>
      </c>
      <c r="F42" s="11"/>
      <c r="G42" s="13" t="s">
        <v>352</v>
      </c>
      <c r="H42" s="11" t="s">
        <v>254</v>
      </c>
    </row>
    <row r="43" customFormat="false" ht="15" hidden="false" customHeight="false" outlineLevel="0" collapsed="false">
      <c r="B43" s="11" t="s">
        <v>465</v>
      </c>
      <c r="C43" s="11" t="s">
        <v>466</v>
      </c>
      <c r="D43" s="10" t="n">
        <v>3279.5</v>
      </c>
      <c r="E43" s="11" t="s">
        <v>124</v>
      </c>
      <c r="F43" s="11" t="s">
        <v>467</v>
      </c>
      <c r="G43" s="13" t="s">
        <v>352</v>
      </c>
      <c r="H43" s="11" t="s">
        <v>5</v>
      </c>
    </row>
    <row r="44" customFormat="false" ht="15" hidden="false" customHeight="false" outlineLevel="0" collapsed="false">
      <c r="B44" s="11" t="s">
        <v>468</v>
      </c>
      <c r="C44" s="11" t="s">
        <v>469</v>
      </c>
      <c r="D44" s="10" t="n">
        <v>1224.5</v>
      </c>
      <c r="E44" s="11" t="s">
        <v>124</v>
      </c>
      <c r="F44" s="11" t="s">
        <v>470</v>
      </c>
      <c r="G44" s="13" t="s">
        <v>352</v>
      </c>
      <c r="H44" s="11" t="s">
        <v>5</v>
      </c>
    </row>
    <row r="45" customFormat="false" ht="15" hidden="false" customHeight="false" outlineLevel="0" collapsed="false">
      <c r="B45" s="11" t="s">
        <v>471</v>
      </c>
      <c r="C45" s="11" t="s">
        <v>472</v>
      </c>
      <c r="D45" s="9" t="n">
        <v>110.685647008456</v>
      </c>
      <c r="E45" s="11" t="s">
        <v>473</v>
      </c>
      <c r="F45" s="11"/>
      <c r="G45" s="13" t="s">
        <v>352</v>
      </c>
      <c r="H45" s="11" t="s">
        <v>254</v>
      </c>
    </row>
    <row r="46" customFormat="false" ht="15" hidden="false" customHeight="false" outlineLevel="0" collapsed="false">
      <c r="B46" s="11" t="s">
        <v>474</v>
      </c>
      <c r="C46" s="11" t="s">
        <v>475</v>
      </c>
      <c r="D46" s="9" t="n">
        <v>47.5982810660387</v>
      </c>
      <c r="E46" s="11" t="s">
        <v>473</v>
      </c>
      <c r="F46" s="11"/>
      <c r="G46" s="13" t="s">
        <v>352</v>
      </c>
      <c r="H46" s="11" t="s">
        <v>254</v>
      </c>
    </row>
    <row r="47" customFormat="false" ht="15" hidden="false" customHeight="false" outlineLevel="0" collapsed="false">
      <c r="B47" s="11" t="s">
        <v>476</v>
      </c>
      <c r="C47" s="11" t="s">
        <v>477</v>
      </c>
      <c r="D47" s="9" t="n">
        <v>7181.5</v>
      </c>
      <c r="E47" s="11" t="s">
        <v>473</v>
      </c>
      <c r="F47" s="11" t="s">
        <v>292</v>
      </c>
      <c r="G47" s="13" t="s">
        <v>352</v>
      </c>
      <c r="H47" s="11" t="s">
        <v>254</v>
      </c>
    </row>
    <row r="48" customFormat="false" ht="15" hidden="false" customHeight="false" outlineLevel="0" collapsed="false">
      <c r="B48" s="11" t="s">
        <v>296</v>
      </c>
      <c r="C48" s="11" t="s">
        <v>478</v>
      </c>
      <c r="D48" s="9" t="n">
        <v>4093.23097222222</v>
      </c>
      <c r="E48" s="11" t="s">
        <v>473</v>
      </c>
      <c r="F48" s="11"/>
      <c r="G48" s="13" t="s">
        <v>352</v>
      </c>
      <c r="H48" s="11" t="s">
        <v>254</v>
      </c>
    </row>
    <row r="49" customFormat="false" ht="15" hidden="false" customHeight="false" outlineLevel="0" collapsed="false">
      <c r="B49" s="11" t="s">
        <v>479</v>
      </c>
      <c r="C49" s="11" t="s">
        <v>480</v>
      </c>
      <c r="D49" s="10" t="n">
        <v>64.8819444444444</v>
      </c>
      <c r="E49" s="11" t="s">
        <v>473</v>
      </c>
      <c r="F49" s="11"/>
      <c r="G49" s="13" t="s">
        <v>352</v>
      </c>
      <c r="H49" s="11" t="s">
        <v>254</v>
      </c>
    </row>
    <row r="50" customFormat="false" ht="15" hidden="false" customHeight="false" outlineLevel="0" collapsed="false">
      <c r="B50" s="11" t="s">
        <v>298</v>
      </c>
      <c r="C50" s="11" t="s">
        <v>481</v>
      </c>
      <c r="D50" s="9" t="n">
        <v>1261.14146341463</v>
      </c>
      <c r="E50" s="11" t="s">
        <v>473</v>
      </c>
      <c r="F50" s="11" t="s">
        <v>299</v>
      </c>
      <c r="G50" s="13" t="s">
        <v>352</v>
      </c>
      <c r="H50" s="11" t="s">
        <v>254</v>
      </c>
    </row>
    <row r="51" customFormat="false" ht="15" hidden="false" customHeight="false" outlineLevel="0" collapsed="false">
      <c r="B51" s="11" t="s">
        <v>286</v>
      </c>
      <c r="C51" s="11" t="s">
        <v>482</v>
      </c>
      <c r="D51" s="26" t="n">
        <v>0.226973531527768</v>
      </c>
      <c r="E51" s="11" t="s">
        <v>483</v>
      </c>
      <c r="F51" s="11"/>
      <c r="G51" s="13" t="s">
        <v>352</v>
      </c>
      <c r="H51" s="11" t="s">
        <v>254</v>
      </c>
    </row>
    <row r="52" customFormat="false" ht="15" hidden="false" customHeight="false" outlineLevel="0" collapsed="false">
      <c r="B52" s="11" t="s">
        <v>287</v>
      </c>
      <c r="C52" s="11" t="s">
        <v>484</v>
      </c>
      <c r="D52" s="26" t="n">
        <v>0.223252144785599</v>
      </c>
      <c r="E52" s="11" t="s">
        <v>483</v>
      </c>
      <c r="F52" s="11"/>
      <c r="G52" s="13" t="s">
        <v>352</v>
      </c>
      <c r="H52" s="11" t="s">
        <v>254</v>
      </c>
    </row>
    <row r="53" customFormat="false" ht="15" hidden="false" customHeight="false" outlineLevel="0" collapsed="false">
      <c r="B53" s="11" t="s">
        <v>485</v>
      </c>
      <c r="C53" s="11" t="s">
        <v>486</v>
      </c>
      <c r="D53" s="22" t="n">
        <v>15</v>
      </c>
      <c r="E53" s="11" t="s">
        <v>126</v>
      </c>
      <c r="F53" s="11"/>
      <c r="G53" s="13" t="s">
        <v>352</v>
      </c>
      <c r="H53" s="11" t="s">
        <v>5</v>
      </c>
    </row>
    <row r="54" customFormat="false" ht="15" hidden="false" customHeight="false" outlineLevel="0" collapsed="false">
      <c r="B54" s="11" t="s">
        <v>487</v>
      </c>
      <c r="C54" s="11" t="s">
        <v>488</v>
      </c>
      <c r="D54" s="22" t="n">
        <v>9</v>
      </c>
      <c r="E54" s="11" t="s">
        <v>489</v>
      </c>
      <c r="F54" s="11"/>
      <c r="G54" s="13" t="s">
        <v>352</v>
      </c>
      <c r="H54" s="11" t="s">
        <v>5</v>
      </c>
    </row>
    <row r="55" customFormat="false" ht="15" hidden="false" customHeight="false" outlineLevel="0" collapsed="false">
      <c r="B55" s="11" t="s">
        <v>490</v>
      </c>
      <c r="C55" s="11" t="s">
        <v>491</v>
      </c>
      <c r="D55" s="26" t="n">
        <v>0.118591458846195</v>
      </c>
      <c r="E55" s="11" t="s">
        <v>492</v>
      </c>
      <c r="F55" s="11"/>
      <c r="G55" s="13" t="s">
        <v>352</v>
      </c>
      <c r="H55" s="11" t="s">
        <v>254</v>
      </c>
    </row>
    <row r="56" customFormat="false" ht="15" hidden="false" customHeight="false" outlineLevel="0" collapsed="false">
      <c r="B56" s="11" t="s">
        <v>493</v>
      </c>
      <c r="C56" s="11" t="s">
        <v>494</v>
      </c>
      <c r="D56" s="26" t="n">
        <v>0.525848228620358</v>
      </c>
      <c r="E56" s="11" t="s">
        <v>492</v>
      </c>
      <c r="F56" s="11"/>
      <c r="G56" s="13" t="s">
        <v>352</v>
      </c>
      <c r="H56" s="11" t="s">
        <v>254</v>
      </c>
    </row>
    <row r="57" customFormat="false" ht="15" hidden="false" customHeight="false" outlineLevel="0" collapsed="false">
      <c r="B57" s="11" t="s">
        <v>495</v>
      </c>
      <c r="C57" s="11" t="s">
        <v>496</v>
      </c>
      <c r="D57" s="22" t="n">
        <v>14</v>
      </c>
      <c r="E57" s="11" t="s">
        <v>497</v>
      </c>
      <c r="F57" s="11"/>
      <c r="G57" s="13" t="s">
        <v>352</v>
      </c>
      <c r="H57" s="11" t="s">
        <v>5</v>
      </c>
    </row>
    <row r="58" customFormat="false" ht="15" hidden="false" customHeight="false" outlineLevel="0" collapsed="false">
      <c r="B58" s="11" t="s">
        <v>498</v>
      </c>
      <c r="C58" s="11" t="s">
        <v>499</v>
      </c>
      <c r="D58" s="22" t="n">
        <v>6</v>
      </c>
      <c r="E58" s="11" t="s">
        <v>500</v>
      </c>
      <c r="F58" s="11"/>
      <c r="G58" s="13" t="s">
        <v>352</v>
      </c>
      <c r="H58" s="11" t="s">
        <v>501</v>
      </c>
    </row>
    <row r="59" customFormat="false" ht="15" hidden="false" customHeight="false" outlineLevel="0" collapsed="false">
      <c r="B59" s="11" t="s">
        <v>502</v>
      </c>
      <c r="C59" s="11" t="s">
        <v>503</v>
      </c>
      <c r="D59" s="22" t="n">
        <v>14</v>
      </c>
      <c r="E59" s="11" t="s">
        <v>500</v>
      </c>
      <c r="F59" s="11"/>
      <c r="G59" s="13" t="s">
        <v>352</v>
      </c>
      <c r="H59" s="11" t="s">
        <v>504</v>
      </c>
    </row>
    <row r="60" customFormat="false" ht="15" hidden="false" customHeight="false" outlineLevel="0" collapsed="false">
      <c r="B60" s="11" t="s">
        <v>505</v>
      </c>
      <c r="C60" s="11" t="s">
        <v>506</v>
      </c>
      <c r="D60" s="22" t="n">
        <v>10</v>
      </c>
      <c r="E60" s="11" t="s">
        <v>500</v>
      </c>
      <c r="F60" s="11"/>
      <c r="G60" s="13" t="s">
        <v>352</v>
      </c>
      <c r="H60" s="11" t="s">
        <v>507</v>
      </c>
    </row>
    <row r="61" customFormat="false" ht="15" hidden="false" customHeight="false" outlineLevel="0" collapsed="false">
      <c r="B61" s="11" t="s">
        <v>508</v>
      </c>
      <c r="C61" s="11" t="s">
        <v>509</v>
      </c>
      <c r="D61" s="22" t="n">
        <v>18</v>
      </c>
      <c r="E61" s="11" t="s">
        <v>500</v>
      </c>
      <c r="F61" s="11"/>
      <c r="G61" s="13" t="s">
        <v>352</v>
      </c>
      <c r="H61" s="11" t="s">
        <v>510</v>
      </c>
    </row>
    <row r="62" customFormat="false" ht="15" hidden="false" customHeight="false" outlineLevel="0" collapsed="false">
      <c r="B62" s="11" t="s">
        <v>511</v>
      </c>
      <c r="C62" s="11" t="s">
        <v>512</v>
      </c>
      <c r="D62" s="22" t="n">
        <v>85</v>
      </c>
      <c r="E62" s="11" t="s">
        <v>500</v>
      </c>
      <c r="F62" s="11" t="s">
        <v>513</v>
      </c>
      <c r="G62" s="13" t="s">
        <v>352</v>
      </c>
      <c r="H62" s="11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515</v>
      </c>
    </row>
    <row r="3" customFormat="false" ht="21.75" hidden="false" customHeight="true" outlineLevel="0" collapsed="false">
      <c r="B3" s="2" t="s">
        <v>516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517</v>
      </c>
      <c r="C5" s="3" t="s">
        <v>133</v>
      </c>
      <c r="D5" s="3" t="s">
        <v>134</v>
      </c>
      <c r="E5" s="3" t="s">
        <v>135</v>
      </c>
      <c r="F5" s="3" t="s">
        <v>136</v>
      </c>
      <c r="G5" s="3" t="s">
        <v>518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138</v>
      </c>
      <c r="D6" s="11" t="s">
        <v>139</v>
      </c>
      <c r="E6" s="9" t="n">
        <v>31366.94</v>
      </c>
      <c r="F6" s="22" t="n">
        <v>16</v>
      </c>
      <c r="G6" s="17" t="n">
        <f aca="false">E6/115060.4</f>
        <v>0.272612819006365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141</v>
      </c>
      <c r="D7" s="11" t="s">
        <v>142</v>
      </c>
      <c r="E7" s="9" t="n">
        <v>28202.19</v>
      </c>
      <c r="F7" s="22" t="n">
        <v>26</v>
      </c>
      <c r="G7" s="17" t="n">
        <f aca="false">E7/115060.4</f>
        <v>0.245107699955849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143</v>
      </c>
      <c r="D8" s="11" t="s">
        <v>144</v>
      </c>
      <c r="E8" s="9" t="n">
        <v>25339.47</v>
      </c>
      <c r="F8" s="22" t="n">
        <v>12</v>
      </c>
      <c r="G8" s="17" t="n">
        <f aca="false">E8/115060.4</f>
        <v>0.220227550051973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145</v>
      </c>
      <c r="D9" s="11" t="s">
        <v>146</v>
      </c>
      <c r="E9" s="9" t="n">
        <v>16702.81</v>
      </c>
      <c r="F9" s="22" t="n">
        <v>42</v>
      </c>
      <c r="G9" s="17" t="n">
        <f aca="false">E9/115060.4</f>
        <v>0.145165582598357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147</v>
      </c>
      <c r="D10" s="11" t="s">
        <v>148</v>
      </c>
      <c r="E10" s="9" t="n">
        <v>3060.33</v>
      </c>
      <c r="F10" s="22" t="n">
        <v>11</v>
      </c>
      <c r="G10" s="17" t="n">
        <f aca="false">E10/115060.4</f>
        <v>0.0265975956975641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149</v>
      </c>
      <c r="D11" s="11" t="s">
        <v>150</v>
      </c>
      <c r="E11" s="9" t="n">
        <v>2626.57</v>
      </c>
      <c r="F11" s="22" t="n">
        <v>9</v>
      </c>
      <c r="G11" s="17" t="n">
        <f aca="false">E11/115060.4</f>
        <v>0.0228277495993409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151</v>
      </c>
      <c r="D12" s="11" t="s">
        <v>152</v>
      </c>
      <c r="E12" s="9" t="n">
        <v>1859</v>
      </c>
      <c r="F12" s="22" t="n">
        <v>1</v>
      </c>
      <c r="G12" s="17" t="n">
        <f aca="false">E12/115060.4</f>
        <v>0.0161567315948841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153</v>
      </c>
      <c r="D13" s="11" t="s">
        <v>154</v>
      </c>
      <c r="E13" s="9" t="n">
        <v>1683.63</v>
      </c>
      <c r="F13" s="22" t="n">
        <v>2</v>
      </c>
      <c r="G13" s="17" t="n">
        <f aca="false">E13/115060.4</f>
        <v>0.0146325755863877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156</v>
      </c>
      <c r="D14" s="11" t="s">
        <v>157</v>
      </c>
      <c r="E14" s="9" t="n">
        <v>1674.87</v>
      </c>
      <c r="F14" s="22" t="n">
        <v>4</v>
      </c>
      <c r="G14" s="17" t="n">
        <f aca="false">E14/115060.4</f>
        <v>0.0145564416602063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158</v>
      </c>
      <c r="D15" s="11" t="s">
        <v>159</v>
      </c>
      <c r="E15" s="9" t="n">
        <v>948.61</v>
      </c>
      <c r="F15" s="22" t="n">
        <v>3</v>
      </c>
      <c r="G15" s="17" t="n">
        <f aca="false">E15/115060.4</f>
        <v>0.00824445247887197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160</v>
      </c>
      <c r="D16" s="11" t="s">
        <v>161</v>
      </c>
      <c r="E16" s="9" t="n">
        <v>772.5</v>
      </c>
      <c r="F16" s="22" t="n">
        <v>1</v>
      </c>
      <c r="G16" s="17" t="n">
        <f aca="false">E16/115060.4</f>
        <v>0.00671386506565247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163</v>
      </c>
      <c r="D17" s="11" t="s">
        <v>164</v>
      </c>
      <c r="E17" s="9" t="n">
        <v>589.93</v>
      </c>
      <c r="F17" s="22" t="n">
        <v>1</v>
      </c>
      <c r="G17" s="17" t="n">
        <f aca="false">E17/115060.4</f>
        <v>0.00512713322741795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165</v>
      </c>
      <c r="D18" s="11" t="s">
        <v>166</v>
      </c>
      <c r="E18" s="9" t="n">
        <v>115</v>
      </c>
      <c r="F18" s="22" t="n">
        <v>1</v>
      </c>
      <c r="G18" s="17" t="n">
        <f aca="false">E18/115060.4</f>
        <v>0.000999475058317197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168</v>
      </c>
      <c r="D19" s="11" t="s">
        <v>169</v>
      </c>
      <c r="E19" s="9" t="n">
        <v>113.09</v>
      </c>
      <c r="F19" s="22" t="n">
        <v>2</v>
      </c>
      <c r="G19" s="17" t="n">
        <f aca="false">E19/115060.4</f>
        <v>0.000982875081261668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171</v>
      </c>
      <c r="D20" s="11" t="s">
        <v>172</v>
      </c>
      <c r="E20" s="9" t="n">
        <v>5.46</v>
      </c>
      <c r="F20" s="22" t="n">
        <v>1</v>
      </c>
      <c r="G20" s="17" t="n">
        <f aca="false">E20/115060.4</f>
        <v>4.74533375514078E-005</v>
      </c>
      <c r="H20" s="11" t="s">
        <v>5</v>
      </c>
    </row>
    <row r="21" customFormat="false" ht="15" hidden="false" customHeight="false" outlineLevel="0" collapsed="false">
      <c r="B21" s="18" t="s">
        <v>116</v>
      </c>
      <c r="E21" s="20" t="n">
        <f aca="false">SUM(E6:E20)</f>
        <v>115060.4</v>
      </c>
      <c r="F21" s="23" t="n">
        <f aca="false">SUM(F6:F20)</f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519</v>
      </c>
    </row>
    <row r="3" customFormat="false" ht="21.75" hidden="false" customHeight="true" outlineLevel="0" collapsed="false">
      <c r="B3" s="2" t="s">
        <v>520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521</v>
      </c>
      <c r="C5" s="3" t="s">
        <v>306</v>
      </c>
      <c r="D5" s="3" t="s">
        <v>304</v>
      </c>
      <c r="E5" s="3" t="s">
        <v>522</v>
      </c>
      <c r="F5" s="3" t="s">
        <v>523</v>
      </c>
      <c r="G5" s="3" t="s">
        <v>524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525</v>
      </c>
      <c r="C6" s="11" t="s">
        <v>526</v>
      </c>
      <c r="D6" s="11" t="s">
        <v>309</v>
      </c>
      <c r="E6" s="11" t="s">
        <v>527</v>
      </c>
      <c r="F6" s="11" t="s">
        <v>12</v>
      </c>
      <c r="G6" s="27" t="n">
        <v>498700</v>
      </c>
      <c r="H6" s="11" t="s">
        <v>316</v>
      </c>
      <c r="I6" s="11" t="s">
        <v>20</v>
      </c>
    </row>
    <row r="7" customFormat="false" ht="15" hidden="false" customHeight="false" outlineLevel="0" collapsed="false">
      <c r="B7" s="11" t="s">
        <v>528</v>
      </c>
      <c r="C7" s="11" t="s">
        <v>529</v>
      </c>
      <c r="D7" s="11" t="s">
        <v>326</v>
      </c>
      <c r="E7" s="11" t="s">
        <v>530</v>
      </c>
      <c r="F7" s="11" t="s">
        <v>531</v>
      </c>
      <c r="G7" s="27" t="n">
        <v>0</v>
      </c>
      <c r="H7" s="11" t="s">
        <v>532</v>
      </c>
      <c r="I7" s="11" t="s">
        <v>5</v>
      </c>
    </row>
    <row r="8" customFormat="false" ht="15" hidden="false" customHeight="false" outlineLevel="0" collapsed="false">
      <c r="B8" s="11" t="s">
        <v>533</v>
      </c>
      <c r="C8" s="11" t="s">
        <v>529</v>
      </c>
      <c r="D8" s="11" t="s">
        <v>342</v>
      </c>
      <c r="E8" s="11" t="s">
        <v>534</v>
      </c>
      <c r="F8" s="11" t="s">
        <v>531</v>
      </c>
      <c r="G8" s="27" t="n">
        <v>0</v>
      </c>
      <c r="H8" s="11" t="s">
        <v>532</v>
      </c>
      <c r="I8" s="11" t="s">
        <v>5</v>
      </c>
    </row>
    <row r="9" customFormat="false" ht="15" hidden="false" customHeight="false" outlineLevel="0" collapsed="false">
      <c r="B9" s="11" t="s">
        <v>535</v>
      </c>
      <c r="C9" s="11" t="s">
        <v>436</v>
      </c>
      <c r="D9" s="11" t="s">
        <v>536</v>
      </c>
      <c r="E9" s="11" t="s">
        <v>537</v>
      </c>
      <c r="F9" s="11" t="s">
        <v>69</v>
      </c>
      <c r="G9" s="27" t="n">
        <v>0</v>
      </c>
      <c r="H9" s="11" t="s">
        <v>538</v>
      </c>
      <c r="I9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539</v>
      </c>
    </row>
    <row r="3" customFormat="false" ht="21.75" hidden="false" customHeight="true" outlineLevel="0" collapsed="false">
      <c r="B3" s="2" t="s">
        <v>540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119</v>
      </c>
      <c r="C5" s="3" t="s">
        <v>541</v>
      </c>
      <c r="D5" s="3" t="s">
        <v>542</v>
      </c>
      <c r="E5" s="3" t="s">
        <v>543</v>
      </c>
      <c r="F5" s="3" t="s">
        <v>246</v>
      </c>
    </row>
    <row r="6" customFormat="false" ht="15" hidden="false" customHeight="false" outlineLevel="0" collapsed="false">
      <c r="B6" s="11" t="s">
        <v>544</v>
      </c>
      <c r="C6" s="11" t="s">
        <v>545</v>
      </c>
      <c r="D6" s="27" t="n">
        <v>18368</v>
      </c>
      <c r="E6" s="11" t="s">
        <v>546</v>
      </c>
      <c r="F6" s="11" t="s">
        <v>547</v>
      </c>
    </row>
    <row r="7" customFormat="false" ht="15" hidden="false" customHeight="false" outlineLevel="0" collapsed="false">
      <c r="B7" s="11" t="s">
        <v>124</v>
      </c>
      <c r="C7" s="11" t="s">
        <v>548</v>
      </c>
      <c r="D7" s="27" t="n">
        <v>-28157.25</v>
      </c>
      <c r="E7" s="11" t="s">
        <v>549</v>
      </c>
      <c r="F7" s="11" t="s">
        <v>51</v>
      </c>
    </row>
    <row r="8" customFormat="false" ht="15" hidden="false" customHeight="false" outlineLevel="0" collapsed="false">
      <c r="B8" s="11" t="s">
        <v>126</v>
      </c>
      <c r="C8" s="11" t="s">
        <v>550</v>
      </c>
      <c r="D8" s="27" t="n">
        <v>-36461.46</v>
      </c>
      <c r="E8" s="11" t="s">
        <v>551</v>
      </c>
      <c r="F8" s="11" t="s">
        <v>552</v>
      </c>
    </row>
    <row r="9" customFormat="false" ht="15" hidden="false" customHeight="false" outlineLevel="0" collapsed="false">
      <c r="B9" s="11" t="s">
        <v>128</v>
      </c>
      <c r="C9" s="11" t="s">
        <v>553</v>
      </c>
      <c r="D9" s="27" t="n">
        <v>-612.5</v>
      </c>
      <c r="E9" s="11" t="s">
        <v>554</v>
      </c>
      <c r="F9" s="11"/>
    </row>
    <row r="10" customFormat="false" ht="15" hidden="false" customHeight="false" outlineLevel="0" collapsed="false">
      <c r="B10" s="11" t="s">
        <v>555</v>
      </c>
      <c r="C10" s="11" t="s">
        <v>556</v>
      </c>
      <c r="D10" s="27" t="n">
        <v>-16397.55</v>
      </c>
      <c r="E10" s="11" t="s">
        <v>557</v>
      </c>
      <c r="F10" s="11"/>
    </row>
    <row r="11" customFormat="false" ht="15" hidden="false" customHeight="false" outlineLevel="0" collapsed="false">
      <c r="B11" s="18" t="s">
        <v>558</v>
      </c>
      <c r="D11" s="16" t="n">
        <f aca="false">SUM(D6:D10)</f>
        <v>-63260.76</v>
      </c>
    </row>
    <row r="14" customFormat="false" ht="15" hidden="false" customHeight="false" outlineLevel="0" collapsed="false">
      <c r="B14" s="3" t="s">
        <v>559</v>
      </c>
    </row>
    <row r="15" customFormat="false" ht="15" hidden="false" customHeight="false" outlineLevel="0" collapsed="false">
      <c r="B15" s="3" t="s">
        <v>560</v>
      </c>
      <c r="C15" s="3" t="s">
        <v>561</v>
      </c>
      <c r="D15" s="3" t="s">
        <v>562</v>
      </c>
      <c r="E15" s="3" t="s">
        <v>246</v>
      </c>
    </row>
    <row r="16" customFormat="false" ht="15" hidden="false" customHeight="false" outlineLevel="0" collapsed="false">
      <c r="B16" s="11" t="s">
        <v>563</v>
      </c>
      <c r="C16" s="22" t="n">
        <v>6</v>
      </c>
      <c r="D16" s="27" t="n">
        <v>18368</v>
      </c>
      <c r="E16" s="11" t="s">
        <v>564</v>
      </c>
    </row>
    <row r="17" customFormat="false" ht="15" hidden="false" customHeight="false" outlineLevel="0" collapsed="false">
      <c r="B17" s="11" t="s">
        <v>565</v>
      </c>
      <c r="C17" s="22" t="n">
        <v>5</v>
      </c>
      <c r="D17" s="27" t="n">
        <v>-28157.25</v>
      </c>
      <c r="E17" s="11" t="s">
        <v>566</v>
      </c>
    </row>
    <row r="18" customFormat="false" ht="15" hidden="false" customHeight="false" outlineLevel="0" collapsed="false">
      <c r="B18" s="11" t="s">
        <v>567</v>
      </c>
      <c r="C18" s="22" t="n">
        <v>4</v>
      </c>
      <c r="D18" s="27" t="n">
        <v>-36461.46</v>
      </c>
      <c r="E18" s="11" t="s">
        <v>552</v>
      </c>
    </row>
    <row r="19" customFormat="false" ht="15" hidden="false" customHeight="false" outlineLevel="0" collapsed="false">
      <c r="B19" s="11" t="s">
        <v>568</v>
      </c>
      <c r="C19" s="22" t="n">
        <v>2</v>
      </c>
      <c r="D19" s="27" t="n">
        <v>-16397.55</v>
      </c>
      <c r="E19" s="11" t="s">
        <v>569</v>
      </c>
    </row>
    <row r="20" customFormat="false" ht="15" hidden="false" customHeight="false" outlineLevel="0" collapsed="false">
      <c r="B20" s="11" t="s">
        <v>570</v>
      </c>
      <c r="C20" s="22" t="n">
        <v>2</v>
      </c>
      <c r="D20" s="27" t="n">
        <v>-612.5</v>
      </c>
      <c r="E20" s="11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572</v>
      </c>
    </row>
    <row r="3" customFormat="false" ht="21.75" hidden="false" customHeight="true" outlineLevel="0" collapsed="false">
      <c r="B3" s="2" t="s">
        <v>573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574</v>
      </c>
    </row>
    <row r="6" customFormat="false" ht="15" hidden="false" customHeight="false" outlineLevel="0" collapsed="false">
      <c r="B6" s="3" t="s">
        <v>575</v>
      </c>
      <c r="C6" s="3" t="s">
        <v>576</v>
      </c>
      <c r="D6" s="3" t="s">
        <v>577</v>
      </c>
      <c r="E6" s="3" t="s">
        <v>67</v>
      </c>
      <c r="F6" s="3" t="s">
        <v>578</v>
      </c>
    </row>
    <row r="7" customFormat="false" ht="15" hidden="false" customHeight="false" outlineLevel="0" collapsed="false">
      <c r="B7" s="11" t="s">
        <v>579</v>
      </c>
      <c r="C7" s="11" t="s">
        <v>580</v>
      </c>
      <c r="D7" s="11" t="s">
        <v>581</v>
      </c>
      <c r="E7" s="13" t="s">
        <v>582</v>
      </c>
      <c r="F7" s="11" t="s">
        <v>583</v>
      </c>
    </row>
    <row r="8" customFormat="false" ht="15" hidden="false" customHeight="false" outlineLevel="0" collapsed="false">
      <c r="B8" s="11" t="s">
        <v>286</v>
      </c>
      <c r="C8" s="24" t="n">
        <v>0.226973531527768</v>
      </c>
      <c r="D8" s="11" t="s">
        <v>584</v>
      </c>
      <c r="E8" s="13" t="s">
        <v>582</v>
      </c>
      <c r="F8" s="11" t="s">
        <v>585</v>
      </c>
    </row>
    <row r="9" customFormat="false" ht="15" hidden="false" customHeight="false" outlineLevel="0" collapsed="false">
      <c r="B9" s="11" t="s">
        <v>586</v>
      </c>
      <c r="C9" s="24" t="n">
        <v>0.00244385651403684</v>
      </c>
      <c r="D9" s="11" t="s">
        <v>587</v>
      </c>
      <c r="E9" s="13" t="s">
        <v>582</v>
      </c>
      <c r="F9" s="11" t="s">
        <v>588</v>
      </c>
    </row>
    <row r="10" customFormat="false" ht="15" hidden="false" customHeight="false" outlineLevel="0" collapsed="false">
      <c r="B10" s="11" t="s">
        <v>589</v>
      </c>
      <c r="C10" s="24" t="n">
        <v>0.909711247310108</v>
      </c>
      <c r="D10" s="11" t="s">
        <v>590</v>
      </c>
      <c r="E10" s="13" t="s">
        <v>582</v>
      </c>
      <c r="F10" s="11" t="s">
        <v>591</v>
      </c>
    </row>
    <row r="11" customFormat="false" ht="15" hidden="false" customHeight="false" outlineLevel="0" collapsed="false">
      <c r="B11" s="11" t="s">
        <v>592</v>
      </c>
      <c r="C11" s="24" t="n">
        <v>0.05</v>
      </c>
      <c r="D11" s="11" t="s">
        <v>593</v>
      </c>
      <c r="E11" s="13" t="s">
        <v>582</v>
      </c>
      <c r="F11" s="11" t="s">
        <v>594</v>
      </c>
    </row>
    <row r="12" customFormat="false" ht="15" hidden="false" customHeight="false" outlineLevel="0" collapsed="false">
      <c r="B12" s="11" t="s">
        <v>285</v>
      </c>
      <c r="C12" s="24" t="n">
        <v>0.430031195123272</v>
      </c>
      <c r="D12" s="11" t="s">
        <v>595</v>
      </c>
      <c r="E12" s="13" t="s">
        <v>582</v>
      </c>
      <c r="F12" s="11" t="s">
        <v>596</v>
      </c>
    </row>
    <row r="13" customFormat="false" ht="15" hidden="false" customHeight="false" outlineLevel="0" collapsed="false">
      <c r="B13" s="11" t="s">
        <v>597</v>
      </c>
      <c r="C13" s="10" t="n">
        <v>4671.5</v>
      </c>
      <c r="D13" s="11" t="s">
        <v>598</v>
      </c>
      <c r="E13" s="28" t="s">
        <v>599</v>
      </c>
      <c r="F13" s="11" t="s">
        <v>600</v>
      </c>
    </row>
    <row r="14" customFormat="false" ht="15" hidden="false" customHeight="false" outlineLevel="0" collapsed="false">
      <c r="B14" s="11" t="s">
        <v>601</v>
      </c>
      <c r="C14" s="24" t="n">
        <v>0.118591458846195</v>
      </c>
      <c r="D14" s="11" t="s">
        <v>602</v>
      </c>
      <c r="E14" s="13" t="s">
        <v>582</v>
      </c>
      <c r="F14" s="11" t="s">
        <v>603</v>
      </c>
    </row>
    <row r="15" customFormat="false" ht="15" hidden="false" customHeight="false" outlineLevel="0" collapsed="false">
      <c r="B15" s="11" t="s">
        <v>604</v>
      </c>
      <c r="C15" s="24" t="n">
        <v>0.703981968444778</v>
      </c>
      <c r="D15" s="11" t="s">
        <v>605</v>
      </c>
      <c r="E15" s="29" t="s">
        <v>606</v>
      </c>
      <c r="F15" s="11" t="s">
        <v>607</v>
      </c>
    </row>
    <row r="16" customFormat="false" ht="15" hidden="false" customHeight="false" outlineLevel="0" collapsed="false">
      <c r="B16" s="11" t="s">
        <v>608</v>
      </c>
      <c r="C16" s="11" t="s">
        <v>609</v>
      </c>
      <c r="D16" s="11" t="s">
        <v>610</v>
      </c>
      <c r="E16" s="29" t="s">
        <v>606</v>
      </c>
      <c r="F16" s="11" t="s">
        <v>611</v>
      </c>
    </row>
    <row r="18" customFormat="false" ht="15" hidden="false" customHeight="false" outlineLevel="0" collapsed="false">
      <c r="B18" s="3" t="s">
        <v>612</v>
      </c>
    </row>
    <row r="19" customFormat="false" ht="15" hidden="false" customHeight="false" outlineLevel="0" collapsed="false">
      <c r="B19" s="3" t="s">
        <v>613</v>
      </c>
      <c r="C19" s="3" t="s">
        <v>614</v>
      </c>
      <c r="D19" s="3" t="s">
        <v>349</v>
      </c>
      <c r="E19" s="3" t="s">
        <v>615</v>
      </c>
      <c r="F19" s="3" t="s">
        <v>616</v>
      </c>
    </row>
    <row r="20" customFormat="false" ht="15" hidden="false" customHeight="false" outlineLevel="0" collapsed="false">
      <c r="B20" s="11" t="s">
        <v>617</v>
      </c>
      <c r="C20" s="24" t="n">
        <v>0.430031195123272</v>
      </c>
      <c r="D20" s="11" t="s">
        <v>83</v>
      </c>
      <c r="E20" s="11" t="s">
        <v>618</v>
      </c>
      <c r="F20" s="11" t="s">
        <v>596</v>
      </c>
    </row>
    <row r="21" customFormat="false" ht="15" hidden="false" customHeight="false" outlineLevel="0" collapsed="false">
      <c r="B21" s="11" t="s">
        <v>619</v>
      </c>
      <c r="C21" s="11" t="s">
        <v>611</v>
      </c>
      <c r="D21" s="11" t="s">
        <v>538</v>
      </c>
      <c r="E21" s="11" t="s">
        <v>620</v>
      </c>
      <c r="F21" s="11" t="s">
        <v>538</v>
      </c>
    </row>
    <row r="22" customFormat="false" ht="15" hidden="false" customHeight="false" outlineLevel="0" collapsed="false">
      <c r="B22" s="11" t="s">
        <v>621</v>
      </c>
      <c r="C22" s="11" t="s">
        <v>622</v>
      </c>
      <c r="D22" s="11" t="s">
        <v>352</v>
      </c>
      <c r="E22" s="11" t="s">
        <v>292</v>
      </c>
      <c r="F22" s="11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623</v>
      </c>
    </row>
    <row r="3" customFormat="false" ht="21.75" hidden="false" customHeight="true" outlineLevel="0" collapsed="false">
      <c r="B3" s="2" t="s">
        <v>624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346</v>
      </c>
      <c r="C5" s="3" t="s">
        <v>625</v>
      </c>
      <c r="D5" s="3" t="s">
        <v>626</v>
      </c>
      <c r="E5" s="3" t="s">
        <v>245</v>
      </c>
      <c r="F5" s="3" t="s">
        <v>627</v>
      </c>
      <c r="G5" s="3" t="s">
        <v>628</v>
      </c>
      <c r="H5" s="3" t="s">
        <v>349</v>
      </c>
      <c r="I5" s="3" t="s">
        <v>629</v>
      </c>
    </row>
    <row r="6" customFormat="false" ht="15" hidden="false" customHeight="false" outlineLevel="0" collapsed="false">
      <c r="B6" s="22" t="n">
        <v>1</v>
      </c>
      <c r="C6" s="11" t="s">
        <v>379</v>
      </c>
      <c r="D6" s="11" t="s">
        <v>378</v>
      </c>
      <c r="E6" s="11" t="s">
        <v>4</v>
      </c>
      <c r="F6" s="11" t="s">
        <v>630</v>
      </c>
      <c r="G6" s="11" t="s">
        <v>373</v>
      </c>
      <c r="H6" s="13" t="s">
        <v>352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383</v>
      </c>
      <c r="D7" s="11" t="s">
        <v>382</v>
      </c>
      <c r="E7" s="11" t="s">
        <v>384</v>
      </c>
      <c r="F7" s="11" t="s">
        <v>631</v>
      </c>
      <c r="G7" s="11" t="s">
        <v>373</v>
      </c>
      <c r="H7" s="13" t="s">
        <v>352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385</v>
      </c>
      <c r="D8" s="11" t="s">
        <v>11</v>
      </c>
      <c r="E8" s="11" t="s">
        <v>12</v>
      </c>
      <c r="F8" s="11" t="s">
        <v>631</v>
      </c>
      <c r="G8" s="11" t="s">
        <v>373</v>
      </c>
      <c r="H8" s="13" t="s">
        <v>352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386</v>
      </c>
      <c r="D9" s="11" t="s">
        <v>71</v>
      </c>
      <c r="E9" s="11" t="s">
        <v>17</v>
      </c>
      <c r="F9" s="11" t="s">
        <v>631</v>
      </c>
      <c r="G9" s="11" t="s">
        <v>373</v>
      </c>
      <c r="H9" s="13" t="s">
        <v>352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387</v>
      </c>
      <c r="D10" s="11" t="s">
        <v>34</v>
      </c>
      <c r="E10" s="11" t="s">
        <v>35</v>
      </c>
      <c r="F10" s="11" t="s">
        <v>631</v>
      </c>
      <c r="G10" s="11" t="s">
        <v>373</v>
      </c>
      <c r="H10" s="13" t="s">
        <v>352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389</v>
      </c>
      <c r="D11" s="11" t="s">
        <v>388</v>
      </c>
      <c r="E11" s="11" t="s">
        <v>28</v>
      </c>
      <c r="F11" s="11" t="s">
        <v>631</v>
      </c>
      <c r="G11" s="11" t="s">
        <v>373</v>
      </c>
      <c r="H11" s="13" t="s">
        <v>352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391</v>
      </c>
      <c r="D12" s="11" t="s">
        <v>390</v>
      </c>
      <c r="E12" s="11" t="s">
        <v>392</v>
      </c>
      <c r="F12" s="11" t="s">
        <v>631</v>
      </c>
      <c r="G12" s="11" t="s">
        <v>373</v>
      </c>
      <c r="H12" s="13" t="s">
        <v>352</v>
      </c>
      <c r="I12" s="11" t="s">
        <v>393</v>
      </c>
    </row>
    <row r="13" customFormat="false" ht="15" hidden="false" customHeight="false" outlineLevel="0" collapsed="false">
      <c r="B13" s="22" t="n">
        <v>8</v>
      </c>
      <c r="C13" s="11" t="s">
        <v>395</v>
      </c>
      <c r="D13" s="11" t="s">
        <v>394</v>
      </c>
      <c r="E13" s="11" t="s">
        <v>30</v>
      </c>
      <c r="F13" s="11" t="s">
        <v>631</v>
      </c>
      <c r="G13" s="11" t="s">
        <v>373</v>
      </c>
      <c r="H13" s="13" t="s">
        <v>352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396</v>
      </c>
      <c r="D14" s="11" t="s">
        <v>18</v>
      </c>
      <c r="E14" s="11" t="s">
        <v>19</v>
      </c>
      <c r="F14" s="11" t="s">
        <v>631</v>
      </c>
      <c r="G14" s="11" t="s">
        <v>373</v>
      </c>
      <c r="H14" s="13" t="s">
        <v>352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398</v>
      </c>
      <c r="D15" s="11" t="s">
        <v>397</v>
      </c>
      <c r="E15" s="11" t="s">
        <v>22</v>
      </c>
      <c r="F15" s="11" t="s">
        <v>631</v>
      </c>
      <c r="G15" s="11" t="s">
        <v>373</v>
      </c>
      <c r="H15" s="13" t="s">
        <v>352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399</v>
      </c>
      <c r="D16" s="11" t="s">
        <v>25</v>
      </c>
      <c r="E16" s="11" t="s">
        <v>26</v>
      </c>
      <c r="F16" s="11" t="s">
        <v>631</v>
      </c>
      <c r="G16" s="11" t="s">
        <v>373</v>
      </c>
      <c r="H16" s="13" t="s">
        <v>352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401</v>
      </c>
      <c r="D17" s="11" t="s">
        <v>400</v>
      </c>
      <c r="E17" s="11" t="s">
        <v>309</v>
      </c>
      <c r="F17" s="11" t="s">
        <v>632</v>
      </c>
      <c r="G17" s="11" t="s">
        <v>373</v>
      </c>
      <c r="H17" s="13" t="s">
        <v>352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403</v>
      </c>
      <c r="D18" s="11" t="s">
        <v>402</v>
      </c>
      <c r="E18" s="11" t="s">
        <v>404</v>
      </c>
      <c r="F18" s="11" t="s">
        <v>632</v>
      </c>
      <c r="G18" s="11" t="s">
        <v>373</v>
      </c>
      <c r="H18" s="13" t="s">
        <v>352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406</v>
      </c>
      <c r="D19" s="11" t="s">
        <v>405</v>
      </c>
      <c r="E19" s="11" t="s">
        <v>407</v>
      </c>
      <c r="F19" s="11" t="s">
        <v>632</v>
      </c>
      <c r="G19" s="11" t="s">
        <v>373</v>
      </c>
      <c r="H19" s="13" t="s">
        <v>352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409</v>
      </c>
      <c r="D20" s="11" t="s">
        <v>408</v>
      </c>
      <c r="E20" s="22" t="n">
        <v>12</v>
      </c>
      <c r="F20" s="11" t="s">
        <v>633</v>
      </c>
      <c r="G20" s="11" t="s">
        <v>373</v>
      </c>
      <c r="H20" s="13" t="s">
        <v>352</v>
      </c>
      <c r="I20" s="11" t="s">
        <v>254</v>
      </c>
    </row>
    <row r="21" customFormat="false" ht="15" hidden="false" customHeight="false" outlineLevel="0" collapsed="false">
      <c r="B21" s="22" t="n">
        <v>16</v>
      </c>
      <c r="C21" s="11" t="s">
        <v>410</v>
      </c>
      <c r="D21" s="11" t="s">
        <v>39</v>
      </c>
      <c r="E21" s="22" t="n">
        <v>72</v>
      </c>
      <c r="F21" s="11" t="s">
        <v>634</v>
      </c>
      <c r="G21" s="11" t="s">
        <v>373</v>
      </c>
      <c r="H21" s="13" t="s">
        <v>352</v>
      </c>
      <c r="I21" s="11" t="s">
        <v>412</v>
      </c>
    </row>
    <row r="22" customFormat="false" ht="15" hidden="false" customHeight="false" outlineLevel="0" collapsed="false">
      <c r="B22" s="22" t="n">
        <v>17</v>
      </c>
      <c r="C22" s="11" t="s">
        <v>414</v>
      </c>
      <c r="D22" s="11" t="s">
        <v>413</v>
      </c>
      <c r="E22" s="22" t="n">
        <v>410</v>
      </c>
      <c r="F22" s="11" t="s">
        <v>635</v>
      </c>
      <c r="G22" s="11" t="s">
        <v>373</v>
      </c>
      <c r="H22" s="13" t="s">
        <v>352</v>
      </c>
      <c r="I22" s="11" t="s">
        <v>412</v>
      </c>
    </row>
    <row r="23" customFormat="false" ht="15" hidden="false" customHeight="false" outlineLevel="0" collapsed="false">
      <c r="B23" s="22" t="n">
        <v>18</v>
      </c>
      <c r="C23" s="11" t="s">
        <v>417</v>
      </c>
      <c r="D23" s="11" t="s">
        <v>416</v>
      </c>
      <c r="E23" s="9" t="n">
        <v>498700</v>
      </c>
      <c r="F23" s="11" t="s">
        <v>291</v>
      </c>
      <c r="G23" s="11" t="s">
        <v>373</v>
      </c>
      <c r="H23" s="13" t="s">
        <v>352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420</v>
      </c>
      <c r="D24" s="11" t="s">
        <v>419</v>
      </c>
      <c r="E24" s="9" t="n">
        <v>517068</v>
      </c>
      <c r="F24" s="11" t="s">
        <v>291</v>
      </c>
      <c r="G24" s="11" t="s">
        <v>373</v>
      </c>
      <c r="H24" s="13" t="s">
        <v>352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422</v>
      </c>
      <c r="D25" s="11" t="s">
        <v>421</v>
      </c>
      <c r="E25" s="9" t="n">
        <v>18368</v>
      </c>
      <c r="F25" s="11" t="s">
        <v>291</v>
      </c>
      <c r="G25" s="11" t="s">
        <v>373</v>
      </c>
      <c r="H25" s="13" t="s">
        <v>352</v>
      </c>
      <c r="I25" s="11" t="s">
        <v>355</v>
      </c>
    </row>
    <row r="26" customFormat="false" ht="15" hidden="false" customHeight="false" outlineLevel="0" collapsed="false">
      <c r="B26" s="22" t="n">
        <v>21</v>
      </c>
      <c r="C26" s="11" t="s">
        <v>425</v>
      </c>
      <c r="D26" s="11" t="s">
        <v>424</v>
      </c>
      <c r="E26" s="26" t="n">
        <v>0.0368317625827151</v>
      </c>
      <c r="F26" s="11" t="s">
        <v>284</v>
      </c>
      <c r="G26" s="11" t="s">
        <v>373</v>
      </c>
      <c r="H26" s="13" t="s">
        <v>352</v>
      </c>
      <c r="I26" s="11" t="s">
        <v>254</v>
      </c>
    </row>
    <row r="27" customFormat="false" ht="15" hidden="false" customHeight="false" outlineLevel="0" collapsed="false">
      <c r="B27" s="22" t="n">
        <v>22</v>
      </c>
      <c r="C27" s="11" t="s">
        <v>427</v>
      </c>
      <c r="D27" s="11" t="s">
        <v>426</v>
      </c>
      <c r="E27" s="9" t="n">
        <v>517068</v>
      </c>
      <c r="F27" s="11" t="s">
        <v>291</v>
      </c>
      <c r="G27" s="11" t="s">
        <v>373</v>
      </c>
      <c r="H27" s="13" t="s">
        <v>352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430</v>
      </c>
      <c r="D28" s="11" t="s">
        <v>429</v>
      </c>
      <c r="E28" s="9" t="n">
        <v>294712.63</v>
      </c>
      <c r="F28" s="11" t="s">
        <v>291</v>
      </c>
      <c r="G28" s="11" t="s">
        <v>373</v>
      </c>
      <c r="H28" s="13" t="s">
        <v>352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433</v>
      </c>
      <c r="D29" s="11" t="s">
        <v>432</v>
      </c>
      <c r="E29" s="9" t="n">
        <v>222355.37</v>
      </c>
      <c r="F29" s="11" t="s">
        <v>291</v>
      </c>
      <c r="G29" s="11" t="s">
        <v>373</v>
      </c>
      <c r="H29" s="13" t="s">
        <v>352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435</v>
      </c>
      <c r="D30" s="11" t="s">
        <v>285</v>
      </c>
      <c r="E30" s="26" t="n">
        <v>0.430031195123272</v>
      </c>
      <c r="F30" s="11" t="s">
        <v>284</v>
      </c>
      <c r="G30" s="11" t="s">
        <v>373</v>
      </c>
      <c r="H30" s="13" t="s">
        <v>352</v>
      </c>
      <c r="I30" s="11" t="s">
        <v>254</v>
      </c>
    </row>
    <row r="31" customFormat="false" ht="15" hidden="false" customHeight="false" outlineLevel="0" collapsed="false">
      <c r="B31" s="22" t="n">
        <v>26</v>
      </c>
      <c r="C31" s="11" t="s">
        <v>437</v>
      </c>
      <c r="D31" s="11" t="s">
        <v>436</v>
      </c>
      <c r="E31" s="9" t="n">
        <v>25853.4</v>
      </c>
      <c r="F31" s="11" t="s">
        <v>291</v>
      </c>
      <c r="G31" s="11" t="s">
        <v>373</v>
      </c>
      <c r="H31" s="13" t="s">
        <v>352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440</v>
      </c>
      <c r="D32" s="11" t="s">
        <v>439</v>
      </c>
      <c r="E32" s="26" t="n">
        <v>0.05</v>
      </c>
      <c r="F32" s="11" t="s">
        <v>284</v>
      </c>
      <c r="G32" s="11" t="s">
        <v>373</v>
      </c>
      <c r="H32" s="13" t="s">
        <v>352</v>
      </c>
      <c r="I32" s="11" t="s">
        <v>254</v>
      </c>
    </row>
    <row r="33" customFormat="false" ht="15" hidden="false" customHeight="false" outlineLevel="0" collapsed="false">
      <c r="B33" s="22" t="n">
        <v>28</v>
      </c>
      <c r="C33" s="11" t="s">
        <v>442</v>
      </c>
      <c r="D33" s="11" t="s">
        <v>441</v>
      </c>
      <c r="E33" s="9" t="n">
        <v>117360.75</v>
      </c>
      <c r="F33" s="11" t="s">
        <v>291</v>
      </c>
      <c r="G33" s="11" t="s">
        <v>373</v>
      </c>
      <c r="H33" s="13" t="s">
        <v>352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445</v>
      </c>
      <c r="D34" s="11" t="s">
        <v>444</v>
      </c>
      <c r="E34" s="9" t="n">
        <v>115436.54</v>
      </c>
      <c r="F34" s="11" t="s">
        <v>291</v>
      </c>
      <c r="G34" s="11" t="s">
        <v>373</v>
      </c>
      <c r="H34" s="13" t="s">
        <v>352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448</v>
      </c>
      <c r="D35" s="11" t="s">
        <v>447</v>
      </c>
      <c r="E35" s="9" t="n">
        <v>887.5</v>
      </c>
      <c r="F35" s="11" t="s">
        <v>291</v>
      </c>
      <c r="G35" s="11" t="s">
        <v>373</v>
      </c>
      <c r="H35" s="13" t="s">
        <v>352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451</v>
      </c>
      <c r="D36" s="11" t="s">
        <v>450</v>
      </c>
      <c r="E36" s="9" t="n">
        <v>52049.65</v>
      </c>
      <c r="F36" s="11" t="s">
        <v>291</v>
      </c>
      <c r="G36" s="11" t="s">
        <v>373</v>
      </c>
      <c r="H36" s="13" t="s">
        <v>352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454</v>
      </c>
      <c r="D37" s="11" t="s">
        <v>453</v>
      </c>
      <c r="E37" s="9" t="n">
        <v>8978.19</v>
      </c>
      <c r="F37" s="11" t="s">
        <v>291</v>
      </c>
      <c r="G37" s="11" t="s">
        <v>373</v>
      </c>
      <c r="H37" s="13" t="s">
        <v>352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456</v>
      </c>
      <c r="D38" s="11" t="s">
        <v>249</v>
      </c>
      <c r="E38" s="10" t="n">
        <v>4671.5</v>
      </c>
      <c r="F38" s="11" t="s">
        <v>636</v>
      </c>
      <c r="G38" s="11" t="s">
        <v>373</v>
      </c>
      <c r="H38" s="13" t="s">
        <v>352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458</v>
      </c>
      <c r="D39" s="11" t="s">
        <v>247</v>
      </c>
      <c r="E39" s="22" t="n">
        <v>30</v>
      </c>
      <c r="F39" s="11" t="s">
        <v>635</v>
      </c>
      <c r="G39" s="11" t="s">
        <v>373</v>
      </c>
      <c r="H39" s="13" t="s">
        <v>352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461</v>
      </c>
      <c r="D40" s="11" t="s">
        <v>460</v>
      </c>
      <c r="E40" s="9" t="n">
        <v>25.1227121909451</v>
      </c>
      <c r="F40" s="11" t="s">
        <v>271</v>
      </c>
      <c r="G40" s="11" t="s">
        <v>373</v>
      </c>
      <c r="H40" s="13" t="s">
        <v>352</v>
      </c>
      <c r="I40" s="11" t="s">
        <v>254</v>
      </c>
    </row>
    <row r="41" customFormat="false" ht="15" hidden="false" customHeight="false" outlineLevel="0" collapsed="false">
      <c r="B41" s="22" t="n">
        <v>36</v>
      </c>
      <c r="C41" s="11" t="s">
        <v>463</v>
      </c>
      <c r="D41" s="11" t="s">
        <v>462</v>
      </c>
      <c r="E41" s="9" t="n">
        <v>51.2504</v>
      </c>
      <c r="F41" s="11" t="s">
        <v>271</v>
      </c>
      <c r="G41" s="11" t="s">
        <v>373</v>
      </c>
      <c r="H41" s="13" t="s">
        <v>352</v>
      </c>
      <c r="I41" s="11" t="s">
        <v>254</v>
      </c>
    </row>
    <row r="42" customFormat="false" ht="15" hidden="false" customHeight="false" outlineLevel="0" collapsed="false">
      <c r="B42" s="22" t="n">
        <v>37</v>
      </c>
      <c r="C42" s="11" t="s">
        <v>464</v>
      </c>
      <c r="D42" s="11" t="s">
        <v>277</v>
      </c>
      <c r="E42" s="25" t="n">
        <v>1.3421</v>
      </c>
      <c r="F42" s="11" t="s">
        <v>278</v>
      </c>
      <c r="G42" s="11" t="s">
        <v>373</v>
      </c>
      <c r="H42" s="13" t="s">
        <v>352</v>
      </c>
      <c r="I42" s="11" t="s">
        <v>254</v>
      </c>
    </row>
    <row r="43" customFormat="false" ht="15" hidden="false" customHeight="false" outlineLevel="0" collapsed="false">
      <c r="B43" s="22" t="n">
        <v>38</v>
      </c>
      <c r="C43" s="11" t="s">
        <v>466</v>
      </c>
      <c r="D43" s="11" t="s">
        <v>465</v>
      </c>
      <c r="E43" s="10" t="n">
        <v>3279.5</v>
      </c>
      <c r="F43" s="11" t="s">
        <v>636</v>
      </c>
      <c r="G43" s="11" t="s">
        <v>373</v>
      </c>
      <c r="H43" s="13" t="s">
        <v>352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469</v>
      </c>
      <c r="D44" s="11" t="s">
        <v>468</v>
      </c>
      <c r="E44" s="10" t="n">
        <v>1224.5</v>
      </c>
      <c r="F44" s="11" t="s">
        <v>636</v>
      </c>
      <c r="G44" s="11" t="s">
        <v>373</v>
      </c>
      <c r="H44" s="13" t="s">
        <v>352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472</v>
      </c>
      <c r="D45" s="11" t="s">
        <v>471</v>
      </c>
      <c r="E45" s="9" t="n">
        <v>110.685647008456</v>
      </c>
      <c r="F45" s="11" t="s">
        <v>271</v>
      </c>
      <c r="G45" s="11" t="s">
        <v>373</v>
      </c>
      <c r="H45" s="13" t="s">
        <v>352</v>
      </c>
      <c r="I45" s="11" t="s">
        <v>254</v>
      </c>
    </row>
    <row r="46" customFormat="false" ht="15" hidden="false" customHeight="false" outlineLevel="0" collapsed="false">
      <c r="B46" s="22" t="n">
        <v>41</v>
      </c>
      <c r="C46" s="11" t="s">
        <v>475</v>
      </c>
      <c r="D46" s="11" t="s">
        <v>474</v>
      </c>
      <c r="E46" s="9" t="n">
        <v>47.5982810660387</v>
      </c>
      <c r="F46" s="11" t="s">
        <v>271</v>
      </c>
      <c r="G46" s="11" t="s">
        <v>373</v>
      </c>
      <c r="H46" s="13" t="s">
        <v>352</v>
      </c>
      <c r="I46" s="11" t="s">
        <v>254</v>
      </c>
    </row>
    <row r="47" customFormat="false" ht="15" hidden="false" customHeight="false" outlineLevel="0" collapsed="false">
      <c r="B47" s="22" t="n">
        <v>42</v>
      </c>
      <c r="C47" s="11" t="s">
        <v>477</v>
      </c>
      <c r="D47" s="11" t="s">
        <v>476</v>
      </c>
      <c r="E47" s="9" t="n">
        <v>7181.5</v>
      </c>
      <c r="F47" s="11" t="s">
        <v>291</v>
      </c>
      <c r="G47" s="11" t="s">
        <v>373</v>
      </c>
      <c r="H47" s="13" t="s">
        <v>352</v>
      </c>
      <c r="I47" s="11" t="s">
        <v>254</v>
      </c>
    </row>
    <row r="48" customFormat="false" ht="15" hidden="false" customHeight="false" outlineLevel="0" collapsed="false">
      <c r="B48" s="22" t="n">
        <v>43</v>
      </c>
      <c r="C48" s="11" t="s">
        <v>478</v>
      </c>
      <c r="D48" s="11" t="s">
        <v>296</v>
      </c>
      <c r="E48" s="9" t="n">
        <v>4093.23097222222</v>
      </c>
      <c r="F48" s="11" t="s">
        <v>291</v>
      </c>
      <c r="G48" s="11" t="s">
        <v>373</v>
      </c>
      <c r="H48" s="13" t="s">
        <v>352</v>
      </c>
      <c r="I48" s="11" t="s">
        <v>254</v>
      </c>
    </row>
    <row r="49" customFormat="false" ht="15" hidden="false" customHeight="false" outlineLevel="0" collapsed="false">
      <c r="B49" s="22" t="n">
        <v>44</v>
      </c>
      <c r="C49" s="11" t="s">
        <v>480</v>
      </c>
      <c r="D49" s="11" t="s">
        <v>479</v>
      </c>
      <c r="E49" s="10" t="n">
        <v>64.8819444444444</v>
      </c>
      <c r="F49" s="11" t="s">
        <v>636</v>
      </c>
      <c r="G49" s="11" t="s">
        <v>373</v>
      </c>
      <c r="H49" s="13" t="s">
        <v>352</v>
      </c>
      <c r="I49" s="11" t="s">
        <v>254</v>
      </c>
    </row>
    <row r="50" customFormat="false" ht="15" hidden="false" customHeight="false" outlineLevel="0" collapsed="false">
      <c r="B50" s="22" t="n">
        <v>45</v>
      </c>
      <c r="C50" s="11" t="s">
        <v>481</v>
      </c>
      <c r="D50" s="11" t="s">
        <v>298</v>
      </c>
      <c r="E50" s="9" t="n">
        <v>1261.14146341463</v>
      </c>
      <c r="F50" s="11" t="s">
        <v>291</v>
      </c>
      <c r="G50" s="11" t="s">
        <v>373</v>
      </c>
      <c r="H50" s="13" t="s">
        <v>352</v>
      </c>
      <c r="I50" s="11" t="s">
        <v>254</v>
      </c>
    </row>
    <row r="51" customFormat="false" ht="15" hidden="false" customHeight="false" outlineLevel="0" collapsed="false">
      <c r="B51" s="22" t="n">
        <v>46</v>
      </c>
      <c r="C51" s="11" t="s">
        <v>482</v>
      </c>
      <c r="D51" s="11" t="s">
        <v>286</v>
      </c>
      <c r="E51" s="26" t="n">
        <v>0.226973531527768</v>
      </c>
      <c r="F51" s="11" t="s">
        <v>284</v>
      </c>
      <c r="G51" s="11" t="s">
        <v>373</v>
      </c>
      <c r="H51" s="13" t="s">
        <v>352</v>
      </c>
      <c r="I51" s="11" t="s">
        <v>254</v>
      </c>
    </row>
    <row r="52" customFormat="false" ht="15" hidden="false" customHeight="false" outlineLevel="0" collapsed="false">
      <c r="B52" s="22" t="n">
        <v>47</v>
      </c>
      <c r="C52" s="11" t="s">
        <v>484</v>
      </c>
      <c r="D52" s="11" t="s">
        <v>287</v>
      </c>
      <c r="E52" s="26" t="n">
        <v>0.223252144785599</v>
      </c>
      <c r="F52" s="11" t="s">
        <v>284</v>
      </c>
      <c r="G52" s="11" t="s">
        <v>373</v>
      </c>
      <c r="H52" s="13" t="s">
        <v>352</v>
      </c>
      <c r="I52" s="11" t="s">
        <v>254</v>
      </c>
    </row>
    <row r="53" customFormat="false" ht="15" hidden="false" customHeight="false" outlineLevel="0" collapsed="false">
      <c r="B53" s="22" t="n">
        <v>48</v>
      </c>
      <c r="C53" s="11" t="s">
        <v>486</v>
      </c>
      <c r="D53" s="11" t="s">
        <v>485</v>
      </c>
      <c r="E53" s="22" t="n">
        <v>15</v>
      </c>
      <c r="F53" s="11" t="s">
        <v>635</v>
      </c>
      <c r="G53" s="11" t="s">
        <v>373</v>
      </c>
      <c r="H53" s="13" t="s">
        <v>352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488</v>
      </c>
      <c r="D54" s="11" t="s">
        <v>487</v>
      </c>
      <c r="E54" s="22" t="n">
        <v>9</v>
      </c>
      <c r="F54" s="11" t="s">
        <v>635</v>
      </c>
      <c r="G54" s="11" t="s">
        <v>373</v>
      </c>
      <c r="H54" s="13" t="s">
        <v>352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491</v>
      </c>
      <c r="D55" s="11" t="s">
        <v>490</v>
      </c>
      <c r="E55" s="26" t="n">
        <v>0.118591458846195</v>
      </c>
      <c r="F55" s="11" t="s">
        <v>284</v>
      </c>
      <c r="G55" s="11" t="s">
        <v>373</v>
      </c>
      <c r="H55" s="13" t="s">
        <v>352</v>
      </c>
      <c r="I55" s="11" t="s">
        <v>254</v>
      </c>
    </row>
    <row r="56" customFormat="false" ht="15" hidden="false" customHeight="false" outlineLevel="0" collapsed="false">
      <c r="B56" s="22" t="n">
        <v>51</v>
      </c>
      <c r="C56" s="11" t="s">
        <v>494</v>
      </c>
      <c r="D56" s="11" t="s">
        <v>493</v>
      </c>
      <c r="E56" s="26" t="n">
        <v>0.525848228620358</v>
      </c>
      <c r="F56" s="11" t="s">
        <v>284</v>
      </c>
      <c r="G56" s="11" t="s">
        <v>373</v>
      </c>
      <c r="H56" s="13" t="s">
        <v>352</v>
      </c>
      <c r="I56" s="11" t="s">
        <v>254</v>
      </c>
    </row>
    <row r="57" customFormat="false" ht="15" hidden="false" customHeight="false" outlineLevel="0" collapsed="false">
      <c r="B57" s="22" t="n">
        <v>52</v>
      </c>
      <c r="C57" s="11" t="s">
        <v>496</v>
      </c>
      <c r="D57" s="11" t="s">
        <v>495</v>
      </c>
      <c r="E57" s="22" t="n">
        <v>14</v>
      </c>
      <c r="F57" s="11" t="s">
        <v>635</v>
      </c>
      <c r="G57" s="11" t="s">
        <v>373</v>
      </c>
      <c r="H57" s="13" t="s">
        <v>352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499</v>
      </c>
      <c r="D58" s="11" t="s">
        <v>498</v>
      </c>
      <c r="E58" s="22" t="n">
        <v>6</v>
      </c>
      <c r="F58" s="11" t="s">
        <v>635</v>
      </c>
      <c r="G58" s="11" t="s">
        <v>373</v>
      </c>
      <c r="H58" s="13" t="s">
        <v>352</v>
      </c>
      <c r="I58" s="11" t="s">
        <v>501</v>
      </c>
    </row>
    <row r="59" customFormat="false" ht="15" hidden="false" customHeight="false" outlineLevel="0" collapsed="false">
      <c r="B59" s="22" t="n">
        <v>54</v>
      </c>
      <c r="C59" s="11" t="s">
        <v>503</v>
      </c>
      <c r="D59" s="11" t="s">
        <v>502</v>
      </c>
      <c r="E59" s="22" t="n">
        <v>14</v>
      </c>
      <c r="F59" s="11" t="s">
        <v>635</v>
      </c>
      <c r="G59" s="11" t="s">
        <v>373</v>
      </c>
      <c r="H59" s="13" t="s">
        <v>352</v>
      </c>
      <c r="I59" s="11" t="s">
        <v>504</v>
      </c>
    </row>
    <row r="60" customFormat="false" ht="15" hidden="false" customHeight="false" outlineLevel="0" collapsed="false">
      <c r="B60" s="22" t="n">
        <v>55</v>
      </c>
      <c r="C60" s="11" t="s">
        <v>506</v>
      </c>
      <c r="D60" s="11" t="s">
        <v>505</v>
      </c>
      <c r="E60" s="22" t="n">
        <v>10</v>
      </c>
      <c r="F60" s="11" t="s">
        <v>635</v>
      </c>
      <c r="G60" s="11" t="s">
        <v>373</v>
      </c>
      <c r="H60" s="13" t="s">
        <v>352</v>
      </c>
      <c r="I60" s="11" t="s">
        <v>507</v>
      </c>
    </row>
    <row r="61" customFormat="false" ht="15" hidden="false" customHeight="false" outlineLevel="0" collapsed="false">
      <c r="B61" s="22" t="n">
        <v>56</v>
      </c>
      <c r="C61" s="11" t="s">
        <v>509</v>
      </c>
      <c r="D61" s="11" t="s">
        <v>508</v>
      </c>
      <c r="E61" s="22" t="n">
        <v>18</v>
      </c>
      <c r="F61" s="11" t="s">
        <v>635</v>
      </c>
      <c r="G61" s="11" t="s">
        <v>373</v>
      </c>
      <c r="H61" s="13" t="s">
        <v>352</v>
      </c>
      <c r="I61" s="11" t="s">
        <v>510</v>
      </c>
    </row>
    <row r="62" customFormat="false" ht="15" hidden="false" customHeight="false" outlineLevel="0" collapsed="false">
      <c r="B62" s="22" t="n">
        <v>57</v>
      </c>
      <c r="C62" s="11" t="s">
        <v>512</v>
      </c>
      <c r="D62" s="11" t="s">
        <v>511</v>
      </c>
      <c r="E62" s="22" t="n">
        <v>85</v>
      </c>
      <c r="F62" s="11" t="s">
        <v>635</v>
      </c>
      <c r="G62" s="11" t="s">
        <v>373</v>
      </c>
      <c r="H62" s="13" t="s">
        <v>352</v>
      </c>
      <c r="I62" s="11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637</v>
      </c>
    </row>
    <row r="3" customFormat="false" ht="21.75" hidden="false" customHeight="true" outlineLevel="0" collapsed="false">
      <c r="B3" s="2" t="s">
        <v>638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346</v>
      </c>
      <c r="C5" s="3" t="s">
        <v>639</v>
      </c>
      <c r="D5" s="3" t="s">
        <v>640</v>
      </c>
      <c r="E5" s="3" t="s">
        <v>641</v>
      </c>
      <c r="F5" s="3" t="s">
        <v>642</v>
      </c>
      <c r="G5" s="3" t="s">
        <v>67</v>
      </c>
      <c r="H5" s="3" t="s">
        <v>643</v>
      </c>
    </row>
    <row r="6" customFormat="false" ht="15" hidden="false" customHeight="false" outlineLevel="0" collapsed="false">
      <c r="B6" s="22" t="n">
        <v>1</v>
      </c>
      <c r="C6" s="11" t="s">
        <v>644</v>
      </c>
      <c r="D6" s="9" t="n">
        <v>517068</v>
      </c>
      <c r="E6" s="9" t="n">
        <v>517068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645</v>
      </c>
    </row>
    <row r="7" customFormat="false" ht="15" hidden="false" customHeight="false" outlineLevel="0" collapsed="false">
      <c r="B7" s="22" t="n">
        <v>2</v>
      </c>
      <c r="C7" s="11" t="s">
        <v>646</v>
      </c>
      <c r="D7" s="9" t="n">
        <v>294712.63</v>
      </c>
      <c r="E7" s="9" t="n">
        <v>294712.63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647</v>
      </c>
    </row>
    <row r="8" customFormat="false" ht="15" hidden="false" customHeight="false" outlineLevel="0" collapsed="false">
      <c r="B8" s="22" t="n">
        <v>3</v>
      </c>
      <c r="C8" s="11" t="s">
        <v>648</v>
      </c>
      <c r="D8" s="9" t="n">
        <v>222355.37</v>
      </c>
      <c r="E8" s="9" t="n">
        <v>222355.37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649</v>
      </c>
    </row>
    <row r="9" customFormat="false" ht="15" hidden="false" customHeight="false" outlineLevel="0" collapsed="false">
      <c r="B9" s="22" t="n">
        <v>4</v>
      </c>
      <c r="C9" s="11" t="s">
        <v>650</v>
      </c>
      <c r="D9" s="9" t="n">
        <v>517068</v>
      </c>
      <c r="E9" s="9" t="n">
        <v>517068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651</v>
      </c>
    </row>
    <row r="10" customFormat="false" ht="15" hidden="false" customHeight="false" outlineLevel="0" collapsed="false">
      <c r="B10" s="22" t="n">
        <v>5</v>
      </c>
      <c r="C10" s="11" t="s">
        <v>652</v>
      </c>
      <c r="D10" s="9" t="n">
        <v>4671.5</v>
      </c>
      <c r="E10" s="9" t="n">
        <v>4671.5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653</v>
      </c>
    </row>
    <row r="11" customFormat="false" ht="15" hidden="false" customHeight="false" outlineLevel="0" collapsed="false">
      <c r="B11" s="22" t="n">
        <v>6</v>
      </c>
      <c r="C11" s="11" t="s">
        <v>654</v>
      </c>
      <c r="D11" s="9" t="n">
        <v>18368</v>
      </c>
      <c r="E11" s="9" t="n">
        <v>18368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655</v>
      </c>
    </row>
    <row r="12" customFormat="false" ht="15" hidden="false" customHeight="false" outlineLevel="0" collapsed="false">
      <c r="B12" s="22" t="n">
        <v>7</v>
      </c>
      <c r="C12" s="11" t="s">
        <v>656</v>
      </c>
      <c r="D12" s="11" t="n">
        <v>30</v>
      </c>
      <c r="E12" s="11" t="n">
        <v>30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657</v>
      </c>
    </row>
    <row r="13" customFormat="false" ht="15" hidden="false" customHeight="false" outlineLevel="0" collapsed="false">
      <c r="B13" s="22" t="n">
        <v>8</v>
      </c>
      <c r="C13" s="11" t="s">
        <v>658</v>
      </c>
      <c r="D13" s="11" t="n">
        <v>14</v>
      </c>
      <c r="E13" s="11" t="n">
        <v>14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2026-04-20T22:57:35Z</dcterms:created>
  <dc:creator>openpyxl</dc:creator>
  <dc:description/>
  <dc:language>en-US</dc:language>
  <cp:lastModifiedBy/>
  <dcterms:modified xsi:type="dcterms:W3CDTF">2026-04-20T22:57:35Z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