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7 Vend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<sst xmlns="http://schemas.openxmlformats.org/spreadsheetml/2006/main" count="31" uniqueCount="30">
  <si>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2017 — Exxel Pacific 3636 Stone Way Apartments — Vendor Detail</t>
  </si>
  <si>
    <t xml:space="preserve">Vendors</t>
  </si>
  <si>
    <t xml:space="preserve">Invoices</t>
  </si>
  <si>
    <t xml:space="preserve">Total AP</t>
  </si>
  <si>
    <t xml:space="preserve">Rank</t>
  </si>
  <si>
    <t xml:space="preserve">Vendor</t>
  </si>
  <si>
    <t xml:space="preserve">Vendor Code</t>
  </si>
  <si>
    <t xml:space="preserve">Total Spend</t>
  </si>
  <si>
    <t xml:space="preserve">% of AP</t>
  </si>
  <si>
    <t xml:space="preserve">Consolidated Supply Co.</t>
  </si>
  <si>
    <t xml:space="preserve">Rosen Supply Company, Inc.</t>
  </si>
  <si>
    <t xml:space="preserve">Ferguson Enterprises, Inc.</t>
  </si>
  <si>
    <t xml:space="preserve">Franklin Engineering</t>
  </si>
  <si>
    <t xml:space="preserve">Duraseal, Inc.</t>
  </si>
  <si>
    <t xml:space="preserve">Keller Supply Company</t>
  </si>
  <si>
    <t xml:space="preserve">Bank of America CC</t>
  </si>
  <si>
    <t xml:space="preserve">Quality Concrete Products, Inc.</t>
  </si>
  <si>
    <t xml:space="preserve">Rosen Supply Kirkland</t>
  </si>
  <si>
    <t xml:space="preserve">Mechanical Sales, Inc.</t>
  </si>
  <si>
    <t xml:space="preserve">Manor Hardware &amp; Construction Supply</t>
  </si>
  <si>
    <t xml:space="preserve">Cascade Restoration Co.</t>
  </si>
  <si>
    <t xml:space="preserve">Kele, Inc</t>
  </si>
  <si>
    <t xml:space="preserve">Core &amp; Main LP</t>
  </si>
  <si>
    <t xml:space="preserve">Ferguson Enterprises, Inc. #3007</t>
  </si>
  <si>
    <t xml:space="preserve">C.M. Hoskins Company</t>
  </si>
  <si>
    <t xml:space="preserve">Structural Imaging, LLC</t>
  </si>
  <si>
    <t xml:space="preserve">Fastenal Company</t>
  </si>
  <si>
    <t xml:space="preserve">R.A. Brown Backflow Testing</t>
  </si>
  <si>
    <t xml:space="preserve">Capital One Credit Card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</si>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</sst>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n">
        <v>20</v>
      </c>
    </row>
    <row r="4" customFormat="false" ht="15" hidden="false" customHeight="false" outlineLevel="0" collapsed="false">
      <c r="A4" s="2" t="s">
        <v>2</v>
      </c>
      <c r="B4" s="0" t="n">
        <v>266</v>
      </c>
    </row>
    <row r="5" customFormat="false" ht="15" hidden="false" customHeight="false" outlineLevel="0" collapsed="false">
      <c r="A5" s="2" t="s">
        <v>3</v>
      </c>
      <c r="B5" s="3" t="n">
        <v>458376.37</v>
      </c>
    </row>
    <row r="7" customFormat="false" ht="19.5" hidden="false" customHeight="true" outlineLevel="0" collapsed="false">
      <c r="A7" s="4" t="s">
        <v>4</v>
      </c>
      <c r="B7" s="4" t="s">
        <v>5</v>
      </c>
      <c r="C7" s="4" t="s">
        <v>6</v>
      </c>
      <c r="D7" s="4" t="s">
        <v>2</v>
      </c>
      <c r="E7" s="4" t="s">
        <v>7</v>
      </c>
      <c r="F7" s="4" t="s">
        <v>8</v>
      </c>
    </row>
    <row r="8" customFormat="false" ht="15" hidden="false" customHeight="false" outlineLevel="0" collapsed="false">
      <c r="A8" s="5" t="n">
        <v>1</v>
      </c>
      <c r="B8" s="6" t="s">
        <v>9</v>
      </c>
      <c r="C8" s="5"/>
      <c r="D8" s="5" t="n">
        <v>102</v>
      </c>
      <c r="E8" s="7" t="n">
        <v>176571.46</v>
      </c>
      <c r="F8" s="8" t="n">
        <f aca="false">E8/E$28</f>
        <v>0.385210651238414</v>
      </c>
    </row>
    <row r="9" customFormat="false" ht="15" hidden="false" customHeight="false" outlineLevel="0" collapsed="false">
      <c r="A9" s="9" t="n">
        <v>2</v>
      </c>
      <c r="B9" s="10" t="s">
        <v>10</v>
      </c>
      <c r="C9" s="9"/>
      <c r="D9" s="9" t="n">
        <v>85</v>
      </c>
      <c r="E9" s="11" t="n">
        <v>139209.01</v>
      </c>
      <c r="F9" s="12" t="n">
        <f aca="false">E9/E$28</f>
        <v>0.303700232191289</v>
      </c>
    </row>
    <row r="10" customFormat="false" ht="15" hidden="false" customHeight="false" outlineLevel="0" collapsed="false">
      <c r="A10" s="5" t="n">
        <v>3</v>
      </c>
      <c r="B10" s="6" t="s">
        <v>11</v>
      </c>
      <c r="C10" s="5"/>
      <c r="D10" s="5" t="n">
        <v>18</v>
      </c>
      <c r="E10" s="7" t="n">
        <v>72780.98</v>
      </c>
      <c r="F10" s="8" t="n">
        <f aca="false">E10/E$28</f>
        <v>0.158779956305339</v>
      </c>
    </row>
    <row r="11" customFormat="false" ht="15" hidden="false" customHeight="false" outlineLevel="0" collapsed="false">
      <c r="A11" s="9" t="n">
        <v>4</v>
      </c>
      <c r="B11" s="10" t="s">
        <v>12</v>
      </c>
      <c r="C11" s="9"/>
      <c r="D11" s="9" t="n">
        <v>5</v>
      </c>
      <c r="E11" s="11" t="n">
        <v>17974.5</v>
      </c>
      <c r="F11" s="12" t="n">
        <f aca="false">E11/E$28</f>
        <v>0.0392134088412978</v>
      </c>
    </row>
    <row r="12" customFormat="false" ht="15" hidden="false" customHeight="false" outlineLevel="0" collapsed="false">
      <c r="A12" s="5" t="n">
        <v>5</v>
      </c>
      <c r="B12" s="6" t="s">
        <v>13</v>
      </c>
      <c r="C12" s="5"/>
      <c r="D12" s="5" t="n">
        <v>2</v>
      </c>
      <c r="E12" s="7" t="n">
        <v>12800</v>
      </c>
      <c r="F12" s="8" t="n">
        <f aca="false">E12/E$28</f>
        <v>0.0279246506533485</v>
      </c>
    </row>
    <row r="13" customFormat="false" ht="15" hidden="false" customHeight="false" outlineLevel="0" collapsed="false">
      <c r="A13" s="9" t="n">
        <v>6</v>
      </c>
      <c r="B13" s="10" t="s">
        <v>14</v>
      </c>
      <c r="C13" s="9"/>
      <c r="D13" s="9" t="n">
        <v>11</v>
      </c>
      <c r="E13" s="11" t="n">
        <v>8131.24</v>
      </c>
      <c r="F13" s="12" t="n">
        <f aca="false">E13/E$28</f>
        <v>0.0177392215920729</v>
      </c>
    </row>
    <row r="14" customFormat="false" ht="15" hidden="false" customHeight="false" outlineLevel="0" collapsed="false">
      <c r="A14" s="5" t="n">
        <v>7</v>
      </c>
      <c r="B14" s="6" t="s">
        <v>15</v>
      </c>
      <c r="C14" s="5"/>
      <c r="D14" s="5" t="n">
        <v>6</v>
      </c>
      <c r="E14" s="7" t="n">
        <v>8076</v>
      </c>
      <c r="F14" s="8" t="n">
        <f aca="false">E14/E$28</f>
        <v>0.0176187092715971</v>
      </c>
    </row>
    <row r="15" customFormat="false" ht="15" hidden="false" customHeight="false" outlineLevel="0" collapsed="false">
      <c r="A15" s="9" t="n">
        <v>8</v>
      </c>
      <c r="B15" s="10" t="s">
        <v>16</v>
      </c>
      <c r="C15" s="9"/>
      <c r="D15" s="9" t="n">
        <v>3</v>
      </c>
      <c r="E15" s="11" t="n">
        <v>5921</v>
      </c>
      <c r="F15" s="12" t="n">
        <f aca="false">E15/E$28</f>
        <v>0.012917332540506</v>
      </c>
    </row>
    <row r="16" customFormat="false" ht="15" hidden="false" customHeight="false" outlineLevel="0" collapsed="false">
      <c r="A16" s="5" t="n">
        <v>9</v>
      </c>
      <c r="B16" s="6" t="s">
        <v>17</v>
      </c>
      <c r="C16" s="5"/>
      <c r="D16" s="5" t="n">
        <v>6</v>
      </c>
      <c r="E16" s="7" t="n">
        <v>4412.21</v>
      </c>
      <c r="F16" s="8" t="n">
        <f aca="false">E16/E$28</f>
        <v>0.00962573616087583</v>
      </c>
    </row>
    <row r="17" customFormat="false" ht="15" hidden="false" customHeight="false" outlineLevel="0" collapsed="false">
      <c r="A17" s="9" t="n">
        <v>10</v>
      </c>
      <c r="B17" s="10" t="s">
        <v>18</v>
      </c>
      <c r="C17" s="9"/>
      <c r="D17" s="9" t="n">
        <v>2</v>
      </c>
      <c r="E17" s="11" t="n">
        <v>2840</v>
      </c>
      <c r="F17" s="12" t="n">
        <f aca="false">E17/E$28</f>
        <v>0.00619578186371169</v>
      </c>
    </row>
    <row r="18" customFormat="false" ht="15" hidden="false" customHeight="false" outlineLevel="0" collapsed="false">
      <c r="A18" s="5" t="n">
        <v>11</v>
      </c>
      <c r="B18" s="6" t="s">
        <v>19</v>
      </c>
      <c r="C18" s="5"/>
      <c r="D18" s="5" t="n">
        <v>3</v>
      </c>
      <c r="E18" s="7" t="n">
        <v>2465</v>
      </c>
      <c r="F18" s="8" t="n">
        <f aca="false">E18/E$28</f>
        <v>0.00537767686410187</v>
      </c>
    </row>
    <row r="19" customFormat="false" ht="15" hidden="false" customHeight="false" outlineLevel="0" collapsed="false">
      <c r="A19" s="9" t="n">
        <v>12</v>
      </c>
      <c r="B19" s="10" t="s">
        <v>20</v>
      </c>
      <c r="C19" s="9"/>
      <c r="D19" s="9" t="n">
        <v>2</v>
      </c>
      <c r="E19" s="11" t="n">
        <v>2140</v>
      </c>
      <c r="F19" s="12" t="n">
        <f aca="false">E19/E$28</f>
        <v>0.0046686525311067</v>
      </c>
    </row>
    <row r="20" customFormat="false" ht="15" hidden="false" customHeight="false" outlineLevel="0" collapsed="false">
      <c r="A20" s="5" t="n">
        <v>13</v>
      </c>
      <c r="B20" s="6" t="s">
        <v>21</v>
      </c>
      <c r="C20" s="5"/>
      <c r="D20" s="5" t="n">
        <v>4</v>
      </c>
      <c r="E20" s="7" t="n">
        <v>1340.48</v>
      </c>
      <c r="F20" s="8" t="n">
        <f aca="false">E20/E$28</f>
        <v>0.00292440903967192</v>
      </c>
    </row>
    <row r="21" customFormat="false" ht="15" hidden="false" customHeight="false" outlineLevel="0" collapsed="false">
      <c r="A21" s="9" t="n">
        <v>14</v>
      </c>
      <c r="B21" s="10" t="s">
        <v>22</v>
      </c>
      <c r="C21" s="9"/>
      <c r="D21" s="9" t="n">
        <v>2</v>
      </c>
      <c r="E21" s="11" t="n">
        <v>1134.15</v>
      </c>
      <c r="F21" s="12" t="n">
        <f aca="false">E21/E$28</f>
        <v>0.00247427676081994</v>
      </c>
    </row>
    <row r="22" customFormat="false" ht="15" hidden="false" customHeight="false" outlineLevel="0" collapsed="false">
      <c r="A22" s="5" t="n">
        <v>15</v>
      </c>
      <c r="B22" s="6" t="s">
        <v>23</v>
      </c>
      <c r="C22" s="5"/>
      <c r="D22" s="5" t="n">
        <v>3</v>
      </c>
      <c r="E22" s="7" t="n">
        <v>811.46</v>
      </c>
      <c r="F22" s="8" t="n">
        <f aca="false">E22/E$28</f>
        <v>0.00177029195462236</v>
      </c>
    </row>
    <row r="23" customFormat="false" ht="15" hidden="false" customHeight="false" outlineLevel="0" collapsed="false">
      <c r="A23" s="9" t="n">
        <v>16</v>
      </c>
      <c r="B23" s="10" t="s">
        <v>24</v>
      </c>
      <c r="C23" s="9"/>
      <c r="D23" s="9" t="n">
        <v>3</v>
      </c>
      <c r="E23" s="11" t="n">
        <v>702.97</v>
      </c>
      <c r="F23" s="12" t="n">
        <f aca="false">E23/E$28</f>
        <v>0.0015336087242019</v>
      </c>
    </row>
    <row r="24" customFormat="false" ht="15" hidden="false" customHeight="false" outlineLevel="0" collapsed="false">
      <c r="A24" s="5" t="n">
        <v>17</v>
      </c>
      <c r="B24" s="6" t="s">
        <v>25</v>
      </c>
      <c r="C24" s="5"/>
      <c r="D24" s="5" t="n">
        <v>1</v>
      </c>
      <c r="E24" s="7" t="n">
        <v>500</v>
      </c>
      <c r="F24" s="8" t="n">
        <f aca="false">E24/E$28</f>
        <v>0.00109080666614642</v>
      </c>
    </row>
    <row r="25" customFormat="false" ht="15" hidden="false" customHeight="false" outlineLevel="0" collapsed="false">
      <c r="A25" s="9" t="n">
        <v>18</v>
      </c>
      <c r="B25" s="10" t="s">
        <v>26</v>
      </c>
      <c r="C25" s="9"/>
      <c r="D25" s="9" t="n">
        <v>4</v>
      </c>
      <c r="E25" s="11" t="n">
        <v>258.11</v>
      </c>
      <c r="F25" s="12" t="n">
        <f aca="false">E25/E$28</f>
        <v>0.000563096217198107</v>
      </c>
    </row>
    <row r="26" customFormat="false" ht="15" hidden="false" customHeight="false" outlineLevel="0" collapsed="false">
      <c r="A26" s="5" t="n">
        <v>19</v>
      </c>
      <c r="B26" s="6" t="s">
        <v>27</v>
      </c>
      <c r="C26" s="5"/>
      <c r="D26" s="5" t="n">
        <v>2</v>
      </c>
      <c r="E26" s="7" t="n">
        <v>195</v>
      </c>
      <c r="F26" s="8" t="n">
        <f aca="false">E26/E$28</f>
        <v>0.000425414599797106</v>
      </c>
    </row>
    <row r="27" customFormat="false" ht="15" hidden="false" customHeight="false" outlineLevel="0" collapsed="false">
      <c r="A27" s="9" t="n">
        <v>20</v>
      </c>
      <c r="B27" s="10" t="s">
        <v>28</v>
      </c>
      <c r="C27" s="9"/>
      <c r="D27" s="9" t="n">
        <v>2</v>
      </c>
      <c r="E27" s="11" t="n">
        <v>112.8</v>
      </c>
      <c r="F27" s="12" t="n">
        <f aca="false">E27/E$28</f>
        <v>0.000246085983882633</v>
      </c>
    </row>
    <row r="28" customFormat="false" ht="15" hidden="false" customHeight="false" outlineLevel="0" collapsed="false">
      <c r="A28" s="13"/>
      <c r="B28" s="14" t="s">
        <v>29</v>
      </c>
      <c r="C28" s="13"/>
      <c r="D28" s="14" t="n">
        <f aca="false">SUM(D8:D27)</f>
        <v>266</v>
      </c>
      <c r="E28" s="15" t="n">
        <f aca="false">SUM(E8:E27)</f>
        <v>458376.37</v>
      </c>
      <c r="F28" s="16" t="n">
        <f aca="false">SUM(F8:F27)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2026-04-09T16:41:08Z</dcterms:created>
  <dc:creator>openpyxl</dc:creator>
  <dc:description/>
  <dc:language>en-US</dc:language>
  <cp:lastModifiedBy/>
  <dcterms:modified xsi:type="dcterms:W3CDTF">2026-04-09T16:41:08Z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