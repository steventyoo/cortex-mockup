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<sst xmlns="http://schemas.openxmlformats.org/spreadsheetml/2006/main" count="481" uniqueCount="339">
  <si>
    <t xml:space="preserve">OWP #2059 · Meeker</t>
  </si>
  <si>
    <t xml:space="preserve">GRE Construction LLC · 107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</si>
  <si>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</si>
  <si>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</si>
  <si>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</si>
  <si>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</si>
  <si>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</si>
  <si>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</si>
  <si>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</si>
  <si>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</si>
  <si>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</si>
  <si>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</si>
  <si>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</si>
  <si>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</si>
  <si>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</si>
  <si>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</si>
  <si>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</si>
  <si>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</si>
  <si>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</si>
  <si>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</si>
  <si>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#2059 · GRE CONSTRUCTION LLC · Meeker — FULL PROJECT INFORMATION</t>
  </si>
  <si>
    <t xml:space="preserve">Sourced from contract + ticket + GDrive folder + JDR. Subcontract MasterSubcontract 78472.</t>
  </si>
  <si>
    <t xml:space="preserve">IDENTITY</t>
  </si>
  <si>
    <t xml:space="preserve">OWP Job ID</t>
  </si>
  <si>
    <t xml:space="preserve">2059</t>
  </si>
  <si>
    <t xml:space="preserve">Project Name</t>
  </si>
  <si>
    <t xml:space="preserve">Meeker</t>
  </si>
  <si>
    <t xml:space="preserve">Site Address</t>
  </si>
  <si>
    <t xml:space="preserve">2030 West Meeker Street, Kent WA 98032</t>
  </si>
  <si>
    <t xml:space="preserve">Subcontract Number</t>
  </si>
  <si>
    <t xml:space="preserve">MasterSubcontract 78472</t>
  </si>
  <si>
    <t xml:space="preserve">Effective Date</t>
  </si>
  <si>
    <t xml:space="preserve">Feb 27, 2019</t>
  </si>
  <si>
    <t xml:space="preserve">PROJECT TEAM — GENERAL CONTRACTOR</t>
  </si>
  <si>
    <t xml:space="preserve">GC Legal Name</t>
  </si>
  <si>
    <t xml:space="preserve">GRE Construction LLC</t>
  </si>
  <si>
    <t xml:space="preserve">GC Address</t>
  </si>
  <si>
    <t xml:space="preserve">(GRE)</t>
  </si>
  <si>
    <t xml:space="preserve">GC Contract Signatory</t>
  </si>
  <si>
    <t xml:space="preserve">GRE</t>
  </si>
  <si>
    <t xml:space="preserve">PROJECT TEAM — OWP</t>
  </si>
  <si>
    <t xml:space="preserve">OWP Legal Name</t>
  </si>
  <si>
    <t xml:space="preserve">One Way Plumbing LLC</t>
  </si>
  <si>
    <t xml:space="preserve">OWP Address</t>
  </si>
  <si>
    <t xml:space="preserve">127 10th Street S Suite 200, Kirkland WA 98033</t>
  </si>
  <si>
    <t xml:space="preserve">OWP Contract Signatory</t>
  </si>
  <si>
    <t xml:space="preserve">Richard Donelson</t>
  </si>
  <si>
    <t xml:space="preserve">OWP License #</t>
  </si>
  <si>
    <t xml:space="preserve">ONEWAWP895BU</t>
  </si>
  <si>
    <t xml:space="preserve">OWP Federal Tax ID</t>
  </si>
  <si>
    <t xml:space="preserve">27-4605928</t>
  </si>
  <si>
    <t xml:space="preserve">PROJECT TEAM — OWNER</t>
  </si>
  <si>
    <t xml:space="preserve">Owner Legal Name</t>
  </si>
  <si>
    <t xml:space="preserve">Owner Address</t>
  </si>
  <si>
    <t xml:space="preserve">PROJECT TEAM — DESIGN</t>
  </si>
  <si>
    <t xml:space="preserve">Architect</t>
  </si>
  <si>
    <t xml:space="preserve">TBD</t>
  </si>
  <si>
    <t xml:space="preserve">MEP / Plumbing Engineer</t>
  </si>
  <si>
    <t xml:space="preserve">INSURANCE &amp; BONDING</t>
  </si>
  <si>
    <t xml:space="preserve">Insurance Type</t>
  </si>
  <si>
    <t xml:space="preserve">Retention</t>
  </si>
  <si>
    <t xml:space="preserve">5% per contract</t>
  </si>
  <si>
    <t xml:space="preserve">CONTRACT</t>
  </si>
  <si>
    <t xml:space="preserve">Contract Value</t>
  </si>
  <si>
    <t xml:space="preserve">$4,378,750 original</t>
  </si>
  <si>
    <t xml:space="preserve">CHANGE-EVENT META</t>
  </si>
  <si>
    <t xml:space="preserve">Executed CO Count</t>
  </si>
  <si>
    <t xml:space="preserve">TBD — see GDrive Change Orders/CO's/</t>
  </si>
  <si>
    <t xml:space="preserve">COR Count</t>
  </si>
  <si>
    <t xml:space="preserve">RFI Count</t>
  </si>
  <si>
    <t xml:space="preserve">ASI Count</t>
  </si>
  <si>
    <t xml:space="preserve">CO Inventory</t>
  </si>
  <si>
    <t xml:space="preserve">(see GDrive — multi-building)</t>
  </si>
  <si>
    <t xml:space="preserve">COR Themes</t>
  </si>
  <si>
    <t xml:space="preserve">(see GDrive)</t>
  </si>
  <si>
    <t xml:space="preserve">Key RFIs</t>
  </si>
  <si>
    <t xml:space="preserve">DOCUMENTS ON FILE (GDrive)</t>
  </si>
  <si>
    <t xml:space="preserve">Latest Job Ticket</t>
  </si>
  <si>
    <t xml:space="preserve">GRE Meeker tenative job ticket by building 6-22-2020.pdf (8 pages — multi-building)</t>
  </si>
  <si>
    <t xml:space="preserve">GDrive Folder</t>
  </si>
  <si>
    <t xml:space="preserve">Job Books - Completed Jobs/2059-...</t>
  </si>
  <si>
    <t xml:space="preserve">Subfolders surveyed</t>
  </si>
  <si>
    <t xml:space="preserve"># Job Ticket, ASI-RFI, Billing, Change Orders, Contract, Insurance, Meetings-Schedules, Permits, PO's, Plans, Submittals, Vendor Lien Waivers, Vendor Quotes</t>
  </si>
  <si>
    <t xml:space="preserve">FIXTURE SCHEDULE (verified from latest Job Ticket)</t>
  </si>
  <si>
    <t xml:space="preserve">Toilets — Building A</t>
  </si>
  <si>
    <t xml:space="preserve">117 Gerber SE 21-112 + 17 ADA SE 21-118</t>
  </si>
  <si>
    <t xml:space="preserve">Lavs — Building A</t>
  </si>
  <si>
    <t xml:space="preserve">Lenova UB-903W undercounter + Delta 573LF-PP</t>
  </si>
  <si>
    <t xml:space="preserve">Tub/showers — Building A</t>
  </si>
  <si>
    <t xml:space="preserve">117 Aquatic 2603CT + 17 ADA 2603CTH + Delta BT13210/R10000MF</t>
  </si>
  <si>
    <t xml:space="preserve">Kitchen sinks — Building A</t>
  </si>
  <si>
    <t xml:space="preserve">90 Dayton DCFU2115 + 17 Elkay ELUHAD ADA + Delta 9113</t>
  </si>
  <si>
    <t xml:space="preserve">Garbage disposals</t>
  </si>
  <si>
    <t xml:space="preserve">Moen GXP33C 1/3hp</t>
  </si>
  <si>
    <t xml:space="preserve">Disposal air switches</t>
  </si>
  <si>
    <t xml:space="preserve">Moen ARC-4200 (island sinks + ADA)</t>
  </si>
  <si>
    <t xml:space="preserve">Water heaters per unit</t>
  </si>
  <si>
    <t xml:space="preserve">50-gallon electric Ruud ProE50-T2</t>
  </si>
  <si>
    <t xml:space="preserve">Building A amenity</t>
  </si>
  <si>
    <t xml:space="preserve">4 ADA toilets + 4 lavs + 3 SS sinks + 6 Eemax on-demand WHs</t>
  </si>
  <si>
    <t xml:space="preserve">VERIFIED MAIN FIXTURE COUNT</t>
  </si>
  <si>
    <t xml:space="preserve">Per unit (107): 7.17</t>
  </si>
  <si>
    <t xml:space="preserve">AUDIT NOTE (2026-04-25): First-pass count of 773 was the all-itemized sum (included drains, hose bibs, condensate stacks, water heaters, appliance rough-ins). Verified main count of 767 matches plumbing-engineering 'fixture schedule' definition (toilets + lavs + tub/showers + kitchen sinks + drinking fountains + mop sinks + dog wash + bar sinks). Same convention as 2051 (803) and 2052 (482).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</si>
  <si>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</si>
  <si>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</si>
  <si>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</si>
  <si>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</si>
  <si>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</si>
  <si>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</si>
  <si>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</si>
  <si>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</si>
  <si>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</si>
  <si>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</si>
  <si>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</si>
  <si>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</si>
  <si>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</si>
  <si>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</si>
  <si>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</si>
  <si>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</si>
  <si>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</si>
  <si>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</si>
  <si>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</si>
  <si>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</si>
  <si>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</si>
  <si>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</si>
  <si>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</si>
  <si>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Status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</si>
  <si>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</si>
  <si>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</si>
  <si>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</si>
  <si>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</si>
  <si>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</si>
  <si>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</si>
  <si>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</si>
  <si>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</si>
  <si>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</si>
  <si>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</si>
  <si>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</si>
  <si>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</si>
  <si>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</si>
  <si>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</si>
  <si>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</si>
  <si>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</si>
  <si>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</si>
  <si>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</si>
  <si>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</si>
  <si>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</si>
  <si>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</si>
  <si>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</si>
  <si>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</si>
  <si>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</si>
  <si>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143</t>
  </si>
  <si>
    <t xml:space="preserve">Condensation Drains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</si>
  <si>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</si>
  <si>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</si>
  <si>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</si>
  <si>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</si>
  <si>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</si>
  <si>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</si>
  <si>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</si>
  <si>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</si>
  <si>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</si>
  <si>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</si>
  <si>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</si>
  <si>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</si>
  <si>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</si>
  <si>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</si>
  <si>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</si>
  <si>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</si>
  <si>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</si>
  <si>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</si>
  <si>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</si>
  <si>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</si>
  <si>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</si>
  <si>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</si>
  <si>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</si>
  <si>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</si>
  <si>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</si>
  <si>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</si>
  <si>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</si>
  <si>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</si>
  <si>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997</t>
  </si>
  <si>
    <t xml:space="preserve">Employee Benefits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</si>
  <si>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</si>
  <si>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</si>
  <si>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</si>
  <si>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</si>
  <si>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</si>
  <si>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</si>
  <si>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</si>
  <si>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</si>
  <si>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</si>
  <si>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</si>
  <si>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</si>
  <si>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</si>
  <si>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</si>
  <si>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</si>
  <si>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</si>
  <si>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</si>
  <si>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</si>
  <si>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</si>
  <si>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</si>
  <si>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Rosen Supply Kirkland</t>
  </si>
  <si>
    <t xml:space="preserve">Keller Supply Company</t>
  </si>
  <si>
    <t xml:space="preserve">Consolidated Supply Co.</t>
  </si>
  <si>
    <t xml:space="preserve">Franklin Engineering</t>
  </si>
  <si>
    <t xml:space="preserve">Capital One Credit Card</t>
  </si>
  <si>
    <t xml:space="preserve">Ferguson Enterprises, Inc. #3007</t>
  </si>
  <si>
    <t xml:space="preserve">California Hydronics Corp</t>
  </si>
  <si>
    <t xml:space="preserve">Bank of America CC</t>
  </si>
  <si>
    <t xml:space="preserve">Old Castle Infrastructure, Inc.</t>
  </si>
  <si>
    <t xml:space="preserve">Patchworks, Inc.</t>
  </si>
  <si>
    <t xml:space="preserve">Core &amp; Main LP $HD Supply Waterworks</t>
  </si>
  <si>
    <t xml:space="preserve">DRSi</t>
  </si>
  <si>
    <t xml:space="preserve">Manor Hardware &amp; Construction Supply</t>
  </si>
  <si>
    <t xml:space="preserve">Mechanical Sales, Inc.</t>
  </si>
  <si>
    <t xml:space="preserve">Kele, Inc $ MI Controls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</si>
  <si>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</si>
  <si>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</si>
  <si>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</si>
  <si>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</si>
  <si>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</si>
  <si>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</si>
  <si>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</si>
  <si>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Martinez Reyes, Juan C</t>
  </si>
  <si>
    <t xml:space="preserve">JOURNEYMAN</t>
  </si>
  <si>
    <t xml:space="preserve">Barbosa, Michael S</t>
  </si>
  <si>
    <t xml:space="preserve">Hernandez Gonzalez, Osbaldo</t>
  </si>
  <si>
    <t xml:space="preserve">Gonzalez Hernandez, Josue</t>
  </si>
  <si>
    <t xml:space="preserve">Holmes, Anthony R</t>
  </si>
  <si>
    <t xml:space="preserve">LEAD/SUPERVISOR</t>
  </si>
  <si>
    <t xml:space="preserve">Lee, Ha Nul</t>
  </si>
  <si>
    <t xml:space="preserve">Mendoza Morales, Jesus A</t>
  </si>
  <si>
    <t xml:space="preserve">Rivera, Jorge A</t>
  </si>
  <si>
    <t xml:space="preserve">Anderson, Richard P</t>
  </si>
  <si>
    <t xml:space="preserve">Lima Romero, Melvin A</t>
  </si>
  <si>
    <t xml:space="preserve">Ramos Herrera, Franklin J</t>
  </si>
  <si>
    <t xml:space="preserve">Paco Leyva, Orlando</t>
  </si>
  <si>
    <t xml:space="preserve">Sanders, Allen O</t>
  </si>
  <si>
    <t xml:space="preserve">Chevez, Herson G</t>
  </si>
  <si>
    <t xml:space="preserve">Galdamez, Dagoberto A</t>
  </si>
  <si>
    <t xml:space="preserve">Lovo, German G</t>
  </si>
  <si>
    <t xml:space="preserve">Barnhart, Joseph N</t>
  </si>
  <si>
    <t xml:space="preserve">Benites Portillo, Marvin E</t>
  </si>
  <si>
    <t xml:space="preserve">Belcher, Jacob T</t>
  </si>
  <si>
    <t xml:space="preserve">Cruz Reyes, Jose</t>
  </si>
  <si>
    <t xml:space="preserve">Reyes Cruz, Denis A</t>
  </si>
  <si>
    <t xml:space="preserve">Rosas Olivares, Jorge C</t>
  </si>
  <si>
    <t xml:space="preserve">Boss, Benjamin T</t>
  </si>
  <si>
    <t xml:space="preserve">APPRENTICE/HELPER</t>
  </si>
  <si>
    <t xml:space="preserve">Stahlschmidt, John P</t>
  </si>
  <si>
    <t xml:space="preserve">Ascencio, Jose L</t>
  </si>
  <si>
    <t xml:space="preserve">Hoeg, Xavier A</t>
  </si>
  <si>
    <t xml:space="preserve">Amaya Gonzalez, Edilberto A</t>
  </si>
  <si>
    <t xml:space="preserve">Cruz Gonzalez, Julio C</t>
  </si>
  <si>
    <t xml:space="preserve">Romero Garza, Jesus I</t>
  </si>
  <si>
    <t xml:space="preserve">Gutierrez Salas, Jose</t>
  </si>
  <si>
    <t xml:space="preserve">Velasquez Cruz, Osman N</t>
  </si>
  <si>
    <t xml:space="preserve">Gerard, Jeffrey S</t>
  </si>
  <si>
    <t xml:space="preserve">Velasquez Cruz, Denis M</t>
  </si>
  <si>
    <t xml:space="preserve">Young, Joshua S</t>
  </si>
  <si>
    <t xml:space="preserve">Eliassen, Cory H</t>
  </si>
  <si>
    <t xml:space="preserve">Guillen, Adrian</t>
  </si>
  <si>
    <t xml:space="preserve">Hubbard, Justin A</t>
  </si>
  <si>
    <t xml:space="preserve">Boss, Kyle A</t>
  </si>
  <si>
    <t xml:space="preserve">Donelson, Richard T</t>
  </si>
  <si>
    <t xml:space="preserve">Trower-Kelly, Fidel D</t>
  </si>
  <si>
    <t xml:space="preserve">Gerard, Mitchell J</t>
  </si>
  <si>
    <t xml:space="preserve">Taylor, Evan R</t>
  </si>
  <si>
    <t xml:space="preserve">Mackey, Cole J</t>
  </si>
  <si>
    <t xml:space="preserve">Gauthier, Dillon R</t>
  </si>
  <si>
    <t xml:space="preserve">Draves, Steven W</t>
  </si>
  <si>
    <t xml:space="preserve">Gerard, Jordan E</t>
  </si>
  <si>
    <t xml:space="preserve">Hubbard, Robert W</t>
  </si>
  <si>
    <t xml:space="preserve">Kinssies, Jr, John E</t>
  </si>
  <si>
    <t xml:space="preserve">Wage Tier Distribution</t>
  </si>
  <si>
    <t xml:space="preserve"># Workers</t>
  </si>
  <si>
    <t xml:space="preserve">% of Hours</t>
  </si>
  <si>
    <t xml:space="preserve">OT-ONLY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</si>
  <si>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</si>
  <si>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</si>
  <si>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</si>
  <si>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</si>
  <si>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</si>
  <si>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</si>
  <si>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</si>
  <si>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</si>
  <si>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</si>
  <si>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</si>
  <si>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</si>
  <si>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</si>
  <si>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</si>
  <si>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</si>
  <si>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</si>
  <si>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</si>
  <si>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Roughin Labor (120) over revised</t>
  </si>
  <si>
    <t xml:space="preserve">⚠ WATCH</t>
  </si>
  <si>
    <t xml:space="preserve">Actual $700,399 vs revised $594,524 (+18%) — monitor</t>
  </si>
  <si>
    <t xml:space="preserve">Water Main/Insulation Lab (141) CRITICAL overrun</t>
  </si>
  <si>
    <t xml:space="preserve">Actual $131,285 vs revised $73,190 (+79%) — needs immediate attention</t>
  </si>
  <si>
    <t xml:space="preserve">Subcontractor (600) CRITICAL overrun</t>
  </si>
  <si>
    <t xml:space="preserve">Actual $5,916 vs revised $3,000 (+97%) — needs immediate attention</t>
  </si>
  <si>
    <t xml:space="preserve">Top vendor concentration (Rosen Supply Kirklan)</t>
  </si>
  <si>
    <t xml:space="preserve">46% of AP ($439,000) — high, monitor</t>
  </si>
  <si>
    <t xml:space="preserve">Retention aging</t>
  </si>
  <si>
    <t xml:space="preserve">✓ OK</t>
  </si>
  <si>
    <t xml:space="preserve">$224,623 held · 5.0% of billed · standard range</t>
  </si>
  <si>
    <t xml:space="preserve">26.0%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</si>
  <si>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</si>
  <si>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</si>
  <si>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</si>
  <si>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</si>
  <si>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</si>
  <si>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</si>
  <si>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</si>
  <si>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</si>
  <si>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</si>
  <si>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</si>
  <si>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</si>
  <si>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</si>
  <si>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</si>
  <si>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</si>
  <si>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</si>
  <si>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</si>
  <si>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</si>
  <si>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</si>
  <si>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</si>
  <si>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</si>
  <si>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</si>
  <si>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</si>
  <si>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</si>
  <si>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</si>
  <si>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</si>
  <si>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</si>
  <si>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</si>
  <si>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</si>
  <si>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</si>
  <si>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</si>
  <si>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#2059 live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</si>
</sst>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FFF8E7"/>
        <bgColor rgb="FFFFFFFF"/>
      </patternFill>
    </fill>
    <fill>
      <patternFill patternType="solid">
        <fgColor rgb="FF2C3E50"/>
        <bgColor rgb="FF2C2B29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EC5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4492453</v>
      </c>
    </row>
    <row r="6" customFormat="false" ht="15" hidden="false" customHeight="true" outlineLevel="0" collapsed="false">
      <c r="A6" s="5" t="s">
        <v>4</v>
      </c>
      <c r="B6" s="6" t="n">
        <v>3325596.14</v>
      </c>
    </row>
    <row r="7" customFormat="false" ht="15" hidden="false" customHeight="true" outlineLevel="0" collapsed="false">
      <c r="A7" s="5" t="s">
        <v>5</v>
      </c>
      <c r="B7" s="7" t="n">
        <f aca="false">B5-B6</f>
        <v>1166856.86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0.259737132475287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4492453</v>
      </c>
    </row>
    <row r="12" customFormat="false" ht="15" hidden="false" customHeight="true" outlineLevel="0" collapsed="false">
      <c r="A12" s="5" t="s">
        <v>9</v>
      </c>
      <c r="B12" s="6" t="n">
        <v>224622.65</v>
      </c>
    </row>
    <row r="13" customFormat="false" ht="15" hidden="false" customHeight="true" outlineLevel="0" collapsed="false">
      <c r="A13" s="5" t="s">
        <v>10</v>
      </c>
      <c r="B13" s="7" t="n">
        <f aca="false">B11-B12</f>
        <v>4267830.35</v>
      </c>
    </row>
    <row r="14" customFormat="false" ht="15" hidden="false" customHeight="true" outlineLevel="0" collapsed="false">
      <c r="A14" s="5" t="s">
        <v>11</v>
      </c>
      <c r="B14" s="7" t="n">
        <f aca="false">B5-B11</f>
        <v>0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189320.4</v>
      </c>
    </row>
    <row r="20" customFormat="false" ht="15" hidden="false" customHeight="true" outlineLevel="0" collapsed="false">
      <c r="A20" s="5" t="s">
        <v>17</v>
      </c>
      <c r="B20" s="10" t="n">
        <v>958863.39</v>
      </c>
    </row>
    <row r="21" customFormat="false" ht="15" hidden="false" customHeight="true" outlineLevel="0" collapsed="false">
      <c r="A21" s="5" t="s">
        <v>18</v>
      </c>
      <c r="B21" s="10" t="n">
        <v>1867384.49</v>
      </c>
    </row>
    <row r="22" customFormat="false" ht="15" hidden="false" customHeight="true" outlineLevel="0" collapsed="false">
      <c r="A22" s="5" t="s">
        <v>19</v>
      </c>
      <c r="B22" s="10" t="n">
        <v>-4492453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3"/>
      <c r="B10" s="5"/>
    </row>
    <row r="11" customFormat="false" ht="15" hidden="false" customHeight="true" outlineLevel="0" collapsed="false">
      <c r="A11" s="14" t="s">
        <v>33</v>
      </c>
      <c r="B11" s="14"/>
      <c r="C11" s="14"/>
      <c r="D11" s="14"/>
      <c r="E11" s="14"/>
      <c r="F11" s="14"/>
    </row>
    <row r="12" customFormat="false" ht="15" hidden="false" customHeight="true" outlineLevel="0" collapsed="false">
      <c r="A12" s="15" t="s">
        <v>34</v>
      </c>
      <c r="B12" s="16" t="s">
        <v>35</v>
      </c>
      <c r="C12" s="16"/>
      <c r="D12" s="16"/>
      <c r="E12" s="16"/>
      <c r="F12" s="16"/>
    </row>
    <row r="13" customFormat="false" ht="15" hidden="false" customHeight="true" outlineLevel="0" collapsed="false">
      <c r="A13" s="15" t="s">
        <v>36</v>
      </c>
      <c r="B13" s="16" t="s">
        <v>37</v>
      </c>
      <c r="C13" s="16"/>
      <c r="D13" s="16"/>
      <c r="E13" s="16"/>
      <c r="F13" s="16"/>
    </row>
    <row r="14" customFormat="false" ht="15" hidden="false" customHeight="true" outlineLevel="0" collapsed="false">
      <c r="A14" s="15" t="s">
        <v>38</v>
      </c>
      <c r="B14" s="16" t="s">
        <v>39</v>
      </c>
      <c r="C14" s="16"/>
      <c r="D14" s="16"/>
      <c r="E14" s="16"/>
      <c r="F14" s="16"/>
    </row>
    <row r="16" customFormat="false" ht="15" hidden="false" customHeight="true" outlineLevel="0" collapsed="false">
      <c r="A16" s="14" t="s">
        <v>40</v>
      </c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5" t="s">
        <v>41</v>
      </c>
      <c r="B17" s="16" t="s">
        <v>42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43</v>
      </c>
      <c r="B18" s="16" t="s">
        <v>44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45</v>
      </c>
      <c r="B19" s="16" t="s">
        <v>46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47</v>
      </c>
      <c r="B20" s="16" t="s">
        <v>48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49</v>
      </c>
      <c r="B21" s="16" t="s">
        <v>50</v>
      </c>
      <c r="C21" s="16"/>
      <c r="D21" s="16"/>
      <c r="E21" s="16"/>
      <c r="F21" s="16"/>
    </row>
    <row r="23" customFormat="false" ht="15" hidden="false" customHeight="true" outlineLevel="0" collapsed="false">
      <c r="A23" s="14" t="s">
        <v>51</v>
      </c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5" t="s">
        <v>52</v>
      </c>
      <c r="B24" s="16" t="s">
        <v>39</v>
      </c>
      <c r="C24" s="16"/>
      <c r="D24" s="16"/>
      <c r="E24" s="16"/>
      <c r="F24" s="16"/>
    </row>
    <row r="25" customFormat="false" ht="15" hidden="false" customHeight="true" outlineLevel="0" collapsed="false">
      <c r="A25" s="15" t="s">
        <v>53</v>
      </c>
      <c r="B25" s="16" t="s">
        <v>37</v>
      </c>
      <c r="C25" s="16"/>
      <c r="D25" s="16"/>
      <c r="E25" s="16"/>
      <c r="F25" s="16"/>
    </row>
    <row r="27" customFormat="false" ht="15" hidden="false" customHeight="true" outlineLevel="0" collapsed="false">
      <c r="A27" s="14" t="s">
        <v>54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5" t="s">
        <v>55</v>
      </c>
      <c r="B28" s="16" t="s">
        <v>56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57</v>
      </c>
      <c r="B29" s="16" t="s">
        <v>56</v>
      </c>
      <c r="C29" s="16"/>
      <c r="D29" s="16"/>
      <c r="E29" s="16"/>
      <c r="F29" s="16"/>
    </row>
    <row r="31" customFormat="false" ht="15" hidden="false" customHeight="true" outlineLevel="0" collapsed="false">
      <c r="A31" s="14" t="s">
        <v>58</v>
      </c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5" t="s">
        <v>59</v>
      </c>
      <c r="B32" s="16" t="s">
        <v>56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60</v>
      </c>
      <c r="B33" s="16" t="s">
        <v>61</v>
      </c>
      <c r="C33" s="16"/>
      <c r="D33" s="16"/>
      <c r="E33" s="16"/>
      <c r="F33" s="16"/>
    </row>
    <row r="35" customFormat="false" ht="15" hidden="false" customHeight="true" outlineLevel="0" collapsed="false">
      <c r="A35" s="14" t="s">
        <v>62</v>
      </c>
      <c r="B35" s="14"/>
      <c r="C35" s="14"/>
      <c r="D35" s="14"/>
      <c r="E35" s="14"/>
      <c r="F35" s="14"/>
    </row>
    <row r="36" customFormat="false" ht="15" hidden="false" customHeight="true" outlineLevel="0" collapsed="false">
      <c r="A36" s="15" t="s">
        <v>63</v>
      </c>
      <c r="B36" s="16" t="s">
        <v>64</v>
      </c>
      <c r="C36" s="16"/>
      <c r="D36" s="16"/>
      <c r="E36" s="16"/>
      <c r="F36" s="16"/>
    </row>
    <row r="38" customFormat="false" ht="15" hidden="false" customHeight="true" outlineLevel="0" collapsed="false">
      <c r="A38" s="14" t="s">
        <v>65</v>
      </c>
      <c r="B38" s="14"/>
      <c r="C38" s="14"/>
      <c r="D38" s="14"/>
      <c r="E38" s="14"/>
      <c r="F38" s="14"/>
    </row>
    <row r="39" customFormat="false" ht="15" hidden="false" customHeight="true" outlineLevel="0" collapsed="false">
      <c r="A39" s="15" t="s">
        <v>66</v>
      </c>
      <c r="B39" s="16" t="s">
        <v>67</v>
      </c>
      <c r="C39" s="16"/>
      <c r="D39" s="16"/>
      <c r="E39" s="16"/>
      <c r="F39" s="16"/>
    </row>
    <row r="40" customFormat="false" ht="15" hidden="false" customHeight="true" outlineLevel="0" collapsed="false">
      <c r="A40" s="15" t="s">
        <v>68</v>
      </c>
      <c r="B40" s="16" t="s">
        <v>56</v>
      </c>
      <c r="C40" s="16"/>
      <c r="D40" s="16"/>
      <c r="E40" s="16"/>
      <c r="F40" s="16"/>
    </row>
    <row r="41" customFormat="false" ht="15" hidden="false" customHeight="true" outlineLevel="0" collapsed="false">
      <c r="A41" s="15" t="s">
        <v>69</v>
      </c>
      <c r="B41" s="16" t="s">
        <v>56</v>
      </c>
      <c r="C41" s="16"/>
      <c r="D41" s="16"/>
      <c r="E41" s="16"/>
      <c r="F41" s="16"/>
    </row>
    <row r="42" customFormat="false" ht="15" hidden="false" customHeight="true" outlineLevel="0" collapsed="false">
      <c r="A42" s="15" t="s">
        <v>70</v>
      </c>
      <c r="B42" s="16" t="s">
        <v>56</v>
      </c>
      <c r="C42" s="16"/>
      <c r="D42" s="16"/>
      <c r="E42" s="16"/>
      <c r="F42" s="16"/>
    </row>
    <row r="43" customFormat="false" ht="15" hidden="false" customHeight="true" outlineLevel="0" collapsed="false">
      <c r="A43" s="15" t="s">
        <v>71</v>
      </c>
      <c r="B43" s="16" t="s">
        <v>72</v>
      </c>
      <c r="C43" s="16"/>
      <c r="D43" s="16"/>
      <c r="E43" s="16"/>
      <c r="F43" s="16"/>
    </row>
    <row r="44" customFormat="false" ht="15" hidden="false" customHeight="true" outlineLevel="0" collapsed="false">
      <c r="A44" s="15" t="s">
        <v>73</v>
      </c>
      <c r="B44" s="16" t="s">
        <v>74</v>
      </c>
      <c r="C44" s="16"/>
      <c r="D44" s="16"/>
      <c r="E44" s="16"/>
      <c r="F44" s="16"/>
    </row>
    <row r="45" customFormat="false" ht="15" hidden="false" customHeight="true" outlineLevel="0" collapsed="false">
      <c r="A45" s="15" t="s">
        <v>75</v>
      </c>
      <c r="B45" s="16" t="s">
        <v>74</v>
      </c>
      <c r="C45" s="16"/>
      <c r="D45" s="16"/>
      <c r="E45" s="16"/>
      <c r="F45" s="16"/>
    </row>
    <row r="47" customFormat="false" ht="15" hidden="false" customHeight="true" outlineLevel="0" collapsed="false">
      <c r="A47" s="14" t="s">
        <v>76</v>
      </c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5" t="s">
        <v>77</v>
      </c>
      <c r="B48" s="16" t="s">
        <v>78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79</v>
      </c>
      <c r="B49" s="16" t="s">
        <v>80</v>
      </c>
      <c r="C49" s="16"/>
      <c r="D49" s="16"/>
      <c r="E49" s="16"/>
      <c r="F49" s="16"/>
    </row>
    <row r="50" customFormat="false" ht="23.25" hidden="false" customHeight="true" outlineLevel="0" collapsed="false">
      <c r="A50" s="15" t="s">
        <v>81</v>
      </c>
      <c r="B50" s="16" t="s">
        <v>82</v>
      </c>
      <c r="C50" s="16"/>
      <c r="D50" s="16"/>
      <c r="E50" s="16"/>
      <c r="F50" s="16"/>
    </row>
    <row r="52" customFormat="false" ht="15" hidden="false" customHeight="true" outlineLevel="0" collapsed="false">
      <c r="A52" s="17" t="s">
        <v>83</v>
      </c>
      <c r="B52" s="17"/>
      <c r="C52" s="17"/>
      <c r="D52" s="17"/>
      <c r="E52" s="17"/>
      <c r="F52" s="17"/>
    </row>
    <row r="53" customFormat="false" ht="15" hidden="false" customHeight="true" outlineLevel="0" collapsed="false">
      <c r="A53" s="15" t="s">
        <v>84</v>
      </c>
      <c r="B53" s="18" t="n">
        <v>134</v>
      </c>
      <c r="C53" s="16" t="s">
        <v>85</v>
      </c>
      <c r="D53" s="16"/>
      <c r="E53" s="16"/>
      <c r="F53" s="16"/>
    </row>
    <row r="54" customFormat="false" ht="15" hidden="false" customHeight="true" outlineLevel="0" collapsed="false">
      <c r="A54" s="15" t="s">
        <v>86</v>
      </c>
      <c r="B54" s="18" t="n">
        <v>134</v>
      </c>
      <c r="C54" s="16" t="s">
        <v>87</v>
      </c>
      <c r="D54" s="16"/>
      <c r="E54" s="16"/>
      <c r="F54" s="16"/>
    </row>
    <row r="55" customFormat="false" ht="15" hidden="false" customHeight="true" outlineLevel="0" collapsed="false">
      <c r="A55" s="15" t="s">
        <v>88</v>
      </c>
      <c r="B55" s="18" t="n">
        <v>134</v>
      </c>
      <c r="C55" s="16" t="s">
        <v>89</v>
      </c>
      <c r="D55" s="16"/>
      <c r="E55" s="16"/>
      <c r="F55" s="16"/>
    </row>
    <row r="56" customFormat="false" ht="15" hidden="false" customHeight="true" outlineLevel="0" collapsed="false">
      <c r="A56" s="15" t="s">
        <v>90</v>
      </c>
      <c r="B56" s="18" t="n">
        <v>107</v>
      </c>
      <c r="C56" s="16" t="s">
        <v>91</v>
      </c>
      <c r="D56" s="16"/>
      <c r="E56" s="16"/>
      <c r="F56" s="16"/>
    </row>
    <row r="57" customFormat="false" ht="15" hidden="false" customHeight="true" outlineLevel="0" collapsed="false">
      <c r="A57" s="15" t="s">
        <v>92</v>
      </c>
      <c r="B57" s="18" t="n">
        <v>107</v>
      </c>
      <c r="C57" s="16" t="s">
        <v>93</v>
      </c>
      <c r="D57" s="16"/>
      <c r="E57" s="16"/>
      <c r="F57" s="16"/>
    </row>
    <row r="58" customFormat="false" ht="15" hidden="false" customHeight="true" outlineLevel="0" collapsed="false">
      <c r="A58" s="15" t="s">
        <v>94</v>
      </c>
      <c r="B58" s="18" t="n">
        <v>33</v>
      </c>
      <c r="C58" s="16" t="s">
        <v>95</v>
      </c>
      <c r="D58" s="16"/>
      <c r="E58" s="16"/>
      <c r="F58" s="16"/>
    </row>
    <row r="59" customFormat="false" ht="15" hidden="false" customHeight="true" outlineLevel="0" collapsed="false">
      <c r="A59" s="15" t="s">
        <v>96</v>
      </c>
      <c r="B59" s="18" t="n">
        <v>107</v>
      </c>
      <c r="C59" s="16" t="s">
        <v>97</v>
      </c>
      <c r="D59" s="16"/>
      <c r="E59" s="16"/>
      <c r="F59" s="16"/>
    </row>
    <row r="60" customFormat="false" ht="12" hidden="false" customHeight="true" outlineLevel="0" collapsed="false">
      <c r="A60" s="15" t="s">
        <v>98</v>
      </c>
      <c r="B60" s="18" t="n">
        <v>17</v>
      </c>
      <c r="C60" s="16" t="s">
        <v>99</v>
      </c>
      <c r="D60" s="16"/>
      <c r="E60" s="16"/>
      <c r="F60" s="16"/>
    </row>
    <row r="61" customFormat="false" ht="15" hidden="false" customHeight="true" outlineLevel="0" collapsed="false">
      <c r="A61" s="19" t="s">
        <v>100</v>
      </c>
      <c r="B61" s="19" t="n">
        <v>767</v>
      </c>
    </row>
    <row r="62" customFormat="false" ht="15" hidden="false" customHeight="false" outlineLevel="0" collapsed="false">
      <c r="A62" s="20" t="s">
        <v>101</v>
      </c>
    </row>
    <row r="63" customFormat="false" ht="35.05" hidden="false" customHeight="true" outlineLevel="0" collapsed="false">
      <c r="A63" s="21" t="s">
        <v>102</v>
      </c>
      <c r="B63" s="21"/>
      <c r="C63" s="21"/>
      <c r="D63" s="21"/>
      <c r="E63" s="21"/>
      <c r="F63" s="21"/>
    </row>
  </sheetData>
  <mergeCells count="51"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A31:F31"/>
    <mergeCell ref="B32:F32"/>
    <mergeCell ref="B33:F33"/>
    <mergeCell ref="A35:F35"/>
    <mergeCell ref="B36:F36"/>
    <mergeCell ref="A38:F38"/>
    <mergeCell ref="B39:F39"/>
    <mergeCell ref="B40:F40"/>
    <mergeCell ref="B41:F41"/>
    <mergeCell ref="B42:F42"/>
    <mergeCell ref="B43:F43"/>
    <mergeCell ref="B44:F44"/>
    <mergeCell ref="B45:F45"/>
    <mergeCell ref="A47:F47"/>
    <mergeCell ref="B48:F48"/>
    <mergeCell ref="B49:F49"/>
    <mergeCell ref="B50:F50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A63:F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103</v>
      </c>
    </row>
    <row r="3" customFormat="false" ht="15" hidden="false" customHeight="true" outlineLevel="0" collapsed="false">
      <c r="A3" s="22" t="s">
        <v>104</v>
      </c>
      <c r="B3" s="22" t="s">
        <v>105</v>
      </c>
      <c r="C3" s="22" t="s">
        <v>106</v>
      </c>
      <c r="D3" s="22" t="s">
        <v>107</v>
      </c>
    </row>
    <row r="4" customFormat="false" ht="15" hidden="false" customHeight="true" outlineLevel="0" collapsed="false">
      <c r="A4" s="5" t="s">
        <v>108</v>
      </c>
      <c r="B4" s="6" t="n">
        <v>4378750</v>
      </c>
      <c r="C4" s="6" t="n">
        <v>4492453</v>
      </c>
      <c r="D4" s="10" t="n">
        <f aca="false">C4-B4</f>
        <v>113703</v>
      </c>
    </row>
    <row r="5" customFormat="false" ht="15" hidden="false" customHeight="true" outlineLevel="0" collapsed="false">
      <c r="A5" s="5" t="s">
        <v>109</v>
      </c>
      <c r="B5" s="6" t="n">
        <v>0</v>
      </c>
      <c r="C5" s="6" t="n">
        <v>113703</v>
      </c>
      <c r="D5" s="10" t="n">
        <f aca="false">C5-B5</f>
        <v>113703</v>
      </c>
    </row>
    <row r="6" customFormat="false" ht="15" hidden="false" customHeight="true" outlineLevel="0" collapsed="false">
      <c r="A6" s="13" t="s">
        <v>110</v>
      </c>
      <c r="B6" s="7" t="n">
        <f aca="false">SUM(B4:B5)</f>
        <v>4378750</v>
      </c>
      <c r="C6" s="7" t="n">
        <f aca="false">SUM(C4:C5)</f>
        <v>4606156</v>
      </c>
      <c r="D6" s="7" t="n">
        <f aca="false">SUM(D4:D5)</f>
        <v>227406</v>
      </c>
    </row>
    <row r="9" customFormat="false" ht="15" hidden="false" customHeight="true" outlineLevel="0" collapsed="false">
      <c r="A9" s="4" t="s">
        <v>111</v>
      </c>
    </row>
    <row r="10" customFormat="false" ht="15" hidden="false" customHeight="true" outlineLevel="0" collapsed="false">
      <c r="A10" s="22" t="s">
        <v>112</v>
      </c>
      <c r="B10" s="22" t="s">
        <v>113</v>
      </c>
      <c r="C10" s="2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115</v>
      </c>
    </row>
    <row r="3" customFormat="false" ht="15" hidden="false" customHeight="tru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  <c r="F3" s="22" t="s">
        <v>121</v>
      </c>
      <c r="G3" s="2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" t="s">
        <v>123</v>
      </c>
    </row>
    <row r="3" customFormat="false" ht="15" hidden="false" customHeight="true" outlineLevel="0" collapsed="false">
      <c r="A3" s="22" t="s">
        <v>124</v>
      </c>
      <c r="B3" s="22" t="s">
        <v>125</v>
      </c>
      <c r="C3" s="22" t="s">
        <v>113</v>
      </c>
      <c r="D3" s="22" t="s">
        <v>114</v>
      </c>
      <c r="E3" s="2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127</v>
      </c>
    </row>
    <row r="3" customFormat="false" ht="15" hidden="false" customHeight="true" outlineLevel="0" collapsed="false">
      <c r="A3" s="22" t="s">
        <v>128</v>
      </c>
      <c r="B3" s="22" t="s">
        <v>113</v>
      </c>
      <c r="C3" s="22" t="s">
        <v>105</v>
      </c>
      <c r="D3" s="22" t="s">
        <v>106</v>
      </c>
      <c r="E3" s="22" t="s">
        <v>129</v>
      </c>
      <c r="F3" s="22" t="s">
        <v>130</v>
      </c>
      <c r="G3" s="22" t="s">
        <v>131</v>
      </c>
      <c r="H3" s="22" t="s">
        <v>132</v>
      </c>
    </row>
    <row r="4" customFormat="false" ht="15" hidden="false" customHeight="true" outlineLevel="0" collapsed="false">
      <c r="A4" s="5" t="s">
        <v>133</v>
      </c>
      <c r="B4" s="5" t="s">
        <v>134</v>
      </c>
      <c r="C4" s="6" t="n">
        <v>24225</v>
      </c>
      <c r="D4" s="6" t="n">
        <v>24225</v>
      </c>
      <c r="E4" s="6" t="n">
        <v>10931.5</v>
      </c>
      <c r="F4" s="10" t="n">
        <f aca="false">D4-E4</f>
        <v>13293.5</v>
      </c>
      <c r="G4" s="6" t="n">
        <v>0</v>
      </c>
      <c r="H4" s="23" t="n">
        <f aca="false">IFERROR(E4/D4,0)</f>
        <v>0.45124871001032</v>
      </c>
    </row>
    <row r="5" customFormat="false" ht="15" hidden="false" customHeight="true" outlineLevel="0" collapsed="false">
      <c r="A5" s="5" t="s">
        <v>135</v>
      </c>
      <c r="B5" s="5" t="s">
        <v>136</v>
      </c>
      <c r="C5" s="6" t="n">
        <v>30200</v>
      </c>
      <c r="D5" s="6" t="n">
        <v>30200</v>
      </c>
      <c r="E5" s="6" t="n">
        <v>19998</v>
      </c>
      <c r="F5" s="10" t="n">
        <f aca="false">D5-E5</f>
        <v>10202</v>
      </c>
      <c r="G5" s="6" t="n">
        <v>0</v>
      </c>
      <c r="H5" s="23" t="n">
        <f aca="false">IFERROR(E5/D5,0)</f>
        <v>0.662185430463576</v>
      </c>
    </row>
    <row r="6" customFormat="false" ht="15" hidden="false" customHeight="true" outlineLevel="0" collapsed="false">
      <c r="A6" s="5" t="s">
        <v>137</v>
      </c>
      <c r="B6" s="5" t="s">
        <v>138</v>
      </c>
      <c r="C6" s="6" t="n">
        <v>76650</v>
      </c>
      <c r="D6" s="6" t="n">
        <v>83790</v>
      </c>
      <c r="E6" s="6" t="n">
        <v>78123</v>
      </c>
      <c r="F6" s="10" t="n">
        <f aca="false">D6-E6</f>
        <v>5667</v>
      </c>
      <c r="G6" s="6" t="n">
        <v>0</v>
      </c>
      <c r="H6" s="23" t="n">
        <f aca="false">IFERROR(E6/D6,0)</f>
        <v>0.932366630862871</v>
      </c>
    </row>
    <row r="7" customFormat="false" ht="15" hidden="false" customHeight="true" outlineLevel="0" collapsed="false">
      <c r="A7" s="5" t="s">
        <v>139</v>
      </c>
      <c r="B7" s="5" t="s">
        <v>140</v>
      </c>
      <c r="C7" s="6" t="n">
        <v>94950</v>
      </c>
      <c r="D7" s="6" t="n">
        <v>96520</v>
      </c>
      <c r="E7" s="6" t="n">
        <v>96984.5</v>
      </c>
      <c r="F7" s="10" t="n">
        <f aca="false">D7-E7</f>
        <v>-464.5</v>
      </c>
      <c r="G7" s="6" t="n">
        <v>0</v>
      </c>
      <c r="H7" s="23" t="n">
        <f aca="false">IFERROR(E7/D7,0)</f>
        <v>1.00481247409863</v>
      </c>
    </row>
    <row r="8" customFormat="false" ht="15" hidden="false" customHeight="true" outlineLevel="0" collapsed="false">
      <c r="A8" s="5" t="s">
        <v>141</v>
      </c>
      <c r="B8" s="5" t="s">
        <v>142</v>
      </c>
      <c r="C8" s="6" t="n">
        <v>27000</v>
      </c>
      <c r="D8" s="6" t="n">
        <v>27000</v>
      </c>
      <c r="E8" s="6" t="n">
        <v>27669</v>
      </c>
      <c r="F8" s="10" t="n">
        <f aca="false">D8-E8</f>
        <v>-669</v>
      </c>
      <c r="G8" s="6" t="n">
        <v>0</v>
      </c>
      <c r="H8" s="23" t="n">
        <f aca="false">IFERROR(E8/D8,0)</f>
        <v>1.02477777777778</v>
      </c>
    </row>
    <row r="9" customFormat="false" ht="15" hidden="false" customHeight="true" outlineLevel="0" collapsed="false">
      <c r="A9" s="5" t="s">
        <v>143</v>
      </c>
      <c r="B9" s="5" t="s">
        <v>144</v>
      </c>
      <c r="C9" s="6" t="n">
        <v>559540</v>
      </c>
      <c r="D9" s="6" t="n">
        <v>594524</v>
      </c>
      <c r="E9" s="6" t="n">
        <v>700399</v>
      </c>
      <c r="F9" s="10" t="n">
        <f aca="false">D9-E9</f>
        <v>-105875</v>
      </c>
      <c r="G9" s="6" t="n">
        <v>0</v>
      </c>
      <c r="H9" s="23" t="n">
        <f aca="false">IFERROR(E9/D9,0)</f>
        <v>1.1780836433853</v>
      </c>
    </row>
    <row r="10" customFormat="false" ht="15" hidden="false" customHeight="true" outlineLevel="0" collapsed="false">
      <c r="A10" s="5" t="s">
        <v>145</v>
      </c>
      <c r="B10" s="5" t="s">
        <v>146</v>
      </c>
      <c r="C10" s="6" t="n">
        <v>184290</v>
      </c>
      <c r="D10" s="6" t="n">
        <v>189240</v>
      </c>
      <c r="E10" s="6" t="n">
        <v>171108.5</v>
      </c>
      <c r="F10" s="10" t="n">
        <f aca="false">D10-E10</f>
        <v>18131.5</v>
      </c>
      <c r="G10" s="6" t="n">
        <v>0</v>
      </c>
      <c r="H10" s="23" t="n">
        <f aca="false">IFERROR(E10/D10,0)</f>
        <v>0.904187803846967</v>
      </c>
    </row>
    <row r="11" customFormat="false" ht="15" hidden="false" customHeight="true" outlineLevel="0" collapsed="false">
      <c r="A11" s="5" t="s">
        <v>147</v>
      </c>
      <c r="B11" s="5" t="s">
        <v>148</v>
      </c>
      <c r="C11" s="6" t="n">
        <v>7300</v>
      </c>
      <c r="D11" s="6" t="n">
        <v>7300</v>
      </c>
      <c r="E11" s="6" t="n">
        <v>7514</v>
      </c>
      <c r="F11" s="10" t="n">
        <f aca="false">D11-E11</f>
        <v>-214</v>
      </c>
      <c r="G11" s="6" t="n">
        <v>0</v>
      </c>
      <c r="H11" s="23" t="n">
        <f aca="false">IFERROR(E11/D11,0)</f>
        <v>1.02931506849315</v>
      </c>
    </row>
    <row r="12" customFormat="false" ht="15" hidden="false" customHeight="true" outlineLevel="0" collapsed="false">
      <c r="A12" s="5" t="s">
        <v>149</v>
      </c>
      <c r="B12" s="5" t="s">
        <v>150</v>
      </c>
      <c r="C12" s="6" t="n">
        <v>73190</v>
      </c>
      <c r="D12" s="6" t="n">
        <v>73190</v>
      </c>
      <c r="E12" s="6" t="n">
        <v>131285.25</v>
      </c>
      <c r="F12" s="10" t="n">
        <f aca="false">D12-E12</f>
        <v>-58095.25</v>
      </c>
      <c r="G12" s="6" t="n">
        <v>0</v>
      </c>
      <c r="H12" s="23" t="n">
        <f aca="false">IFERROR(E12/D12,0)</f>
        <v>1.79375939335975</v>
      </c>
    </row>
    <row r="13" customFormat="false" ht="15" hidden="false" customHeight="true" outlineLevel="0" collapsed="false">
      <c r="A13" s="5" t="s">
        <v>151</v>
      </c>
      <c r="B13" s="5" t="s">
        <v>152</v>
      </c>
      <c r="C13" s="6" t="n">
        <v>0</v>
      </c>
      <c r="D13" s="6" t="n">
        <v>0</v>
      </c>
      <c r="E13" s="6" t="n">
        <v>284</v>
      </c>
      <c r="F13" s="10" t="n">
        <f aca="false">D13-E13</f>
        <v>-284</v>
      </c>
      <c r="G13" s="6" t="n">
        <v>0</v>
      </c>
      <c r="H13" s="23" t="n">
        <f aca="false">IFERROR(E13/D13,0)</f>
        <v>0</v>
      </c>
    </row>
    <row r="14" customFormat="false" ht="15" hidden="false" customHeight="true" outlineLevel="0" collapsed="false">
      <c r="A14" s="5" t="s">
        <v>153</v>
      </c>
      <c r="B14" s="5" t="s">
        <v>154</v>
      </c>
      <c r="C14" s="6" t="n">
        <v>63600</v>
      </c>
      <c r="D14" s="6" t="n">
        <v>63800</v>
      </c>
      <c r="E14" s="6" t="n">
        <v>26908.83</v>
      </c>
      <c r="F14" s="10" t="n">
        <f aca="false">D14-E14</f>
        <v>36891.17</v>
      </c>
      <c r="G14" s="6" t="n">
        <v>0</v>
      </c>
      <c r="H14" s="23" t="n">
        <f aca="false">IFERROR(E14/D14,0)</f>
        <v>0.421768495297806</v>
      </c>
    </row>
    <row r="15" customFormat="false" ht="15" hidden="false" customHeight="true" outlineLevel="0" collapsed="false">
      <c r="A15" s="5" t="s">
        <v>155</v>
      </c>
      <c r="B15" s="5" t="s">
        <v>156</v>
      </c>
      <c r="C15" s="6" t="n">
        <v>98250</v>
      </c>
      <c r="D15" s="6" t="n">
        <v>98250</v>
      </c>
      <c r="E15" s="6" t="n">
        <v>31688.57</v>
      </c>
      <c r="F15" s="10" t="n">
        <f aca="false">D15-E15</f>
        <v>66561.43</v>
      </c>
      <c r="G15" s="6" t="n">
        <v>0</v>
      </c>
      <c r="H15" s="23" t="n">
        <f aca="false">IFERROR(E15/D15,0)</f>
        <v>0.322529974554707</v>
      </c>
    </row>
    <row r="16" customFormat="false" ht="15" hidden="false" customHeight="true" outlineLevel="0" collapsed="false">
      <c r="A16" s="5" t="s">
        <v>157</v>
      </c>
      <c r="B16" s="5" t="s">
        <v>158</v>
      </c>
      <c r="C16" s="6" t="n">
        <v>31500</v>
      </c>
      <c r="D16" s="6" t="n">
        <v>31500</v>
      </c>
      <c r="E16" s="6" t="n">
        <v>15350.72</v>
      </c>
      <c r="F16" s="10" t="n">
        <f aca="false">D16-E16</f>
        <v>16149.28</v>
      </c>
      <c r="G16" s="6" t="n">
        <v>0</v>
      </c>
      <c r="H16" s="23" t="n">
        <f aca="false">IFERROR(E16/D16,0)</f>
        <v>0.487324444444444</v>
      </c>
    </row>
    <row r="17" customFormat="false" ht="15" hidden="false" customHeight="true" outlineLevel="0" collapsed="false">
      <c r="A17" s="5" t="s">
        <v>159</v>
      </c>
      <c r="B17" s="5" t="s">
        <v>160</v>
      </c>
      <c r="C17" s="6" t="n">
        <v>342245</v>
      </c>
      <c r="D17" s="6" t="n">
        <v>342415</v>
      </c>
      <c r="E17" s="6" t="n">
        <v>205612.27</v>
      </c>
      <c r="F17" s="10" t="n">
        <f aca="false">D17-E17</f>
        <v>136802.73</v>
      </c>
      <c r="G17" s="6" t="n">
        <v>0</v>
      </c>
      <c r="H17" s="23" t="n">
        <f aca="false">IFERROR(E17/D17,0)</f>
        <v>0.600476819064585</v>
      </c>
    </row>
    <row r="18" customFormat="false" ht="15" hidden="false" customHeight="true" outlineLevel="0" collapsed="false">
      <c r="A18" s="5" t="s">
        <v>161</v>
      </c>
      <c r="B18" s="5" t="s">
        <v>162</v>
      </c>
      <c r="C18" s="6" t="n">
        <v>828580</v>
      </c>
      <c r="D18" s="6" t="n">
        <v>866635</v>
      </c>
      <c r="E18" s="6" t="n">
        <v>682969.44</v>
      </c>
      <c r="F18" s="10" t="n">
        <f aca="false">D18-E18</f>
        <v>183665.56</v>
      </c>
      <c r="G18" s="6" t="n">
        <v>0</v>
      </c>
      <c r="H18" s="23" t="n">
        <f aca="false">IFERROR(E18/D18,0)</f>
        <v>0.788070456420523</v>
      </c>
    </row>
    <row r="19" customFormat="false" ht="15" hidden="false" customHeight="true" outlineLevel="0" collapsed="false">
      <c r="A19" s="5" t="s">
        <v>163</v>
      </c>
      <c r="B19" s="5" t="s">
        <v>164</v>
      </c>
      <c r="C19" s="6" t="n">
        <v>7650</v>
      </c>
      <c r="D19" s="6" t="n">
        <v>7650</v>
      </c>
      <c r="E19" s="6" t="n">
        <v>6691.94</v>
      </c>
      <c r="F19" s="10" t="n">
        <f aca="false">D19-E19</f>
        <v>958.06</v>
      </c>
      <c r="G19" s="6" t="n">
        <v>0</v>
      </c>
      <c r="H19" s="23" t="n">
        <f aca="false">IFERROR(E19/D19,0)</f>
        <v>0.87476339869281</v>
      </c>
    </row>
    <row r="20" customFormat="false" ht="15" hidden="false" customHeight="true" outlineLevel="0" collapsed="false">
      <c r="A20" s="5" t="s">
        <v>165</v>
      </c>
      <c r="B20" s="5" t="s">
        <v>166</v>
      </c>
      <c r="C20" s="6" t="n">
        <v>84760</v>
      </c>
      <c r="D20" s="6" t="n">
        <v>84760</v>
      </c>
      <c r="E20" s="6" t="n">
        <v>57918.56</v>
      </c>
      <c r="F20" s="10" t="n">
        <f aca="false">D20-E20</f>
        <v>26841.44</v>
      </c>
      <c r="G20" s="6" t="n">
        <v>0</v>
      </c>
      <c r="H20" s="23" t="n">
        <f aca="false">IFERROR(E20/D20,0)</f>
        <v>0.683324209532799</v>
      </c>
    </row>
    <row r="21" customFormat="false" ht="15" hidden="false" customHeight="true" outlineLevel="0" collapsed="false">
      <c r="A21" s="5" t="s">
        <v>167</v>
      </c>
      <c r="B21" s="5" t="s">
        <v>168</v>
      </c>
      <c r="C21" s="6" t="n">
        <v>21500</v>
      </c>
      <c r="D21" s="6" t="n">
        <v>21500</v>
      </c>
      <c r="E21" s="6" t="n">
        <v>7790.2</v>
      </c>
      <c r="F21" s="10" t="n">
        <f aca="false">D21-E21</f>
        <v>13709.8</v>
      </c>
      <c r="G21" s="6" t="n">
        <v>0</v>
      </c>
      <c r="H21" s="23" t="n">
        <f aca="false">IFERROR(E21/D21,0)</f>
        <v>0.36233488372093</v>
      </c>
    </row>
    <row r="22" customFormat="false" ht="15" hidden="false" customHeight="true" outlineLevel="0" collapsed="false">
      <c r="A22" s="5" t="s">
        <v>169</v>
      </c>
      <c r="B22" s="5" t="s">
        <v>170</v>
      </c>
      <c r="C22" s="6" t="n">
        <v>3000</v>
      </c>
      <c r="D22" s="6" t="n">
        <v>3000</v>
      </c>
      <c r="E22" s="6" t="n">
        <v>5916</v>
      </c>
      <c r="F22" s="10" t="n">
        <f aca="false">D22-E22</f>
        <v>-2916</v>
      </c>
      <c r="G22" s="6" t="n">
        <v>0</v>
      </c>
      <c r="H22" s="23" t="n">
        <f aca="false">IFERROR(E22/D22,0)</f>
        <v>1.972</v>
      </c>
    </row>
    <row r="23" customFormat="false" ht="15" hidden="false" customHeight="true" outlineLevel="0" collapsed="false">
      <c r="A23" s="5" t="s">
        <v>171</v>
      </c>
      <c r="B23" s="5" t="s">
        <v>172</v>
      </c>
      <c r="C23" s="6" t="n">
        <v>50000</v>
      </c>
      <c r="D23" s="6" t="n">
        <v>50000</v>
      </c>
      <c r="E23" s="6" t="n">
        <v>54267.4</v>
      </c>
      <c r="F23" s="10" t="n">
        <f aca="false">D23-E23</f>
        <v>-4267.4</v>
      </c>
      <c r="G23" s="6" t="n">
        <v>0</v>
      </c>
      <c r="H23" s="23" t="n">
        <f aca="false">IFERROR(E23/D23,0)</f>
        <v>1.085348</v>
      </c>
    </row>
    <row r="24" customFormat="false" ht="15" hidden="false" customHeight="true" outlineLevel="0" collapsed="false">
      <c r="A24" s="5" t="s">
        <v>173</v>
      </c>
      <c r="B24" s="5" t="s">
        <v>174</v>
      </c>
      <c r="C24" s="6" t="n">
        <v>0</v>
      </c>
      <c r="D24" s="6" t="n">
        <v>0</v>
      </c>
      <c r="E24" s="6" t="n">
        <v>2267.08</v>
      </c>
      <c r="F24" s="10" t="n">
        <f aca="false">D24-E24</f>
        <v>-2267.08</v>
      </c>
      <c r="G24" s="6" t="n">
        <v>0</v>
      </c>
      <c r="H24" s="23" t="n">
        <f aca="false">IFERROR(E24/D24,0)</f>
        <v>0</v>
      </c>
    </row>
    <row r="25" customFormat="false" ht="15" hidden="false" customHeight="true" outlineLevel="0" collapsed="false">
      <c r="A25" s="5" t="s">
        <v>175</v>
      </c>
      <c r="B25" s="5" t="s">
        <v>176</v>
      </c>
      <c r="C25" s="6" t="n">
        <v>59000</v>
      </c>
      <c r="D25" s="6" t="n">
        <v>59000</v>
      </c>
      <c r="E25" s="6" t="n">
        <v>50576.78</v>
      </c>
      <c r="F25" s="10" t="n">
        <f aca="false">D25-E25</f>
        <v>8423.22</v>
      </c>
      <c r="G25" s="6" t="n">
        <v>0</v>
      </c>
      <c r="H25" s="23" t="n">
        <f aca="false">IFERROR(E25/D25,0)</f>
        <v>0.857233559322034</v>
      </c>
    </row>
    <row r="26" customFormat="false" ht="15" hidden="false" customHeight="true" outlineLevel="0" collapsed="false">
      <c r="A26" s="5" t="s">
        <v>177</v>
      </c>
      <c r="B26" s="5" t="s">
        <v>178</v>
      </c>
      <c r="C26" s="6" t="n">
        <v>0</v>
      </c>
      <c r="D26" s="6" t="n">
        <v>0</v>
      </c>
      <c r="E26" s="6" t="n">
        <v>226</v>
      </c>
      <c r="F26" s="10" t="n">
        <f aca="false">D26-E26</f>
        <v>-226</v>
      </c>
      <c r="G26" s="6" t="n">
        <v>0</v>
      </c>
      <c r="H26" s="23" t="n">
        <f aca="false">IFERROR(E26/D26,0)</f>
        <v>0</v>
      </c>
    </row>
    <row r="27" customFormat="false" ht="15" hidden="false" customHeight="true" outlineLevel="0" collapsed="false">
      <c r="A27" s="5" t="s">
        <v>179</v>
      </c>
      <c r="B27" s="5" t="s">
        <v>180</v>
      </c>
      <c r="C27" s="6" t="n">
        <v>462438.71</v>
      </c>
      <c r="D27" s="6" t="n">
        <v>483842.07</v>
      </c>
      <c r="E27" s="6" t="n">
        <v>527700.4</v>
      </c>
      <c r="F27" s="10" t="n">
        <f aca="false">D27-E27</f>
        <v>-43858.33</v>
      </c>
      <c r="G27" s="6" t="n">
        <v>0</v>
      </c>
      <c r="H27" s="23" t="n">
        <f aca="false">IFERROR(E27/D27,0)</f>
        <v>1.09064596222482</v>
      </c>
    </row>
    <row r="28" customFormat="false" ht="15" hidden="false" customHeight="true" outlineLevel="0" collapsed="false">
      <c r="A28" s="5" t="s">
        <v>181</v>
      </c>
      <c r="B28" s="5" t="s">
        <v>182</v>
      </c>
      <c r="C28" s="6" t="n">
        <v>0</v>
      </c>
      <c r="D28" s="6" t="n">
        <v>0</v>
      </c>
      <c r="E28" s="6" t="n">
        <v>184</v>
      </c>
      <c r="F28" s="10" t="n">
        <f aca="false">D28-E28</f>
        <v>-184</v>
      </c>
      <c r="G28" s="6" t="n">
        <v>0</v>
      </c>
      <c r="H28" s="23" t="n">
        <f aca="false">IFERROR(E28/D28,0)</f>
        <v>0</v>
      </c>
    </row>
    <row r="29" customFormat="false" ht="15" hidden="false" customHeight="true" outlineLevel="0" collapsed="false">
      <c r="A29" s="5" t="s">
        <v>183</v>
      </c>
      <c r="B29" s="5" t="s">
        <v>184</v>
      </c>
      <c r="C29" s="6" t="n">
        <v>83533.79</v>
      </c>
      <c r="D29" s="6" t="n">
        <v>87255.07</v>
      </c>
      <c r="E29" s="6" t="n">
        <v>95203.34</v>
      </c>
      <c r="F29" s="10" t="n">
        <f aca="false">D29-E29</f>
        <v>-7948.26999999999</v>
      </c>
      <c r="G29" s="6" t="n">
        <v>0</v>
      </c>
      <c r="H29" s="23" t="n">
        <f aca="false">IFERROR(E29/D29,0)</f>
        <v>1.09109235715472</v>
      </c>
    </row>
    <row r="30" customFormat="false" ht="15" hidden="false" customHeight="true" outlineLevel="0" collapsed="false">
      <c r="A30" s="13" t="s">
        <v>185</v>
      </c>
      <c r="C30" s="7" t="n">
        <f aca="false">SUM(C4:C29)</f>
        <v>3213402.5</v>
      </c>
      <c r="D30" s="7" t="n">
        <f aca="false">SUM(D4:D29)</f>
        <v>3325596.14</v>
      </c>
      <c r="E30" s="7" t="n">
        <f aca="false">SUM(E4:E29)</f>
        <v>3015568.28</v>
      </c>
      <c r="F30" s="7" t="n">
        <f aca="false">SUM(F4:F29)</f>
        <v>310027.86</v>
      </c>
      <c r="G30" s="7" t="n">
        <f aca="false">SUM(G4:G29)</f>
        <v>0</v>
      </c>
      <c r="H30" s="8" t="n">
        <f aca="false">IFERROR(E30/D30,0)</f>
        <v>0.906775252631848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186</v>
      </c>
    </row>
    <row r="3" customFormat="false" ht="15" hidden="false" customHeight="true" outlineLevel="0" collapsed="false">
      <c r="A3" s="22" t="s">
        <v>187</v>
      </c>
      <c r="B3" s="22" t="s">
        <v>188</v>
      </c>
      <c r="C3" s="22" t="s">
        <v>189</v>
      </c>
      <c r="D3" s="22" t="s">
        <v>129</v>
      </c>
      <c r="E3" s="22" t="s">
        <v>130</v>
      </c>
      <c r="F3" s="22" t="s">
        <v>132</v>
      </c>
    </row>
    <row r="4" customFormat="false" ht="15" hidden="false" customHeight="true" outlineLevel="0" collapsed="false">
      <c r="A4" s="13" t="s">
        <v>190</v>
      </c>
      <c r="B4" s="5" t="n">
        <v>10</v>
      </c>
      <c r="C4" s="6" t="n">
        <v>1125989</v>
      </c>
      <c r="D4" s="6" t="n">
        <v>1244296.75</v>
      </c>
      <c r="E4" s="10" t="n">
        <f aca="false">C4-D4</f>
        <v>-118307.75</v>
      </c>
      <c r="F4" s="23" t="n">
        <f aca="false">IFERROR(D4/C4,0)</f>
        <v>1.10507007617304</v>
      </c>
    </row>
    <row r="5" customFormat="false" ht="15" hidden="false" customHeight="true" outlineLevel="0" collapsed="false">
      <c r="A5" s="13" t="s">
        <v>191</v>
      </c>
      <c r="B5" s="5" t="n">
        <v>8</v>
      </c>
      <c r="C5" s="6" t="n">
        <v>1516510</v>
      </c>
      <c r="D5" s="6" t="n">
        <v>1034930.53</v>
      </c>
      <c r="E5" s="10" t="n">
        <f aca="false">C5-D5</f>
        <v>481579.47</v>
      </c>
      <c r="F5" s="23" t="n">
        <f aca="false">IFERROR(D5/C5,0)</f>
        <v>0.682442272058872</v>
      </c>
    </row>
    <row r="6" customFormat="false" ht="15" hidden="false" customHeight="true" outlineLevel="0" collapsed="false">
      <c r="A6" s="13" t="s">
        <v>192</v>
      </c>
      <c r="B6" s="5" t="n">
        <v>5</v>
      </c>
      <c r="C6" s="6" t="n">
        <v>112000</v>
      </c>
      <c r="D6" s="6" t="n">
        <v>113253.26</v>
      </c>
      <c r="E6" s="10" t="n">
        <f aca="false">C6-D6</f>
        <v>-1253.25999999999</v>
      </c>
      <c r="F6" s="23" t="n">
        <f aca="false">IFERROR(D6/C6,0)</f>
        <v>1.01118982142857</v>
      </c>
    </row>
    <row r="7" customFormat="false" ht="15" hidden="false" customHeight="true" outlineLevel="0" collapsed="false">
      <c r="A7" s="13" t="s">
        <v>193</v>
      </c>
      <c r="B7" s="5" t="n">
        <v>2</v>
      </c>
      <c r="C7" s="6" t="n">
        <v>571097.14</v>
      </c>
      <c r="D7" s="6" t="n">
        <v>622903.74</v>
      </c>
      <c r="E7" s="10" t="n">
        <f aca="false">C7-D7</f>
        <v>-51806.6</v>
      </c>
      <c r="F7" s="23" t="n">
        <f aca="false">IFERROR(D7/C7,0)</f>
        <v>1.09071416466908</v>
      </c>
    </row>
    <row r="8" customFormat="false" ht="15" hidden="false" customHeight="true" outlineLevel="0" collapsed="false">
      <c r="A8" s="13" t="s">
        <v>185</v>
      </c>
      <c r="B8" s="24" t="n">
        <f aca="false">SUM(B4:B7)</f>
        <v>25</v>
      </c>
      <c r="C8" s="7" t="n">
        <f aca="false">SUM(C4:C7)</f>
        <v>3325596.14</v>
      </c>
      <c r="D8" s="7" t="n">
        <f aca="false">SUM(D4:D7)</f>
        <v>3015384.28</v>
      </c>
      <c r="E8" s="7" t="n">
        <f aca="false">SUM(E4:E7)</f>
        <v>310211.86</v>
      </c>
      <c r="F8" s="8" t="n">
        <f aca="false">IFERROR(D8/C8,0)</f>
        <v>0.90671992420583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194</v>
      </c>
    </row>
    <row r="2" customFormat="false" ht="15" hidden="false" customHeight="true" outlineLevel="0" collapsed="false">
      <c r="A2" s="3" t="s">
        <v>195</v>
      </c>
    </row>
    <row r="4" customFormat="false" ht="15" hidden="false" customHeight="true" outlineLevel="0" collapsed="false">
      <c r="A4" s="22" t="s">
        <v>128</v>
      </c>
      <c r="B4" s="22" t="s">
        <v>113</v>
      </c>
      <c r="C4" s="22" t="s">
        <v>106</v>
      </c>
      <c r="D4" s="22" t="s">
        <v>129</v>
      </c>
      <c r="E4" s="22" t="s">
        <v>130</v>
      </c>
      <c r="F4" s="22" t="s">
        <v>196</v>
      </c>
      <c r="G4" s="22" t="s">
        <v>126</v>
      </c>
    </row>
    <row r="5" customFormat="false" ht="15" hidden="false" customHeight="true" outlineLevel="0" collapsed="false">
      <c r="A5" s="5" t="s">
        <v>133</v>
      </c>
      <c r="B5" s="5" t="s">
        <v>134</v>
      </c>
      <c r="C5" s="6" t="n">
        <v>24225</v>
      </c>
      <c r="D5" s="6" t="n">
        <v>10931.5</v>
      </c>
      <c r="E5" s="10" t="n">
        <f aca="false">C5-D5</f>
        <v>13293.5</v>
      </c>
      <c r="F5" s="23" t="n">
        <f aca="false">IFERROR((D5-C5)/C5,0)</f>
        <v>-0.54875128998968</v>
      </c>
      <c r="G5" s="25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135</v>
      </c>
      <c r="B6" s="5" t="s">
        <v>136</v>
      </c>
      <c r="C6" s="6" t="n">
        <v>30200</v>
      </c>
      <c r="D6" s="6" t="n">
        <v>19998</v>
      </c>
      <c r="E6" s="10" t="n">
        <f aca="false">C6-D6</f>
        <v>10202</v>
      </c>
      <c r="F6" s="23" t="n">
        <f aca="false">IFERROR((D6-C6)/C6,0)</f>
        <v>-0.337814569536424</v>
      </c>
      <c r="G6" s="25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137</v>
      </c>
      <c r="B7" s="5" t="s">
        <v>138</v>
      </c>
      <c r="C7" s="6" t="n">
        <v>83790</v>
      </c>
      <c r="D7" s="6" t="n">
        <v>78123</v>
      </c>
      <c r="E7" s="10" t="n">
        <f aca="false">C7-D7</f>
        <v>5667</v>
      </c>
      <c r="F7" s="23" t="n">
        <f aca="false">IFERROR((D7-C7)/C7,0)</f>
        <v>-0.0676333691371285</v>
      </c>
      <c r="G7" s="25" t="str">
        <f aca="false">IF(C7=0,"UNBUDGETED",IF(F7&gt;0.5,"CRITICAL",IF(F7&gt;0.1,"OVER",IF(F7&lt;-0.1,"UNDER","ON"))))</f>
        <v>ON</v>
      </c>
    </row>
    <row r="8" customFormat="false" ht="15" hidden="false" customHeight="true" outlineLevel="0" collapsed="false">
      <c r="A8" s="5" t="s">
        <v>139</v>
      </c>
      <c r="B8" s="5" t="s">
        <v>140</v>
      </c>
      <c r="C8" s="6" t="n">
        <v>96520</v>
      </c>
      <c r="D8" s="6" t="n">
        <v>96984.5</v>
      </c>
      <c r="E8" s="10" t="n">
        <f aca="false">C8-D8</f>
        <v>-464.5</v>
      </c>
      <c r="F8" s="23" t="n">
        <f aca="false">IFERROR((D8-C8)/C8,0)</f>
        <v>0.00481247409863241</v>
      </c>
      <c r="G8" s="25" t="str">
        <f aca="false">IF(C8=0,"UNBUDGETED",IF(F8&gt;0.5,"CRITICAL",IF(F8&gt;0.1,"OVER",IF(F8&lt;-0.1,"UNDER","ON"))))</f>
        <v>ON</v>
      </c>
    </row>
    <row r="9" customFormat="false" ht="15" hidden="false" customHeight="true" outlineLevel="0" collapsed="false">
      <c r="A9" s="5" t="s">
        <v>141</v>
      </c>
      <c r="B9" s="5" t="s">
        <v>142</v>
      </c>
      <c r="C9" s="6" t="n">
        <v>27000</v>
      </c>
      <c r="D9" s="6" t="n">
        <v>27669</v>
      </c>
      <c r="E9" s="10" t="n">
        <f aca="false">C9-D9</f>
        <v>-669</v>
      </c>
      <c r="F9" s="23" t="n">
        <f aca="false">IFERROR((D9-C9)/C9,0)</f>
        <v>0.0247777777777778</v>
      </c>
      <c r="G9" s="25" t="str">
        <f aca="false">IF(C9=0,"UNBUDGETED",IF(F9&gt;0.5,"CRITICAL",IF(F9&gt;0.1,"OVER",IF(F9&lt;-0.1,"UNDER","ON"))))</f>
        <v>ON</v>
      </c>
    </row>
    <row r="10" customFormat="false" ht="15" hidden="false" customHeight="true" outlineLevel="0" collapsed="false">
      <c r="A10" s="5" t="s">
        <v>143</v>
      </c>
      <c r="B10" s="5" t="s">
        <v>144</v>
      </c>
      <c r="C10" s="6" t="n">
        <v>594524</v>
      </c>
      <c r="D10" s="6" t="n">
        <v>700399</v>
      </c>
      <c r="E10" s="10" t="n">
        <f aca="false">C10-D10</f>
        <v>-105875</v>
      </c>
      <c r="F10" s="23" t="n">
        <f aca="false">IFERROR((D10-C10)/C10,0)</f>
        <v>0.178083643385296</v>
      </c>
      <c r="G10" s="25" t="str">
        <f aca="false">IF(C10=0,"UNBUDGETED",IF(F10&gt;0.5,"CRITICAL",IF(F10&gt;0.1,"OVER",IF(F10&lt;-0.1,"UNDER","ON"))))</f>
        <v>OVER</v>
      </c>
    </row>
    <row r="11" customFormat="false" ht="15" hidden="false" customHeight="true" outlineLevel="0" collapsed="false">
      <c r="A11" s="5" t="s">
        <v>145</v>
      </c>
      <c r="B11" s="5" t="s">
        <v>146</v>
      </c>
      <c r="C11" s="6" t="n">
        <v>189240</v>
      </c>
      <c r="D11" s="6" t="n">
        <v>171108.5</v>
      </c>
      <c r="E11" s="10" t="n">
        <f aca="false">C11-D11</f>
        <v>18131.5</v>
      </c>
      <c r="F11" s="23" t="n">
        <f aca="false">IFERROR((D11-C11)/C11,0)</f>
        <v>-0.0958121961530332</v>
      </c>
      <c r="G11" s="25" t="str">
        <f aca="false">IF(C11=0,"UNBUDGETED",IF(F11&gt;0.5,"CRITICAL",IF(F11&gt;0.1,"OVER",IF(F11&lt;-0.1,"UNDER","ON"))))</f>
        <v>ON</v>
      </c>
    </row>
    <row r="12" customFormat="false" ht="15" hidden="false" customHeight="true" outlineLevel="0" collapsed="false">
      <c r="A12" s="5" t="s">
        <v>147</v>
      </c>
      <c r="B12" s="5" t="s">
        <v>148</v>
      </c>
      <c r="C12" s="6" t="n">
        <v>7300</v>
      </c>
      <c r="D12" s="6" t="n">
        <v>7514</v>
      </c>
      <c r="E12" s="10" t="n">
        <f aca="false">C12-D12</f>
        <v>-214</v>
      </c>
      <c r="F12" s="23" t="n">
        <f aca="false">IFERROR((D12-C12)/C12,0)</f>
        <v>0.0293150684931507</v>
      </c>
      <c r="G12" s="25" t="str">
        <f aca="false">IF(C12=0,"UNBUDGETED",IF(F12&gt;0.5,"CRITICAL",IF(F12&gt;0.1,"OVER",IF(F12&lt;-0.1,"UNDER","ON"))))</f>
        <v>ON</v>
      </c>
    </row>
    <row r="13" customFormat="false" ht="15" hidden="false" customHeight="true" outlineLevel="0" collapsed="false">
      <c r="A13" s="5" t="s">
        <v>149</v>
      </c>
      <c r="B13" s="5" t="s">
        <v>150</v>
      </c>
      <c r="C13" s="6" t="n">
        <v>73190</v>
      </c>
      <c r="D13" s="6" t="n">
        <v>131285.25</v>
      </c>
      <c r="E13" s="10" t="n">
        <f aca="false">C13-D13</f>
        <v>-58095.25</v>
      </c>
      <c r="F13" s="23" t="n">
        <f aca="false">IFERROR((D13-C13)/C13,0)</f>
        <v>0.793759393359749</v>
      </c>
      <c r="G13" s="25" t="str">
        <f aca="false">IF(C13=0,"UNBUDGETED",IF(F13&gt;0.5,"CRITICAL",IF(F13&gt;0.1,"OVER",IF(F13&lt;-0.1,"UNDER","ON"))))</f>
        <v>CRITICAL</v>
      </c>
    </row>
    <row r="14" customFormat="false" ht="15" hidden="false" customHeight="true" outlineLevel="0" collapsed="false">
      <c r="A14" s="5" t="s">
        <v>151</v>
      </c>
      <c r="B14" s="5" t="s">
        <v>152</v>
      </c>
      <c r="C14" s="6" t="n">
        <v>0</v>
      </c>
      <c r="D14" s="6" t="n">
        <v>284</v>
      </c>
      <c r="E14" s="10" t="n">
        <f aca="false">C14-D14</f>
        <v>-284</v>
      </c>
      <c r="F14" s="23" t="n">
        <f aca="false">IFERROR((D14-C14)/C14,0)</f>
        <v>0</v>
      </c>
      <c r="G14" s="25" t="str">
        <f aca="false">IF(C14=0,"UNBUDGETED",IF(F14&gt;0.5,"CRITICAL",IF(F14&gt;0.1,"OVER",IF(F14&lt;-0.1,"UNDER","ON"))))</f>
        <v>UNBUDGETED</v>
      </c>
    </row>
    <row r="15" customFormat="false" ht="15" hidden="false" customHeight="true" outlineLevel="0" collapsed="false">
      <c r="A15" s="5" t="s">
        <v>153</v>
      </c>
      <c r="B15" s="5" t="s">
        <v>154</v>
      </c>
      <c r="C15" s="6" t="n">
        <v>63800</v>
      </c>
      <c r="D15" s="6" t="n">
        <v>26908.83</v>
      </c>
      <c r="E15" s="10" t="n">
        <f aca="false">C15-D15</f>
        <v>36891.17</v>
      </c>
      <c r="F15" s="23" t="n">
        <f aca="false">IFERROR((D15-C15)/C15,0)</f>
        <v>-0.578231504702194</v>
      </c>
      <c r="G15" s="25" t="str">
        <f aca="false">IF(C15=0,"UNBUDGETED",IF(F15&gt;0.5,"CRITICAL",IF(F15&gt;0.1,"OVER",IF(F15&lt;-0.1,"UNDER","ON"))))</f>
        <v>UNDER</v>
      </c>
    </row>
    <row r="16" customFormat="false" ht="15" hidden="false" customHeight="true" outlineLevel="0" collapsed="false">
      <c r="A16" s="5" t="s">
        <v>155</v>
      </c>
      <c r="B16" s="5" t="s">
        <v>156</v>
      </c>
      <c r="C16" s="6" t="n">
        <v>98250</v>
      </c>
      <c r="D16" s="6" t="n">
        <v>31688.57</v>
      </c>
      <c r="E16" s="10" t="n">
        <f aca="false">C16-D16</f>
        <v>66561.43</v>
      </c>
      <c r="F16" s="23" t="n">
        <f aca="false">IFERROR((D16-C16)/C16,0)</f>
        <v>-0.677470025445293</v>
      </c>
      <c r="G16" s="25" t="str">
        <f aca="false">IF(C16=0,"UNBUDGETED",IF(F16&gt;0.5,"CRITICAL",IF(F16&gt;0.1,"OVER",IF(F16&lt;-0.1,"UNDER","ON"))))</f>
        <v>UNDER</v>
      </c>
    </row>
    <row r="17" customFormat="false" ht="15" hidden="false" customHeight="true" outlineLevel="0" collapsed="false">
      <c r="A17" s="5" t="s">
        <v>157</v>
      </c>
      <c r="B17" s="5" t="s">
        <v>158</v>
      </c>
      <c r="C17" s="6" t="n">
        <v>31500</v>
      </c>
      <c r="D17" s="6" t="n">
        <v>15350.72</v>
      </c>
      <c r="E17" s="10" t="n">
        <f aca="false">C17-D17</f>
        <v>16149.28</v>
      </c>
      <c r="F17" s="23" t="n">
        <f aca="false">IFERROR((D17-C17)/C17,0)</f>
        <v>-0.512675555555556</v>
      </c>
      <c r="G17" s="25" t="str">
        <f aca="false">IF(C17=0,"UNBUDGETED",IF(F17&gt;0.5,"CRITICAL",IF(F17&gt;0.1,"OVER",IF(F17&lt;-0.1,"UNDER","ON"))))</f>
        <v>UNDER</v>
      </c>
    </row>
    <row r="18" customFormat="false" ht="15" hidden="false" customHeight="true" outlineLevel="0" collapsed="false">
      <c r="A18" s="5" t="s">
        <v>159</v>
      </c>
      <c r="B18" s="5" t="s">
        <v>160</v>
      </c>
      <c r="C18" s="6" t="n">
        <v>342415</v>
      </c>
      <c r="D18" s="6" t="n">
        <v>205612.27</v>
      </c>
      <c r="E18" s="10" t="n">
        <f aca="false">C18-D18</f>
        <v>136802.73</v>
      </c>
      <c r="F18" s="23" t="n">
        <f aca="false">IFERROR((D18-C18)/C18,0)</f>
        <v>-0.399523180935415</v>
      </c>
      <c r="G18" s="25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161</v>
      </c>
      <c r="B19" s="5" t="s">
        <v>162</v>
      </c>
      <c r="C19" s="6" t="n">
        <v>866635</v>
      </c>
      <c r="D19" s="6" t="n">
        <v>682969.44</v>
      </c>
      <c r="E19" s="10" t="n">
        <f aca="false">C19-D19</f>
        <v>183665.56</v>
      </c>
      <c r="F19" s="23" t="n">
        <f aca="false">IFERROR((D19-C19)/C19,0)</f>
        <v>-0.211929543579477</v>
      </c>
      <c r="G19" s="25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163</v>
      </c>
      <c r="B20" s="5" t="s">
        <v>164</v>
      </c>
      <c r="C20" s="6" t="n">
        <v>7650</v>
      </c>
      <c r="D20" s="6" t="n">
        <v>6691.94</v>
      </c>
      <c r="E20" s="10" t="n">
        <f aca="false">C20-D20</f>
        <v>958.06</v>
      </c>
      <c r="F20" s="23" t="n">
        <f aca="false">IFERROR((D20-C20)/C20,0)</f>
        <v>-0.12523660130719</v>
      </c>
      <c r="G20" s="25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165</v>
      </c>
      <c r="B21" s="5" t="s">
        <v>166</v>
      </c>
      <c r="C21" s="6" t="n">
        <v>84760</v>
      </c>
      <c r="D21" s="6" t="n">
        <v>57918.56</v>
      </c>
      <c r="E21" s="10" t="n">
        <f aca="false">C21-D21</f>
        <v>26841.44</v>
      </c>
      <c r="F21" s="23" t="n">
        <f aca="false">IFERROR((D21-C21)/C21,0)</f>
        <v>-0.316675790467202</v>
      </c>
      <c r="G21" s="25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167</v>
      </c>
      <c r="B22" s="5" t="s">
        <v>168</v>
      </c>
      <c r="C22" s="6" t="n">
        <v>21500</v>
      </c>
      <c r="D22" s="6" t="n">
        <v>7790.2</v>
      </c>
      <c r="E22" s="10" t="n">
        <f aca="false">C22-D22</f>
        <v>13709.8</v>
      </c>
      <c r="F22" s="23" t="n">
        <f aca="false">IFERROR((D22-C22)/C22,0)</f>
        <v>-0.63766511627907</v>
      </c>
      <c r="G22" s="25" t="str">
        <f aca="false">IF(C22=0,"UNBUDGETED",IF(F22&gt;0.5,"CRITICAL",IF(F22&gt;0.1,"OVER",IF(F22&lt;-0.1,"UNDER","ON"))))</f>
        <v>UNDER</v>
      </c>
    </row>
    <row r="23" customFormat="false" ht="15" hidden="false" customHeight="true" outlineLevel="0" collapsed="false">
      <c r="A23" s="5" t="s">
        <v>169</v>
      </c>
      <c r="B23" s="5" t="s">
        <v>170</v>
      </c>
      <c r="C23" s="6" t="n">
        <v>3000</v>
      </c>
      <c r="D23" s="6" t="n">
        <v>5916</v>
      </c>
      <c r="E23" s="10" t="n">
        <f aca="false">C23-D23</f>
        <v>-2916</v>
      </c>
      <c r="F23" s="23" t="n">
        <f aca="false">IFERROR((D23-C23)/C23,0)</f>
        <v>0.972</v>
      </c>
      <c r="G23" s="25" t="str">
        <f aca="false">IF(C23=0,"UNBUDGETED",IF(F23&gt;0.5,"CRITICAL",IF(F23&gt;0.1,"OVER",IF(F23&lt;-0.1,"UNDER","ON"))))</f>
        <v>CRITICAL</v>
      </c>
    </row>
    <row r="24" customFormat="false" ht="15" hidden="false" customHeight="true" outlineLevel="0" collapsed="false">
      <c r="A24" s="5" t="s">
        <v>171</v>
      </c>
      <c r="B24" s="5" t="s">
        <v>172</v>
      </c>
      <c r="C24" s="6" t="n">
        <v>50000</v>
      </c>
      <c r="D24" s="6" t="n">
        <v>54267.4</v>
      </c>
      <c r="E24" s="10" t="n">
        <f aca="false">C24-D24</f>
        <v>-4267.4</v>
      </c>
      <c r="F24" s="23" t="n">
        <f aca="false">IFERROR((D24-C24)/C24,0)</f>
        <v>0.085348</v>
      </c>
      <c r="G24" s="25" t="str">
        <f aca="false">IF(C24=0,"UNBUDGETED",IF(F24&gt;0.5,"CRITICAL",IF(F24&gt;0.1,"OVER",IF(F24&lt;-0.1,"UNDER","ON"))))</f>
        <v>ON</v>
      </c>
    </row>
    <row r="25" customFormat="false" ht="15" hidden="false" customHeight="true" outlineLevel="0" collapsed="false">
      <c r="A25" s="5" t="s">
        <v>173</v>
      </c>
      <c r="B25" s="5" t="s">
        <v>174</v>
      </c>
      <c r="C25" s="6" t="n">
        <v>0</v>
      </c>
      <c r="D25" s="6" t="n">
        <v>2267.08</v>
      </c>
      <c r="E25" s="10" t="n">
        <f aca="false">C25-D25</f>
        <v>-2267.08</v>
      </c>
      <c r="F25" s="23" t="n">
        <f aca="false">IFERROR((D25-C25)/C25,0)</f>
        <v>0</v>
      </c>
      <c r="G25" s="25" t="str">
        <f aca="false">IF(C25=0,"UNBUDGETED",IF(F25&gt;0.5,"CRITICAL",IF(F25&gt;0.1,"OVER",IF(F25&lt;-0.1,"UNDER","ON"))))</f>
        <v>UNBUDGETED</v>
      </c>
    </row>
    <row r="26" customFormat="false" ht="15" hidden="false" customHeight="true" outlineLevel="0" collapsed="false">
      <c r="A26" s="5" t="s">
        <v>175</v>
      </c>
      <c r="B26" s="5" t="s">
        <v>176</v>
      </c>
      <c r="C26" s="6" t="n">
        <v>59000</v>
      </c>
      <c r="D26" s="6" t="n">
        <v>50576.78</v>
      </c>
      <c r="E26" s="10" t="n">
        <f aca="false">C26-D26</f>
        <v>8423.22</v>
      </c>
      <c r="F26" s="23" t="n">
        <f aca="false">IFERROR((D26-C26)/C26,0)</f>
        <v>-0.142766440677966</v>
      </c>
      <c r="G26" s="25" t="str">
        <f aca="false">IF(C26=0,"UNBUDGETED",IF(F26&gt;0.5,"CRITICAL",IF(F26&gt;0.1,"OVER",IF(F26&lt;-0.1,"UNDER","ON"))))</f>
        <v>UNDER</v>
      </c>
    </row>
    <row r="27" customFormat="false" ht="15" hidden="false" customHeight="true" outlineLevel="0" collapsed="false">
      <c r="A27" s="5" t="s">
        <v>177</v>
      </c>
      <c r="B27" s="5" t="s">
        <v>178</v>
      </c>
      <c r="C27" s="6" t="n">
        <v>0</v>
      </c>
      <c r="D27" s="6" t="n">
        <v>226</v>
      </c>
      <c r="E27" s="10" t="n">
        <f aca="false">C27-D27</f>
        <v>-226</v>
      </c>
      <c r="F27" s="23" t="n">
        <f aca="false">IFERROR((D27-C27)/C27,0)</f>
        <v>0</v>
      </c>
      <c r="G27" s="25" t="str">
        <f aca="false">IF(C27=0,"UNBUDGETED",IF(F27&gt;0.5,"CRITICAL",IF(F27&gt;0.1,"OVER",IF(F27&lt;-0.1,"UNDER","ON"))))</f>
        <v>UNBUDGETED</v>
      </c>
    </row>
    <row r="28" customFormat="false" ht="15" hidden="false" customHeight="true" outlineLevel="0" collapsed="false">
      <c r="A28" s="5" t="s">
        <v>179</v>
      </c>
      <c r="B28" s="5" t="s">
        <v>180</v>
      </c>
      <c r="C28" s="6" t="n">
        <v>483842.07</v>
      </c>
      <c r="D28" s="6" t="n">
        <v>527700.4</v>
      </c>
      <c r="E28" s="10" t="n">
        <f aca="false">C28-D28</f>
        <v>-43858.33</v>
      </c>
      <c r="F28" s="23" t="n">
        <f aca="false">IFERROR((D28-C28)/C28,0)</f>
        <v>0.0906459622248227</v>
      </c>
      <c r="G28" s="25" t="str">
        <f aca="false">IF(C28=0,"UNBUDGETED",IF(F28&gt;0.5,"CRITICAL",IF(F28&gt;0.1,"OVER",IF(F28&lt;-0.1,"UNDER","ON"))))</f>
        <v>ON</v>
      </c>
    </row>
    <row r="29" customFormat="false" ht="15" hidden="false" customHeight="true" outlineLevel="0" collapsed="false">
      <c r="A29" s="5" t="s">
        <v>181</v>
      </c>
      <c r="B29" s="5" t="s">
        <v>182</v>
      </c>
      <c r="C29" s="6" t="n">
        <v>0</v>
      </c>
      <c r="D29" s="6" t="n">
        <v>184</v>
      </c>
      <c r="E29" s="10" t="n">
        <f aca="false">C29-D29</f>
        <v>-184</v>
      </c>
      <c r="F29" s="23" t="n">
        <f aca="false">IFERROR((D29-C29)/C29,0)</f>
        <v>0</v>
      </c>
      <c r="G29" s="25" t="str">
        <f aca="false">IF(C29=0,"UNBUDGETED",IF(F29&gt;0.5,"CRITICAL",IF(F29&gt;0.1,"OVER",IF(F29&lt;-0.1,"UNDER","ON"))))</f>
        <v>UNBUDGETED</v>
      </c>
    </row>
    <row r="30" customFormat="false" ht="15" hidden="false" customHeight="true" outlineLevel="0" collapsed="false">
      <c r="A30" s="5" t="s">
        <v>183</v>
      </c>
      <c r="B30" s="5" t="s">
        <v>184</v>
      </c>
      <c r="C30" s="6" t="n">
        <v>87255.07</v>
      </c>
      <c r="D30" s="6" t="n">
        <v>95203.34</v>
      </c>
      <c r="E30" s="10" t="n">
        <f aca="false">C30-D30</f>
        <v>-7948.26999999999</v>
      </c>
      <c r="F30" s="23" t="n">
        <f aca="false">IFERROR((D30-C30)/C30,0)</f>
        <v>0.0910923571547188</v>
      </c>
      <c r="G30" s="25" t="str">
        <f aca="false">IF(C30=0,"UNBUDGETED",IF(F30&gt;0.5,"CRITICAL",IF(F30&gt;0.1,"OVER",IF(F30&lt;-0.1,"UNDER","ON"))))</f>
        <v>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197</v>
      </c>
    </row>
    <row r="3" customFormat="false" ht="15" hidden="false" customHeight="true" outlineLevel="0" collapsed="false">
      <c r="A3" s="22" t="s">
        <v>198</v>
      </c>
      <c r="B3" s="22" t="s">
        <v>199</v>
      </c>
      <c r="C3" s="22" t="s">
        <v>200</v>
      </c>
      <c r="D3" s="22" t="s">
        <v>201</v>
      </c>
    </row>
    <row r="4" customFormat="false" ht="15" hidden="false" customHeight="true" outlineLevel="0" collapsed="false">
      <c r="A4" s="5" t="s">
        <v>202</v>
      </c>
      <c r="B4" s="6" t="n">
        <v>438999.54</v>
      </c>
      <c r="C4" s="5" t="n">
        <v>290</v>
      </c>
      <c r="D4" s="23" t="n">
        <f aca="false">IFERROR(B4/SUM(B$4:B$18),0)</f>
        <v>0.457833247758057</v>
      </c>
    </row>
    <row r="5" customFormat="false" ht="15" hidden="false" customHeight="true" outlineLevel="0" collapsed="false">
      <c r="A5" s="5" t="s">
        <v>203</v>
      </c>
      <c r="B5" s="6" t="n">
        <v>236284.49</v>
      </c>
      <c r="C5" s="5" t="n">
        <v>66</v>
      </c>
      <c r="D5" s="23" t="n">
        <f aca="false">IFERROR(B5/SUM(B$4:B$18),0)</f>
        <v>0.246421432358576</v>
      </c>
    </row>
    <row r="6" customFormat="false" ht="15" hidden="false" customHeight="true" outlineLevel="0" collapsed="false">
      <c r="A6" s="5" t="s">
        <v>204</v>
      </c>
      <c r="B6" s="6" t="n">
        <v>108314.63</v>
      </c>
      <c r="C6" s="5" t="n">
        <v>64</v>
      </c>
      <c r="D6" s="23" t="n">
        <f aca="false">IFERROR(B6/SUM(B$4:B$18),0)</f>
        <v>0.112961482448506</v>
      </c>
    </row>
    <row r="7" customFormat="false" ht="15" hidden="false" customHeight="true" outlineLevel="0" collapsed="false">
      <c r="A7" s="5" t="s">
        <v>205</v>
      </c>
      <c r="B7" s="6" t="n">
        <v>53781.5</v>
      </c>
      <c r="C7" s="5" t="n">
        <v>36</v>
      </c>
      <c r="D7" s="23" t="n">
        <f aca="false">IFERROR(B7/SUM(B$4:B$18),0)</f>
        <v>0.0560888032235749</v>
      </c>
    </row>
    <row r="8" customFormat="false" ht="15" hidden="false" customHeight="true" outlineLevel="0" collapsed="false">
      <c r="A8" s="5" t="s">
        <v>206</v>
      </c>
      <c r="B8" s="6" t="n">
        <v>52486.39</v>
      </c>
      <c r="C8" s="5" t="n">
        <v>64</v>
      </c>
      <c r="D8" s="23" t="n">
        <f aca="false">IFERROR(B8/SUM(B$4:B$18),0)</f>
        <v>0.0547381311533857</v>
      </c>
    </row>
    <row r="9" customFormat="false" ht="15" hidden="false" customHeight="true" outlineLevel="0" collapsed="false">
      <c r="A9" s="5" t="s">
        <v>207</v>
      </c>
      <c r="B9" s="6" t="n">
        <v>24110.42</v>
      </c>
      <c r="C9" s="5" t="n">
        <v>44</v>
      </c>
      <c r="D9" s="23" t="n">
        <f aca="false">IFERROR(B9/SUM(B$4:B$18),0)</f>
        <v>0.0251447914806717</v>
      </c>
    </row>
    <row r="10" customFormat="false" ht="15" hidden="false" customHeight="true" outlineLevel="0" collapsed="false">
      <c r="A10" s="5" t="s">
        <v>208</v>
      </c>
      <c r="B10" s="6" t="n">
        <v>16877</v>
      </c>
      <c r="C10" s="5" t="n">
        <v>4</v>
      </c>
      <c r="D10" s="23" t="n">
        <f aca="false">IFERROR(B10/SUM(B$4:B$18),0)</f>
        <v>0.01760104742345</v>
      </c>
    </row>
    <row r="11" customFormat="false" ht="15" hidden="false" customHeight="true" outlineLevel="0" collapsed="false">
      <c r="A11" s="5" t="s">
        <v>209</v>
      </c>
      <c r="B11" s="6" t="n">
        <v>13622.9</v>
      </c>
      <c r="C11" s="5" t="n">
        <v>1</v>
      </c>
      <c r="D11" s="23" t="n">
        <f aca="false">IFERROR(B11/SUM(B$4:B$18),0)</f>
        <v>0.0142073418821424</v>
      </c>
    </row>
    <row r="12" customFormat="false" ht="15" hidden="false" customHeight="true" outlineLevel="0" collapsed="false">
      <c r="A12" s="5" t="s">
        <v>210</v>
      </c>
      <c r="B12" s="6" t="n">
        <v>6250</v>
      </c>
      <c r="C12" s="5" t="n">
        <v>3</v>
      </c>
      <c r="D12" s="23" t="n">
        <f aca="false">IFERROR(B12/SUM(B$4:B$18),0)</f>
        <v>0.00651813393355231</v>
      </c>
    </row>
    <row r="13" customFormat="false" ht="15" hidden="false" customHeight="true" outlineLevel="0" collapsed="false">
      <c r="A13" s="5" t="s">
        <v>211</v>
      </c>
      <c r="B13" s="6" t="n">
        <v>5916</v>
      </c>
      <c r="C13" s="5" t="n">
        <v>3</v>
      </c>
      <c r="D13" s="23" t="n">
        <f aca="false">IFERROR(B13/SUM(B$4:B$18),0)</f>
        <v>0.00616980485614327</v>
      </c>
    </row>
    <row r="14" customFormat="false" ht="15" hidden="false" customHeight="true" outlineLevel="0" collapsed="false">
      <c r="A14" s="5" t="s">
        <v>212</v>
      </c>
      <c r="B14" s="6" t="n">
        <v>1059.17</v>
      </c>
      <c r="C14" s="5" t="n">
        <v>3</v>
      </c>
      <c r="D14" s="23" t="n">
        <f aca="false">IFERROR(B14/SUM(B$4:B$18),0)</f>
        <v>0.0011046099069441</v>
      </c>
    </row>
    <row r="15" customFormat="false" ht="15" hidden="false" customHeight="true" outlineLevel="0" collapsed="false">
      <c r="A15" s="5" t="s">
        <v>213</v>
      </c>
      <c r="B15" s="6" t="n">
        <v>485.9</v>
      </c>
      <c r="C15" s="5" t="n">
        <v>6</v>
      </c>
      <c r="D15" s="23" t="n">
        <f aca="false">IFERROR(B15/SUM(B$4:B$18),0)</f>
        <v>0.000506745804530091</v>
      </c>
    </row>
    <row r="16" customFormat="false" ht="15" hidden="false" customHeight="true" outlineLevel="0" collapsed="false">
      <c r="A16" s="5" t="s">
        <v>214</v>
      </c>
      <c r="B16" s="6" t="n">
        <v>431.25</v>
      </c>
      <c r="C16" s="5" t="n">
        <v>2</v>
      </c>
      <c r="D16" s="23" t="n">
        <f aca="false">IFERROR(B16/SUM(B$4:B$18),0)</f>
        <v>0.000449751241415109</v>
      </c>
    </row>
    <row r="17" customFormat="false" ht="15" hidden="false" customHeight="true" outlineLevel="0" collapsed="false">
      <c r="A17" s="5" t="s">
        <v>215</v>
      </c>
      <c r="B17" s="6" t="n">
        <v>175</v>
      </c>
      <c r="C17" s="5" t="n">
        <v>1</v>
      </c>
      <c r="D17" s="23" t="n">
        <f aca="false">IFERROR(B17/SUM(B$4:B$18),0)</f>
        <v>0.000182507750139465</v>
      </c>
    </row>
    <row r="18" customFormat="false" ht="15" hidden="false" customHeight="true" outlineLevel="0" collapsed="false">
      <c r="A18" s="5" t="s">
        <v>216</v>
      </c>
      <c r="B18" s="6" t="n">
        <v>69.2</v>
      </c>
      <c r="C18" s="5" t="n">
        <v>1</v>
      </c>
      <c r="D18" s="23" t="n">
        <f aca="false">IFERROR(B18/SUM(B$4:B$18),0)</f>
        <v>7.21687789122911E-005</v>
      </c>
    </row>
    <row r="19" customFormat="false" ht="15" hidden="false" customHeight="true" outlineLevel="0" collapsed="false">
      <c r="A19" s="13" t="s">
        <v>217</v>
      </c>
      <c r="B19" s="7" t="n">
        <f aca="false">SUM(B4:B18)</f>
        <v>958863.39</v>
      </c>
      <c r="C19" s="26" t="n">
        <f aca="false">SUM(C4:C18)</f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218</v>
      </c>
    </row>
    <row r="3" customFormat="false" ht="15" hidden="false" customHeight="true" outlineLevel="0" collapsed="false">
      <c r="A3" s="22" t="s">
        <v>219</v>
      </c>
      <c r="B3" s="22" t="s">
        <v>220</v>
      </c>
      <c r="C3" s="22" t="s">
        <v>221</v>
      </c>
      <c r="D3" s="22" t="s">
        <v>222</v>
      </c>
      <c r="E3" s="22" t="s">
        <v>223</v>
      </c>
    </row>
    <row r="4" customFormat="false" ht="15" hidden="false" customHeight="true" outlineLevel="0" collapsed="false">
      <c r="A4" s="5" t="s">
        <v>224</v>
      </c>
      <c r="B4" s="27" t="n">
        <v>2539</v>
      </c>
      <c r="C4" s="6" t="n">
        <v>91466</v>
      </c>
      <c r="D4" s="28" t="n">
        <f aca="false">IFERROR(C4/B4,0)</f>
        <v>36.0244190626231</v>
      </c>
      <c r="E4" s="5" t="s">
        <v>225</v>
      </c>
    </row>
    <row r="5" customFormat="false" ht="15" hidden="false" customHeight="true" outlineLevel="0" collapsed="false">
      <c r="A5" s="5" t="s">
        <v>226</v>
      </c>
      <c r="B5" s="27" t="n">
        <v>2078.2</v>
      </c>
      <c r="C5" s="6" t="n">
        <v>66426</v>
      </c>
      <c r="D5" s="28" t="n">
        <f aca="false">IFERROR(C5/B5,0)</f>
        <v>31.9632374169955</v>
      </c>
      <c r="E5" s="5" t="s">
        <v>225</v>
      </c>
    </row>
    <row r="6" customFormat="false" ht="15" hidden="false" customHeight="true" outlineLevel="0" collapsed="false">
      <c r="A6" s="5" t="s">
        <v>227</v>
      </c>
      <c r="B6" s="27" t="n">
        <v>2040.5</v>
      </c>
      <c r="C6" s="6" t="n">
        <v>59232</v>
      </c>
      <c r="D6" s="28" t="n">
        <f aca="false">IFERROR(C6/B6,0)</f>
        <v>29.028179367802</v>
      </c>
      <c r="E6" s="5" t="s">
        <v>225</v>
      </c>
    </row>
    <row r="7" customFormat="false" ht="15" hidden="false" customHeight="true" outlineLevel="0" collapsed="false">
      <c r="A7" s="5" t="s">
        <v>228</v>
      </c>
      <c r="B7" s="27" t="n">
        <v>2007.5</v>
      </c>
      <c r="C7" s="6" t="n">
        <v>70254</v>
      </c>
      <c r="D7" s="28" t="n">
        <f aca="false">IFERROR(C7/B7,0)</f>
        <v>34.9957658779577</v>
      </c>
      <c r="E7" s="5" t="s">
        <v>225</v>
      </c>
    </row>
    <row r="8" customFormat="false" ht="15" hidden="false" customHeight="true" outlineLevel="0" collapsed="false">
      <c r="A8" s="5" t="s">
        <v>229</v>
      </c>
      <c r="B8" s="27" t="n">
        <v>1924</v>
      </c>
      <c r="C8" s="6" t="n">
        <v>81964</v>
      </c>
      <c r="D8" s="28" t="n">
        <f aca="false">IFERROR(C8/B8,0)</f>
        <v>42.6008316008316</v>
      </c>
      <c r="E8" s="5" t="s">
        <v>230</v>
      </c>
    </row>
    <row r="9" customFormat="false" ht="15" hidden="false" customHeight="true" outlineLevel="0" collapsed="false">
      <c r="A9" s="5" t="s">
        <v>231</v>
      </c>
      <c r="B9" s="27" t="n">
        <v>1738.5</v>
      </c>
      <c r="C9" s="6" t="n">
        <v>41498</v>
      </c>
      <c r="D9" s="28" t="n">
        <f aca="false">IFERROR(C9/B9,0)</f>
        <v>23.8700028760426</v>
      </c>
      <c r="E9" s="5" t="s">
        <v>225</v>
      </c>
    </row>
    <row r="10" customFormat="false" ht="15" hidden="false" customHeight="true" outlineLevel="0" collapsed="false">
      <c r="A10" s="5" t="s">
        <v>232</v>
      </c>
      <c r="B10" s="27" t="n">
        <v>1575</v>
      </c>
      <c r="C10" s="6" t="n">
        <v>48921</v>
      </c>
      <c r="D10" s="28" t="n">
        <f aca="false">IFERROR(C10/B10,0)</f>
        <v>31.0609523809524</v>
      </c>
      <c r="E10" s="5" t="s">
        <v>225</v>
      </c>
    </row>
    <row r="11" customFormat="false" ht="15" hidden="false" customHeight="true" outlineLevel="0" collapsed="false">
      <c r="A11" s="5" t="s">
        <v>233</v>
      </c>
      <c r="B11" s="27" t="n">
        <v>1559</v>
      </c>
      <c r="C11" s="6" t="n">
        <v>57814</v>
      </c>
      <c r="D11" s="28" t="n">
        <f aca="false">IFERROR(C11/B11,0)</f>
        <v>37.08402822322</v>
      </c>
      <c r="E11" s="5" t="s">
        <v>230</v>
      </c>
    </row>
    <row r="12" customFormat="false" ht="15" hidden="false" customHeight="true" outlineLevel="0" collapsed="false">
      <c r="A12" s="5" t="s">
        <v>234</v>
      </c>
      <c r="B12" s="27" t="n">
        <v>1554</v>
      </c>
      <c r="C12" s="6" t="n">
        <v>75540</v>
      </c>
      <c r="D12" s="28" t="n">
        <f aca="false">IFERROR(C12/B12,0)</f>
        <v>48.6100386100386</v>
      </c>
      <c r="E12" s="5" t="s">
        <v>230</v>
      </c>
    </row>
    <row r="13" customFormat="false" ht="15" hidden="false" customHeight="true" outlineLevel="0" collapsed="false">
      <c r="A13" s="5" t="s">
        <v>235</v>
      </c>
      <c r="B13" s="27" t="n">
        <v>1386</v>
      </c>
      <c r="C13" s="6" t="n">
        <v>50952</v>
      </c>
      <c r="D13" s="28" t="n">
        <f aca="false">IFERROR(C13/B13,0)</f>
        <v>36.7619047619048</v>
      </c>
      <c r="E13" s="5" t="s">
        <v>230</v>
      </c>
    </row>
    <row r="14" customFormat="false" ht="15" hidden="false" customHeight="true" outlineLevel="0" collapsed="false">
      <c r="A14" s="5" t="s">
        <v>236</v>
      </c>
      <c r="B14" s="27" t="n">
        <v>1198</v>
      </c>
      <c r="C14" s="6" t="n">
        <v>32851</v>
      </c>
      <c r="D14" s="28" t="n">
        <f aca="false">IFERROR(C14/B14,0)</f>
        <v>27.4215358931553</v>
      </c>
      <c r="E14" s="5" t="s">
        <v>225</v>
      </c>
    </row>
    <row r="15" customFormat="false" ht="15" hidden="false" customHeight="true" outlineLevel="0" collapsed="false">
      <c r="A15" s="5" t="s">
        <v>237</v>
      </c>
      <c r="B15" s="27" t="n">
        <v>1096</v>
      </c>
      <c r="C15" s="6" t="n">
        <v>45956</v>
      </c>
      <c r="D15" s="28" t="n">
        <f aca="false">IFERROR(C15/B15,0)</f>
        <v>41.9306569343066</v>
      </c>
      <c r="E15" s="5" t="s">
        <v>230</v>
      </c>
    </row>
    <row r="16" customFormat="false" ht="15" hidden="false" customHeight="true" outlineLevel="0" collapsed="false">
      <c r="A16" s="5" t="s">
        <v>238</v>
      </c>
      <c r="B16" s="27" t="n">
        <v>1066</v>
      </c>
      <c r="C16" s="6" t="n">
        <v>57743</v>
      </c>
      <c r="D16" s="28" t="n">
        <f aca="false">IFERROR(C16/B16,0)</f>
        <v>54.1679174484053</v>
      </c>
      <c r="E16" s="5" t="s">
        <v>230</v>
      </c>
    </row>
    <row r="17" customFormat="false" ht="15" hidden="false" customHeight="true" outlineLevel="0" collapsed="false">
      <c r="A17" s="5" t="s">
        <v>239</v>
      </c>
      <c r="B17" s="27" t="n">
        <v>1017.5</v>
      </c>
      <c r="C17" s="6" t="n">
        <v>25942</v>
      </c>
      <c r="D17" s="28" t="n">
        <f aca="false">IFERROR(C17/B17,0)</f>
        <v>25.4958230958231</v>
      </c>
      <c r="E17" s="5" t="s">
        <v>225</v>
      </c>
    </row>
    <row r="18" customFormat="false" ht="15" hidden="false" customHeight="true" outlineLevel="0" collapsed="false">
      <c r="A18" s="5" t="s">
        <v>240</v>
      </c>
      <c r="B18" s="27" t="n">
        <v>953</v>
      </c>
      <c r="C18" s="6" t="n">
        <v>30765</v>
      </c>
      <c r="D18" s="28" t="n">
        <f aca="false">IFERROR(C18/B18,0)</f>
        <v>32.2822665267576</v>
      </c>
      <c r="E18" s="5" t="s">
        <v>225</v>
      </c>
    </row>
    <row r="19" customFormat="false" ht="15" hidden="false" customHeight="true" outlineLevel="0" collapsed="false">
      <c r="A19" s="5" t="s">
        <v>241</v>
      </c>
      <c r="B19" s="27" t="n">
        <v>952.5</v>
      </c>
      <c r="C19" s="6" t="n">
        <v>27908</v>
      </c>
      <c r="D19" s="28" t="n">
        <f aca="false">IFERROR(C19/B19,0)</f>
        <v>29.2997375328084</v>
      </c>
      <c r="E19" s="5" t="s">
        <v>225</v>
      </c>
    </row>
    <row r="20" customFormat="false" ht="15" hidden="false" customHeight="true" outlineLevel="0" collapsed="false">
      <c r="A20" s="5" t="s">
        <v>242</v>
      </c>
      <c r="B20" s="27" t="n">
        <v>948</v>
      </c>
      <c r="C20" s="6" t="n">
        <v>50152</v>
      </c>
      <c r="D20" s="28" t="n">
        <f aca="false">IFERROR(C20/B20,0)</f>
        <v>52.9029535864979</v>
      </c>
      <c r="E20" s="5" t="s">
        <v>230</v>
      </c>
    </row>
    <row r="21" customFormat="false" ht="15" hidden="false" customHeight="true" outlineLevel="0" collapsed="false">
      <c r="A21" s="5" t="s">
        <v>243</v>
      </c>
      <c r="B21" s="27" t="n">
        <v>831</v>
      </c>
      <c r="C21" s="6" t="n">
        <v>24220</v>
      </c>
      <c r="D21" s="28" t="n">
        <f aca="false">IFERROR(C21/B21,0)</f>
        <v>29.1456077015644</v>
      </c>
      <c r="E21" s="5" t="s">
        <v>225</v>
      </c>
    </row>
    <row r="22" customFormat="false" ht="15" hidden="false" customHeight="true" outlineLevel="0" collapsed="false">
      <c r="A22" s="5" t="s">
        <v>244</v>
      </c>
      <c r="B22" s="27" t="n">
        <v>818</v>
      </c>
      <c r="C22" s="6" t="n">
        <v>16654</v>
      </c>
      <c r="D22" s="28" t="n">
        <f aca="false">IFERROR(C22/B22,0)</f>
        <v>20.359413202934</v>
      </c>
      <c r="E22" s="5" t="s">
        <v>225</v>
      </c>
    </row>
    <row r="23" customFormat="false" ht="15" hidden="false" customHeight="true" outlineLevel="0" collapsed="false">
      <c r="A23" s="5" t="s">
        <v>245</v>
      </c>
      <c r="B23" s="27" t="n">
        <v>817</v>
      </c>
      <c r="C23" s="6" t="n">
        <v>26160</v>
      </c>
      <c r="D23" s="28" t="n">
        <f aca="false">IFERROR(C23/B23,0)</f>
        <v>32.0195838433293</v>
      </c>
      <c r="E23" s="5" t="s">
        <v>225</v>
      </c>
    </row>
    <row r="24" customFormat="false" ht="15" hidden="false" customHeight="true" outlineLevel="0" collapsed="false">
      <c r="A24" s="5" t="s">
        <v>246</v>
      </c>
      <c r="B24" s="27" t="n">
        <v>806</v>
      </c>
      <c r="C24" s="6" t="n">
        <v>25101</v>
      </c>
      <c r="D24" s="28" t="n">
        <f aca="false">IFERROR(C24/B24,0)</f>
        <v>31.1426799007444</v>
      </c>
      <c r="E24" s="5" t="s">
        <v>225</v>
      </c>
    </row>
    <row r="25" customFormat="false" ht="15" hidden="false" customHeight="true" outlineLevel="0" collapsed="false">
      <c r="A25" s="5" t="s">
        <v>247</v>
      </c>
      <c r="B25" s="27" t="n">
        <v>804.5</v>
      </c>
      <c r="C25" s="6" t="n">
        <v>16090</v>
      </c>
      <c r="D25" s="28" t="n">
        <f aca="false">IFERROR(C25/B25,0)</f>
        <v>20</v>
      </c>
      <c r="E25" s="5" t="s">
        <v>225</v>
      </c>
    </row>
    <row r="26" customFormat="false" ht="15" hidden="false" customHeight="true" outlineLevel="0" collapsed="false">
      <c r="A26" s="5" t="s">
        <v>248</v>
      </c>
      <c r="B26" s="27" t="n">
        <v>783</v>
      </c>
      <c r="C26" s="6" t="n">
        <v>14230</v>
      </c>
      <c r="D26" s="28" t="n">
        <f aca="false">IFERROR(C26/B26,0)</f>
        <v>18.1736909323116</v>
      </c>
      <c r="E26" s="5" t="s">
        <v>249</v>
      </c>
    </row>
    <row r="27" customFormat="false" ht="15" hidden="false" customHeight="true" outlineLevel="0" collapsed="false">
      <c r="A27" s="5" t="s">
        <v>250</v>
      </c>
      <c r="B27" s="27" t="n">
        <v>763</v>
      </c>
      <c r="C27" s="6" t="n">
        <v>16666</v>
      </c>
      <c r="D27" s="28" t="n">
        <f aca="false">IFERROR(C27/B27,0)</f>
        <v>21.8427260812582</v>
      </c>
      <c r="E27" s="5" t="s">
        <v>225</v>
      </c>
    </row>
    <row r="28" customFormat="false" ht="15" hidden="false" customHeight="true" outlineLevel="0" collapsed="false">
      <c r="A28" s="5" t="s">
        <v>251</v>
      </c>
      <c r="B28" s="27" t="n">
        <v>736</v>
      </c>
      <c r="C28" s="6" t="n">
        <v>24288</v>
      </c>
      <c r="D28" s="28" t="n">
        <f aca="false">IFERROR(C28/B28,0)</f>
        <v>33</v>
      </c>
      <c r="E28" s="5" t="s">
        <v>225</v>
      </c>
    </row>
    <row r="29" customFormat="false" ht="15" hidden="false" customHeight="true" outlineLevel="0" collapsed="false">
      <c r="A29" s="5" t="s">
        <v>252</v>
      </c>
      <c r="B29" s="27" t="n">
        <v>706</v>
      </c>
      <c r="C29" s="6" t="n">
        <v>12192</v>
      </c>
      <c r="D29" s="28" t="n">
        <f aca="false">IFERROR(C29/B29,0)</f>
        <v>17.2691218130312</v>
      </c>
      <c r="E29" s="5" t="s">
        <v>249</v>
      </c>
    </row>
    <row r="30" customFormat="false" ht="15" hidden="false" customHeight="true" outlineLevel="0" collapsed="false">
      <c r="A30" s="5" t="s">
        <v>253</v>
      </c>
      <c r="B30" s="27" t="n">
        <v>680</v>
      </c>
      <c r="C30" s="6" t="n">
        <v>23432</v>
      </c>
      <c r="D30" s="28" t="n">
        <f aca="false">IFERROR(C30/B30,0)</f>
        <v>34.4588235294118</v>
      </c>
      <c r="E30" s="5" t="s">
        <v>225</v>
      </c>
    </row>
    <row r="31" customFormat="false" ht="15" hidden="false" customHeight="true" outlineLevel="0" collapsed="false">
      <c r="A31" s="5" t="s">
        <v>254</v>
      </c>
      <c r="B31" s="27" t="n">
        <v>635.5</v>
      </c>
      <c r="C31" s="6" t="n">
        <v>17878</v>
      </c>
      <c r="D31" s="28" t="n">
        <f aca="false">IFERROR(C31/B31,0)</f>
        <v>28.13217938631</v>
      </c>
      <c r="E31" s="5" t="s">
        <v>225</v>
      </c>
    </row>
    <row r="32" customFormat="false" ht="15" hidden="false" customHeight="true" outlineLevel="0" collapsed="false">
      <c r="A32" s="5" t="s">
        <v>255</v>
      </c>
      <c r="B32" s="27" t="n">
        <v>628</v>
      </c>
      <c r="C32" s="6" t="n">
        <v>14444</v>
      </c>
      <c r="D32" s="28" t="n">
        <f aca="false">IFERROR(C32/B32,0)</f>
        <v>23</v>
      </c>
      <c r="E32" s="5" t="s">
        <v>225</v>
      </c>
    </row>
    <row r="33" customFormat="false" ht="15" hidden="false" customHeight="true" outlineLevel="0" collapsed="false">
      <c r="A33" s="5" t="s">
        <v>256</v>
      </c>
      <c r="B33" s="27" t="n">
        <v>595.5</v>
      </c>
      <c r="C33" s="6" t="n">
        <v>11314</v>
      </c>
      <c r="D33" s="28" t="n">
        <f aca="false">IFERROR(C33/B33,0)</f>
        <v>18.9991603694374</v>
      </c>
      <c r="E33" s="5" t="s">
        <v>249</v>
      </c>
    </row>
    <row r="34" customFormat="false" ht="15" hidden="false" customHeight="true" outlineLevel="0" collapsed="false">
      <c r="A34" s="5" t="s">
        <v>257</v>
      </c>
      <c r="B34" s="27" t="n">
        <v>434</v>
      </c>
      <c r="C34" s="6" t="n">
        <v>11780</v>
      </c>
      <c r="D34" s="28" t="n">
        <f aca="false">IFERROR(C34/B34,0)</f>
        <v>27.1428571428571</v>
      </c>
      <c r="E34" s="5" t="s">
        <v>225</v>
      </c>
    </row>
    <row r="35" customFormat="false" ht="15" hidden="false" customHeight="true" outlineLevel="0" collapsed="false">
      <c r="A35" s="5" t="s">
        <v>258</v>
      </c>
      <c r="B35" s="27" t="n">
        <v>428.5</v>
      </c>
      <c r="C35" s="6" t="n">
        <v>23867</v>
      </c>
      <c r="D35" s="28" t="n">
        <f aca="false">IFERROR(C35/B35,0)</f>
        <v>55.6989498249708</v>
      </c>
      <c r="E35" s="5" t="s">
        <v>230</v>
      </c>
    </row>
    <row r="36" customFormat="false" ht="15" hidden="false" customHeight="true" outlineLevel="0" collapsed="false">
      <c r="A36" s="5" t="s">
        <v>259</v>
      </c>
      <c r="B36" s="27" t="n">
        <v>423</v>
      </c>
      <c r="C36" s="6" t="n">
        <v>14433</v>
      </c>
      <c r="D36" s="28" t="n">
        <f aca="false">IFERROR(C36/B36,0)</f>
        <v>34.1205673758865</v>
      </c>
      <c r="E36" s="5" t="s">
        <v>225</v>
      </c>
    </row>
    <row r="37" customFormat="false" ht="15" hidden="false" customHeight="true" outlineLevel="0" collapsed="false">
      <c r="A37" s="5" t="s">
        <v>260</v>
      </c>
      <c r="B37" s="27" t="n">
        <v>320</v>
      </c>
      <c r="C37" s="6" t="n">
        <v>5120</v>
      </c>
      <c r="D37" s="28" t="n">
        <f aca="false">IFERROR(C37/B37,0)</f>
        <v>16</v>
      </c>
      <c r="E37" s="5" t="s">
        <v>249</v>
      </c>
    </row>
    <row r="38" customFormat="false" ht="15" hidden="false" customHeight="true" outlineLevel="0" collapsed="false">
      <c r="A38" s="5" t="s">
        <v>261</v>
      </c>
      <c r="B38" s="27" t="n">
        <v>211</v>
      </c>
      <c r="C38" s="6" t="n">
        <v>6330</v>
      </c>
      <c r="D38" s="28" t="n">
        <f aca="false">IFERROR(C38/B38,0)</f>
        <v>30</v>
      </c>
      <c r="E38" s="5" t="s">
        <v>225</v>
      </c>
    </row>
    <row r="39" customFormat="false" ht="15" hidden="false" customHeight="true" outlineLevel="0" collapsed="false">
      <c r="A39" s="5" t="s">
        <v>262</v>
      </c>
      <c r="B39" s="27" t="n">
        <v>164</v>
      </c>
      <c r="C39" s="6" t="n">
        <v>2516</v>
      </c>
      <c r="D39" s="28" t="n">
        <f aca="false">IFERROR(C39/B39,0)</f>
        <v>15.3414634146341</v>
      </c>
      <c r="E39" s="5" t="s">
        <v>249</v>
      </c>
    </row>
    <row r="40" customFormat="false" ht="15" hidden="false" customHeight="true" outlineLevel="0" collapsed="false">
      <c r="A40" s="5" t="s">
        <v>263</v>
      </c>
      <c r="B40" s="27" t="n">
        <v>154.5</v>
      </c>
      <c r="C40" s="6" t="n">
        <v>4017</v>
      </c>
      <c r="D40" s="28" t="n">
        <f aca="false">IFERROR(C40/B40,0)</f>
        <v>26</v>
      </c>
      <c r="E40" s="5" t="s">
        <v>225</v>
      </c>
    </row>
    <row r="41" customFormat="false" ht="15" hidden="false" customHeight="true" outlineLevel="0" collapsed="false">
      <c r="A41" s="5" t="s">
        <v>264</v>
      </c>
      <c r="B41" s="27" t="n">
        <v>144</v>
      </c>
      <c r="C41" s="6" t="n">
        <v>3024</v>
      </c>
      <c r="D41" s="28" t="n">
        <f aca="false">IFERROR(C41/B41,0)</f>
        <v>21</v>
      </c>
      <c r="E41" s="5" t="s">
        <v>225</v>
      </c>
    </row>
    <row r="42" customFormat="false" ht="15" hidden="false" customHeight="true" outlineLevel="0" collapsed="false">
      <c r="A42" s="5" t="s">
        <v>265</v>
      </c>
      <c r="B42" s="27" t="n">
        <v>113</v>
      </c>
      <c r="C42" s="6" t="n">
        <v>7062</v>
      </c>
      <c r="D42" s="28" t="n">
        <f aca="false">IFERROR(C42/B42,0)</f>
        <v>62.4955752212389</v>
      </c>
      <c r="E42" s="5" t="s">
        <v>230</v>
      </c>
    </row>
    <row r="43" customFormat="false" ht="15" hidden="false" customHeight="true" outlineLevel="0" collapsed="false">
      <c r="A43" s="5" t="s">
        <v>266</v>
      </c>
      <c r="B43" s="27" t="n">
        <v>88</v>
      </c>
      <c r="C43" s="6" t="n">
        <v>1848</v>
      </c>
      <c r="D43" s="28" t="n">
        <f aca="false">IFERROR(C43/B43,0)</f>
        <v>21</v>
      </c>
      <c r="E43" s="5" t="s">
        <v>225</v>
      </c>
    </row>
    <row r="44" customFormat="false" ht="15" hidden="false" customHeight="true" outlineLevel="0" collapsed="false">
      <c r="A44" s="5" t="s">
        <v>267</v>
      </c>
      <c r="B44" s="27" t="n">
        <v>48</v>
      </c>
      <c r="C44" s="6" t="n">
        <v>1920</v>
      </c>
      <c r="D44" s="28" t="n">
        <f aca="false">IFERROR(C44/B44,0)</f>
        <v>40</v>
      </c>
      <c r="E44" s="5" t="s">
        <v>230</v>
      </c>
    </row>
    <row r="45" customFormat="false" ht="15" hidden="false" customHeight="true" outlineLevel="0" collapsed="false">
      <c r="A45" s="5" t="s">
        <v>268</v>
      </c>
      <c r="B45" s="27" t="n">
        <v>46.5</v>
      </c>
      <c r="C45" s="6" t="n">
        <v>1534</v>
      </c>
      <c r="D45" s="28" t="n">
        <f aca="false">IFERROR(C45/B45,0)</f>
        <v>32.989247311828</v>
      </c>
      <c r="E45" s="5" t="s">
        <v>225</v>
      </c>
    </row>
    <row r="46" customFormat="false" ht="15" hidden="false" customHeight="true" outlineLevel="0" collapsed="false">
      <c r="A46" s="5" t="s">
        <v>269</v>
      </c>
      <c r="B46" s="27" t="n">
        <v>30</v>
      </c>
      <c r="C46" s="6" t="n">
        <v>480</v>
      </c>
      <c r="D46" s="28" t="n">
        <f aca="false">IFERROR(C46/B46,0)</f>
        <v>16</v>
      </c>
      <c r="E46" s="5" t="s">
        <v>249</v>
      </c>
    </row>
    <row r="47" customFormat="false" ht="15" hidden="false" customHeight="true" outlineLevel="0" collapsed="false">
      <c r="A47" s="5" t="s">
        <v>270</v>
      </c>
      <c r="B47" s="27" t="n">
        <v>24</v>
      </c>
      <c r="C47" s="6" t="n">
        <v>432</v>
      </c>
      <c r="D47" s="28" t="n">
        <f aca="false">IFERROR(C47/B47,0)</f>
        <v>18</v>
      </c>
      <c r="E47" s="5" t="s">
        <v>249</v>
      </c>
    </row>
    <row r="48" customFormat="false" ht="15" hidden="false" customHeight="true" outlineLevel="0" collapsed="false">
      <c r="A48" s="5" t="s">
        <v>271</v>
      </c>
      <c r="B48" s="27" t="n">
        <v>16</v>
      </c>
      <c r="C48" s="6" t="n">
        <v>496</v>
      </c>
      <c r="D48" s="28" t="n">
        <f aca="false">IFERROR(C48/B48,0)</f>
        <v>31</v>
      </c>
      <c r="E48" s="5" t="s">
        <v>225</v>
      </c>
    </row>
    <row r="49" customFormat="false" ht="15" hidden="false" customHeight="true" outlineLevel="0" collapsed="false">
      <c r="A49" s="5" t="s">
        <v>272</v>
      </c>
      <c r="B49" s="27" t="n">
        <v>16</v>
      </c>
      <c r="C49" s="6" t="n">
        <v>672</v>
      </c>
      <c r="D49" s="28" t="n">
        <f aca="false">IFERROR(C49/B49,0)</f>
        <v>42</v>
      </c>
      <c r="E49" s="5" t="s">
        <v>230</v>
      </c>
    </row>
    <row r="50" customFormat="false" ht="15" hidden="false" customHeight="true" outlineLevel="0" collapsed="false">
      <c r="A50" s="5" t="s">
        <v>273</v>
      </c>
      <c r="B50" s="27" t="n">
        <v>9</v>
      </c>
      <c r="C50" s="6" t="n">
        <v>486</v>
      </c>
      <c r="D50" s="28" t="n">
        <f aca="false">IFERROR(C50/B50,0)</f>
        <v>54</v>
      </c>
      <c r="E50" s="5" t="s">
        <v>230</v>
      </c>
    </row>
    <row r="51" customFormat="false" ht="15" hidden="false" customHeight="true" outlineLevel="0" collapsed="false">
      <c r="A51" s="5" t="s">
        <v>274</v>
      </c>
      <c r="B51" s="27" t="n">
        <v>8</v>
      </c>
      <c r="C51" s="6" t="n">
        <v>224</v>
      </c>
      <c r="D51" s="28" t="n">
        <f aca="false">IFERROR(C51/B51,0)</f>
        <v>28</v>
      </c>
      <c r="E51" s="5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275</v>
      </c>
    </row>
    <row r="3" customFormat="false" ht="15" hidden="false" customHeight="true" outlineLevel="0" collapsed="false">
      <c r="A3" s="22" t="s">
        <v>223</v>
      </c>
      <c r="B3" s="22" t="s">
        <v>276</v>
      </c>
      <c r="C3" s="22" t="s">
        <v>220</v>
      </c>
      <c r="D3" s="22" t="s">
        <v>221</v>
      </c>
      <c r="E3" s="22" t="s">
        <v>277</v>
      </c>
    </row>
    <row r="4" customFormat="false" ht="15" hidden="false" customHeight="true" outlineLevel="0" collapsed="false">
      <c r="A4" s="13" t="s">
        <v>230</v>
      </c>
      <c r="B4" s="5" t="n">
        <v>12</v>
      </c>
      <c r="C4" s="27" t="n">
        <v>10147.5</v>
      </c>
      <c r="D4" s="6" t="n">
        <v>454129</v>
      </c>
      <c r="E4" s="23" t="n">
        <f aca="false">IFERROR(C4/SUM(C$4:C$7),0)</f>
        <v>0.267646608886474</v>
      </c>
    </row>
    <row r="5" customFormat="false" ht="15" hidden="false" customHeight="true" outlineLevel="0" collapsed="false">
      <c r="A5" s="13" t="s">
        <v>225</v>
      </c>
      <c r="B5" s="5" t="n">
        <v>29</v>
      </c>
      <c r="C5" s="27" t="n">
        <v>25143.8</v>
      </c>
      <c r="D5" s="6" t="n">
        <v>743884</v>
      </c>
      <c r="E5" s="23" t="n">
        <f aca="false">IFERROR(C5/SUM(C$4:C$7),0)</f>
        <v>0.663183326387753</v>
      </c>
    </row>
    <row r="6" customFormat="false" ht="15" hidden="false" customHeight="true" outlineLevel="0" collapsed="false">
      <c r="A6" s="13" t="s">
        <v>249</v>
      </c>
      <c r="B6" s="5" t="n">
        <v>7</v>
      </c>
      <c r="C6" s="27" t="n">
        <v>2622.5</v>
      </c>
      <c r="D6" s="6" t="n">
        <v>46284</v>
      </c>
      <c r="E6" s="23" t="n">
        <f aca="false">IFERROR(C6/SUM(C$4:C$7),0)</f>
        <v>0.0691700647257727</v>
      </c>
    </row>
    <row r="7" customFormat="false" ht="15" hidden="false" customHeight="true" outlineLevel="0" collapsed="false">
      <c r="A7" s="13" t="s">
        <v>278</v>
      </c>
      <c r="B7" s="5" t="n">
        <v>0</v>
      </c>
      <c r="C7" s="27" t="n">
        <v>0</v>
      </c>
      <c r="D7" s="6" t="n">
        <v>0</v>
      </c>
      <c r="E7" s="23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279</v>
      </c>
    </row>
    <row r="3" customFormat="false" ht="15" hidden="false" customHeight="true" outlineLevel="0" collapsed="false">
      <c r="A3" s="5" t="s">
        <v>280</v>
      </c>
      <c r="B3" s="27" t="n">
        <v>37914</v>
      </c>
    </row>
    <row r="4" customFormat="false" ht="15" hidden="false" customHeight="true" outlineLevel="0" collapsed="false">
      <c r="A4" s="5" t="s">
        <v>281</v>
      </c>
      <c r="B4" s="29" t="n">
        <v>48</v>
      </c>
    </row>
    <row r="5" customFormat="false" ht="15" hidden="false" customHeight="true" outlineLevel="0" collapsed="false">
      <c r="A5" s="5" t="s">
        <v>282</v>
      </c>
      <c r="B5" s="27" t="n">
        <v>354.3</v>
      </c>
    </row>
    <row r="6" customFormat="false" ht="15" hidden="false" customHeight="true" outlineLevel="0" collapsed="false">
      <c r="A6" s="5" t="s">
        <v>283</v>
      </c>
      <c r="B6" s="30" t="n">
        <v>118.49</v>
      </c>
    </row>
    <row r="7" customFormat="false" ht="15" hidden="false" customHeight="true" outlineLevel="0" collapsed="false">
      <c r="A7" s="5" t="s">
        <v>12</v>
      </c>
      <c r="B7" s="3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284</v>
      </c>
    </row>
    <row r="3" customFormat="false" ht="15" hidden="false" customHeight="true" outlineLevel="0" collapsed="false">
      <c r="A3" s="22" t="s">
        <v>285</v>
      </c>
      <c r="B3" s="22" t="s">
        <v>286</v>
      </c>
      <c r="C3" s="22" t="s">
        <v>287</v>
      </c>
      <c r="D3" s="22" t="s">
        <v>107</v>
      </c>
    </row>
    <row r="4" customFormat="false" ht="15" hidden="false" customHeight="true" outlineLevel="0" collapsed="false">
      <c r="A4" s="5" t="s">
        <v>288</v>
      </c>
      <c r="B4" s="31" t="n">
        <v>0.259737132475287</v>
      </c>
      <c r="C4" s="31" t="n">
        <v>0.34</v>
      </c>
      <c r="D4" s="23" t="n">
        <f aca="false">B4-C4</f>
        <v>-0.080262867524713</v>
      </c>
    </row>
    <row r="5" customFormat="false" ht="15" hidden="false" customHeight="true" outlineLevel="0" collapsed="false">
      <c r="A5" s="5" t="s">
        <v>289</v>
      </c>
      <c r="B5" s="31" t="n">
        <v>0.528001605699523</v>
      </c>
      <c r="C5" s="31" t="n">
        <v>0.45</v>
      </c>
      <c r="D5" s="23" t="n">
        <f aca="false">B5-C5</f>
        <v>0.078001605699523</v>
      </c>
    </row>
    <row r="6" customFormat="false" ht="15" hidden="false" customHeight="true" outlineLevel="0" collapsed="false">
      <c r="A6" s="5" t="s">
        <v>290</v>
      </c>
      <c r="B6" s="31" t="n">
        <v>0.457833247758057</v>
      </c>
      <c r="C6" s="31" t="n">
        <v>0.38</v>
      </c>
      <c r="D6" s="23" t="n">
        <f aca="false">B6-C6</f>
        <v>0.077833247758057</v>
      </c>
    </row>
    <row r="7" customFormat="false" ht="15" hidden="false" customHeight="true" outlineLevel="0" collapsed="false">
      <c r="A7" s="5" t="s">
        <v>291</v>
      </c>
      <c r="B7" s="27" t="n">
        <v>354.334112149533</v>
      </c>
      <c r="C7" s="27" t="n">
        <v>95</v>
      </c>
      <c r="D7" s="32" t="n">
        <f aca="false">B7-C7</f>
        <v>259.334112149533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292</v>
      </c>
    </row>
    <row r="3" customFormat="false" ht="15" hidden="false" customHeight="true" outlineLevel="0" collapsed="false">
      <c r="A3" s="22" t="s">
        <v>293</v>
      </c>
      <c r="B3" s="22" t="s">
        <v>126</v>
      </c>
      <c r="C3" s="22" t="s">
        <v>294</v>
      </c>
    </row>
    <row r="4" customFormat="false" ht="15" hidden="false" customHeight="true" outlineLevel="0" collapsed="false">
      <c r="A4" s="5" t="s">
        <v>295</v>
      </c>
      <c r="B4" s="33" t="s">
        <v>296</v>
      </c>
      <c r="C4" s="5" t="s">
        <v>297</v>
      </c>
    </row>
    <row r="5" customFormat="false" ht="15" hidden="false" customHeight="true" outlineLevel="0" collapsed="false">
      <c r="A5" s="5" t="s">
        <v>298</v>
      </c>
      <c r="B5" s="33" t="s">
        <v>296</v>
      </c>
      <c r="C5" s="5" t="s">
        <v>299</v>
      </c>
    </row>
    <row r="6" customFormat="false" ht="15" hidden="false" customHeight="true" outlineLevel="0" collapsed="false">
      <c r="A6" s="5" t="s">
        <v>300</v>
      </c>
      <c r="B6" s="33" t="s">
        <v>296</v>
      </c>
      <c r="C6" s="5" t="s">
        <v>301</v>
      </c>
    </row>
    <row r="7" customFormat="false" ht="15" hidden="false" customHeight="true" outlineLevel="0" collapsed="false">
      <c r="A7" s="5" t="s">
        <v>302</v>
      </c>
      <c r="B7" s="33" t="s">
        <v>296</v>
      </c>
      <c r="C7" s="5" t="s">
        <v>303</v>
      </c>
    </row>
    <row r="8" customFormat="false" ht="15" hidden="false" customHeight="true" outlineLevel="0" collapsed="false">
      <c r="A8" s="5" t="s">
        <v>304</v>
      </c>
      <c r="B8" s="34" t="s">
        <v>305</v>
      </c>
      <c r="C8" s="5" t="s">
        <v>306</v>
      </c>
    </row>
    <row r="9" customFormat="false" ht="15" hidden="false" customHeight="true" outlineLevel="0" collapsed="false">
      <c r="A9" s="5" t="s">
        <v>6</v>
      </c>
      <c r="B9" s="34" t="s">
        <v>305</v>
      </c>
      <c r="C9" s="5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308</v>
      </c>
    </row>
    <row r="3" customFormat="false" ht="15" hidden="false" customHeight="true" outlineLevel="0" collapsed="false">
      <c r="A3" s="22" t="s">
        <v>14</v>
      </c>
      <c r="B3" s="22" t="s">
        <v>309</v>
      </c>
      <c r="C3" s="22" t="s">
        <v>310</v>
      </c>
      <c r="D3" s="22" t="s">
        <v>107</v>
      </c>
    </row>
    <row r="4" customFormat="false" ht="15" hidden="false" customHeight="true" outlineLevel="0" collapsed="false">
      <c r="A4" s="5" t="s">
        <v>311</v>
      </c>
      <c r="B4" s="6" t="n">
        <v>3015568.28</v>
      </c>
      <c r="C4" s="6" t="n">
        <v>3015568.28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312</v>
      </c>
      <c r="B5" s="6" t="n">
        <v>-4492453</v>
      </c>
      <c r="C5" s="6" t="n">
        <v>4492453</v>
      </c>
      <c r="D5" s="10" t="n">
        <f aca="false">IF(ISNUMBER(B5),B5-C5,"—")</f>
        <v>-8984906</v>
      </c>
    </row>
    <row r="6" customFormat="false" ht="15" hidden="false" customHeight="true" outlineLevel="0" collapsed="false">
      <c r="A6" s="5" t="s">
        <v>313</v>
      </c>
      <c r="C6" s="6" t="n">
        <v>958863.39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314</v>
      </c>
      <c r="C7" s="6" t="n">
        <v>1867384.49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315</v>
      </c>
      <c r="C8" s="6" t="n">
        <v>189320.4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316</v>
      </c>
    </row>
    <row r="3" customFormat="false" ht="15" hidden="false" customHeight="true" outlineLevel="0" collapsed="false">
      <c r="A3" s="22" t="s">
        <v>285</v>
      </c>
      <c r="B3" s="22" t="s">
        <v>317</v>
      </c>
      <c r="C3" s="22" t="s">
        <v>318</v>
      </c>
    </row>
    <row r="4" customFormat="false" ht="15" hidden="false" customHeight="true" outlineLevel="0" collapsed="false">
      <c r="A4" s="35" t="s">
        <v>288</v>
      </c>
      <c r="B4" s="35" t="s">
        <v>319</v>
      </c>
      <c r="C4" s="35" t="s">
        <v>320</v>
      </c>
    </row>
    <row r="5" customFormat="false" ht="15" hidden="false" customHeight="true" outlineLevel="0" collapsed="false">
      <c r="A5" s="35" t="s">
        <v>12</v>
      </c>
      <c r="B5" s="35" t="s">
        <v>319</v>
      </c>
      <c r="C5" s="35" t="s">
        <v>321</v>
      </c>
    </row>
    <row r="6" customFormat="false" ht="15" hidden="false" customHeight="true" outlineLevel="0" collapsed="false">
      <c r="A6" s="35" t="s">
        <v>322</v>
      </c>
      <c r="B6" s="35" t="s">
        <v>323</v>
      </c>
      <c r="C6" s="35" t="s">
        <v>324</v>
      </c>
    </row>
    <row r="7" customFormat="false" ht="15" hidden="false" customHeight="true" outlineLevel="0" collapsed="false">
      <c r="A7" s="35" t="s">
        <v>290</v>
      </c>
      <c r="B7" s="35" t="s">
        <v>325</v>
      </c>
      <c r="C7" s="35" t="s">
        <v>326</v>
      </c>
    </row>
    <row r="8" customFormat="false" ht="15" hidden="false" customHeight="true" outlineLevel="0" collapsed="false">
      <c r="A8" s="35" t="s">
        <v>291</v>
      </c>
      <c r="B8" s="35" t="s">
        <v>327</v>
      </c>
      <c r="C8" s="35" t="s">
        <v>328</v>
      </c>
    </row>
    <row r="9" customFormat="false" ht="23.25" hidden="false" customHeight="true" outlineLevel="0" collapsed="false">
      <c r="A9" s="35" t="s">
        <v>329</v>
      </c>
      <c r="B9" s="35" t="s">
        <v>330</v>
      </c>
      <c r="C9" s="35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332</v>
      </c>
    </row>
    <row r="3" customFormat="false" ht="15" hidden="false" customHeight="true" outlineLevel="0" collapsed="false">
      <c r="A3" s="22" t="s">
        <v>333</v>
      </c>
      <c r="B3" s="22" t="s">
        <v>334</v>
      </c>
      <c r="C3" s="22" t="s">
        <v>335</v>
      </c>
    </row>
    <row r="4" customFormat="false" ht="15" hidden="false" customHeight="true" outlineLevel="0" collapsed="false">
      <c r="A4" s="5" t="s">
        <v>336</v>
      </c>
      <c r="B4" s="5" t="s">
        <v>337</v>
      </c>
      <c r="C4" s="5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2026-04-26T02:18:36Z</dcterms:created>
  <dc:creator>openpyxl</dc:creator>
  <dc:description/>
  <dc:language>en-US</dc:language>
  <cp:lastModifiedBy/>
  <dcterms:modified xsi:type="dcterms:W3CDTF">2026-04-26T02:34:19Z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