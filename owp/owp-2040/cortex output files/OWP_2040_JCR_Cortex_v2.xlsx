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#2040 · Roosevelt 65th (Brooklyn 65)</t>
        </is>
      </c>
    </row>
    <row r="3">
      <c r="B3" s="2" t="inlineStr">
        <is>
          <t>Cortex JCR v2  •  Blueprint Capital (customer 2040BP)  •  1222 NE 65th Street, Seattle, WA 98115  •  Owner: Brooklyn 65 LLC (Blueprint)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2040</t>
        </is>
      </c>
      <c r="D6" s="6" t="n"/>
      <c r="E6" s="7" t="n"/>
      <c r="F6" s="8" t="inlineStr">
        <is>
          <t>2040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Roosevelt 65th (Brooklyn 65)</t>
        </is>
      </c>
      <c r="D7" s="6" t="n"/>
      <c r="E7" s="7" t="n"/>
      <c r="F7" s="8" t="inlineStr">
        <is>
          <t>2040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Brooklyn 65 (Roosevelt 65th) — 55-unit multifamily plumbing, NE Seattle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Blueprint Capital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2040BP</t>
        </is>
      </c>
      <c r="D10" s="6" t="n"/>
      <c r="E10" s="7" t="n"/>
      <c r="F10" s="8" t="inlineStr">
        <is>
          <t>2040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Brooklyn 65 LLC (Blueprint)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Andrew Withnell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Mike Sanderson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Kyle Stenson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Garrett / Joe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1222 NE 65th Street, Seattle, WA 98115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Not Wrap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55-unit multifamily new construction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2040-Blueprint Capital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55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2017-03-01 start → 2019 (22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624171</v>
      </c>
      <c r="D24" s="9" t="n">
        <v>219653.2399999999</v>
      </c>
      <c r="F24" s="9" t="n">
        <v>404517.7600000001</v>
      </c>
      <c r="H24" s="10" t="n">
        <v>5454</v>
      </c>
    </row>
    <row r="25">
      <c r="B25" s="11" t="inlineStr">
        <is>
          <t>Original $604,000.00 + ($20,171.00) COs (3.34%)</t>
        </is>
      </c>
      <c r="D25" s="11" t="inlineStr">
        <is>
          <t>35.2% margin</t>
        </is>
      </c>
      <c r="F25" s="11" t="inlineStr">
        <is>
          <t>64.8% of revenue</t>
        </is>
      </c>
      <c r="H25" s="11" t="inlineStr">
        <is>
          <t>32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55-unit multifamily new construction at 1222 NE 65th Street, Seattle, WA 98115.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Blueprint Capital (2040BP); Owner/Developer: Brooklyn 65 LLC (Blueprint).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Andrew Withnell (GC PM) · Mike Sanderson (GC Sup) · Kyle Stenson (GC PE) · Garrett / Joe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2040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$624,171.00 / Expenses $404,517.76 / Net $219,653.24 / Retainage $0.00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$139,635.75 · AP $154,865.96 · GL+other $110,016.05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$604,000.00 → $624,171.00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$20,171.00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Andrew Withnell · Mike Sanderson · Kyle Stenson · Blueprint · Garrett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$604,000 → $624,171.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5225</v>
      </c>
      <c r="E6" s="15" t="n">
        <v>5225</v>
      </c>
      <c r="F6" s="15" t="n">
        <v>2160</v>
      </c>
      <c r="G6" s="15">
        <f>F6-E6</f>
        <v/>
      </c>
      <c r="H6" s="16">
        <f>IF(E6=0,"",F6/E6)</f>
        <v/>
      </c>
      <c r="I6" s="17" t="n">
        <v>44</v>
      </c>
      <c r="J6" s="8" t="inlineStr">
        <is>
          <t>2040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8250</v>
      </c>
      <c r="E7" s="15" t="n">
        <v>8250</v>
      </c>
      <c r="F7" s="15" t="n">
        <v>5076.5</v>
      </c>
      <c r="G7" s="15">
        <f>F7-E7</f>
        <v/>
      </c>
      <c r="H7" s="16">
        <f>IF(E7=0,"",F7/E7)</f>
        <v/>
      </c>
      <c r="I7" s="17" t="n">
        <v>96</v>
      </c>
      <c r="J7" s="8" t="inlineStr">
        <is>
          <t>2040 Job Detail Report.pdf (Sage Timberline, 04/03/2026)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5515</v>
      </c>
      <c r="E8" s="15" t="n">
        <v>5515</v>
      </c>
      <c r="F8" s="15" t="n">
        <v>2443</v>
      </c>
      <c r="G8" s="15">
        <f>F8-E8</f>
        <v/>
      </c>
      <c r="H8" s="16">
        <f>IF(E8=0,"",F8/E8)</f>
        <v/>
      </c>
      <c r="I8" s="17" t="n">
        <v>80</v>
      </c>
      <c r="J8" s="8" t="inlineStr">
        <is>
          <t>2040 Job Detail Report.pdf (Sage Timberline, 04/03/2026)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0</v>
      </c>
      <c r="E9" s="15" t="n">
        <v>850</v>
      </c>
      <c r="F9" s="15" t="n">
        <v>8649.5</v>
      </c>
      <c r="G9" s="15">
        <f>F9-E9</f>
        <v/>
      </c>
      <c r="H9" s="16">
        <f>IF(E9=0,"",F9/E9)</f>
        <v/>
      </c>
      <c r="I9" s="17" t="n">
        <v>274</v>
      </c>
      <c r="J9" s="8" t="inlineStr">
        <is>
          <t>2040 Job Detail Report.pdf (Sage Timberline, 04/03/2026)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3150</v>
      </c>
      <c r="E10" s="15" t="n">
        <v>3300</v>
      </c>
      <c r="F10" s="15" t="n">
        <v>3009.5</v>
      </c>
      <c r="G10" s="15">
        <f>F10-E10</f>
        <v/>
      </c>
      <c r="H10" s="16">
        <f>IF(E10=0,"",F10/E10)</f>
        <v/>
      </c>
      <c r="I10" s="17" t="n">
        <v>87</v>
      </c>
      <c r="J10" s="8" t="inlineStr">
        <is>
          <t>2040 Job Detail Report.pdf (Sage Timberline, 04/03/2026)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74440</v>
      </c>
      <c r="E11" s="15" t="n">
        <v>75910</v>
      </c>
      <c r="F11" s="15" t="n">
        <v>86788</v>
      </c>
      <c r="G11" s="15">
        <f>F11-E11</f>
        <v/>
      </c>
      <c r="H11" s="16">
        <f>IF(E11=0,"",F11/E11)</f>
        <v/>
      </c>
      <c r="I11" s="17" t="n">
        <v>3429.75</v>
      </c>
      <c r="J11" s="8" t="inlineStr">
        <is>
          <t>2040 Job Detail Report.pdf (Sage Timberline, 04/03/2026)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16860</v>
      </c>
      <c r="E12" s="15" t="n">
        <v>16920</v>
      </c>
      <c r="F12" s="15" t="n">
        <v>13510.25</v>
      </c>
      <c r="G12" s="15">
        <f>F12-E12</f>
        <v/>
      </c>
      <c r="H12" s="16">
        <f>IF(E12=0,"",F12/E12)</f>
        <v/>
      </c>
      <c r="I12" s="17" t="n">
        <v>531.75</v>
      </c>
      <c r="J12" s="8" t="inlineStr">
        <is>
          <t>2040 Job Detail Report.pdf (Sage Timberline, 04/03/2026)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7500</v>
      </c>
      <c r="E13" s="15" t="n">
        <v>7500</v>
      </c>
      <c r="F13" s="15" t="n">
        <v>2784</v>
      </c>
      <c r="G13" s="15">
        <f>F13-E13</f>
        <v/>
      </c>
      <c r="H13" s="16">
        <f>IF(E13=0,"",F13/E13)</f>
        <v/>
      </c>
      <c r="I13" s="17" t="n">
        <v>83</v>
      </c>
      <c r="J13" s="8" t="inlineStr">
        <is>
          <t>2040 Job Detail Report.pdf (Sage Timberline, 04/03/2026)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21435</v>
      </c>
      <c r="E14" s="15" t="n">
        <v>21435</v>
      </c>
      <c r="F14" s="15" t="n">
        <v>15056.5</v>
      </c>
      <c r="G14" s="15">
        <f>F14-E14</f>
        <v/>
      </c>
      <c r="H14" s="16">
        <f>IF(E14=0,"",F14/E14)</f>
        <v/>
      </c>
      <c r="I14" s="17" t="n">
        <v>635.5</v>
      </c>
      <c r="J14" s="8" t="inlineStr">
        <is>
          <t>2040 Job Detail Report.pdf (Sage Timberline, 04/03/2026)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12060</v>
      </c>
      <c r="E15" s="15" t="n">
        <v>12060</v>
      </c>
      <c r="F15" s="15" t="n">
        <v>7174</v>
      </c>
      <c r="G15" s="15">
        <f>F15-E15</f>
        <v/>
      </c>
      <c r="H15" s="16">
        <f>IF(E15=0,"",F15/E15)</f>
        <v/>
      </c>
      <c r="I15" s="17" t="n">
        <v>192</v>
      </c>
      <c r="J15" s="8" t="inlineStr">
        <is>
          <t>2040 Job Detail Report.pdf (Sage Timberline, 04/03/2026)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48</v>
      </c>
      <c r="G16" s="15">
        <f>F16-E16</f>
        <v/>
      </c>
      <c r="H16" s="16">
        <f>IF(E16=0,"",F16/E16)</f>
        <v/>
      </c>
      <c r="I16" s="17" t="n">
        <v>1</v>
      </c>
      <c r="J16" s="8" t="inlineStr">
        <is>
          <t>2040 Job Detail Report.pdf (Sage Timberline, 04/03/2026)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11800</v>
      </c>
      <c r="E17" s="15" t="n">
        <v>11800</v>
      </c>
      <c r="F17" s="15" t="n">
        <v>2062.26</v>
      </c>
      <c r="G17" s="15">
        <f>F17-E17</f>
        <v/>
      </c>
      <c r="H17" s="16">
        <f>IF(E17=0,"",F17/E17)</f>
        <v/>
      </c>
      <c r="I17" s="17" t="inlineStr"/>
      <c r="J17" s="8" t="inlineStr">
        <is>
          <t>2040 Job Detail Report.pdf (Sage Timberline, 04/03/2026)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0</v>
      </c>
      <c r="E18" s="15" t="n">
        <v>0</v>
      </c>
      <c r="F18" s="15" t="n">
        <v>1763.95</v>
      </c>
      <c r="G18" s="15">
        <f>F18-E18</f>
        <v/>
      </c>
      <c r="H18" s="16">
        <f>IF(E18=0,"",F18/E18)</f>
        <v/>
      </c>
      <c r="I18" s="17" t="inlineStr"/>
      <c r="J18" s="8" t="inlineStr">
        <is>
          <t>2040 Job Detail Report.pdf (Sage Timberline, 04/03/2026)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3150</v>
      </c>
      <c r="E19" s="15" t="n">
        <v>3605</v>
      </c>
      <c r="F19" s="15" t="n">
        <v>2644.13</v>
      </c>
      <c r="G19" s="15">
        <f>F19-E19</f>
        <v/>
      </c>
      <c r="H19" s="16">
        <f>IF(E19=0,"",F19/E19)</f>
        <v/>
      </c>
      <c r="I19" s="17" t="inlineStr"/>
      <c r="J19" s="8" t="inlineStr">
        <is>
          <t>2040 Job Detail Report.pdf (Sage Timberline, 04/03/2026)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32500</v>
      </c>
      <c r="E20" s="15" t="n">
        <v>32895</v>
      </c>
      <c r="F20" s="15" t="n">
        <v>24915.98</v>
      </c>
      <c r="G20" s="15">
        <f>F20-E20</f>
        <v/>
      </c>
      <c r="H20" s="16">
        <f>IF(E20=0,"",F20/E20)</f>
        <v/>
      </c>
      <c r="I20" s="17" t="inlineStr"/>
      <c r="J20" s="8" t="inlineStr">
        <is>
          <t>2040 Job Detail Report.pdf (Sage Timberline, 04/03/2026)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68220</v>
      </c>
      <c r="E21" s="15" t="n">
        <v>79636</v>
      </c>
      <c r="F21" s="15" t="n">
        <v>88855.74000000001</v>
      </c>
      <c r="G21" s="15">
        <f>F21-E21</f>
        <v/>
      </c>
      <c r="H21" s="16">
        <f>IF(E21=0,"",F21/E21)</f>
        <v/>
      </c>
      <c r="I21" s="17" t="inlineStr"/>
      <c r="J21" s="8" t="inlineStr">
        <is>
          <t>2040 Job Detail Report.pdf (Sage Timberline, 04/03/2026)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6750</v>
      </c>
      <c r="E22" s="15" t="n">
        <v>6750</v>
      </c>
      <c r="F22" s="15" t="n">
        <v>1504.45</v>
      </c>
      <c r="G22" s="15">
        <f>F22-E22</f>
        <v/>
      </c>
      <c r="H22" s="16">
        <f>IF(E22=0,"",F22/E22)</f>
        <v/>
      </c>
      <c r="I22" s="17" t="inlineStr"/>
      <c r="J22" s="8" t="inlineStr">
        <is>
          <t>2040 Job Detail Report.pdf (Sage Timberline, 04/03/2026)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22530</v>
      </c>
      <c r="E23" s="15" t="n">
        <v>22530</v>
      </c>
      <c r="F23" s="15" t="n">
        <v>17052.68</v>
      </c>
      <c r="G23" s="15">
        <f>F23-E23</f>
        <v/>
      </c>
      <c r="H23" s="16">
        <f>IF(E23=0,"",F23/E23)</f>
        <v/>
      </c>
      <c r="I23" s="17" t="inlineStr"/>
      <c r="J23" s="8" t="inlineStr">
        <is>
          <t>2040 Job Detail Report.pdf (Sage Timberline, 04/03/2026)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28770</v>
      </c>
      <c r="E24" s="15" t="n">
        <v>28770</v>
      </c>
      <c r="F24" s="15" t="n">
        <v>15297.78</v>
      </c>
      <c r="G24" s="15">
        <f>F24-E24</f>
        <v/>
      </c>
      <c r="H24" s="16">
        <f>IF(E24=0,"",F24/E24)</f>
        <v/>
      </c>
      <c r="I24" s="17" t="inlineStr"/>
      <c r="J24" s="8" t="inlineStr">
        <is>
          <t>2040 Job Detail Report.pdf (Sage Timberline, 04/03/2026)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0</v>
      </c>
      <c r="F25" s="15" t="n">
        <v>7.2</v>
      </c>
      <c r="G25" s="15">
        <f>F25-E25</f>
        <v/>
      </c>
      <c r="H25" s="16">
        <f>IF(E25=0,"",F25/E25)</f>
        <v/>
      </c>
      <c r="I25" s="17" t="inlineStr"/>
      <c r="J25" s="8" t="inlineStr">
        <is>
          <t>2040 Job Detail Report.pdf (Sage Timberline, 04/03/2026)</t>
        </is>
      </c>
    </row>
    <row r="26">
      <c r="B26" s="14" t="inlineStr">
        <is>
          <t>600</t>
        </is>
      </c>
      <c r="C26" s="5" t="inlineStr">
        <is>
          <t>Subcontractor</t>
        </is>
      </c>
      <c r="D26" s="15" t="n">
        <v>500</v>
      </c>
      <c r="E26" s="15" t="n">
        <v>650</v>
      </c>
      <c r="F26" s="15" t="n">
        <v>2304</v>
      </c>
      <c r="G26" s="15">
        <f>F26-E26</f>
        <v/>
      </c>
      <c r="H26" s="16">
        <f>IF(E26=0,"",F26/E26)</f>
        <v/>
      </c>
      <c r="I26" s="17" t="inlineStr"/>
      <c r="J26" s="8" t="inlineStr">
        <is>
          <t>2040 Job Detail Report.pdf (Sage Timberline, 04/03/2026)</t>
        </is>
      </c>
    </row>
    <row r="27">
      <c r="B27" s="14" t="inlineStr">
        <is>
          <t>601</t>
        </is>
      </c>
      <c r="C27" s="5" t="inlineStr">
        <is>
          <t>Engineering/Plans</t>
        </is>
      </c>
      <c r="D27" s="15" t="n">
        <v>16000</v>
      </c>
      <c r="E27" s="15" t="n">
        <v>16000</v>
      </c>
      <c r="F27" s="15" t="n">
        <v>15976</v>
      </c>
      <c r="G27" s="15">
        <f>F27-E27</f>
        <v/>
      </c>
      <c r="H27" s="16">
        <f>IF(E27=0,"",F27/E27)</f>
        <v/>
      </c>
      <c r="I27" s="17" t="inlineStr"/>
      <c r="J27" s="8" t="inlineStr">
        <is>
          <t>2040 Job Detail Report.pdf (Sage Timberline, 04/03/2026)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4385</v>
      </c>
      <c r="E28" s="15" t="n">
        <v>4385</v>
      </c>
      <c r="F28" s="15" t="n">
        <v>3518</v>
      </c>
      <c r="G28" s="15">
        <f>F28-E28</f>
        <v/>
      </c>
      <c r="H28" s="16">
        <f>IF(E28=0,"",F28/E28)</f>
        <v/>
      </c>
      <c r="I28" s="17" t="inlineStr"/>
      <c r="J28" s="8" t="inlineStr">
        <is>
          <t>2040 Job Detail Report.pdf (Sage Timberline, 04/03/2026)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7000</v>
      </c>
      <c r="E29" s="15" t="n">
        <v>7000</v>
      </c>
      <c r="F29" s="15" t="n">
        <v>5632.2</v>
      </c>
      <c r="G29" s="15">
        <f>F29-E29</f>
        <v/>
      </c>
      <c r="H29" s="16">
        <f>IF(E29=0,"",F29/E29)</f>
        <v/>
      </c>
      <c r="I29" s="17" t="inlineStr"/>
      <c r="J29" s="8" t="inlineStr">
        <is>
          <t>2040 Job Detail Report.pdf (Sage Timberline, 04/03/2026)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70036.27</v>
      </c>
      <c r="E30" s="15" t="n">
        <v>71174.77</v>
      </c>
      <c r="F30" s="15" t="n">
        <v>65061.2</v>
      </c>
      <c r="G30" s="15">
        <f>F30-E30</f>
        <v/>
      </c>
      <c r="H30" s="16">
        <f>IF(E30=0,"",F30/E30)</f>
        <v/>
      </c>
      <c r="I30" s="17" t="inlineStr"/>
      <c r="J30" s="8" t="inlineStr">
        <is>
          <t>2040 Job Detail Report.pdf (Sage Timberline, 04/03/2026)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11814.28</v>
      </c>
      <c r="E31" s="15" t="n">
        <v>12007.83</v>
      </c>
      <c r="F31" s="15" t="n">
        <v>11222.94</v>
      </c>
      <c r="G31" s="15">
        <f>F31-E31</f>
        <v/>
      </c>
      <c r="H31" s="16">
        <f>IF(E31=0,"",F31/E31)</f>
        <v/>
      </c>
      <c r="I31" s="17" t="inlineStr"/>
      <c r="J31" s="8" t="inlineStr">
        <is>
          <t>2040 Job Detail Report.pdf (Sage Timberline, 04/03/2026)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-604000</v>
      </c>
      <c r="E32" s="15" t="n">
        <v>-624171</v>
      </c>
      <c r="F32" s="15" t="n">
        <v>-624171</v>
      </c>
      <c r="G32" s="15">
        <f>F32-E32</f>
        <v/>
      </c>
      <c r="H32" s="16">
        <f>IF(E32=0,"",F32/E32)</f>
        <v/>
      </c>
      <c r="I32" s="17" t="inlineStr"/>
      <c r="J32" s="8" t="inlineStr">
        <is>
          <t>2040 Job Detail Report.pdf (Sage Timberline, 04/03/2026)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146699.25</v>
      </c>
      <c r="E6" s="16">
        <f>D6/$D$11</f>
        <v/>
      </c>
      <c r="F6" s="16">
        <f>D6/624171.0</f>
        <v/>
      </c>
      <c r="G6" s="8" t="inlineStr">
        <is>
          <t>2040 Job Detail Report.pdf (Sage Timberline, 04/03/2026)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154104.17</v>
      </c>
      <c r="E7" s="16">
        <f>D7/$D$11</f>
        <v/>
      </c>
      <c r="F7" s="16">
        <f>D7/624171.0</f>
        <v/>
      </c>
      <c r="G7" s="8" t="inlineStr">
        <is>
          <t>2040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600,601,603,607</t>
        </is>
      </c>
      <c r="D8" s="20" t="n">
        <v>27430.2</v>
      </c>
      <c r="E8" s="16">
        <f>D8/$D$11</f>
        <v/>
      </c>
      <c r="F8" s="16">
        <f>D8/624171.0</f>
        <v/>
      </c>
      <c r="G8" s="8" t="inlineStr">
        <is>
          <t>2040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65061.2</v>
      </c>
      <c r="E9" s="16">
        <f>D9/$D$11</f>
        <v/>
      </c>
      <c r="F9" s="16">
        <f>D9/624171.0</f>
        <v/>
      </c>
      <c r="G9" s="8" t="inlineStr">
        <is>
          <t>2040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11222.94</v>
      </c>
      <c r="E10" s="16">
        <f>D10/$D$11</f>
        <v/>
      </c>
      <c r="F10" s="16">
        <f>D10/624171.0</f>
        <v/>
      </c>
      <c r="G10" s="8" t="inlineStr">
        <is>
          <t>2040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D11/624171.0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6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1231KS</t>
        </is>
      </c>
      <c r="C6" s="5" t="inlineStr">
        <is>
          <t>Keller Supply Company</t>
        </is>
      </c>
      <c r="D6" s="15" t="n">
        <v>37520.04000000001</v>
      </c>
      <c r="E6" s="14" t="n">
        <v>31</v>
      </c>
      <c r="F6" s="14" t="inlineStr">
        <is>
          <t>Plumbing / Supplies</t>
        </is>
      </c>
      <c r="G6" s="8" t="inlineStr">
        <is>
          <t>2040 Job Detail Report.pdf (Sage Timberline, 04/03/2026)</t>
        </is>
      </c>
    </row>
    <row r="7">
      <c r="B7" s="14" t="inlineStr">
        <is>
          <t>7230BB</t>
        </is>
      </c>
      <c r="C7" s="5" t="inlineStr">
        <is>
          <t>Best Bath Systems</t>
        </is>
      </c>
      <c r="D7" s="15" t="n">
        <v>26250.23</v>
      </c>
      <c r="E7" s="14" t="n">
        <v>3</v>
      </c>
      <c r="F7" s="14" t="inlineStr">
        <is>
          <t>Uncategorized</t>
        </is>
      </c>
      <c r="G7" s="8" t="inlineStr">
        <is>
          <t>2040 Job Detail Report.pdf (Sage Timberline, 04/03/2026)</t>
        </is>
      </c>
    </row>
    <row r="8">
      <c r="B8" s="14" t="inlineStr">
        <is>
          <t>1625FE</t>
        </is>
      </c>
      <c r="C8" s="5" t="inlineStr">
        <is>
          <t>Franklin Engineering</t>
        </is>
      </c>
      <c r="D8" s="15" t="n">
        <v>15976</v>
      </c>
      <c r="E8" s="14" t="n">
        <v>8</v>
      </c>
      <c r="F8" s="14" t="inlineStr">
        <is>
          <t>Engineering (601)</t>
        </is>
      </c>
      <c r="G8" s="8" t="inlineStr">
        <is>
          <t>2040 Job Detail Report.pdf (Sage Timberline, 04/03/2026)</t>
        </is>
      </c>
    </row>
    <row r="9">
      <c r="B9" s="14" t="inlineStr">
        <is>
          <t>2040CS</t>
        </is>
      </c>
      <c r="C9" s="5" t="inlineStr">
        <is>
          <t>Consolidated Supply Co. $65th Apts</t>
        </is>
      </c>
      <c r="D9" s="15" t="n">
        <v>15318.38</v>
      </c>
      <c r="E9" s="14" t="n">
        <v>14</v>
      </c>
      <c r="F9" s="14" t="inlineStr">
        <is>
          <t>Plumbing / Supplies</t>
        </is>
      </c>
      <c r="G9" s="8" t="inlineStr">
        <is>
          <t>2040 Job Detail Report.pdf (Sage Timberline, 04/03/2026)</t>
        </is>
      </c>
    </row>
    <row r="10">
      <c r="B10" s="14" t="inlineStr">
        <is>
          <t>1380RS</t>
        </is>
      </c>
      <c r="C10" s="5" t="inlineStr">
        <is>
          <t>Rosen Supply Kirkland</t>
        </is>
      </c>
      <c r="D10" s="15" t="n">
        <v>13591.59</v>
      </c>
      <c r="E10" s="14" t="n">
        <v>20</v>
      </c>
      <c r="F10" s="14" t="inlineStr">
        <is>
          <t>Plumbing / Supplies</t>
        </is>
      </c>
      <c r="G10" s="8" t="inlineStr">
        <is>
          <t>2040 Job Detail Report.pdf (Sage Timberline, 04/03/2026)</t>
        </is>
      </c>
    </row>
    <row r="11">
      <c r="B11" s="14" t="inlineStr">
        <is>
          <t>2040RS</t>
        </is>
      </c>
      <c r="C11" s="5" t="inlineStr">
        <is>
          <t>Rosen Supply Company, Inc. $65th Apts</t>
        </is>
      </c>
      <c r="D11" s="15" t="n">
        <v>9330.630000000001</v>
      </c>
      <c r="E11" s="14" t="n">
        <v>16</v>
      </c>
      <c r="F11" s="14" t="inlineStr">
        <is>
          <t>Plumbing / Supplies</t>
        </is>
      </c>
      <c r="G11" s="8" t="inlineStr">
        <is>
          <t>2040 Job Detail Report.pdf (Sage Timberline, 04/03/2026)</t>
        </is>
      </c>
    </row>
    <row r="12">
      <c r="B12" s="14" t="inlineStr">
        <is>
          <t>1175FE</t>
        </is>
      </c>
      <c r="C12" s="5" t="inlineStr">
        <is>
          <t>Ferguson Enterprises, Inc. #3007</t>
        </is>
      </c>
      <c r="D12" s="15" t="n">
        <v>8842.43</v>
      </c>
      <c r="E12" s="14" t="n">
        <v>8</v>
      </c>
      <c r="F12" s="14" t="inlineStr">
        <is>
          <t>Plumbing / Supplies</t>
        </is>
      </c>
      <c r="G12" s="8" t="inlineStr">
        <is>
          <t>2040 Job Detail Report.pdf (Sage Timberline, 04/03/2026)</t>
        </is>
      </c>
    </row>
    <row r="13">
      <c r="B13" s="14" t="inlineStr">
        <is>
          <t>1234CO</t>
        </is>
      </c>
      <c r="C13" s="5" t="inlineStr">
        <is>
          <t>Capital One Credit Card</t>
        </is>
      </c>
      <c r="D13" s="15" t="n">
        <v>8619.070000000002</v>
      </c>
      <c r="E13" s="14" t="n">
        <v>24</v>
      </c>
      <c r="F13" s="14" t="inlineStr">
        <is>
          <t>Credit Card (mixed)</t>
        </is>
      </c>
      <c r="G13" s="8" t="inlineStr">
        <is>
          <t>2040 Job Detail Report.pdf (Sage Timberline, 04/03/2026)</t>
        </is>
      </c>
    </row>
    <row r="14">
      <c r="B14" s="14" t="inlineStr">
        <is>
          <t>2032RS</t>
        </is>
      </c>
      <c r="C14" s="5" t="inlineStr">
        <is>
          <t>Rosen Supply Company, Inc. $Roosevelt</t>
        </is>
      </c>
      <c r="D14" s="15" t="n">
        <v>6670.44</v>
      </c>
      <c r="E14" s="14" t="n">
        <v>4</v>
      </c>
      <c r="F14" s="14" t="inlineStr">
        <is>
          <t>Plumbing / Supplies</t>
        </is>
      </c>
      <c r="G14" s="8" t="inlineStr">
        <is>
          <t>2040 Job Detail Report.pdf (Sage Timberline, 04/03/2026)</t>
        </is>
      </c>
    </row>
    <row r="15">
      <c r="B15" s="14" t="inlineStr">
        <is>
          <t>2040KS</t>
        </is>
      </c>
      <c r="C15" s="5" t="inlineStr">
        <is>
          <t>Keller Supply Co. $65th Apts</t>
        </is>
      </c>
      <c r="D15" s="15" t="n">
        <v>3484.94</v>
      </c>
      <c r="E15" s="14" t="n">
        <v>6</v>
      </c>
      <c r="F15" s="14" t="inlineStr">
        <is>
          <t>Plumbing / Supplies</t>
        </is>
      </c>
      <c r="G15" s="8" t="inlineStr">
        <is>
          <t>2040 Job Detail Report.pdf (Sage Timberline, 04/03/2026)</t>
        </is>
      </c>
    </row>
    <row r="16">
      <c r="B16" s="14" t="inlineStr">
        <is>
          <t>1130CS</t>
        </is>
      </c>
      <c r="C16" s="5" t="inlineStr">
        <is>
          <t>Consolidated Supply Co.</t>
        </is>
      </c>
      <c r="D16" s="15" t="n">
        <v>2489.21</v>
      </c>
      <c r="E16" s="14" t="n">
        <v>7</v>
      </c>
      <c r="F16" s="14" t="inlineStr">
        <is>
          <t>Plumbing / Supplies</t>
        </is>
      </c>
      <c r="G16" s="8" t="inlineStr">
        <is>
          <t>2040 Job Detail Report.pdf (Sage Timberline, 04/03/2026)</t>
        </is>
      </c>
    </row>
    <row r="17">
      <c r="B17" s="14" t="inlineStr">
        <is>
          <t>3181SC</t>
        </is>
      </c>
      <c r="C17" s="5" t="inlineStr">
        <is>
          <t>Scan2Core, Inc.</t>
        </is>
      </c>
      <c r="D17" s="15" t="n">
        <v>1699</v>
      </c>
      <c r="E17" s="14" t="n">
        <v>2</v>
      </c>
      <c r="F17" s="14" t="inlineStr">
        <is>
          <t>Uncategorized</t>
        </is>
      </c>
      <c r="G17" s="8" t="inlineStr">
        <is>
          <t>2040 Job Detail Report.pdf (Sage Timberline, 04/03/2026)</t>
        </is>
      </c>
    </row>
    <row r="18">
      <c r="B18" s="14" t="inlineStr">
        <is>
          <t>3612MS</t>
        </is>
      </c>
      <c r="C18" s="5" t="inlineStr">
        <is>
          <t>Mechanical Sales, Inc.</t>
        </is>
      </c>
      <c r="D18" s="15" t="n">
        <v>999.5</v>
      </c>
      <c r="E18" s="14" t="n">
        <v>2</v>
      </c>
      <c r="F18" s="14" t="inlineStr">
        <is>
          <t>Plumbing / Supplies</t>
        </is>
      </c>
      <c r="G18" s="8" t="inlineStr">
        <is>
          <t>2040 Job Detail Report.pdf (Sage Timberline, 04/03/2026)</t>
        </is>
      </c>
    </row>
    <row r="19">
      <c r="B19" s="14" t="inlineStr">
        <is>
          <t>5560CH</t>
        </is>
      </c>
      <c r="C19" s="5" t="inlineStr">
        <is>
          <t>California Hydronics Corp</t>
        </is>
      </c>
      <c r="D19" s="15" t="n">
        <v>975</v>
      </c>
      <c r="E19" s="14" t="n">
        <v>2</v>
      </c>
      <c r="F19" s="14" t="inlineStr">
        <is>
          <t>Uncategorized</t>
        </is>
      </c>
      <c r="G19" s="8" t="inlineStr">
        <is>
          <t>2040 Job Detail Report.pdf (Sage Timberline, 04/03/2026)</t>
        </is>
      </c>
    </row>
    <row r="20">
      <c r="B20" s="14" t="inlineStr">
        <is>
          <t>8056MS</t>
        </is>
      </c>
      <c r="C20" s="5" t="inlineStr">
        <is>
          <t>Mechanical Service &amp; Integration LLC</t>
        </is>
      </c>
      <c r="D20" s="15" t="n">
        <v>800</v>
      </c>
      <c r="E20" s="14" t="n">
        <v>1</v>
      </c>
      <c r="F20" s="14" t="inlineStr">
        <is>
          <t>Uncategorized</t>
        </is>
      </c>
      <c r="G20" s="8" t="inlineStr">
        <is>
          <t>2040 Job Detail Report.pdf (Sage Timberline, 04/03/2026)</t>
        </is>
      </c>
    </row>
    <row r="21">
      <c r="B21" s="14" t="inlineStr">
        <is>
          <t>2032KS</t>
        </is>
      </c>
      <c r="C21" s="5" t="inlineStr">
        <is>
          <t>Keller Supply Co. $Roosevelt</t>
        </is>
      </c>
      <c r="D21" s="15" t="n">
        <v>785.36</v>
      </c>
      <c r="E21" s="14" t="n">
        <v>1</v>
      </c>
      <c r="F21" s="14" t="inlineStr">
        <is>
          <t>Plumbing / Supplies</t>
        </is>
      </c>
      <c r="G21" s="8" t="inlineStr">
        <is>
          <t>2040 Job Detail Report.pdf (Sage Timberline, 04/03/2026)</t>
        </is>
      </c>
    </row>
    <row r="22">
      <c r="B22" s="14" t="inlineStr">
        <is>
          <t>1234BA</t>
        </is>
      </c>
      <c r="C22" s="5" t="inlineStr">
        <is>
          <t>Bank of America CC</t>
        </is>
      </c>
      <c r="D22" s="15" t="n">
        <v>667.53</v>
      </c>
      <c r="E22" s="14" t="n">
        <v>2</v>
      </c>
      <c r="F22" s="14" t="inlineStr">
        <is>
          <t>Uncategorized</t>
        </is>
      </c>
      <c r="G22" s="8" t="inlineStr">
        <is>
          <t>2040 Job Detail Report.pdf (Sage Timberline, 04/03/2026)</t>
        </is>
      </c>
    </row>
    <row r="23">
      <c r="B23" s="14" t="inlineStr">
        <is>
          <t>4320MC</t>
        </is>
      </c>
      <c r="C23" s="5" t="inlineStr">
        <is>
          <t>MAD Concrete Cutting &amp; Coring, Inc.</t>
        </is>
      </c>
      <c r="D23" s="15" t="n">
        <v>450</v>
      </c>
      <c r="E23" s="14" t="n">
        <v>1</v>
      </c>
      <c r="F23" s="14" t="inlineStr">
        <is>
          <t>Uncategorized</t>
        </is>
      </c>
      <c r="G23" s="8" t="inlineStr">
        <is>
          <t>2040 Job Detail Report.pdf (Sage Timberline, 04/03/2026)</t>
        </is>
      </c>
    </row>
    <row r="24">
      <c r="B24" s="14" t="inlineStr">
        <is>
          <t>1021AT</t>
        </is>
      </c>
      <c r="C24" s="5" t="inlineStr">
        <is>
          <t>ACME Corp</t>
        </is>
      </c>
      <c r="D24" s="15" t="n">
        <v>241.61</v>
      </c>
      <c r="E24" s="14" t="n">
        <v>3</v>
      </c>
      <c r="F24" s="14" t="inlineStr">
        <is>
          <t>Uncategorized</t>
        </is>
      </c>
      <c r="G24" s="8" t="inlineStr">
        <is>
          <t>2040 Job Detail Report.pdf (Sage Timberline, 04/03/2026)</t>
        </is>
      </c>
    </row>
    <row r="25">
      <c r="B25" s="14" t="inlineStr">
        <is>
          <t>1421RA</t>
        </is>
      </c>
      <c r="C25" s="5" t="inlineStr">
        <is>
          <t>R.A. Brown Backflow Testing</t>
        </is>
      </c>
      <c r="D25" s="15" t="n">
        <v>155</v>
      </c>
      <c r="E25" s="14" t="n">
        <v>1</v>
      </c>
      <c r="F25" s="14" t="inlineStr">
        <is>
          <t>Testing subcontractor</t>
        </is>
      </c>
      <c r="G25" s="8" t="inlineStr">
        <is>
          <t>2040 Job Detail Report.pdf (Sage Timberline, 04/03/2026)</t>
        </is>
      </c>
    </row>
    <row r="26">
      <c r="B26" s="18" t="inlineStr">
        <is>
          <t>TOTAL</t>
        </is>
      </c>
      <c r="D26" s="21">
        <f>SUM(D6:D25)</f>
        <v/>
      </c>
      <c r="E26" s="23">
        <f>SUM(E6:E25)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32 unique payroll workers. OWP RI: Garrett / Joe.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WE55</t>
        </is>
      </c>
      <c r="C6" s="5" t="inlineStr">
        <is>
          <t>Wennig, Johnathan M</t>
        </is>
      </c>
      <c r="D6" s="17" t="n">
        <v>888.25</v>
      </c>
      <c r="E6" s="20" t="n">
        <v>23822.5</v>
      </c>
      <c r="F6" s="20">
        <f>IF(D6=0,0,E6/D6)</f>
        <v/>
      </c>
      <c r="G6" s="14" t="n">
        <v>28</v>
      </c>
      <c r="H6" s="8" t="inlineStr">
        <is>
          <t>2040 Job Detail Report.pdf (Sage Timberline, 04/03/2026)</t>
        </is>
      </c>
    </row>
    <row r="7">
      <c r="B7" s="14" t="inlineStr">
        <is>
          <t>HE70</t>
        </is>
      </c>
      <c r="C7" s="5" t="inlineStr">
        <is>
          <t>Hernandez Gonzalez, Osbaldo</t>
        </is>
      </c>
      <c r="D7" s="17" t="n">
        <v>881.75</v>
      </c>
      <c r="E7" s="20" t="n">
        <v>17220.25</v>
      </c>
      <c r="F7" s="20">
        <f>IF(D7=0,0,E7/D7)</f>
        <v/>
      </c>
      <c r="G7" s="14" t="n">
        <v>25</v>
      </c>
      <c r="H7" s="8" t="inlineStr">
        <is>
          <t>2040 Job Detail Report.pdf (Sage Timberline, 04/03/2026)</t>
        </is>
      </c>
    </row>
    <row r="8">
      <c r="B8" s="14" t="inlineStr">
        <is>
          <t>WI46</t>
        </is>
      </c>
      <c r="C8" s="5" t="inlineStr">
        <is>
          <t>Wilson, Garret A</t>
        </is>
      </c>
      <c r="D8" s="17" t="n">
        <v>647.5</v>
      </c>
      <c r="E8" s="20" t="n">
        <v>22446.5</v>
      </c>
      <c r="F8" s="20">
        <f>IF(D8=0,0,E8/D8)</f>
        <v/>
      </c>
      <c r="G8" s="14" t="n">
        <v>33</v>
      </c>
      <c r="H8" s="8" t="inlineStr">
        <is>
          <t>2040 Job Detail Report.pdf (Sage Timberline, 04/03/2026)</t>
        </is>
      </c>
    </row>
    <row r="9">
      <c r="B9" s="14" t="inlineStr">
        <is>
          <t>LE17</t>
        </is>
      </c>
      <c r="C9" s="5" t="inlineStr">
        <is>
          <t>Lee, Ha Nul</t>
        </is>
      </c>
      <c r="D9" s="17" t="n">
        <v>613.75</v>
      </c>
      <c r="E9" s="20" t="n">
        <v>10014</v>
      </c>
      <c r="F9" s="20">
        <f>IF(D9=0,0,E9/D9)</f>
        <v/>
      </c>
      <c r="G9" s="14" t="n">
        <v>17</v>
      </c>
      <c r="H9" s="8" t="inlineStr">
        <is>
          <t>2040 Job Detail Report.pdf (Sage Timberline, 04/03/2026)</t>
        </is>
      </c>
    </row>
    <row r="10">
      <c r="B10" s="14" t="inlineStr">
        <is>
          <t>BA68</t>
        </is>
      </c>
      <c r="C10" s="5" t="inlineStr">
        <is>
          <t>Barbosa, Michael S</t>
        </is>
      </c>
      <c r="D10" s="17" t="n">
        <v>345</v>
      </c>
      <c r="E10" s="20" t="n">
        <v>7935</v>
      </c>
      <c r="F10" s="20">
        <f>IF(D10=0,0,E10/D10)</f>
        <v/>
      </c>
      <c r="G10" s="14" t="n">
        <v>12</v>
      </c>
      <c r="H10" s="8" t="inlineStr">
        <is>
          <t>2040 Job Detail Report.pdf (Sage Timberline, 04/03/2026)</t>
        </is>
      </c>
    </row>
    <row r="11">
      <c r="B11" s="14" t="inlineStr">
        <is>
          <t>PO71</t>
        </is>
      </c>
      <c r="C11" s="5" t="inlineStr">
        <is>
          <t>Portillo, Kevin J</t>
        </is>
      </c>
      <c r="D11" s="17" t="n">
        <v>255</v>
      </c>
      <c r="E11" s="20" t="n">
        <v>3150</v>
      </c>
      <c r="F11" s="20">
        <f>IF(D11=0,0,E11/D11)</f>
        <v/>
      </c>
      <c r="G11" s="14" t="n">
        <v>6</v>
      </c>
      <c r="H11" s="8" t="inlineStr">
        <is>
          <t>2040 Job Detail Report.pdf (Sage Timberline, 04/03/2026)</t>
        </is>
      </c>
    </row>
    <row r="12">
      <c r="B12" s="14" t="inlineStr">
        <is>
          <t>CA74</t>
        </is>
      </c>
      <c r="C12" s="5" t="inlineStr">
        <is>
          <t>Castaneda Martinez, Gustavo</t>
        </is>
      </c>
      <c r="D12" s="17" t="n">
        <v>198</v>
      </c>
      <c r="E12" s="20" t="n">
        <v>7920</v>
      </c>
      <c r="F12" s="20">
        <f>IF(D12=0,0,E12/D12)</f>
        <v/>
      </c>
      <c r="G12" s="14" t="n">
        <v>7</v>
      </c>
      <c r="H12" s="8" t="inlineStr">
        <is>
          <t>2040 Job Detail Report.pdf (Sage Timberline, 04/03/2026)</t>
        </is>
      </c>
    </row>
    <row r="13">
      <c r="B13" s="14" t="inlineStr">
        <is>
          <t>CA71</t>
        </is>
      </c>
      <c r="C13" s="5" t="inlineStr">
        <is>
          <t>Castaneda Juarez, Cesar O</t>
        </is>
      </c>
      <c r="D13" s="17" t="n">
        <v>183</v>
      </c>
      <c r="E13" s="20" t="n">
        <v>2928</v>
      </c>
      <c r="F13" s="20">
        <f>IF(D13=0,0,E13/D13)</f>
        <v/>
      </c>
      <c r="G13" s="14" t="n">
        <v>7</v>
      </c>
      <c r="H13" s="8" t="inlineStr">
        <is>
          <t>2040 Job Detail Report.pdf (Sage Timberline, 04/03/2026)</t>
        </is>
      </c>
    </row>
    <row r="14">
      <c r="B14" s="14" t="inlineStr">
        <is>
          <t>AN14</t>
        </is>
      </c>
      <c r="C14" s="5" t="inlineStr">
        <is>
          <t>Anderson, Richard P</t>
        </is>
      </c>
      <c r="D14" s="17" t="n">
        <v>169</v>
      </c>
      <c r="E14" s="20" t="n">
        <v>7005</v>
      </c>
      <c r="F14" s="20">
        <f>IF(D14=0,0,E14/D14)</f>
        <v/>
      </c>
      <c r="G14" s="14" t="n">
        <v>19</v>
      </c>
      <c r="H14" s="8" t="inlineStr">
        <is>
          <t>2040 Job Detail Report.pdf (Sage Timberline, 04/03/2026)</t>
        </is>
      </c>
    </row>
    <row r="15">
      <c r="B15" s="14" t="inlineStr">
        <is>
          <t>MC09</t>
        </is>
      </c>
      <c r="C15" s="5" t="inlineStr">
        <is>
          <t>McCabe, Thomas C</t>
        </is>
      </c>
      <c r="D15" s="17" t="n">
        <v>155</v>
      </c>
      <c r="E15" s="20" t="n">
        <v>3452</v>
      </c>
      <c r="F15" s="20">
        <f>IF(D15=0,0,E15/D15)</f>
        <v/>
      </c>
      <c r="G15" s="14" t="n">
        <v>7</v>
      </c>
      <c r="H15" s="8" t="inlineStr">
        <is>
          <t>2040 Job Detail Report.pdf (Sage Timberline, 04/03/2026)</t>
        </is>
      </c>
    </row>
    <row r="16">
      <c r="B16" s="14" t="inlineStr">
        <is>
          <t>KI55</t>
        </is>
      </c>
      <c r="C16" s="5" t="inlineStr">
        <is>
          <t>Kinssies, Jr, John E</t>
        </is>
      </c>
      <c r="D16" s="17" t="n">
        <v>133</v>
      </c>
      <c r="E16" s="20" t="n">
        <v>3123</v>
      </c>
      <c r="F16" s="20">
        <f>IF(D16=0,0,E16/D16)</f>
        <v/>
      </c>
      <c r="G16" s="14" t="n">
        <v>13</v>
      </c>
      <c r="H16" s="8" t="inlineStr">
        <is>
          <t>2040 Job Detail Report.pdf (Sage Timberline, 04/03/2026)</t>
        </is>
      </c>
    </row>
    <row r="17">
      <c r="B17" s="14" t="inlineStr">
        <is>
          <t>BA70</t>
        </is>
      </c>
      <c r="C17" s="5" t="inlineStr">
        <is>
          <t>Barnhart, Joseph N</t>
        </is>
      </c>
      <c r="D17" s="17" t="n">
        <v>118</v>
      </c>
      <c r="E17" s="20" t="n">
        <v>5292</v>
      </c>
      <c r="F17" s="20">
        <f>IF(D17=0,0,E17/D17)</f>
        <v/>
      </c>
      <c r="G17" s="14" t="n">
        <v>29</v>
      </c>
      <c r="H17" s="8" t="inlineStr">
        <is>
          <t>2040 Job Detail Report.pdf (Sage Timberline, 04/03/2026)</t>
        </is>
      </c>
    </row>
    <row r="18">
      <c r="B18" s="14" t="inlineStr">
        <is>
          <t>EL33</t>
        </is>
      </c>
      <c r="C18" s="5" t="inlineStr">
        <is>
          <t>Eliassen, Cory H</t>
        </is>
      </c>
      <c r="D18" s="17" t="n">
        <v>107.5</v>
      </c>
      <c r="E18" s="20" t="n">
        <v>2654.5</v>
      </c>
      <c r="F18" s="20">
        <f>IF(D18=0,0,E18/D18)</f>
        <v/>
      </c>
      <c r="G18" s="14" t="n">
        <v>8</v>
      </c>
      <c r="H18" s="8" t="inlineStr">
        <is>
          <t>2040 Job Detail Report.pdf (Sage Timberline, 04/03/2026)</t>
        </is>
      </c>
    </row>
    <row r="19">
      <c r="B19" s="14" t="inlineStr">
        <is>
          <t>GE69</t>
        </is>
      </c>
      <c r="C19" s="5" t="inlineStr">
        <is>
          <t>Gerard, Jeffrey S</t>
        </is>
      </c>
      <c r="D19" s="17" t="n">
        <v>96</v>
      </c>
      <c r="E19" s="20" t="n">
        <v>4624</v>
      </c>
      <c r="F19" s="20">
        <f>IF(D19=0,0,E19/D19)</f>
        <v/>
      </c>
      <c r="G19" s="14" t="n">
        <v>43</v>
      </c>
      <c r="H19" s="8" t="inlineStr">
        <is>
          <t>2040 Job Detail Report.pdf (Sage Timberline, 04/03/2026)</t>
        </is>
      </c>
    </row>
    <row r="20">
      <c r="B20" s="14" t="inlineStr">
        <is>
          <t>HU06</t>
        </is>
      </c>
      <c r="C20" s="5" t="inlineStr">
        <is>
          <t>Hubbard, Robert W</t>
        </is>
      </c>
      <c r="D20" s="17" t="n">
        <v>92.5</v>
      </c>
      <c r="E20" s="20" t="n">
        <v>3780.5</v>
      </c>
      <c r="F20" s="20">
        <f>IF(D20=0,0,E20/D20)</f>
        <v/>
      </c>
      <c r="G20" s="14" t="n">
        <v>14</v>
      </c>
      <c r="H20" s="8" t="inlineStr">
        <is>
          <t>2040 Job Detail Report.pdf (Sage Timberline, 04/03/2026)</t>
        </is>
      </c>
    </row>
    <row r="21">
      <c r="B21" s="14" t="inlineStr">
        <is>
          <t>GO51</t>
        </is>
      </c>
      <c r="C21" s="5" t="inlineStr">
        <is>
          <t>Gomez Reyes, Edith N</t>
        </is>
      </c>
      <c r="D21" s="17" t="n">
        <v>74.5</v>
      </c>
      <c r="E21" s="20" t="n">
        <v>1696.5</v>
      </c>
      <c r="F21" s="20">
        <f>IF(D21=0,0,E21/D21)</f>
        <v/>
      </c>
      <c r="G21" s="14" t="n">
        <v>5</v>
      </c>
      <c r="H21" s="8" t="inlineStr">
        <is>
          <t>2040 Job Detail Report.pdf (Sage Timberline, 04/03/2026)</t>
        </is>
      </c>
    </row>
    <row r="22">
      <c r="B22" s="14" t="inlineStr">
        <is>
          <t>SA54</t>
        </is>
      </c>
      <c r="C22" s="5" t="inlineStr">
        <is>
          <t>Sanders, Allen O</t>
        </is>
      </c>
      <c r="D22" s="17" t="n">
        <v>70.5</v>
      </c>
      <c r="E22" s="20" t="n">
        <v>3270</v>
      </c>
      <c r="F22" s="20">
        <f>IF(D22=0,0,E22/D22)</f>
        <v/>
      </c>
      <c r="G22" s="14" t="n">
        <v>12</v>
      </c>
      <c r="H22" s="8" t="inlineStr">
        <is>
          <t>2040 Job Detail Report.pdf (Sage Timberline, 04/03/2026)</t>
        </is>
      </c>
    </row>
    <row r="23">
      <c r="B23" s="14" t="inlineStr">
        <is>
          <t>FO55</t>
        </is>
      </c>
      <c r="C23" s="5" t="inlineStr">
        <is>
          <t>Fonseca Teruel, Eduardo</t>
        </is>
      </c>
      <c r="D23" s="17" t="n">
        <v>70.5</v>
      </c>
      <c r="E23" s="20" t="n">
        <v>1269</v>
      </c>
      <c r="F23" s="20">
        <f>IF(D23=0,0,E23/D23)</f>
        <v/>
      </c>
      <c r="G23" s="14" t="n">
        <v>6</v>
      </c>
      <c r="H23" s="8" t="inlineStr">
        <is>
          <t>2040 Job Detail Report.pdf (Sage Timberline, 04/03/2026)</t>
        </is>
      </c>
    </row>
    <row r="24">
      <c r="B24" s="14" t="inlineStr">
        <is>
          <t>RE91</t>
        </is>
      </c>
      <c r="C24" s="5" t="inlineStr">
        <is>
          <t>Reyes, Maria E</t>
        </is>
      </c>
      <c r="D24" s="17" t="n">
        <v>65.5</v>
      </c>
      <c r="E24" s="20" t="n">
        <v>1163</v>
      </c>
      <c r="F24" s="20">
        <f>IF(D24=0,0,E24/D24)</f>
        <v/>
      </c>
      <c r="G24" s="14" t="n">
        <v>4</v>
      </c>
      <c r="H24" s="8" t="inlineStr">
        <is>
          <t>2040 Job Detail Report.pdf (Sage Timberline, 04/03/2026)</t>
        </is>
      </c>
    </row>
    <row r="25">
      <c r="B25" s="14" t="inlineStr">
        <is>
          <t>TR60</t>
        </is>
      </c>
      <c r="C25" s="5" t="inlineStr">
        <is>
          <t>Trower-Kelly, Fidel D</t>
        </is>
      </c>
      <c r="D25" s="17" t="n">
        <v>58</v>
      </c>
      <c r="E25" s="20" t="n">
        <v>928</v>
      </c>
      <c r="F25" s="20">
        <f>IF(D25=0,0,E25/D25)</f>
        <v/>
      </c>
      <c r="G25" s="14" t="n">
        <v>4</v>
      </c>
      <c r="H25" s="8" t="inlineStr">
        <is>
          <t>2040 Job Detail Report.pdf (Sage Timberline, 04/03/2026)</t>
        </is>
      </c>
    </row>
    <row r="26">
      <c r="B26" s="14" t="inlineStr">
        <is>
          <t>DO56</t>
        </is>
      </c>
      <c r="C26" s="5" t="inlineStr">
        <is>
          <t>Donelson, Richard T</t>
        </is>
      </c>
      <c r="D26" s="17" t="n">
        <v>44</v>
      </c>
      <c r="E26" s="20" t="n">
        <v>2612.5</v>
      </c>
      <c r="F26" s="20">
        <f>IF(D26=0,0,E26/D26)</f>
        <v/>
      </c>
      <c r="G26" s="14" t="n">
        <v>30</v>
      </c>
      <c r="H26" s="8" t="inlineStr">
        <is>
          <t>2040 Job Detail Report.pdf (Sage Timberline, 04/03/2026)</t>
        </is>
      </c>
    </row>
    <row r="27">
      <c r="B27" s="14" t="inlineStr">
        <is>
          <t>RO10</t>
        </is>
      </c>
      <c r="C27" s="5" t="inlineStr">
        <is>
          <t>Rodriguez Arevalos, Christian</t>
        </is>
      </c>
      <c r="D27" s="17" t="n">
        <v>26.5</v>
      </c>
      <c r="E27" s="20" t="n">
        <v>554</v>
      </c>
      <c r="F27" s="20">
        <f>IF(D27=0,0,E27/D27)</f>
        <v/>
      </c>
      <c r="G27" s="14" t="n">
        <v>7</v>
      </c>
      <c r="H27" s="8" t="inlineStr">
        <is>
          <t>2040 Job Detail Report.pdf (Sage Timberline, 04/03/2026)</t>
        </is>
      </c>
    </row>
    <row r="28">
      <c r="B28" s="14" t="inlineStr">
        <is>
          <t>YO29</t>
        </is>
      </c>
      <c r="C28" s="5" t="inlineStr">
        <is>
          <t>Yohannes Jr., Samson</t>
        </is>
      </c>
      <c r="D28" s="17" t="n">
        <v>24</v>
      </c>
      <c r="E28" s="20" t="n">
        <v>448</v>
      </c>
      <c r="F28" s="20">
        <f>IF(D28=0,0,E28/D28)</f>
        <v/>
      </c>
      <c r="G28" s="14" t="n">
        <v>2</v>
      </c>
      <c r="H28" s="8" t="inlineStr">
        <is>
          <t>2040 Job Detail Report.pdf (Sage Timberline, 04/03/2026)</t>
        </is>
      </c>
    </row>
    <row r="29">
      <c r="B29" s="14" t="inlineStr">
        <is>
          <t>LO58</t>
        </is>
      </c>
      <c r="C29" s="5" t="inlineStr">
        <is>
          <t>Lopez Reyes, Boris O</t>
        </is>
      </c>
      <c r="D29" s="17" t="n">
        <v>24</v>
      </c>
      <c r="E29" s="20" t="n">
        <v>432</v>
      </c>
      <c r="F29" s="20">
        <f>IF(D29=0,0,E29/D29)</f>
        <v/>
      </c>
      <c r="G29" s="14" t="n">
        <v>1</v>
      </c>
      <c r="H29" s="8" t="inlineStr">
        <is>
          <t>2040 Job Detail Report.pdf (Sage Timberline, 04/03/2026)</t>
        </is>
      </c>
    </row>
    <row r="30">
      <c r="B30" s="14" t="inlineStr">
        <is>
          <t>RE18</t>
        </is>
      </c>
      <c r="C30" s="5" t="inlineStr">
        <is>
          <t>Reed, Reuben H</t>
        </is>
      </c>
      <c r="D30" s="17" t="n">
        <v>21</v>
      </c>
      <c r="E30" s="20" t="n">
        <v>861</v>
      </c>
      <c r="F30" s="20">
        <f>IF(D30=0,0,E30/D30)</f>
        <v/>
      </c>
      <c r="G30" s="14" t="n">
        <v>1</v>
      </c>
      <c r="H30" s="8" t="inlineStr">
        <is>
          <t>2040 Job Detail Report.pdf (Sage Timberline, 04/03/2026)</t>
        </is>
      </c>
    </row>
    <row r="31">
      <c r="B31" s="14" t="inlineStr">
        <is>
          <t>GE70</t>
        </is>
      </c>
      <c r="C31" s="5" t="inlineStr">
        <is>
          <t>Gerard, Jordan E</t>
        </is>
      </c>
      <c r="D31" s="17" t="n">
        <v>13</v>
      </c>
      <c r="E31" s="20" t="n">
        <v>442</v>
      </c>
      <c r="F31" s="20">
        <f>IF(D31=0,0,E31/D31)</f>
        <v/>
      </c>
      <c r="G31" s="14" t="n">
        <v>2</v>
      </c>
      <c r="H31" s="8" t="inlineStr">
        <is>
          <t>2040 Job Detail Report.pdf (Sage Timberline, 04/03/2026)</t>
        </is>
      </c>
    </row>
    <row r="32">
      <c r="B32" s="14" t="inlineStr">
        <is>
          <t>ST02</t>
        </is>
      </c>
      <c r="C32" s="5" t="inlineStr">
        <is>
          <t>Stahlschmidt, John P</t>
        </is>
      </c>
      <c r="D32" s="17" t="n">
        <v>8</v>
      </c>
      <c r="E32" s="20" t="n">
        <v>136</v>
      </c>
      <c r="F32" s="20">
        <f>IF(D32=0,0,E32/D32)</f>
        <v/>
      </c>
      <c r="G32" s="14" t="n">
        <v>1</v>
      </c>
      <c r="H32" s="8" t="inlineStr">
        <is>
          <t>2040 Job Detail Report.pdf (Sage Timberline, 04/03/2026)</t>
        </is>
      </c>
    </row>
    <row r="33">
      <c r="B33" s="14" t="inlineStr">
        <is>
          <t>RO06</t>
        </is>
      </c>
      <c r="C33" s="5" t="inlineStr">
        <is>
          <t>Roberts, Lake A</t>
        </is>
      </c>
      <c r="D33" s="17" t="n">
        <v>8</v>
      </c>
      <c r="E33" s="20" t="n">
        <v>136</v>
      </c>
      <c r="F33" s="20">
        <f>IF(D33=0,0,E33/D33)</f>
        <v/>
      </c>
      <c r="G33" s="14" t="n">
        <v>1</v>
      </c>
      <c r="H33" s="8" t="inlineStr">
        <is>
          <t>2040 Job Detail Report.pdf (Sage Timberline, 04/03/2026)</t>
        </is>
      </c>
    </row>
    <row r="34">
      <c r="B34" s="14" t="inlineStr">
        <is>
          <t>MA71</t>
        </is>
      </c>
      <c r="C34" s="5" t="inlineStr">
        <is>
          <t>Martinez Reyes, Juan C</t>
        </is>
      </c>
      <c r="D34" s="17" t="n">
        <v>4</v>
      </c>
      <c r="E34" s="20" t="n">
        <v>104</v>
      </c>
      <c r="F34" s="20">
        <f>IF(D34=0,0,E34/D34)</f>
        <v/>
      </c>
      <c r="G34" s="14" t="n">
        <v>2</v>
      </c>
      <c r="H34" s="8" t="inlineStr">
        <is>
          <t>2040 Job Detail Report.pdf (Sage Timberline, 04/03/2026)</t>
        </is>
      </c>
    </row>
    <row r="35">
      <c r="B35" s="14" t="inlineStr">
        <is>
          <t>SE64</t>
        </is>
      </c>
      <c r="C35" s="5" t="inlineStr">
        <is>
          <t>Sepulveda Gonzalez, Alfredo</t>
        </is>
      </c>
      <c r="D35" s="17" t="n">
        <v>4</v>
      </c>
      <c r="E35" s="20" t="n">
        <v>128</v>
      </c>
      <c r="F35" s="20">
        <f>IF(D35=0,0,E35/D35)</f>
        <v/>
      </c>
      <c r="G35" s="14" t="n">
        <v>1</v>
      </c>
      <c r="H35" s="8" t="inlineStr">
        <is>
          <t>2040 Job Detail Report.pdf (Sage Timberline, 04/03/2026)</t>
        </is>
      </c>
    </row>
    <row r="36">
      <c r="B36" s="14" t="inlineStr">
        <is>
          <t>HU04</t>
        </is>
      </c>
      <c r="C36" s="5" t="inlineStr">
        <is>
          <t>Hubbard, Dustin R</t>
        </is>
      </c>
      <c r="D36" s="17" t="n">
        <v>2.5</v>
      </c>
      <c r="E36" s="20" t="n">
        <v>51.5</v>
      </c>
      <c r="F36" s="20">
        <f>IF(D36=0,0,E36/D36)</f>
        <v/>
      </c>
      <c r="G36" s="14" t="n">
        <v>2</v>
      </c>
      <c r="H36" s="8" t="inlineStr">
        <is>
          <t>2040 Job Detail Report.pdf (Sage Timberline, 04/03/2026)</t>
        </is>
      </c>
    </row>
    <row r="37">
      <c r="B37" s="14" t="inlineStr">
        <is>
          <t>HO14</t>
        </is>
      </c>
      <c r="C37" s="5" t="inlineStr">
        <is>
          <t>Holmes, Anthony R</t>
        </is>
      </c>
      <c r="D37" s="17" t="n">
        <v>1</v>
      </c>
      <c r="E37" s="20" t="n">
        <v>37</v>
      </c>
      <c r="F37" s="20">
        <f>IF(D37=0,0,E37/D37)</f>
        <v/>
      </c>
      <c r="G37" s="14" t="n">
        <v>1</v>
      </c>
      <c r="H37" s="8" t="inlineStr">
        <is>
          <t>2040 Job Detail Report.pdf (Sage Timberline, 04/03/2026)</t>
        </is>
      </c>
    </row>
    <row r="38">
      <c r="B38" s="18" t="inlineStr">
        <is>
          <t>TOTAL</t>
        </is>
      </c>
      <c r="D38" s="10">
        <f>SUM(D6:D37)</f>
        <v/>
      </c>
      <c r="E38" s="9">
        <f>SUM(E6:E37)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32</v>
      </c>
      <c r="D7" s="5" t="inlineStr">
        <is>
          <t>Unique payroll IDs</t>
        </is>
      </c>
      <c r="E7" s="8" t="inlineStr">
        <is>
          <t>2040 Job Detail Report.pdf (Sage Timberline, 04/03/2026)</t>
        </is>
      </c>
    </row>
    <row r="8">
      <c r="B8" s="5" t="inlineStr">
        <is>
          <t>Total Labor Hours</t>
        </is>
      </c>
      <c r="C8" s="17" t="n">
        <v>5454</v>
      </c>
      <c r="D8" s="5" t="inlineStr">
        <is>
          <t>Sum of labor codes</t>
        </is>
      </c>
      <c r="E8" s="8" t="inlineStr">
        <is>
          <t>2040 Job Detail Report.pdf (Sage Timberline, 04/03/2026)</t>
        </is>
      </c>
    </row>
    <row r="9">
      <c r="B9" s="5" t="inlineStr">
        <is>
          <t>Total Gross Pay</t>
        </is>
      </c>
      <c r="C9" s="17" t="n">
        <v>146699.25</v>
      </c>
      <c r="D9" s="5" t="inlineStr">
        <is>
          <t>Sum of labor codes</t>
        </is>
      </c>
      <c r="E9" s="8" t="inlineStr">
        <is>
          <t>2040 Job Detail Report.pdf (Sage Timberline, 04/03/2026)</t>
        </is>
      </c>
    </row>
    <row r="10">
      <c r="B10" s="5" t="inlineStr">
        <is>
          <t>Blended Gross Wage ($/hr)</t>
        </is>
      </c>
      <c r="C10" s="20" t="n">
        <v>26.89755225522552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0.1628621195452879</v>
      </c>
      <c r="D11" s="5" t="inlineStr">
        <is>
          <t>WE55 Wennig, Johnathan M (888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0.619041070773744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59.375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12.35294117647059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170.4375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10.9375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55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114.4427942794279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40.2737880454712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26.89755225522552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40.8843766043271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1.52000361283374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3429.75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531.75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0.6288503850385039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0.3519119600237754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0.2350305445142437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0.2468941524037483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0.6480880399762246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(55)</t>
        </is>
      </c>
      <c r="C18" s="20" t="n">
        <v>11348.56363636364</v>
      </c>
      <c r="D18" s="14" t="inlineStr">
        <is>
          <t>USD</t>
        </is>
      </c>
      <c r="E18" s="8" t="inlineStr">
        <is>
          <t>55 units</t>
        </is>
      </c>
    </row>
    <row r="19">
      <c r="B19" s="5" t="inlineStr">
        <is>
          <t>Labor Hours per Unit</t>
        </is>
      </c>
      <c r="C19" s="17" t="n">
        <v>99.16363636363636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2667.259090909091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2801.894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7354.868363636365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62.35909090909091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2017-03-01</t>
        </is>
      </c>
      <c r="D6" s="5" t="inlineStr">
        <is>
          <t>Blueprint Capital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Roosevelt 65th (Brooklyn 65) plumbing (55 units) — per Div 22</t>
        </is>
      </c>
      <c r="H6" s="20" t="n">
        <v>604000</v>
      </c>
      <c r="I6" s="8" t="inlineStr">
        <is>
          <t>2040-Blueprint Capital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Blueprint Capital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20171</v>
      </c>
      <c r="I7" s="8" t="inlineStr">
        <is>
          <t>2040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18 invoices to Blueprint Capital. Retainage $0.00.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036927</t>
        </is>
      </c>
      <c r="C6" s="14" t="inlineStr">
        <is>
          <t>08/18/17</t>
        </is>
      </c>
      <c r="D6" s="15" t="n">
        <v>-36300</v>
      </c>
      <c r="E6" s="15" t="n">
        <v>0</v>
      </c>
      <c r="F6" s="14" t="n">
        <v>2</v>
      </c>
      <c r="G6" s="8" t="inlineStr">
        <is>
          <t>2040 Job Detail Report.pdf (Sage Timberline, 04/03/2026)</t>
        </is>
      </c>
    </row>
    <row r="7">
      <c r="B7" s="14" t="inlineStr">
        <is>
          <t>036949</t>
        </is>
      </c>
      <c r="C7" s="14" t="inlineStr">
        <is>
          <t>09/20/17</t>
        </is>
      </c>
      <c r="D7" s="15" t="n">
        <v>-22100</v>
      </c>
      <c r="E7" s="15" t="n">
        <v>0</v>
      </c>
      <c r="F7" s="14" t="n">
        <v>1</v>
      </c>
      <c r="G7" s="8" t="inlineStr">
        <is>
          <t>2040 Job Detail Report.pdf (Sage Timberline, 04/03/2026)</t>
        </is>
      </c>
    </row>
    <row r="8">
      <c r="B8" s="14" t="inlineStr">
        <is>
          <t>036957</t>
        </is>
      </c>
      <c r="C8" s="14" t="inlineStr">
        <is>
          <t>09/20/17</t>
        </is>
      </c>
      <c r="D8" s="15" t="n">
        <v>22100</v>
      </c>
      <c r="E8" s="15" t="n">
        <v>0</v>
      </c>
      <c r="F8" s="14" t="n">
        <v>1</v>
      </c>
      <c r="G8" s="8" t="inlineStr">
        <is>
          <t>2040 Job Detail Report.pdf (Sage Timberline, 04/03/2026)</t>
        </is>
      </c>
    </row>
    <row r="9">
      <c r="B9" s="14" t="inlineStr">
        <is>
          <t>036958</t>
        </is>
      </c>
      <c r="C9" s="14" t="inlineStr">
        <is>
          <t>09/20/17</t>
        </is>
      </c>
      <c r="D9" s="15" t="n">
        <v>-17680</v>
      </c>
      <c r="E9" s="15" t="n">
        <v>0</v>
      </c>
      <c r="F9" s="14" t="n">
        <v>1</v>
      </c>
      <c r="G9" s="8" t="inlineStr">
        <is>
          <t>2040 Job Detail Report.pdf (Sage Timberline, 04/03/2026)</t>
        </is>
      </c>
    </row>
    <row r="10">
      <c r="B10" s="14" t="inlineStr">
        <is>
          <t>036970</t>
        </is>
      </c>
      <c r="C10" s="14" t="inlineStr">
        <is>
          <t>10/20/17</t>
        </is>
      </c>
      <c r="D10" s="15" t="n">
        <v>-10420</v>
      </c>
      <c r="E10" s="15" t="n">
        <v>0</v>
      </c>
      <c r="F10" s="14" t="n">
        <v>2</v>
      </c>
      <c r="G10" s="8" t="inlineStr">
        <is>
          <t>2040 Job Detail Report.pdf (Sage Timberline, 04/03/2026)</t>
        </is>
      </c>
    </row>
    <row r="11">
      <c r="B11" s="14" t="inlineStr">
        <is>
          <t>036983</t>
        </is>
      </c>
      <c r="C11" s="14" t="inlineStr">
        <is>
          <t>11/17/17</t>
        </is>
      </c>
      <c r="D11" s="15" t="n">
        <v>-5000</v>
      </c>
      <c r="E11" s="15" t="n">
        <v>0</v>
      </c>
      <c r="F11" s="14" t="n">
        <v>1</v>
      </c>
      <c r="G11" s="8" t="inlineStr">
        <is>
          <t>2040 Job Detail Report.pdf (Sage Timberline, 04/03/2026)</t>
        </is>
      </c>
    </row>
    <row r="12">
      <c r="B12" s="14" t="inlineStr">
        <is>
          <t>037003</t>
        </is>
      </c>
      <c r="C12" s="14" t="inlineStr">
        <is>
          <t>01/19/18</t>
        </is>
      </c>
      <c r="D12" s="15" t="n">
        <v>-79910</v>
      </c>
      <c r="E12" s="15" t="n">
        <v>0</v>
      </c>
      <c r="F12" s="14" t="n">
        <v>2</v>
      </c>
      <c r="G12" s="8" t="inlineStr">
        <is>
          <t>2040 Job Detail Report.pdf (Sage Timberline, 04/03/2026)</t>
        </is>
      </c>
    </row>
    <row r="13">
      <c r="B13" s="14" t="inlineStr">
        <is>
          <t>037053</t>
        </is>
      </c>
      <c r="C13" s="14" t="inlineStr">
        <is>
          <t>03/20/18</t>
        </is>
      </c>
      <c r="D13" s="15" t="n">
        <v>-63410</v>
      </c>
      <c r="E13" s="15" t="n">
        <v>0</v>
      </c>
      <c r="F13" s="14" t="n">
        <v>3</v>
      </c>
      <c r="G13" s="8" t="inlineStr">
        <is>
          <t>2040 Job Detail Report.pdf (Sage Timberline, 04/03/2026)</t>
        </is>
      </c>
    </row>
    <row r="14">
      <c r="B14" s="14" t="inlineStr">
        <is>
          <t>037065</t>
        </is>
      </c>
      <c r="C14" s="14" t="inlineStr">
        <is>
          <t>04/20/18</t>
        </is>
      </c>
      <c r="D14" s="15" t="n">
        <v>-43520</v>
      </c>
      <c r="E14" s="15" t="n">
        <v>0</v>
      </c>
      <c r="F14" s="14" t="n">
        <v>3</v>
      </c>
      <c r="G14" s="8" t="inlineStr">
        <is>
          <t>2040 Job Detail Report.pdf (Sage Timberline, 04/03/2026)</t>
        </is>
      </c>
    </row>
    <row r="15">
      <c r="B15" s="14" t="inlineStr">
        <is>
          <t>037079</t>
        </is>
      </c>
      <c r="C15" s="14" t="inlineStr">
        <is>
          <t>05/18/18</t>
        </is>
      </c>
      <c r="D15" s="15" t="n">
        <v>-108008</v>
      </c>
      <c r="E15" s="15" t="n">
        <v>0</v>
      </c>
      <c r="F15" s="14" t="n">
        <v>7</v>
      </c>
      <c r="G15" s="8" t="inlineStr">
        <is>
          <t>2040 Job Detail Report.pdf (Sage Timberline, 04/03/2026)</t>
        </is>
      </c>
    </row>
    <row r="16">
      <c r="B16" s="14" t="inlineStr">
        <is>
          <t>037116</t>
        </is>
      </c>
      <c r="C16" s="14" t="inlineStr">
        <is>
          <t>06/20/18</t>
        </is>
      </c>
      <c r="D16" s="15" t="n">
        <v>-45825</v>
      </c>
      <c r="E16" s="15" t="n">
        <v>0</v>
      </c>
      <c r="F16" s="14" t="n">
        <v>8</v>
      </c>
      <c r="G16" s="8" t="inlineStr">
        <is>
          <t>2040 Job Detail Report.pdf (Sage Timberline, 04/03/2026)</t>
        </is>
      </c>
    </row>
    <row r="17">
      <c r="B17" s="14" t="inlineStr">
        <is>
          <t>037136</t>
        </is>
      </c>
      <c r="C17" s="14" t="inlineStr">
        <is>
          <t>07/20/18</t>
        </is>
      </c>
      <c r="D17" s="15" t="n">
        <v>-90140</v>
      </c>
      <c r="E17" s="15" t="n">
        <v>0</v>
      </c>
      <c r="F17" s="14" t="n">
        <v>7</v>
      </c>
      <c r="G17" s="8" t="inlineStr">
        <is>
          <t>2040 Job Detail Report.pdf (Sage Timberline, 04/03/2026)</t>
        </is>
      </c>
    </row>
    <row r="18">
      <c r="B18" s="14" t="inlineStr">
        <is>
          <t>037160</t>
        </is>
      </c>
      <c r="C18" s="14" t="inlineStr">
        <is>
          <t>08/20/18</t>
        </is>
      </c>
      <c r="D18" s="15" t="n">
        <v>-21910</v>
      </c>
      <c r="E18" s="15" t="n">
        <v>0</v>
      </c>
      <c r="F18" s="14" t="n">
        <v>4</v>
      </c>
      <c r="G18" s="8" t="inlineStr">
        <is>
          <t>2040 Job Detail Report.pdf (Sage Timberline, 04/03/2026)</t>
        </is>
      </c>
    </row>
    <row r="19">
      <c r="B19" s="14" t="inlineStr">
        <is>
          <t>037190</t>
        </is>
      </c>
      <c r="C19" s="14" t="inlineStr">
        <is>
          <t>09/19/18</t>
        </is>
      </c>
      <c r="D19" s="15" t="n">
        <v>-24184</v>
      </c>
      <c r="E19" s="15" t="n">
        <v>0</v>
      </c>
      <c r="F19" s="14" t="n">
        <v>2</v>
      </c>
      <c r="G19" s="8" t="inlineStr">
        <is>
          <t>2040 Job Detail Report.pdf (Sage Timberline, 04/03/2026)</t>
        </is>
      </c>
    </row>
    <row r="20">
      <c r="B20" s="14" t="inlineStr">
        <is>
          <t>037215</t>
        </is>
      </c>
      <c r="C20" s="14" t="inlineStr">
        <is>
          <t>10/19/18</t>
        </is>
      </c>
      <c r="D20" s="15" t="n">
        <v>-7124</v>
      </c>
      <c r="E20" s="15" t="n">
        <v>0</v>
      </c>
      <c r="F20" s="14" t="n">
        <v>3</v>
      </c>
      <c r="G20" s="8" t="inlineStr">
        <is>
          <t>2040 Job Detail Report.pdf (Sage Timberline, 04/03/2026)</t>
        </is>
      </c>
    </row>
    <row r="21">
      <c r="B21" s="14" t="inlineStr">
        <is>
          <t>037232</t>
        </is>
      </c>
      <c r="C21" s="14" t="inlineStr">
        <is>
          <t>11/16/18</t>
        </is>
      </c>
      <c r="D21" s="15" t="n">
        <v>-25500</v>
      </c>
      <c r="E21" s="15" t="n">
        <v>0</v>
      </c>
      <c r="F21" s="14" t="n">
        <v>2</v>
      </c>
      <c r="G21" s="8" t="inlineStr">
        <is>
          <t>2040 Job Detail Report.pdf (Sage Timberline, 04/03/2026)</t>
        </is>
      </c>
    </row>
    <row r="22">
      <c r="B22" s="14" t="inlineStr">
        <is>
          <t>037257</t>
        </is>
      </c>
      <c r="C22" s="14" t="inlineStr">
        <is>
          <t>12/14/18</t>
        </is>
      </c>
      <c r="D22" s="15" t="n">
        <v>-38250</v>
      </c>
      <c r="E22" s="15" t="n">
        <v>0</v>
      </c>
      <c r="F22" s="14" t="n">
        <v>3</v>
      </c>
      <c r="G22" s="8" t="inlineStr">
        <is>
          <t>2040 Job Detail Report.pdf (Sage Timberline, 04/03/2026)</t>
        </is>
      </c>
    </row>
    <row r="23">
      <c r="B23" s="14" t="inlineStr">
        <is>
          <t>037278</t>
        </is>
      </c>
      <c r="C23" s="14" t="inlineStr">
        <is>
          <t>01/18/19</t>
        </is>
      </c>
      <c r="D23" s="15" t="n">
        <v>-6990</v>
      </c>
      <c r="E23" s="15" t="n">
        <v>0</v>
      </c>
      <c r="F23" s="14" t="n">
        <v>2</v>
      </c>
      <c r="G23" s="8" t="inlineStr">
        <is>
          <t>2040 Job Detail Report.pdf (Sage Timberline, 04/03/2026)</t>
        </is>
      </c>
    </row>
    <row r="24">
      <c r="B24" s="18" t="inlineStr">
        <is>
          <t>TOTAL (signed)</t>
        </is>
      </c>
      <c r="D24" s="19">
        <f>SUM(D6:D23)</f>
        <v/>
      </c>
      <c r="E24" s="19">
        <f>SUM(E6:E23)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$219,653.24 on $624,171.00 revenue = 35.2% gross margin.</t>
        </is>
      </c>
      <c r="E6" s="26" t="inlineStr">
        <is>
          <t>Verified</t>
        </is>
      </c>
      <c r="F6" s="8" t="inlineStr">
        <is>
          <t>2040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$604,000.00 → final $624,171.00 = $+20,171.00 net (+3.34%).</t>
        </is>
      </c>
      <c r="E7" s="26" t="inlineStr">
        <is>
          <t>Verified</t>
        </is>
      </c>
      <c r="F7" s="8" t="inlineStr">
        <is>
          <t>2040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$146,699.25 (23.5% of rev) across 5,454 hrs and 32 workers. Blended wage $26.90/hr.</t>
        </is>
      </c>
      <c r="E8" s="26" t="inlineStr">
        <is>
          <t>Verified</t>
        </is>
      </c>
      <c r="F8" s="8" t="inlineStr">
        <is>
          <t>2040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~$108,656.24 (70% of AP). Top vendor: Keller Supply Company ($37,520.04).</t>
        </is>
      </c>
      <c r="E9" s="26" t="inlineStr">
        <is>
          <t>Verified</t>
        </is>
      </c>
      <c r="F9" s="8" t="inlineStr">
        <is>
          <t>2040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$0 — closed out cleanly.</t>
        </is>
      </c>
      <c r="E10" s="26" t="inlineStr">
        <is>
          <t>Verified</t>
        </is>
      </c>
      <c r="F10" s="8" t="inlineStr">
        <is>
          <t>2040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3,430 hrs (63% of labor hours).</t>
        </is>
      </c>
      <c r="E11" s="26" t="inlineStr">
        <is>
          <t>Verified</t>
        </is>
      </c>
      <c r="F11" s="8" t="inlineStr">
        <is>
          <t>2040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230 Finish Material = $88,855.74</t>
        </is>
      </c>
      <c r="E12" s="26" t="inlineStr">
        <is>
          <t>Verified</t>
        </is>
      </c>
      <c r="F12" s="8" t="inlineStr">
        <is>
          <t>2040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Wennig, Johnathan M = 888 hrs (16% of total).</t>
        </is>
      </c>
      <c r="E13" s="26" t="inlineStr">
        <is>
          <t>Verified</t>
        </is>
      </c>
      <c r="F13" s="8" t="inlineStr">
        <is>
          <t>2040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Not Wrap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Brooklyn 65 (Roosevelt 65th) — 55-unit multifamily plumbing, NE Seattle.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2040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2040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Roosevelt 65th (Brooklyn 65)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2040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Blueprint Capital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Brooklyn 65 LLC (Blueprint)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1222 NE 65th Street, Seattle, WA 98115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(55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Not Wrap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Andrew Withnell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Mike Sanderson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Kyle Stenson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Blueprint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Garrett / Joe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2017-03-01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2040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2019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2040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22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55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604000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624171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20171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2040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0.03339569536423841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624171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2040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404517.7600000001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2040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219653.2399999999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2040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0.3519119600237754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0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2040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146699.25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2040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154104.17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2040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27430.2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2040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65061.2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2040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11222.94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2040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5454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2040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32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2040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26.89755225522552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40.8843766043271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1.52000361283374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3429.75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2040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531.75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2040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114.4427942794279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40.2737880454712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11348.56363636364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7354.868363636365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99.16363636363636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0.2350305445142437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0.2468941524037483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20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2040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18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2040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27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2040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6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1231KS</t>
        </is>
      </c>
      <c r="D6" s="5" t="inlineStr">
        <is>
          <t>Keller Supply Company</t>
        </is>
      </c>
      <c r="E6" s="15" t="n">
        <v>37520.04000000001</v>
      </c>
      <c r="F6" s="14" t="n">
        <v>31</v>
      </c>
      <c r="G6" s="16">
        <f>E6/154865.96</f>
        <v/>
      </c>
      <c r="H6" s="8" t="inlineStr">
        <is>
          <t>2040 Job Detail Report.pdf (Sage Timberline, 04/03/2026)</t>
        </is>
      </c>
    </row>
    <row r="7">
      <c r="B7" s="14" t="n">
        <v>2</v>
      </c>
      <c r="C7" s="14" t="inlineStr">
        <is>
          <t>7230BB</t>
        </is>
      </c>
      <c r="D7" s="5" t="inlineStr">
        <is>
          <t>Best Bath Systems</t>
        </is>
      </c>
      <c r="E7" s="15" t="n">
        <v>26250.23</v>
      </c>
      <c r="F7" s="14" t="n">
        <v>3</v>
      </c>
      <c r="G7" s="16">
        <f>E7/154865.96</f>
        <v/>
      </c>
      <c r="H7" s="8" t="inlineStr">
        <is>
          <t>2040 Job Detail Report.pdf (Sage Timberline, 04/03/2026)</t>
        </is>
      </c>
    </row>
    <row r="8">
      <c r="B8" s="14" t="n">
        <v>3</v>
      </c>
      <c r="C8" s="14" t="inlineStr">
        <is>
          <t>1625FE</t>
        </is>
      </c>
      <c r="D8" s="5" t="inlineStr">
        <is>
          <t>Franklin Engineering</t>
        </is>
      </c>
      <c r="E8" s="15" t="n">
        <v>15976</v>
      </c>
      <c r="F8" s="14" t="n">
        <v>8</v>
      </c>
      <c r="G8" s="16">
        <f>E8/154865.96</f>
        <v/>
      </c>
      <c r="H8" s="8" t="inlineStr">
        <is>
          <t>2040 Job Detail Report.pdf (Sage Timberline, 04/03/2026)</t>
        </is>
      </c>
    </row>
    <row r="9">
      <c r="B9" s="14" t="n">
        <v>4</v>
      </c>
      <c r="C9" s="14" t="inlineStr">
        <is>
          <t>2040CS</t>
        </is>
      </c>
      <c r="D9" s="5" t="inlineStr">
        <is>
          <t>Consolidated Supply Co. $65th Apts</t>
        </is>
      </c>
      <c r="E9" s="15" t="n">
        <v>15318.38</v>
      </c>
      <c r="F9" s="14" t="n">
        <v>14</v>
      </c>
      <c r="G9" s="16">
        <f>E9/154865.96</f>
        <v/>
      </c>
      <c r="H9" s="8" t="inlineStr">
        <is>
          <t>2040 Job Detail Report.pdf (Sage Timberline, 04/03/2026)</t>
        </is>
      </c>
    </row>
    <row r="10">
      <c r="B10" s="14" t="n">
        <v>5</v>
      </c>
      <c r="C10" s="14" t="inlineStr">
        <is>
          <t>1380RS</t>
        </is>
      </c>
      <c r="D10" s="5" t="inlineStr">
        <is>
          <t>Rosen Supply Kirkland</t>
        </is>
      </c>
      <c r="E10" s="15" t="n">
        <v>13591.59</v>
      </c>
      <c r="F10" s="14" t="n">
        <v>20</v>
      </c>
      <c r="G10" s="16">
        <f>E10/154865.96</f>
        <v/>
      </c>
      <c r="H10" s="8" t="inlineStr">
        <is>
          <t>2040 Job Detail Report.pdf (Sage Timberline, 04/03/2026)</t>
        </is>
      </c>
    </row>
    <row r="11">
      <c r="B11" s="14" t="n">
        <v>6</v>
      </c>
      <c r="C11" s="14" t="inlineStr">
        <is>
          <t>2040RS</t>
        </is>
      </c>
      <c r="D11" s="5" t="inlineStr">
        <is>
          <t>Rosen Supply Company, Inc. $65th Apts</t>
        </is>
      </c>
      <c r="E11" s="15" t="n">
        <v>9330.630000000001</v>
      </c>
      <c r="F11" s="14" t="n">
        <v>16</v>
      </c>
      <c r="G11" s="16">
        <f>E11/154865.96</f>
        <v/>
      </c>
      <c r="H11" s="8" t="inlineStr">
        <is>
          <t>2040 Job Detail Report.pdf (Sage Timberline, 04/03/2026)</t>
        </is>
      </c>
    </row>
    <row r="12">
      <c r="B12" s="14" t="n">
        <v>7</v>
      </c>
      <c r="C12" s="14" t="inlineStr">
        <is>
          <t>1175FE</t>
        </is>
      </c>
      <c r="D12" s="5" t="inlineStr">
        <is>
          <t>Ferguson Enterprises, Inc. #3007</t>
        </is>
      </c>
      <c r="E12" s="15" t="n">
        <v>8842.43</v>
      </c>
      <c r="F12" s="14" t="n">
        <v>8</v>
      </c>
      <c r="G12" s="16">
        <f>E12/154865.96</f>
        <v/>
      </c>
      <c r="H12" s="8" t="inlineStr">
        <is>
          <t>2040 Job Detail Report.pdf (Sage Timberline, 04/03/2026)</t>
        </is>
      </c>
    </row>
    <row r="13">
      <c r="B13" s="14" t="n">
        <v>8</v>
      </c>
      <c r="C13" s="14" t="inlineStr">
        <is>
          <t>1234CO</t>
        </is>
      </c>
      <c r="D13" s="5" t="inlineStr">
        <is>
          <t>Capital One Credit Card</t>
        </is>
      </c>
      <c r="E13" s="15" t="n">
        <v>8619.070000000002</v>
      </c>
      <c r="F13" s="14" t="n">
        <v>24</v>
      </c>
      <c r="G13" s="16">
        <f>E13/154865.96</f>
        <v/>
      </c>
      <c r="H13" s="8" t="inlineStr">
        <is>
          <t>2040 Job Detail Report.pdf (Sage Timberline, 04/03/2026)</t>
        </is>
      </c>
    </row>
    <row r="14">
      <c r="B14" s="14" t="n">
        <v>9</v>
      </c>
      <c r="C14" s="14" t="inlineStr">
        <is>
          <t>2032RS</t>
        </is>
      </c>
      <c r="D14" s="5" t="inlineStr">
        <is>
          <t>Rosen Supply Company, Inc. $Roosevelt</t>
        </is>
      </c>
      <c r="E14" s="15" t="n">
        <v>6670.44</v>
      </c>
      <c r="F14" s="14" t="n">
        <v>4</v>
      </c>
      <c r="G14" s="16">
        <f>E14/154865.96</f>
        <v/>
      </c>
      <c r="H14" s="8" t="inlineStr">
        <is>
          <t>2040 Job Detail Report.pdf (Sage Timberline, 04/03/2026)</t>
        </is>
      </c>
    </row>
    <row r="15">
      <c r="B15" s="14" t="n">
        <v>10</v>
      </c>
      <c r="C15" s="14" t="inlineStr">
        <is>
          <t>2040KS</t>
        </is>
      </c>
      <c r="D15" s="5" t="inlineStr">
        <is>
          <t>Keller Supply Co. $65th Apts</t>
        </is>
      </c>
      <c r="E15" s="15" t="n">
        <v>3484.94</v>
      </c>
      <c r="F15" s="14" t="n">
        <v>6</v>
      </c>
      <c r="G15" s="16">
        <f>E15/154865.96</f>
        <v/>
      </c>
      <c r="H15" s="8" t="inlineStr">
        <is>
          <t>2040 Job Detail Report.pdf (Sage Timberline, 04/03/2026)</t>
        </is>
      </c>
    </row>
    <row r="16">
      <c r="B16" s="14" t="n">
        <v>11</v>
      </c>
      <c r="C16" s="14" t="inlineStr">
        <is>
          <t>1130CS</t>
        </is>
      </c>
      <c r="D16" s="5" t="inlineStr">
        <is>
          <t>Consolidated Supply Co.</t>
        </is>
      </c>
      <c r="E16" s="15" t="n">
        <v>2489.21</v>
      </c>
      <c r="F16" s="14" t="n">
        <v>7</v>
      </c>
      <c r="G16" s="16">
        <f>E16/154865.96</f>
        <v/>
      </c>
      <c r="H16" s="8" t="inlineStr">
        <is>
          <t>2040 Job Detail Report.pdf (Sage Timberline, 04/03/2026)</t>
        </is>
      </c>
    </row>
    <row r="17">
      <c r="B17" s="14" t="n">
        <v>12</v>
      </c>
      <c r="C17" s="14" t="inlineStr">
        <is>
          <t>3181SC</t>
        </is>
      </c>
      <c r="D17" s="5" t="inlineStr">
        <is>
          <t>Scan2Core, Inc.</t>
        </is>
      </c>
      <c r="E17" s="15" t="n">
        <v>1699</v>
      </c>
      <c r="F17" s="14" t="n">
        <v>2</v>
      </c>
      <c r="G17" s="16">
        <f>E17/154865.96</f>
        <v/>
      </c>
      <c r="H17" s="8" t="inlineStr">
        <is>
          <t>2040 Job Detail Report.pdf (Sage Timberline, 04/03/2026)</t>
        </is>
      </c>
    </row>
    <row r="18">
      <c r="B18" s="14" t="n">
        <v>13</v>
      </c>
      <c r="C18" s="14" t="inlineStr">
        <is>
          <t>3612MS</t>
        </is>
      </c>
      <c r="D18" s="5" t="inlineStr">
        <is>
          <t>Mechanical Sales, Inc.</t>
        </is>
      </c>
      <c r="E18" s="15" t="n">
        <v>999.5</v>
      </c>
      <c r="F18" s="14" t="n">
        <v>2</v>
      </c>
      <c r="G18" s="16">
        <f>E18/154865.96</f>
        <v/>
      </c>
      <c r="H18" s="8" t="inlineStr">
        <is>
          <t>2040 Job Detail Report.pdf (Sage Timberline, 04/03/2026)</t>
        </is>
      </c>
    </row>
    <row r="19">
      <c r="B19" s="14" t="n">
        <v>14</v>
      </c>
      <c r="C19" s="14" t="inlineStr">
        <is>
          <t>5560CH</t>
        </is>
      </c>
      <c r="D19" s="5" t="inlineStr">
        <is>
          <t>California Hydronics Corp</t>
        </is>
      </c>
      <c r="E19" s="15" t="n">
        <v>975</v>
      </c>
      <c r="F19" s="14" t="n">
        <v>2</v>
      </c>
      <c r="G19" s="16">
        <f>E19/154865.96</f>
        <v/>
      </c>
      <c r="H19" s="8" t="inlineStr">
        <is>
          <t>2040 Job Detail Report.pdf (Sage Timberline, 04/03/2026)</t>
        </is>
      </c>
    </row>
    <row r="20">
      <c r="B20" s="14" t="n">
        <v>15</v>
      </c>
      <c r="C20" s="14" t="inlineStr">
        <is>
          <t>8056MS</t>
        </is>
      </c>
      <c r="D20" s="5" t="inlineStr">
        <is>
          <t>Mechanical Service &amp; Integration LLC</t>
        </is>
      </c>
      <c r="E20" s="15" t="n">
        <v>800</v>
      </c>
      <c r="F20" s="14" t="n">
        <v>1</v>
      </c>
      <c r="G20" s="16">
        <f>E20/154865.96</f>
        <v/>
      </c>
      <c r="H20" s="8" t="inlineStr">
        <is>
          <t>2040 Job Detail Report.pdf (Sage Timberline, 04/03/2026)</t>
        </is>
      </c>
    </row>
    <row r="21">
      <c r="B21" s="14" t="n">
        <v>16</v>
      </c>
      <c r="C21" s="14" t="inlineStr">
        <is>
          <t>2032KS</t>
        </is>
      </c>
      <c r="D21" s="5" t="inlineStr">
        <is>
          <t>Keller Supply Co. $Roosevelt</t>
        </is>
      </c>
      <c r="E21" s="15" t="n">
        <v>785.36</v>
      </c>
      <c r="F21" s="14" t="n">
        <v>1</v>
      </c>
      <c r="G21" s="16">
        <f>E21/154865.96</f>
        <v/>
      </c>
      <c r="H21" s="8" t="inlineStr">
        <is>
          <t>2040 Job Detail Report.pdf (Sage Timberline, 04/03/2026)</t>
        </is>
      </c>
    </row>
    <row r="22">
      <c r="B22" s="14" t="n">
        <v>17</v>
      </c>
      <c r="C22" s="14" t="inlineStr">
        <is>
          <t>1234BA</t>
        </is>
      </c>
      <c r="D22" s="5" t="inlineStr">
        <is>
          <t>Bank of America CC</t>
        </is>
      </c>
      <c r="E22" s="15" t="n">
        <v>667.53</v>
      </c>
      <c r="F22" s="14" t="n">
        <v>2</v>
      </c>
      <c r="G22" s="16">
        <f>E22/154865.96</f>
        <v/>
      </c>
      <c r="H22" s="8" t="inlineStr">
        <is>
          <t>2040 Job Detail Report.pdf (Sage Timberline, 04/03/2026)</t>
        </is>
      </c>
    </row>
    <row r="23">
      <c r="B23" s="14" t="n">
        <v>18</v>
      </c>
      <c r="C23" s="14" t="inlineStr">
        <is>
          <t>4320MC</t>
        </is>
      </c>
      <c r="D23" s="5" t="inlineStr">
        <is>
          <t>MAD Concrete Cutting &amp; Coring, Inc.</t>
        </is>
      </c>
      <c r="E23" s="15" t="n">
        <v>450</v>
      </c>
      <c r="F23" s="14" t="n">
        <v>1</v>
      </c>
      <c r="G23" s="16">
        <f>E23/154865.96</f>
        <v/>
      </c>
      <c r="H23" s="8" t="inlineStr">
        <is>
          <t>2040 Job Detail Report.pdf (Sage Timberline, 04/03/2026)</t>
        </is>
      </c>
    </row>
    <row r="24">
      <c r="B24" s="14" t="n">
        <v>19</v>
      </c>
      <c r="C24" s="14" t="inlineStr">
        <is>
          <t>1021AT</t>
        </is>
      </c>
      <c r="D24" s="5" t="inlineStr">
        <is>
          <t>ACME Corp</t>
        </is>
      </c>
      <c r="E24" s="15" t="n">
        <v>241.61</v>
      </c>
      <c r="F24" s="14" t="n">
        <v>3</v>
      </c>
      <c r="G24" s="16">
        <f>E24/154865.96</f>
        <v/>
      </c>
      <c r="H24" s="8" t="inlineStr">
        <is>
          <t>2040 Job Detail Report.pdf (Sage Timberline, 04/03/2026)</t>
        </is>
      </c>
    </row>
    <row r="25">
      <c r="B25" s="14" t="n">
        <v>20</v>
      </c>
      <c r="C25" s="14" t="inlineStr">
        <is>
          <t>1421RA</t>
        </is>
      </c>
      <c r="D25" s="5" t="inlineStr">
        <is>
          <t>R.A. Brown Backflow Testing</t>
        </is>
      </c>
      <c r="E25" s="15" t="n">
        <v>155</v>
      </c>
      <c r="F25" s="14" t="n">
        <v>1</v>
      </c>
      <c r="G25" s="16">
        <f>E25/154865.96</f>
        <v/>
      </c>
      <c r="H25" s="8" t="inlineStr">
        <is>
          <t>2040 Job Detail Report.pdf (Sage Timberline, 04/03/2026)</t>
        </is>
      </c>
    </row>
    <row r="26">
      <c r="B26" s="18" t="inlineStr">
        <is>
          <t>TOTAL</t>
        </is>
      </c>
      <c r="E26" s="9">
        <f>SUM(E6:E25)</f>
        <v/>
      </c>
      <c r="F26" s="23">
        <f>SUM(F6:F25)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2017-03-01</t>
        </is>
      </c>
      <c r="E6" s="5" t="inlineStr">
        <is>
          <t>Prime subcontract — Lump Sum $604,000.00</t>
        </is>
      </c>
      <c r="F6" s="5" t="inlineStr">
        <is>
          <t>Blueprint Capital</t>
        </is>
      </c>
      <c r="G6" s="15" t="n">
        <v>604000</v>
      </c>
      <c r="H6" s="14" t="inlineStr">
        <is>
          <t>Executed</t>
        </is>
      </c>
      <c r="I6" s="8" t="inlineStr">
        <is>
          <t>2040-Blueprint Capital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$+20,171.00</t>
        </is>
      </c>
      <c r="F7" s="5" t="inlineStr">
        <is>
          <t>Blueprint Capital</t>
        </is>
      </c>
      <c r="G7" s="15" t="n">
        <v>20171</v>
      </c>
      <c r="H7" s="14" t="inlineStr">
        <is>
          <t>Executed</t>
        </is>
      </c>
      <c r="I7" s="8" t="inlineStr">
        <is>
          <t>2040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01/18/19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2040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12/14/18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2040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$0 (cleared)</t>
        </is>
      </c>
      <c r="F10" s="5" t="inlineStr">
        <is>
          <t>GC</t>
        </is>
      </c>
      <c r="G10" s="15" t="n">
        <v>0</v>
      </c>
      <c r="H10" s="14" t="inlineStr">
        <is>
          <t>Cleared</t>
        </is>
      </c>
      <c r="I10" s="8" t="inlineStr">
        <is>
          <t>2040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20171</v>
      </c>
      <c r="E6" s="5" t="inlineStr">
        <is>
          <t>JDR-implied net CO impact</t>
        </is>
      </c>
      <c r="F6" s="8" t="inlineStr">
        <is>
          <t>$604,000 → $624,171</t>
        </is>
      </c>
    </row>
    <row r="7">
      <c r="B7" s="5" t="inlineStr">
        <is>
          <t>Labor</t>
        </is>
      </c>
      <c r="C7" s="5" t="inlineStr">
        <is>
          <t>100,101,110,111,112,120,130,140,141,142,150</t>
        </is>
      </c>
      <c r="D7" s="15" t="n">
        <v>-10265.75</v>
      </c>
      <c r="E7" s="5" t="inlineStr">
        <is>
          <t>Labor variance vs revised budget</t>
        </is>
      </c>
      <c r="F7" s="8" t="inlineStr">
        <is>
          <t>32 workers</t>
        </is>
      </c>
    </row>
    <row r="8">
      <c r="B8" s="5" t="inlineStr">
        <is>
          <t>Material</t>
        </is>
      </c>
      <c r="C8" s="5" t="inlineStr">
        <is>
          <t>210,211,212,220,230,240,241,242,243</t>
        </is>
      </c>
      <c r="D8" s="15" t="n">
        <v>-31881.82999999999</v>
      </c>
      <c r="E8" s="5" t="inlineStr">
        <is>
          <t>Material procurement variance</t>
        </is>
      </c>
      <c r="F8" s="8" t="inlineStr">
        <is>
          <t>20 vendors</t>
        </is>
      </c>
    </row>
    <row r="9">
      <c r="B9" s="5" t="inlineStr">
        <is>
          <t>Overhead</t>
        </is>
      </c>
      <c r="C9" s="5" t="inlineStr">
        <is>
          <t>600,601,603,607</t>
        </is>
      </c>
      <c r="D9" s="15" t="n">
        <v>-604.8000000000002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-6898.460000000006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20171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11</v>
      </c>
      <c r="D17" s="15" t="n">
        <v>-10265.75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9</v>
      </c>
      <c r="D18" s="15" t="n">
        <v>-31881.82999999999</v>
      </c>
      <c r="E18" s="5" t="inlineStr">
        <is>
          <t>20 vendors</t>
        </is>
      </c>
    </row>
    <row r="19">
      <c r="B19" s="5" t="inlineStr">
        <is>
          <t>OWP burden accrual</t>
        </is>
      </c>
      <c r="C19" s="14" t="n">
        <v>2</v>
      </c>
      <c r="D19" s="15" t="n">
        <v>-6898.460000000006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4</v>
      </c>
      <c r="D20" s="15" t="n">
        <v>-604.8000000000002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3.34%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+3.34% net</t>
        </is>
      </c>
    </row>
    <row r="8">
      <c r="B8" s="5" t="inlineStr">
        <is>
          <t>Labor % of Revenue</t>
        </is>
      </c>
      <c r="C8" s="32" t="n">
        <v>0.2350305445142437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23.5%</t>
        </is>
      </c>
    </row>
    <row r="9">
      <c r="B9" s="5" t="inlineStr">
        <is>
          <t>GL Overhead % of Revenue</t>
        </is>
      </c>
      <c r="C9" s="32" t="n">
        <v>0.1762594705617532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17.6%</t>
        </is>
      </c>
    </row>
    <row r="10">
      <c r="B10" s="5" t="inlineStr">
        <is>
          <t>Vendor Concentration (Top 5)</t>
        </is>
      </c>
      <c r="C10" s="32" t="n">
        <v>0.701614738319512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70% of AP</t>
        </is>
      </c>
    </row>
    <row r="11">
      <c r="B11" s="5" t="inlineStr">
        <is>
          <t>Retainage %</t>
        </is>
      </c>
      <c r="C11" s="32" t="n">
        <v>0</v>
      </c>
      <c r="D11" s="14" t="inlineStr">
        <is>
          <t>&lt;10%</t>
        </is>
      </c>
      <c r="E11" s="26" t="inlineStr">
        <is>
          <t>HEALTHY</t>
        </is>
      </c>
      <c r="F11" s="5" t="inlineStr">
        <is>
          <t>0.0%</t>
        </is>
      </c>
    </row>
    <row r="12">
      <c r="B12" s="5" t="inlineStr">
        <is>
          <t>Gross Margin</t>
        </is>
      </c>
      <c r="C12" s="32" t="n">
        <v>0.3519119600237754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35.2%</t>
        </is>
      </c>
    </row>
    <row r="13">
      <c r="B13" s="5" t="inlineStr">
        <is>
          <t>Labor Hrs Total</t>
        </is>
      </c>
      <c r="C13" s="32" t="n">
        <v>5454</v>
      </c>
      <c r="D13" s="14" t="inlineStr">
        <is>
          <t>varies</t>
        </is>
      </c>
      <c r="E13" s="33" t="inlineStr">
        <is>
          <t>INFO</t>
        </is>
      </c>
      <c r="F13" s="5" t="inlineStr">
        <is>
          <t>5,454 hrs, 32 workers</t>
        </is>
      </c>
    </row>
    <row r="14">
      <c r="B14" s="5" t="inlineStr">
        <is>
          <t>Worker Concentration (top 1)</t>
        </is>
      </c>
      <c r="C14" s="32" t="n">
        <v>0.1628621195452879</v>
      </c>
      <c r="D14" s="14" t="inlineStr">
        <is>
          <t>&lt;25%</t>
        </is>
      </c>
      <c r="E14" s="26" t="inlineStr">
        <is>
          <t>HEALTHY</t>
        </is>
      </c>
      <c r="F14" s="5" t="inlineStr">
        <is>
          <t>16.3% (Wennig, Johnathan M)</t>
        </is>
      </c>
    </row>
    <row r="15">
      <c r="B15" s="5" t="inlineStr">
        <is>
          <t>Rough-in Labor Share</t>
        </is>
      </c>
      <c r="C15" s="32" t="n">
        <v>0.6288503850385039</v>
      </c>
      <c r="D15" s="14" t="inlineStr">
        <is>
          <t>40-65%</t>
        </is>
      </c>
      <c r="E15" s="26" t="inlineStr">
        <is>
          <t>HEALTHY</t>
        </is>
      </c>
      <c r="F15" s="5" t="inlineStr">
        <is>
          <t>63%</t>
        </is>
      </c>
    </row>
    <row r="16">
      <c r="B16" s="5" t="inlineStr">
        <is>
          <t>Retainage Legacy</t>
        </is>
      </c>
      <c r="C16" s="14" t="inlineStr">
        <is>
          <t>CLEARED</t>
        </is>
      </c>
      <c r="D16" s="14" t="inlineStr">
        <is>
          <t>&lt;90 days post-closeout</t>
        </is>
      </c>
      <c r="E16" s="26" t="inlineStr">
        <is>
          <t>HEALTHY</t>
        </is>
      </c>
      <c r="F16" s="5" t="inlineStr">
        <is>
          <t>Cleared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0.3519119600237754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35.2%</t>
        </is>
      </c>
    </row>
    <row r="22">
      <c r="B22" s="5" t="inlineStr">
        <is>
          <t>Retainage collection</t>
        </is>
      </c>
      <c r="C22" s="14" t="inlineStr">
        <is>
          <t>N/A</t>
        </is>
      </c>
      <c r="D22" s="14" t="inlineStr">
        <is>
          <t>N/A</t>
        </is>
      </c>
      <c r="E22" s="14" t="inlineStr">
        <is>
          <t>Legacy project</t>
        </is>
      </c>
      <c r="F22" s="5" t="inlineStr">
        <is>
          <t>Closed</t>
        </is>
      </c>
    </row>
    <row r="23">
      <c r="B23" s="5" t="inlineStr">
        <is>
          <t>Unit-level economics</t>
        </is>
      </c>
      <c r="C23" s="14" t="inlineStr">
        <is>
          <t>$11,349/unit rev, $3,994/unit profit</t>
        </is>
      </c>
      <c r="D23" s="14" t="inlineStr">
        <is>
          <t>Verified</t>
        </is>
      </c>
      <c r="E23" s="14" t="inlineStr">
        <is>
          <t>55 units</t>
        </is>
      </c>
      <c r="F23" s="5" t="inlineStr">
        <is>
          <t>Multifamily New Construction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2040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2040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Roosevelt 65th (Brooklyn 65)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2040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Blueprint Capital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Brooklyn 65 LLC (Blueprint)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1222 NE 65th Street, Seattle, WA 98115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Multifamily New Construction (55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Not Wrap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Andrew Withnell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Mike Sanderson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Kyle Stenson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Blueprint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Garrett / Joe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2017-03-01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2040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2019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2040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22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55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604000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624171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20171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2040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0.03339569536423841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624171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2040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404517.7600000001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2040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219653.2399999999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2040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0.3519119600237754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0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2040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146699.25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2040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154104.17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2040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27430.2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2040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65061.2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2040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11222.94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2040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5454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2040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32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2040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26.89755225522552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40.8843766043271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1.52000361283374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3429.75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2040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531.75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2040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114.4427942794279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40.2737880454712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11348.56363636364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7354.868363636365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99.16363636363636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0.2350305445142437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0.2468941524037483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20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2040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18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2040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0.1628621195452879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0.619041070773744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27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2040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624171</v>
      </c>
      <c r="E6" s="20" t="n">
        <v>624171</v>
      </c>
      <c r="F6" s="15">
        <f>D6-E6</f>
        <v/>
      </c>
      <c r="G6" s="14">
        <f>IF(ABS(F6)&lt;=1,"TIES",IF(ABS(F6)&lt;=ABS(E6)*0.05,"WITHIN","OFF"))</f>
        <v/>
      </c>
      <c r="H6" s="34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404517.7600000001</v>
      </c>
      <c r="E7" s="20" t="n">
        <v>404517.7600000001</v>
      </c>
      <c r="F7" s="15">
        <f>D7-E7</f>
        <v/>
      </c>
      <c r="G7" s="14">
        <f>IF(ABS(F7)&lt;=1,"TIES",IF(ABS(F7)&lt;=ABS(E7)*0.05,"WITHIN","OFF"))</f>
        <v/>
      </c>
      <c r="H7" s="34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219653.2399999999</v>
      </c>
      <c r="E8" s="20" t="n">
        <v>219653.2399999999</v>
      </c>
      <c r="F8" s="15">
        <f>D8-E8</f>
        <v/>
      </c>
      <c r="G8" s="14">
        <f>IF(ABS(F8)&lt;=1,"TIES",IF(ABS(F8)&lt;=ABS(E8)*0.05,"WITHIN","OFF"))</f>
        <v/>
      </c>
      <c r="H8" s="34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624171</v>
      </c>
      <c r="E9" s="20" t="n">
        <v>624171</v>
      </c>
      <c r="F9" s="15">
        <f>D9-E9</f>
        <v/>
      </c>
      <c r="G9" s="14">
        <f>IF(ABS(F9)&lt;=1,"TIES",IF(ABS(F9)&lt;=ABS(E9)*0.05,"WITHIN","OFF"))</f>
        <v/>
      </c>
      <c r="H9" s="34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5454</v>
      </c>
      <c r="E10" s="20" t="n">
        <v>5402.25</v>
      </c>
      <c r="F10" s="15">
        <f>D10-E10</f>
        <v/>
      </c>
      <c r="G10" s="14">
        <f>IF(ABS(F10)&lt;=1,"TIES",IF(ABS(F10)&lt;=ABS(E10)*0.05,"WITHIN","OFF"))</f>
        <v/>
      </c>
      <c r="H10" s="34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0" t="n">
        <v>20171</v>
      </c>
      <c r="E11" s="20" t="n">
        <v>20171</v>
      </c>
      <c r="F11" s="15">
        <f>D11-E11</f>
        <v/>
      </c>
      <c r="G11" s="14">
        <f>IF(ABS(F11)&lt;=1,"TIES",IF(ABS(F11)&lt;=ABS(E11)*0.05,"WITHIN","OFF"))</f>
        <v/>
      </c>
      <c r="H11" s="34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32</v>
      </c>
      <c r="E12" s="24" t="n">
        <v>32</v>
      </c>
      <c r="F12" s="15">
        <f>D12-E12</f>
        <v/>
      </c>
      <c r="G12" s="14">
        <f>IF(ABS(F12)&lt;=1,"TIES",IF(ABS(F12)&lt;=ABS(E12)*0.05,"WITHIN","OFF"))</f>
        <v/>
      </c>
      <c r="H12" s="34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27</v>
      </c>
      <c r="E13" s="24" t="n">
        <v>27</v>
      </c>
      <c r="F13" s="15">
        <f>D13-E13</f>
        <v/>
      </c>
      <c r="G13" s="14">
        <f>IF(ABS(F13)&lt;=1,"TIES",IF(ABS(F13)&lt;=ABS(E13)*0.05,"WITHIN","OFF"))</f>
        <v/>
      </c>
      <c r="H13" s="34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2026-04-17T21:20:50Z</dcterms:created>
  <dcterms:modified xmlns:dcterms="http://purl.org/dc/terms/" xmlns:xsi="http://www.w3.org/2001/XMLSchema-instance" xsi:type="dcterms:W3CDTF">2026-04-17T21:20:50Z</dcterms:modified>
</cp:coreProperties>
</file>