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<sst xmlns="http://schemas.openxmlformats.org/spreadsheetml/2006/main" count="1602" uniqueCount="715">
  <si>
    <t xml:space="preserve">Job #2044 · Blueprint Track 66 Apartments (aka Roosevelt 66th, 838 NE 66th)</t>
  </si>
  <si>
    <t xml:space="preserve">Cortex JCR v2  •  Blueprint (customer 2044SH)  •  838 NE 66th Street, Seattle, WA 98115  •  Owner: Blueprint 836, LLC (self-build: developer, GC, and owner entity shared)</t>
  </si>
  <si>
    <t xml:space="preserve">PROJECT OVERVIEW</t>
  </si>
  <si>
    <t xml:space="preserve">Project Job #</t>
  </si>
  <si>
    <t xml:space="preserve">2044</t>
  </si>
  <si>
    <t xml:space="preserve">2044 Job Detail Report.pdf (Sage Timberline, 04/03/2026)</t>
  </si>
  <si>
    <t xml:space="preserve">Project Name (Sage)</t>
  </si>
  <si>
    <t xml:space="preserve">Blueprint Track 66 Apts</t>
  </si>
  <si>
    <t xml:space="preserve">Project Description</t>
  </si>
  <si>
    <t xml:space="preserve">Track 66 Apartments — 75-unit 7-story midrise multi-family (4 Type A ADA), Seattle</t>
  </si>
  <si>
    <t xml:space="preserve">OWP Project List with Schedule - UPDATED 04-01-26.xlsx + contract</t>
  </si>
  <si>
    <t xml:space="preserve">General Contractor</t>
  </si>
  <si>
    <t xml:space="preserve">Blueprint</t>
  </si>
  <si>
    <t xml:space="preserve">OWP Project List with Schedule - UPDATED 04-01-26.xlsx</t>
  </si>
  <si>
    <t xml:space="preserve">Customer Code (Sage)</t>
  </si>
  <si>
    <t xml:space="preserve">2044SH</t>
  </si>
  <si>
    <t xml:space="preserve">Owner / Developer</t>
  </si>
  <si>
    <t xml:space="preserve">Blueprint 836, LLC (self-build: developer, GC, and owner entity shared)</t>
  </si>
  <si>
    <t xml:space="preserve">GC PM</t>
  </si>
  <si>
    <t xml:space="preserve">Andrew Withnell</t>
  </si>
  <si>
    <t xml:space="preserve">2044-Shelter Holdings subcontract SC-03-07-6505 + Boren &amp; Spruce CO docs</t>
  </si>
  <si>
    <t xml:space="preserve">GC Superintendent</t>
  </si>
  <si>
    <t xml:space="preserve">Scott McSpadden / Stefan Fjeldsted</t>
  </si>
  <si>
    <t xml:space="preserve">GC PE</t>
  </si>
  <si>
    <t xml:space="preserve">N/A</t>
  </si>
  <si>
    <t xml:space="preserve">OWP Signatory</t>
  </si>
  <si>
    <t xml:space="preserve">Mike Donelson (OWP Dir Const / VP per signed subcontract)</t>
  </si>
  <si>
    <t xml:space="preserve">Jobsite Location</t>
  </si>
  <si>
    <t xml:space="preserve">838 NE 66th Street, Seattle, WA 98115</t>
  </si>
  <si>
    <t xml:space="preserve">Insurance</t>
  </si>
  <si>
    <t xml:space="preserve">Not Wrap</t>
  </si>
  <si>
    <t xml:space="preserve">Fixture Schedule</t>
  </si>
  <si>
    <t xml:space="preserve">634 fixtures total (656 unit + 98 retail/common)</t>
  </si>
  <si>
    <t xml:space="preserve">Submittal Table of Contents + Plumbing Scope</t>
  </si>
  <si>
    <t xml:space="preserve">Architect</t>
  </si>
  <si>
    <t xml:space="preserve">TBD — per Plans: Franklin Engineering MEP; Blueprint design-build</t>
  </si>
  <si>
    <t xml:space="preserve">Track 66 Apartments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</si>
  <si>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</si>
  <si>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</si>
  <si>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</si>
  <si>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</si>
  <si>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</si>
  <si>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2017-09 start → 2019-08 (24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</si>
  <si>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</si>
  <si>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</si>
  <si>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</si>
  <si>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</si>
  <si>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</si>
  <si>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$832,900.00 + ($22,364.00) COs (2.69%)</t>
  </si>
  <si>
    <t xml:space="preserve">31.1% margin</t>
  </si>
  <si>
    <t xml:space="preserve">68.9% of revenue</t>
  </si>
  <si>
    <t xml:space="preserve">24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</si>
  <si>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</si>
  <si>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</si>
  <si>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75-unit mixed-use (102 Type B + 6 Type A/ADA) at 838 NE 66th Street, Seattle, WA 98115, 7-story midrise multi-family (Type 1A podium + Type VA above).</t>
  </si>
  <si>
    <t xml:space="preserve">GC: Blueprint (2044SH); Owner: Blueprint 836, LLC (self-build: developer, GC, and owner entity shared).</t>
  </si>
  <si>
    <t xml:space="preserve">Insurance: Not Wrap (retail-adjacent residential).</t>
  </si>
  <si>
    <t xml:space="preserve">Project team: Andrew Withnell (GC PM) · Scott McSpadden / Stefan Fjeldsted (GC Sup) · TBD — per Plans: Franklin Engineering MEP; Blueprint design-build (Architect) · Mike Donelson (OWP Dir Const / VP per signed subcontract) (OWP signatory).</t>
  </si>
  <si>
    <t xml:space="preserve">SOURCES</t>
  </si>
  <si>
    <t xml:space="preserve">Canonical financial source: 2044 Job Detail Report.pdf (Sage Timberline, 04/03/2026)</t>
  </si>
  <si>
    <t xml:space="preserve">Job totals (JDR footer): Revenue $855,264.00 / Expenses $588,885.61 / Net $266,378.39 / Retainage $0.00</t>
  </si>
  <si>
    <t xml:space="preserve">Source breakdown (derived): PR $334,449.89 · AP $216,974.53 · GL $37,461.19</t>
  </si>
  <si>
    <t xml:space="preserve">Contract: Lump Sum $832,900.00 → $855,264.00</t>
  </si>
  <si>
    <t xml:space="preserve">Change Orders (executed): $22,364.00 net across 8 COs (CO log in enriched meta)</t>
  </si>
  <si>
    <t xml:space="preserve">Project Team: Andrew Withnell (PM) · Scott McSpadden / Stefan Fjeldsted (Sup) · TBD — per Plans: Franklin Engineering MEP; Blueprint design-build · Blueprint 836, LLC (self-build: developer, GC, and owner entity shared)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</si>
  <si>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</si>
  <si>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</si>
  <si>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</si>
  <si>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</si>
  <si>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</si>
  <si>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</si>
  <si>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</si>
  <si>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</si>
  <si>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</si>
  <si>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</si>
  <si>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</si>
  <si>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</si>
  <si>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</si>
  <si>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27 cost codes from JDR. Contract $832,900 → $855,264.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</si>
  <si>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</si>
  <si>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</si>
  <si>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</si>
  <si>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</si>
  <si>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</si>
  <si>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</si>
  <si>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</si>
  <si>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</si>
  <si>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</si>
  <si>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</si>
  <si>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</si>
  <si>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</si>
  <si>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</si>
  <si>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</si>
  <si>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</si>
  <si>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</si>
  <si>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</si>
  <si>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</si>
  <si>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</si>
  <si>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</si>
  <si>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</si>
  <si>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</si>
  <si>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</si>
  <si>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</si>
  <si>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</si>
  <si>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</si>
  <si>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</si>
  <si>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</si>
  <si>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</si>
  <si>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</si>
  <si>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</si>
  <si>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</si>
  <si>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</si>
  <si>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</si>
  <si>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</si>
  <si>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</si>
  <si>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</si>
  <si>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</si>
  <si>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</si>
  <si>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</si>
  <si>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</si>
  <si>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</si>
  <si>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</si>
  <si>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</si>
  <si>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</si>
  <si>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</si>
  <si>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</si>
  <si>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</si>
  <si>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</si>
  <si>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</si>
  <si>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</si>
  <si>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</si>
  <si>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</si>
  <si>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</si>
  <si>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</si>
  <si>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</si>
  <si>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</si>
  <si>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</si>
  <si>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</si>
  <si>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</si>
  <si>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</si>
  <si>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</si>
  <si>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</si>
  <si>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</si>
  <si>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</si>
  <si>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</si>
  <si>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</si>
  <si>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</si>
  <si>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</si>
  <si>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</si>
  <si>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</si>
  <si>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</si>
  <si>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100,101,110,111,112,120,130,140,141,142</t>
  </si>
  <si>
    <t xml:space="preserve">Material</t>
  </si>
  <si>
    <t xml:space="preserve">210,211,212,220,230,240,241,242,243</t>
  </si>
  <si>
    <t xml:space="preserve">Overhead</t>
  </si>
  <si>
    <t xml:space="preserve">600,601,602,603,607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</si>
  <si>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</si>
  <si>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</si>
  <si>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</si>
  <si>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</si>
  <si>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</si>
  <si>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</si>
  <si>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</si>
  <si>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</si>
  <si>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1231KS</t>
  </si>
  <si>
    <t xml:space="preserve">Keller Supply Company</t>
  </si>
  <si>
    <t xml:space="preserve">Plumbing / Supplies</t>
  </si>
  <si>
    <t xml:space="preserve">1380RS</t>
  </si>
  <si>
    <t xml:space="preserve">Rosen Supply Kirkland</t>
  </si>
  <si>
    <t xml:space="preserve">7230BB</t>
  </si>
  <si>
    <t xml:space="preserve">Best Bath Systems</t>
  </si>
  <si>
    <t xml:space="preserve">Uncategorized</t>
  </si>
  <si>
    <t xml:space="preserve">1625FE</t>
  </si>
  <si>
    <t xml:space="preserve">Franklin Engineering</t>
  </si>
  <si>
    <t xml:space="preserve">Engineering (601)</t>
  </si>
  <si>
    <t xml:space="preserve">1130CS</t>
  </si>
  <si>
    <t xml:space="preserve">Consolidated Supply Co.</t>
  </si>
  <si>
    <t xml:space="preserve">1234CO</t>
  </si>
  <si>
    <t xml:space="preserve">Capital One Credit Card</t>
  </si>
  <si>
    <t xml:space="preserve">Credit Card (mixed)</t>
  </si>
  <si>
    <t xml:space="preserve">1175FE</t>
  </si>
  <si>
    <t xml:space="preserve">Ferguson Enterprises, Inc. #3007</t>
  </si>
  <si>
    <t xml:space="preserve">5560CH</t>
  </si>
  <si>
    <t xml:space="preserve">California Hydronics Corp</t>
  </si>
  <si>
    <t xml:space="preserve">3129MR</t>
  </si>
  <si>
    <t xml:space="preserve">Mechanical Resource Services, Inc.</t>
  </si>
  <si>
    <t xml:space="preserve">2044RS</t>
  </si>
  <si>
    <t xml:space="preserve">Rosen Supply Company, Inc. $66th Apts</t>
  </si>
  <si>
    <t xml:space="preserve">8056MS</t>
  </si>
  <si>
    <t xml:space="preserve">Mechanical Service &amp; Integration LLC</t>
  </si>
  <si>
    <t xml:space="preserve">2713AR</t>
  </si>
  <si>
    <t xml:space="preserve">Ahern Rentals</t>
  </si>
  <si>
    <t xml:space="preserve">3612MS</t>
  </si>
  <si>
    <t xml:space="preserve">Mechanical Sales, Inc.</t>
  </si>
  <si>
    <t xml:space="preserve">2044CS</t>
  </si>
  <si>
    <t xml:space="preserve">Consolidated Supply Co. $66th Apts</t>
  </si>
  <si>
    <t xml:space="preserve">1288DR</t>
  </si>
  <si>
    <t xml:space="preserve">DRSi</t>
  </si>
  <si>
    <t xml:space="preserve">1641AR</t>
  </si>
  <si>
    <t xml:space="preserve">A.R. Brown Backflow Testing</t>
  </si>
  <si>
    <t xml:space="preserve">Testing subcontractor</t>
  </si>
  <si>
    <t xml:space="preserve">1978FC</t>
  </si>
  <si>
    <t xml:space="preserve">Fastenal Company</t>
  </si>
  <si>
    <t xml:space="preserve">Crew &amp; Labor — Worker Roster</t>
  </si>
  <si>
    <t xml:space="preserve">All 24 unique payroll workers. OWP signatory: Mike Donelson (OWP Dir Const / VP per signed subcontract).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</si>
  <si>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</si>
  <si>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</si>
  <si>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</si>
  <si>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</si>
  <si>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</si>
  <si>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</si>
  <si>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HO14</t>
  </si>
  <si>
    <t xml:space="preserve">Holmes, Anthony R</t>
  </si>
  <si>
    <t xml:space="preserve">TA96</t>
  </si>
  <si>
    <t xml:space="preserve">Taylor, Evan R</t>
  </si>
  <si>
    <t xml:space="preserve">WE55</t>
  </si>
  <si>
    <t xml:space="preserve">Wennig, Johnathan M</t>
  </si>
  <si>
    <t xml:space="preserve">LE17</t>
  </si>
  <si>
    <t xml:space="preserve">Lee, Ha Nul</t>
  </si>
  <si>
    <t xml:space="preserve">ME52</t>
  </si>
  <si>
    <t xml:space="preserve">Mendoza, Edgar E</t>
  </si>
  <si>
    <t xml:space="preserve">LO58</t>
  </si>
  <si>
    <t xml:space="preserve">Lopez Reyes, Boris O</t>
  </si>
  <si>
    <t xml:space="preserve">MC09</t>
  </si>
  <si>
    <t xml:space="preserve">McCabe, Thomas C</t>
  </si>
  <si>
    <t xml:space="preserve">KI55</t>
  </si>
  <si>
    <t xml:space="preserve">Kinssies, Jr, John E</t>
  </si>
  <si>
    <t xml:space="preserve">EL33</t>
  </si>
  <si>
    <t xml:space="preserve">Eliassen, Cory H</t>
  </si>
  <si>
    <t xml:space="preserve">TR60</t>
  </si>
  <si>
    <t xml:space="preserve">Trower-Kelly, Fidel D</t>
  </si>
  <si>
    <t xml:space="preserve">VA98</t>
  </si>
  <si>
    <t xml:space="preserve">Vazquez Popoca, Jose N</t>
  </si>
  <si>
    <t xml:space="preserve">SE64</t>
  </si>
  <si>
    <t xml:space="preserve">Sepulveda Gonzalez, Alfredo</t>
  </si>
  <si>
    <t xml:space="preserve">CR87</t>
  </si>
  <si>
    <t xml:space="preserve">Cruz Reyes, Jose</t>
  </si>
  <si>
    <t xml:space="preserve">HU06</t>
  </si>
  <si>
    <t xml:space="preserve">Hubbard, Robert W</t>
  </si>
  <si>
    <t xml:space="preserve">WA35</t>
  </si>
  <si>
    <t xml:space="preserve">Waites, Thaddeus Z</t>
  </si>
  <si>
    <t xml:space="preserve">AN14</t>
  </si>
  <si>
    <t xml:space="preserve">Anderson, Richard P</t>
  </si>
  <si>
    <t xml:space="preserve">BA70</t>
  </si>
  <si>
    <t xml:space="preserve">Barnhart, Joseph N</t>
  </si>
  <si>
    <t xml:space="preserve">MU70</t>
  </si>
  <si>
    <t xml:space="preserve">Murphy, Darray E</t>
  </si>
  <si>
    <t xml:space="preserve">GE69</t>
  </si>
  <si>
    <t xml:space="preserve">Gerard, Jeffrey S</t>
  </si>
  <si>
    <t xml:space="preserve">SA54</t>
  </si>
  <si>
    <t xml:space="preserve">Sanders, Allen O</t>
  </si>
  <si>
    <t xml:space="preserve">DO56</t>
  </si>
  <si>
    <t xml:space="preserve">Donelson, Richard T</t>
  </si>
  <si>
    <t xml:space="preserve">RO06</t>
  </si>
  <si>
    <t xml:space="preserve">Roberts, Lake A</t>
  </si>
  <si>
    <t xml:space="preserve">ST02</t>
  </si>
  <si>
    <t xml:space="preserve">Stahlschmidt, John P</t>
  </si>
  <si>
    <t xml:space="preserve">GA70</t>
  </si>
  <si>
    <t xml:space="preserve">Garcia, Jordan X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</si>
  <si>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</si>
  <si>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</si>
  <si>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</si>
  <si>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</si>
  <si>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</si>
  <si>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</si>
  <si>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</si>
  <si>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</si>
  <si>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</si>
  <si>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</si>
  <si>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</si>
  <si>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</si>
  <si>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</si>
  <si>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</si>
  <si>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</si>
  <si>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HO14 Holmes, Anthony R (1464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</si>
  <si>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</si>
  <si>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</si>
  <si>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</si>
  <si>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</si>
  <si>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</si>
  <si>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</si>
  <si>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</si>
  <si>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</si>
  <si>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</si>
  <si>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</si>
  <si>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75 units (634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</si>
  <si>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</si>
  <si>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</si>
  <si>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</si>
  <si>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</si>
  <si>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</si>
  <si>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</si>
  <si>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</si>
  <si>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</si>
  <si>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</si>
  <si>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</si>
  <si>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</si>
  <si>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</si>
  <si>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</si>
  <si>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</si>
  <si>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</si>
  <si>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</si>
  <si>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</si>
  <si>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</si>
  <si>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</si>
  <si>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</si>
  <si>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</si>
  <si>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</si>
  <si>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(75)</t>
  </si>
  <si>
    <t xml:space="preserve">USD</t>
  </si>
  <si>
    <t xml:space="preserve">75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</si>
  <si>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</si>
  <si>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</si>
  <si>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</si>
  <si>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</si>
  <si>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</si>
  <si>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</si>
  <si>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634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</si>
  <si>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</si>
  <si>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</si>
  <si>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</si>
  <si>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</si>
  <si>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</si>
  <si>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</si>
  <si>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</si>
  <si>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</si>
  <si>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</si>
  <si>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2017-08-03</t>
  </si>
  <si>
    <t xml:space="preserve">Lump Sum Subcontract</t>
  </si>
  <si>
    <t xml:space="preserve">Closed</t>
  </si>
  <si>
    <t xml:space="preserve">Track 66 Apartments plumbing (75 units, 7 stories) — per Div 22</t>
  </si>
  <si>
    <t xml:space="preserve">CO-NET</t>
  </si>
  <si>
    <t xml:space="preserve">—</t>
  </si>
  <si>
    <t xml:space="preserve">Change Orders (executed, 8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</si>
  <si>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</si>
  <si>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</si>
  <si>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</si>
  <si>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</si>
  <si>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133 invoices to Blueprint. Retainage $0.00.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</si>
  <si>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</si>
  <si>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</si>
  <si>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</si>
  <si>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</si>
  <si>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559</t>
  </si>
  <si>
    <t xml:space="preserve">01/18/19</t>
  </si>
  <si>
    <t xml:space="preserve">566</t>
  </si>
  <si>
    <t xml:space="preserve">02/20/19</t>
  </si>
  <si>
    <t xml:space="preserve">593</t>
  </si>
  <si>
    <t xml:space="preserve">02/21/18</t>
  </si>
  <si>
    <t xml:space="preserve">431</t>
  </si>
  <si>
    <t xml:space="preserve">03/20/18</t>
  </si>
  <si>
    <t xml:space="preserve">432</t>
  </si>
  <si>
    <t xml:space="preserve">448</t>
  </si>
  <si>
    <t xml:space="preserve">502</t>
  </si>
  <si>
    <t xml:space="preserve">05/18/18</t>
  </si>
  <si>
    <t xml:space="preserve">508</t>
  </si>
  <si>
    <t xml:space="preserve">05/20/19</t>
  </si>
  <si>
    <t xml:space="preserve">613</t>
  </si>
  <si>
    <t xml:space="preserve">06/19/19</t>
  </si>
  <si>
    <t xml:space="preserve">07/19/19</t>
  </si>
  <si>
    <t xml:space="preserve">525</t>
  </si>
  <si>
    <t xml:space="preserve">07/20/18</t>
  </si>
  <si>
    <t xml:space="preserve">590</t>
  </si>
  <si>
    <t xml:space="preserve">08/20/18</t>
  </si>
  <si>
    <t xml:space="preserve">753</t>
  </si>
  <si>
    <t xml:space="preserve">08/20/19</t>
  </si>
  <si>
    <t xml:space="preserve">756</t>
  </si>
  <si>
    <t xml:space="preserve">757</t>
  </si>
  <si>
    <t xml:space="preserve">473</t>
  </si>
  <si>
    <t xml:space="preserve">09/19/18</t>
  </si>
  <si>
    <t xml:space="preserve">528</t>
  </si>
  <si>
    <t xml:space="preserve">10/19/18</t>
  </si>
  <si>
    <t xml:space="preserve">353</t>
  </si>
  <si>
    <t xml:space="preserve">12/14/18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</si>
  <si>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</si>
  <si>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</si>
  <si>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</si>
  <si>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</si>
  <si>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</si>
  <si>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</si>
  <si>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</si>
  <si>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</si>
  <si>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$266,378.39 on $855,264.00 revenue = 31.1% gross margin.</t>
  </si>
  <si>
    <t xml:space="preserve">Verified</t>
  </si>
  <si>
    <t xml:space="preserve">CONTRACT CHANGE</t>
  </si>
  <si>
    <t xml:space="preserve">Original $832,900.00 → final $855,264.00 = $+22,364.00 net (2.69%) across 8 executed COs.</t>
  </si>
  <si>
    <t xml:space="preserve">2044 Job Detail Report.pdf (Sage Timberline, 04/03/2026) + CO log</t>
  </si>
  <si>
    <t xml:space="preserve">LABOR PROFILE</t>
  </si>
  <si>
    <t xml:space="preserve">Labor cost $219,024.35 (25.6% of rev) across 7,723 hrs and 24 workers. Blended wage $28.36/hr.</t>
  </si>
  <si>
    <t xml:space="preserve">VENDOR CONCENTRATION</t>
  </si>
  <si>
    <t xml:space="preserve">Top 5 AP vendors: ~$188,610.42 (87% of AP). Top vendor: Keller Supply Company ($59,482.56).</t>
  </si>
  <si>
    <t xml:space="preserve">RETAINAGE</t>
  </si>
  <si>
    <t xml:space="preserve">Retainage $0.00 — cleared.</t>
  </si>
  <si>
    <t xml:space="preserve">ROUGH-IN SHARE</t>
  </si>
  <si>
    <t xml:space="preserve">Code 120 Roughin Labor = 5,295 hrs (69% of labor hours).</t>
  </si>
  <si>
    <t xml:space="preserve">TOP COST CODE</t>
  </si>
  <si>
    <t xml:space="preserve">Largest actual cost: 120 Roughin Labor = $150,429.23</t>
  </si>
  <si>
    <t xml:space="preserve">WORKER CONCENTRATION</t>
  </si>
  <si>
    <t xml:space="preserve">Top worker Holmes, Anthony R = 1,464 hrs (19% of total).</t>
  </si>
  <si>
    <t xml:space="preserve">INSURANCE</t>
  </si>
  <si>
    <t xml:space="preserve">Not Wrap — retail-adjacent mixed-use.</t>
  </si>
  <si>
    <t xml:space="preserve">SCOPE CONTEXT</t>
  </si>
  <si>
    <t xml:space="preserve">Track 66 Apartments — 75-unit 7-story midrise (68 standard + 4 Type A ADA) + P1/P2 parking at 838 NE 66th Street, Seattle, WA 98115.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</si>
  <si>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</si>
  <si>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</si>
  <si>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</si>
  <si>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</si>
  <si>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</si>
  <si>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</si>
  <si>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</si>
  <si>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</si>
  <si>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</si>
  <si>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</si>
  <si>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</si>
  <si>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</si>
  <si>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Blueprint Track 66 Apartments (aka Roosevelt 66th, 838 NE 66th)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</si>
  <si>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</si>
  <si>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</si>
  <si>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</si>
  <si>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</si>
  <si>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</si>
  <si>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</si>
  <si>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</si>
  <si>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Mid-rise multi-family residential (urban infill): 68 standard + 7 Type A ADA units + common amenity (bike room, trash, coffee bar). Per Job Info xlsx: 75 units; per Schedule sheet: 78 (Job Ticket confirms 75 by fixture count).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</si>
  <si>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</si>
  <si>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</si>
  <si>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</si>
  <si>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</si>
  <si>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</si>
  <si>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</si>
  <si>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</si>
  <si>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</si>
  <si>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</si>
  <si>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</si>
  <si>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</si>
  <si>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2017-09</t>
  </si>
  <si>
    <t xml:space="preserve">Work End</t>
  </si>
  <si>
    <t xml:space="preserve">end_date</t>
  </si>
  <si>
    <t xml:space="preserve">2019-08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</si>
  <si>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</si>
  <si>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</si>
  <si>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</si>
  <si>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</si>
  <si>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</si>
  <si>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</si>
  <si>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</si>
  <si>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</si>
  <si>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</si>
  <si>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</si>
  <si>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</si>
  <si>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</si>
  <si>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</si>
  <si>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</si>
  <si>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</si>
  <si>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8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</si>
  <si>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</si>
  <si>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</si>
  <si>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</si>
  <si>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</si>
  <si>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</si>
  <si>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</si>
  <si>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</si>
  <si>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</si>
  <si>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</si>
  <si>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</si>
  <si>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</si>
  <si>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</si>
  <si>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</si>
  <si>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</si>
  <si>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</si>
  <si>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</si>
  <si>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</si>
  <si>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</si>
  <si>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</si>
  <si>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</si>
  <si>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</si>
  <si>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</si>
  <si>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</si>
  <si>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</si>
  <si>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</si>
  <si>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</si>
  <si>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</si>
  <si>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</si>
  <si>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</si>
  <si>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</si>
  <si>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</si>
  <si>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</si>
  <si>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</si>
  <si>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</si>
  <si>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</si>
  <si>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</si>
  <si>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</si>
  <si>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</si>
  <si>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</si>
  <si>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</si>
  <si>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</si>
  <si>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</si>
  <si>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</si>
  <si>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</si>
  <si>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</si>
  <si>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</si>
  <si>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</si>
  <si>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</si>
  <si>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</si>
  <si>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</si>
  <si>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</si>
  <si>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</si>
  <si>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</si>
  <si>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</si>
  <si>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</si>
  <si>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</si>
  <si>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</si>
  <si>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</si>
  <si>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</si>
  <si>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</si>
  <si>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</si>
  <si>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</si>
  <si>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</si>
  <si>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</si>
  <si>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</si>
  <si>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</si>
  <si>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</si>
  <si>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</si>
  <si>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</si>
  <si>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</si>
  <si>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</si>
  <si>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</si>
  <si>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</si>
  <si>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</si>
  <si>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</si>
  <si>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</si>
  <si>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</si>
  <si>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</si>
  <si>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</si>
  <si>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</si>
  <si>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</si>
  <si>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</si>
  <si>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</si>
  <si>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</si>
  <si>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</si>
  <si>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</si>
  <si>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</si>
  <si>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</si>
  <si>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</si>
  <si>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</si>
  <si>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</si>
  <si>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</si>
  <si>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</si>
  <si>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</si>
  <si>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</si>
  <si>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</si>
  <si>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8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</si>
  <si>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</si>
  <si>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</si>
  <si>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</si>
  <si>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</si>
  <si>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</si>
  <si>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</si>
  <si>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$832,900.00</t>
  </si>
  <si>
    <t xml:space="preserve">CO-01</t>
  </si>
  <si>
    <t xml:space="preserve">Change Order</t>
  </si>
  <si>
    <t xml:space="preserve">Delete 2 Common Area Baths (credit)</t>
  </si>
  <si>
    <t xml:space="preserve">GDrive CO 1</t>
  </si>
  <si>
    <t xml:space="preserve">CO-02</t>
  </si>
  <si>
    <t xml:space="preserve">Remove kitchen sinks from scope (credit — kitchen sinks by others)</t>
  </si>
  <si>
    <t xml:space="preserve">GDrive CO 2</t>
  </si>
  <si>
    <t xml:space="preserve">CO-03</t>
  </si>
  <si>
    <t xml:space="preserve">Best Bath Shower Pans &amp; Stalls (upgrade from base)</t>
  </si>
  <si>
    <t xml:space="preserve">GDrive CO 3</t>
  </si>
  <si>
    <t xml:space="preserve">CO-04</t>
  </si>
  <si>
    <t xml:space="preserve">Matte Black Delta Trinsic Fixtures (upgrade)</t>
  </si>
  <si>
    <t xml:space="preserve">GDrive CO 4</t>
  </si>
  <si>
    <t xml:space="preserve">CO-05</t>
  </si>
  <si>
    <t xml:space="preserve">Supply loose drains, cast iron in bathroom dropped lids (added scope)</t>
  </si>
  <si>
    <t xml:space="preserve">GDrive CO 5</t>
  </si>
  <si>
    <t xml:space="preserve">CO-06</t>
  </si>
  <si>
    <t xml:space="preserve">Amenity Lav Upgrade (common area lav/faucet change)</t>
  </si>
  <si>
    <t xml:space="preserve">GDrive CO 6</t>
  </si>
  <si>
    <t xml:space="preserve">CO-07</t>
  </si>
  <si>
    <t xml:space="preserve">Canopy Drain (entrance canopy with piping within canopy)</t>
  </si>
  <si>
    <t xml:space="preserve">GDrive CO 7</t>
  </si>
  <si>
    <t xml:space="preserve">CO-08</t>
  </si>
  <si>
    <t xml:space="preserve">Add Sink L7 (L7 Kitchen Faucet added)</t>
  </si>
  <si>
    <t xml:space="preserve">GDrive CO 8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</si>
  <si>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</si>
  <si>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</si>
  <si>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</si>
  <si>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</si>
  <si>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</si>
  <si>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</si>
  <si>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</si>
  <si>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</si>
  <si>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</si>
  <si>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$0.00 (cleared)</t>
  </si>
  <si>
    <t xml:space="preserve">Cleared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</si>
  <si>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</si>
  <si>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</si>
  <si>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</si>
  <si>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</si>
  <si>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</si>
  <si>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</si>
  <si>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</si>
  <si>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</si>
  <si>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$832,900 → $855,264 (8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</si>
  <si>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</si>
  <si>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</si>
  <si>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</si>
  <si>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</si>
  <si>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17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</si>
  <si>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</si>
  <si>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</si>
  <si>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</si>
  <si>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</si>
  <si>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</si>
  <si>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</si>
  <si>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</si>
  <si>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</si>
  <si>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</si>
  <si>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</si>
  <si>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</si>
  <si>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</si>
  <si>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</si>
  <si>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</si>
  <si>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</si>
  <si>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</si>
  <si>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</si>
  <si>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</si>
  <si>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</si>
  <si>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</si>
  <si>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</si>
  <si>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</si>
  <si>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</si>
  <si>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</si>
  <si>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</si>
  <si>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</si>
  <si>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</si>
  <si>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2.69%</t>
  </si>
  <si>
    <t xml:space="preserve">±10%</t>
  </si>
  <si>
    <t xml:space="preserve">HEALTHY</t>
  </si>
  <si>
    <t xml:space="preserve">+2.69% net (8 COs)</t>
  </si>
  <si>
    <t xml:space="preserve">&lt;30%</t>
  </si>
  <si>
    <t xml:space="preserve">25.6%</t>
  </si>
  <si>
    <t xml:space="preserve">GL Overhead % of Revenue</t>
  </si>
  <si>
    <t xml:space="preserve">&lt;5%</t>
  </si>
  <si>
    <t xml:space="preserve">4.4%</t>
  </si>
  <si>
    <t xml:space="preserve">Vendor Concentration (Top 5)</t>
  </si>
  <si>
    <t xml:space="preserve">&lt;95%</t>
  </si>
  <si>
    <t xml:space="preserve">Top 5 = 87% of AP</t>
  </si>
  <si>
    <t xml:space="preserve">Retainage %</t>
  </si>
  <si>
    <t xml:space="preserve">&lt;10%</t>
  </si>
  <si>
    <t xml:space="preserve">0.0%</t>
  </si>
  <si>
    <t xml:space="preserve">&gt;30%</t>
  </si>
  <si>
    <t xml:space="preserve">31.1%</t>
  </si>
  <si>
    <t xml:space="preserve">Labor Hrs Total</t>
  </si>
  <si>
    <t xml:space="preserve">varies</t>
  </si>
  <si>
    <t xml:space="preserve">INFO</t>
  </si>
  <si>
    <t xml:space="preserve">7,723 hrs, 24 workers</t>
  </si>
  <si>
    <t xml:space="preserve">Worker Concentration (top 1)</t>
  </si>
  <si>
    <t xml:space="preserve">&lt;25%</t>
  </si>
  <si>
    <t xml:space="preserve">19.0% (Holmes, Anthony R)</t>
  </si>
  <si>
    <t xml:space="preserve">Rough-in Labor Share</t>
  </si>
  <si>
    <t xml:space="preserve">40-65%</t>
  </si>
  <si>
    <t xml:space="preserve">WATCH</t>
  </si>
  <si>
    <t xml:space="preserve">69%</t>
  </si>
  <si>
    <t xml:space="preserve">Retainage Legacy</t>
  </si>
  <si>
    <t xml:space="preserve">CLEARED</t>
  </si>
  <si>
    <t xml:space="preserve">&lt;90 days post-closeout</t>
  </si>
  <si>
    <t xml:space="preserve">$0.00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</si>
  <si>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</si>
  <si>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</si>
  <si>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</si>
  <si>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</si>
  <si>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</si>
  <si>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</si>
  <si>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</si>
  <si>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</si>
  <si>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Unit-level economics</t>
  </si>
  <si>
    <t xml:space="preserve">$11,404/unit rev, $3,552/unit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</si>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</sst>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75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855264</v>
      </c>
      <c r="D25" s="9" t="n">
        <v>266378.39</v>
      </c>
      <c r="F25" s="9" t="n">
        <v>588885.61</v>
      </c>
      <c r="H25" s="10" t="n">
        <v>7722.75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6750</v>
      </c>
      <c r="E6" s="15" t="n">
        <v>6750</v>
      </c>
      <c r="F6" s="9" t="n">
        <v>1590.75</v>
      </c>
      <c r="G6" s="16" t="n">
        <f aca="false">F6-E6</f>
        <v>-5159.25</v>
      </c>
      <c r="H6" s="17" t="n">
        <f aca="false">IF(E6=0,"",F6/E6)</f>
        <v>0.235666666666667</v>
      </c>
      <c r="I6" s="10" t="n">
        <v>30.5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10875</v>
      </c>
      <c r="E7" s="15" t="n">
        <v>10875</v>
      </c>
      <c r="F7" s="9" t="n">
        <v>4858</v>
      </c>
      <c r="G7" s="16" t="n">
        <f aca="false">F7-E7</f>
        <v>-6017</v>
      </c>
      <c r="H7" s="17" t="n">
        <f aca="false">IF(E7=0,"",F7/E7)</f>
        <v>0.446712643678161</v>
      </c>
      <c r="I7" s="10" t="n">
        <v>85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17585</v>
      </c>
      <c r="E8" s="15" t="n">
        <v>17585</v>
      </c>
      <c r="F8" s="9" t="n">
        <v>3411.5</v>
      </c>
      <c r="G8" s="16" t="n">
        <f aca="false">F8-E8</f>
        <v>-14173.5</v>
      </c>
      <c r="H8" s="17" t="n">
        <f aca="false">IF(E8=0,"",F8/E8)</f>
        <v>0.194000568666477</v>
      </c>
      <c r="I8" s="10" t="n">
        <v>97</v>
      </c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0</v>
      </c>
      <c r="E9" s="15" t="n">
        <v>0</v>
      </c>
      <c r="F9" s="9" t="n">
        <v>200</v>
      </c>
      <c r="G9" s="16" t="n">
        <f aca="false">F9-E9</f>
        <v>200</v>
      </c>
      <c r="H9" s="17" t="str">
        <f aca="false">IF(E9=0,"",F9/E9)</f>
        <v/>
      </c>
      <c r="I9" s="10" t="n">
        <v>4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6850</v>
      </c>
      <c r="E10" s="15" t="n">
        <v>6850</v>
      </c>
      <c r="F10" s="9" t="n">
        <v>3108.5</v>
      </c>
      <c r="G10" s="16" t="n">
        <f aca="false">F10-E10</f>
        <v>-3741.5</v>
      </c>
      <c r="H10" s="17" t="n">
        <f aca="false">IF(E10=0,"",F10/E10)</f>
        <v>0.453795620437956</v>
      </c>
      <c r="I10" s="10" t="n">
        <v>94.5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96130</v>
      </c>
      <c r="E11" s="15" t="n">
        <v>98690</v>
      </c>
      <c r="F11" s="9" t="n">
        <v>150429.23</v>
      </c>
      <c r="G11" s="16" t="n">
        <f aca="false">F11-E11</f>
        <v>51739.23</v>
      </c>
      <c r="H11" s="17" t="n">
        <f aca="false">IF(E11=0,"",F11/E11)</f>
        <v>1.52426010740703</v>
      </c>
      <c r="I11" s="10" t="n">
        <v>5294.75</v>
      </c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23100</v>
      </c>
      <c r="E12" s="15" t="n">
        <v>22970</v>
      </c>
      <c r="F12" s="9" t="n">
        <v>17219.5</v>
      </c>
      <c r="G12" s="16" t="n">
        <f aca="false">F12-E12</f>
        <v>-5750.5</v>
      </c>
      <c r="H12" s="17" t="n">
        <f aca="false">IF(E12=0,"",F12/E12)</f>
        <v>0.749651719634306</v>
      </c>
      <c r="I12" s="10" t="n">
        <v>741.5</v>
      </c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6000</v>
      </c>
      <c r="E13" s="15" t="n">
        <v>6000</v>
      </c>
      <c r="F13" s="9" t="n">
        <v>4551.5</v>
      </c>
      <c r="G13" s="16" t="n">
        <f aca="false">F13-E13</f>
        <v>-1448.5</v>
      </c>
      <c r="H13" s="17" t="n">
        <f aca="false">IF(E13=0,"",F13/E13)</f>
        <v>0.758583333333333</v>
      </c>
      <c r="I13" s="10" t="n">
        <v>135.5</v>
      </c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25485</v>
      </c>
      <c r="E14" s="15" t="n">
        <v>25485</v>
      </c>
      <c r="F14" s="9" t="n">
        <v>23970.37</v>
      </c>
      <c r="G14" s="16" t="n">
        <f aca="false">F14-E14</f>
        <v>-1514.63</v>
      </c>
      <c r="H14" s="17" t="n">
        <f aca="false">IF(E14=0,"",F14/E14)</f>
        <v>0.940567784971552</v>
      </c>
      <c r="I14" s="10" t="n">
        <v>991</v>
      </c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13400</v>
      </c>
      <c r="E15" s="15" t="n">
        <v>13400</v>
      </c>
      <c r="F15" s="9" t="n">
        <v>9685</v>
      </c>
      <c r="G15" s="16" t="n">
        <f aca="false">F15-E15</f>
        <v>-3715</v>
      </c>
      <c r="H15" s="17" t="n">
        <f aca="false">IF(E15=0,"",F15/E15)</f>
        <v>0.722761194029851</v>
      </c>
      <c r="I15" s="10" t="n">
        <v>249</v>
      </c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16585</v>
      </c>
      <c r="E16" s="15" t="n">
        <v>16585</v>
      </c>
      <c r="F16" s="9" t="n">
        <v>1317.75</v>
      </c>
      <c r="G16" s="16" t="n">
        <f aca="false">F16-E16</f>
        <v>-15267.25</v>
      </c>
      <c r="H16" s="17" t="n">
        <f aca="false">IF(E16=0,"",F16/E16)</f>
        <v>0.079454326198372</v>
      </c>
      <c r="I16" s="11"/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0</v>
      </c>
      <c r="E17" s="15" t="n">
        <v>0</v>
      </c>
      <c r="F17" s="9" t="n">
        <v>2172.87</v>
      </c>
      <c r="G17" s="16" t="n">
        <f aca="false">F17-E17</f>
        <v>2172.87</v>
      </c>
      <c r="H17" s="17" t="str">
        <f aca="false">IF(E17=0,"",F17/E17)</f>
        <v/>
      </c>
      <c r="I17" s="11"/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8220</v>
      </c>
      <c r="E18" s="15" t="n">
        <v>8220</v>
      </c>
      <c r="F18" s="9" t="n">
        <v>5102.82</v>
      </c>
      <c r="G18" s="16" t="n">
        <f aca="false">F18-E18</f>
        <v>-3117.18</v>
      </c>
      <c r="H18" s="17" t="n">
        <f aca="false">IF(E18=0,"",F18/E18)</f>
        <v>0.62078102189781</v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44200</v>
      </c>
      <c r="E19" s="15" t="n">
        <v>45350</v>
      </c>
      <c r="F19" s="9" t="n">
        <v>42382.13</v>
      </c>
      <c r="G19" s="16" t="n">
        <f aca="false">F19-E19</f>
        <v>-2967.87</v>
      </c>
      <c r="H19" s="17" t="n">
        <f aca="false">IF(E19=0,"",F19/E19)</f>
        <v>0.934556339581036</v>
      </c>
      <c r="I19" s="11"/>
      <c r="J19" s="11" t="s">
        <v>5</v>
      </c>
    </row>
    <row r="20" customFormat="false" ht="15" hidden="false" customHeight="false" outlineLevel="0" collapsed="false">
      <c r="B20" s="11" t="s">
        <v>116</v>
      </c>
      <c r="C20" s="11" t="s">
        <v>117</v>
      </c>
      <c r="D20" s="15" t="n">
        <v>147457</v>
      </c>
      <c r="E20" s="15" t="n">
        <v>163316</v>
      </c>
      <c r="F20" s="9" t="n">
        <v>133693.08</v>
      </c>
      <c r="G20" s="16" t="n">
        <f aca="false">F20-E20</f>
        <v>-29622.92</v>
      </c>
      <c r="H20" s="17" t="n">
        <f aca="false">IF(E20=0,"",F20/E20)</f>
        <v>0.818615934752259</v>
      </c>
      <c r="I20" s="11"/>
      <c r="J20" s="11" t="s">
        <v>5</v>
      </c>
    </row>
    <row r="21" customFormat="false" ht="15" hidden="false" customHeight="false" outlineLevel="0" collapsed="false">
      <c r="B21" s="11" t="s">
        <v>118</v>
      </c>
      <c r="C21" s="11" t="s">
        <v>119</v>
      </c>
      <c r="D21" s="15" t="n">
        <v>6800</v>
      </c>
      <c r="E21" s="15" t="n">
        <v>6800</v>
      </c>
      <c r="F21" s="9" t="n">
        <v>2098.38</v>
      </c>
      <c r="G21" s="16" t="n">
        <f aca="false">F21-E21</f>
        <v>-4701.62</v>
      </c>
      <c r="H21" s="17" t="n">
        <f aca="false">IF(E21=0,"",F21/E21)</f>
        <v>0.308585294117647</v>
      </c>
      <c r="I21" s="11"/>
      <c r="J21" s="11" t="s">
        <v>5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15" t="n">
        <v>26630</v>
      </c>
      <c r="E22" s="15" t="n">
        <v>26630</v>
      </c>
      <c r="F22" s="9" t="n">
        <v>14099.66</v>
      </c>
      <c r="G22" s="16" t="n">
        <f aca="false">F22-E22</f>
        <v>-12530.34</v>
      </c>
      <c r="H22" s="17" t="n">
        <f aca="false">IF(E22=0,"",F22/E22)</f>
        <v>0.529465264739016</v>
      </c>
      <c r="I22" s="11"/>
      <c r="J22" s="11" t="s">
        <v>5</v>
      </c>
    </row>
    <row r="23" customFormat="false" ht="15" hidden="false" customHeight="false" outlineLevel="0" collapsed="false">
      <c r="B23" s="11" t="s">
        <v>122</v>
      </c>
      <c r="C23" s="11" t="s">
        <v>123</v>
      </c>
      <c r="D23" s="15" t="n">
        <v>12500</v>
      </c>
      <c r="E23" s="15" t="n">
        <v>12500</v>
      </c>
      <c r="F23" s="9" t="n">
        <v>15511.19</v>
      </c>
      <c r="G23" s="16" t="n">
        <f aca="false">F23-E23</f>
        <v>3011.19</v>
      </c>
      <c r="H23" s="17" t="n">
        <f aca="false">IF(E23=0,"",F23/E23)</f>
        <v>1.2408952</v>
      </c>
      <c r="I23" s="11"/>
      <c r="J23" s="11" t="s">
        <v>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5" t="n">
        <v>0</v>
      </c>
      <c r="E24" s="15" t="n">
        <v>0</v>
      </c>
      <c r="F24" s="9" t="n">
        <v>0</v>
      </c>
      <c r="G24" s="16" t="n">
        <f aca="false">F24-E24</f>
        <v>0</v>
      </c>
      <c r="H24" s="17" t="str">
        <f aca="false">IF(E24=0,"",F24/E24)</f>
        <v/>
      </c>
      <c r="I24" s="11"/>
      <c r="J24" s="11" t="s">
        <v>5</v>
      </c>
    </row>
    <row r="25" customFormat="false" ht="15" hidden="false" customHeight="false" outlineLevel="0" collapsed="false">
      <c r="B25" s="11" t="s">
        <v>126</v>
      </c>
      <c r="C25" s="11" t="s">
        <v>127</v>
      </c>
      <c r="D25" s="15" t="n">
        <v>1000</v>
      </c>
      <c r="E25" s="15" t="n">
        <v>1000</v>
      </c>
      <c r="F25" s="9" t="n">
        <v>3900</v>
      </c>
      <c r="G25" s="16" t="n">
        <f aca="false">F25-E25</f>
        <v>2900</v>
      </c>
      <c r="H25" s="17" t="n">
        <f aca="false">IF(E25=0,"",F25/E25)</f>
        <v>3.9</v>
      </c>
      <c r="I25" s="11"/>
      <c r="J25" s="11" t="s">
        <v>5</v>
      </c>
    </row>
    <row r="26" customFormat="false" ht="15" hidden="false" customHeight="false" outlineLevel="0" collapsed="false">
      <c r="B26" s="11" t="s">
        <v>128</v>
      </c>
      <c r="C26" s="11" t="s">
        <v>129</v>
      </c>
      <c r="D26" s="15" t="n">
        <v>21000</v>
      </c>
      <c r="E26" s="15" t="n">
        <v>21000</v>
      </c>
      <c r="F26" s="9" t="n">
        <v>25725.44</v>
      </c>
      <c r="G26" s="16" t="n">
        <f aca="false">F26-E26</f>
        <v>4725.44</v>
      </c>
      <c r="H26" s="17" t="n">
        <f aca="false">IF(E26=0,"",F26/E26)</f>
        <v>1.22502095238095</v>
      </c>
      <c r="I26" s="11"/>
      <c r="J26" s="11" t="s">
        <v>5</v>
      </c>
    </row>
    <row r="27" customFormat="false" ht="15" hidden="false" customHeight="false" outlineLevel="0" collapsed="false">
      <c r="B27" s="11" t="s">
        <v>130</v>
      </c>
      <c r="C27" s="11" t="s">
        <v>131</v>
      </c>
      <c r="D27" s="15" t="n">
        <v>600</v>
      </c>
      <c r="E27" s="15" t="n">
        <v>600</v>
      </c>
      <c r="F27" s="9" t="n">
        <v>644.09</v>
      </c>
      <c r="G27" s="16" t="n">
        <f aca="false">F27-E27</f>
        <v>44.09</v>
      </c>
      <c r="H27" s="17" t="n">
        <f aca="false">IF(E27=0,"",F27/E27)</f>
        <v>1.07348333333333</v>
      </c>
      <c r="I27" s="11"/>
      <c r="J27" s="11" t="s">
        <v>5</v>
      </c>
    </row>
    <row r="28" customFormat="false" ht="15" hidden="false" customHeight="false" outlineLevel="0" collapsed="false">
      <c r="B28" s="11" t="s">
        <v>132</v>
      </c>
      <c r="C28" s="11" t="s">
        <v>133</v>
      </c>
      <c r="D28" s="15" t="n">
        <v>5370</v>
      </c>
      <c r="E28" s="15" t="n">
        <v>5370</v>
      </c>
      <c r="F28" s="9" t="n">
        <v>695</v>
      </c>
      <c r="G28" s="16" t="n">
        <f aca="false">F28-E28</f>
        <v>-4675</v>
      </c>
      <c r="H28" s="17" t="n">
        <f aca="false">IF(E28=0,"",F28/E28)</f>
        <v>0.129422718808194</v>
      </c>
      <c r="I28" s="11"/>
      <c r="J28" s="11" t="s">
        <v>5</v>
      </c>
    </row>
    <row r="29" customFormat="false" ht="15" hidden="false" customHeight="false" outlineLevel="0" collapsed="false">
      <c r="B29" s="11" t="s">
        <v>134</v>
      </c>
      <c r="C29" s="11" t="s">
        <v>135</v>
      </c>
      <c r="D29" s="15" t="n">
        <v>7000</v>
      </c>
      <c r="E29" s="15" t="n">
        <v>7000</v>
      </c>
      <c r="F29" s="9" t="n">
        <v>8101.46</v>
      </c>
      <c r="G29" s="16" t="n">
        <f aca="false">F29-E29</f>
        <v>1101.46</v>
      </c>
      <c r="H29" s="17" t="n">
        <f aca="false">IF(E29=0,"",F29/E29)</f>
        <v>1.15735142857143</v>
      </c>
      <c r="I29" s="11"/>
      <c r="J29" s="11" t="s">
        <v>5</v>
      </c>
    </row>
    <row r="30" customFormat="false" ht="15" hidden="false" customHeight="false" outlineLevel="0" collapsed="false">
      <c r="B30" s="11" t="s">
        <v>136</v>
      </c>
      <c r="C30" s="11" t="s">
        <v>137</v>
      </c>
      <c r="D30" s="15" t="n">
        <v>90717</v>
      </c>
      <c r="E30" s="15" t="n">
        <v>91810.5</v>
      </c>
      <c r="F30" s="9" t="n">
        <v>97584.65</v>
      </c>
      <c r="G30" s="16" t="n">
        <f aca="false">F30-E30</f>
        <v>5774.14999999999</v>
      </c>
      <c r="H30" s="17" t="n">
        <f aca="false">IF(E30=0,"",F30/E30)</f>
        <v>1.06289204393833</v>
      </c>
      <c r="I30" s="11"/>
      <c r="J30" s="11" t="s">
        <v>5</v>
      </c>
    </row>
    <row r="31" customFormat="false" ht="15" hidden="false" customHeight="false" outlineLevel="0" collapsed="false">
      <c r="B31" s="11" t="s">
        <v>138</v>
      </c>
      <c r="C31" s="11" t="s">
        <v>139</v>
      </c>
      <c r="D31" s="15" t="n">
        <v>15772.39</v>
      </c>
      <c r="E31" s="15" t="n">
        <v>15958.29</v>
      </c>
      <c r="F31" s="9" t="n">
        <v>16832.74</v>
      </c>
      <c r="G31" s="16" t="n">
        <f aca="false">F31-E31</f>
        <v>874.450000000001</v>
      </c>
      <c r="H31" s="17" t="n">
        <f aca="false">IF(E31=0,"",F31/E31)</f>
        <v>1.05479597124755</v>
      </c>
      <c r="I31" s="11"/>
      <c r="J31" s="11" t="s">
        <v>5</v>
      </c>
    </row>
    <row r="32" customFormat="false" ht="15" hidden="false" customHeight="false" outlineLevel="0" collapsed="false">
      <c r="B32" s="11" t="s">
        <v>140</v>
      </c>
      <c r="C32" s="11" t="s">
        <v>141</v>
      </c>
      <c r="D32" s="15" t="n">
        <v>-832900</v>
      </c>
      <c r="E32" s="15" t="n">
        <v>-855264</v>
      </c>
      <c r="F32" s="9" t="n">
        <v>-855264</v>
      </c>
      <c r="G32" s="16" t="n">
        <f aca="false">F32-E32</f>
        <v>0</v>
      </c>
      <c r="H32" s="17" t="n">
        <f aca="false">IF(E32=0,"",F32/E32)</f>
        <v>1</v>
      </c>
      <c r="I32" s="11"/>
      <c r="J32" s="11" t="s">
        <v>5</v>
      </c>
    </row>
    <row r="33" customFormat="false" ht="15" hidden="false" customHeight="false" outlineLevel="0" collapsed="false">
      <c r="B33" s="18" t="s">
        <v>142</v>
      </c>
      <c r="D33" s="19" t="n">
        <f aca="false">SUM(D6:D32)</f>
        <v>-222873.61</v>
      </c>
      <c r="E33" s="19" t="n">
        <f aca="false">SUM(E6:E32)</f>
        <v>-224519.21</v>
      </c>
      <c r="F33" s="20" t="n">
        <f aca="false">SUM(F6:F32)</f>
        <v>-266378.39</v>
      </c>
      <c r="G33" s="16" t="n">
        <f aca="false">F33-E33</f>
        <v>-41859.18</v>
      </c>
      <c r="I33" s="21" t="n">
        <f aca="false">SUM(I6:I32)</f>
        <v>7722.75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143</v>
      </c>
    </row>
    <row r="3" customFormat="false" ht="21.75" hidden="false" customHeight="true" outlineLevel="0" collapsed="false">
      <c r="B3" s="2" t="s">
        <v>144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145</v>
      </c>
      <c r="C5" s="3" t="s">
        <v>146</v>
      </c>
      <c r="D5" s="3" t="s">
        <v>147</v>
      </c>
      <c r="E5" s="3" t="s">
        <v>148</v>
      </c>
      <c r="F5" s="3" t="s">
        <v>149</v>
      </c>
      <c r="G5" s="3" t="s">
        <v>87</v>
      </c>
    </row>
    <row r="6" customFormat="false" ht="15" hidden="false" customHeight="false" outlineLevel="0" collapsed="false">
      <c r="B6" s="11" t="s">
        <v>150</v>
      </c>
      <c r="C6" s="11" t="s">
        <v>151</v>
      </c>
      <c r="D6" s="9" t="n">
        <v>219024.35</v>
      </c>
      <c r="E6" s="17" t="n">
        <f aca="false">D6/$D$11</f>
        <v>0.371930212388786</v>
      </c>
      <c r="F6" s="17" t="n">
        <f aca="false">D6/855264</f>
        <v>0.256089757080855</v>
      </c>
      <c r="G6" s="11" t="s">
        <v>5</v>
      </c>
    </row>
    <row r="7" customFormat="false" ht="15" hidden="false" customHeight="false" outlineLevel="0" collapsed="false">
      <c r="B7" s="11" t="s">
        <v>152</v>
      </c>
      <c r="C7" s="11" t="s">
        <v>153</v>
      </c>
      <c r="D7" s="9" t="n">
        <v>216377.88</v>
      </c>
      <c r="E7" s="17" t="n">
        <f aca="false">D7/$D$11</f>
        <v>0.367436181705985</v>
      </c>
      <c r="F7" s="17" t="n">
        <f aca="false">D7/855264</f>
        <v>0.252995425973734</v>
      </c>
      <c r="G7" s="11" t="s">
        <v>5</v>
      </c>
    </row>
    <row r="8" customFormat="false" ht="15" hidden="false" customHeight="false" outlineLevel="0" collapsed="false">
      <c r="B8" s="11" t="s">
        <v>154</v>
      </c>
      <c r="C8" s="11" t="s">
        <v>155</v>
      </c>
      <c r="D8" s="9" t="n">
        <v>39065.99</v>
      </c>
      <c r="E8" s="17" t="n">
        <f aca="false">D8/$D$11</f>
        <v>0.0663388429545765</v>
      </c>
      <c r="F8" s="17" t="n">
        <f aca="false">D8/855264</f>
        <v>0.0456771125640738</v>
      </c>
      <c r="G8" s="11" t="s">
        <v>5</v>
      </c>
    </row>
    <row r="9" customFormat="false" ht="15" hidden="false" customHeight="false" outlineLevel="0" collapsed="false">
      <c r="B9" s="11" t="s">
        <v>137</v>
      </c>
      <c r="C9" s="11" t="s">
        <v>136</v>
      </c>
      <c r="D9" s="9" t="n">
        <v>97584.65</v>
      </c>
      <c r="E9" s="17" t="n">
        <f aca="false">D9/$D$11</f>
        <v>0.165710705683571</v>
      </c>
      <c r="F9" s="17" t="n">
        <f aca="false">D9/855264</f>
        <v>0.114098863041119</v>
      </c>
      <c r="G9" s="11" t="s">
        <v>5</v>
      </c>
    </row>
    <row r="10" customFormat="false" ht="15" hidden="false" customHeight="false" outlineLevel="0" collapsed="false">
      <c r="B10" s="11" t="s">
        <v>139</v>
      </c>
      <c r="C10" s="11" t="s">
        <v>138</v>
      </c>
      <c r="D10" s="9" t="n">
        <v>16832.74</v>
      </c>
      <c r="E10" s="17" t="n">
        <f aca="false">D10/$D$11</f>
        <v>0.0285840572670811</v>
      </c>
      <c r="F10" s="17" t="n">
        <f aca="false">D10/855264</f>
        <v>0.0196813381599132</v>
      </c>
      <c r="G10" s="11" t="s">
        <v>5</v>
      </c>
    </row>
    <row r="11" customFormat="false" ht="15" hidden="false" customHeight="false" outlineLevel="0" collapsed="false">
      <c r="B11" s="18" t="s">
        <v>156</v>
      </c>
      <c r="D11" s="20" t="n">
        <f aca="false">SUM(D6:D10)</f>
        <v>588885.61</v>
      </c>
      <c r="E11" s="17" t="n">
        <v>1</v>
      </c>
      <c r="F11" s="17" t="n">
        <f aca="false">D11/855264</f>
        <v>0.688542496819695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157</v>
      </c>
    </row>
    <row r="3" customFormat="false" ht="21.75" hidden="false" customHeight="true" outlineLevel="0" collapsed="false">
      <c r="B3" s="2" t="s">
        <v>158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159</v>
      </c>
      <c r="C5" s="3" t="s">
        <v>160</v>
      </c>
      <c r="D5" s="3" t="s">
        <v>161</v>
      </c>
      <c r="E5" s="3" t="s">
        <v>162</v>
      </c>
      <c r="F5" s="3" t="s">
        <v>163</v>
      </c>
      <c r="G5" s="3" t="s">
        <v>87</v>
      </c>
    </row>
    <row r="6" customFormat="false" ht="15" hidden="false" customHeight="false" outlineLevel="0" collapsed="false">
      <c r="B6" s="11" t="s">
        <v>164</v>
      </c>
      <c r="C6" s="11" t="s">
        <v>165</v>
      </c>
      <c r="D6" s="9" t="n">
        <v>59482.56</v>
      </c>
      <c r="E6" s="22" t="n">
        <v>26</v>
      </c>
      <c r="F6" s="11" t="s">
        <v>166</v>
      </c>
      <c r="G6" s="11" t="s">
        <v>5</v>
      </c>
    </row>
    <row r="7" customFormat="false" ht="15" hidden="false" customHeight="false" outlineLevel="0" collapsed="false">
      <c r="B7" s="11" t="s">
        <v>167</v>
      </c>
      <c r="C7" s="11" t="s">
        <v>168</v>
      </c>
      <c r="D7" s="9" t="n">
        <v>47454.86</v>
      </c>
      <c r="E7" s="22" t="n">
        <v>57</v>
      </c>
      <c r="F7" s="11" t="s">
        <v>166</v>
      </c>
      <c r="G7" s="11" t="s">
        <v>5</v>
      </c>
    </row>
    <row r="8" customFormat="false" ht="15" hidden="false" customHeight="false" outlineLevel="0" collapsed="false">
      <c r="B8" s="11" t="s">
        <v>169</v>
      </c>
      <c r="C8" s="11" t="s">
        <v>170</v>
      </c>
      <c r="D8" s="9" t="n">
        <v>36061.49</v>
      </c>
      <c r="E8" s="22" t="n">
        <v>3</v>
      </c>
      <c r="F8" s="11" t="s">
        <v>171</v>
      </c>
      <c r="G8" s="11" t="s">
        <v>5</v>
      </c>
    </row>
    <row r="9" customFormat="false" ht="15" hidden="false" customHeight="false" outlineLevel="0" collapsed="false">
      <c r="B9" s="11" t="s">
        <v>172</v>
      </c>
      <c r="C9" s="11" t="s">
        <v>173</v>
      </c>
      <c r="D9" s="9" t="n">
        <v>25565</v>
      </c>
      <c r="E9" s="22" t="n">
        <v>11</v>
      </c>
      <c r="F9" s="11" t="s">
        <v>174</v>
      </c>
      <c r="G9" s="11" t="s">
        <v>5</v>
      </c>
    </row>
    <row r="10" customFormat="false" ht="15" hidden="false" customHeight="false" outlineLevel="0" collapsed="false">
      <c r="B10" s="11" t="s">
        <v>175</v>
      </c>
      <c r="C10" s="11" t="s">
        <v>176</v>
      </c>
      <c r="D10" s="9" t="n">
        <v>20046.51</v>
      </c>
      <c r="E10" s="22" t="n">
        <v>19</v>
      </c>
      <c r="F10" s="11" t="s">
        <v>166</v>
      </c>
      <c r="G10" s="11" t="s">
        <v>5</v>
      </c>
    </row>
    <row r="11" customFormat="false" ht="15" hidden="false" customHeight="false" outlineLevel="0" collapsed="false">
      <c r="B11" s="11" t="s">
        <v>177</v>
      </c>
      <c r="C11" s="11" t="s">
        <v>178</v>
      </c>
      <c r="D11" s="9" t="n">
        <v>8902.53</v>
      </c>
      <c r="E11" s="22" t="n">
        <v>26</v>
      </c>
      <c r="F11" s="11" t="s">
        <v>179</v>
      </c>
      <c r="G11" s="11" t="s">
        <v>5</v>
      </c>
    </row>
    <row r="12" customFormat="false" ht="15" hidden="false" customHeight="false" outlineLevel="0" collapsed="false">
      <c r="B12" s="11" t="s">
        <v>180</v>
      </c>
      <c r="C12" s="11" t="s">
        <v>181</v>
      </c>
      <c r="D12" s="9" t="n">
        <v>8007.38</v>
      </c>
      <c r="E12" s="22" t="n">
        <v>5</v>
      </c>
      <c r="F12" s="11" t="s">
        <v>166</v>
      </c>
      <c r="G12" s="11" t="s">
        <v>5</v>
      </c>
    </row>
    <row r="13" customFormat="false" ht="15" hidden="false" customHeight="false" outlineLevel="0" collapsed="false">
      <c r="B13" s="11" t="s">
        <v>182</v>
      </c>
      <c r="C13" s="11" t="s">
        <v>183</v>
      </c>
      <c r="D13" s="9" t="n">
        <v>4101</v>
      </c>
      <c r="E13" s="22" t="n">
        <v>3</v>
      </c>
      <c r="F13" s="11" t="s">
        <v>166</v>
      </c>
      <c r="G13" s="11" t="s">
        <v>5</v>
      </c>
    </row>
    <row r="14" customFormat="false" ht="15" hidden="false" customHeight="false" outlineLevel="0" collapsed="false">
      <c r="B14" s="11" t="s">
        <v>184</v>
      </c>
      <c r="C14" s="11" t="s">
        <v>185</v>
      </c>
      <c r="D14" s="9" t="n">
        <v>3750</v>
      </c>
      <c r="E14" s="22" t="n">
        <v>1</v>
      </c>
      <c r="F14" s="11" t="s">
        <v>171</v>
      </c>
      <c r="G14" s="11" t="s">
        <v>5</v>
      </c>
    </row>
    <row r="15" customFormat="false" ht="15" hidden="false" customHeight="false" outlineLevel="0" collapsed="false">
      <c r="B15" s="11" t="s">
        <v>186</v>
      </c>
      <c r="C15" s="11" t="s">
        <v>187</v>
      </c>
      <c r="D15" s="9" t="n">
        <v>1317.75</v>
      </c>
      <c r="E15" s="22" t="n">
        <v>4</v>
      </c>
      <c r="F15" s="11" t="s">
        <v>166</v>
      </c>
      <c r="G15" s="11" t="s">
        <v>5</v>
      </c>
    </row>
    <row r="16" customFormat="false" ht="15" hidden="false" customHeight="false" outlineLevel="0" collapsed="false">
      <c r="B16" s="11" t="s">
        <v>188</v>
      </c>
      <c r="C16" s="11" t="s">
        <v>189</v>
      </c>
      <c r="D16" s="9" t="n">
        <v>800</v>
      </c>
      <c r="E16" s="22" t="n">
        <v>1</v>
      </c>
      <c r="F16" s="11" t="s">
        <v>171</v>
      </c>
      <c r="G16" s="11" t="s">
        <v>5</v>
      </c>
    </row>
    <row r="17" customFormat="false" ht="15" hidden="false" customHeight="false" outlineLevel="0" collapsed="false">
      <c r="B17" s="11" t="s">
        <v>190</v>
      </c>
      <c r="C17" s="11" t="s">
        <v>191</v>
      </c>
      <c r="D17" s="9" t="n">
        <v>644.09</v>
      </c>
      <c r="E17" s="22" t="n">
        <v>3</v>
      </c>
      <c r="F17" s="11" t="s">
        <v>171</v>
      </c>
      <c r="G17" s="11" t="s">
        <v>5</v>
      </c>
    </row>
    <row r="18" customFormat="false" ht="15" hidden="false" customHeight="false" outlineLevel="0" collapsed="false">
      <c r="B18" s="11" t="s">
        <v>192</v>
      </c>
      <c r="C18" s="11" t="s">
        <v>193</v>
      </c>
      <c r="D18" s="9" t="n">
        <v>317.79</v>
      </c>
      <c r="E18" s="22" t="n">
        <v>2</v>
      </c>
      <c r="F18" s="11" t="s">
        <v>166</v>
      </c>
      <c r="G18" s="11" t="s">
        <v>5</v>
      </c>
    </row>
    <row r="19" customFormat="false" ht="15" hidden="false" customHeight="false" outlineLevel="0" collapsed="false">
      <c r="B19" s="11" t="s">
        <v>194</v>
      </c>
      <c r="C19" s="11" t="s">
        <v>195</v>
      </c>
      <c r="D19" s="9" t="n">
        <v>197.94</v>
      </c>
      <c r="E19" s="22" t="n">
        <v>1</v>
      </c>
      <c r="F19" s="11" t="s">
        <v>166</v>
      </c>
      <c r="G19" s="11" t="s">
        <v>5</v>
      </c>
    </row>
    <row r="20" customFormat="false" ht="15" hidden="false" customHeight="false" outlineLevel="0" collapsed="false">
      <c r="B20" s="11" t="s">
        <v>196</v>
      </c>
      <c r="C20" s="11" t="s">
        <v>197</v>
      </c>
      <c r="D20" s="9" t="n">
        <v>160.44</v>
      </c>
      <c r="E20" s="22" t="n">
        <v>3</v>
      </c>
      <c r="F20" s="11" t="s">
        <v>171</v>
      </c>
      <c r="G20" s="11" t="s">
        <v>5</v>
      </c>
    </row>
    <row r="21" customFormat="false" ht="15" hidden="false" customHeight="false" outlineLevel="0" collapsed="false">
      <c r="B21" s="11" t="s">
        <v>198</v>
      </c>
      <c r="C21" s="11" t="s">
        <v>199</v>
      </c>
      <c r="D21" s="9" t="n">
        <v>150</v>
      </c>
      <c r="E21" s="22" t="n">
        <v>1</v>
      </c>
      <c r="F21" s="11" t="s">
        <v>200</v>
      </c>
      <c r="G21" s="11" t="s">
        <v>5</v>
      </c>
    </row>
    <row r="22" customFormat="false" ht="15" hidden="false" customHeight="false" outlineLevel="0" collapsed="false">
      <c r="B22" s="11" t="s">
        <v>201</v>
      </c>
      <c r="C22" s="11" t="s">
        <v>202</v>
      </c>
      <c r="D22" s="9" t="n">
        <v>15.19</v>
      </c>
      <c r="E22" s="22" t="n">
        <v>1</v>
      </c>
      <c r="F22" s="11" t="s">
        <v>171</v>
      </c>
      <c r="G22" s="11" t="s">
        <v>5</v>
      </c>
    </row>
    <row r="23" customFormat="false" ht="15" hidden="false" customHeight="false" outlineLevel="0" collapsed="false">
      <c r="B23" s="18" t="s">
        <v>142</v>
      </c>
      <c r="D23" s="20" t="n">
        <f aca="false">SUM(D6:D22)</f>
        <v>216974.53</v>
      </c>
      <c r="E23" s="23" t="n">
        <f aca="false">SUM(E6:E22)</f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203</v>
      </c>
    </row>
    <row r="3" customFormat="false" ht="21.75" hidden="false" customHeight="true" outlineLevel="0" collapsed="false">
      <c r="B3" s="2" t="s">
        <v>204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205</v>
      </c>
      <c r="C5" s="3" t="s">
        <v>206</v>
      </c>
      <c r="D5" s="3" t="s">
        <v>207</v>
      </c>
      <c r="E5" s="3" t="s">
        <v>208</v>
      </c>
      <c r="F5" s="3" t="s">
        <v>209</v>
      </c>
      <c r="G5" s="3" t="s">
        <v>210</v>
      </c>
      <c r="H5" s="3" t="s">
        <v>87</v>
      </c>
    </row>
    <row r="6" customFormat="false" ht="15" hidden="false" customHeight="false" outlineLevel="0" collapsed="false">
      <c r="B6" s="11" t="s">
        <v>211</v>
      </c>
      <c r="C6" s="11" t="s">
        <v>212</v>
      </c>
      <c r="D6" s="10" t="n">
        <v>1464</v>
      </c>
      <c r="E6" s="9" t="n">
        <v>53613</v>
      </c>
      <c r="F6" s="20" t="n">
        <f aca="false">IF(D6=0,0,E6/D6)</f>
        <v>36.6209016393443</v>
      </c>
      <c r="G6" s="22" t="n">
        <v>41</v>
      </c>
      <c r="H6" s="11" t="s">
        <v>5</v>
      </c>
    </row>
    <row r="7" customFormat="false" ht="15" hidden="false" customHeight="false" outlineLevel="0" collapsed="false">
      <c r="B7" s="11" t="s">
        <v>213</v>
      </c>
      <c r="C7" s="11" t="s">
        <v>214</v>
      </c>
      <c r="D7" s="10" t="n">
        <v>1161.5</v>
      </c>
      <c r="E7" s="9" t="n">
        <v>28903</v>
      </c>
      <c r="F7" s="20" t="n">
        <f aca="false">IF(D7=0,0,E7/D7)</f>
        <v>24.8842014636246</v>
      </c>
      <c r="G7" s="22" t="n">
        <v>35</v>
      </c>
      <c r="H7" s="11" t="s">
        <v>5</v>
      </c>
    </row>
    <row r="8" customFormat="false" ht="15" hidden="false" customHeight="false" outlineLevel="0" collapsed="false">
      <c r="B8" s="11" t="s">
        <v>215</v>
      </c>
      <c r="C8" s="11" t="s">
        <v>216</v>
      </c>
      <c r="D8" s="10" t="n">
        <v>779.5</v>
      </c>
      <c r="E8" s="9" t="n">
        <v>22383</v>
      </c>
      <c r="F8" s="20" t="n">
        <f aca="false">IF(D8=0,0,E8/D8)</f>
        <v>28.7145606157793</v>
      </c>
      <c r="G8" s="22" t="n">
        <v>26</v>
      </c>
      <c r="H8" s="11" t="s">
        <v>5</v>
      </c>
    </row>
    <row r="9" customFormat="false" ht="15" hidden="false" customHeight="false" outlineLevel="0" collapsed="false">
      <c r="B9" s="11" t="s">
        <v>217</v>
      </c>
      <c r="C9" s="11" t="s">
        <v>218</v>
      </c>
      <c r="D9" s="10" t="n">
        <v>739.25</v>
      </c>
      <c r="E9" s="9" t="n">
        <v>12983.25</v>
      </c>
      <c r="F9" s="20" t="n">
        <f aca="false">IF(D9=0,0,E9/D9)</f>
        <v>17.5627324991546</v>
      </c>
      <c r="G9" s="22" t="n">
        <v>20</v>
      </c>
      <c r="H9" s="11" t="s">
        <v>5</v>
      </c>
    </row>
    <row r="10" customFormat="false" ht="15" hidden="false" customHeight="false" outlineLevel="0" collapsed="false">
      <c r="B10" s="11" t="s">
        <v>219</v>
      </c>
      <c r="C10" s="11" t="s">
        <v>220</v>
      </c>
      <c r="D10" s="10" t="n">
        <v>700.5</v>
      </c>
      <c r="E10" s="9" t="n">
        <v>15829</v>
      </c>
      <c r="F10" s="20" t="n">
        <f aca="false">IF(D10=0,0,E10/D10)</f>
        <v>22.5967166309779</v>
      </c>
      <c r="G10" s="22" t="n">
        <v>20</v>
      </c>
      <c r="H10" s="11" t="s">
        <v>5</v>
      </c>
    </row>
    <row r="11" customFormat="false" ht="15" hidden="false" customHeight="false" outlineLevel="0" collapsed="false">
      <c r="B11" s="11" t="s">
        <v>221</v>
      </c>
      <c r="C11" s="11" t="s">
        <v>222</v>
      </c>
      <c r="D11" s="10" t="n">
        <v>450.5</v>
      </c>
      <c r="E11" s="9" t="n">
        <v>8127</v>
      </c>
      <c r="F11" s="20" t="n">
        <f aca="false">IF(D11=0,0,E11/D11)</f>
        <v>18.0399556048835</v>
      </c>
      <c r="G11" s="22" t="n">
        <v>15</v>
      </c>
      <c r="H11" s="11" t="s">
        <v>5</v>
      </c>
    </row>
    <row r="12" customFormat="false" ht="15" hidden="false" customHeight="false" outlineLevel="0" collapsed="false">
      <c r="B12" s="11" t="s">
        <v>223</v>
      </c>
      <c r="C12" s="11" t="s">
        <v>224</v>
      </c>
      <c r="D12" s="10" t="n">
        <v>380.25</v>
      </c>
      <c r="E12" s="9" t="n">
        <v>13520.25</v>
      </c>
      <c r="F12" s="20" t="n">
        <f aca="false">IF(D12=0,0,E12/D12)</f>
        <v>35.5562130177515</v>
      </c>
      <c r="G12" s="22" t="n">
        <v>13</v>
      </c>
      <c r="H12" s="11" t="s">
        <v>5</v>
      </c>
    </row>
    <row r="13" customFormat="false" ht="15" hidden="false" customHeight="false" outlineLevel="0" collapsed="false">
      <c r="B13" s="11" t="s">
        <v>225</v>
      </c>
      <c r="C13" s="11" t="s">
        <v>226</v>
      </c>
      <c r="D13" s="10" t="n">
        <v>311.25</v>
      </c>
      <c r="E13" s="9" t="n">
        <v>8886.25</v>
      </c>
      <c r="F13" s="20" t="n">
        <f aca="false">IF(D13=0,0,E13/D13)</f>
        <v>28.5502008032129</v>
      </c>
      <c r="G13" s="22" t="n">
        <v>18</v>
      </c>
      <c r="H13" s="11" t="s">
        <v>5</v>
      </c>
    </row>
    <row r="14" customFormat="false" ht="15" hidden="false" customHeight="false" outlineLevel="0" collapsed="false">
      <c r="B14" s="11" t="s">
        <v>227</v>
      </c>
      <c r="C14" s="11" t="s">
        <v>228</v>
      </c>
      <c r="D14" s="10" t="n">
        <v>271</v>
      </c>
      <c r="E14" s="9" t="n">
        <v>7317</v>
      </c>
      <c r="F14" s="20" t="n">
        <f aca="false">IF(D14=0,0,E14/D14)</f>
        <v>27</v>
      </c>
      <c r="G14" s="22" t="n">
        <v>12</v>
      </c>
      <c r="H14" s="11" t="s">
        <v>5</v>
      </c>
    </row>
    <row r="15" customFormat="false" ht="15" hidden="false" customHeight="false" outlineLevel="0" collapsed="false">
      <c r="B15" s="11" t="s">
        <v>229</v>
      </c>
      <c r="C15" s="11" t="s">
        <v>230</v>
      </c>
      <c r="D15" s="10" t="n">
        <v>202.5</v>
      </c>
      <c r="E15" s="9" t="n">
        <v>3645</v>
      </c>
      <c r="F15" s="20" t="n">
        <f aca="false">IF(D15=0,0,E15/D15)</f>
        <v>18</v>
      </c>
      <c r="G15" s="22" t="n">
        <v>9</v>
      </c>
      <c r="H15" s="11" t="s">
        <v>5</v>
      </c>
    </row>
    <row r="16" customFormat="false" ht="15" hidden="false" customHeight="false" outlineLevel="0" collapsed="false">
      <c r="B16" s="11" t="s">
        <v>231</v>
      </c>
      <c r="C16" s="11" t="s">
        <v>232</v>
      </c>
      <c r="D16" s="10" t="n">
        <v>190.5</v>
      </c>
      <c r="E16" s="9" t="n">
        <v>3048</v>
      </c>
      <c r="F16" s="20" t="n">
        <f aca="false">IF(D16=0,0,E16/D16)</f>
        <v>16</v>
      </c>
      <c r="G16" s="22" t="n">
        <v>7</v>
      </c>
      <c r="H16" s="11" t="s">
        <v>5</v>
      </c>
    </row>
    <row r="17" customFormat="false" ht="15" hidden="false" customHeight="false" outlineLevel="0" collapsed="false">
      <c r="B17" s="11" t="s">
        <v>233</v>
      </c>
      <c r="C17" s="11" t="s">
        <v>234</v>
      </c>
      <c r="D17" s="10" t="n">
        <v>190</v>
      </c>
      <c r="E17" s="9" t="n">
        <v>6650</v>
      </c>
      <c r="F17" s="20" t="n">
        <f aca="false">IF(D17=0,0,E17/D17)</f>
        <v>35</v>
      </c>
      <c r="G17" s="22" t="n">
        <v>6</v>
      </c>
      <c r="H17" s="11" t="s">
        <v>5</v>
      </c>
    </row>
    <row r="18" customFormat="false" ht="15" hidden="false" customHeight="false" outlineLevel="0" collapsed="false">
      <c r="B18" s="11" t="s">
        <v>235</v>
      </c>
      <c r="C18" s="11" t="s">
        <v>236</v>
      </c>
      <c r="D18" s="10" t="n">
        <v>186</v>
      </c>
      <c r="E18" s="9" t="n">
        <v>5057</v>
      </c>
      <c r="F18" s="20" t="n">
        <f aca="false">IF(D18=0,0,E18/D18)</f>
        <v>27.1881720430108</v>
      </c>
      <c r="G18" s="22" t="n">
        <v>4</v>
      </c>
      <c r="H18" s="11" t="s">
        <v>5</v>
      </c>
    </row>
    <row r="19" customFormat="false" ht="15" hidden="false" customHeight="false" outlineLevel="0" collapsed="false">
      <c r="B19" s="11" t="s">
        <v>237</v>
      </c>
      <c r="C19" s="11" t="s">
        <v>238</v>
      </c>
      <c r="D19" s="10" t="n">
        <v>147</v>
      </c>
      <c r="E19" s="9" t="n">
        <v>7336.5</v>
      </c>
      <c r="F19" s="20" t="n">
        <f aca="false">IF(D19=0,0,E19/D19)</f>
        <v>49.9081632653061</v>
      </c>
      <c r="G19" s="22" t="n">
        <v>22</v>
      </c>
      <c r="H19" s="11" t="s">
        <v>5</v>
      </c>
    </row>
    <row r="20" customFormat="false" ht="15" hidden="false" customHeight="false" outlineLevel="0" collapsed="false">
      <c r="B20" s="11" t="s">
        <v>239</v>
      </c>
      <c r="C20" s="11" t="s">
        <v>240</v>
      </c>
      <c r="D20" s="10" t="n">
        <v>123.5</v>
      </c>
      <c r="E20" s="9" t="n">
        <v>5187</v>
      </c>
      <c r="F20" s="20" t="n">
        <f aca="false">IF(D20=0,0,E20/D20)</f>
        <v>42</v>
      </c>
      <c r="G20" s="22" t="n">
        <v>7</v>
      </c>
      <c r="H20" s="11" t="s">
        <v>5</v>
      </c>
    </row>
    <row r="21" customFormat="false" ht="15" hidden="false" customHeight="false" outlineLevel="0" collapsed="false">
      <c r="B21" s="11" t="s">
        <v>241</v>
      </c>
      <c r="C21" s="11" t="s">
        <v>242</v>
      </c>
      <c r="D21" s="10" t="n">
        <v>69.5</v>
      </c>
      <c r="E21" s="9" t="n">
        <v>2945</v>
      </c>
      <c r="F21" s="20" t="n">
        <f aca="false">IF(D21=0,0,E21/D21)</f>
        <v>42.3741007194245</v>
      </c>
      <c r="G21" s="22" t="n">
        <v>15</v>
      </c>
      <c r="H21" s="11" t="s">
        <v>5</v>
      </c>
    </row>
    <row r="22" customFormat="false" ht="15" hidden="false" customHeight="false" outlineLevel="0" collapsed="false">
      <c r="B22" s="11" t="s">
        <v>243</v>
      </c>
      <c r="C22" s="11" t="s">
        <v>244</v>
      </c>
      <c r="D22" s="10" t="n">
        <v>65.5</v>
      </c>
      <c r="E22" s="9" t="n">
        <v>3054</v>
      </c>
      <c r="F22" s="20" t="n">
        <f aca="false">IF(D22=0,0,E22/D22)</f>
        <v>46.6259541984733</v>
      </c>
      <c r="G22" s="22" t="n">
        <v>21</v>
      </c>
      <c r="H22" s="11" t="s">
        <v>5</v>
      </c>
    </row>
    <row r="23" customFormat="false" ht="15" hidden="false" customHeight="false" outlineLevel="0" collapsed="false">
      <c r="B23" s="11" t="s">
        <v>245</v>
      </c>
      <c r="C23" s="11" t="s">
        <v>246</v>
      </c>
      <c r="D23" s="10" t="n">
        <v>64</v>
      </c>
      <c r="E23" s="9" t="n">
        <v>1206</v>
      </c>
      <c r="F23" s="20" t="n">
        <f aca="false">IF(D23=0,0,E23/D23)</f>
        <v>18.84375</v>
      </c>
      <c r="G23" s="22" t="n">
        <v>2</v>
      </c>
      <c r="H23" s="11" t="s">
        <v>5</v>
      </c>
    </row>
    <row r="24" customFormat="false" ht="15" hidden="false" customHeight="false" outlineLevel="0" collapsed="false">
      <c r="B24" s="11" t="s">
        <v>247</v>
      </c>
      <c r="C24" s="11" t="s">
        <v>248</v>
      </c>
      <c r="D24" s="10" t="n">
        <v>62</v>
      </c>
      <c r="E24" s="9" t="n">
        <v>3130</v>
      </c>
      <c r="F24" s="20" t="n">
        <f aca="false">IF(D24=0,0,E24/D24)</f>
        <v>50.4838709677419</v>
      </c>
      <c r="G24" s="22" t="n">
        <v>35</v>
      </c>
      <c r="H24" s="11" t="s">
        <v>5</v>
      </c>
    </row>
    <row r="25" customFormat="false" ht="15" hidden="false" customHeight="false" outlineLevel="0" collapsed="false">
      <c r="B25" s="11" t="s">
        <v>249</v>
      </c>
      <c r="C25" s="11" t="s">
        <v>250</v>
      </c>
      <c r="D25" s="10" t="n">
        <v>57.5</v>
      </c>
      <c r="E25" s="9" t="n">
        <v>2817.5</v>
      </c>
      <c r="F25" s="20" t="n">
        <f aca="false">IF(D25=0,0,E25/D25)</f>
        <v>49</v>
      </c>
      <c r="G25" s="22" t="n">
        <v>14</v>
      </c>
      <c r="H25" s="11" t="s">
        <v>5</v>
      </c>
    </row>
    <row r="26" customFormat="false" ht="15" hidden="false" customHeight="false" outlineLevel="0" collapsed="false">
      <c r="B26" s="11" t="s">
        <v>251</v>
      </c>
      <c r="C26" s="11" t="s">
        <v>252</v>
      </c>
      <c r="D26" s="10" t="n">
        <v>53.5</v>
      </c>
      <c r="E26" s="9" t="n">
        <v>3318.75</v>
      </c>
      <c r="F26" s="20" t="n">
        <f aca="false">IF(D26=0,0,E26/D26)</f>
        <v>62.0327102803738</v>
      </c>
      <c r="G26" s="22" t="n">
        <v>32</v>
      </c>
      <c r="H26" s="11" t="s">
        <v>5</v>
      </c>
    </row>
    <row r="27" customFormat="false" ht="15" hidden="false" customHeight="false" outlineLevel="0" collapsed="false">
      <c r="B27" s="11" t="s">
        <v>253</v>
      </c>
      <c r="C27" s="11" t="s">
        <v>254</v>
      </c>
      <c r="D27" s="10" t="n">
        <v>27</v>
      </c>
      <c r="E27" s="9" t="n">
        <v>540</v>
      </c>
      <c r="F27" s="20" t="n">
        <f aca="false">IF(D27=0,0,E27/D27)</f>
        <v>20</v>
      </c>
      <c r="G27" s="22" t="n">
        <v>2</v>
      </c>
      <c r="H27" s="11" t="s">
        <v>5</v>
      </c>
    </row>
    <row r="28" customFormat="false" ht="15" hidden="false" customHeight="false" outlineLevel="0" collapsed="false">
      <c r="B28" s="11" t="s">
        <v>255</v>
      </c>
      <c r="C28" s="11" t="s">
        <v>256</v>
      </c>
      <c r="D28" s="10" t="n">
        <v>24</v>
      </c>
      <c r="E28" s="9" t="n">
        <v>456</v>
      </c>
      <c r="F28" s="20" t="n">
        <f aca="false">IF(D28=0,0,E28/D28)</f>
        <v>19</v>
      </c>
      <c r="G28" s="22" t="n">
        <v>3</v>
      </c>
      <c r="H28" s="11" t="s">
        <v>5</v>
      </c>
    </row>
    <row r="29" customFormat="false" ht="15" hidden="false" customHeight="false" outlineLevel="0" collapsed="false">
      <c r="B29" s="11" t="s">
        <v>257</v>
      </c>
      <c r="C29" s="11" t="s">
        <v>258</v>
      </c>
      <c r="D29" s="10" t="n">
        <v>2.5</v>
      </c>
      <c r="E29" s="9" t="n">
        <v>80</v>
      </c>
      <c r="F29" s="20" t="n">
        <f aca="false">IF(D29=0,0,E29/D29)</f>
        <v>32</v>
      </c>
      <c r="G29" s="22" t="n">
        <v>1</v>
      </c>
      <c r="H29" s="11" t="s">
        <v>5</v>
      </c>
    </row>
    <row r="30" customFormat="false" ht="15" hidden="false" customHeight="false" outlineLevel="0" collapsed="false">
      <c r="B30" s="18" t="s">
        <v>142</v>
      </c>
      <c r="D30" s="21" t="n">
        <f aca="false">SUM(D6:D29)</f>
        <v>7722.75</v>
      </c>
      <c r="E30" s="20" t="n">
        <f aca="false">SUM(E6:E29)</f>
        <v>220032.5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259</v>
      </c>
    </row>
    <row r="3" customFormat="false" ht="21.75" hidden="false" customHeight="true" outlineLevel="0" collapsed="false">
      <c r="B3" s="2" t="s">
        <v>260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261</v>
      </c>
    </row>
    <row r="6" customFormat="false" ht="15" hidden="false" customHeight="false" outlineLevel="0" collapsed="false">
      <c r="B6" s="3" t="s">
        <v>262</v>
      </c>
      <c r="C6" s="3" t="s">
        <v>263</v>
      </c>
      <c r="D6" s="3" t="s">
        <v>264</v>
      </c>
      <c r="E6" s="3" t="s">
        <v>87</v>
      </c>
    </row>
    <row r="7" customFormat="false" ht="15" hidden="false" customHeight="false" outlineLevel="0" collapsed="false">
      <c r="B7" s="11" t="s">
        <v>265</v>
      </c>
      <c r="C7" s="10" t="n">
        <v>24</v>
      </c>
      <c r="D7" s="11" t="s">
        <v>266</v>
      </c>
      <c r="E7" s="11" t="s">
        <v>5</v>
      </c>
    </row>
    <row r="8" customFormat="false" ht="15" hidden="false" customHeight="false" outlineLevel="0" collapsed="false">
      <c r="B8" s="11" t="s">
        <v>267</v>
      </c>
      <c r="C8" s="10" t="n">
        <v>7722.75</v>
      </c>
      <c r="D8" s="11" t="s">
        <v>268</v>
      </c>
      <c r="E8" s="11" t="s">
        <v>5</v>
      </c>
    </row>
    <row r="9" customFormat="false" ht="15" hidden="false" customHeight="false" outlineLevel="0" collapsed="false">
      <c r="B9" s="11" t="s">
        <v>269</v>
      </c>
      <c r="C9" s="10" t="n">
        <v>220032.5</v>
      </c>
      <c r="D9" s="11" t="s">
        <v>268</v>
      </c>
      <c r="E9" s="11" t="s">
        <v>5</v>
      </c>
    </row>
    <row r="10" customFormat="false" ht="15" hidden="false" customHeight="false" outlineLevel="0" collapsed="false">
      <c r="B10" s="11" t="s">
        <v>270</v>
      </c>
      <c r="C10" s="9" t="n">
        <v>28.4914700074455</v>
      </c>
      <c r="D10" s="11" t="s">
        <v>271</v>
      </c>
      <c r="E10" s="11" t="s">
        <v>272</v>
      </c>
    </row>
    <row r="11" customFormat="false" ht="15" hidden="false" customHeight="false" outlineLevel="0" collapsed="false">
      <c r="B11" s="11" t="s">
        <v>273</v>
      </c>
      <c r="C11" s="24" t="n">
        <v>0.189569777605128</v>
      </c>
      <c r="D11" s="11" t="s">
        <v>274</v>
      </c>
      <c r="E11" s="11" t="s">
        <v>272</v>
      </c>
    </row>
    <row r="12" customFormat="false" ht="15" hidden="false" customHeight="false" outlineLevel="0" collapsed="false">
      <c r="B12" s="11" t="s">
        <v>275</v>
      </c>
      <c r="C12" s="24" t="n">
        <v>0.627334822440193</v>
      </c>
      <c r="D12" s="11" t="s">
        <v>276</v>
      </c>
      <c r="E12" s="11" t="s">
        <v>272</v>
      </c>
    </row>
    <row r="13" customFormat="false" ht="15" hidden="false" customHeight="false" outlineLevel="0" collapsed="false">
      <c r="B13" s="11" t="s">
        <v>277</v>
      </c>
      <c r="C13" s="9" t="n">
        <v>62.0327102803738</v>
      </c>
      <c r="D13" s="11" t="s">
        <v>278</v>
      </c>
      <c r="E13" s="11" t="s">
        <v>272</v>
      </c>
    </row>
    <row r="14" customFormat="false" ht="15" hidden="false" customHeight="false" outlineLevel="0" collapsed="false">
      <c r="B14" s="11" t="s">
        <v>279</v>
      </c>
      <c r="C14" s="9" t="n">
        <v>16</v>
      </c>
      <c r="D14" s="11" t="s">
        <v>278</v>
      </c>
      <c r="E14" s="11" t="s">
        <v>272</v>
      </c>
    </row>
    <row r="15" customFormat="false" ht="15" hidden="false" customHeight="false" outlineLevel="0" collapsed="false">
      <c r="B15" s="11" t="s">
        <v>280</v>
      </c>
      <c r="C15" s="10" t="n">
        <v>321.78125</v>
      </c>
      <c r="D15" s="11" t="s">
        <v>281</v>
      </c>
      <c r="E15" s="11" t="s">
        <v>272</v>
      </c>
    </row>
    <row r="16" customFormat="false" ht="15" hidden="false" customHeight="false" outlineLevel="0" collapsed="false">
      <c r="B16" s="11" t="s">
        <v>282</v>
      </c>
      <c r="C16" s="10" t="n">
        <v>15.8333333333333</v>
      </c>
      <c r="D16" s="11" t="s">
        <v>283</v>
      </c>
      <c r="E16" s="11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284</v>
      </c>
    </row>
    <row r="3" customFormat="false" ht="21.75" hidden="false" customHeight="true" outlineLevel="0" collapsed="false">
      <c r="B3" s="2" t="s">
        <v>285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262</v>
      </c>
      <c r="C5" s="3" t="s">
        <v>263</v>
      </c>
      <c r="D5" s="3" t="s">
        <v>286</v>
      </c>
      <c r="E5" s="3" t="s">
        <v>287</v>
      </c>
    </row>
    <row r="6" customFormat="false" ht="15" hidden="false" customHeight="false" outlineLevel="0" collapsed="false">
      <c r="B6" s="11" t="s">
        <v>288</v>
      </c>
      <c r="C6" s="9" t="n">
        <v>110.746042536661</v>
      </c>
      <c r="D6" s="11" t="s">
        <v>289</v>
      </c>
    </row>
    <row r="7" customFormat="false" ht="15" hidden="false" customHeight="false" outlineLevel="0" collapsed="false">
      <c r="B7" s="11" t="s">
        <v>290</v>
      </c>
      <c r="C7" s="9" t="n">
        <v>34.4926858955683</v>
      </c>
      <c r="D7" s="11" t="s">
        <v>289</v>
      </c>
    </row>
    <row r="8" customFormat="false" ht="15" hidden="false" customHeight="false" outlineLevel="0" collapsed="false">
      <c r="B8" s="11" t="s">
        <v>291</v>
      </c>
      <c r="C8" s="9" t="n">
        <v>28.3609271308796</v>
      </c>
      <c r="D8" s="11" t="s">
        <v>289</v>
      </c>
      <c r="E8" s="11" t="s">
        <v>292</v>
      </c>
    </row>
    <row r="9" customFormat="false" ht="15" hidden="false" customHeight="false" outlineLevel="0" collapsed="false">
      <c r="B9" s="11" t="s">
        <v>293</v>
      </c>
      <c r="C9" s="9" t="n">
        <v>58.1227</v>
      </c>
      <c r="D9" s="11" t="s">
        <v>289</v>
      </c>
      <c r="E9" s="11" t="s">
        <v>294</v>
      </c>
    </row>
    <row r="10" customFormat="false" ht="15" hidden="false" customHeight="false" outlineLevel="0" collapsed="false">
      <c r="B10" s="11" t="s">
        <v>295</v>
      </c>
      <c r="C10" s="25" t="n">
        <v>1.3421</v>
      </c>
      <c r="D10" s="11" t="s">
        <v>296</v>
      </c>
      <c r="E10" s="11" t="s">
        <v>297</v>
      </c>
    </row>
    <row r="11" customFormat="false" ht="15" hidden="false" customHeight="false" outlineLevel="0" collapsed="false">
      <c r="B11" s="11" t="s">
        <v>298</v>
      </c>
      <c r="C11" s="10" t="n">
        <v>5294.75</v>
      </c>
      <c r="D11" s="11" t="s">
        <v>299</v>
      </c>
    </row>
    <row r="12" customFormat="false" ht="15" hidden="false" customHeight="false" outlineLevel="0" collapsed="false">
      <c r="B12" s="11" t="s">
        <v>300</v>
      </c>
      <c r="C12" s="10" t="n">
        <v>741.5</v>
      </c>
      <c r="D12" s="11" t="s">
        <v>299</v>
      </c>
    </row>
    <row r="13" customFormat="false" ht="15" hidden="false" customHeight="false" outlineLevel="0" collapsed="false">
      <c r="B13" s="11" t="s">
        <v>301</v>
      </c>
      <c r="C13" s="26" t="n">
        <v>0.685604221294228</v>
      </c>
      <c r="D13" s="11" t="s">
        <v>302</v>
      </c>
    </row>
    <row r="14" customFormat="false" ht="15" hidden="false" customHeight="false" outlineLevel="0" collapsed="false">
      <c r="B14" s="11" t="s">
        <v>303</v>
      </c>
      <c r="C14" s="26" t="n">
        <v>0.311457503180305</v>
      </c>
      <c r="D14" s="11" t="s">
        <v>302</v>
      </c>
    </row>
    <row r="15" customFormat="false" ht="15" hidden="false" customHeight="false" outlineLevel="0" collapsed="false">
      <c r="B15" s="11" t="s">
        <v>304</v>
      </c>
      <c r="C15" s="26" t="n">
        <v>0.256089757080855</v>
      </c>
      <c r="D15" s="11" t="s">
        <v>302</v>
      </c>
    </row>
    <row r="16" customFormat="false" ht="15" hidden="false" customHeight="false" outlineLevel="0" collapsed="false">
      <c r="B16" s="11" t="s">
        <v>305</v>
      </c>
      <c r="C16" s="26" t="n">
        <v>0.252995425973734</v>
      </c>
      <c r="D16" s="11" t="s">
        <v>302</v>
      </c>
    </row>
    <row r="17" customFormat="false" ht="15" hidden="false" customHeight="false" outlineLevel="0" collapsed="false">
      <c r="B17" s="11" t="s">
        <v>306</v>
      </c>
      <c r="C17" s="26" t="n">
        <v>0.688542496819695</v>
      </c>
      <c r="D17" s="11" t="s">
        <v>302</v>
      </c>
      <c r="E17" s="11" t="s">
        <v>307</v>
      </c>
    </row>
    <row r="18" customFormat="false" ht="15" hidden="false" customHeight="false" outlineLevel="0" collapsed="false">
      <c r="B18" s="11" t="s">
        <v>308</v>
      </c>
      <c r="C18" s="9" t="n">
        <v>11403.52</v>
      </c>
      <c r="D18" s="11" t="s">
        <v>309</v>
      </c>
      <c r="E18" s="11" t="s">
        <v>310</v>
      </c>
    </row>
    <row r="19" customFormat="false" ht="15" hidden="false" customHeight="false" outlineLevel="0" collapsed="false">
      <c r="B19" s="11" t="s">
        <v>311</v>
      </c>
      <c r="C19" s="10" t="n">
        <v>102.97</v>
      </c>
      <c r="D19" s="11" t="s">
        <v>299</v>
      </c>
    </row>
    <row r="20" customFormat="false" ht="15" hidden="false" customHeight="false" outlineLevel="0" collapsed="false">
      <c r="B20" s="11" t="s">
        <v>312</v>
      </c>
      <c r="C20" s="9" t="n">
        <v>2920.32466666667</v>
      </c>
      <c r="D20" s="11" t="s">
        <v>309</v>
      </c>
    </row>
    <row r="21" customFormat="false" ht="15" hidden="false" customHeight="false" outlineLevel="0" collapsed="false">
      <c r="B21" s="11" t="s">
        <v>313</v>
      </c>
      <c r="C21" s="9" t="n">
        <v>2885.0384</v>
      </c>
      <c r="D21" s="11" t="s">
        <v>309</v>
      </c>
    </row>
    <row r="22" customFormat="false" ht="15" hidden="false" customHeight="false" outlineLevel="0" collapsed="false">
      <c r="B22" s="11" t="s">
        <v>314</v>
      </c>
      <c r="C22" s="9" t="n">
        <v>7851.80813333333</v>
      </c>
      <c r="D22" s="11" t="s">
        <v>309</v>
      </c>
    </row>
    <row r="23" customFormat="false" ht="15" hidden="false" customHeight="false" outlineLevel="0" collapsed="false">
      <c r="B23" s="11" t="s">
        <v>315</v>
      </c>
      <c r="C23" s="10" t="n">
        <v>70.5966666666667</v>
      </c>
      <c r="D23" s="11" t="s">
        <v>299</v>
      </c>
    </row>
    <row r="24" customFormat="false" ht="15" hidden="false" customHeight="false" outlineLevel="0" collapsed="false">
      <c r="B24" s="11" t="s">
        <v>316</v>
      </c>
      <c r="C24" s="9" t="n">
        <v>1348.99684542587</v>
      </c>
      <c r="D24" s="11" t="s">
        <v>309</v>
      </c>
      <c r="E24" s="11" t="s">
        <v>317</v>
      </c>
    </row>
    <row r="25" customFormat="false" ht="15" hidden="false" customHeight="false" outlineLevel="0" collapsed="false">
      <c r="B25" s="11" t="s">
        <v>318</v>
      </c>
      <c r="C25" s="10" t="n">
        <v>12.1809936908517</v>
      </c>
      <c r="D25" s="11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319</v>
      </c>
    </row>
    <row r="3" customFormat="false" ht="21.75" hidden="false" customHeight="true" outlineLevel="0" collapsed="false">
      <c r="B3" s="2" t="s">
        <v>320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321</v>
      </c>
      <c r="C5" s="3" t="s">
        <v>322</v>
      </c>
      <c r="D5" s="3" t="s">
        <v>323</v>
      </c>
      <c r="E5" s="3" t="s">
        <v>324</v>
      </c>
      <c r="F5" s="3" t="s">
        <v>67</v>
      </c>
      <c r="G5" s="3" t="s">
        <v>80</v>
      </c>
      <c r="H5" s="3" t="s">
        <v>325</v>
      </c>
      <c r="I5" s="3" t="s">
        <v>87</v>
      </c>
    </row>
    <row r="6" customFormat="false" ht="15" hidden="false" customHeight="false" outlineLevel="0" collapsed="false">
      <c r="B6" s="11" t="s">
        <v>326</v>
      </c>
      <c r="C6" s="11" t="s">
        <v>327</v>
      </c>
      <c r="D6" s="11" t="s">
        <v>12</v>
      </c>
      <c r="E6" s="11" t="s">
        <v>328</v>
      </c>
      <c r="F6" s="11" t="s">
        <v>329</v>
      </c>
      <c r="G6" s="11" t="s">
        <v>330</v>
      </c>
      <c r="H6" s="9" t="n">
        <v>832900</v>
      </c>
      <c r="I6" s="11" t="s">
        <v>20</v>
      </c>
    </row>
    <row r="7" customFormat="false" ht="15" hidden="false" customHeight="false" outlineLevel="0" collapsed="false">
      <c r="B7" s="11" t="s">
        <v>331</v>
      </c>
      <c r="C7" s="11" t="s">
        <v>332</v>
      </c>
      <c r="D7" s="11" t="s">
        <v>12</v>
      </c>
      <c r="E7" s="11" t="s">
        <v>333</v>
      </c>
      <c r="F7" s="11" t="s">
        <v>334</v>
      </c>
      <c r="G7" s="11" t="s">
        <v>335</v>
      </c>
      <c r="H7" s="9" t="n">
        <v>22364</v>
      </c>
      <c r="I7" s="11" t="s">
        <v>5</v>
      </c>
    </row>
    <row r="8" customFormat="false" ht="15" hidden="false" customHeight="false" outlineLevel="0" collapsed="false">
      <c r="B8" s="18" t="s">
        <v>336</v>
      </c>
      <c r="H8" s="20" t="n">
        <f aca="false">SUM(H6:H7)</f>
        <v>855264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337</v>
      </c>
    </row>
    <row r="3" customFormat="false" ht="21.75" hidden="false" customHeight="true" outlineLevel="0" collapsed="false">
      <c r="B3" s="2" t="s">
        <v>338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339</v>
      </c>
      <c r="C5" s="3" t="s">
        <v>322</v>
      </c>
      <c r="D5" s="3" t="s">
        <v>340</v>
      </c>
      <c r="E5" s="3" t="s">
        <v>341</v>
      </c>
      <c r="F5" s="3" t="s">
        <v>342</v>
      </c>
      <c r="G5" s="3" t="s">
        <v>87</v>
      </c>
    </row>
    <row r="6" customFormat="false" ht="15" hidden="false" customHeight="false" outlineLevel="0" collapsed="false">
      <c r="B6" s="11" t="s">
        <v>343</v>
      </c>
      <c r="C6" s="11" t="s">
        <v>344</v>
      </c>
      <c r="D6" s="27" t="n">
        <v>-68875</v>
      </c>
      <c r="E6" s="27" t="n">
        <v>0</v>
      </c>
      <c r="F6" s="22" t="n">
        <v>9</v>
      </c>
      <c r="G6" s="11" t="s">
        <v>5</v>
      </c>
    </row>
    <row r="7" customFormat="false" ht="15" hidden="false" customHeight="false" outlineLevel="0" collapsed="false">
      <c r="B7" s="11" t="s">
        <v>345</v>
      </c>
      <c r="C7" s="11" t="s">
        <v>346</v>
      </c>
      <c r="D7" s="27" t="n">
        <v>-29350</v>
      </c>
      <c r="E7" s="27" t="n">
        <v>0</v>
      </c>
      <c r="F7" s="22" t="n">
        <v>2</v>
      </c>
      <c r="G7" s="11" t="s">
        <v>5</v>
      </c>
    </row>
    <row r="8" customFormat="false" ht="15" hidden="false" customHeight="false" outlineLevel="0" collapsed="false">
      <c r="B8" s="11" t="s">
        <v>347</v>
      </c>
      <c r="C8" s="11" t="s">
        <v>348</v>
      </c>
      <c r="D8" s="27" t="n">
        <v>-45550</v>
      </c>
      <c r="E8" s="27" t="n">
        <v>0</v>
      </c>
      <c r="F8" s="22" t="n">
        <v>2</v>
      </c>
      <c r="G8" s="11" t="s">
        <v>5</v>
      </c>
    </row>
    <row r="9" customFormat="false" ht="15" hidden="false" customHeight="false" outlineLevel="0" collapsed="false">
      <c r="B9" s="11" t="s">
        <v>349</v>
      </c>
      <c r="C9" s="11" t="s">
        <v>350</v>
      </c>
      <c r="D9" s="27" t="n">
        <v>-63410</v>
      </c>
      <c r="E9" s="27" t="n">
        <v>0</v>
      </c>
      <c r="F9" s="22" t="n">
        <v>3</v>
      </c>
      <c r="G9" s="11" t="s">
        <v>5</v>
      </c>
    </row>
    <row r="10" customFormat="false" ht="15" hidden="false" customHeight="false" outlineLevel="0" collapsed="false">
      <c r="B10" s="11" t="s">
        <v>351</v>
      </c>
      <c r="C10" s="11" t="s">
        <v>350</v>
      </c>
      <c r="D10" s="27" t="n">
        <v>-27500</v>
      </c>
      <c r="E10" s="27" t="n">
        <v>0</v>
      </c>
      <c r="F10" s="22" t="n">
        <v>1</v>
      </c>
      <c r="G10" s="11" t="s">
        <v>5</v>
      </c>
    </row>
    <row r="11" customFormat="false" ht="15" hidden="false" customHeight="false" outlineLevel="0" collapsed="false">
      <c r="B11" s="11" t="s">
        <v>352</v>
      </c>
      <c r="C11" s="11" t="s">
        <v>350</v>
      </c>
      <c r="D11" s="27" t="n">
        <v>63410</v>
      </c>
      <c r="E11" s="27" t="n">
        <v>0</v>
      </c>
      <c r="F11" s="22" t="n">
        <v>3</v>
      </c>
      <c r="G11" s="11" t="s">
        <v>5</v>
      </c>
    </row>
    <row r="12" customFormat="false" ht="15" hidden="false" customHeight="false" outlineLevel="0" collapsed="false">
      <c r="B12" s="11" t="s">
        <v>353</v>
      </c>
      <c r="C12" s="11" t="s">
        <v>354</v>
      </c>
      <c r="D12" s="27" t="n">
        <v>-13000</v>
      </c>
      <c r="E12" s="27" t="n">
        <v>0</v>
      </c>
      <c r="F12" s="22" t="n">
        <v>3</v>
      </c>
      <c r="G12" s="11" t="s">
        <v>5</v>
      </c>
    </row>
    <row r="13" customFormat="false" ht="15" hidden="false" customHeight="false" outlineLevel="0" collapsed="false">
      <c r="B13" s="11" t="s">
        <v>355</v>
      </c>
      <c r="C13" s="11" t="s">
        <v>356</v>
      </c>
      <c r="D13" s="27" t="n">
        <v>-88536</v>
      </c>
      <c r="E13" s="27" t="n">
        <v>0</v>
      </c>
      <c r="F13" s="22" t="n">
        <v>8</v>
      </c>
      <c r="G13" s="11" t="s">
        <v>5</v>
      </c>
    </row>
    <row r="14" customFormat="false" ht="15" hidden="false" customHeight="false" outlineLevel="0" collapsed="false">
      <c r="B14" s="11" t="s">
        <v>357</v>
      </c>
      <c r="C14" s="11" t="s">
        <v>358</v>
      </c>
      <c r="D14" s="27" t="n">
        <v>-25758</v>
      </c>
      <c r="E14" s="27" t="n">
        <v>0</v>
      </c>
      <c r="F14" s="22" t="n">
        <v>3</v>
      </c>
      <c r="G14" s="11" t="s">
        <v>5</v>
      </c>
    </row>
    <row r="15" customFormat="false" ht="15" hidden="false" customHeight="false" outlineLevel="0" collapsed="false">
      <c r="B15" s="11" t="s">
        <v>130</v>
      </c>
      <c r="C15" s="11" t="s">
        <v>359</v>
      </c>
      <c r="D15" s="27" t="n">
        <v>-12200</v>
      </c>
      <c r="E15" s="27" t="n">
        <v>0</v>
      </c>
      <c r="F15" s="22" t="n">
        <v>2</v>
      </c>
      <c r="G15" s="11" t="s">
        <v>5</v>
      </c>
    </row>
    <row r="16" customFormat="false" ht="15" hidden="false" customHeight="false" outlineLevel="0" collapsed="false">
      <c r="B16" s="11" t="s">
        <v>360</v>
      </c>
      <c r="C16" s="11" t="s">
        <v>361</v>
      </c>
      <c r="D16" s="27" t="n">
        <v>-86525</v>
      </c>
      <c r="E16" s="27" t="n">
        <v>0</v>
      </c>
      <c r="F16" s="22" t="n">
        <v>6</v>
      </c>
      <c r="G16" s="11" t="s">
        <v>5</v>
      </c>
    </row>
    <row r="17" customFormat="false" ht="15" hidden="false" customHeight="false" outlineLevel="0" collapsed="false">
      <c r="B17" s="11" t="s">
        <v>362</v>
      </c>
      <c r="C17" s="11" t="s">
        <v>363</v>
      </c>
      <c r="D17" s="27" t="n">
        <v>-64815</v>
      </c>
      <c r="E17" s="27" t="n">
        <v>0</v>
      </c>
      <c r="F17" s="22" t="n">
        <v>4</v>
      </c>
      <c r="G17" s="11" t="s">
        <v>5</v>
      </c>
    </row>
    <row r="18" customFormat="false" ht="15" hidden="false" customHeight="false" outlineLevel="0" collapsed="false">
      <c r="B18" s="11" t="s">
        <v>364</v>
      </c>
      <c r="C18" s="11" t="s">
        <v>365</v>
      </c>
      <c r="D18" s="27" t="n">
        <v>-650</v>
      </c>
      <c r="E18" s="27" t="n">
        <v>0</v>
      </c>
      <c r="F18" s="22" t="n">
        <v>1</v>
      </c>
      <c r="G18" s="11" t="s">
        <v>5</v>
      </c>
    </row>
    <row r="19" customFormat="false" ht="15" hidden="false" customHeight="false" outlineLevel="0" collapsed="false">
      <c r="B19" s="11" t="s">
        <v>366</v>
      </c>
      <c r="C19" s="11" t="s">
        <v>365</v>
      </c>
      <c r="D19" s="27" t="n">
        <v>650</v>
      </c>
      <c r="E19" s="27" t="n">
        <v>0</v>
      </c>
      <c r="F19" s="22" t="n">
        <v>1</v>
      </c>
      <c r="G19" s="11" t="s">
        <v>5</v>
      </c>
    </row>
    <row r="20" customFormat="false" ht="15" hidden="false" customHeight="false" outlineLevel="0" collapsed="false">
      <c r="B20" s="11" t="s">
        <v>367</v>
      </c>
      <c r="C20" s="11" t="s">
        <v>365</v>
      </c>
      <c r="D20" s="27" t="n">
        <v>-2000</v>
      </c>
      <c r="E20" s="27" t="n">
        <v>0</v>
      </c>
      <c r="F20" s="22" t="n">
        <v>2</v>
      </c>
      <c r="G20" s="11" t="s">
        <v>5</v>
      </c>
    </row>
    <row r="21" customFormat="false" ht="15" hidden="false" customHeight="false" outlineLevel="0" collapsed="false">
      <c r="B21" s="11" t="s">
        <v>368</v>
      </c>
      <c r="C21" s="11" t="s">
        <v>369</v>
      </c>
      <c r="D21" s="27" t="n">
        <v>-131284</v>
      </c>
      <c r="E21" s="27" t="n">
        <v>0</v>
      </c>
      <c r="F21" s="22" t="n">
        <v>6</v>
      </c>
      <c r="G21" s="11" t="s">
        <v>5</v>
      </c>
    </row>
    <row r="22" customFormat="false" ht="15" hidden="false" customHeight="false" outlineLevel="0" collapsed="false">
      <c r="B22" s="11" t="s">
        <v>370</v>
      </c>
      <c r="C22" s="11" t="s">
        <v>371</v>
      </c>
      <c r="D22" s="27" t="n">
        <v>-189861</v>
      </c>
      <c r="E22" s="27" t="n">
        <v>0</v>
      </c>
      <c r="F22" s="22" t="n">
        <v>9</v>
      </c>
      <c r="G22" s="11" t="s">
        <v>5</v>
      </c>
    </row>
    <row r="23" customFormat="false" ht="15" hidden="false" customHeight="false" outlineLevel="0" collapsed="false">
      <c r="B23" s="11" t="s">
        <v>372</v>
      </c>
      <c r="C23" s="11" t="s">
        <v>373</v>
      </c>
      <c r="D23" s="27" t="n">
        <v>-70010</v>
      </c>
      <c r="E23" s="27" t="n">
        <v>0</v>
      </c>
      <c r="F23" s="22" t="n">
        <v>5</v>
      </c>
      <c r="G23" s="11" t="s">
        <v>5</v>
      </c>
    </row>
    <row r="24" customFormat="false" ht="15" hidden="false" customHeight="false" outlineLevel="0" collapsed="false">
      <c r="B24" s="18" t="s">
        <v>374</v>
      </c>
      <c r="D24" s="16" t="n">
        <f aca="false">SUM(D6:D23)</f>
        <v>-855264</v>
      </c>
      <c r="E24" s="16" t="n">
        <f aca="false">SUM(E6:E23)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375</v>
      </c>
    </row>
    <row r="3" customFormat="false" ht="21.75" hidden="false" customHeight="true" outlineLevel="0" collapsed="false">
      <c r="B3" s="2" t="s">
        <v>376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377</v>
      </c>
      <c r="C5" s="3" t="s">
        <v>378</v>
      </c>
      <c r="D5" s="3" t="s">
        <v>379</v>
      </c>
      <c r="E5" s="3" t="s">
        <v>380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381</v>
      </c>
      <c r="D6" s="11" t="s">
        <v>382</v>
      </c>
      <c r="E6" s="13" t="s">
        <v>383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384</v>
      </c>
      <c r="D7" s="11" t="s">
        <v>385</v>
      </c>
      <c r="E7" s="13" t="s">
        <v>383</v>
      </c>
      <c r="F7" s="11" t="s">
        <v>386</v>
      </c>
    </row>
    <row r="8" customFormat="false" ht="15" hidden="false" customHeight="false" outlineLevel="0" collapsed="false">
      <c r="B8" s="11" t="n">
        <v>3</v>
      </c>
      <c r="C8" s="11" t="s">
        <v>387</v>
      </c>
      <c r="D8" s="11" t="s">
        <v>388</v>
      </c>
      <c r="E8" s="13" t="s">
        <v>383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389</v>
      </c>
      <c r="D9" s="11" t="s">
        <v>390</v>
      </c>
      <c r="E9" s="13" t="s">
        <v>383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391</v>
      </c>
      <c r="D10" s="11" t="s">
        <v>392</v>
      </c>
      <c r="E10" s="13" t="s">
        <v>383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393</v>
      </c>
      <c r="D11" s="11" t="s">
        <v>394</v>
      </c>
      <c r="E11" s="13" t="s">
        <v>383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395</v>
      </c>
      <c r="D12" s="11" t="s">
        <v>396</v>
      </c>
      <c r="E12" s="13" t="s">
        <v>383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397</v>
      </c>
      <c r="D13" s="11" t="s">
        <v>398</v>
      </c>
      <c r="E13" s="13" t="s">
        <v>383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399</v>
      </c>
      <c r="D14" s="11" t="s">
        <v>400</v>
      </c>
      <c r="E14" s="13" t="s">
        <v>383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401</v>
      </c>
      <c r="D15" s="11" t="s">
        <v>402</v>
      </c>
      <c r="E15" s="13" t="s">
        <v>383</v>
      </c>
      <c r="F15" s="11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404</v>
      </c>
    </row>
    <row r="3" customFormat="false" ht="21.75" hidden="false" customHeight="true" outlineLevel="0" collapsed="false">
      <c r="B3" s="2" t="s">
        <v>405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406</v>
      </c>
      <c r="C5" s="3" t="s">
        <v>407</v>
      </c>
      <c r="D5" s="3" t="s">
        <v>263</v>
      </c>
      <c r="E5" s="3" t="s">
        <v>145</v>
      </c>
      <c r="F5" s="3" t="s">
        <v>264</v>
      </c>
      <c r="G5" s="3" t="s">
        <v>380</v>
      </c>
      <c r="H5" s="3" t="s">
        <v>408</v>
      </c>
    </row>
    <row r="6" customFormat="false" ht="15" hidden="false" customHeight="false" outlineLevel="0" collapsed="false">
      <c r="B6" s="11" t="s">
        <v>409</v>
      </c>
      <c r="C6" s="11" t="s">
        <v>410</v>
      </c>
      <c r="D6" s="11" t="s">
        <v>4</v>
      </c>
      <c r="E6" s="11" t="s">
        <v>411</v>
      </c>
      <c r="F6" s="11" t="s">
        <v>412</v>
      </c>
      <c r="G6" s="13" t="s">
        <v>383</v>
      </c>
      <c r="H6" s="11" t="s">
        <v>5</v>
      </c>
    </row>
    <row r="7" customFormat="false" ht="15" hidden="false" customHeight="false" outlineLevel="0" collapsed="false">
      <c r="B7" s="11" t="s">
        <v>413</v>
      </c>
      <c r="C7" s="11" t="s">
        <v>414</v>
      </c>
      <c r="D7" s="11" t="s">
        <v>415</v>
      </c>
      <c r="E7" s="11" t="s">
        <v>411</v>
      </c>
      <c r="F7" s="11"/>
      <c r="G7" s="13" t="s">
        <v>383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416</v>
      </c>
      <c r="D8" s="11" t="s">
        <v>12</v>
      </c>
      <c r="E8" s="11" t="s">
        <v>411</v>
      </c>
      <c r="F8" s="11"/>
      <c r="G8" s="13" t="s">
        <v>383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417</v>
      </c>
      <c r="D9" s="11" t="s">
        <v>17</v>
      </c>
      <c r="E9" s="11" t="s">
        <v>411</v>
      </c>
      <c r="F9" s="11"/>
      <c r="G9" s="13" t="s">
        <v>383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418</v>
      </c>
      <c r="D10" s="11" t="s">
        <v>35</v>
      </c>
      <c r="E10" s="11" t="s">
        <v>411</v>
      </c>
      <c r="F10" s="11"/>
      <c r="G10" s="13" t="s">
        <v>383</v>
      </c>
      <c r="H10" s="11" t="s">
        <v>36</v>
      </c>
    </row>
    <row r="11" customFormat="false" ht="15" hidden="false" customHeight="false" outlineLevel="0" collapsed="false">
      <c r="B11" s="11" t="s">
        <v>419</v>
      </c>
      <c r="C11" s="11" t="s">
        <v>420</v>
      </c>
      <c r="D11" s="11" t="s">
        <v>28</v>
      </c>
      <c r="E11" s="11" t="s">
        <v>411</v>
      </c>
      <c r="F11" s="11"/>
      <c r="G11" s="13" t="s">
        <v>383</v>
      </c>
      <c r="H11" s="11" t="s">
        <v>13</v>
      </c>
    </row>
    <row r="12" customFormat="false" ht="15" hidden="false" customHeight="false" outlineLevel="0" collapsed="false">
      <c r="B12" s="11" t="s">
        <v>421</v>
      </c>
      <c r="C12" s="11" t="s">
        <v>422</v>
      </c>
      <c r="D12" s="11" t="s">
        <v>423</v>
      </c>
      <c r="E12" s="11" t="s">
        <v>411</v>
      </c>
      <c r="F12" s="11"/>
      <c r="G12" s="13" t="s">
        <v>383</v>
      </c>
      <c r="H12" s="11" t="s">
        <v>424</v>
      </c>
    </row>
    <row r="13" customFormat="false" ht="15" hidden="false" customHeight="false" outlineLevel="0" collapsed="false">
      <c r="B13" s="11" t="s">
        <v>425</v>
      </c>
      <c r="C13" s="11" t="s">
        <v>426</v>
      </c>
      <c r="D13" s="11" t="s">
        <v>30</v>
      </c>
      <c r="E13" s="11" t="s">
        <v>411</v>
      </c>
      <c r="F13" s="11"/>
      <c r="G13" s="13" t="s">
        <v>383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427</v>
      </c>
      <c r="D14" s="11" t="s">
        <v>19</v>
      </c>
      <c r="E14" s="11" t="s">
        <v>411</v>
      </c>
      <c r="F14" s="11"/>
      <c r="G14" s="13" t="s">
        <v>383</v>
      </c>
      <c r="H14" s="11" t="s">
        <v>20</v>
      </c>
    </row>
    <row r="15" customFormat="false" ht="15" hidden="false" customHeight="false" outlineLevel="0" collapsed="false">
      <c r="B15" s="11" t="s">
        <v>428</v>
      </c>
      <c r="C15" s="11" t="s">
        <v>429</v>
      </c>
      <c r="D15" s="11" t="s">
        <v>22</v>
      </c>
      <c r="E15" s="11" t="s">
        <v>411</v>
      </c>
      <c r="F15" s="11"/>
      <c r="G15" s="13" t="s">
        <v>383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430</v>
      </c>
      <c r="D16" s="11" t="s">
        <v>26</v>
      </c>
      <c r="E16" s="11" t="s">
        <v>411</v>
      </c>
      <c r="F16" s="11"/>
      <c r="G16" s="13" t="s">
        <v>383</v>
      </c>
      <c r="H16" s="11" t="s">
        <v>20</v>
      </c>
    </row>
    <row r="17" customFormat="false" ht="15" hidden="false" customHeight="false" outlineLevel="0" collapsed="false">
      <c r="B17" s="11" t="s">
        <v>431</v>
      </c>
      <c r="C17" s="11" t="s">
        <v>432</v>
      </c>
      <c r="D17" s="11" t="s">
        <v>327</v>
      </c>
      <c r="E17" s="11" t="s">
        <v>411</v>
      </c>
      <c r="F17" s="11"/>
      <c r="G17" s="13" t="s">
        <v>383</v>
      </c>
      <c r="H17" s="11" t="s">
        <v>20</v>
      </c>
    </row>
    <row r="18" customFormat="false" ht="15" hidden="false" customHeight="false" outlineLevel="0" collapsed="false">
      <c r="B18" s="11" t="s">
        <v>433</v>
      </c>
      <c r="C18" s="11" t="s">
        <v>434</v>
      </c>
      <c r="D18" s="11" t="s">
        <v>435</v>
      </c>
      <c r="E18" s="11" t="s">
        <v>411</v>
      </c>
      <c r="F18" s="11"/>
      <c r="G18" s="13" t="s">
        <v>383</v>
      </c>
      <c r="H18" s="11" t="s">
        <v>5</v>
      </c>
    </row>
    <row r="19" customFormat="false" ht="15" hidden="false" customHeight="false" outlineLevel="0" collapsed="false">
      <c r="B19" s="11" t="s">
        <v>436</v>
      </c>
      <c r="C19" s="11" t="s">
        <v>437</v>
      </c>
      <c r="D19" s="11" t="s">
        <v>438</v>
      </c>
      <c r="E19" s="11" t="s">
        <v>411</v>
      </c>
      <c r="F19" s="11"/>
      <c r="G19" s="13" t="s">
        <v>383</v>
      </c>
      <c r="H19" s="11" t="s">
        <v>5</v>
      </c>
    </row>
    <row r="20" customFormat="false" ht="15" hidden="false" customHeight="false" outlineLevel="0" collapsed="false">
      <c r="B20" s="11" t="s">
        <v>439</v>
      </c>
      <c r="C20" s="11" t="s">
        <v>440</v>
      </c>
      <c r="D20" s="22" t="n">
        <v>24</v>
      </c>
      <c r="E20" s="11" t="s">
        <v>411</v>
      </c>
      <c r="F20" s="11"/>
      <c r="G20" s="13" t="s">
        <v>383</v>
      </c>
      <c r="H20" s="11" t="s">
        <v>272</v>
      </c>
    </row>
    <row r="21" customFormat="false" ht="15" hidden="false" customHeight="false" outlineLevel="0" collapsed="false">
      <c r="B21" s="11" t="s">
        <v>39</v>
      </c>
      <c r="C21" s="11" t="s">
        <v>441</v>
      </c>
      <c r="D21" s="22" t="n">
        <v>75</v>
      </c>
      <c r="E21" s="11" t="s">
        <v>411</v>
      </c>
      <c r="F21" s="11" t="s">
        <v>442</v>
      </c>
      <c r="G21" s="13" t="s">
        <v>383</v>
      </c>
      <c r="H21" s="11" t="s">
        <v>443</v>
      </c>
    </row>
    <row r="22" customFormat="false" ht="15" hidden="false" customHeight="false" outlineLevel="0" collapsed="false">
      <c r="B22" s="11" t="s">
        <v>444</v>
      </c>
      <c r="C22" s="11" t="s">
        <v>445</v>
      </c>
      <c r="D22" s="22" t="n">
        <v>634</v>
      </c>
      <c r="E22" s="11" t="s">
        <v>411</v>
      </c>
      <c r="F22" s="11" t="s">
        <v>446</v>
      </c>
      <c r="G22" s="13" t="s">
        <v>383</v>
      </c>
      <c r="H22" s="11" t="s">
        <v>443</v>
      </c>
    </row>
    <row r="23" customFormat="false" ht="15" hidden="false" customHeight="false" outlineLevel="0" collapsed="false">
      <c r="B23" s="11" t="s">
        <v>447</v>
      </c>
      <c r="C23" s="11" t="s">
        <v>448</v>
      </c>
      <c r="D23" s="9" t="n">
        <v>832900</v>
      </c>
      <c r="E23" s="11" t="s">
        <v>449</v>
      </c>
      <c r="F23" s="11"/>
      <c r="G23" s="13" t="s">
        <v>383</v>
      </c>
      <c r="H23" s="11" t="s">
        <v>13</v>
      </c>
    </row>
    <row r="24" customFormat="false" ht="15" hidden="false" customHeight="false" outlineLevel="0" collapsed="false">
      <c r="B24" s="11" t="s">
        <v>450</v>
      </c>
      <c r="C24" s="11" t="s">
        <v>451</v>
      </c>
      <c r="D24" s="9" t="n">
        <v>855264</v>
      </c>
      <c r="E24" s="11" t="s">
        <v>449</v>
      </c>
      <c r="F24" s="11"/>
      <c r="G24" s="13" t="s">
        <v>383</v>
      </c>
      <c r="H24" s="11" t="s">
        <v>13</v>
      </c>
    </row>
    <row r="25" customFormat="false" ht="15" hidden="false" customHeight="false" outlineLevel="0" collapsed="false">
      <c r="B25" s="11" t="s">
        <v>452</v>
      </c>
      <c r="C25" s="11" t="s">
        <v>453</v>
      </c>
      <c r="D25" s="9" t="n">
        <v>22364</v>
      </c>
      <c r="E25" s="11" t="s">
        <v>449</v>
      </c>
      <c r="F25" s="11" t="s">
        <v>454</v>
      </c>
      <c r="G25" s="13" t="s">
        <v>383</v>
      </c>
      <c r="H25" s="11" t="s">
        <v>386</v>
      </c>
    </row>
    <row r="26" customFormat="false" ht="15" hidden="false" customHeight="false" outlineLevel="0" collapsed="false">
      <c r="B26" s="11" t="s">
        <v>455</v>
      </c>
      <c r="C26" s="11" t="s">
        <v>456</v>
      </c>
      <c r="D26" s="26" t="n">
        <v>0.0268507623964462</v>
      </c>
      <c r="E26" s="11" t="s">
        <v>449</v>
      </c>
      <c r="F26" s="11"/>
      <c r="G26" s="13" t="s">
        <v>383</v>
      </c>
      <c r="H26" s="11" t="s">
        <v>272</v>
      </c>
    </row>
    <row r="27" customFormat="false" ht="15" hidden="false" customHeight="false" outlineLevel="0" collapsed="false">
      <c r="B27" s="11" t="s">
        <v>457</v>
      </c>
      <c r="C27" s="11" t="s">
        <v>458</v>
      </c>
      <c r="D27" s="9" t="n">
        <v>855264</v>
      </c>
      <c r="E27" s="11" t="s">
        <v>449</v>
      </c>
      <c r="F27" s="11" t="s">
        <v>459</v>
      </c>
      <c r="G27" s="13" t="s">
        <v>383</v>
      </c>
      <c r="H27" s="11" t="s">
        <v>5</v>
      </c>
    </row>
    <row r="28" customFormat="false" ht="15" hidden="false" customHeight="false" outlineLevel="0" collapsed="false">
      <c r="B28" s="11" t="s">
        <v>460</v>
      </c>
      <c r="C28" s="11" t="s">
        <v>461</v>
      </c>
      <c r="D28" s="9" t="n">
        <v>588885.61</v>
      </c>
      <c r="E28" s="11" t="s">
        <v>449</v>
      </c>
      <c r="F28" s="11" t="s">
        <v>462</v>
      </c>
      <c r="G28" s="13" t="s">
        <v>383</v>
      </c>
      <c r="H28" s="11" t="s">
        <v>5</v>
      </c>
    </row>
    <row r="29" customFormat="false" ht="15" hidden="false" customHeight="false" outlineLevel="0" collapsed="false">
      <c r="B29" s="11" t="s">
        <v>463</v>
      </c>
      <c r="C29" s="11" t="s">
        <v>464</v>
      </c>
      <c r="D29" s="9" t="n">
        <v>266378.39</v>
      </c>
      <c r="E29" s="11" t="s">
        <v>449</v>
      </c>
      <c r="F29" s="11" t="s">
        <v>465</v>
      </c>
      <c r="G29" s="13" t="s">
        <v>383</v>
      </c>
      <c r="H29" s="11" t="s">
        <v>5</v>
      </c>
    </row>
    <row r="30" customFormat="false" ht="15" hidden="false" customHeight="false" outlineLevel="0" collapsed="false">
      <c r="B30" s="11" t="s">
        <v>303</v>
      </c>
      <c r="C30" s="11" t="s">
        <v>466</v>
      </c>
      <c r="D30" s="26" t="n">
        <v>0.311457503180305</v>
      </c>
      <c r="E30" s="11" t="s">
        <v>449</v>
      </c>
      <c r="F30" s="11"/>
      <c r="G30" s="13" t="s">
        <v>383</v>
      </c>
      <c r="H30" s="11" t="s">
        <v>272</v>
      </c>
    </row>
    <row r="31" customFormat="false" ht="15" hidden="false" customHeight="false" outlineLevel="0" collapsed="false">
      <c r="B31" s="11" t="s">
        <v>467</v>
      </c>
      <c r="C31" s="11" t="s">
        <v>468</v>
      </c>
      <c r="D31" s="9" t="n">
        <v>0</v>
      </c>
      <c r="E31" s="11" t="s">
        <v>449</v>
      </c>
      <c r="F31" s="11" t="s">
        <v>469</v>
      </c>
      <c r="G31" s="13" t="s">
        <v>383</v>
      </c>
      <c r="H31" s="11" t="s">
        <v>5</v>
      </c>
    </row>
    <row r="32" customFormat="false" ht="15" hidden="false" customHeight="false" outlineLevel="0" collapsed="false">
      <c r="B32" s="11" t="s">
        <v>470</v>
      </c>
      <c r="C32" s="11" t="s">
        <v>471</v>
      </c>
      <c r="D32" s="26" t="n">
        <v>0</v>
      </c>
      <c r="E32" s="11" t="s">
        <v>449</v>
      </c>
      <c r="F32" s="11"/>
      <c r="G32" s="13" t="s">
        <v>383</v>
      </c>
      <c r="H32" s="11" t="s">
        <v>272</v>
      </c>
    </row>
    <row r="33" customFormat="false" ht="15" hidden="false" customHeight="false" outlineLevel="0" collapsed="false">
      <c r="B33" s="11" t="s">
        <v>472</v>
      </c>
      <c r="C33" s="11" t="s">
        <v>473</v>
      </c>
      <c r="D33" s="9" t="n">
        <v>219024.35</v>
      </c>
      <c r="E33" s="11" t="s">
        <v>150</v>
      </c>
      <c r="F33" s="11" t="s">
        <v>474</v>
      </c>
      <c r="G33" s="13" t="s">
        <v>383</v>
      </c>
      <c r="H33" s="11" t="s">
        <v>5</v>
      </c>
    </row>
    <row r="34" customFormat="false" ht="15" hidden="false" customHeight="false" outlineLevel="0" collapsed="false">
      <c r="B34" s="11" t="s">
        <v>475</v>
      </c>
      <c r="C34" s="11" t="s">
        <v>476</v>
      </c>
      <c r="D34" s="9" t="n">
        <v>216377.88</v>
      </c>
      <c r="E34" s="11" t="s">
        <v>152</v>
      </c>
      <c r="F34" s="11" t="s">
        <v>477</v>
      </c>
      <c r="G34" s="13" t="s">
        <v>383</v>
      </c>
      <c r="H34" s="11" t="s">
        <v>5</v>
      </c>
    </row>
    <row r="35" customFormat="false" ht="15" hidden="false" customHeight="false" outlineLevel="0" collapsed="false">
      <c r="B35" s="11" t="s">
        <v>478</v>
      </c>
      <c r="C35" s="11" t="s">
        <v>479</v>
      </c>
      <c r="D35" s="9" t="n">
        <v>39065.99</v>
      </c>
      <c r="E35" s="11" t="s">
        <v>449</v>
      </c>
      <c r="F35" s="11" t="s">
        <v>480</v>
      </c>
      <c r="G35" s="13" t="s">
        <v>383</v>
      </c>
      <c r="H35" s="11" t="s">
        <v>5</v>
      </c>
    </row>
    <row r="36" customFormat="false" ht="15" hidden="false" customHeight="false" outlineLevel="0" collapsed="false">
      <c r="B36" s="11" t="s">
        <v>481</v>
      </c>
      <c r="C36" s="11" t="s">
        <v>482</v>
      </c>
      <c r="D36" s="9" t="n">
        <v>97584.65</v>
      </c>
      <c r="E36" s="11" t="s">
        <v>150</v>
      </c>
      <c r="F36" s="11" t="s">
        <v>483</v>
      </c>
      <c r="G36" s="13" t="s">
        <v>383</v>
      </c>
      <c r="H36" s="11" t="s">
        <v>5</v>
      </c>
    </row>
    <row r="37" customFormat="false" ht="15" hidden="false" customHeight="false" outlineLevel="0" collapsed="false">
      <c r="B37" s="11" t="s">
        <v>484</v>
      </c>
      <c r="C37" s="11" t="s">
        <v>485</v>
      </c>
      <c r="D37" s="9" t="n">
        <v>16832.74</v>
      </c>
      <c r="E37" s="11" t="s">
        <v>150</v>
      </c>
      <c r="F37" s="11" t="s">
        <v>486</v>
      </c>
      <c r="G37" s="13" t="s">
        <v>383</v>
      </c>
      <c r="H37" s="11" t="s">
        <v>5</v>
      </c>
    </row>
    <row r="38" customFormat="false" ht="15" hidden="false" customHeight="false" outlineLevel="0" collapsed="false">
      <c r="B38" s="11" t="s">
        <v>267</v>
      </c>
      <c r="C38" s="11" t="s">
        <v>487</v>
      </c>
      <c r="D38" s="10" t="n">
        <v>7722.75</v>
      </c>
      <c r="E38" s="11" t="s">
        <v>150</v>
      </c>
      <c r="F38" s="11" t="s">
        <v>488</v>
      </c>
      <c r="G38" s="13" t="s">
        <v>383</v>
      </c>
      <c r="H38" s="11" t="s">
        <v>5</v>
      </c>
    </row>
    <row r="39" customFormat="false" ht="15" hidden="false" customHeight="false" outlineLevel="0" collapsed="false">
      <c r="B39" s="11" t="s">
        <v>265</v>
      </c>
      <c r="C39" s="11" t="s">
        <v>489</v>
      </c>
      <c r="D39" s="22" t="n">
        <v>24</v>
      </c>
      <c r="E39" s="11" t="s">
        <v>150</v>
      </c>
      <c r="F39" s="11" t="s">
        <v>490</v>
      </c>
      <c r="G39" s="13" t="s">
        <v>383</v>
      </c>
      <c r="H39" s="11" t="s">
        <v>5</v>
      </c>
    </row>
    <row r="40" customFormat="false" ht="15" hidden="false" customHeight="false" outlineLevel="0" collapsed="false">
      <c r="B40" s="11" t="s">
        <v>491</v>
      </c>
      <c r="C40" s="11" t="s">
        <v>492</v>
      </c>
      <c r="D40" s="9" t="n">
        <v>28.3609271308796</v>
      </c>
      <c r="E40" s="11" t="s">
        <v>150</v>
      </c>
      <c r="F40" s="11"/>
      <c r="G40" s="13" t="s">
        <v>383</v>
      </c>
      <c r="H40" s="11" t="s">
        <v>272</v>
      </c>
    </row>
    <row r="41" customFormat="false" ht="15" hidden="false" customHeight="false" outlineLevel="0" collapsed="false">
      <c r="B41" s="11" t="s">
        <v>493</v>
      </c>
      <c r="C41" s="11" t="s">
        <v>494</v>
      </c>
      <c r="D41" s="9" t="n">
        <v>58.1227</v>
      </c>
      <c r="E41" s="11" t="s">
        <v>150</v>
      </c>
      <c r="F41" s="11"/>
      <c r="G41" s="13" t="s">
        <v>383</v>
      </c>
      <c r="H41" s="11" t="s">
        <v>272</v>
      </c>
    </row>
    <row r="42" customFormat="false" ht="15" hidden="false" customHeight="false" outlineLevel="0" collapsed="false">
      <c r="B42" s="11" t="s">
        <v>295</v>
      </c>
      <c r="C42" s="11" t="s">
        <v>495</v>
      </c>
      <c r="D42" s="25" t="n">
        <v>1.3421</v>
      </c>
      <c r="E42" s="11" t="s">
        <v>150</v>
      </c>
      <c r="F42" s="11"/>
      <c r="G42" s="13" t="s">
        <v>383</v>
      </c>
      <c r="H42" s="11" t="s">
        <v>272</v>
      </c>
    </row>
    <row r="43" customFormat="false" ht="15" hidden="false" customHeight="false" outlineLevel="0" collapsed="false">
      <c r="B43" s="11" t="s">
        <v>496</v>
      </c>
      <c r="C43" s="11" t="s">
        <v>497</v>
      </c>
      <c r="D43" s="10" t="n">
        <v>5294.75</v>
      </c>
      <c r="E43" s="11" t="s">
        <v>150</v>
      </c>
      <c r="F43" s="11" t="s">
        <v>498</v>
      </c>
      <c r="G43" s="13" t="s">
        <v>383</v>
      </c>
      <c r="H43" s="11" t="s">
        <v>5</v>
      </c>
    </row>
    <row r="44" customFormat="false" ht="15" hidden="false" customHeight="false" outlineLevel="0" collapsed="false">
      <c r="B44" s="11" t="s">
        <v>499</v>
      </c>
      <c r="C44" s="11" t="s">
        <v>500</v>
      </c>
      <c r="D44" s="10" t="n">
        <v>741.5</v>
      </c>
      <c r="E44" s="11" t="s">
        <v>150</v>
      </c>
      <c r="F44" s="11" t="s">
        <v>501</v>
      </c>
      <c r="G44" s="13" t="s">
        <v>383</v>
      </c>
      <c r="H44" s="11" t="s">
        <v>5</v>
      </c>
    </row>
    <row r="45" customFormat="false" ht="15" hidden="false" customHeight="false" outlineLevel="0" collapsed="false">
      <c r="B45" s="11" t="s">
        <v>502</v>
      </c>
      <c r="C45" s="11" t="s">
        <v>503</v>
      </c>
      <c r="D45" s="9" t="n">
        <v>110.746042536661</v>
      </c>
      <c r="E45" s="11" t="s">
        <v>504</v>
      </c>
      <c r="F45" s="11"/>
      <c r="G45" s="13" t="s">
        <v>383</v>
      </c>
      <c r="H45" s="11" t="s">
        <v>272</v>
      </c>
    </row>
    <row r="46" customFormat="false" ht="15" hidden="false" customHeight="false" outlineLevel="0" collapsed="false">
      <c r="B46" s="11" t="s">
        <v>505</v>
      </c>
      <c r="C46" s="11" t="s">
        <v>506</v>
      </c>
      <c r="D46" s="9" t="n">
        <v>34.4926858955683</v>
      </c>
      <c r="E46" s="11" t="s">
        <v>504</v>
      </c>
      <c r="F46" s="11"/>
      <c r="G46" s="13" t="s">
        <v>383</v>
      </c>
      <c r="H46" s="11" t="s">
        <v>272</v>
      </c>
    </row>
    <row r="47" customFormat="false" ht="15" hidden="false" customHeight="false" outlineLevel="0" collapsed="false">
      <c r="B47" s="11" t="s">
        <v>507</v>
      </c>
      <c r="C47" s="11" t="s">
        <v>508</v>
      </c>
      <c r="D47" s="9" t="n">
        <v>11403.52</v>
      </c>
      <c r="E47" s="11" t="s">
        <v>504</v>
      </c>
      <c r="F47" s="11" t="s">
        <v>310</v>
      </c>
      <c r="G47" s="13" t="s">
        <v>383</v>
      </c>
      <c r="H47" s="11" t="s">
        <v>272</v>
      </c>
    </row>
    <row r="48" customFormat="false" ht="15" hidden="false" customHeight="false" outlineLevel="0" collapsed="false">
      <c r="B48" s="11" t="s">
        <v>314</v>
      </c>
      <c r="C48" s="11" t="s">
        <v>509</v>
      </c>
      <c r="D48" s="9" t="n">
        <v>7851.80813333333</v>
      </c>
      <c r="E48" s="11" t="s">
        <v>504</v>
      </c>
      <c r="F48" s="11"/>
      <c r="G48" s="13" t="s">
        <v>383</v>
      </c>
      <c r="H48" s="11" t="s">
        <v>272</v>
      </c>
    </row>
    <row r="49" customFormat="false" ht="15" hidden="false" customHeight="false" outlineLevel="0" collapsed="false">
      <c r="B49" s="11" t="s">
        <v>510</v>
      </c>
      <c r="C49" s="11" t="s">
        <v>511</v>
      </c>
      <c r="D49" s="10" t="n">
        <v>102.97</v>
      </c>
      <c r="E49" s="11" t="s">
        <v>504</v>
      </c>
      <c r="F49" s="11"/>
      <c r="G49" s="13" t="s">
        <v>383</v>
      </c>
      <c r="H49" s="11" t="s">
        <v>272</v>
      </c>
    </row>
    <row r="50" customFormat="false" ht="15" hidden="false" customHeight="false" outlineLevel="0" collapsed="false">
      <c r="B50" s="11" t="s">
        <v>316</v>
      </c>
      <c r="C50" s="11" t="s">
        <v>512</v>
      </c>
      <c r="D50" s="9" t="n">
        <v>1348.99684542587</v>
      </c>
      <c r="E50" s="11" t="s">
        <v>504</v>
      </c>
      <c r="F50" s="11" t="s">
        <v>317</v>
      </c>
      <c r="G50" s="13" t="s">
        <v>383</v>
      </c>
      <c r="H50" s="11" t="s">
        <v>272</v>
      </c>
    </row>
    <row r="51" customFormat="false" ht="15" hidden="false" customHeight="false" outlineLevel="0" collapsed="false">
      <c r="B51" s="11" t="s">
        <v>304</v>
      </c>
      <c r="C51" s="11" t="s">
        <v>513</v>
      </c>
      <c r="D51" s="26" t="n">
        <v>0.256089757080855</v>
      </c>
      <c r="E51" s="11" t="s">
        <v>514</v>
      </c>
      <c r="F51" s="11"/>
      <c r="G51" s="13" t="s">
        <v>383</v>
      </c>
      <c r="H51" s="11" t="s">
        <v>272</v>
      </c>
    </row>
    <row r="52" customFormat="false" ht="15" hidden="false" customHeight="false" outlineLevel="0" collapsed="false">
      <c r="B52" s="11" t="s">
        <v>305</v>
      </c>
      <c r="C52" s="11" t="s">
        <v>515</v>
      </c>
      <c r="D52" s="26" t="n">
        <v>0.252995425973734</v>
      </c>
      <c r="E52" s="11" t="s">
        <v>514</v>
      </c>
      <c r="F52" s="11"/>
      <c r="G52" s="13" t="s">
        <v>383</v>
      </c>
      <c r="H52" s="11" t="s">
        <v>272</v>
      </c>
    </row>
    <row r="53" customFormat="false" ht="15" hidden="false" customHeight="false" outlineLevel="0" collapsed="false">
      <c r="B53" s="11" t="s">
        <v>516</v>
      </c>
      <c r="C53" s="11" t="s">
        <v>517</v>
      </c>
      <c r="D53" s="22" t="n">
        <v>17</v>
      </c>
      <c r="E53" s="11" t="s">
        <v>152</v>
      </c>
      <c r="F53" s="11"/>
      <c r="G53" s="13" t="s">
        <v>383</v>
      </c>
      <c r="H53" s="11" t="s">
        <v>5</v>
      </c>
    </row>
    <row r="54" customFormat="false" ht="15" hidden="false" customHeight="false" outlineLevel="0" collapsed="false">
      <c r="B54" s="11" t="s">
        <v>518</v>
      </c>
      <c r="C54" s="11" t="s">
        <v>519</v>
      </c>
      <c r="D54" s="22" t="n">
        <v>18</v>
      </c>
      <c r="E54" s="11" t="s">
        <v>520</v>
      </c>
      <c r="F54" s="11"/>
      <c r="G54" s="13" t="s">
        <v>383</v>
      </c>
      <c r="H54" s="11" t="s">
        <v>5</v>
      </c>
    </row>
    <row r="55" customFormat="false" ht="15" hidden="false" customHeight="false" outlineLevel="0" collapsed="false">
      <c r="B55" s="11" t="s">
        <v>521</v>
      </c>
      <c r="C55" s="11" t="s">
        <v>522</v>
      </c>
      <c r="D55" s="26" t="n">
        <v>0.189569777605128</v>
      </c>
      <c r="E55" s="11" t="s">
        <v>523</v>
      </c>
      <c r="F55" s="11"/>
      <c r="G55" s="13" t="s">
        <v>383</v>
      </c>
      <c r="H55" s="11" t="s">
        <v>272</v>
      </c>
    </row>
    <row r="56" customFormat="false" ht="15" hidden="false" customHeight="false" outlineLevel="0" collapsed="false">
      <c r="B56" s="11" t="s">
        <v>524</v>
      </c>
      <c r="C56" s="11" t="s">
        <v>525</v>
      </c>
      <c r="D56" s="26" t="n">
        <v>0.627334822440193</v>
      </c>
      <c r="E56" s="11" t="s">
        <v>523</v>
      </c>
      <c r="F56" s="11"/>
      <c r="G56" s="13" t="s">
        <v>383</v>
      </c>
      <c r="H56" s="11" t="s">
        <v>272</v>
      </c>
    </row>
    <row r="57" customFormat="false" ht="15" hidden="false" customHeight="false" outlineLevel="0" collapsed="false">
      <c r="B57" s="11" t="s">
        <v>526</v>
      </c>
      <c r="C57" s="11" t="s">
        <v>527</v>
      </c>
      <c r="D57" s="22" t="n">
        <v>27</v>
      </c>
      <c r="E57" s="11" t="s">
        <v>528</v>
      </c>
      <c r="F57" s="11"/>
      <c r="G57" s="13" t="s">
        <v>383</v>
      </c>
      <c r="H57" s="11" t="s">
        <v>5</v>
      </c>
    </row>
    <row r="58" customFormat="false" ht="15" hidden="false" customHeight="false" outlineLevel="0" collapsed="false">
      <c r="B58" s="11" t="s">
        <v>529</v>
      </c>
      <c r="C58" s="11" t="s">
        <v>530</v>
      </c>
      <c r="D58" s="22" t="n">
        <v>8</v>
      </c>
      <c r="E58" s="11" t="s">
        <v>531</v>
      </c>
      <c r="F58" s="11"/>
      <c r="G58" s="13" t="s">
        <v>383</v>
      </c>
      <c r="H58" s="11" t="s">
        <v>532</v>
      </c>
    </row>
    <row r="59" customFormat="false" ht="15" hidden="false" customHeight="false" outlineLevel="0" collapsed="false">
      <c r="B59" s="11" t="s">
        <v>533</v>
      </c>
      <c r="C59" s="11" t="s">
        <v>534</v>
      </c>
      <c r="D59" s="22" t="n">
        <v>10</v>
      </c>
      <c r="E59" s="11" t="s">
        <v>531</v>
      </c>
      <c r="F59" s="11"/>
      <c r="G59" s="13" t="s">
        <v>383</v>
      </c>
      <c r="H59" s="11" t="s">
        <v>535</v>
      </c>
    </row>
    <row r="60" customFormat="false" ht="15" hidden="false" customHeight="false" outlineLevel="0" collapsed="false">
      <c r="B60" s="11" t="s">
        <v>536</v>
      </c>
      <c r="C60" s="11" t="s">
        <v>537</v>
      </c>
      <c r="D60" s="22" t="n">
        <v>0</v>
      </c>
      <c r="E60" s="11" t="s">
        <v>531</v>
      </c>
      <c r="F60" s="11"/>
      <c r="G60" s="13" t="s">
        <v>383</v>
      </c>
      <c r="H60" s="11" t="s">
        <v>538</v>
      </c>
    </row>
    <row r="61" customFormat="false" ht="15" hidden="false" customHeight="false" outlineLevel="0" collapsed="false">
      <c r="B61" s="11" t="s">
        <v>539</v>
      </c>
      <c r="C61" s="11" t="s">
        <v>540</v>
      </c>
      <c r="D61" s="22" t="n">
        <v>2</v>
      </c>
      <c r="E61" s="11" t="s">
        <v>531</v>
      </c>
      <c r="F61" s="11"/>
      <c r="G61" s="13" t="s">
        <v>383</v>
      </c>
      <c r="H61" s="11" t="s">
        <v>541</v>
      </c>
    </row>
    <row r="62" customFormat="false" ht="15" hidden="false" customHeight="false" outlineLevel="0" collapsed="false">
      <c r="B62" s="11" t="s">
        <v>542</v>
      </c>
      <c r="C62" s="11" t="s">
        <v>543</v>
      </c>
      <c r="D62" s="22" t="n">
        <v>110</v>
      </c>
      <c r="E62" s="11" t="s">
        <v>531</v>
      </c>
      <c r="F62" s="11" t="s">
        <v>544</v>
      </c>
      <c r="G62" s="13" t="s">
        <v>383</v>
      </c>
      <c r="H62" s="11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546</v>
      </c>
    </row>
    <row r="3" customFormat="false" ht="21.75" hidden="false" customHeight="true" outlineLevel="0" collapsed="false">
      <c r="B3" s="2" t="s">
        <v>547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548</v>
      </c>
      <c r="C5" s="3" t="s">
        <v>159</v>
      </c>
      <c r="D5" s="3" t="s">
        <v>160</v>
      </c>
      <c r="E5" s="3" t="s">
        <v>161</v>
      </c>
      <c r="F5" s="3" t="s">
        <v>162</v>
      </c>
      <c r="G5" s="3" t="s">
        <v>549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164</v>
      </c>
      <c r="D6" s="11" t="s">
        <v>165</v>
      </c>
      <c r="E6" s="9" t="n">
        <v>59482.56</v>
      </c>
      <c r="F6" s="22" t="n">
        <v>26</v>
      </c>
      <c r="G6" s="17" t="n">
        <f aca="false">E6/216974.53</f>
        <v>0.274145357061034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167</v>
      </c>
      <c r="D7" s="11" t="s">
        <v>168</v>
      </c>
      <c r="E7" s="9" t="n">
        <v>47454.86</v>
      </c>
      <c r="F7" s="22" t="n">
        <v>57</v>
      </c>
      <c r="G7" s="17" t="n">
        <f aca="false">E7/216974.53</f>
        <v>0.218711661686743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169</v>
      </c>
      <c r="D8" s="11" t="s">
        <v>170</v>
      </c>
      <c r="E8" s="9" t="n">
        <v>36061.49</v>
      </c>
      <c r="F8" s="22" t="n">
        <v>3</v>
      </c>
      <c r="G8" s="17" t="n">
        <f aca="false">E8/216974.53</f>
        <v>0.166201489179398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172</v>
      </c>
      <c r="D9" s="11" t="s">
        <v>173</v>
      </c>
      <c r="E9" s="9" t="n">
        <v>25565</v>
      </c>
      <c r="F9" s="22" t="n">
        <v>11</v>
      </c>
      <c r="G9" s="17" t="n">
        <f aca="false">E9/216974.53</f>
        <v>0.117824889400613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175</v>
      </c>
      <c r="D10" s="11" t="s">
        <v>176</v>
      </c>
      <c r="E10" s="9" t="n">
        <v>20046.51</v>
      </c>
      <c r="F10" s="22" t="n">
        <v>19</v>
      </c>
      <c r="G10" s="17" t="n">
        <f aca="false">E10/216974.53</f>
        <v>0.0923910746574725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177</v>
      </c>
      <c r="D11" s="11" t="s">
        <v>178</v>
      </c>
      <c r="E11" s="9" t="n">
        <v>8902.53</v>
      </c>
      <c r="F11" s="22" t="n">
        <v>26</v>
      </c>
      <c r="G11" s="17" t="n">
        <f aca="false">E11/216974.53</f>
        <v>0.0410302997314938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180</v>
      </c>
      <c r="D12" s="11" t="s">
        <v>181</v>
      </c>
      <c r="E12" s="9" t="n">
        <v>8007.38</v>
      </c>
      <c r="F12" s="22" t="n">
        <v>5</v>
      </c>
      <c r="G12" s="17" t="n">
        <f aca="false">E12/216974.53</f>
        <v>0.0369047002890155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182</v>
      </c>
      <c r="D13" s="11" t="s">
        <v>183</v>
      </c>
      <c r="E13" s="9" t="n">
        <v>4101</v>
      </c>
      <c r="F13" s="22" t="n">
        <v>3</v>
      </c>
      <c r="G13" s="17" t="n">
        <f aca="false">E13/216974.53</f>
        <v>0.0189008359644793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184</v>
      </c>
      <c r="D14" s="11" t="s">
        <v>185</v>
      </c>
      <c r="E14" s="9" t="n">
        <v>3750</v>
      </c>
      <c r="F14" s="22" t="n">
        <v>1</v>
      </c>
      <c r="G14" s="17" t="n">
        <f aca="false">E14/216974.53</f>
        <v>0.0172831345688363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186</v>
      </c>
      <c r="D15" s="11" t="s">
        <v>187</v>
      </c>
      <c r="E15" s="9" t="n">
        <v>1317.75</v>
      </c>
      <c r="F15" s="22" t="n">
        <v>4</v>
      </c>
      <c r="G15" s="17" t="n">
        <f aca="false">E15/216974.53</f>
        <v>0.00607329348748906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188</v>
      </c>
      <c r="D16" s="11" t="s">
        <v>189</v>
      </c>
      <c r="E16" s="9" t="n">
        <v>800</v>
      </c>
      <c r="F16" s="22" t="n">
        <v>1</v>
      </c>
      <c r="G16" s="17" t="n">
        <f aca="false">E16/216974.53</f>
        <v>0.0036870687080184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190</v>
      </c>
      <c r="D17" s="11" t="s">
        <v>191</v>
      </c>
      <c r="E17" s="9" t="n">
        <v>644.09</v>
      </c>
      <c r="F17" s="22" t="n">
        <v>3</v>
      </c>
      <c r="G17" s="17" t="n">
        <f aca="false">E17/216974.53</f>
        <v>0.00296850510518447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192</v>
      </c>
      <c r="D18" s="11" t="s">
        <v>193</v>
      </c>
      <c r="E18" s="9" t="n">
        <v>317.79</v>
      </c>
      <c r="F18" s="22" t="n">
        <v>2</v>
      </c>
      <c r="G18" s="17" t="n">
        <f aca="false">E18/216974.53</f>
        <v>0.00146464195590146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194</v>
      </c>
      <c r="D19" s="11" t="s">
        <v>195</v>
      </c>
      <c r="E19" s="9" t="n">
        <v>197.94</v>
      </c>
      <c r="F19" s="22" t="n">
        <v>1</v>
      </c>
      <c r="G19" s="17" t="n">
        <f aca="false">E19/216974.53</f>
        <v>0.000912272975081453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196</v>
      </c>
      <c r="D20" s="11" t="s">
        <v>197</v>
      </c>
      <c r="E20" s="9" t="n">
        <v>160.44</v>
      </c>
      <c r="F20" s="22" t="n">
        <v>3</v>
      </c>
      <c r="G20" s="17" t="n">
        <f aca="false">E20/216974.53</f>
        <v>0.000739441629393091</v>
      </c>
      <c r="H20" s="11" t="s">
        <v>5</v>
      </c>
    </row>
    <row r="21" customFormat="false" ht="15" hidden="false" customHeight="false" outlineLevel="0" collapsed="false">
      <c r="B21" s="22" t="n">
        <v>16</v>
      </c>
      <c r="C21" s="11" t="s">
        <v>198</v>
      </c>
      <c r="D21" s="11" t="s">
        <v>199</v>
      </c>
      <c r="E21" s="9" t="n">
        <v>150</v>
      </c>
      <c r="F21" s="22" t="n">
        <v>1</v>
      </c>
      <c r="G21" s="17" t="n">
        <f aca="false">E21/216974.53</f>
        <v>0.00069132538275345</v>
      </c>
      <c r="H21" s="11" t="s">
        <v>5</v>
      </c>
    </row>
    <row r="22" customFormat="false" ht="15" hidden="false" customHeight="false" outlineLevel="0" collapsed="false">
      <c r="B22" s="22" t="n">
        <v>17</v>
      </c>
      <c r="C22" s="11" t="s">
        <v>201</v>
      </c>
      <c r="D22" s="11" t="s">
        <v>202</v>
      </c>
      <c r="E22" s="9" t="n">
        <v>15.19</v>
      </c>
      <c r="F22" s="22" t="n">
        <v>1</v>
      </c>
      <c r="G22" s="17" t="n">
        <f aca="false">E22/216974.53</f>
        <v>7.00082170934994E-005</v>
      </c>
      <c r="H22" s="11" t="s">
        <v>5</v>
      </c>
    </row>
    <row r="23" customFormat="false" ht="15" hidden="false" customHeight="false" outlineLevel="0" collapsed="false">
      <c r="B23" s="18" t="s">
        <v>142</v>
      </c>
      <c r="E23" s="20" t="n">
        <f aca="false">SUM(E6:E22)</f>
        <v>216974.53</v>
      </c>
      <c r="F23" s="23" t="n">
        <f aca="false">SUM(F6:F22)</f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550</v>
      </c>
    </row>
    <row r="3" customFormat="false" ht="21.75" hidden="false" customHeight="true" outlineLevel="0" collapsed="false">
      <c r="B3" s="2" t="s">
        <v>551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552</v>
      </c>
      <c r="C5" s="3" t="s">
        <v>324</v>
      </c>
      <c r="D5" s="3" t="s">
        <v>322</v>
      </c>
      <c r="E5" s="3" t="s">
        <v>553</v>
      </c>
      <c r="F5" s="3" t="s">
        <v>554</v>
      </c>
      <c r="G5" s="3" t="s">
        <v>555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556</v>
      </c>
      <c r="C6" s="11" t="s">
        <v>557</v>
      </c>
      <c r="D6" s="11" t="s">
        <v>327</v>
      </c>
      <c r="E6" s="11" t="s">
        <v>558</v>
      </c>
      <c r="F6" s="11" t="s">
        <v>12</v>
      </c>
      <c r="G6" s="27" t="n">
        <v>832900</v>
      </c>
      <c r="H6" s="11" t="s">
        <v>334</v>
      </c>
      <c r="I6" s="11" t="s">
        <v>20</v>
      </c>
    </row>
    <row r="7" customFormat="false" ht="15" hidden="false" customHeight="false" outlineLevel="0" collapsed="false">
      <c r="B7" s="11" t="s">
        <v>559</v>
      </c>
      <c r="C7" s="11" t="s">
        <v>560</v>
      </c>
      <c r="D7" s="11" t="s">
        <v>332</v>
      </c>
      <c r="E7" s="11" t="s">
        <v>561</v>
      </c>
      <c r="F7" s="11" t="s">
        <v>12</v>
      </c>
      <c r="G7" s="27" t="n">
        <v>-4841</v>
      </c>
      <c r="H7" s="11" t="s">
        <v>334</v>
      </c>
      <c r="I7" s="11" t="s">
        <v>562</v>
      </c>
    </row>
    <row r="8" customFormat="false" ht="15" hidden="false" customHeight="false" outlineLevel="0" collapsed="false">
      <c r="B8" s="11" t="s">
        <v>563</v>
      </c>
      <c r="C8" s="11" t="s">
        <v>560</v>
      </c>
      <c r="D8" s="11" t="s">
        <v>332</v>
      </c>
      <c r="E8" s="11" t="s">
        <v>564</v>
      </c>
      <c r="F8" s="11" t="s">
        <v>12</v>
      </c>
      <c r="G8" s="27" t="n">
        <v>-5154</v>
      </c>
      <c r="H8" s="11" t="s">
        <v>334</v>
      </c>
      <c r="I8" s="11" t="s">
        <v>565</v>
      </c>
    </row>
    <row r="9" customFormat="false" ht="15" hidden="false" customHeight="false" outlineLevel="0" collapsed="false">
      <c r="B9" s="11" t="s">
        <v>566</v>
      </c>
      <c r="C9" s="11" t="s">
        <v>560</v>
      </c>
      <c r="D9" s="11" t="s">
        <v>332</v>
      </c>
      <c r="E9" s="11" t="s">
        <v>567</v>
      </c>
      <c r="F9" s="11" t="s">
        <v>12</v>
      </c>
      <c r="G9" s="27" t="n">
        <v>11652</v>
      </c>
      <c r="H9" s="11" t="s">
        <v>334</v>
      </c>
      <c r="I9" s="11" t="s">
        <v>568</v>
      </c>
    </row>
    <row r="10" customFormat="false" ht="15" hidden="false" customHeight="false" outlineLevel="0" collapsed="false">
      <c r="B10" s="11" t="s">
        <v>569</v>
      </c>
      <c r="C10" s="11" t="s">
        <v>560</v>
      </c>
      <c r="D10" s="11" t="s">
        <v>332</v>
      </c>
      <c r="E10" s="11" t="s">
        <v>570</v>
      </c>
      <c r="F10" s="11" t="s">
        <v>12</v>
      </c>
      <c r="G10" s="27" t="n">
        <v>11790</v>
      </c>
      <c r="H10" s="11" t="s">
        <v>334</v>
      </c>
      <c r="I10" s="11" t="s">
        <v>571</v>
      </c>
    </row>
    <row r="11" customFormat="false" ht="15" hidden="false" customHeight="false" outlineLevel="0" collapsed="false">
      <c r="B11" s="11" t="s">
        <v>572</v>
      </c>
      <c r="C11" s="11" t="s">
        <v>560</v>
      </c>
      <c r="D11" s="11" t="s">
        <v>332</v>
      </c>
      <c r="E11" s="11" t="s">
        <v>573</v>
      </c>
      <c r="F11" s="11" t="s">
        <v>12</v>
      </c>
      <c r="G11" s="27" t="n">
        <v>6209</v>
      </c>
      <c r="H11" s="11" t="s">
        <v>334</v>
      </c>
      <c r="I11" s="11" t="s">
        <v>574</v>
      </c>
    </row>
    <row r="12" customFormat="false" ht="15" hidden="false" customHeight="false" outlineLevel="0" collapsed="false">
      <c r="B12" s="11" t="s">
        <v>575</v>
      </c>
      <c r="C12" s="11" t="s">
        <v>560</v>
      </c>
      <c r="D12" s="11" t="s">
        <v>332</v>
      </c>
      <c r="E12" s="11" t="s">
        <v>576</v>
      </c>
      <c r="F12" s="11" t="s">
        <v>12</v>
      </c>
      <c r="G12" s="27" t="n">
        <v>708</v>
      </c>
      <c r="H12" s="11" t="s">
        <v>334</v>
      </c>
      <c r="I12" s="11" t="s">
        <v>577</v>
      </c>
    </row>
    <row r="13" customFormat="false" ht="15" hidden="false" customHeight="false" outlineLevel="0" collapsed="false">
      <c r="B13" s="11" t="s">
        <v>578</v>
      </c>
      <c r="C13" s="11" t="s">
        <v>560</v>
      </c>
      <c r="D13" s="11" t="s">
        <v>332</v>
      </c>
      <c r="E13" s="11" t="s">
        <v>579</v>
      </c>
      <c r="F13" s="11" t="s">
        <v>12</v>
      </c>
      <c r="G13" s="27" t="n">
        <v>650</v>
      </c>
      <c r="H13" s="11" t="s">
        <v>334</v>
      </c>
      <c r="I13" s="11" t="s">
        <v>580</v>
      </c>
    </row>
    <row r="14" customFormat="false" ht="15" hidden="false" customHeight="false" outlineLevel="0" collapsed="false">
      <c r="B14" s="11" t="s">
        <v>581</v>
      </c>
      <c r="C14" s="11" t="s">
        <v>560</v>
      </c>
      <c r="D14" s="11" t="s">
        <v>332</v>
      </c>
      <c r="E14" s="11" t="s">
        <v>582</v>
      </c>
      <c r="F14" s="11" t="s">
        <v>12</v>
      </c>
      <c r="G14" s="27" t="n">
        <v>1350</v>
      </c>
      <c r="H14" s="11" t="s">
        <v>334</v>
      </c>
      <c r="I14" s="11" t="s">
        <v>583</v>
      </c>
    </row>
    <row r="15" customFormat="false" ht="15" hidden="false" customHeight="false" outlineLevel="0" collapsed="false">
      <c r="B15" s="11" t="s">
        <v>584</v>
      </c>
      <c r="C15" s="11" t="s">
        <v>585</v>
      </c>
      <c r="D15" s="11" t="s">
        <v>344</v>
      </c>
      <c r="E15" s="11" t="s">
        <v>586</v>
      </c>
      <c r="F15" s="11" t="s">
        <v>587</v>
      </c>
      <c r="G15" s="27" t="n">
        <v>0</v>
      </c>
      <c r="H15" s="11" t="s">
        <v>588</v>
      </c>
      <c r="I15" s="11" t="s">
        <v>5</v>
      </c>
    </row>
    <row r="16" customFormat="false" ht="15" hidden="false" customHeight="false" outlineLevel="0" collapsed="false">
      <c r="B16" s="11" t="s">
        <v>589</v>
      </c>
      <c r="C16" s="11" t="s">
        <v>585</v>
      </c>
      <c r="D16" s="11" t="s">
        <v>373</v>
      </c>
      <c r="E16" s="11" t="s">
        <v>590</v>
      </c>
      <c r="F16" s="11" t="s">
        <v>587</v>
      </c>
      <c r="G16" s="27" t="n">
        <v>0</v>
      </c>
      <c r="H16" s="11" t="s">
        <v>588</v>
      </c>
      <c r="I16" s="11" t="s">
        <v>5</v>
      </c>
    </row>
    <row r="17" customFormat="false" ht="15" hidden="false" customHeight="false" outlineLevel="0" collapsed="false">
      <c r="B17" s="11" t="s">
        <v>591</v>
      </c>
      <c r="C17" s="11" t="s">
        <v>467</v>
      </c>
      <c r="D17" s="11" t="s">
        <v>592</v>
      </c>
      <c r="E17" s="11" t="s">
        <v>593</v>
      </c>
      <c r="F17" s="11" t="s">
        <v>69</v>
      </c>
      <c r="G17" s="27" t="n">
        <v>0</v>
      </c>
      <c r="H17" s="11" t="s">
        <v>594</v>
      </c>
      <c r="I17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595</v>
      </c>
    </row>
    <row r="3" customFormat="false" ht="21.75" hidden="false" customHeight="true" outlineLevel="0" collapsed="false">
      <c r="B3" s="2" t="s">
        <v>596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145</v>
      </c>
      <c r="C5" s="3" t="s">
        <v>597</v>
      </c>
      <c r="D5" s="3" t="s">
        <v>598</v>
      </c>
      <c r="E5" s="3" t="s">
        <v>599</v>
      </c>
      <c r="F5" s="3" t="s">
        <v>264</v>
      </c>
    </row>
    <row r="6" customFormat="false" ht="15" hidden="false" customHeight="false" outlineLevel="0" collapsed="false">
      <c r="B6" s="11" t="s">
        <v>600</v>
      </c>
      <c r="C6" s="11" t="s">
        <v>601</v>
      </c>
      <c r="D6" s="27" t="n">
        <v>22364</v>
      </c>
      <c r="E6" s="11" t="s">
        <v>602</v>
      </c>
      <c r="F6" s="11" t="s">
        <v>603</v>
      </c>
    </row>
    <row r="7" customFormat="false" ht="15" hidden="false" customHeight="false" outlineLevel="0" collapsed="false">
      <c r="B7" s="11" t="s">
        <v>150</v>
      </c>
      <c r="C7" s="11" t="s">
        <v>604</v>
      </c>
      <c r="D7" s="27" t="n">
        <v>10419.35</v>
      </c>
      <c r="E7" s="11" t="s">
        <v>605</v>
      </c>
      <c r="F7" s="11" t="s">
        <v>51</v>
      </c>
    </row>
    <row r="8" customFormat="false" ht="15" hidden="false" customHeight="false" outlineLevel="0" collapsed="false">
      <c r="B8" s="11" t="s">
        <v>152</v>
      </c>
      <c r="C8" s="11" t="s">
        <v>606</v>
      </c>
      <c r="D8" s="27" t="n">
        <v>-63023.12</v>
      </c>
      <c r="E8" s="11" t="s">
        <v>607</v>
      </c>
      <c r="F8" s="11" t="s">
        <v>608</v>
      </c>
    </row>
    <row r="9" customFormat="false" ht="15" hidden="false" customHeight="false" outlineLevel="0" collapsed="false">
      <c r="B9" s="11" t="s">
        <v>154</v>
      </c>
      <c r="C9" s="11" t="s">
        <v>609</v>
      </c>
      <c r="D9" s="27" t="n">
        <v>4095.99</v>
      </c>
      <c r="E9" s="11" t="s">
        <v>610</v>
      </c>
      <c r="F9" s="11"/>
    </row>
    <row r="10" customFormat="false" ht="15" hidden="false" customHeight="false" outlineLevel="0" collapsed="false">
      <c r="B10" s="11" t="s">
        <v>611</v>
      </c>
      <c r="C10" s="11" t="s">
        <v>612</v>
      </c>
      <c r="D10" s="27" t="n">
        <v>6648.6</v>
      </c>
      <c r="E10" s="11" t="s">
        <v>613</v>
      </c>
      <c r="F10" s="11"/>
    </row>
    <row r="11" customFormat="false" ht="15" hidden="false" customHeight="false" outlineLevel="0" collapsed="false">
      <c r="B11" s="18" t="s">
        <v>614</v>
      </c>
      <c r="D11" s="16" t="n">
        <f aca="false">SUM(D6:D10)</f>
        <v>-19495.18</v>
      </c>
    </row>
    <row r="14" customFormat="false" ht="15" hidden="false" customHeight="false" outlineLevel="0" collapsed="false">
      <c r="B14" s="3" t="s">
        <v>615</v>
      </c>
    </row>
    <row r="15" customFormat="false" ht="15" hidden="false" customHeight="false" outlineLevel="0" collapsed="false">
      <c r="B15" s="3" t="s">
        <v>616</v>
      </c>
      <c r="C15" s="3" t="s">
        <v>617</v>
      </c>
      <c r="D15" s="3" t="s">
        <v>618</v>
      </c>
      <c r="E15" s="3" t="s">
        <v>264</v>
      </c>
    </row>
    <row r="16" customFormat="false" ht="15" hidden="false" customHeight="false" outlineLevel="0" collapsed="false">
      <c r="B16" s="11" t="s">
        <v>619</v>
      </c>
      <c r="C16" s="22" t="n">
        <v>8</v>
      </c>
      <c r="D16" s="27" t="n">
        <v>22364</v>
      </c>
      <c r="E16" s="11" t="s">
        <v>620</v>
      </c>
    </row>
    <row r="17" customFormat="false" ht="15" hidden="false" customHeight="false" outlineLevel="0" collapsed="false">
      <c r="B17" s="11" t="s">
        <v>621</v>
      </c>
      <c r="C17" s="22" t="n">
        <v>10</v>
      </c>
      <c r="D17" s="27" t="n">
        <v>10419.35</v>
      </c>
      <c r="E17" s="11" t="s">
        <v>622</v>
      </c>
    </row>
    <row r="18" customFormat="false" ht="15" hidden="false" customHeight="false" outlineLevel="0" collapsed="false">
      <c r="B18" s="11" t="s">
        <v>623</v>
      </c>
      <c r="C18" s="22" t="n">
        <v>9</v>
      </c>
      <c r="D18" s="27" t="n">
        <v>-63023.12</v>
      </c>
      <c r="E18" s="11" t="s">
        <v>608</v>
      </c>
    </row>
    <row r="19" customFormat="false" ht="15" hidden="false" customHeight="false" outlineLevel="0" collapsed="false">
      <c r="B19" s="11" t="s">
        <v>624</v>
      </c>
      <c r="C19" s="22" t="n">
        <v>2</v>
      </c>
      <c r="D19" s="27" t="n">
        <v>6648.6</v>
      </c>
      <c r="E19" s="11" t="s">
        <v>625</v>
      </c>
    </row>
    <row r="20" customFormat="false" ht="15" hidden="false" customHeight="false" outlineLevel="0" collapsed="false">
      <c r="B20" s="11" t="s">
        <v>626</v>
      </c>
      <c r="C20" s="22" t="n">
        <v>5</v>
      </c>
      <c r="D20" s="27" t="n">
        <v>4095.99</v>
      </c>
      <c r="E20" s="11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628</v>
      </c>
    </row>
    <row r="3" customFormat="false" ht="21.75" hidden="false" customHeight="true" outlineLevel="0" collapsed="false">
      <c r="B3" s="2" t="s">
        <v>629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630</v>
      </c>
    </row>
    <row r="6" customFormat="false" ht="15" hidden="false" customHeight="false" outlineLevel="0" collapsed="false">
      <c r="B6" s="3" t="s">
        <v>631</v>
      </c>
      <c r="C6" s="3" t="s">
        <v>632</v>
      </c>
      <c r="D6" s="3" t="s">
        <v>633</v>
      </c>
      <c r="E6" s="3" t="s">
        <v>67</v>
      </c>
      <c r="F6" s="3" t="s">
        <v>634</v>
      </c>
    </row>
    <row r="7" customFormat="false" ht="15" hidden="false" customHeight="false" outlineLevel="0" collapsed="false">
      <c r="B7" s="11" t="s">
        <v>635</v>
      </c>
      <c r="C7" s="11" t="s">
        <v>636</v>
      </c>
      <c r="D7" s="11" t="s">
        <v>637</v>
      </c>
      <c r="E7" s="13" t="s">
        <v>638</v>
      </c>
      <c r="F7" s="11" t="s">
        <v>639</v>
      </c>
    </row>
    <row r="8" customFormat="false" ht="15" hidden="false" customHeight="false" outlineLevel="0" collapsed="false">
      <c r="B8" s="11" t="s">
        <v>304</v>
      </c>
      <c r="C8" s="24" t="n">
        <v>0.256089757080855</v>
      </c>
      <c r="D8" s="11" t="s">
        <v>640</v>
      </c>
      <c r="E8" s="13" t="s">
        <v>638</v>
      </c>
      <c r="F8" s="11" t="s">
        <v>641</v>
      </c>
    </row>
    <row r="9" customFormat="false" ht="15" hidden="false" customHeight="false" outlineLevel="0" collapsed="false">
      <c r="B9" s="11" t="s">
        <v>642</v>
      </c>
      <c r="C9" s="24" t="n">
        <v>0.0438007328731246</v>
      </c>
      <c r="D9" s="11" t="s">
        <v>643</v>
      </c>
      <c r="E9" s="13" t="s">
        <v>638</v>
      </c>
      <c r="F9" s="11" t="s">
        <v>644</v>
      </c>
    </row>
    <row r="10" customFormat="false" ht="15" hidden="false" customHeight="false" outlineLevel="0" collapsed="false">
      <c r="B10" s="11" t="s">
        <v>645</v>
      </c>
      <c r="C10" s="24" t="n">
        <v>0.86927447198526</v>
      </c>
      <c r="D10" s="11" t="s">
        <v>646</v>
      </c>
      <c r="E10" s="13" t="s">
        <v>638</v>
      </c>
      <c r="F10" s="11" t="s">
        <v>647</v>
      </c>
    </row>
    <row r="11" customFormat="false" ht="15" hidden="false" customHeight="false" outlineLevel="0" collapsed="false">
      <c r="B11" s="11" t="s">
        <v>648</v>
      </c>
      <c r="C11" s="24" t="n">
        <v>0</v>
      </c>
      <c r="D11" s="11" t="s">
        <v>649</v>
      </c>
      <c r="E11" s="13" t="s">
        <v>638</v>
      </c>
      <c r="F11" s="11" t="s">
        <v>650</v>
      </c>
    </row>
    <row r="12" customFormat="false" ht="15" hidden="false" customHeight="false" outlineLevel="0" collapsed="false">
      <c r="B12" s="11" t="s">
        <v>303</v>
      </c>
      <c r="C12" s="24" t="n">
        <v>0.311457503180305</v>
      </c>
      <c r="D12" s="11" t="s">
        <v>651</v>
      </c>
      <c r="E12" s="13" t="s">
        <v>638</v>
      </c>
      <c r="F12" s="11" t="s">
        <v>652</v>
      </c>
    </row>
    <row r="13" customFormat="false" ht="15" hidden="false" customHeight="false" outlineLevel="0" collapsed="false">
      <c r="B13" s="11" t="s">
        <v>653</v>
      </c>
      <c r="C13" s="10" t="n">
        <v>7722.75</v>
      </c>
      <c r="D13" s="11" t="s">
        <v>654</v>
      </c>
      <c r="E13" s="28" t="s">
        <v>655</v>
      </c>
      <c r="F13" s="11" t="s">
        <v>656</v>
      </c>
    </row>
    <row r="14" customFormat="false" ht="15" hidden="false" customHeight="false" outlineLevel="0" collapsed="false">
      <c r="B14" s="11" t="s">
        <v>657</v>
      </c>
      <c r="C14" s="24" t="n">
        <v>0.189569777605128</v>
      </c>
      <c r="D14" s="11" t="s">
        <v>658</v>
      </c>
      <c r="E14" s="13" t="s">
        <v>638</v>
      </c>
      <c r="F14" s="11" t="s">
        <v>659</v>
      </c>
    </row>
    <row r="15" customFormat="false" ht="15" hidden="false" customHeight="false" outlineLevel="0" collapsed="false">
      <c r="B15" s="11" t="s">
        <v>660</v>
      </c>
      <c r="C15" s="24" t="n">
        <v>0.685604221294228</v>
      </c>
      <c r="D15" s="11" t="s">
        <v>661</v>
      </c>
      <c r="E15" s="29" t="s">
        <v>662</v>
      </c>
      <c r="F15" s="11" t="s">
        <v>663</v>
      </c>
    </row>
    <row r="16" customFormat="false" ht="15" hidden="false" customHeight="false" outlineLevel="0" collapsed="false">
      <c r="B16" s="11" t="s">
        <v>664</v>
      </c>
      <c r="C16" s="11" t="s">
        <v>665</v>
      </c>
      <c r="D16" s="11" t="s">
        <v>666</v>
      </c>
      <c r="E16" s="13" t="s">
        <v>638</v>
      </c>
      <c r="F16" s="11" t="s">
        <v>667</v>
      </c>
    </row>
    <row r="18" customFormat="false" ht="15" hidden="false" customHeight="false" outlineLevel="0" collapsed="false">
      <c r="B18" s="3" t="s">
        <v>668</v>
      </c>
    </row>
    <row r="19" customFormat="false" ht="15" hidden="false" customHeight="false" outlineLevel="0" collapsed="false">
      <c r="B19" s="3" t="s">
        <v>669</v>
      </c>
      <c r="C19" s="3" t="s">
        <v>670</v>
      </c>
      <c r="D19" s="3" t="s">
        <v>380</v>
      </c>
      <c r="E19" s="3" t="s">
        <v>671</v>
      </c>
      <c r="F19" s="3" t="s">
        <v>672</v>
      </c>
    </row>
    <row r="20" customFormat="false" ht="15" hidden="false" customHeight="false" outlineLevel="0" collapsed="false">
      <c r="B20" s="11" t="s">
        <v>673</v>
      </c>
      <c r="C20" s="24" t="n">
        <v>0.311457503180305</v>
      </c>
      <c r="D20" s="11" t="s">
        <v>83</v>
      </c>
      <c r="E20" s="11" t="s">
        <v>674</v>
      </c>
      <c r="F20" s="11" t="s">
        <v>652</v>
      </c>
    </row>
    <row r="21" customFormat="false" ht="15" hidden="false" customHeight="false" outlineLevel="0" collapsed="false">
      <c r="B21" s="11" t="s">
        <v>675</v>
      </c>
      <c r="C21" s="11" t="s">
        <v>24</v>
      </c>
      <c r="D21" s="11" t="s">
        <v>24</v>
      </c>
      <c r="E21" s="11" t="s">
        <v>329</v>
      </c>
      <c r="F21" s="11" t="s">
        <v>329</v>
      </c>
    </row>
    <row r="22" customFormat="false" ht="15" hidden="false" customHeight="false" outlineLevel="0" collapsed="false">
      <c r="B22" s="11" t="s">
        <v>676</v>
      </c>
      <c r="C22" s="11" t="s">
        <v>677</v>
      </c>
      <c r="D22" s="11" t="s">
        <v>383</v>
      </c>
      <c r="E22" s="11" t="s">
        <v>310</v>
      </c>
      <c r="F22" s="11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678</v>
      </c>
    </row>
    <row r="3" customFormat="false" ht="21.75" hidden="false" customHeight="true" outlineLevel="0" collapsed="false">
      <c r="B3" s="2" t="s">
        <v>679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377</v>
      </c>
      <c r="C5" s="3" t="s">
        <v>680</v>
      </c>
      <c r="D5" s="3" t="s">
        <v>681</v>
      </c>
      <c r="E5" s="3" t="s">
        <v>263</v>
      </c>
      <c r="F5" s="3" t="s">
        <v>682</v>
      </c>
      <c r="G5" s="3" t="s">
        <v>683</v>
      </c>
      <c r="H5" s="3" t="s">
        <v>380</v>
      </c>
      <c r="I5" s="3" t="s">
        <v>684</v>
      </c>
    </row>
    <row r="6" customFormat="false" ht="15" hidden="false" customHeight="false" outlineLevel="0" collapsed="false">
      <c r="B6" s="22" t="n">
        <v>1</v>
      </c>
      <c r="C6" s="11" t="s">
        <v>410</v>
      </c>
      <c r="D6" s="11" t="s">
        <v>409</v>
      </c>
      <c r="E6" s="11" t="s">
        <v>4</v>
      </c>
      <c r="F6" s="11" t="s">
        <v>685</v>
      </c>
      <c r="G6" s="11" t="s">
        <v>404</v>
      </c>
      <c r="H6" s="13" t="s">
        <v>383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414</v>
      </c>
      <c r="D7" s="11" t="s">
        <v>413</v>
      </c>
      <c r="E7" s="11" t="s">
        <v>415</v>
      </c>
      <c r="F7" s="11" t="s">
        <v>686</v>
      </c>
      <c r="G7" s="11" t="s">
        <v>404</v>
      </c>
      <c r="H7" s="13" t="s">
        <v>383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416</v>
      </c>
      <c r="D8" s="11" t="s">
        <v>11</v>
      </c>
      <c r="E8" s="11" t="s">
        <v>12</v>
      </c>
      <c r="F8" s="11" t="s">
        <v>686</v>
      </c>
      <c r="G8" s="11" t="s">
        <v>404</v>
      </c>
      <c r="H8" s="13" t="s">
        <v>383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417</v>
      </c>
      <c r="D9" s="11" t="s">
        <v>71</v>
      </c>
      <c r="E9" s="11" t="s">
        <v>17</v>
      </c>
      <c r="F9" s="11" t="s">
        <v>686</v>
      </c>
      <c r="G9" s="11" t="s">
        <v>404</v>
      </c>
      <c r="H9" s="13" t="s">
        <v>383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418</v>
      </c>
      <c r="D10" s="11" t="s">
        <v>34</v>
      </c>
      <c r="E10" s="11" t="s">
        <v>35</v>
      </c>
      <c r="F10" s="11" t="s">
        <v>686</v>
      </c>
      <c r="G10" s="11" t="s">
        <v>404</v>
      </c>
      <c r="H10" s="13" t="s">
        <v>383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420</v>
      </c>
      <c r="D11" s="11" t="s">
        <v>419</v>
      </c>
      <c r="E11" s="11" t="s">
        <v>28</v>
      </c>
      <c r="F11" s="11" t="s">
        <v>686</v>
      </c>
      <c r="G11" s="11" t="s">
        <v>404</v>
      </c>
      <c r="H11" s="13" t="s">
        <v>383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422</v>
      </c>
      <c r="D12" s="11" t="s">
        <v>421</v>
      </c>
      <c r="E12" s="11" t="s">
        <v>423</v>
      </c>
      <c r="F12" s="11" t="s">
        <v>686</v>
      </c>
      <c r="G12" s="11" t="s">
        <v>404</v>
      </c>
      <c r="H12" s="13" t="s">
        <v>383</v>
      </c>
      <c r="I12" s="11" t="s">
        <v>424</v>
      </c>
    </row>
    <row r="13" customFormat="false" ht="15" hidden="false" customHeight="false" outlineLevel="0" collapsed="false">
      <c r="B13" s="22" t="n">
        <v>8</v>
      </c>
      <c r="C13" s="11" t="s">
        <v>426</v>
      </c>
      <c r="D13" s="11" t="s">
        <v>425</v>
      </c>
      <c r="E13" s="11" t="s">
        <v>30</v>
      </c>
      <c r="F13" s="11" t="s">
        <v>686</v>
      </c>
      <c r="G13" s="11" t="s">
        <v>404</v>
      </c>
      <c r="H13" s="13" t="s">
        <v>383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427</v>
      </c>
      <c r="D14" s="11" t="s">
        <v>18</v>
      </c>
      <c r="E14" s="11" t="s">
        <v>19</v>
      </c>
      <c r="F14" s="11" t="s">
        <v>686</v>
      </c>
      <c r="G14" s="11" t="s">
        <v>404</v>
      </c>
      <c r="H14" s="13" t="s">
        <v>383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429</v>
      </c>
      <c r="D15" s="11" t="s">
        <v>428</v>
      </c>
      <c r="E15" s="11" t="s">
        <v>22</v>
      </c>
      <c r="F15" s="11" t="s">
        <v>686</v>
      </c>
      <c r="G15" s="11" t="s">
        <v>404</v>
      </c>
      <c r="H15" s="13" t="s">
        <v>383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430</v>
      </c>
      <c r="D16" s="11" t="s">
        <v>25</v>
      </c>
      <c r="E16" s="11" t="s">
        <v>26</v>
      </c>
      <c r="F16" s="11" t="s">
        <v>686</v>
      </c>
      <c r="G16" s="11" t="s">
        <v>404</v>
      </c>
      <c r="H16" s="13" t="s">
        <v>383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432</v>
      </c>
      <c r="D17" s="11" t="s">
        <v>431</v>
      </c>
      <c r="E17" s="11" t="s">
        <v>327</v>
      </c>
      <c r="F17" s="11" t="s">
        <v>687</v>
      </c>
      <c r="G17" s="11" t="s">
        <v>404</v>
      </c>
      <c r="H17" s="13" t="s">
        <v>383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434</v>
      </c>
      <c r="D18" s="11" t="s">
        <v>433</v>
      </c>
      <c r="E18" s="11" t="s">
        <v>435</v>
      </c>
      <c r="F18" s="11" t="s">
        <v>687</v>
      </c>
      <c r="G18" s="11" t="s">
        <v>404</v>
      </c>
      <c r="H18" s="13" t="s">
        <v>383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437</v>
      </c>
      <c r="D19" s="11" t="s">
        <v>436</v>
      </c>
      <c r="E19" s="11" t="s">
        <v>438</v>
      </c>
      <c r="F19" s="11" t="s">
        <v>687</v>
      </c>
      <c r="G19" s="11" t="s">
        <v>404</v>
      </c>
      <c r="H19" s="13" t="s">
        <v>383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440</v>
      </c>
      <c r="D20" s="11" t="s">
        <v>439</v>
      </c>
      <c r="E20" s="22" t="n">
        <v>24</v>
      </c>
      <c r="F20" s="11" t="s">
        <v>688</v>
      </c>
      <c r="G20" s="11" t="s">
        <v>404</v>
      </c>
      <c r="H20" s="13" t="s">
        <v>383</v>
      </c>
      <c r="I20" s="11" t="s">
        <v>272</v>
      </c>
    </row>
    <row r="21" customFormat="false" ht="15" hidden="false" customHeight="false" outlineLevel="0" collapsed="false">
      <c r="B21" s="22" t="n">
        <v>16</v>
      </c>
      <c r="C21" s="11" t="s">
        <v>441</v>
      </c>
      <c r="D21" s="11" t="s">
        <v>39</v>
      </c>
      <c r="E21" s="22" t="n">
        <v>75</v>
      </c>
      <c r="F21" s="11" t="s">
        <v>689</v>
      </c>
      <c r="G21" s="11" t="s">
        <v>404</v>
      </c>
      <c r="H21" s="13" t="s">
        <v>383</v>
      </c>
      <c r="I21" s="11" t="s">
        <v>443</v>
      </c>
    </row>
    <row r="22" customFormat="false" ht="15" hidden="false" customHeight="false" outlineLevel="0" collapsed="false">
      <c r="B22" s="22" t="n">
        <v>17</v>
      </c>
      <c r="C22" s="11" t="s">
        <v>445</v>
      </c>
      <c r="D22" s="11" t="s">
        <v>444</v>
      </c>
      <c r="E22" s="22" t="n">
        <v>634</v>
      </c>
      <c r="F22" s="11" t="s">
        <v>690</v>
      </c>
      <c r="G22" s="11" t="s">
        <v>404</v>
      </c>
      <c r="H22" s="13" t="s">
        <v>383</v>
      </c>
      <c r="I22" s="11" t="s">
        <v>443</v>
      </c>
    </row>
    <row r="23" customFormat="false" ht="15" hidden="false" customHeight="false" outlineLevel="0" collapsed="false">
      <c r="B23" s="22" t="n">
        <v>18</v>
      </c>
      <c r="C23" s="11" t="s">
        <v>448</v>
      </c>
      <c r="D23" s="11" t="s">
        <v>447</v>
      </c>
      <c r="E23" s="9" t="n">
        <v>832900</v>
      </c>
      <c r="F23" s="11" t="s">
        <v>309</v>
      </c>
      <c r="G23" s="11" t="s">
        <v>404</v>
      </c>
      <c r="H23" s="13" t="s">
        <v>383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451</v>
      </c>
      <c r="D24" s="11" t="s">
        <v>450</v>
      </c>
      <c r="E24" s="9" t="n">
        <v>855264</v>
      </c>
      <c r="F24" s="11" t="s">
        <v>309</v>
      </c>
      <c r="G24" s="11" t="s">
        <v>404</v>
      </c>
      <c r="H24" s="13" t="s">
        <v>383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453</v>
      </c>
      <c r="D25" s="11" t="s">
        <v>452</v>
      </c>
      <c r="E25" s="9" t="n">
        <v>22364</v>
      </c>
      <c r="F25" s="11" t="s">
        <v>309</v>
      </c>
      <c r="G25" s="11" t="s">
        <v>404</v>
      </c>
      <c r="H25" s="13" t="s">
        <v>383</v>
      </c>
      <c r="I25" s="11" t="s">
        <v>386</v>
      </c>
    </row>
    <row r="26" customFormat="false" ht="15" hidden="false" customHeight="false" outlineLevel="0" collapsed="false">
      <c r="B26" s="22" t="n">
        <v>21</v>
      </c>
      <c r="C26" s="11" t="s">
        <v>456</v>
      </c>
      <c r="D26" s="11" t="s">
        <v>455</v>
      </c>
      <c r="E26" s="26" t="n">
        <v>0.0268507623964462</v>
      </c>
      <c r="F26" s="11" t="s">
        <v>302</v>
      </c>
      <c r="G26" s="11" t="s">
        <v>404</v>
      </c>
      <c r="H26" s="13" t="s">
        <v>383</v>
      </c>
      <c r="I26" s="11" t="s">
        <v>272</v>
      </c>
    </row>
    <row r="27" customFormat="false" ht="15" hidden="false" customHeight="false" outlineLevel="0" collapsed="false">
      <c r="B27" s="22" t="n">
        <v>22</v>
      </c>
      <c r="C27" s="11" t="s">
        <v>458</v>
      </c>
      <c r="D27" s="11" t="s">
        <v>457</v>
      </c>
      <c r="E27" s="9" t="n">
        <v>855264</v>
      </c>
      <c r="F27" s="11" t="s">
        <v>309</v>
      </c>
      <c r="G27" s="11" t="s">
        <v>404</v>
      </c>
      <c r="H27" s="13" t="s">
        <v>383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461</v>
      </c>
      <c r="D28" s="11" t="s">
        <v>460</v>
      </c>
      <c r="E28" s="9" t="n">
        <v>588885.61</v>
      </c>
      <c r="F28" s="11" t="s">
        <v>309</v>
      </c>
      <c r="G28" s="11" t="s">
        <v>404</v>
      </c>
      <c r="H28" s="13" t="s">
        <v>383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464</v>
      </c>
      <c r="D29" s="11" t="s">
        <v>463</v>
      </c>
      <c r="E29" s="9" t="n">
        <v>266378.39</v>
      </c>
      <c r="F29" s="11" t="s">
        <v>309</v>
      </c>
      <c r="G29" s="11" t="s">
        <v>404</v>
      </c>
      <c r="H29" s="13" t="s">
        <v>383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466</v>
      </c>
      <c r="D30" s="11" t="s">
        <v>303</v>
      </c>
      <c r="E30" s="26" t="n">
        <v>0.311457503180305</v>
      </c>
      <c r="F30" s="11" t="s">
        <v>302</v>
      </c>
      <c r="G30" s="11" t="s">
        <v>404</v>
      </c>
      <c r="H30" s="13" t="s">
        <v>383</v>
      </c>
      <c r="I30" s="11" t="s">
        <v>272</v>
      </c>
    </row>
    <row r="31" customFormat="false" ht="15" hidden="false" customHeight="false" outlineLevel="0" collapsed="false">
      <c r="B31" s="22" t="n">
        <v>26</v>
      </c>
      <c r="C31" s="11" t="s">
        <v>468</v>
      </c>
      <c r="D31" s="11" t="s">
        <v>467</v>
      </c>
      <c r="E31" s="9" t="n">
        <v>0</v>
      </c>
      <c r="F31" s="11" t="s">
        <v>309</v>
      </c>
      <c r="G31" s="11" t="s">
        <v>404</v>
      </c>
      <c r="H31" s="13" t="s">
        <v>383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471</v>
      </c>
      <c r="D32" s="11" t="s">
        <v>470</v>
      </c>
      <c r="E32" s="26" t="n">
        <v>0</v>
      </c>
      <c r="F32" s="11" t="s">
        <v>302</v>
      </c>
      <c r="G32" s="11" t="s">
        <v>404</v>
      </c>
      <c r="H32" s="13" t="s">
        <v>383</v>
      </c>
      <c r="I32" s="11" t="s">
        <v>272</v>
      </c>
    </row>
    <row r="33" customFormat="false" ht="15" hidden="false" customHeight="false" outlineLevel="0" collapsed="false">
      <c r="B33" s="22" t="n">
        <v>28</v>
      </c>
      <c r="C33" s="11" t="s">
        <v>473</v>
      </c>
      <c r="D33" s="11" t="s">
        <v>472</v>
      </c>
      <c r="E33" s="9" t="n">
        <v>219024.35</v>
      </c>
      <c r="F33" s="11" t="s">
        <v>309</v>
      </c>
      <c r="G33" s="11" t="s">
        <v>404</v>
      </c>
      <c r="H33" s="13" t="s">
        <v>383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476</v>
      </c>
      <c r="D34" s="11" t="s">
        <v>475</v>
      </c>
      <c r="E34" s="9" t="n">
        <v>216377.88</v>
      </c>
      <c r="F34" s="11" t="s">
        <v>309</v>
      </c>
      <c r="G34" s="11" t="s">
        <v>404</v>
      </c>
      <c r="H34" s="13" t="s">
        <v>383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479</v>
      </c>
      <c r="D35" s="11" t="s">
        <v>478</v>
      </c>
      <c r="E35" s="9" t="n">
        <v>39065.99</v>
      </c>
      <c r="F35" s="11" t="s">
        <v>309</v>
      </c>
      <c r="G35" s="11" t="s">
        <v>404</v>
      </c>
      <c r="H35" s="13" t="s">
        <v>383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482</v>
      </c>
      <c r="D36" s="11" t="s">
        <v>481</v>
      </c>
      <c r="E36" s="9" t="n">
        <v>97584.65</v>
      </c>
      <c r="F36" s="11" t="s">
        <v>309</v>
      </c>
      <c r="G36" s="11" t="s">
        <v>404</v>
      </c>
      <c r="H36" s="13" t="s">
        <v>383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485</v>
      </c>
      <c r="D37" s="11" t="s">
        <v>484</v>
      </c>
      <c r="E37" s="9" t="n">
        <v>16832.74</v>
      </c>
      <c r="F37" s="11" t="s">
        <v>309</v>
      </c>
      <c r="G37" s="11" t="s">
        <v>404</v>
      </c>
      <c r="H37" s="13" t="s">
        <v>383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487</v>
      </c>
      <c r="D38" s="11" t="s">
        <v>267</v>
      </c>
      <c r="E38" s="10" t="n">
        <v>7722.75</v>
      </c>
      <c r="F38" s="11" t="s">
        <v>691</v>
      </c>
      <c r="G38" s="11" t="s">
        <v>404</v>
      </c>
      <c r="H38" s="13" t="s">
        <v>383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489</v>
      </c>
      <c r="D39" s="11" t="s">
        <v>265</v>
      </c>
      <c r="E39" s="22" t="n">
        <v>24</v>
      </c>
      <c r="F39" s="11" t="s">
        <v>690</v>
      </c>
      <c r="G39" s="11" t="s">
        <v>404</v>
      </c>
      <c r="H39" s="13" t="s">
        <v>383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492</v>
      </c>
      <c r="D40" s="11" t="s">
        <v>491</v>
      </c>
      <c r="E40" s="9" t="n">
        <v>28.3609271308796</v>
      </c>
      <c r="F40" s="11" t="s">
        <v>289</v>
      </c>
      <c r="G40" s="11" t="s">
        <v>404</v>
      </c>
      <c r="H40" s="13" t="s">
        <v>383</v>
      </c>
      <c r="I40" s="11" t="s">
        <v>272</v>
      </c>
    </row>
    <row r="41" customFormat="false" ht="15" hidden="false" customHeight="false" outlineLevel="0" collapsed="false">
      <c r="B41" s="22" t="n">
        <v>36</v>
      </c>
      <c r="C41" s="11" t="s">
        <v>494</v>
      </c>
      <c r="D41" s="11" t="s">
        <v>493</v>
      </c>
      <c r="E41" s="9" t="n">
        <v>58.1227</v>
      </c>
      <c r="F41" s="11" t="s">
        <v>289</v>
      </c>
      <c r="G41" s="11" t="s">
        <v>404</v>
      </c>
      <c r="H41" s="13" t="s">
        <v>383</v>
      </c>
      <c r="I41" s="11" t="s">
        <v>272</v>
      </c>
    </row>
    <row r="42" customFormat="false" ht="15" hidden="false" customHeight="false" outlineLevel="0" collapsed="false">
      <c r="B42" s="22" t="n">
        <v>37</v>
      </c>
      <c r="C42" s="11" t="s">
        <v>495</v>
      </c>
      <c r="D42" s="11" t="s">
        <v>295</v>
      </c>
      <c r="E42" s="25" t="n">
        <v>1.3421</v>
      </c>
      <c r="F42" s="11" t="s">
        <v>296</v>
      </c>
      <c r="G42" s="11" t="s">
        <v>404</v>
      </c>
      <c r="H42" s="13" t="s">
        <v>383</v>
      </c>
      <c r="I42" s="11" t="s">
        <v>272</v>
      </c>
    </row>
    <row r="43" customFormat="false" ht="15" hidden="false" customHeight="false" outlineLevel="0" collapsed="false">
      <c r="B43" s="22" t="n">
        <v>38</v>
      </c>
      <c r="C43" s="11" t="s">
        <v>497</v>
      </c>
      <c r="D43" s="11" t="s">
        <v>496</v>
      </c>
      <c r="E43" s="10" t="n">
        <v>5294.75</v>
      </c>
      <c r="F43" s="11" t="s">
        <v>691</v>
      </c>
      <c r="G43" s="11" t="s">
        <v>404</v>
      </c>
      <c r="H43" s="13" t="s">
        <v>383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500</v>
      </c>
      <c r="D44" s="11" t="s">
        <v>499</v>
      </c>
      <c r="E44" s="10" t="n">
        <v>741.5</v>
      </c>
      <c r="F44" s="11" t="s">
        <v>691</v>
      </c>
      <c r="G44" s="11" t="s">
        <v>404</v>
      </c>
      <c r="H44" s="13" t="s">
        <v>383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503</v>
      </c>
      <c r="D45" s="11" t="s">
        <v>502</v>
      </c>
      <c r="E45" s="9" t="n">
        <v>110.746042536661</v>
      </c>
      <c r="F45" s="11" t="s">
        <v>289</v>
      </c>
      <c r="G45" s="11" t="s">
        <v>404</v>
      </c>
      <c r="H45" s="13" t="s">
        <v>383</v>
      </c>
      <c r="I45" s="11" t="s">
        <v>272</v>
      </c>
    </row>
    <row r="46" customFormat="false" ht="15" hidden="false" customHeight="false" outlineLevel="0" collapsed="false">
      <c r="B46" s="22" t="n">
        <v>41</v>
      </c>
      <c r="C46" s="11" t="s">
        <v>506</v>
      </c>
      <c r="D46" s="11" t="s">
        <v>505</v>
      </c>
      <c r="E46" s="9" t="n">
        <v>34.4926858955683</v>
      </c>
      <c r="F46" s="11" t="s">
        <v>289</v>
      </c>
      <c r="G46" s="11" t="s">
        <v>404</v>
      </c>
      <c r="H46" s="13" t="s">
        <v>383</v>
      </c>
      <c r="I46" s="11" t="s">
        <v>272</v>
      </c>
    </row>
    <row r="47" customFormat="false" ht="15" hidden="false" customHeight="false" outlineLevel="0" collapsed="false">
      <c r="B47" s="22" t="n">
        <v>42</v>
      </c>
      <c r="C47" s="11" t="s">
        <v>508</v>
      </c>
      <c r="D47" s="11" t="s">
        <v>507</v>
      </c>
      <c r="E47" s="9" t="n">
        <v>11403.52</v>
      </c>
      <c r="F47" s="11" t="s">
        <v>309</v>
      </c>
      <c r="G47" s="11" t="s">
        <v>404</v>
      </c>
      <c r="H47" s="13" t="s">
        <v>383</v>
      </c>
      <c r="I47" s="11" t="s">
        <v>272</v>
      </c>
    </row>
    <row r="48" customFormat="false" ht="15" hidden="false" customHeight="false" outlineLevel="0" collapsed="false">
      <c r="B48" s="22" t="n">
        <v>43</v>
      </c>
      <c r="C48" s="11" t="s">
        <v>509</v>
      </c>
      <c r="D48" s="11" t="s">
        <v>314</v>
      </c>
      <c r="E48" s="9" t="n">
        <v>7851.80813333333</v>
      </c>
      <c r="F48" s="11" t="s">
        <v>309</v>
      </c>
      <c r="G48" s="11" t="s">
        <v>404</v>
      </c>
      <c r="H48" s="13" t="s">
        <v>383</v>
      </c>
      <c r="I48" s="11" t="s">
        <v>272</v>
      </c>
    </row>
    <row r="49" customFormat="false" ht="15" hidden="false" customHeight="false" outlineLevel="0" collapsed="false">
      <c r="B49" s="22" t="n">
        <v>44</v>
      </c>
      <c r="C49" s="11" t="s">
        <v>511</v>
      </c>
      <c r="D49" s="11" t="s">
        <v>510</v>
      </c>
      <c r="E49" s="10" t="n">
        <v>102.97</v>
      </c>
      <c r="F49" s="11" t="s">
        <v>691</v>
      </c>
      <c r="G49" s="11" t="s">
        <v>404</v>
      </c>
      <c r="H49" s="13" t="s">
        <v>383</v>
      </c>
      <c r="I49" s="11" t="s">
        <v>272</v>
      </c>
    </row>
    <row r="50" customFormat="false" ht="15" hidden="false" customHeight="false" outlineLevel="0" collapsed="false">
      <c r="B50" s="22" t="n">
        <v>45</v>
      </c>
      <c r="C50" s="11" t="s">
        <v>512</v>
      </c>
      <c r="D50" s="11" t="s">
        <v>316</v>
      </c>
      <c r="E50" s="9" t="n">
        <v>1348.99684542587</v>
      </c>
      <c r="F50" s="11" t="s">
        <v>309</v>
      </c>
      <c r="G50" s="11" t="s">
        <v>404</v>
      </c>
      <c r="H50" s="13" t="s">
        <v>383</v>
      </c>
      <c r="I50" s="11" t="s">
        <v>272</v>
      </c>
    </row>
    <row r="51" customFormat="false" ht="15" hidden="false" customHeight="false" outlineLevel="0" collapsed="false">
      <c r="B51" s="22" t="n">
        <v>46</v>
      </c>
      <c r="C51" s="11" t="s">
        <v>513</v>
      </c>
      <c r="D51" s="11" t="s">
        <v>304</v>
      </c>
      <c r="E51" s="26" t="n">
        <v>0.256089757080855</v>
      </c>
      <c r="F51" s="11" t="s">
        <v>302</v>
      </c>
      <c r="G51" s="11" t="s">
        <v>404</v>
      </c>
      <c r="H51" s="13" t="s">
        <v>383</v>
      </c>
      <c r="I51" s="11" t="s">
        <v>272</v>
      </c>
    </row>
    <row r="52" customFormat="false" ht="15" hidden="false" customHeight="false" outlineLevel="0" collapsed="false">
      <c r="B52" s="22" t="n">
        <v>47</v>
      </c>
      <c r="C52" s="11" t="s">
        <v>515</v>
      </c>
      <c r="D52" s="11" t="s">
        <v>305</v>
      </c>
      <c r="E52" s="26" t="n">
        <v>0.252995425973734</v>
      </c>
      <c r="F52" s="11" t="s">
        <v>302</v>
      </c>
      <c r="G52" s="11" t="s">
        <v>404</v>
      </c>
      <c r="H52" s="13" t="s">
        <v>383</v>
      </c>
      <c r="I52" s="11" t="s">
        <v>272</v>
      </c>
    </row>
    <row r="53" customFormat="false" ht="15" hidden="false" customHeight="false" outlineLevel="0" collapsed="false">
      <c r="B53" s="22" t="n">
        <v>48</v>
      </c>
      <c r="C53" s="11" t="s">
        <v>517</v>
      </c>
      <c r="D53" s="11" t="s">
        <v>516</v>
      </c>
      <c r="E53" s="22" t="n">
        <v>17</v>
      </c>
      <c r="F53" s="11" t="s">
        <v>690</v>
      </c>
      <c r="G53" s="11" t="s">
        <v>404</v>
      </c>
      <c r="H53" s="13" t="s">
        <v>383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519</v>
      </c>
      <c r="D54" s="11" t="s">
        <v>518</v>
      </c>
      <c r="E54" s="22" t="n">
        <v>18</v>
      </c>
      <c r="F54" s="11" t="s">
        <v>690</v>
      </c>
      <c r="G54" s="11" t="s">
        <v>404</v>
      </c>
      <c r="H54" s="13" t="s">
        <v>383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522</v>
      </c>
      <c r="D55" s="11" t="s">
        <v>521</v>
      </c>
      <c r="E55" s="26" t="n">
        <v>0.189569777605128</v>
      </c>
      <c r="F55" s="11" t="s">
        <v>302</v>
      </c>
      <c r="G55" s="11" t="s">
        <v>404</v>
      </c>
      <c r="H55" s="13" t="s">
        <v>383</v>
      </c>
      <c r="I55" s="11" t="s">
        <v>272</v>
      </c>
    </row>
    <row r="56" customFormat="false" ht="15" hidden="false" customHeight="false" outlineLevel="0" collapsed="false">
      <c r="B56" s="22" t="n">
        <v>51</v>
      </c>
      <c r="C56" s="11" t="s">
        <v>525</v>
      </c>
      <c r="D56" s="11" t="s">
        <v>524</v>
      </c>
      <c r="E56" s="26" t="n">
        <v>0.627334822440193</v>
      </c>
      <c r="F56" s="11" t="s">
        <v>302</v>
      </c>
      <c r="G56" s="11" t="s">
        <v>404</v>
      </c>
      <c r="H56" s="13" t="s">
        <v>383</v>
      </c>
      <c r="I56" s="11" t="s">
        <v>272</v>
      </c>
    </row>
    <row r="57" customFormat="false" ht="15" hidden="false" customHeight="false" outlineLevel="0" collapsed="false">
      <c r="B57" s="22" t="n">
        <v>52</v>
      </c>
      <c r="C57" s="11" t="s">
        <v>527</v>
      </c>
      <c r="D57" s="11" t="s">
        <v>526</v>
      </c>
      <c r="E57" s="22" t="n">
        <v>27</v>
      </c>
      <c r="F57" s="11" t="s">
        <v>690</v>
      </c>
      <c r="G57" s="11" t="s">
        <v>404</v>
      </c>
      <c r="H57" s="13" t="s">
        <v>383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530</v>
      </c>
      <c r="D58" s="11" t="s">
        <v>529</v>
      </c>
      <c r="E58" s="22" t="n">
        <v>8</v>
      </c>
      <c r="F58" s="11" t="s">
        <v>690</v>
      </c>
      <c r="G58" s="11" t="s">
        <v>404</v>
      </c>
      <c r="H58" s="13" t="s">
        <v>383</v>
      </c>
      <c r="I58" s="11" t="s">
        <v>532</v>
      </c>
    </row>
    <row r="59" customFormat="false" ht="15" hidden="false" customHeight="false" outlineLevel="0" collapsed="false">
      <c r="B59" s="22" t="n">
        <v>54</v>
      </c>
      <c r="C59" s="11" t="s">
        <v>534</v>
      </c>
      <c r="D59" s="11" t="s">
        <v>533</v>
      </c>
      <c r="E59" s="22" t="n">
        <v>10</v>
      </c>
      <c r="F59" s="11" t="s">
        <v>690</v>
      </c>
      <c r="G59" s="11" t="s">
        <v>404</v>
      </c>
      <c r="H59" s="13" t="s">
        <v>383</v>
      </c>
      <c r="I59" s="11" t="s">
        <v>535</v>
      </c>
    </row>
    <row r="60" customFormat="false" ht="15" hidden="false" customHeight="false" outlineLevel="0" collapsed="false">
      <c r="B60" s="22" t="n">
        <v>55</v>
      </c>
      <c r="C60" s="11" t="s">
        <v>537</v>
      </c>
      <c r="D60" s="11" t="s">
        <v>536</v>
      </c>
      <c r="E60" s="22" t="n">
        <v>0</v>
      </c>
      <c r="F60" s="11" t="s">
        <v>690</v>
      </c>
      <c r="G60" s="11" t="s">
        <v>404</v>
      </c>
      <c r="H60" s="13" t="s">
        <v>383</v>
      </c>
      <c r="I60" s="11" t="s">
        <v>538</v>
      </c>
    </row>
    <row r="61" customFormat="false" ht="15" hidden="false" customHeight="false" outlineLevel="0" collapsed="false">
      <c r="B61" s="22" t="n">
        <v>56</v>
      </c>
      <c r="C61" s="11" t="s">
        <v>540</v>
      </c>
      <c r="D61" s="11" t="s">
        <v>539</v>
      </c>
      <c r="E61" s="22" t="n">
        <v>2</v>
      </c>
      <c r="F61" s="11" t="s">
        <v>690</v>
      </c>
      <c r="G61" s="11" t="s">
        <v>404</v>
      </c>
      <c r="H61" s="13" t="s">
        <v>383</v>
      </c>
      <c r="I61" s="11" t="s">
        <v>541</v>
      </c>
    </row>
    <row r="62" customFormat="false" ht="15" hidden="false" customHeight="false" outlineLevel="0" collapsed="false">
      <c r="B62" s="22" t="n">
        <v>57</v>
      </c>
      <c r="C62" s="11" t="s">
        <v>543</v>
      </c>
      <c r="D62" s="11" t="s">
        <v>542</v>
      </c>
      <c r="E62" s="22" t="n">
        <v>110</v>
      </c>
      <c r="F62" s="11" t="s">
        <v>690</v>
      </c>
      <c r="G62" s="11" t="s">
        <v>404</v>
      </c>
      <c r="H62" s="13" t="s">
        <v>383</v>
      </c>
      <c r="I62" s="11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692</v>
      </c>
    </row>
    <row r="3" customFormat="false" ht="21.75" hidden="false" customHeight="true" outlineLevel="0" collapsed="false">
      <c r="B3" s="2" t="s">
        <v>693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377</v>
      </c>
      <c r="C5" s="3" t="s">
        <v>694</v>
      </c>
      <c r="D5" s="3" t="s">
        <v>695</v>
      </c>
      <c r="E5" s="3" t="s">
        <v>696</v>
      </c>
      <c r="F5" s="3" t="s">
        <v>697</v>
      </c>
      <c r="G5" s="3" t="s">
        <v>67</v>
      </c>
      <c r="H5" s="3" t="s">
        <v>698</v>
      </c>
    </row>
    <row r="6" customFormat="false" ht="15" hidden="false" customHeight="false" outlineLevel="0" collapsed="false">
      <c r="B6" s="22" t="n">
        <v>1</v>
      </c>
      <c r="C6" s="11" t="s">
        <v>699</v>
      </c>
      <c r="D6" s="9" t="n">
        <v>855264</v>
      </c>
      <c r="E6" s="9" t="n">
        <v>855264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700</v>
      </c>
    </row>
    <row r="7" customFormat="false" ht="15" hidden="false" customHeight="false" outlineLevel="0" collapsed="false">
      <c r="B7" s="22" t="n">
        <v>2</v>
      </c>
      <c r="C7" s="11" t="s">
        <v>701</v>
      </c>
      <c r="D7" s="9" t="n">
        <v>588885.61</v>
      </c>
      <c r="E7" s="9" t="n">
        <v>588885.61</v>
      </c>
      <c r="F7" s="16" t="n">
        <f aca="false">D7-E7</f>
        <v>0</v>
      </c>
      <c r="G7" s="0" t="str">
        <f aca="false">IF(ABS(F7)&lt;=1,"TIES",IF(ABS(F7)&lt;=ABS(E7)*0.05,"WITHIN","OFF"))</f>
        <v>TIES</v>
      </c>
      <c r="H7" s="11" t="s">
        <v>702</v>
      </c>
    </row>
    <row r="8" customFormat="false" ht="15" hidden="false" customHeight="false" outlineLevel="0" collapsed="false">
      <c r="B8" s="22" t="n">
        <v>3</v>
      </c>
      <c r="C8" s="11" t="s">
        <v>703</v>
      </c>
      <c r="D8" s="9" t="n">
        <v>266378.39</v>
      </c>
      <c r="E8" s="9" t="n">
        <v>266378.39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704</v>
      </c>
    </row>
    <row r="9" customFormat="false" ht="15" hidden="false" customHeight="false" outlineLevel="0" collapsed="false">
      <c r="B9" s="22" t="n">
        <v>4</v>
      </c>
      <c r="C9" s="11" t="s">
        <v>705</v>
      </c>
      <c r="D9" s="9" t="n">
        <v>855264</v>
      </c>
      <c r="E9" s="9" t="n">
        <v>855264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706</v>
      </c>
    </row>
    <row r="10" customFormat="false" ht="15" hidden="false" customHeight="false" outlineLevel="0" collapsed="false">
      <c r="B10" s="22" t="n">
        <v>5</v>
      </c>
      <c r="C10" s="11" t="s">
        <v>707</v>
      </c>
      <c r="D10" s="9" t="n">
        <v>7722.75</v>
      </c>
      <c r="E10" s="9" t="n">
        <v>7722.75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708</v>
      </c>
    </row>
    <row r="11" customFormat="false" ht="15" hidden="false" customHeight="false" outlineLevel="0" collapsed="false">
      <c r="B11" s="22" t="n">
        <v>6</v>
      </c>
      <c r="C11" s="11" t="s">
        <v>709</v>
      </c>
      <c r="D11" s="9" t="n">
        <v>22364</v>
      </c>
      <c r="E11" s="9" t="n">
        <v>22364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710</v>
      </c>
    </row>
    <row r="12" customFormat="false" ht="15" hidden="false" customHeight="false" outlineLevel="0" collapsed="false">
      <c r="B12" s="22" t="n">
        <v>7</v>
      </c>
      <c r="C12" s="11" t="s">
        <v>711</v>
      </c>
      <c r="D12" s="11" t="n">
        <v>24</v>
      </c>
      <c r="E12" s="11" t="n">
        <v>24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712</v>
      </c>
    </row>
    <row r="13" customFormat="false" ht="15" hidden="false" customHeight="false" outlineLevel="0" collapsed="false">
      <c r="B13" s="22" t="n">
        <v>8</v>
      </c>
      <c r="C13" s="11" t="s">
        <v>713</v>
      </c>
      <c r="D13" s="11" t="n">
        <v>27</v>
      </c>
      <c r="E13" s="11" t="n">
        <v>27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2026-04-20T22:26:20Z</dcterms:created>
  <dc:creator>openpyxl</dc:creator>
  <dc:description/>
  <dc:language>en-US</dc:language>
  <cp:lastModifiedBy/>
  <dcterms:modified xsi:type="dcterms:W3CDTF">2026-04-20T22:26:20Z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