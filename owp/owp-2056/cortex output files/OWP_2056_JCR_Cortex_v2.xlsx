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Overview" sheetId="1" state="visible" r:id="rId3"/>
    <sheet name="02 Job Info" sheetId="2" state="visible" r:id="rId4"/>
    <sheet name="03 Contract" sheetId="3" state="visible" r:id="rId5"/>
    <sheet name="04 SOV-PayApps" sheetId="4" state="visible" r:id="rId6"/>
    <sheet name="05 Change Orders" sheetId="5" state="visible" r:id="rId7"/>
    <sheet name="06 Cost Codes" sheetId="6" state="visible" r:id="rId8"/>
    <sheet name="07 Cost Categories" sheetId="7" state="visible" r:id="rId9"/>
    <sheet name="08 BVA" sheetId="8" state="visible" r:id="rId10"/>
    <sheet name="09 Vendor Analysis" sheetId="9" state="visible" r:id="rId11"/>
    <sheet name="10 Crew Roster" sheetId="10" state="visible" r:id="rId12"/>
    <sheet name="11 Wage Tiers" sheetId="11" state="visible" r:id="rId13"/>
    <sheet name="12 Productivity" sheetId="12" state="visible" r:id="rId14"/>
    <sheet name="13 Benchmarks" sheetId="13" state="visible" r:id="rId15"/>
    <sheet name="14 Predictive Signals" sheetId="14" state="visible" r:id="rId16"/>
    <sheet name="15 Reconciliation" sheetId="15" state="visible" r:id="rId17"/>
    <sheet name="16 Metric Registry" sheetId="16" state="visible" r:id="rId18"/>
    <sheet name="17 Change Lo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<sst xmlns="http://schemas.openxmlformats.org/spreadsheetml/2006/main" count="539" uniqueCount="380">
  <si>
    <t xml:space="preserve">OWP #2056 · Acme Farms</t>
  </si>
  <si>
    <t xml:space="preserve">Exxel Pacific · 321 units · Live / in-progress</t>
  </si>
  <si>
    <t xml:space="preserve">Forecast at Completion (Revised Basis)</t>
  </si>
  <si>
    <t xml:space="preserve">Revised contract value</t>
  </si>
  <si>
    <t xml:space="preserve">Revised budget (expenses)</t>
  </si>
  <si>
    <t xml:space="preserve">Forecast net profit</t>
  </si>
  <si>
    <t xml:space="preserve">Forecast margin</t>
  </si>
  <si>
    <t xml:space="preserve">Progress to Date</t>
  </si>
  <si>
    <t xml:space="preserve">Work complete (billed)</t>
  </si>
  <si>
    <t xml:space="preserve">Retention held</t>
  </si>
  <si>
    <t xml:space="preserve">Earned less retention</t>
  </si>
  <si>
    <t xml:space="preserve">Balance to finish</t>
  </si>
  <si>
    <t xml:space="preserve">Percent complete</t>
  </si>
  <si>
    <t xml:space="preserve">Transaction Totals by Source</t>
  </si>
  <si>
    <t xml:space="preserve">Source</t>
  </si>
  <si>
    <t xml:space="preserve">Dollars</t>
  </si>
  <si>
    <t xml:space="preserve">GL</t>
  </si>
  <si>
    <t xml:space="preserve">AP</t>
  </si>
  <si>
    <t xml:space="preserve">PR</t>
  </si>
  <si>
    <t xml:space="preserve">AR</t>
  </si>
  <si>
    <t xml:space="preserve">JOB #2056 · EXXEL PACIFIC · Acme Farms — FULL PROJECT INFORMATION</t>
  </si>
  <si>
    <t xml:space="preserve">Sourced from contract + ticket + GDrive folder + JDR. Subcontract L1.220000.</t>
  </si>
  <si>
    <t xml:space="preserve">IDENTITY</t>
  </si>
  <si>
    <t xml:space="preserve">OWP Job ID</t>
  </si>
  <si>
    <t xml:space="preserve">2056</t>
  </si>
  <si>
    <t xml:space="preserve">Project Name</t>
  </si>
  <si>
    <t xml:space="preserve">Acme Farms</t>
  </si>
  <si>
    <t xml:space="preserve">Site Address</t>
  </si>
  <si>
    <t xml:space="preserve">1029 S Jackson Street, Seattle WA 98104 (Central District)</t>
  </si>
  <si>
    <t xml:space="preserve">Subcontract Number</t>
  </si>
  <si>
    <t xml:space="preserve">L1.220000</t>
  </si>
  <si>
    <t xml:space="preserve">Effective Date</t>
  </si>
  <si>
    <t xml:space="preserve">April 18, 2018</t>
  </si>
  <si>
    <t xml:space="preserve">PROJECT TEAM — GENERAL CONTRACTOR</t>
  </si>
  <si>
    <t xml:space="preserve">GC Legal Name</t>
  </si>
  <si>
    <t xml:space="preserve">Exxel Pacific</t>
  </si>
  <si>
    <t xml:space="preserve">GC Address</t>
  </si>
  <si>
    <t xml:space="preserve">(per Exxel standard)</t>
  </si>
  <si>
    <t xml:space="preserve">GC Contract Signatory</t>
  </si>
  <si>
    <t xml:space="preserve">Exxel</t>
  </si>
  <si>
    <t xml:space="preserve">PROJECT TEAM — OWP</t>
  </si>
  <si>
    <t xml:space="preserve">OWP Legal Name</t>
  </si>
  <si>
    <t xml:space="preserve">One Way Plumbing LLC</t>
  </si>
  <si>
    <t xml:space="preserve">OWP Address</t>
  </si>
  <si>
    <t xml:space="preserve">127 10th Street S Suite 200, Kirkland WA 98033</t>
  </si>
  <si>
    <t xml:space="preserve">OWP Contract Signatory</t>
  </si>
  <si>
    <t xml:space="preserve">Richard Donelson</t>
  </si>
  <si>
    <t xml:space="preserve">OWP License #</t>
  </si>
  <si>
    <t xml:space="preserve">ONEWAWP895BU</t>
  </si>
  <si>
    <t xml:space="preserve">OWP Federal Tax ID</t>
  </si>
  <si>
    <t xml:space="preserve">27-4605928</t>
  </si>
  <si>
    <t xml:space="preserve">PROJECT TEAM — OWNER</t>
  </si>
  <si>
    <t xml:space="preserve">Owner Legal Name</t>
  </si>
  <si>
    <t xml:space="preserve">Owner Address</t>
  </si>
  <si>
    <t xml:space="preserve">(per Exxel)</t>
  </si>
  <si>
    <t xml:space="preserve">PROJECT TEAM — DESIGN</t>
  </si>
  <si>
    <t xml:space="preserve">Architect</t>
  </si>
  <si>
    <t xml:space="preserve">TBD</t>
  </si>
  <si>
    <t xml:space="preserve">MEP / Plumbing Engineer</t>
  </si>
  <si>
    <t xml:space="preserve">INSURANCE &amp; BONDING</t>
  </si>
  <si>
    <t xml:space="preserve">Insurance Type</t>
  </si>
  <si>
    <t xml:space="preserve">TBD per Exxel standard</t>
  </si>
  <si>
    <t xml:space="preserve">Retention</t>
  </si>
  <si>
    <t xml:space="preserve">5% per contract</t>
  </si>
  <si>
    <t xml:space="preserve">CONTRACT</t>
  </si>
  <si>
    <t xml:space="preserve">Contract Value</t>
  </si>
  <si>
    <t xml:space="preserve">$5,877,400 original</t>
  </si>
  <si>
    <t xml:space="preserve">CHANGE-EVENT META</t>
  </si>
  <si>
    <t xml:space="preserve">Executed CO Count</t>
  </si>
  <si>
    <t xml:space="preserve">TBD — see GDrive Change Orders/CO's/</t>
  </si>
  <si>
    <t xml:space="preserve">COR Count</t>
  </si>
  <si>
    <t xml:space="preserve">RFI Count</t>
  </si>
  <si>
    <t xml:space="preserve">ASI Count</t>
  </si>
  <si>
    <t xml:space="preserve">CO Inventory</t>
  </si>
  <si>
    <t xml:space="preserve">(see GDrive)</t>
  </si>
  <si>
    <t xml:space="preserve">COR Themes</t>
  </si>
  <si>
    <t xml:space="preserve">Key RFIs</t>
  </si>
  <si>
    <t xml:space="preserve">RFI-051 fitness room bottle filler</t>
  </si>
  <si>
    <t xml:space="preserve">DOCUMENTS ON FILE (GDrive)</t>
  </si>
  <si>
    <t xml:space="preserve">Latest Job Ticket</t>
  </si>
  <si>
    <t xml:space="preserve">Exxel Acme Farms Job Ticket 09-02-2020.pdf</t>
  </si>
  <si>
    <t xml:space="preserve">GDrive Folder</t>
  </si>
  <si>
    <t xml:space="preserve">Job Books - Completed Jobs/2056-...</t>
  </si>
  <si>
    <t xml:space="preserve">Subfolders surveyed</t>
  </si>
  <si>
    <t xml:space="preserve"># Job Ticket, ASI-RFI, Billing, Change Orders, Contract, Insurance, Meetings-Schedules, Permits, PO's, Plans, Submittals, Vendor Lien Waivers, Vendor Quotes</t>
  </si>
  <si>
    <t xml:space="preserve">FIXTURE SCHEDULE (verified from latest Job Ticket)</t>
  </si>
  <si>
    <t xml:space="preserve">Toilets</t>
  </si>
  <si>
    <t xml:space="preserve">324 Gerber 21-912 Type B + 17 ADA Type A + 3 retail K-3519 + 2 ADA common</t>
  </si>
  <si>
    <t xml:space="preserve">Lavs</t>
  </si>
  <si>
    <t xml:space="preserve">341 Lenova PU-01-W + 4 Kohler K-2035 common</t>
  </si>
  <si>
    <t xml:space="preserve">Showers Type B</t>
  </si>
  <si>
    <t xml:space="preserve">Best Bath LSS4838B5T 36x48 + Delta T14259</t>
  </si>
  <si>
    <t xml:space="preserve">Tubs Type B</t>
  </si>
  <si>
    <t xml:space="preserve">Aquatic 2603SMTE w/ backing + Delta T14459</t>
  </si>
  <si>
    <t xml:space="preserve">Tubs Type A ADA</t>
  </si>
  <si>
    <t xml:space="preserve">Aquatic 2603SMTE + grab bars + seat + Delta T14459-LHD</t>
  </si>
  <si>
    <t xml:space="preserve">Kitchen sinks</t>
  </si>
  <si>
    <t xml:space="preserve">Lenova LS18304 Type B + 17 Elkay ELUHAD ADA + 3 amenity Elkay</t>
  </si>
  <si>
    <t xml:space="preserve">Urinal</t>
  </si>
  <si>
    <t xml:space="preserve">Kohler K-4991</t>
  </si>
  <si>
    <t xml:space="preserve">Drinking fountain</t>
  </si>
  <si>
    <t xml:space="preserve">Elkay EZSTL8WSLK retail</t>
  </si>
  <si>
    <t xml:space="preserve">Bottle filler</t>
  </si>
  <si>
    <t xml:space="preserve">Elkay LZWSSM + ECH8 chiller fitness</t>
  </si>
  <si>
    <t xml:space="preserve">Mop sink</t>
  </si>
  <si>
    <t xml:space="preserve">Mustee 63M custodian</t>
  </si>
  <si>
    <t xml:space="preserve">Bike room faucet</t>
  </si>
  <si>
    <t xml:space="preserve">T&amp;S Brass B-PG-8WREV</t>
  </si>
  <si>
    <t xml:space="preserve">Dog wash tub</t>
  </si>
  <si>
    <t xml:space="preserve">GROOMER'S BEST 58" ADA WALK-THROUGH</t>
  </si>
  <si>
    <t xml:space="preserve">VERIFIED MAIN FIXTURE COUNT</t>
  </si>
  <si>
    <t xml:space="preserve">Per unit (321): 4.25</t>
  </si>
  <si>
    <t xml:space="preserve">AUDIT NOTE (2026-04-25): First-pass count of 1345 was the all-itemized sum (included drains, hose bibs, condensate stacks, water heaters, appliance rough-ins). Verified main count of 1363 matches plumbing-engineering 'fixture schedule' definition (toilets + lavs + tub/showers + kitchen sinks + drinking fountains + mop sinks + dog wash + bar sinks). Same convention as 2051 (803) and 2052 (482).</t>
  </si>
  <si>
    <t xml:space="preserve">Contract Summary</t>
  </si>
  <si>
    <t xml:space="preserve">Item</t>
  </si>
  <si>
    <t xml:space="preserve">Original</t>
  </si>
  <si>
    <t xml:space="preserve">Revised</t>
  </si>
  <si>
    <t xml:space="preserve">Delta</t>
  </si>
  <si>
    <t xml:space="preserve">Base construction contract</t>
  </si>
  <si>
    <t xml:space="preserve">Executed change orders (net)</t>
  </si>
  <si>
    <t xml:space="preserve">Total contract value</t>
  </si>
  <si>
    <t xml:space="preserve">Executed Change Orders</t>
  </si>
  <si>
    <t xml:space="preserve">CO #</t>
  </si>
  <si>
    <t xml:space="preserve">Description</t>
  </si>
  <si>
    <t xml:space="preserve">Amount</t>
  </si>
  <si>
    <t xml:space="preserve">Schedule of Values / Pay Application History</t>
  </si>
  <si>
    <t xml:space="preserve">Pay App</t>
  </si>
  <si>
    <t xml:space="preserve">Period End</t>
  </si>
  <si>
    <t xml:space="preserve">This Period</t>
  </si>
  <si>
    <t xml:space="preserve">Completed to Date</t>
  </si>
  <si>
    <t xml:space="preserve">Retention Held</t>
  </si>
  <si>
    <t xml:space="preserve">Previous Billed</t>
  </si>
  <si>
    <t xml:space="preserve">Current Balance</t>
  </si>
  <si>
    <t xml:space="preserve">Change Order Log</t>
  </si>
  <si>
    <t xml:space="preserve">#</t>
  </si>
  <si>
    <t xml:space="preserve">Type</t>
  </si>
  <si>
    <t xml:space="preserve">Status</t>
  </si>
  <si>
    <t xml:space="preserve">Cost Code Detail (Revised Basis)</t>
  </si>
  <si>
    <t xml:space="preserve">Code</t>
  </si>
  <si>
    <t xml:space="preserve">Actual</t>
  </si>
  <si>
    <t xml:space="preserve">Variance</t>
  </si>
  <si>
    <t xml:space="preserve">Net Due</t>
  </si>
  <si>
    <t xml:space="preserve">% Complete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</si>
  <si>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</si>
  <si>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</si>
  <si>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</si>
  <si>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</si>
  <si>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</si>
  <si>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</si>
  <si>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</si>
  <si>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</si>
  <si>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</si>
  <si>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</si>
  <si>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</si>
  <si>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</si>
  <si>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</si>
  <si>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</si>
  <si>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</si>
  <si>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</si>
  <si>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</si>
  <si>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</si>
  <si>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</si>
  <si>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</si>
  <si>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150</t>
  </si>
  <si>
    <t xml:space="preserve">Warranty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</si>
  <si>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</si>
  <si>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</si>
  <si>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</si>
  <si>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</si>
  <si>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</si>
  <si>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</si>
  <si>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</si>
  <si>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</si>
  <si>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</si>
  <si>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</si>
  <si>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</si>
  <si>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</si>
  <si>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</si>
  <si>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</si>
  <si>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</si>
  <si>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</si>
  <si>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</si>
  <si>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</si>
  <si>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</si>
  <si>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</si>
  <si>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</si>
  <si>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</si>
  <si>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</si>
  <si>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</si>
  <si>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</si>
  <si>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</si>
  <si>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</si>
  <si>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</si>
  <si>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</si>
  <si>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</si>
  <si>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TOTAL</t>
  </si>
  <si>
    <t xml:space="preserve">Cost Category Rollup</t>
  </si>
  <si>
    <t xml:space="preserve">Category</t>
  </si>
  <si>
    <t xml:space="preserve"># Codes</t>
  </si>
  <si>
    <t xml:space="preserve">Revised Budget</t>
  </si>
  <si>
    <t xml:space="preserve">Labor</t>
  </si>
  <si>
    <t xml:space="preserve">Material</t>
  </si>
  <si>
    <t xml:space="preserve">Overhead</t>
  </si>
  <si>
    <t xml:space="preserve">Burden</t>
  </si>
  <si>
    <t xml:space="preserve">Budget vs Actual — Flag list</t>
  </si>
  <si>
    <t xml:space="preserve">Revised budget is canonical basis. Flags: OVER &gt;10%, CRITICAL &gt;50%, ON ±10%, UNDER &lt;-10%.</t>
  </si>
  <si>
    <t xml:space="preserve">% Var</t>
  </si>
  <si>
    <t xml:space="preserve">Vendor Spend (AP source)</t>
  </si>
  <si>
    <t xml:space="preserve">Vendor</t>
  </si>
  <si>
    <t xml:space="preserve">Spend ($)</t>
  </si>
  <si>
    <t xml:space="preserve">Invoices</t>
  </si>
  <si>
    <t xml:space="preserve">% of Total AP</t>
  </si>
  <si>
    <t xml:space="preserve">Rosen Supply Kirkland</t>
  </si>
  <si>
    <t xml:space="preserve">Keller Supply Company</t>
  </si>
  <si>
    <t xml:space="preserve">California Hydronics Corp</t>
  </si>
  <si>
    <t xml:space="preserve">Consolidated Supply Co.</t>
  </si>
  <si>
    <t xml:space="preserve">Best Bath Systems</t>
  </si>
  <si>
    <t xml:space="preserve">Franklin Engineering</t>
  </si>
  <si>
    <t xml:space="preserve">Ferguson Enterprises, Inc. #3007</t>
  </si>
  <si>
    <t xml:space="preserve">Capital One Credit Card</t>
  </si>
  <si>
    <t xml:space="preserve">H&amp;E Equipment Services, Inc.</t>
  </si>
  <si>
    <t xml:space="preserve">Mechanical Resource Services, Inc.</t>
  </si>
  <si>
    <t xml:space="preserve">Patchworks, Inc.</t>
  </si>
  <si>
    <t xml:space="preserve">Beacon Building Products $Atlas</t>
  </si>
  <si>
    <t xml:space="preserve">Old Castle Infrastructure, Inc.</t>
  </si>
  <si>
    <t xml:space="preserve">Sider + Byers Associates, Inc.</t>
  </si>
  <si>
    <t xml:space="preserve">Mechanical Sales, Inc.</t>
  </si>
  <si>
    <t xml:space="preserve">Scan2Core, Inc.</t>
  </si>
  <si>
    <t xml:space="preserve">Chemical Products Company</t>
  </si>
  <si>
    <t xml:space="preserve">Platt $Rexel USA, Inc.</t>
  </si>
  <si>
    <t xml:space="preserve">DRSi</t>
  </si>
  <si>
    <t xml:space="preserve">Herc Rentals, Inc.</t>
  </si>
  <si>
    <t xml:space="preserve">Core &amp; Main LP $HD Supply Waterworks</t>
  </si>
  <si>
    <t xml:space="preserve">A.R. Brown Backflow Testing</t>
  </si>
  <si>
    <t xml:space="preserve">Kele, Inc $ MI Controls</t>
  </si>
  <si>
    <t xml:space="preserve">C.M. Hoskins Company</t>
  </si>
  <si>
    <t xml:space="preserve">Sunbelt Rentals, Inc.</t>
  </si>
  <si>
    <t xml:space="preserve">MechAgents</t>
  </si>
  <si>
    <t xml:space="preserve">TOTAL AP</t>
  </si>
  <si>
    <t xml:space="preserve">Crew Roster (PR source)</t>
  </si>
  <si>
    <t xml:space="preserve">Worker</t>
  </si>
  <si>
    <t xml:space="preserve">Hours</t>
  </si>
  <si>
    <t xml:space="preserve">Labor $</t>
  </si>
  <si>
    <t xml:space="preserve">Avg $/hr</t>
  </si>
  <si>
    <t xml:space="preserve">Tier</t>
  </si>
  <si>
    <t xml:space="preserve">Gerard, Mitchell J</t>
  </si>
  <si>
    <t xml:space="preserve">LEAD/SUPERVISOR</t>
  </si>
  <si>
    <t xml:space="preserve">Draves, Steven W</t>
  </si>
  <si>
    <t xml:space="preserve">JOURNEYMAN</t>
  </si>
  <si>
    <t xml:space="preserve">Eisenhauer, Tommy J</t>
  </si>
  <si>
    <t xml:space="preserve">Portillo Soriano, Walter A</t>
  </si>
  <si>
    <t xml:space="preserve">Rodriguez Arevalos, Christian</t>
  </si>
  <si>
    <t xml:space="preserve">Hubbard, Justin A</t>
  </si>
  <si>
    <t xml:space="preserve">Rivera, Eli P</t>
  </si>
  <si>
    <t xml:space="preserve">Gerard, Jordan E</t>
  </si>
  <si>
    <t xml:space="preserve">Montenegro, Carlos E</t>
  </si>
  <si>
    <t xml:space="preserve">Cornejo Orellana, Carlos E</t>
  </si>
  <si>
    <t xml:space="preserve">King, Caleb A</t>
  </si>
  <si>
    <t xml:space="preserve">Vazquez Popoca, Jose N</t>
  </si>
  <si>
    <t xml:space="preserve">Sepulveda Gonzalez, Alfredo</t>
  </si>
  <si>
    <t xml:space="preserve">Rosenberg, Joshua M</t>
  </si>
  <si>
    <t xml:space="preserve">Barnhart, Joseph N</t>
  </si>
  <si>
    <t xml:space="preserve">Fisher, Drew M</t>
  </si>
  <si>
    <t xml:space="preserve">Cruz Reyes, Jose</t>
  </si>
  <si>
    <t xml:space="preserve">Escalante Escobar, Boanerge</t>
  </si>
  <si>
    <t xml:space="preserve">Waites, Thaddeus Z</t>
  </si>
  <si>
    <t xml:space="preserve">Ross, Kelli M</t>
  </si>
  <si>
    <t xml:space="preserve">Lopez, Maslin A</t>
  </si>
  <si>
    <t xml:space="preserve">APPRENTICE/HELPER</t>
  </si>
  <si>
    <t xml:space="preserve">Eliassen, Cory H</t>
  </si>
  <si>
    <t xml:space="preserve">Trower-Kelly, Fidel D</t>
  </si>
  <si>
    <t xml:space="preserve">Hubbard, Robert W</t>
  </si>
  <si>
    <t xml:space="preserve">Wennig, Johnathan M</t>
  </si>
  <si>
    <t xml:space="preserve">Velasquez Cruz, Denis M</t>
  </si>
  <si>
    <t xml:space="preserve">Belcher, Jacob T</t>
  </si>
  <si>
    <t xml:space="preserve">Ascencio, Jose L</t>
  </si>
  <si>
    <t xml:space="preserve">Lucas Tzintzun, Rafael</t>
  </si>
  <si>
    <t xml:space="preserve">Velasquez Cruz, Osman N</t>
  </si>
  <si>
    <t xml:space="preserve">Sanders, Allen O</t>
  </si>
  <si>
    <t xml:space="preserve">Villalobos Tejada, Carlos F</t>
  </si>
  <si>
    <t xml:space="preserve">Reyes Cruz, Denis A</t>
  </si>
  <si>
    <t xml:space="preserve">Lima Romero, Melvin A</t>
  </si>
  <si>
    <t xml:space="preserve">Gutierrez Salas, Jose</t>
  </si>
  <si>
    <t xml:space="preserve">Gerard, Jeffrey S</t>
  </si>
  <si>
    <t xml:space="preserve">Cortes Mendiola, Victor H</t>
  </si>
  <si>
    <t xml:space="preserve">Castro Hernandez, Jose A</t>
  </si>
  <si>
    <t xml:space="preserve">Mackey, Cole J</t>
  </si>
  <si>
    <t xml:space="preserve">Petermeyer, Matthew W</t>
  </si>
  <si>
    <t xml:space="preserve">Stahlschmidt, John P</t>
  </si>
  <si>
    <t xml:space="preserve">Taylor, Evan R</t>
  </si>
  <si>
    <t xml:space="preserve">Donelson, Richard T</t>
  </si>
  <si>
    <t xml:space="preserve">Cruz Gonzalez, Julio C</t>
  </si>
  <si>
    <t xml:space="preserve">Perez Araque, Manuel A</t>
  </si>
  <si>
    <t xml:space="preserve">Romero Garza, Jesus I</t>
  </si>
  <si>
    <t xml:space="preserve">McCabe, Thomas C</t>
  </si>
  <si>
    <t xml:space="preserve">Jimenez Alvarenga, Gerson M</t>
  </si>
  <si>
    <t xml:space="preserve">Paco Leyva, Orlando</t>
  </si>
  <si>
    <t xml:space="preserve">Gauthier, Dillon R</t>
  </si>
  <si>
    <t xml:space="preserve">Ramos Herrera, Franklin J</t>
  </si>
  <si>
    <t xml:space="preserve">Cortes Sepulveda, Jose R</t>
  </si>
  <si>
    <t xml:space="preserve">Barnhart, Thomas L</t>
  </si>
  <si>
    <t xml:space="preserve">Boss, Benjamin T</t>
  </si>
  <si>
    <t xml:space="preserve">Balderas Ortiz, Ricardo I</t>
  </si>
  <si>
    <t xml:space="preserve">Boss, Kyle A</t>
  </si>
  <si>
    <t xml:space="preserve">Wilson, Garret A</t>
  </si>
  <si>
    <t xml:space="preserve">Roberts, Lake A</t>
  </si>
  <si>
    <t xml:space="preserve">Amaya Gonzalez, Edilberto A</t>
  </si>
  <si>
    <t xml:space="preserve">Hoeg, Xavier A</t>
  </si>
  <si>
    <t xml:space="preserve">Galdamez, Dagoberto A</t>
  </si>
  <si>
    <t xml:space="preserve">Martinez Reyes, Juan C</t>
  </si>
  <si>
    <t xml:space="preserve">Gonzalez Hernandez, Josue</t>
  </si>
  <si>
    <t xml:space="preserve">Cudaback, Chane J</t>
  </si>
  <si>
    <t xml:space="preserve">Lee, Ha Nul</t>
  </si>
  <si>
    <t xml:space="preserve">OT-ONLY</t>
  </si>
  <si>
    <t xml:space="preserve">Kinssies, Jr, John E</t>
  </si>
  <si>
    <t xml:space="preserve">Wage Tier Distribution</t>
  </si>
  <si>
    <t xml:space="preserve"># Workers</t>
  </si>
  <si>
    <t xml:space="preserve">% of Hours</t>
  </si>
  <si>
    <t xml:space="preserve">Productivity Metrics</t>
  </si>
  <si>
    <t xml:space="preserve">Total labor hours (to date)</t>
  </si>
  <si>
    <t xml:space="preserve">Active workers</t>
  </si>
  <si>
    <t xml:space="preserve">Hours per unit (to date)</t>
  </si>
  <si>
    <t xml:space="preserve">Revenue per labor hour (billed)</t>
  </si>
  <si>
    <t xml:space="preserve">Portfolio Benchmarks (vs. closed jobs)</t>
  </si>
  <si>
    <t xml:space="preserve">Metric</t>
  </si>
  <si>
    <t xml:space="preserve">This Job</t>
  </si>
  <si>
    <t xml:space="preserve">Portfolio Median</t>
  </si>
  <si>
    <t xml:space="preserve">Forecast margin %</t>
  </si>
  <si>
    <t xml:space="preserve">Roughin labor share (code 120)</t>
  </si>
  <si>
    <t xml:space="preserve">Top vendor concentration</t>
  </si>
  <si>
    <t xml:space="preserve">Hours per unit</t>
  </si>
  <si>
    <t xml:space="preserve">Predictive Signals (live project)</t>
  </si>
  <si>
    <t xml:space="preserve">Signal</t>
  </si>
  <si>
    <t xml:space="preserve">Notes</t>
  </si>
  <si>
    <t xml:space="preserve">Roughin Labor (120) over revised</t>
  </si>
  <si>
    <t xml:space="preserve">⚠ WATCH</t>
  </si>
  <si>
    <t xml:space="preserve">Actual $802,553 vs revised $692,715 (+16%) — monitor</t>
  </si>
  <si>
    <t xml:space="preserve">Finish Labor (130) over revised</t>
  </si>
  <si>
    <t xml:space="preserve">Actual $119,715 vs revised $105,765 (+13%) — monitor</t>
  </si>
  <si>
    <t xml:space="preserve">Rental Equipment (602) CRITICAL overrun</t>
  </si>
  <si>
    <t xml:space="preserve">Actual $19,433 vs revised $12,000 (+62%) — needs immediate attention</t>
  </si>
  <si>
    <t xml:space="preserve">Other Expenses (607) CRITICAL overrun</t>
  </si>
  <si>
    <t xml:space="preserve">Actual $20,675 vs revised $12,000 (+72%) — needs immediate attention</t>
  </si>
  <si>
    <t xml:space="preserve">Top vendor concentration (Rosen Supply Kirklan)</t>
  </si>
  <si>
    <t xml:space="preserve">✓ OK</t>
  </si>
  <si>
    <t xml:space="preserve">31% of AP ($366,756) — acceptable</t>
  </si>
  <si>
    <t xml:space="preserve">Retention aging</t>
  </si>
  <si>
    <t xml:space="preserve">$296,894 held · 4.9% of billed · standard range</t>
  </si>
  <si>
    <t xml:space="preserve">27.7% forecast margin — monitor</t>
  </si>
  <si>
    <t xml:space="preserve">JDR Reconciliation</t>
  </si>
  <si>
    <t xml:space="preserve">Reported</t>
  </si>
  <si>
    <t xml:space="preserve">Calculated</t>
  </si>
  <si>
    <t xml:space="preserve">Total expenses (from code totals)</t>
  </si>
  <si>
    <t xml:space="preserve">Revenue billed (AR ·-1)</t>
  </si>
  <si>
    <t xml:space="preserve">AP source total</t>
  </si>
  <si>
    <t xml:space="preserve">PR source total</t>
  </si>
  <si>
    <t xml:space="preserve">GL source total</t>
  </si>
  <si>
    <t xml:space="preserve">Metric Registry</t>
  </si>
  <si>
    <t xml:space="preserve">Source Tab</t>
  </si>
  <si>
    <t xml:space="preserve">Definition</t>
  </si>
  <si>
    <t xml:space="preserve">01 Overview</t>
  </si>
  <si>
    <t xml:space="preserve">Forecast net profit / Revised contract value</t>
  </si>
  <si>
    <t xml:space="preserve">Billed to date / Revised contract value</t>
  </si>
  <si>
    <t xml:space="preserve">Roughin labor share</t>
  </si>
  <si>
    <t xml:space="preserve">06 Cost Codes</t>
  </si>
  <si>
    <t xml:space="preserve">Code 120 revised / Total labor revised budget</t>
  </si>
  <si>
    <t xml:space="preserve">09 Vendor Analysis</t>
  </si>
  <si>
    <t xml:space="preserve">Largest single vendor AP spend / Total AP</t>
  </si>
  <si>
    <t xml:space="preserve">12 Productivity</t>
  </si>
  <si>
    <t xml:space="preserve">Total PR hours to date / Unit count</t>
  </si>
  <si>
    <t xml:space="preserve">BVA status codes</t>
  </si>
  <si>
    <t xml:space="preserve">08 BVA</t>
  </si>
  <si>
    <t xml:space="preserve">OVER / CRITICAL / UNDER / ON / UNBUDGETED on revised basis</t>
  </si>
  <si>
    <t xml:space="preserve">Workbook Change Log</t>
  </si>
  <si>
    <t xml:space="preserve">Date</t>
  </si>
  <si>
    <t xml:space="preserve">Version</t>
  </si>
  <si>
    <t xml:space="preserve">Note</t>
  </si>
  <si>
    <t xml:space="preserve">2026-04-25</t>
  </si>
  <si>
    <t xml:space="preserve">v1.0 · live</t>
  </si>
  <si>
    <t xml:space="preserve">Initial build for #2056 live project. 17-tab JCR schema on revised budget basis.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</si>
</sst>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"/>
    <numFmt numFmtId="168" formatCode="#,##0.0"/>
    <numFmt numFmtId="169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B29"/>
      <name val="Arial"/>
      <family val="0"/>
      <charset val="1"/>
    </font>
    <font>
      <i val="true"/>
      <sz val="9"/>
      <color rgb="FF70655C"/>
      <name val="Arial"/>
      <family val="0"/>
      <charset val="1"/>
    </font>
    <font>
      <b val="true"/>
      <sz val="12"/>
      <color rgb="FF2C2B29"/>
      <name val="Arial"/>
      <family val="0"/>
      <charset val="1"/>
    </font>
    <font>
      <sz val="10"/>
      <color rgb="FF2C2B2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2C2B29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2B29"/>
        <bgColor rgb="FF1F1F1F"/>
      </patternFill>
    </fill>
    <fill>
      <patternFill patternType="solid">
        <fgColor rgb="FFECF0F1"/>
        <bgColor rgb="FFFFF8E7"/>
      </patternFill>
    </fill>
    <fill>
      <patternFill patternType="solid">
        <fgColor rgb="FFFFF8E7"/>
        <bgColor rgb="FFFFFFFF"/>
      </patternFill>
    </fill>
    <fill>
      <patternFill patternType="solid">
        <fgColor rgb="FF2C3E50"/>
        <bgColor rgb="FF2C2B29"/>
      </patternFill>
    </fill>
    <fill>
      <patternFill patternType="solid">
        <fgColor rgb="FFE8CEC3"/>
        <bgColor rgb="FFD5D8DC"/>
      </patternFill>
    </fill>
    <fill>
      <patternFill patternType="solid">
        <fgColor rgb="FFD5DEC5"/>
        <bgColor rgb="FFD5D8D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BFB8AE"/>
      </left>
      <right style="thin">
        <color rgb="FFBFB8AE"/>
      </right>
      <top style="thin">
        <color rgb="FFBFB8AE"/>
      </top>
      <bottom style="thin">
        <color rgb="FFBFB8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8AE"/>
      <rgbColor rgb="FF70655C"/>
      <rgbColor rgb="FF9999FF"/>
      <rgbColor rgb="FF993366"/>
      <rgbColor rgb="FFFFF8E7"/>
      <rgbColor rgb="FFECF0F1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DEC5"/>
      <rgbColor rgb="FFFFFF99"/>
      <rgbColor rgb="FF99CCFF"/>
      <rgbColor rgb="FFFF99CC"/>
      <rgbColor rgb="FFCC99FF"/>
      <rgbColor rgb="FFE8CEC3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2C3E50"/>
      <rgbColor rgb="FF2C2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8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6034876</v>
      </c>
    </row>
    <row r="6" customFormat="false" ht="15" hidden="false" customHeight="true" outlineLevel="0" collapsed="false">
      <c r="A6" s="5" t="s">
        <v>4</v>
      </c>
      <c r="B6" s="6" t="n">
        <v>4362094.53</v>
      </c>
    </row>
    <row r="7" customFormat="false" ht="15" hidden="false" customHeight="true" outlineLevel="0" collapsed="false">
      <c r="A7" s="5" t="s">
        <v>5</v>
      </c>
      <c r="B7" s="7" t="n">
        <f aca="false">B5-B6</f>
        <v>1672781.47</v>
      </c>
    </row>
    <row r="8" customFormat="false" ht="15" hidden="false" customHeight="true" outlineLevel="0" collapsed="false">
      <c r="A8" s="5" t="s">
        <v>6</v>
      </c>
      <c r="B8" s="8" t="n">
        <f aca="false">IFERROR(B7/B5,0)</f>
        <v>0.277185723451484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5" t="s">
        <v>8</v>
      </c>
      <c r="B11" s="6" t="n">
        <v>6034876</v>
      </c>
    </row>
    <row r="12" customFormat="false" ht="15" hidden="false" customHeight="true" outlineLevel="0" collapsed="false">
      <c r="A12" s="5" t="s">
        <v>9</v>
      </c>
      <c r="B12" s="6" t="n">
        <v>296893.8</v>
      </c>
    </row>
    <row r="13" customFormat="false" ht="15" hidden="false" customHeight="true" outlineLevel="0" collapsed="false">
      <c r="A13" s="5" t="s">
        <v>10</v>
      </c>
      <c r="B13" s="7" t="n">
        <f aca="false">B11-B12</f>
        <v>5737982.2</v>
      </c>
    </row>
    <row r="14" customFormat="false" ht="15" hidden="false" customHeight="true" outlineLevel="0" collapsed="false">
      <c r="A14" s="5" t="s">
        <v>11</v>
      </c>
      <c r="B14" s="7" t="n">
        <f aca="false">B5-B11</f>
        <v>0</v>
      </c>
    </row>
    <row r="15" customFormat="false" ht="15" hidden="false" customHeight="true" outlineLevel="0" collapsed="false">
      <c r="A15" s="5" t="s">
        <v>12</v>
      </c>
      <c r="B15" s="8" t="n">
        <f aca="false">IFERROR(B11/B5,0)</f>
        <v>1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9" t="s">
        <v>14</v>
      </c>
      <c r="B18" s="9" t="s">
        <v>15</v>
      </c>
    </row>
    <row r="19" customFormat="false" ht="15" hidden="false" customHeight="true" outlineLevel="0" collapsed="false">
      <c r="A19" s="5" t="s">
        <v>16</v>
      </c>
      <c r="B19" s="10" t="n">
        <v>221469.76</v>
      </c>
    </row>
    <row r="20" customFormat="false" ht="15" hidden="false" customHeight="true" outlineLevel="0" collapsed="false">
      <c r="A20" s="5" t="s">
        <v>17</v>
      </c>
      <c r="B20" s="10" t="n">
        <v>1192245.52</v>
      </c>
    </row>
    <row r="21" customFormat="false" ht="15" hidden="false" customHeight="true" outlineLevel="0" collapsed="false">
      <c r="A21" s="5" t="s">
        <v>18</v>
      </c>
      <c r="B21" s="10" t="n">
        <v>1977161.81</v>
      </c>
    </row>
    <row r="22" customFormat="false" ht="15" hidden="false" customHeight="true" outlineLevel="0" collapsed="false">
      <c r="A22" s="5" t="s">
        <v>19</v>
      </c>
      <c r="B22" s="10" t="n">
        <v>-6034876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60"/>
  </cols>
  <sheetData>
    <row r="1" customFormat="false" ht="17.25" hidden="false" customHeight="true" outlineLevel="0" collapsed="false">
      <c r="A1" s="11" t="s">
        <v>20</v>
      </c>
      <c r="B1" s="11"/>
      <c r="C1" s="11"/>
      <c r="D1" s="11"/>
      <c r="E1" s="11"/>
      <c r="F1" s="11"/>
    </row>
    <row r="2" customFormat="false" ht="15" hidden="false" customHeight="true" outlineLevel="0" collapsed="false">
      <c r="A2" s="12" t="s">
        <v>21</v>
      </c>
      <c r="B2" s="12"/>
      <c r="C2" s="12"/>
      <c r="D2" s="12"/>
      <c r="E2" s="12"/>
      <c r="F2" s="12"/>
    </row>
    <row r="3" customFormat="false" ht="15" hidden="false" customHeight="true" outlineLevel="0" collapsed="false">
      <c r="A3" s="13"/>
      <c r="B3" s="5"/>
    </row>
    <row r="4" customFormat="false" ht="15" hidden="false" customHeight="true" outlineLevel="0" collapsed="false">
      <c r="A4" s="14" t="s">
        <v>22</v>
      </c>
      <c r="B4" s="14"/>
      <c r="C4" s="14"/>
      <c r="D4" s="14"/>
      <c r="E4" s="14"/>
      <c r="F4" s="14"/>
    </row>
    <row r="5" customFormat="false" ht="15" hidden="false" customHeight="true" outlineLevel="0" collapsed="false">
      <c r="A5" s="15" t="s">
        <v>23</v>
      </c>
      <c r="B5" s="16" t="s">
        <v>24</v>
      </c>
      <c r="C5" s="16"/>
      <c r="D5" s="16"/>
      <c r="E5" s="16"/>
      <c r="F5" s="16"/>
    </row>
    <row r="6" customFormat="false" ht="15" hidden="false" customHeight="true" outlineLevel="0" collapsed="false">
      <c r="A6" s="15" t="s">
        <v>25</v>
      </c>
      <c r="B6" s="16" t="s">
        <v>26</v>
      </c>
      <c r="C6" s="16"/>
      <c r="D6" s="16"/>
      <c r="E6" s="16"/>
      <c r="F6" s="16"/>
    </row>
    <row r="7" customFormat="false" ht="15" hidden="false" customHeight="true" outlineLevel="0" collapsed="false">
      <c r="A7" s="15" t="s">
        <v>27</v>
      </c>
      <c r="B7" s="16" t="s">
        <v>28</v>
      </c>
      <c r="C7" s="16"/>
      <c r="D7" s="16"/>
      <c r="E7" s="16"/>
      <c r="F7" s="16"/>
    </row>
    <row r="8" customFormat="false" ht="15" hidden="false" customHeight="true" outlineLevel="0" collapsed="false">
      <c r="A8" s="15" t="s">
        <v>29</v>
      </c>
      <c r="B8" s="16" t="s">
        <v>30</v>
      </c>
      <c r="C8" s="16"/>
      <c r="D8" s="16"/>
      <c r="E8" s="16"/>
      <c r="F8" s="16"/>
    </row>
    <row r="9" customFormat="false" ht="15" hidden="false" customHeight="true" outlineLevel="0" collapsed="false">
      <c r="A9" s="15" t="s">
        <v>31</v>
      </c>
      <c r="B9" s="16" t="s">
        <v>32</v>
      </c>
      <c r="C9" s="16"/>
      <c r="D9" s="16"/>
      <c r="E9" s="16"/>
      <c r="F9" s="16"/>
    </row>
    <row r="10" customFormat="false" ht="15" hidden="false" customHeight="true" outlineLevel="0" collapsed="false">
      <c r="A10" s="13"/>
      <c r="B10" s="5"/>
    </row>
    <row r="11" customFormat="false" ht="15" hidden="false" customHeight="true" outlineLevel="0" collapsed="false">
      <c r="A11" s="14" t="s">
        <v>33</v>
      </c>
      <c r="B11" s="14"/>
      <c r="C11" s="14"/>
      <c r="D11" s="14"/>
      <c r="E11" s="14"/>
      <c r="F11" s="14"/>
    </row>
    <row r="12" customFormat="false" ht="15" hidden="false" customHeight="true" outlineLevel="0" collapsed="false">
      <c r="A12" s="15" t="s">
        <v>34</v>
      </c>
      <c r="B12" s="16" t="s">
        <v>35</v>
      </c>
      <c r="C12" s="16"/>
      <c r="D12" s="16"/>
      <c r="E12" s="16"/>
      <c r="F12" s="16"/>
    </row>
    <row r="13" customFormat="false" ht="15" hidden="false" customHeight="true" outlineLevel="0" collapsed="false">
      <c r="A13" s="15" t="s">
        <v>36</v>
      </c>
      <c r="B13" s="16" t="s">
        <v>37</v>
      </c>
      <c r="C13" s="16"/>
      <c r="D13" s="16"/>
      <c r="E13" s="16"/>
      <c r="F13" s="16"/>
    </row>
    <row r="14" customFormat="false" ht="15" hidden="false" customHeight="true" outlineLevel="0" collapsed="false">
      <c r="A14" s="15" t="s">
        <v>38</v>
      </c>
      <c r="B14" s="16" t="s">
        <v>39</v>
      </c>
      <c r="C14" s="16"/>
      <c r="D14" s="16"/>
      <c r="E14" s="16"/>
      <c r="F14" s="16"/>
    </row>
    <row r="16" customFormat="false" ht="15" hidden="false" customHeight="true" outlineLevel="0" collapsed="false">
      <c r="A16" s="14" t="s">
        <v>40</v>
      </c>
      <c r="B16" s="14"/>
      <c r="C16" s="14"/>
      <c r="D16" s="14"/>
      <c r="E16" s="14"/>
      <c r="F16" s="14"/>
    </row>
    <row r="17" customFormat="false" ht="15" hidden="false" customHeight="true" outlineLevel="0" collapsed="false">
      <c r="A17" s="15" t="s">
        <v>41</v>
      </c>
      <c r="B17" s="16" t="s">
        <v>42</v>
      </c>
      <c r="C17" s="16"/>
      <c r="D17" s="16"/>
      <c r="E17" s="16"/>
      <c r="F17" s="16"/>
    </row>
    <row r="18" customFormat="false" ht="15" hidden="false" customHeight="true" outlineLevel="0" collapsed="false">
      <c r="A18" s="15" t="s">
        <v>43</v>
      </c>
      <c r="B18" s="16" t="s">
        <v>44</v>
      </c>
      <c r="C18" s="16"/>
      <c r="D18" s="16"/>
      <c r="E18" s="16"/>
      <c r="F18" s="16"/>
    </row>
    <row r="19" customFormat="false" ht="15" hidden="false" customHeight="true" outlineLevel="0" collapsed="false">
      <c r="A19" s="15" t="s">
        <v>45</v>
      </c>
      <c r="B19" s="16" t="s">
        <v>46</v>
      </c>
      <c r="C19" s="16"/>
      <c r="D19" s="16"/>
      <c r="E19" s="16"/>
      <c r="F19" s="16"/>
    </row>
    <row r="20" customFormat="false" ht="15" hidden="false" customHeight="true" outlineLevel="0" collapsed="false">
      <c r="A20" s="15" t="s">
        <v>47</v>
      </c>
      <c r="B20" s="16" t="s">
        <v>48</v>
      </c>
      <c r="C20" s="16"/>
      <c r="D20" s="16"/>
      <c r="E20" s="16"/>
      <c r="F20" s="16"/>
    </row>
    <row r="21" customFormat="false" ht="15" hidden="false" customHeight="true" outlineLevel="0" collapsed="false">
      <c r="A21" s="15" t="s">
        <v>49</v>
      </c>
      <c r="B21" s="16" t="s">
        <v>50</v>
      </c>
      <c r="C21" s="16"/>
      <c r="D21" s="16"/>
      <c r="E21" s="16"/>
      <c r="F21" s="16"/>
    </row>
    <row r="23" customFormat="false" ht="15" hidden="false" customHeight="true" outlineLevel="0" collapsed="false">
      <c r="A23" s="14" t="s">
        <v>51</v>
      </c>
      <c r="B23" s="14"/>
      <c r="C23" s="14"/>
      <c r="D23" s="14"/>
      <c r="E23" s="14"/>
      <c r="F23" s="14"/>
    </row>
    <row r="24" customFormat="false" ht="15" hidden="false" customHeight="true" outlineLevel="0" collapsed="false">
      <c r="A24" s="15" t="s">
        <v>52</v>
      </c>
      <c r="B24" s="16" t="s">
        <v>26</v>
      </c>
      <c r="C24" s="16"/>
      <c r="D24" s="16"/>
      <c r="E24" s="16"/>
      <c r="F24" s="16"/>
    </row>
    <row r="25" customFormat="false" ht="15" hidden="false" customHeight="true" outlineLevel="0" collapsed="false">
      <c r="A25" s="15" t="s">
        <v>53</v>
      </c>
      <c r="B25" s="16" t="s">
        <v>54</v>
      </c>
      <c r="C25" s="16"/>
      <c r="D25" s="16"/>
      <c r="E25" s="16"/>
      <c r="F25" s="16"/>
    </row>
    <row r="27" customFormat="false" ht="15" hidden="false" customHeight="true" outlineLevel="0" collapsed="false">
      <c r="A27" s="14" t="s">
        <v>55</v>
      </c>
      <c r="B27" s="14"/>
      <c r="C27" s="14"/>
      <c r="D27" s="14"/>
      <c r="E27" s="14"/>
      <c r="F27" s="14"/>
    </row>
    <row r="28" customFormat="false" ht="15" hidden="false" customHeight="true" outlineLevel="0" collapsed="false">
      <c r="A28" s="15" t="s">
        <v>56</v>
      </c>
      <c r="B28" s="16" t="s">
        <v>57</v>
      </c>
      <c r="C28" s="16"/>
      <c r="D28" s="16"/>
      <c r="E28" s="16"/>
      <c r="F28" s="16"/>
    </row>
    <row r="29" customFormat="false" ht="15" hidden="false" customHeight="true" outlineLevel="0" collapsed="false">
      <c r="A29" s="15" t="s">
        <v>58</v>
      </c>
      <c r="B29" s="16" t="s">
        <v>57</v>
      </c>
      <c r="C29" s="16"/>
      <c r="D29" s="16"/>
      <c r="E29" s="16"/>
      <c r="F29" s="16"/>
    </row>
    <row r="31" customFormat="false" ht="15" hidden="false" customHeight="true" outlineLevel="0" collapsed="false">
      <c r="A31" s="14" t="s">
        <v>59</v>
      </c>
      <c r="B31" s="14"/>
      <c r="C31" s="14"/>
      <c r="D31" s="14"/>
      <c r="E31" s="14"/>
      <c r="F31" s="14"/>
    </row>
    <row r="32" customFormat="false" ht="15" hidden="false" customHeight="true" outlineLevel="0" collapsed="false">
      <c r="A32" s="15" t="s">
        <v>60</v>
      </c>
      <c r="B32" s="16" t="s">
        <v>61</v>
      </c>
      <c r="C32" s="16"/>
      <c r="D32" s="16"/>
      <c r="E32" s="16"/>
      <c r="F32" s="16"/>
    </row>
    <row r="33" customFormat="false" ht="15" hidden="false" customHeight="true" outlineLevel="0" collapsed="false">
      <c r="A33" s="15" t="s">
        <v>62</v>
      </c>
      <c r="B33" s="16" t="s">
        <v>63</v>
      </c>
      <c r="C33" s="16"/>
      <c r="D33" s="16"/>
      <c r="E33" s="16"/>
      <c r="F33" s="16"/>
    </row>
    <row r="35" customFormat="false" ht="15" hidden="false" customHeight="true" outlineLevel="0" collapsed="false">
      <c r="A35" s="14" t="s">
        <v>64</v>
      </c>
      <c r="B35" s="14"/>
      <c r="C35" s="14"/>
      <c r="D35" s="14"/>
      <c r="E35" s="14"/>
      <c r="F35" s="14"/>
    </row>
    <row r="36" customFormat="false" ht="15" hidden="false" customHeight="true" outlineLevel="0" collapsed="false">
      <c r="A36" s="15" t="s">
        <v>65</v>
      </c>
      <c r="B36" s="16" t="s">
        <v>66</v>
      </c>
      <c r="C36" s="16"/>
      <c r="D36" s="16"/>
      <c r="E36" s="16"/>
      <c r="F36" s="16"/>
    </row>
    <row r="38" customFormat="false" ht="15" hidden="false" customHeight="true" outlineLevel="0" collapsed="false">
      <c r="A38" s="14" t="s">
        <v>67</v>
      </c>
      <c r="B38" s="14"/>
      <c r="C38" s="14"/>
      <c r="D38" s="14"/>
      <c r="E38" s="14"/>
      <c r="F38" s="14"/>
    </row>
    <row r="39" customFormat="false" ht="15" hidden="false" customHeight="true" outlineLevel="0" collapsed="false">
      <c r="A39" s="15" t="s">
        <v>68</v>
      </c>
      <c r="B39" s="16" t="s">
        <v>69</v>
      </c>
      <c r="C39" s="16"/>
      <c r="D39" s="16"/>
      <c r="E39" s="16"/>
      <c r="F39" s="16"/>
    </row>
    <row r="40" customFormat="false" ht="15" hidden="false" customHeight="true" outlineLevel="0" collapsed="false">
      <c r="A40" s="15" t="s">
        <v>70</v>
      </c>
      <c r="B40" s="16" t="s">
        <v>57</v>
      </c>
      <c r="C40" s="16"/>
      <c r="D40" s="16"/>
      <c r="E40" s="16"/>
      <c r="F40" s="16"/>
    </row>
    <row r="41" customFormat="false" ht="15" hidden="false" customHeight="true" outlineLevel="0" collapsed="false">
      <c r="A41" s="15" t="s">
        <v>71</v>
      </c>
      <c r="B41" s="16" t="s">
        <v>57</v>
      </c>
      <c r="C41" s="16"/>
      <c r="D41" s="16"/>
      <c r="E41" s="16"/>
      <c r="F41" s="16"/>
    </row>
    <row r="42" customFormat="false" ht="15" hidden="false" customHeight="true" outlineLevel="0" collapsed="false">
      <c r="A42" s="15" t="s">
        <v>72</v>
      </c>
      <c r="B42" s="16" t="s">
        <v>57</v>
      </c>
      <c r="C42" s="16"/>
      <c r="D42" s="16"/>
      <c r="E42" s="16"/>
      <c r="F42" s="16"/>
    </row>
    <row r="43" customFormat="false" ht="15" hidden="false" customHeight="true" outlineLevel="0" collapsed="false">
      <c r="A43" s="15" t="s">
        <v>73</v>
      </c>
      <c r="B43" s="16" t="s">
        <v>74</v>
      </c>
      <c r="C43" s="16"/>
      <c r="D43" s="16"/>
      <c r="E43" s="16"/>
      <c r="F43" s="16"/>
    </row>
    <row r="44" customFormat="false" ht="15" hidden="false" customHeight="true" outlineLevel="0" collapsed="false">
      <c r="A44" s="15" t="s">
        <v>75</v>
      </c>
      <c r="B44" s="16" t="s">
        <v>74</v>
      </c>
      <c r="C44" s="16"/>
      <c r="D44" s="16"/>
      <c r="E44" s="16"/>
      <c r="F44" s="16"/>
    </row>
    <row r="45" customFormat="false" ht="15" hidden="false" customHeight="true" outlineLevel="0" collapsed="false">
      <c r="A45" s="15" t="s">
        <v>76</v>
      </c>
      <c r="B45" s="16" t="s">
        <v>77</v>
      </c>
      <c r="C45" s="16"/>
      <c r="D45" s="16"/>
      <c r="E45" s="16"/>
      <c r="F45" s="16"/>
    </row>
    <row r="47" customFormat="false" ht="15" hidden="false" customHeight="true" outlineLevel="0" collapsed="false">
      <c r="A47" s="14" t="s">
        <v>78</v>
      </c>
      <c r="B47" s="14"/>
      <c r="C47" s="14"/>
      <c r="D47" s="14"/>
      <c r="E47" s="14"/>
      <c r="F47" s="14"/>
    </row>
    <row r="48" customFormat="false" ht="15" hidden="false" customHeight="true" outlineLevel="0" collapsed="false">
      <c r="A48" s="15" t="s">
        <v>79</v>
      </c>
      <c r="B48" s="16" t="s">
        <v>80</v>
      </c>
      <c r="C48" s="16"/>
      <c r="D48" s="16"/>
      <c r="E48" s="16"/>
      <c r="F48" s="16"/>
    </row>
    <row r="49" customFormat="false" ht="15" hidden="false" customHeight="true" outlineLevel="0" collapsed="false">
      <c r="A49" s="15" t="s">
        <v>81</v>
      </c>
      <c r="B49" s="16" t="s">
        <v>82</v>
      </c>
      <c r="C49" s="16"/>
      <c r="D49" s="16"/>
      <c r="E49" s="16"/>
      <c r="F49" s="16"/>
    </row>
    <row r="50" customFormat="false" ht="23.25" hidden="false" customHeight="true" outlineLevel="0" collapsed="false">
      <c r="A50" s="15" t="s">
        <v>83</v>
      </c>
      <c r="B50" s="16" t="s">
        <v>84</v>
      </c>
      <c r="C50" s="16"/>
      <c r="D50" s="16"/>
      <c r="E50" s="16"/>
      <c r="F50" s="16"/>
    </row>
    <row r="52" customFormat="false" ht="15" hidden="false" customHeight="true" outlineLevel="0" collapsed="false">
      <c r="A52" s="17" t="s">
        <v>85</v>
      </c>
      <c r="B52" s="17"/>
      <c r="C52" s="17"/>
      <c r="D52" s="17"/>
      <c r="E52" s="17"/>
      <c r="F52" s="17"/>
    </row>
    <row r="53" customFormat="false" ht="15" hidden="false" customHeight="true" outlineLevel="0" collapsed="false">
      <c r="A53" s="15" t="s">
        <v>86</v>
      </c>
      <c r="B53" s="18" t="n">
        <v>346</v>
      </c>
      <c r="C53" s="16" t="s">
        <v>87</v>
      </c>
      <c r="D53" s="16"/>
      <c r="E53" s="16"/>
      <c r="F53" s="16"/>
    </row>
    <row r="54" customFormat="false" ht="15" hidden="false" customHeight="true" outlineLevel="0" collapsed="false">
      <c r="A54" s="15" t="s">
        <v>88</v>
      </c>
      <c r="B54" s="18" t="n">
        <v>345</v>
      </c>
      <c r="C54" s="16" t="s">
        <v>89</v>
      </c>
      <c r="D54" s="16"/>
      <c r="E54" s="16"/>
      <c r="F54" s="16"/>
    </row>
    <row r="55" customFormat="false" ht="15" hidden="false" customHeight="true" outlineLevel="0" collapsed="false">
      <c r="A55" s="15" t="s">
        <v>90</v>
      </c>
      <c r="B55" s="18" t="n">
        <v>110</v>
      </c>
      <c r="C55" s="16" t="s">
        <v>91</v>
      </c>
      <c r="D55" s="16"/>
      <c r="E55" s="16"/>
      <c r="F55" s="16"/>
    </row>
    <row r="56" customFormat="false" ht="15" hidden="false" customHeight="true" outlineLevel="0" collapsed="false">
      <c r="A56" s="15" t="s">
        <v>92</v>
      </c>
      <c r="B56" s="18" t="n">
        <v>214</v>
      </c>
      <c r="C56" s="16" t="s">
        <v>93</v>
      </c>
      <c r="D56" s="16"/>
      <c r="E56" s="16"/>
      <c r="F56" s="16"/>
    </row>
    <row r="57" customFormat="false" ht="15" hidden="false" customHeight="true" outlineLevel="0" collapsed="false">
      <c r="A57" s="15" t="s">
        <v>94</v>
      </c>
      <c r="B57" s="18" t="n">
        <v>17</v>
      </c>
      <c r="C57" s="16" t="s">
        <v>95</v>
      </c>
      <c r="D57" s="16"/>
      <c r="E57" s="16"/>
      <c r="F57" s="16"/>
    </row>
    <row r="58" customFormat="false" ht="15" hidden="false" customHeight="true" outlineLevel="0" collapsed="false">
      <c r="A58" s="15" t="s">
        <v>96</v>
      </c>
      <c r="B58" s="18" t="n">
        <v>307</v>
      </c>
      <c r="C58" s="16" t="s">
        <v>97</v>
      </c>
      <c r="D58" s="16"/>
      <c r="E58" s="16"/>
      <c r="F58" s="16"/>
    </row>
    <row r="59" customFormat="false" ht="15" hidden="false" customHeight="true" outlineLevel="0" collapsed="false">
      <c r="A59" s="15" t="s">
        <v>98</v>
      </c>
      <c r="B59" s="18" t="n">
        <v>1</v>
      </c>
      <c r="C59" s="16" t="s">
        <v>99</v>
      </c>
      <c r="D59" s="16"/>
      <c r="E59" s="16"/>
      <c r="F59" s="16"/>
    </row>
    <row r="60" customFormat="false" ht="15" hidden="false" customHeight="true" outlineLevel="0" collapsed="false">
      <c r="A60" s="15" t="s">
        <v>100</v>
      </c>
      <c r="B60" s="18" t="n">
        <v>1</v>
      </c>
      <c r="C60" s="16" t="s">
        <v>101</v>
      </c>
      <c r="D60" s="16"/>
      <c r="E60" s="16"/>
      <c r="F60" s="16"/>
    </row>
    <row r="61" customFormat="false" ht="15" hidden="false" customHeight="true" outlineLevel="0" collapsed="false">
      <c r="A61" s="15" t="s">
        <v>102</v>
      </c>
      <c r="B61" s="18" t="n">
        <v>1</v>
      </c>
      <c r="C61" s="16" t="s">
        <v>103</v>
      </c>
      <c r="D61" s="16"/>
      <c r="E61" s="16"/>
      <c r="F61" s="16"/>
    </row>
    <row r="62" customFormat="false" ht="15" hidden="false" customHeight="true" outlineLevel="0" collapsed="false">
      <c r="A62" s="15" t="s">
        <v>104</v>
      </c>
      <c r="B62" s="18" t="n">
        <v>1</v>
      </c>
      <c r="C62" s="16" t="s">
        <v>105</v>
      </c>
      <c r="D62" s="16"/>
      <c r="E62" s="16"/>
      <c r="F62" s="16"/>
    </row>
    <row r="63" customFormat="false" ht="15" hidden="false" customHeight="true" outlineLevel="0" collapsed="false">
      <c r="A63" s="15" t="s">
        <v>106</v>
      </c>
      <c r="B63" s="18" t="n">
        <v>1</v>
      </c>
      <c r="C63" s="16" t="s">
        <v>107</v>
      </c>
      <c r="D63" s="16"/>
      <c r="E63" s="16"/>
      <c r="F63" s="16"/>
    </row>
    <row r="64" customFormat="false" ht="12" hidden="false" customHeight="true" outlineLevel="0" collapsed="false">
      <c r="A64" s="15" t="s">
        <v>108</v>
      </c>
      <c r="B64" s="18" t="n">
        <v>1</v>
      </c>
      <c r="C64" s="16" t="s">
        <v>109</v>
      </c>
      <c r="D64" s="16"/>
      <c r="E64" s="16"/>
      <c r="F64" s="16"/>
    </row>
    <row r="65" customFormat="false" ht="15" hidden="false" customHeight="true" outlineLevel="0" collapsed="false">
      <c r="A65" s="19" t="s">
        <v>110</v>
      </c>
      <c r="B65" s="19" t="n">
        <v>1363</v>
      </c>
    </row>
    <row r="66" customFormat="false" ht="15" hidden="false" customHeight="false" outlineLevel="0" collapsed="false">
      <c r="A66" s="20" t="s">
        <v>111</v>
      </c>
    </row>
    <row r="67" customFormat="false" ht="35.05" hidden="false" customHeight="true" outlineLevel="0" collapsed="false">
      <c r="A67" s="21" t="s">
        <v>112</v>
      </c>
      <c r="B67" s="21"/>
      <c r="C67" s="21"/>
      <c r="D67" s="21"/>
      <c r="E67" s="21"/>
      <c r="F67" s="21"/>
    </row>
  </sheetData>
  <mergeCells count="55">
    <mergeCell ref="A1:F1"/>
    <mergeCell ref="A2:F2"/>
    <mergeCell ref="A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A16:F16"/>
    <mergeCell ref="B17:F17"/>
    <mergeCell ref="B18:F18"/>
    <mergeCell ref="B19:F19"/>
    <mergeCell ref="B20:F20"/>
    <mergeCell ref="B21:F21"/>
    <mergeCell ref="A23:F23"/>
    <mergeCell ref="B24:F24"/>
    <mergeCell ref="B25:F25"/>
    <mergeCell ref="A27:F27"/>
    <mergeCell ref="B28:F28"/>
    <mergeCell ref="B29:F29"/>
    <mergeCell ref="A31:F31"/>
    <mergeCell ref="B32:F32"/>
    <mergeCell ref="B33:F33"/>
    <mergeCell ref="A35:F35"/>
    <mergeCell ref="B36:F36"/>
    <mergeCell ref="A38:F38"/>
    <mergeCell ref="B39:F39"/>
    <mergeCell ref="B40:F40"/>
    <mergeCell ref="B41:F41"/>
    <mergeCell ref="B42:F42"/>
    <mergeCell ref="B43:F43"/>
    <mergeCell ref="B44:F44"/>
    <mergeCell ref="B45:F45"/>
    <mergeCell ref="A47:F47"/>
    <mergeCell ref="B48:F48"/>
    <mergeCell ref="B49:F49"/>
    <mergeCell ref="B50:F50"/>
    <mergeCell ref="A52:F52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A67:F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113</v>
      </c>
    </row>
    <row r="3" customFormat="false" ht="15" hidden="false" customHeight="true" outlineLevel="0" collapsed="false">
      <c r="A3" s="22" t="s">
        <v>114</v>
      </c>
      <c r="B3" s="22" t="s">
        <v>115</v>
      </c>
      <c r="C3" s="22" t="s">
        <v>116</v>
      </c>
      <c r="D3" s="22" t="s">
        <v>117</v>
      </c>
    </row>
    <row r="4" customFormat="false" ht="15" hidden="false" customHeight="true" outlineLevel="0" collapsed="false">
      <c r="A4" s="5" t="s">
        <v>118</v>
      </c>
      <c r="B4" s="6" t="n">
        <v>5877400</v>
      </c>
      <c r="C4" s="6" t="n">
        <v>6034876</v>
      </c>
      <c r="D4" s="10" t="n">
        <f aca="false">C4-B4</f>
        <v>157476</v>
      </c>
    </row>
    <row r="5" customFormat="false" ht="15" hidden="false" customHeight="true" outlineLevel="0" collapsed="false">
      <c r="A5" s="5" t="s">
        <v>119</v>
      </c>
      <c r="B5" s="6" t="n">
        <v>0</v>
      </c>
      <c r="C5" s="6" t="n">
        <v>157476</v>
      </c>
      <c r="D5" s="10" t="n">
        <f aca="false">C5-B5</f>
        <v>157476</v>
      </c>
    </row>
    <row r="6" customFormat="false" ht="15" hidden="false" customHeight="true" outlineLevel="0" collapsed="false">
      <c r="A6" s="13" t="s">
        <v>120</v>
      </c>
      <c r="B6" s="7" t="n">
        <f aca="false">SUM(B4:B5)</f>
        <v>5877400</v>
      </c>
      <c r="C6" s="7" t="n">
        <f aca="false">SUM(C4:C5)</f>
        <v>6192352</v>
      </c>
      <c r="D6" s="7" t="n">
        <f aca="false">SUM(D4:D5)</f>
        <v>314952</v>
      </c>
    </row>
    <row r="9" customFormat="false" ht="15" hidden="false" customHeight="true" outlineLevel="0" collapsed="false">
      <c r="A9" s="4" t="s">
        <v>121</v>
      </c>
    </row>
    <row r="10" customFormat="false" ht="15" hidden="false" customHeight="true" outlineLevel="0" collapsed="false">
      <c r="A10" s="22" t="s">
        <v>122</v>
      </c>
      <c r="B10" s="22" t="s">
        <v>123</v>
      </c>
      <c r="C10" s="22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4"/>
    <col collapsed="false" customWidth="true" hidden="false" outlineLevel="0" max="7" min="3" style="1" width="16"/>
  </cols>
  <sheetData>
    <row r="1" customFormat="false" ht="19.5" hidden="false" customHeight="true" outlineLevel="0" collapsed="false">
      <c r="A1" s="2" t="s">
        <v>125</v>
      </c>
    </row>
    <row r="3" customFormat="false" ht="15" hidden="false" customHeight="true" outlineLevel="0" collapsed="false">
      <c r="A3" s="22" t="s">
        <v>126</v>
      </c>
      <c r="B3" s="22" t="s">
        <v>127</v>
      </c>
      <c r="C3" s="22" t="s">
        <v>128</v>
      </c>
      <c r="D3" s="22" t="s">
        <v>129</v>
      </c>
      <c r="E3" s="22" t="s">
        <v>130</v>
      </c>
      <c r="F3" s="22" t="s">
        <v>131</v>
      </c>
      <c r="G3" s="2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50"/>
    <col collapsed="false" customWidth="true" hidden="false" outlineLevel="0" max="4" min="4" style="1" width="18"/>
    <col collapsed="false" customWidth="true" hidden="false" outlineLevel="0" max="5" min="5" style="1" width="12"/>
  </cols>
  <sheetData>
    <row r="1" customFormat="false" ht="19.5" hidden="false" customHeight="true" outlineLevel="0" collapsed="false">
      <c r="A1" s="2" t="s">
        <v>133</v>
      </c>
    </row>
    <row r="3" customFormat="false" ht="15" hidden="false" customHeight="true" outlineLevel="0" collapsed="false">
      <c r="A3" s="22" t="s">
        <v>134</v>
      </c>
      <c r="B3" s="22" t="s">
        <v>135</v>
      </c>
      <c r="C3" s="22" t="s">
        <v>123</v>
      </c>
      <c r="D3" s="22" t="s">
        <v>124</v>
      </c>
      <c r="E3" s="22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8" min="3" style="1" width="14"/>
  </cols>
  <sheetData>
    <row r="1" customFormat="false" ht="19.5" hidden="false" customHeight="true" outlineLevel="0" collapsed="false">
      <c r="A1" s="2" t="s">
        <v>137</v>
      </c>
    </row>
    <row r="3" customFormat="false" ht="15" hidden="false" customHeight="true" outlineLevel="0" collapsed="false">
      <c r="A3" s="22" t="s">
        <v>138</v>
      </c>
      <c r="B3" s="22" t="s">
        <v>123</v>
      </c>
      <c r="C3" s="22" t="s">
        <v>115</v>
      </c>
      <c r="D3" s="22" t="s">
        <v>116</v>
      </c>
      <c r="E3" s="22" t="s">
        <v>139</v>
      </c>
      <c r="F3" s="22" t="s">
        <v>140</v>
      </c>
      <c r="G3" s="22" t="s">
        <v>141</v>
      </c>
      <c r="H3" s="22" t="s">
        <v>142</v>
      </c>
    </row>
    <row r="4" customFormat="false" ht="15" hidden="false" customHeight="true" outlineLevel="0" collapsed="false">
      <c r="A4" s="5" t="s">
        <v>143</v>
      </c>
      <c r="B4" s="5" t="s">
        <v>144</v>
      </c>
      <c r="C4" s="6" t="n">
        <v>38520</v>
      </c>
      <c r="D4" s="6" t="n">
        <v>38620</v>
      </c>
      <c r="E4" s="6" t="n">
        <v>8525.5</v>
      </c>
      <c r="F4" s="10" t="n">
        <f aca="false">D4-E4</f>
        <v>30094.5</v>
      </c>
      <c r="G4" s="6" t="n">
        <v>0</v>
      </c>
      <c r="H4" s="23" t="n">
        <f aca="false">IFERROR(E4/D4,0)</f>
        <v>0.220753495598136</v>
      </c>
    </row>
    <row r="5" customFormat="false" ht="15" hidden="false" customHeight="true" outlineLevel="0" collapsed="false">
      <c r="A5" s="5" t="s">
        <v>145</v>
      </c>
      <c r="B5" s="5" t="s">
        <v>146</v>
      </c>
      <c r="C5" s="6" t="n">
        <v>64200</v>
      </c>
      <c r="D5" s="6" t="n">
        <v>64300</v>
      </c>
      <c r="E5" s="6" t="n">
        <v>31609</v>
      </c>
      <c r="F5" s="10" t="n">
        <f aca="false">D5-E5</f>
        <v>32691</v>
      </c>
      <c r="G5" s="6" t="n">
        <v>0</v>
      </c>
      <c r="H5" s="23" t="n">
        <f aca="false">IFERROR(E5/D5,0)</f>
        <v>0.491586314152411</v>
      </c>
    </row>
    <row r="6" customFormat="false" ht="15" hidden="false" customHeight="true" outlineLevel="0" collapsed="false">
      <c r="A6" s="5" t="s">
        <v>147</v>
      </c>
      <c r="B6" s="5" t="s">
        <v>148</v>
      </c>
      <c r="C6" s="6" t="n">
        <v>38820</v>
      </c>
      <c r="D6" s="6" t="n">
        <v>44224</v>
      </c>
      <c r="E6" s="6" t="n">
        <v>37974.25</v>
      </c>
      <c r="F6" s="10" t="n">
        <f aca="false">D6-E6</f>
        <v>6249.75</v>
      </c>
      <c r="G6" s="6" t="n">
        <v>0</v>
      </c>
      <c r="H6" s="23" t="n">
        <f aca="false">IFERROR(E6/D6,0)</f>
        <v>0.858679676193922</v>
      </c>
    </row>
    <row r="7" customFormat="false" ht="15" hidden="false" customHeight="true" outlineLevel="0" collapsed="false">
      <c r="A7" s="5" t="s">
        <v>149</v>
      </c>
      <c r="B7" s="5" t="s">
        <v>150</v>
      </c>
      <c r="C7" s="6" t="n">
        <v>191150</v>
      </c>
      <c r="D7" s="6" t="n">
        <v>192900</v>
      </c>
      <c r="E7" s="6" t="n">
        <v>135710.5</v>
      </c>
      <c r="F7" s="10" t="n">
        <f aca="false">D7-E7</f>
        <v>57189.5</v>
      </c>
      <c r="G7" s="6" t="n">
        <v>0</v>
      </c>
      <c r="H7" s="23" t="n">
        <f aca="false">IFERROR(E7/D7,0)</f>
        <v>0.703527734577501</v>
      </c>
    </row>
    <row r="8" customFormat="false" ht="15" hidden="false" customHeight="true" outlineLevel="0" collapsed="false">
      <c r="A8" s="5" t="s">
        <v>151</v>
      </c>
      <c r="B8" s="5" t="s">
        <v>152</v>
      </c>
      <c r="C8" s="6" t="n">
        <v>50640</v>
      </c>
      <c r="D8" s="6" t="n">
        <v>50830</v>
      </c>
      <c r="E8" s="6" t="n">
        <v>31518</v>
      </c>
      <c r="F8" s="10" t="n">
        <f aca="false">D8-E8</f>
        <v>19312</v>
      </c>
      <c r="G8" s="6" t="n">
        <v>0</v>
      </c>
      <c r="H8" s="23" t="n">
        <f aca="false">IFERROR(E8/D8,0)</f>
        <v>0.620066889632107</v>
      </c>
    </row>
    <row r="9" customFormat="false" ht="15" hidden="false" customHeight="true" outlineLevel="0" collapsed="false">
      <c r="A9" s="5" t="s">
        <v>153</v>
      </c>
      <c r="B9" s="5" t="s">
        <v>154</v>
      </c>
      <c r="C9" s="6" t="n">
        <v>688305</v>
      </c>
      <c r="D9" s="6" t="n">
        <v>692715</v>
      </c>
      <c r="E9" s="6" t="n">
        <v>802553.37</v>
      </c>
      <c r="F9" s="10" t="n">
        <f aca="false">D9-E9</f>
        <v>-109838.37</v>
      </c>
      <c r="G9" s="6" t="n">
        <v>0</v>
      </c>
      <c r="H9" s="23" t="n">
        <f aca="false">IFERROR(E9/D9,0)</f>
        <v>1.15856213594335</v>
      </c>
    </row>
    <row r="10" customFormat="false" ht="15" hidden="false" customHeight="true" outlineLevel="0" collapsed="false">
      <c r="A10" s="5" t="s">
        <v>155</v>
      </c>
      <c r="B10" s="5" t="s">
        <v>156</v>
      </c>
      <c r="C10" s="6" t="n">
        <v>105170</v>
      </c>
      <c r="D10" s="6" t="n">
        <v>105765</v>
      </c>
      <c r="E10" s="6" t="n">
        <v>119715</v>
      </c>
      <c r="F10" s="10" t="n">
        <f aca="false">D10-E10</f>
        <v>-13950</v>
      </c>
      <c r="G10" s="6" t="n">
        <v>0</v>
      </c>
      <c r="H10" s="23" t="n">
        <f aca="false">IFERROR(E10/D10,0)</f>
        <v>1.13189618493831</v>
      </c>
    </row>
    <row r="11" customFormat="false" ht="15" hidden="false" customHeight="true" outlineLevel="0" collapsed="false">
      <c r="A11" s="5" t="s">
        <v>157</v>
      </c>
      <c r="B11" s="5" t="s">
        <v>158</v>
      </c>
      <c r="C11" s="6" t="n">
        <v>20250</v>
      </c>
      <c r="D11" s="6" t="n">
        <v>22750</v>
      </c>
      <c r="E11" s="6" t="n">
        <v>12589</v>
      </c>
      <c r="F11" s="10" t="n">
        <f aca="false">D11-E11</f>
        <v>10161</v>
      </c>
      <c r="G11" s="6" t="n">
        <v>0</v>
      </c>
      <c r="H11" s="23" t="n">
        <f aca="false">IFERROR(E11/D11,0)</f>
        <v>0.553362637362637</v>
      </c>
    </row>
    <row r="12" customFormat="false" ht="15" hidden="false" customHeight="true" outlineLevel="0" collapsed="false">
      <c r="A12" s="5" t="s">
        <v>159</v>
      </c>
      <c r="B12" s="5" t="s">
        <v>160</v>
      </c>
      <c r="C12" s="6" t="n">
        <v>172094</v>
      </c>
      <c r="D12" s="6" t="n">
        <v>181004</v>
      </c>
      <c r="E12" s="6" t="n">
        <v>142511.29</v>
      </c>
      <c r="F12" s="10" t="n">
        <f aca="false">D12-E12</f>
        <v>38492.71</v>
      </c>
      <c r="G12" s="6" t="n">
        <v>0</v>
      </c>
      <c r="H12" s="23" t="n">
        <f aca="false">IFERROR(E12/D12,0)</f>
        <v>0.78733779363992</v>
      </c>
    </row>
    <row r="13" customFormat="false" ht="15" hidden="false" customHeight="true" outlineLevel="0" collapsed="false">
      <c r="A13" s="5" t="s">
        <v>161</v>
      </c>
      <c r="B13" s="5" t="s">
        <v>162</v>
      </c>
      <c r="C13" s="6" t="n">
        <v>115500</v>
      </c>
      <c r="D13" s="6" t="n">
        <v>115500</v>
      </c>
      <c r="E13" s="6" t="n">
        <v>35212</v>
      </c>
      <c r="F13" s="10" t="n">
        <f aca="false">D13-E13</f>
        <v>80288</v>
      </c>
      <c r="G13" s="6" t="n">
        <v>0</v>
      </c>
      <c r="H13" s="23" t="n">
        <f aca="false">IFERROR(E13/D13,0)</f>
        <v>0.304865800865801</v>
      </c>
    </row>
    <row r="14" customFormat="false" ht="15" hidden="false" customHeight="true" outlineLevel="0" collapsed="false">
      <c r="A14" s="5" t="s">
        <v>163</v>
      </c>
      <c r="B14" s="5" t="s">
        <v>164</v>
      </c>
      <c r="C14" s="6" t="n">
        <v>0</v>
      </c>
      <c r="D14" s="6" t="n">
        <v>0</v>
      </c>
      <c r="E14" s="6" t="n">
        <v>137.5</v>
      </c>
      <c r="F14" s="10" t="n">
        <f aca="false">D14-E14</f>
        <v>-137.5</v>
      </c>
      <c r="G14" s="6" t="n">
        <v>0</v>
      </c>
      <c r="H14" s="23" t="n">
        <f aca="false">IFERROR(E14/D14,0)</f>
        <v>0</v>
      </c>
    </row>
    <row r="15" customFormat="false" ht="15" hidden="false" customHeight="true" outlineLevel="0" collapsed="false">
      <c r="A15" s="5" t="s">
        <v>165</v>
      </c>
      <c r="B15" s="5" t="s">
        <v>166</v>
      </c>
      <c r="C15" s="6" t="n">
        <v>57667</v>
      </c>
      <c r="D15" s="6" t="n">
        <v>59247</v>
      </c>
      <c r="E15" s="6" t="n">
        <v>31760.07</v>
      </c>
      <c r="F15" s="10" t="n">
        <f aca="false">D15-E15</f>
        <v>27486.93</v>
      </c>
      <c r="G15" s="6" t="n">
        <v>0</v>
      </c>
      <c r="H15" s="23" t="n">
        <f aca="false">IFERROR(E15/D15,0)</f>
        <v>0.536062079092612</v>
      </c>
    </row>
    <row r="16" customFormat="false" ht="15" hidden="false" customHeight="true" outlineLevel="0" collapsed="false">
      <c r="A16" s="5" t="s">
        <v>167</v>
      </c>
      <c r="B16" s="5" t="s">
        <v>168</v>
      </c>
      <c r="C16" s="6" t="n">
        <v>172517</v>
      </c>
      <c r="D16" s="6" t="n">
        <v>173467</v>
      </c>
      <c r="E16" s="6" t="n">
        <v>92755.74</v>
      </c>
      <c r="F16" s="10" t="n">
        <f aca="false">D16-E16</f>
        <v>80711.26</v>
      </c>
      <c r="G16" s="6" t="n">
        <v>0</v>
      </c>
      <c r="H16" s="23" t="n">
        <f aca="false">IFERROR(E16/D16,0)</f>
        <v>0.534716920221137</v>
      </c>
    </row>
    <row r="17" customFormat="false" ht="15" hidden="false" customHeight="true" outlineLevel="0" collapsed="false">
      <c r="A17" s="5" t="s">
        <v>169</v>
      </c>
      <c r="B17" s="5" t="s">
        <v>170</v>
      </c>
      <c r="C17" s="6" t="n">
        <v>68227</v>
      </c>
      <c r="D17" s="6" t="n">
        <v>68417</v>
      </c>
      <c r="E17" s="6" t="n">
        <v>32821.74</v>
      </c>
      <c r="F17" s="10" t="n">
        <f aca="false">D17-E17</f>
        <v>35595.26</v>
      </c>
      <c r="G17" s="6" t="n">
        <v>0</v>
      </c>
      <c r="H17" s="23" t="n">
        <f aca="false">IFERROR(E17/D17,0)</f>
        <v>0.479730768668606</v>
      </c>
    </row>
    <row r="18" customFormat="false" ht="15" hidden="false" customHeight="true" outlineLevel="0" collapsed="false">
      <c r="A18" s="5" t="s">
        <v>171</v>
      </c>
      <c r="B18" s="5" t="s">
        <v>172</v>
      </c>
      <c r="C18" s="6" t="n">
        <v>429928</v>
      </c>
      <c r="D18" s="6" t="n">
        <v>431128</v>
      </c>
      <c r="E18" s="6" t="n">
        <v>239543.21</v>
      </c>
      <c r="F18" s="10" t="n">
        <f aca="false">D18-E18</f>
        <v>191584.79</v>
      </c>
      <c r="G18" s="6" t="n">
        <v>0</v>
      </c>
      <c r="H18" s="23" t="n">
        <f aca="false">IFERROR(E18/D18,0)</f>
        <v>0.555619699949899</v>
      </c>
    </row>
    <row r="19" customFormat="false" ht="15" hidden="false" customHeight="true" outlineLevel="0" collapsed="false">
      <c r="A19" s="5" t="s">
        <v>173</v>
      </c>
      <c r="B19" s="5" t="s">
        <v>174</v>
      </c>
      <c r="C19" s="6" t="n">
        <v>867882</v>
      </c>
      <c r="D19" s="6" t="n">
        <v>870472</v>
      </c>
      <c r="E19" s="6" t="n">
        <v>650099</v>
      </c>
      <c r="F19" s="10" t="n">
        <f aca="false">D19-E19</f>
        <v>220373</v>
      </c>
      <c r="G19" s="6" t="n">
        <v>0</v>
      </c>
      <c r="H19" s="23" t="n">
        <f aca="false">IFERROR(E19/D19,0)</f>
        <v>0.746835050409433</v>
      </c>
    </row>
    <row r="20" customFormat="false" ht="15" hidden="false" customHeight="true" outlineLevel="0" collapsed="false">
      <c r="A20" s="5" t="s">
        <v>175</v>
      </c>
      <c r="B20" s="5" t="s">
        <v>176</v>
      </c>
      <c r="C20" s="6" t="n">
        <v>27000</v>
      </c>
      <c r="D20" s="6" t="n">
        <v>28800</v>
      </c>
      <c r="E20" s="6" t="n">
        <v>8134.74</v>
      </c>
      <c r="F20" s="10" t="n">
        <f aca="false">D20-E20</f>
        <v>20665.26</v>
      </c>
      <c r="G20" s="6" t="n">
        <v>0</v>
      </c>
      <c r="H20" s="23" t="n">
        <f aca="false">IFERROR(E20/D20,0)</f>
        <v>0.28245625</v>
      </c>
    </row>
    <row r="21" customFormat="false" ht="15" hidden="false" customHeight="true" outlineLevel="0" collapsed="false">
      <c r="A21" s="5" t="s">
        <v>177</v>
      </c>
      <c r="B21" s="5" t="s">
        <v>178</v>
      </c>
      <c r="C21" s="6" t="n">
        <v>205659</v>
      </c>
      <c r="D21" s="6" t="n">
        <v>206189</v>
      </c>
      <c r="E21" s="6" t="n">
        <v>103675.54</v>
      </c>
      <c r="F21" s="10" t="n">
        <f aca="false">D21-E21</f>
        <v>102513.46</v>
      </c>
      <c r="G21" s="6" t="n">
        <v>0</v>
      </c>
      <c r="H21" s="23" t="n">
        <f aca="false">IFERROR(E21/D21,0)</f>
        <v>0.502817997080349</v>
      </c>
    </row>
    <row r="22" customFormat="false" ht="15" hidden="false" customHeight="true" outlineLevel="0" collapsed="false">
      <c r="A22" s="5" t="s">
        <v>179</v>
      </c>
      <c r="B22" s="5" t="s">
        <v>180</v>
      </c>
      <c r="C22" s="6" t="n">
        <v>94000</v>
      </c>
      <c r="D22" s="6" t="n">
        <v>94000</v>
      </c>
      <c r="E22" s="6" t="n">
        <v>79516.1</v>
      </c>
      <c r="F22" s="10" t="n">
        <f aca="false">D22-E22</f>
        <v>14483.9</v>
      </c>
      <c r="G22" s="6" t="n">
        <v>0</v>
      </c>
      <c r="H22" s="23" t="n">
        <f aca="false">IFERROR(E22/D22,0)</f>
        <v>0.845915957446809</v>
      </c>
    </row>
    <row r="23" customFormat="false" ht="15" hidden="false" customHeight="true" outlineLevel="0" collapsed="false">
      <c r="A23" s="5" t="s">
        <v>181</v>
      </c>
      <c r="B23" s="5" t="s">
        <v>182</v>
      </c>
      <c r="C23" s="6" t="n">
        <v>55000</v>
      </c>
      <c r="D23" s="6" t="n">
        <v>59850</v>
      </c>
      <c r="E23" s="6" t="n">
        <v>25977.47</v>
      </c>
      <c r="F23" s="10" t="n">
        <f aca="false">D23-E23</f>
        <v>33872.53</v>
      </c>
      <c r="G23" s="6" t="n">
        <v>0</v>
      </c>
      <c r="H23" s="23" t="n">
        <f aca="false">IFERROR(E23/D23,0)</f>
        <v>0.434042940685046</v>
      </c>
    </row>
    <row r="24" customFormat="false" ht="15" hidden="false" customHeight="true" outlineLevel="0" collapsed="false">
      <c r="A24" s="5" t="s">
        <v>183</v>
      </c>
      <c r="B24" s="5" t="s">
        <v>184</v>
      </c>
      <c r="C24" s="6" t="n">
        <v>120000</v>
      </c>
      <c r="D24" s="6" t="n">
        <v>120000</v>
      </c>
      <c r="E24" s="6" t="n">
        <v>93899.29</v>
      </c>
      <c r="F24" s="10" t="n">
        <f aca="false">D24-E24</f>
        <v>26100.71</v>
      </c>
      <c r="G24" s="6" t="n">
        <v>0</v>
      </c>
      <c r="H24" s="23" t="n">
        <f aca="false">IFERROR(E24/D24,0)</f>
        <v>0.782494083333333</v>
      </c>
    </row>
    <row r="25" customFormat="false" ht="15" hidden="false" customHeight="true" outlineLevel="0" collapsed="false">
      <c r="A25" s="5" t="s">
        <v>185</v>
      </c>
      <c r="B25" s="5" t="s">
        <v>186</v>
      </c>
      <c r="C25" s="6" t="n">
        <v>12000</v>
      </c>
      <c r="D25" s="6" t="n">
        <v>12000</v>
      </c>
      <c r="E25" s="6" t="n">
        <v>19433.38</v>
      </c>
      <c r="F25" s="10" t="n">
        <f aca="false">D25-E25</f>
        <v>-7433.38</v>
      </c>
      <c r="G25" s="6" t="n">
        <v>0</v>
      </c>
      <c r="H25" s="23" t="n">
        <f aca="false">IFERROR(E25/D25,0)</f>
        <v>1.61944833333333</v>
      </c>
    </row>
    <row r="26" customFormat="false" ht="15" hidden="false" customHeight="true" outlineLevel="0" collapsed="false">
      <c r="A26" s="5" t="s">
        <v>187</v>
      </c>
      <c r="B26" s="5" t="s">
        <v>188</v>
      </c>
      <c r="C26" s="6" t="n">
        <v>26710</v>
      </c>
      <c r="D26" s="6" t="n">
        <v>27010</v>
      </c>
      <c r="E26" s="6" t="n">
        <v>20109.95</v>
      </c>
      <c r="F26" s="10" t="n">
        <f aca="false">D26-E26</f>
        <v>6900.05</v>
      </c>
      <c r="G26" s="6" t="n">
        <v>0</v>
      </c>
      <c r="H26" s="23" t="n">
        <f aca="false">IFERROR(E26/D26,0)</f>
        <v>0.744537208441318</v>
      </c>
    </row>
    <row r="27" customFormat="false" ht="15" hidden="false" customHeight="true" outlineLevel="0" collapsed="false">
      <c r="A27" s="5" t="s">
        <v>189</v>
      </c>
      <c r="B27" s="5" t="s">
        <v>190</v>
      </c>
      <c r="C27" s="6" t="n">
        <v>12000</v>
      </c>
      <c r="D27" s="6" t="n">
        <v>12000</v>
      </c>
      <c r="E27" s="6" t="n">
        <v>20674.89</v>
      </c>
      <c r="F27" s="10" t="n">
        <f aca="false">D27-E27</f>
        <v>-8674.89</v>
      </c>
      <c r="G27" s="6" t="n">
        <v>0</v>
      </c>
      <c r="H27" s="23" t="n">
        <f aca="false">IFERROR(E27/D27,0)</f>
        <v>1.7229075</v>
      </c>
    </row>
    <row r="28" customFormat="false" ht="15" hidden="false" customHeight="true" outlineLevel="0" collapsed="false">
      <c r="A28" s="5" t="s">
        <v>191</v>
      </c>
      <c r="B28" s="5" t="s">
        <v>192</v>
      </c>
      <c r="C28" s="6" t="n">
        <v>566393.59</v>
      </c>
      <c r="D28" s="6" t="n">
        <v>575498.01</v>
      </c>
      <c r="E28" s="6" t="n">
        <v>510170.4</v>
      </c>
      <c r="F28" s="10" t="n">
        <f aca="false">D28-E28</f>
        <v>65327.61</v>
      </c>
      <c r="G28" s="6" t="n">
        <v>0</v>
      </c>
      <c r="H28" s="23" t="n">
        <f aca="false">IFERROR(E28/D28,0)</f>
        <v>0.886485080982296</v>
      </c>
    </row>
    <row r="29" customFormat="false" ht="15" hidden="false" customHeight="true" outlineLevel="0" collapsed="false">
      <c r="A29" s="5" t="s">
        <v>193</v>
      </c>
      <c r="B29" s="5" t="s">
        <v>194</v>
      </c>
      <c r="C29" s="6" t="n">
        <v>113575.65</v>
      </c>
      <c r="D29" s="6" t="n">
        <v>115408.52</v>
      </c>
      <c r="E29" s="6" t="n">
        <v>104250.16</v>
      </c>
      <c r="F29" s="10" t="n">
        <f aca="false">D29-E29</f>
        <v>11158.36</v>
      </c>
      <c r="G29" s="6" t="n">
        <v>0</v>
      </c>
      <c r="H29" s="23" t="n">
        <f aca="false">IFERROR(E29/D29,0)</f>
        <v>0.903314244043681</v>
      </c>
    </row>
    <row r="30" customFormat="false" ht="15" hidden="false" customHeight="true" outlineLevel="0" collapsed="false">
      <c r="A30" s="13" t="s">
        <v>195</v>
      </c>
      <c r="C30" s="7" t="n">
        <f aca="false">SUM(C4:C29)</f>
        <v>4313208.24</v>
      </c>
      <c r="D30" s="7" t="n">
        <f aca="false">SUM(D4:D29)</f>
        <v>4362094.53</v>
      </c>
      <c r="E30" s="7" t="n">
        <f aca="false">SUM(E4:E29)</f>
        <v>3390877.09</v>
      </c>
      <c r="F30" s="7" t="n">
        <f aca="false">SUM(F4:F29)</f>
        <v>971217.44</v>
      </c>
      <c r="G30" s="7" t="n">
        <f aca="false">SUM(G4:G29)</f>
        <v>0</v>
      </c>
      <c r="H30" s="8" t="n">
        <f aca="false">IFERROR(E30/D30,0)</f>
        <v>0.777350666446928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6" min="3" style="1" width="16"/>
  </cols>
  <sheetData>
    <row r="1" customFormat="false" ht="19.5" hidden="false" customHeight="true" outlineLevel="0" collapsed="false">
      <c r="A1" s="2" t="s">
        <v>196</v>
      </c>
    </row>
    <row r="3" customFormat="false" ht="15" hidden="false" customHeight="true" outlineLevel="0" collapsed="false">
      <c r="A3" s="22" t="s">
        <v>197</v>
      </c>
      <c r="B3" s="22" t="s">
        <v>198</v>
      </c>
      <c r="C3" s="22" t="s">
        <v>199</v>
      </c>
      <c r="D3" s="22" t="s">
        <v>139</v>
      </c>
      <c r="E3" s="22" t="s">
        <v>140</v>
      </c>
      <c r="F3" s="22" t="s">
        <v>142</v>
      </c>
    </row>
    <row r="4" customFormat="false" ht="15" hidden="false" customHeight="true" outlineLevel="0" collapsed="false">
      <c r="A4" s="13" t="s">
        <v>200</v>
      </c>
      <c r="B4" s="5" t="n">
        <v>11</v>
      </c>
      <c r="C4" s="6" t="n">
        <v>1508608</v>
      </c>
      <c r="D4" s="6" t="n">
        <v>1358055.41</v>
      </c>
      <c r="E4" s="10" t="n">
        <f aca="false">C4-D4</f>
        <v>150552.59</v>
      </c>
      <c r="F4" s="23" t="n">
        <f aca="false">IFERROR(D4/C4,0)</f>
        <v>0.900204300918463</v>
      </c>
    </row>
    <row r="5" customFormat="false" ht="15" hidden="false" customHeight="true" outlineLevel="0" collapsed="false">
      <c r="A5" s="13" t="s">
        <v>201</v>
      </c>
      <c r="B5" s="5" t="n">
        <v>8</v>
      </c>
      <c r="C5" s="6" t="n">
        <v>1931720</v>
      </c>
      <c r="D5" s="6" t="n">
        <v>1238306.14</v>
      </c>
      <c r="E5" s="10" t="n">
        <f aca="false">C5-D5</f>
        <v>693413.86</v>
      </c>
      <c r="F5" s="23" t="n">
        <f aca="false">IFERROR(D5/C5,0)</f>
        <v>0.641038111113412</v>
      </c>
    </row>
    <row r="6" customFormat="false" ht="15" hidden="false" customHeight="true" outlineLevel="0" collapsed="false">
      <c r="A6" s="13" t="s">
        <v>202</v>
      </c>
      <c r="B6" s="5" t="n">
        <v>5</v>
      </c>
      <c r="C6" s="6" t="n">
        <v>230860</v>
      </c>
      <c r="D6" s="6" t="n">
        <v>180094.98</v>
      </c>
      <c r="E6" s="10" t="n">
        <f aca="false">C6-D6</f>
        <v>50765.02</v>
      </c>
      <c r="F6" s="23" t="n">
        <f aca="false">IFERROR(D6/C6,0)</f>
        <v>0.780104738802738</v>
      </c>
    </row>
    <row r="7" customFormat="false" ht="15" hidden="false" customHeight="true" outlineLevel="0" collapsed="false">
      <c r="A7" s="13" t="s">
        <v>203</v>
      </c>
      <c r="B7" s="5" t="n">
        <v>2</v>
      </c>
      <c r="C7" s="6" t="n">
        <v>690906.53</v>
      </c>
      <c r="D7" s="6" t="n">
        <v>614420.56</v>
      </c>
      <c r="E7" s="10" t="n">
        <f aca="false">C7-D7</f>
        <v>76485.97</v>
      </c>
      <c r="F7" s="23" t="n">
        <f aca="false">IFERROR(D7/C7,0)</f>
        <v>0.889296212036091</v>
      </c>
    </row>
    <row r="8" customFormat="false" ht="15" hidden="false" customHeight="true" outlineLevel="0" collapsed="false">
      <c r="A8" s="13" t="s">
        <v>195</v>
      </c>
      <c r="B8" s="24" t="n">
        <f aca="false">SUM(B4:B7)</f>
        <v>26</v>
      </c>
      <c r="C8" s="7" t="n">
        <f aca="false">SUM(C4:C7)</f>
        <v>4362094.53</v>
      </c>
      <c r="D8" s="7" t="n">
        <f aca="false">SUM(D4:D7)</f>
        <v>3390877.09</v>
      </c>
      <c r="E8" s="7" t="n">
        <f aca="false">SUM(E4:E7)</f>
        <v>971217.44</v>
      </c>
      <c r="F8" s="8" t="n">
        <f aca="false">IFERROR(D8/C8,0)</f>
        <v>0.777350666446928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5" min="3" style="1" width="14"/>
    <col collapsed="false" customWidth="true" hidden="false" outlineLevel="0" max="6" min="6" style="1" width="10"/>
    <col collapsed="false" customWidth="true" hidden="false" outlineLevel="0" max="7" min="7" style="1" width="14"/>
  </cols>
  <sheetData>
    <row r="1" customFormat="false" ht="19.5" hidden="false" customHeight="true" outlineLevel="0" collapsed="false">
      <c r="A1" s="2" t="s">
        <v>204</v>
      </c>
    </row>
    <row r="2" customFormat="false" ht="15" hidden="false" customHeight="true" outlineLevel="0" collapsed="false">
      <c r="A2" s="3" t="s">
        <v>205</v>
      </c>
    </row>
    <row r="4" customFormat="false" ht="15" hidden="false" customHeight="true" outlineLevel="0" collapsed="false">
      <c r="A4" s="22" t="s">
        <v>138</v>
      </c>
      <c r="B4" s="22" t="s">
        <v>123</v>
      </c>
      <c r="C4" s="22" t="s">
        <v>116</v>
      </c>
      <c r="D4" s="22" t="s">
        <v>139</v>
      </c>
      <c r="E4" s="22" t="s">
        <v>140</v>
      </c>
      <c r="F4" s="22" t="s">
        <v>206</v>
      </c>
      <c r="G4" s="22" t="s">
        <v>136</v>
      </c>
    </row>
    <row r="5" customFormat="false" ht="15" hidden="false" customHeight="true" outlineLevel="0" collapsed="false">
      <c r="A5" s="5" t="s">
        <v>143</v>
      </c>
      <c r="B5" s="5" t="s">
        <v>144</v>
      </c>
      <c r="C5" s="6" t="n">
        <v>38620</v>
      </c>
      <c r="D5" s="6" t="n">
        <v>8525.5</v>
      </c>
      <c r="E5" s="10" t="n">
        <f aca="false">C5-D5</f>
        <v>30094.5</v>
      </c>
      <c r="F5" s="23" t="n">
        <f aca="false">IFERROR((D5-C5)/C5,0)</f>
        <v>-0.779246504401864</v>
      </c>
      <c r="G5" s="25" t="str">
        <f aca="false">IF(C5=0,"UNBUDGETED",IF(F5&gt;0.5,"CRITICAL",IF(F5&gt;0.1,"OVER",IF(F5&lt;-0.1,"UNDER","ON"))))</f>
        <v>UNDER</v>
      </c>
    </row>
    <row r="6" customFormat="false" ht="15" hidden="false" customHeight="true" outlineLevel="0" collapsed="false">
      <c r="A6" s="5" t="s">
        <v>145</v>
      </c>
      <c r="B6" s="5" t="s">
        <v>146</v>
      </c>
      <c r="C6" s="6" t="n">
        <v>64300</v>
      </c>
      <c r="D6" s="6" t="n">
        <v>31609</v>
      </c>
      <c r="E6" s="10" t="n">
        <f aca="false">C6-D6</f>
        <v>32691</v>
      </c>
      <c r="F6" s="23" t="n">
        <f aca="false">IFERROR((D6-C6)/C6,0)</f>
        <v>-0.508413685847589</v>
      </c>
      <c r="G6" s="25" t="str">
        <f aca="false">IF(C6=0,"UNBUDGETED",IF(F6&gt;0.5,"CRITICAL",IF(F6&gt;0.1,"OVER",IF(F6&lt;-0.1,"UNDER","ON"))))</f>
        <v>UNDER</v>
      </c>
    </row>
    <row r="7" customFormat="false" ht="15" hidden="false" customHeight="true" outlineLevel="0" collapsed="false">
      <c r="A7" s="5" t="s">
        <v>147</v>
      </c>
      <c r="B7" s="5" t="s">
        <v>148</v>
      </c>
      <c r="C7" s="6" t="n">
        <v>44224</v>
      </c>
      <c r="D7" s="6" t="n">
        <v>37974.25</v>
      </c>
      <c r="E7" s="10" t="n">
        <f aca="false">C7-D7</f>
        <v>6249.75</v>
      </c>
      <c r="F7" s="23" t="n">
        <f aca="false">IFERROR((D7-C7)/C7,0)</f>
        <v>-0.141320323806078</v>
      </c>
      <c r="G7" s="25" t="str">
        <f aca="false">IF(C7=0,"UNBUDGETED",IF(F7&gt;0.5,"CRITICAL",IF(F7&gt;0.1,"OVER",IF(F7&lt;-0.1,"UNDER","ON"))))</f>
        <v>UNDER</v>
      </c>
    </row>
    <row r="8" customFormat="false" ht="15" hidden="false" customHeight="true" outlineLevel="0" collapsed="false">
      <c r="A8" s="5" t="s">
        <v>149</v>
      </c>
      <c r="B8" s="5" t="s">
        <v>150</v>
      </c>
      <c r="C8" s="6" t="n">
        <v>192900</v>
      </c>
      <c r="D8" s="6" t="n">
        <v>135710.5</v>
      </c>
      <c r="E8" s="10" t="n">
        <f aca="false">C8-D8</f>
        <v>57189.5</v>
      </c>
      <c r="F8" s="23" t="n">
        <f aca="false">IFERROR((D8-C8)/C8,0)</f>
        <v>-0.296472265422499</v>
      </c>
      <c r="G8" s="25" t="str">
        <f aca="false">IF(C8=0,"UNBUDGETED",IF(F8&gt;0.5,"CRITICAL",IF(F8&gt;0.1,"OVER",IF(F8&lt;-0.1,"UNDER","ON"))))</f>
        <v>UNDER</v>
      </c>
    </row>
    <row r="9" customFormat="false" ht="15" hidden="false" customHeight="true" outlineLevel="0" collapsed="false">
      <c r="A9" s="5" t="s">
        <v>151</v>
      </c>
      <c r="B9" s="5" t="s">
        <v>152</v>
      </c>
      <c r="C9" s="6" t="n">
        <v>50830</v>
      </c>
      <c r="D9" s="6" t="n">
        <v>31518</v>
      </c>
      <c r="E9" s="10" t="n">
        <f aca="false">C9-D9</f>
        <v>19312</v>
      </c>
      <c r="F9" s="23" t="n">
        <f aca="false">IFERROR((D9-C9)/C9,0)</f>
        <v>-0.379933110367893</v>
      </c>
      <c r="G9" s="25" t="str">
        <f aca="false">IF(C9=0,"UNBUDGETED",IF(F9&gt;0.5,"CRITICAL",IF(F9&gt;0.1,"OVER",IF(F9&lt;-0.1,"UNDER","ON"))))</f>
        <v>UNDER</v>
      </c>
    </row>
    <row r="10" customFormat="false" ht="15" hidden="false" customHeight="true" outlineLevel="0" collapsed="false">
      <c r="A10" s="5" t="s">
        <v>153</v>
      </c>
      <c r="B10" s="5" t="s">
        <v>154</v>
      </c>
      <c r="C10" s="6" t="n">
        <v>692715</v>
      </c>
      <c r="D10" s="6" t="n">
        <v>802553.37</v>
      </c>
      <c r="E10" s="10" t="n">
        <f aca="false">C10-D10</f>
        <v>-109838.37</v>
      </c>
      <c r="F10" s="23" t="n">
        <f aca="false">IFERROR((D10-C10)/C10,0)</f>
        <v>0.158562135943353</v>
      </c>
      <c r="G10" s="25" t="str">
        <f aca="false">IF(C10=0,"UNBUDGETED",IF(F10&gt;0.5,"CRITICAL",IF(F10&gt;0.1,"OVER",IF(F10&lt;-0.1,"UNDER","ON"))))</f>
        <v>OVER</v>
      </c>
    </row>
    <row r="11" customFormat="false" ht="15" hidden="false" customHeight="true" outlineLevel="0" collapsed="false">
      <c r="A11" s="5" t="s">
        <v>155</v>
      </c>
      <c r="B11" s="5" t="s">
        <v>156</v>
      </c>
      <c r="C11" s="6" t="n">
        <v>105765</v>
      </c>
      <c r="D11" s="6" t="n">
        <v>119715</v>
      </c>
      <c r="E11" s="10" t="n">
        <f aca="false">C11-D11</f>
        <v>-13950</v>
      </c>
      <c r="F11" s="23" t="n">
        <f aca="false">IFERROR((D11-C11)/C11,0)</f>
        <v>0.131896184938307</v>
      </c>
      <c r="G11" s="25" t="str">
        <f aca="false">IF(C11=0,"UNBUDGETED",IF(F11&gt;0.5,"CRITICAL",IF(F11&gt;0.1,"OVER",IF(F11&lt;-0.1,"UNDER","ON"))))</f>
        <v>OVER</v>
      </c>
    </row>
    <row r="12" customFormat="false" ht="15" hidden="false" customHeight="true" outlineLevel="0" collapsed="false">
      <c r="A12" s="5" t="s">
        <v>157</v>
      </c>
      <c r="B12" s="5" t="s">
        <v>158</v>
      </c>
      <c r="C12" s="6" t="n">
        <v>22750</v>
      </c>
      <c r="D12" s="6" t="n">
        <v>12589</v>
      </c>
      <c r="E12" s="10" t="n">
        <f aca="false">C12-D12</f>
        <v>10161</v>
      </c>
      <c r="F12" s="23" t="n">
        <f aca="false">IFERROR((D12-C12)/C12,0)</f>
        <v>-0.446637362637363</v>
      </c>
      <c r="G12" s="25" t="str">
        <f aca="false">IF(C12=0,"UNBUDGETED",IF(F12&gt;0.5,"CRITICAL",IF(F12&gt;0.1,"OVER",IF(F12&lt;-0.1,"UNDER","ON"))))</f>
        <v>UNDER</v>
      </c>
    </row>
    <row r="13" customFormat="false" ht="15" hidden="false" customHeight="true" outlineLevel="0" collapsed="false">
      <c r="A13" s="5" t="s">
        <v>159</v>
      </c>
      <c r="B13" s="5" t="s">
        <v>160</v>
      </c>
      <c r="C13" s="6" t="n">
        <v>181004</v>
      </c>
      <c r="D13" s="6" t="n">
        <v>142511.29</v>
      </c>
      <c r="E13" s="10" t="n">
        <f aca="false">C13-D13</f>
        <v>38492.71</v>
      </c>
      <c r="F13" s="23" t="n">
        <f aca="false">IFERROR((D13-C13)/C13,0)</f>
        <v>-0.21266220636008</v>
      </c>
      <c r="G13" s="25" t="str">
        <f aca="false">IF(C13=0,"UNBUDGETED",IF(F13&gt;0.5,"CRITICAL",IF(F13&gt;0.1,"OVER",IF(F13&lt;-0.1,"UNDER","ON"))))</f>
        <v>UNDER</v>
      </c>
    </row>
    <row r="14" customFormat="false" ht="15" hidden="false" customHeight="true" outlineLevel="0" collapsed="false">
      <c r="A14" s="5" t="s">
        <v>161</v>
      </c>
      <c r="B14" s="5" t="s">
        <v>162</v>
      </c>
      <c r="C14" s="6" t="n">
        <v>115500</v>
      </c>
      <c r="D14" s="6" t="n">
        <v>35212</v>
      </c>
      <c r="E14" s="10" t="n">
        <f aca="false">C14-D14</f>
        <v>80288</v>
      </c>
      <c r="F14" s="23" t="n">
        <f aca="false">IFERROR((D14-C14)/C14,0)</f>
        <v>-0.695134199134199</v>
      </c>
      <c r="G14" s="25" t="str">
        <f aca="false">IF(C14=0,"UNBUDGETED",IF(F14&gt;0.5,"CRITICAL",IF(F14&gt;0.1,"OVER",IF(F14&lt;-0.1,"UNDER","ON"))))</f>
        <v>UNDER</v>
      </c>
    </row>
    <row r="15" customFormat="false" ht="15" hidden="false" customHeight="true" outlineLevel="0" collapsed="false">
      <c r="A15" s="5" t="s">
        <v>163</v>
      </c>
      <c r="B15" s="5" t="s">
        <v>164</v>
      </c>
      <c r="C15" s="6" t="n">
        <v>0</v>
      </c>
      <c r="D15" s="6" t="n">
        <v>137.5</v>
      </c>
      <c r="E15" s="10" t="n">
        <f aca="false">C15-D15</f>
        <v>-137.5</v>
      </c>
      <c r="F15" s="23" t="n">
        <f aca="false">IFERROR((D15-C15)/C15,0)</f>
        <v>0</v>
      </c>
      <c r="G15" s="25" t="str">
        <f aca="false">IF(C15=0,"UNBUDGETED",IF(F15&gt;0.5,"CRITICAL",IF(F15&gt;0.1,"OVER",IF(F15&lt;-0.1,"UNDER","ON"))))</f>
        <v>UNBUDGETED</v>
      </c>
    </row>
    <row r="16" customFormat="false" ht="15" hidden="false" customHeight="true" outlineLevel="0" collapsed="false">
      <c r="A16" s="5" t="s">
        <v>165</v>
      </c>
      <c r="B16" s="5" t="s">
        <v>166</v>
      </c>
      <c r="C16" s="6" t="n">
        <v>59247</v>
      </c>
      <c r="D16" s="6" t="n">
        <v>31760.07</v>
      </c>
      <c r="E16" s="10" t="n">
        <f aca="false">C16-D16</f>
        <v>27486.93</v>
      </c>
      <c r="F16" s="23" t="n">
        <f aca="false">IFERROR((D16-C16)/C16,0)</f>
        <v>-0.463937920907388</v>
      </c>
      <c r="G16" s="25" t="str">
        <f aca="false">IF(C16=0,"UNBUDGETED",IF(F16&gt;0.5,"CRITICAL",IF(F16&gt;0.1,"OVER",IF(F16&lt;-0.1,"UNDER","ON"))))</f>
        <v>UNDER</v>
      </c>
    </row>
    <row r="17" customFormat="false" ht="15" hidden="false" customHeight="true" outlineLevel="0" collapsed="false">
      <c r="A17" s="5" t="s">
        <v>167</v>
      </c>
      <c r="B17" s="5" t="s">
        <v>168</v>
      </c>
      <c r="C17" s="6" t="n">
        <v>173467</v>
      </c>
      <c r="D17" s="6" t="n">
        <v>92755.74</v>
      </c>
      <c r="E17" s="10" t="n">
        <f aca="false">C17-D17</f>
        <v>80711.26</v>
      </c>
      <c r="F17" s="23" t="n">
        <f aca="false">IFERROR((D17-C17)/C17,0)</f>
        <v>-0.465283079778863</v>
      </c>
      <c r="G17" s="25" t="str">
        <f aca="false">IF(C17=0,"UNBUDGETED",IF(F17&gt;0.5,"CRITICAL",IF(F17&gt;0.1,"OVER",IF(F17&lt;-0.1,"UNDER","ON"))))</f>
        <v>UNDER</v>
      </c>
    </row>
    <row r="18" customFormat="false" ht="15" hidden="false" customHeight="true" outlineLevel="0" collapsed="false">
      <c r="A18" s="5" t="s">
        <v>169</v>
      </c>
      <c r="B18" s="5" t="s">
        <v>170</v>
      </c>
      <c r="C18" s="6" t="n">
        <v>68417</v>
      </c>
      <c r="D18" s="6" t="n">
        <v>32821.74</v>
      </c>
      <c r="E18" s="10" t="n">
        <f aca="false">C18-D18</f>
        <v>35595.26</v>
      </c>
      <c r="F18" s="23" t="n">
        <f aca="false">IFERROR((D18-C18)/C18,0)</f>
        <v>-0.520269231331394</v>
      </c>
      <c r="G18" s="25" t="str">
        <f aca="false">IF(C18=0,"UNBUDGETED",IF(F18&gt;0.5,"CRITICAL",IF(F18&gt;0.1,"OVER",IF(F18&lt;-0.1,"UNDER","ON"))))</f>
        <v>UNDER</v>
      </c>
    </row>
    <row r="19" customFormat="false" ht="15" hidden="false" customHeight="true" outlineLevel="0" collapsed="false">
      <c r="A19" s="5" t="s">
        <v>171</v>
      </c>
      <c r="B19" s="5" t="s">
        <v>172</v>
      </c>
      <c r="C19" s="6" t="n">
        <v>431128</v>
      </c>
      <c r="D19" s="6" t="n">
        <v>239543.21</v>
      </c>
      <c r="E19" s="10" t="n">
        <f aca="false">C19-D19</f>
        <v>191584.79</v>
      </c>
      <c r="F19" s="23" t="n">
        <f aca="false">IFERROR((D19-C19)/C19,0)</f>
        <v>-0.444380300050101</v>
      </c>
      <c r="G19" s="25" t="str">
        <f aca="false">IF(C19=0,"UNBUDGETED",IF(F19&gt;0.5,"CRITICAL",IF(F19&gt;0.1,"OVER",IF(F19&lt;-0.1,"UNDER","ON"))))</f>
        <v>UNDER</v>
      </c>
    </row>
    <row r="20" customFormat="false" ht="15" hidden="false" customHeight="true" outlineLevel="0" collapsed="false">
      <c r="A20" s="5" t="s">
        <v>173</v>
      </c>
      <c r="B20" s="5" t="s">
        <v>174</v>
      </c>
      <c r="C20" s="6" t="n">
        <v>870472</v>
      </c>
      <c r="D20" s="6" t="n">
        <v>650099</v>
      </c>
      <c r="E20" s="10" t="n">
        <f aca="false">C20-D20</f>
        <v>220373</v>
      </c>
      <c r="F20" s="23" t="n">
        <f aca="false">IFERROR((D20-C20)/C20,0)</f>
        <v>-0.253164949590567</v>
      </c>
      <c r="G20" s="25" t="str">
        <f aca="false">IF(C20=0,"UNBUDGETED",IF(F20&gt;0.5,"CRITICAL",IF(F20&gt;0.1,"OVER",IF(F20&lt;-0.1,"UNDER","ON"))))</f>
        <v>UNDER</v>
      </c>
    </row>
    <row r="21" customFormat="false" ht="15" hidden="false" customHeight="true" outlineLevel="0" collapsed="false">
      <c r="A21" s="5" t="s">
        <v>175</v>
      </c>
      <c r="B21" s="5" t="s">
        <v>176</v>
      </c>
      <c r="C21" s="6" t="n">
        <v>28800</v>
      </c>
      <c r="D21" s="6" t="n">
        <v>8134.74</v>
      </c>
      <c r="E21" s="10" t="n">
        <f aca="false">C21-D21</f>
        <v>20665.26</v>
      </c>
      <c r="F21" s="23" t="n">
        <f aca="false">IFERROR((D21-C21)/C21,0)</f>
        <v>-0.71754375</v>
      </c>
      <c r="G21" s="25" t="str">
        <f aca="false">IF(C21=0,"UNBUDGETED",IF(F21&gt;0.5,"CRITICAL",IF(F21&gt;0.1,"OVER",IF(F21&lt;-0.1,"UNDER","ON"))))</f>
        <v>UNDER</v>
      </c>
    </row>
    <row r="22" customFormat="false" ht="15" hidden="false" customHeight="true" outlineLevel="0" collapsed="false">
      <c r="A22" s="5" t="s">
        <v>177</v>
      </c>
      <c r="B22" s="5" t="s">
        <v>178</v>
      </c>
      <c r="C22" s="6" t="n">
        <v>206189</v>
      </c>
      <c r="D22" s="6" t="n">
        <v>103675.54</v>
      </c>
      <c r="E22" s="10" t="n">
        <f aca="false">C22-D22</f>
        <v>102513.46</v>
      </c>
      <c r="F22" s="23" t="n">
        <f aca="false">IFERROR((D22-C22)/C22,0)</f>
        <v>-0.497182002919651</v>
      </c>
      <c r="G22" s="25" t="str">
        <f aca="false">IF(C22=0,"UNBUDGETED",IF(F22&gt;0.5,"CRITICAL",IF(F22&gt;0.1,"OVER",IF(F22&lt;-0.1,"UNDER","ON"))))</f>
        <v>UNDER</v>
      </c>
    </row>
    <row r="23" customFormat="false" ht="15" hidden="false" customHeight="true" outlineLevel="0" collapsed="false">
      <c r="A23" s="5" t="s">
        <v>179</v>
      </c>
      <c r="B23" s="5" t="s">
        <v>180</v>
      </c>
      <c r="C23" s="6" t="n">
        <v>94000</v>
      </c>
      <c r="D23" s="6" t="n">
        <v>79516.1</v>
      </c>
      <c r="E23" s="10" t="n">
        <f aca="false">C23-D23</f>
        <v>14483.9</v>
      </c>
      <c r="F23" s="23" t="n">
        <f aca="false">IFERROR((D23-C23)/C23,0)</f>
        <v>-0.154084042553191</v>
      </c>
      <c r="G23" s="25" t="str">
        <f aca="false">IF(C23=0,"UNBUDGETED",IF(F23&gt;0.5,"CRITICAL",IF(F23&gt;0.1,"OVER",IF(F23&lt;-0.1,"UNDER","ON"))))</f>
        <v>UNDER</v>
      </c>
    </row>
    <row r="24" customFormat="false" ht="15" hidden="false" customHeight="true" outlineLevel="0" collapsed="false">
      <c r="A24" s="5" t="s">
        <v>181</v>
      </c>
      <c r="B24" s="5" t="s">
        <v>182</v>
      </c>
      <c r="C24" s="6" t="n">
        <v>59850</v>
      </c>
      <c r="D24" s="6" t="n">
        <v>25977.47</v>
      </c>
      <c r="E24" s="10" t="n">
        <f aca="false">C24-D24</f>
        <v>33872.53</v>
      </c>
      <c r="F24" s="23" t="n">
        <f aca="false">IFERROR((D24-C24)/C24,0)</f>
        <v>-0.565957059314954</v>
      </c>
      <c r="G24" s="25" t="str">
        <f aca="false">IF(C24=0,"UNBUDGETED",IF(F24&gt;0.5,"CRITICAL",IF(F24&gt;0.1,"OVER",IF(F24&lt;-0.1,"UNDER","ON"))))</f>
        <v>UNDER</v>
      </c>
    </row>
    <row r="25" customFormat="false" ht="15" hidden="false" customHeight="true" outlineLevel="0" collapsed="false">
      <c r="A25" s="5" t="s">
        <v>183</v>
      </c>
      <c r="B25" s="5" t="s">
        <v>184</v>
      </c>
      <c r="C25" s="6" t="n">
        <v>120000</v>
      </c>
      <c r="D25" s="6" t="n">
        <v>93899.29</v>
      </c>
      <c r="E25" s="10" t="n">
        <f aca="false">C25-D25</f>
        <v>26100.71</v>
      </c>
      <c r="F25" s="23" t="n">
        <f aca="false">IFERROR((D25-C25)/C25,0)</f>
        <v>-0.217505916666667</v>
      </c>
      <c r="G25" s="25" t="str">
        <f aca="false">IF(C25=0,"UNBUDGETED",IF(F25&gt;0.5,"CRITICAL",IF(F25&gt;0.1,"OVER",IF(F25&lt;-0.1,"UNDER","ON"))))</f>
        <v>UNDER</v>
      </c>
    </row>
    <row r="26" customFormat="false" ht="15" hidden="false" customHeight="true" outlineLevel="0" collapsed="false">
      <c r="A26" s="5" t="s">
        <v>185</v>
      </c>
      <c r="B26" s="5" t="s">
        <v>186</v>
      </c>
      <c r="C26" s="6" t="n">
        <v>12000</v>
      </c>
      <c r="D26" s="6" t="n">
        <v>19433.38</v>
      </c>
      <c r="E26" s="10" t="n">
        <f aca="false">C26-D26</f>
        <v>-7433.38</v>
      </c>
      <c r="F26" s="23" t="n">
        <f aca="false">IFERROR((D26-C26)/C26,0)</f>
        <v>0.619448333333333</v>
      </c>
      <c r="G26" s="25" t="str">
        <f aca="false">IF(C26=0,"UNBUDGETED",IF(F26&gt;0.5,"CRITICAL",IF(F26&gt;0.1,"OVER",IF(F26&lt;-0.1,"UNDER","ON"))))</f>
        <v>CRITICAL</v>
      </c>
    </row>
    <row r="27" customFormat="false" ht="15" hidden="false" customHeight="true" outlineLevel="0" collapsed="false">
      <c r="A27" s="5" t="s">
        <v>187</v>
      </c>
      <c r="B27" s="5" t="s">
        <v>188</v>
      </c>
      <c r="C27" s="6" t="n">
        <v>27010</v>
      </c>
      <c r="D27" s="6" t="n">
        <v>20109.95</v>
      </c>
      <c r="E27" s="10" t="n">
        <f aca="false">C27-D27</f>
        <v>6900.05</v>
      </c>
      <c r="F27" s="23" t="n">
        <f aca="false">IFERROR((D27-C27)/C27,0)</f>
        <v>-0.255462791558682</v>
      </c>
      <c r="G27" s="25" t="str">
        <f aca="false">IF(C27=0,"UNBUDGETED",IF(F27&gt;0.5,"CRITICAL",IF(F27&gt;0.1,"OVER",IF(F27&lt;-0.1,"UNDER","ON"))))</f>
        <v>UNDER</v>
      </c>
    </row>
    <row r="28" customFormat="false" ht="15" hidden="false" customHeight="true" outlineLevel="0" collapsed="false">
      <c r="A28" s="5" t="s">
        <v>189</v>
      </c>
      <c r="B28" s="5" t="s">
        <v>190</v>
      </c>
      <c r="C28" s="6" t="n">
        <v>12000</v>
      </c>
      <c r="D28" s="6" t="n">
        <v>20674.89</v>
      </c>
      <c r="E28" s="10" t="n">
        <f aca="false">C28-D28</f>
        <v>-8674.89</v>
      </c>
      <c r="F28" s="23" t="n">
        <f aca="false">IFERROR((D28-C28)/C28,0)</f>
        <v>0.7229075</v>
      </c>
      <c r="G28" s="25" t="str">
        <f aca="false">IF(C28=0,"UNBUDGETED",IF(F28&gt;0.5,"CRITICAL",IF(F28&gt;0.1,"OVER",IF(F28&lt;-0.1,"UNDER","ON"))))</f>
        <v>CRITICAL</v>
      </c>
    </row>
    <row r="29" customFormat="false" ht="15" hidden="false" customHeight="true" outlineLevel="0" collapsed="false">
      <c r="A29" s="5" t="s">
        <v>191</v>
      </c>
      <c r="B29" s="5" t="s">
        <v>192</v>
      </c>
      <c r="C29" s="6" t="n">
        <v>575498.01</v>
      </c>
      <c r="D29" s="6" t="n">
        <v>510170.4</v>
      </c>
      <c r="E29" s="10" t="n">
        <f aca="false">C29-D29</f>
        <v>65327.61</v>
      </c>
      <c r="F29" s="23" t="n">
        <f aca="false">IFERROR((D29-C29)/C29,0)</f>
        <v>-0.113514919017704</v>
      </c>
      <c r="G29" s="25" t="str">
        <f aca="false">IF(C29=0,"UNBUDGETED",IF(F29&gt;0.5,"CRITICAL",IF(F29&gt;0.1,"OVER",IF(F29&lt;-0.1,"UNDER","ON"))))</f>
        <v>UNDER</v>
      </c>
    </row>
    <row r="30" customFormat="false" ht="15" hidden="false" customHeight="true" outlineLevel="0" collapsed="false">
      <c r="A30" s="5" t="s">
        <v>193</v>
      </c>
      <c r="B30" s="5" t="s">
        <v>194</v>
      </c>
      <c r="C30" s="6" t="n">
        <v>115408.52</v>
      </c>
      <c r="D30" s="6" t="n">
        <v>104250.16</v>
      </c>
      <c r="E30" s="10" t="n">
        <f aca="false">C30-D30</f>
        <v>11158.36</v>
      </c>
      <c r="F30" s="23" t="n">
        <f aca="false">IFERROR((D30-C30)/C30,0)</f>
        <v>-0.0966857559563193</v>
      </c>
      <c r="G30" s="25" t="str">
        <f aca="false">IF(C30=0,"UNBUDGETED",IF(F30&gt;0.5,"CRITICAL",IF(F30&gt;0.1,"OVER",IF(F30&lt;-0.1,"UNDER","ON"))))</f>
        <v>ON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" t="s">
        <v>207</v>
      </c>
    </row>
    <row r="3" customFormat="false" ht="15" hidden="false" customHeight="true" outlineLevel="0" collapsed="false">
      <c r="A3" s="22" t="s">
        <v>208</v>
      </c>
      <c r="B3" s="22" t="s">
        <v>209</v>
      </c>
      <c r="C3" s="22" t="s">
        <v>210</v>
      </c>
      <c r="D3" s="22" t="s">
        <v>211</v>
      </c>
    </row>
    <row r="4" customFormat="false" ht="15" hidden="false" customHeight="true" outlineLevel="0" collapsed="false">
      <c r="A4" s="5" t="s">
        <v>212</v>
      </c>
      <c r="B4" s="6" t="n">
        <v>366756.08</v>
      </c>
      <c r="C4" s="5" t="n">
        <v>272</v>
      </c>
      <c r="D4" s="23" t="n">
        <f aca="false">IFERROR(B4/SUM(B$4:B$29),0)</f>
        <v>0.307617914135672</v>
      </c>
    </row>
    <row r="5" customFormat="false" ht="15" hidden="false" customHeight="true" outlineLevel="0" collapsed="false">
      <c r="A5" s="5" t="s">
        <v>213</v>
      </c>
      <c r="B5" s="6" t="n">
        <v>172151.22</v>
      </c>
      <c r="C5" s="5" t="n">
        <v>71</v>
      </c>
      <c r="D5" s="23" t="n">
        <f aca="false">IFERROR(B5/SUM(B$4:B$29),0)</f>
        <v>0.144392423466603</v>
      </c>
    </row>
    <row r="6" customFormat="false" ht="15" hidden="false" customHeight="true" outlineLevel="0" collapsed="false">
      <c r="A6" s="5" t="s">
        <v>214</v>
      </c>
      <c r="B6" s="6" t="n">
        <v>160520</v>
      </c>
      <c r="C6" s="5" t="n">
        <v>12</v>
      </c>
      <c r="D6" s="23" t="n">
        <f aca="false">IFERROR(B6/SUM(B$4:B$29),0)</f>
        <v>0.134636697984824</v>
      </c>
    </row>
    <row r="7" customFormat="false" ht="15" hidden="false" customHeight="true" outlineLevel="0" collapsed="false">
      <c r="A7" s="5" t="s">
        <v>215</v>
      </c>
      <c r="B7" s="6" t="n">
        <v>136975.73</v>
      </c>
      <c r="C7" s="5" t="n">
        <v>88</v>
      </c>
      <c r="D7" s="23" t="n">
        <f aca="false">IFERROR(B7/SUM(B$4:B$29),0)</f>
        <v>0.114888861146654</v>
      </c>
    </row>
    <row r="8" customFormat="false" ht="15" hidden="false" customHeight="true" outlineLevel="0" collapsed="false">
      <c r="A8" s="5" t="s">
        <v>216</v>
      </c>
      <c r="B8" s="6" t="n">
        <v>92087.8</v>
      </c>
      <c r="C8" s="5" t="n">
        <v>7</v>
      </c>
      <c r="D8" s="23" t="n">
        <f aca="false">IFERROR(B8/SUM(B$4:B$29),0)</f>
        <v>0.0772389566202773</v>
      </c>
    </row>
    <row r="9" customFormat="false" ht="15" hidden="false" customHeight="true" outlineLevel="0" collapsed="false">
      <c r="A9" s="5" t="s">
        <v>217</v>
      </c>
      <c r="B9" s="6" t="n">
        <v>87389.75</v>
      </c>
      <c r="C9" s="5" t="n">
        <v>13</v>
      </c>
      <c r="D9" s="23" t="n">
        <f aca="false">IFERROR(B9/SUM(B$4:B$29),0)</f>
        <v>0.073298451144526</v>
      </c>
    </row>
    <row r="10" customFormat="false" ht="15" hidden="false" customHeight="true" outlineLevel="0" collapsed="false">
      <c r="A10" s="5" t="s">
        <v>218</v>
      </c>
      <c r="B10" s="6" t="n">
        <v>78590.4600000001</v>
      </c>
      <c r="C10" s="5" t="n">
        <v>62</v>
      </c>
      <c r="D10" s="23" t="n">
        <f aca="false">IFERROR(B10/SUM(B$4:B$29),0)</f>
        <v>0.0659180166179195</v>
      </c>
    </row>
    <row r="11" customFormat="false" ht="15" hidden="false" customHeight="true" outlineLevel="0" collapsed="false">
      <c r="A11" s="5" t="s">
        <v>219</v>
      </c>
      <c r="B11" s="6" t="n">
        <v>23772.49</v>
      </c>
      <c r="C11" s="5" t="n">
        <v>50</v>
      </c>
      <c r="D11" s="23" t="n">
        <f aca="false">IFERROR(B11/SUM(B$4:B$29),0)</f>
        <v>0.0199392571422705</v>
      </c>
    </row>
    <row r="12" customFormat="false" ht="15" hidden="false" customHeight="true" outlineLevel="0" collapsed="false">
      <c r="A12" s="5" t="s">
        <v>220</v>
      </c>
      <c r="B12" s="6" t="n">
        <v>18827.87</v>
      </c>
      <c r="C12" s="5" t="n">
        <v>35</v>
      </c>
      <c r="D12" s="23" t="n">
        <f aca="false">IFERROR(B12/SUM(B$4:B$29),0)</f>
        <v>0.015791940237276</v>
      </c>
    </row>
    <row r="13" customFormat="false" ht="15" hidden="false" customHeight="true" outlineLevel="0" collapsed="false">
      <c r="A13" s="5" t="s">
        <v>221</v>
      </c>
      <c r="B13" s="6" t="n">
        <v>10125</v>
      </c>
      <c r="C13" s="5" t="n">
        <v>1</v>
      </c>
      <c r="D13" s="23" t="n">
        <f aca="false">IFERROR(B13/SUM(B$4:B$29),0)</f>
        <v>0.00849237831482898</v>
      </c>
    </row>
    <row r="14" customFormat="false" ht="15" hidden="false" customHeight="true" outlineLevel="0" collapsed="false">
      <c r="A14" s="5" t="s">
        <v>222</v>
      </c>
      <c r="B14" s="6" t="n">
        <v>8790</v>
      </c>
      <c r="C14" s="5" t="n">
        <v>1</v>
      </c>
      <c r="D14" s="23" t="n">
        <f aca="false">IFERROR(B14/SUM(B$4:B$29),0)</f>
        <v>0.00737264250739227</v>
      </c>
    </row>
    <row r="15" customFormat="false" ht="15" hidden="false" customHeight="true" outlineLevel="0" collapsed="false">
      <c r="A15" s="5" t="s">
        <v>223</v>
      </c>
      <c r="B15" s="6" t="n">
        <v>8465.47</v>
      </c>
      <c r="C15" s="5" t="n">
        <v>12</v>
      </c>
      <c r="D15" s="23" t="n">
        <f aca="false">IFERROR(B15/SUM(B$4:B$29),0)</f>
        <v>0.00710044186200842</v>
      </c>
    </row>
    <row r="16" customFormat="false" ht="15" hidden="false" customHeight="true" outlineLevel="0" collapsed="false">
      <c r="A16" s="5" t="s">
        <v>224</v>
      </c>
      <c r="B16" s="6" t="n">
        <v>5866</v>
      </c>
      <c r="C16" s="5" t="n">
        <v>2</v>
      </c>
      <c r="D16" s="23" t="n">
        <f aca="false">IFERROR(B16/SUM(B$4:B$29),0)</f>
        <v>0.00492012752541104</v>
      </c>
    </row>
    <row r="17" customFormat="false" ht="15" hidden="false" customHeight="true" outlineLevel="0" collapsed="false">
      <c r="A17" s="5" t="s">
        <v>225</v>
      </c>
      <c r="B17" s="6" t="n">
        <v>5590</v>
      </c>
      <c r="C17" s="5" t="n">
        <v>2</v>
      </c>
      <c r="D17" s="23" t="n">
        <f aca="false">IFERROR(B17/SUM(B$4:B$29),0)</f>
        <v>0.00468863158319941</v>
      </c>
    </row>
    <row r="18" customFormat="false" ht="15" hidden="false" customHeight="true" outlineLevel="0" collapsed="false">
      <c r="A18" s="5" t="s">
        <v>226</v>
      </c>
      <c r="B18" s="6" t="n">
        <v>4980.97</v>
      </c>
      <c r="C18" s="5" t="n">
        <v>3</v>
      </c>
      <c r="D18" s="23" t="n">
        <f aca="false">IFERROR(B18/SUM(B$4:B$29),0)</f>
        <v>0.00417780559158654</v>
      </c>
    </row>
    <row r="19" customFormat="false" ht="15" hidden="false" customHeight="true" outlineLevel="0" collapsed="false">
      <c r="A19" s="5" t="s">
        <v>227</v>
      </c>
      <c r="B19" s="6" t="n">
        <v>3732.47</v>
      </c>
      <c r="C19" s="5" t="n">
        <v>5</v>
      </c>
      <c r="D19" s="23" t="n">
        <f aca="false">IFERROR(B19/SUM(B$4:B$29),0)</f>
        <v>0.00313062195444442</v>
      </c>
    </row>
    <row r="20" customFormat="false" ht="15" hidden="false" customHeight="true" outlineLevel="0" collapsed="false">
      <c r="A20" s="5" t="s">
        <v>228</v>
      </c>
      <c r="B20" s="6" t="n">
        <v>3050</v>
      </c>
      <c r="C20" s="5" t="n">
        <v>1</v>
      </c>
      <c r="D20" s="23" t="n">
        <f aca="false">IFERROR(B20/SUM(B$4:B$29),0)</f>
        <v>0.00255819791212132</v>
      </c>
    </row>
    <row r="21" customFormat="false" ht="15" hidden="false" customHeight="true" outlineLevel="0" collapsed="false">
      <c r="A21" s="5" t="s">
        <v>229</v>
      </c>
      <c r="B21" s="6" t="n">
        <v>1794.25</v>
      </c>
      <c r="C21" s="5" t="n">
        <v>4</v>
      </c>
      <c r="D21" s="23" t="n">
        <f aca="false">IFERROR(B21/SUM(B$4:B$29),0)</f>
        <v>0.00150493331272908</v>
      </c>
    </row>
    <row r="22" customFormat="false" ht="15" hidden="false" customHeight="true" outlineLevel="0" collapsed="false">
      <c r="A22" s="5" t="s">
        <v>230</v>
      </c>
      <c r="B22" s="6" t="n">
        <v>919.54</v>
      </c>
      <c r="C22" s="5" t="n">
        <v>5</v>
      </c>
      <c r="D22" s="23" t="n">
        <f aca="false">IFERROR(B22/SUM(B$4:B$29),0)</f>
        <v>0.000771267314135095</v>
      </c>
    </row>
    <row r="23" customFormat="false" ht="15" hidden="false" customHeight="true" outlineLevel="0" collapsed="false">
      <c r="A23" s="5" t="s">
        <v>231</v>
      </c>
      <c r="B23" s="6" t="n">
        <v>396</v>
      </c>
      <c r="C23" s="5" t="n">
        <v>1</v>
      </c>
      <c r="D23" s="23" t="n">
        <f aca="false">IFERROR(B23/SUM(B$4:B$29),0)</f>
        <v>0.000332146351868867</v>
      </c>
    </row>
    <row r="24" customFormat="false" ht="15" hidden="false" customHeight="true" outlineLevel="0" collapsed="false">
      <c r="A24" s="5" t="s">
        <v>232</v>
      </c>
      <c r="B24" s="6" t="n">
        <v>291.1</v>
      </c>
      <c r="C24" s="5" t="n">
        <v>6</v>
      </c>
      <c r="D24" s="23" t="n">
        <f aca="false">IFERROR(B24/SUM(B$4:B$29),0)</f>
        <v>0.000244161118760169</v>
      </c>
    </row>
    <row r="25" customFormat="false" ht="15" hidden="false" customHeight="true" outlineLevel="0" collapsed="false">
      <c r="A25" s="5" t="s">
        <v>233</v>
      </c>
      <c r="B25" s="6" t="n">
        <v>280</v>
      </c>
      <c r="C25" s="5" t="n">
        <v>1</v>
      </c>
      <c r="D25" s="23" t="n">
        <f aca="false">IFERROR(B25/SUM(B$4:B$29),0)</f>
        <v>0.000234850955866875</v>
      </c>
    </row>
    <row r="26" customFormat="false" ht="15" hidden="false" customHeight="true" outlineLevel="0" collapsed="false">
      <c r="A26" s="5" t="s">
        <v>234</v>
      </c>
      <c r="B26" s="6" t="n">
        <v>277.41</v>
      </c>
      <c r="C26" s="5" t="n">
        <v>2</v>
      </c>
      <c r="D26" s="23" t="n">
        <f aca="false">IFERROR(B26/SUM(B$4:B$29),0)</f>
        <v>0.000232678584525107</v>
      </c>
    </row>
    <row r="27" customFormat="false" ht="15" hidden="false" customHeight="true" outlineLevel="0" collapsed="false">
      <c r="A27" s="5" t="s">
        <v>235</v>
      </c>
      <c r="B27" s="6" t="n">
        <v>270.4</v>
      </c>
      <c r="C27" s="5" t="n">
        <v>1</v>
      </c>
      <c r="D27" s="23" t="n">
        <f aca="false">IFERROR(B27/SUM(B$4:B$29),0)</f>
        <v>0.000226798923094297</v>
      </c>
    </row>
    <row r="28" customFormat="false" ht="15" hidden="false" customHeight="true" outlineLevel="0" collapsed="false">
      <c r="A28" s="5" t="s">
        <v>236</v>
      </c>
      <c r="B28" s="6" t="n">
        <v>209.51</v>
      </c>
      <c r="C28" s="5" t="n">
        <v>1</v>
      </c>
      <c r="D28" s="23" t="n">
        <f aca="false">IFERROR(B28/SUM(B$4:B$29),0)</f>
        <v>0.00017572722772739</v>
      </c>
    </row>
    <row r="29" customFormat="false" ht="15" hidden="false" customHeight="true" outlineLevel="0" collapsed="false">
      <c r="A29" s="5" t="s">
        <v>237</v>
      </c>
      <c r="B29" s="6" t="n">
        <v>136</v>
      </c>
      <c r="C29" s="5" t="n">
        <v>1</v>
      </c>
      <c r="D29" s="23" t="n">
        <f aca="false">IFERROR(B29/SUM(B$4:B$29),0)</f>
        <v>0.000114070464278197</v>
      </c>
    </row>
    <row r="30" customFormat="false" ht="15" hidden="false" customHeight="true" outlineLevel="0" collapsed="false">
      <c r="A30" s="13" t="s">
        <v>238</v>
      </c>
      <c r="B30" s="7" t="n">
        <f aca="false">SUM(B4:B29)</f>
        <v>1192245.52</v>
      </c>
      <c r="C30" s="26" t="n">
        <f aca="false">SUM(C4:C29)</f>
        <v>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2"/>
  </cols>
  <sheetData>
    <row r="1" customFormat="false" ht="19.5" hidden="false" customHeight="true" outlineLevel="0" collapsed="false">
      <c r="A1" s="2" t="s">
        <v>239</v>
      </c>
    </row>
    <row r="3" customFormat="false" ht="15" hidden="false" customHeight="true" outlineLevel="0" collapsed="false">
      <c r="A3" s="22" t="s">
        <v>240</v>
      </c>
      <c r="B3" s="22" t="s">
        <v>241</v>
      </c>
      <c r="C3" s="22" t="s">
        <v>242</v>
      </c>
      <c r="D3" s="22" t="s">
        <v>243</v>
      </c>
      <c r="E3" s="22" t="s">
        <v>244</v>
      </c>
    </row>
    <row r="4" customFormat="false" ht="15" hidden="false" customHeight="true" outlineLevel="0" collapsed="false">
      <c r="A4" s="5" t="s">
        <v>245</v>
      </c>
      <c r="B4" s="27" t="n">
        <v>2714.5</v>
      </c>
      <c r="C4" s="6" t="n">
        <v>117388</v>
      </c>
      <c r="D4" s="28" t="n">
        <f aca="false">IFERROR(C4/B4,0)</f>
        <v>43.2447964634371</v>
      </c>
      <c r="E4" s="5" t="s">
        <v>246</v>
      </c>
    </row>
    <row r="5" customFormat="false" ht="15" hidden="false" customHeight="true" outlineLevel="0" collapsed="false">
      <c r="A5" s="5" t="s">
        <v>247</v>
      </c>
      <c r="B5" s="27" t="n">
        <v>2403</v>
      </c>
      <c r="C5" s="6" t="n">
        <v>80280</v>
      </c>
      <c r="D5" s="28" t="n">
        <f aca="false">IFERROR(C5/B5,0)</f>
        <v>33.4082397003745</v>
      </c>
      <c r="E5" s="5" t="s">
        <v>248</v>
      </c>
    </row>
    <row r="6" customFormat="false" ht="15" hidden="false" customHeight="true" outlineLevel="0" collapsed="false">
      <c r="A6" s="5" t="s">
        <v>249</v>
      </c>
      <c r="B6" s="27" t="n">
        <v>2355</v>
      </c>
      <c r="C6" s="6" t="n">
        <v>80094</v>
      </c>
      <c r="D6" s="28" t="n">
        <f aca="false">IFERROR(C6/B6,0)</f>
        <v>34.0101910828026</v>
      </c>
      <c r="E6" s="5" t="s">
        <v>248</v>
      </c>
    </row>
    <row r="7" customFormat="false" ht="15" hidden="false" customHeight="true" outlineLevel="0" collapsed="false">
      <c r="A7" s="5" t="s">
        <v>250</v>
      </c>
      <c r="B7" s="27" t="n">
        <v>1961</v>
      </c>
      <c r="C7" s="6" t="n">
        <v>48482</v>
      </c>
      <c r="D7" s="28" t="n">
        <f aca="false">IFERROR(C7/B7,0)</f>
        <v>24.7231004589495</v>
      </c>
      <c r="E7" s="5" t="s">
        <v>248</v>
      </c>
    </row>
    <row r="8" customFormat="false" ht="15" hidden="false" customHeight="true" outlineLevel="0" collapsed="false">
      <c r="A8" s="5" t="s">
        <v>251</v>
      </c>
      <c r="B8" s="27" t="n">
        <v>1951</v>
      </c>
      <c r="C8" s="6" t="n">
        <v>56220</v>
      </c>
      <c r="D8" s="28" t="n">
        <f aca="false">IFERROR(C8/B8,0)</f>
        <v>28.8159917990774</v>
      </c>
      <c r="E8" s="5" t="s">
        <v>248</v>
      </c>
    </row>
    <row r="9" customFormat="false" ht="15" hidden="false" customHeight="true" outlineLevel="0" collapsed="false">
      <c r="A9" s="5" t="s">
        <v>252</v>
      </c>
      <c r="B9" s="27" t="n">
        <v>1840.5</v>
      </c>
      <c r="C9" s="6" t="n">
        <v>53341</v>
      </c>
      <c r="D9" s="28" t="n">
        <f aca="false">IFERROR(C9/B9,0)</f>
        <v>28.9817984243412</v>
      </c>
      <c r="E9" s="5" t="s">
        <v>248</v>
      </c>
    </row>
    <row r="10" customFormat="false" ht="15" hidden="false" customHeight="true" outlineLevel="0" collapsed="false">
      <c r="A10" s="5" t="s">
        <v>253</v>
      </c>
      <c r="B10" s="27" t="n">
        <v>1745</v>
      </c>
      <c r="C10" s="6" t="n">
        <v>57066</v>
      </c>
      <c r="D10" s="28" t="n">
        <f aca="false">IFERROR(C10/B10,0)</f>
        <v>32.7025787965616</v>
      </c>
      <c r="E10" s="5" t="s">
        <v>248</v>
      </c>
    </row>
    <row r="11" customFormat="false" ht="15" hidden="false" customHeight="true" outlineLevel="0" collapsed="false">
      <c r="A11" s="5" t="s">
        <v>254</v>
      </c>
      <c r="B11" s="27" t="n">
        <v>1696.5</v>
      </c>
      <c r="C11" s="6" t="n">
        <v>71421</v>
      </c>
      <c r="D11" s="28" t="n">
        <f aca="false">IFERROR(C11/B11,0)</f>
        <v>42.0990274093722</v>
      </c>
      <c r="E11" s="5" t="s">
        <v>246</v>
      </c>
    </row>
    <row r="12" customFormat="false" ht="15" hidden="false" customHeight="true" outlineLevel="0" collapsed="false">
      <c r="A12" s="5" t="s">
        <v>255</v>
      </c>
      <c r="B12" s="27" t="n">
        <v>1444</v>
      </c>
      <c r="C12" s="6" t="n">
        <v>44764</v>
      </c>
      <c r="D12" s="28" t="n">
        <f aca="false">IFERROR(C12/B12,0)</f>
        <v>31</v>
      </c>
      <c r="E12" s="5" t="s">
        <v>248</v>
      </c>
    </row>
    <row r="13" customFormat="false" ht="15" hidden="false" customHeight="true" outlineLevel="0" collapsed="false">
      <c r="A13" s="5" t="s">
        <v>256</v>
      </c>
      <c r="B13" s="27" t="n">
        <v>1411</v>
      </c>
      <c r="C13" s="6" t="n">
        <v>36686</v>
      </c>
      <c r="D13" s="28" t="n">
        <f aca="false">IFERROR(C13/B13,0)</f>
        <v>26</v>
      </c>
      <c r="E13" s="5" t="s">
        <v>248</v>
      </c>
    </row>
    <row r="14" customFormat="false" ht="15" hidden="false" customHeight="true" outlineLevel="0" collapsed="false">
      <c r="A14" s="5" t="s">
        <v>257</v>
      </c>
      <c r="B14" s="27" t="n">
        <v>1373</v>
      </c>
      <c r="C14" s="6" t="n">
        <v>29744</v>
      </c>
      <c r="D14" s="28" t="n">
        <f aca="false">IFERROR(C14/B14,0)</f>
        <v>21.6635105608157</v>
      </c>
      <c r="E14" s="5" t="s">
        <v>248</v>
      </c>
    </row>
    <row r="15" customFormat="false" ht="15" hidden="false" customHeight="true" outlineLevel="0" collapsed="false">
      <c r="A15" s="5" t="s">
        <v>258</v>
      </c>
      <c r="B15" s="27" t="n">
        <v>1346</v>
      </c>
      <c r="C15" s="6" t="n">
        <v>27184</v>
      </c>
      <c r="D15" s="28" t="n">
        <f aca="false">IFERROR(C15/B15,0)</f>
        <v>20.1961367013373</v>
      </c>
      <c r="E15" s="5" t="s">
        <v>248</v>
      </c>
    </row>
    <row r="16" customFormat="false" ht="15" hidden="false" customHeight="true" outlineLevel="0" collapsed="false">
      <c r="A16" s="5" t="s">
        <v>259</v>
      </c>
      <c r="B16" s="27" t="n">
        <v>1180</v>
      </c>
      <c r="C16" s="6" t="n">
        <v>46948</v>
      </c>
      <c r="D16" s="28" t="n">
        <f aca="false">IFERROR(C16/B16,0)</f>
        <v>39.7864406779661</v>
      </c>
      <c r="E16" s="5" t="s">
        <v>246</v>
      </c>
    </row>
    <row r="17" customFormat="false" ht="15" hidden="false" customHeight="true" outlineLevel="0" collapsed="false">
      <c r="A17" s="5" t="s">
        <v>260</v>
      </c>
      <c r="B17" s="27" t="n">
        <v>1013</v>
      </c>
      <c r="C17" s="6" t="n">
        <v>37928</v>
      </c>
      <c r="D17" s="28" t="n">
        <f aca="false">IFERROR(C17/B17,0)</f>
        <v>37.4412635735439</v>
      </c>
      <c r="E17" s="5" t="s">
        <v>246</v>
      </c>
    </row>
    <row r="18" customFormat="false" ht="15" hidden="false" customHeight="true" outlineLevel="0" collapsed="false">
      <c r="A18" s="5" t="s">
        <v>261</v>
      </c>
      <c r="B18" s="27" t="n">
        <v>993.5</v>
      </c>
      <c r="C18" s="6" t="n">
        <v>53135</v>
      </c>
      <c r="D18" s="28" t="n">
        <f aca="false">IFERROR(C18/B18,0)</f>
        <v>53.4826371414192</v>
      </c>
      <c r="E18" s="5" t="s">
        <v>246</v>
      </c>
    </row>
    <row r="19" customFormat="false" ht="15" hidden="false" customHeight="true" outlineLevel="0" collapsed="false">
      <c r="A19" s="5" t="s">
        <v>262</v>
      </c>
      <c r="B19" s="27" t="n">
        <v>923</v>
      </c>
      <c r="C19" s="6" t="n">
        <v>19446</v>
      </c>
      <c r="D19" s="28" t="n">
        <f aca="false">IFERROR(C19/B19,0)</f>
        <v>21.068255687974</v>
      </c>
      <c r="E19" s="5" t="s">
        <v>248</v>
      </c>
    </row>
    <row r="20" customFormat="false" ht="15" hidden="false" customHeight="true" outlineLevel="0" collapsed="false">
      <c r="A20" s="5" t="s">
        <v>263</v>
      </c>
      <c r="B20" s="27" t="n">
        <v>881</v>
      </c>
      <c r="C20" s="6" t="n">
        <v>28512</v>
      </c>
      <c r="D20" s="28" t="n">
        <f aca="false">IFERROR(C20/B20,0)</f>
        <v>32.3632236095346</v>
      </c>
      <c r="E20" s="5" t="s">
        <v>248</v>
      </c>
    </row>
    <row r="21" customFormat="false" ht="15" hidden="false" customHeight="true" outlineLevel="0" collapsed="false">
      <c r="A21" s="5" t="s">
        <v>264</v>
      </c>
      <c r="B21" s="27" t="n">
        <v>768</v>
      </c>
      <c r="C21" s="6" t="n">
        <v>19200</v>
      </c>
      <c r="D21" s="28" t="n">
        <f aca="false">IFERROR(C21/B21,0)</f>
        <v>25</v>
      </c>
      <c r="E21" s="5" t="s">
        <v>248</v>
      </c>
    </row>
    <row r="22" customFormat="false" ht="15" hidden="false" customHeight="true" outlineLevel="0" collapsed="false">
      <c r="A22" s="5" t="s">
        <v>265</v>
      </c>
      <c r="B22" s="27" t="n">
        <v>722</v>
      </c>
      <c r="C22" s="6" t="n">
        <v>35500</v>
      </c>
      <c r="D22" s="28" t="n">
        <f aca="false">IFERROR(C22/B22,0)</f>
        <v>49.1689750692521</v>
      </c>
      <c r="E22" s="5" t="s">
        <v>246</v>
      </c>
    </row>
    <row r="23" customFormat="false" ht="15" hidden="false" customHeight="true" outlineLevel="0" collapsed="false">
      <c r="A23" s="5" t="s">
        <v>266</v>
      </c>
      <c r="B23" s="27" t="n">
        <v>702.5</v>
      </c>
      <c r="C23" s="6" t="n">
        <v>30208</v>
      </c>
      <c r="D23" s="28" t="n">
        <f aca="false">IFERROR(C23/B23,0)</f>
        <v>43.0007117437722</v>
      </c>
      <c r="E23" s="5" t="s">
        <v>246</v>
      </c>
    </row>
    <row r="24" customFormat="false" ht="15" hidden="false" customHeight="true" outlineLevel="0" collapsed="false">
      <c r="A24" s="5" t="s">
        <v>267</v>
      </c>
      <c r="B24" s="27" t="n">
        <v>646.5</v>
      </c>
      <c r="C24" s="6" t="n">
        <v>12304</v>
      </c>
      <c r="D24" s="28" t="n">
        <f aca="false">IFERROR(C24/B24,0)</f>
        <v>19.0317092034029</v>
      </c>
      <c r="E24" s="5" t="s">
        <v>268</v>
      </c>
    </row>
    <row r="25" customFormat="false" ht="15" hidden="false" customHeight="true" outlineLevel="0" collapsed="false">
      <c r="A25" s="5" t="s">
        <v>269</v>
      </c>
      <c r="B25" s="27" t="n">
        <v>593.5</v>
      </c>
      <c r="C25" s="6" t="n">
        <v>18377</v>
      </c>
      <c r="D25" s="28" t="n">
        <f aca="false">IFERROR(C25/B25,0)</f>
        <v>30.9637742207245</v>
      </c>
      <c r="E25" s="5" t="s">
        <v>248</v>
      </c>
    </row>
    <row r="26" customFormat="false" ht="15" hidden="false" customHeight="true" outlineLevel="0" collapsed="false">
      <c r="A26" s="5" t="s">
        <v>270</v>
      </c>
      <c r="B26" s="27" t="n">
        <v>548</v>
      </c>
      <c r="C26" s="6" t="n">
        <v>12170</v>
      </c>
      <c r="D26" s="28" t="n">
        <f aca="false">IFERROR(C26/B26,0)</f>
        <v>22.2080291970803</v>
      </c>
      <c r="E26" s="5" t="s">
        <v>248</v>
      </c>
    </row>
    <row r="27" customFormat="false" ht="15" hidden="false" customHeight="true" outlineLevel="0" collapsed="false">
      <c r="A27" s="5" t="s">
        <v>271</v>
      </c>
      <c r="B27" s="27" t="n">
        <v>540</v>
      </c>
      <c r="C27" s="6" t="n">
        <v>29166</v>
      </c>
      <c r="D27" s="28" t="n">
        <f aca="false">IFERROR(C27/B27,0)</f>
        <v>54.0111111111111</v>
      </c>
      <c r="E27" s="5" t="s">
        <v>246</v>
      </c>
    </row>
    <row r="28" customFormat="false" ht="15" hidden="false" customHeight="true" outlineLevel="0" collapsed="false">
      <c r="A28" s="5" t="s">
        <v>272</v>
      </c>
      <c r="B28" s="27" t="n">
        <v>531</v>
      </c>
      <c r="C28" s="6" t="n">
        <v>19224</v>
      </c>
      <c r="D28" s="28" t="n">
        <f aca="false">IFERROR(C28/B28,0)</f>
        <v>36.2033898305085</v>
      </c>
      <c r="E28" s="5" t="s">
        <v>246</v>
      </c>
    </row>
    <row r="29" customFormat="false" ht="15" hidden="false" customHeight="true" outlineLevel="0" collapsed="false">
      <c r="A29" s="5" t="s">
        <v>273</v>
      </c>
      <c r="B29" s="27" t="n">
        <v>511</v>
      </c>
      <c r="C29" s="6" t="n">
        <v>17885</v>
      </c>
      <c r="D29" s="28" t="n">
        <f aca="false">IFERROR(C29/B29,0)</f>
        <v>35</v>
      </c>
      <c r="E29" s="5" t="s">
        <v>248</v>
      </c>
    </row>
    <row r="30" customFormat="false" ht="15" hidden="false" customHeight="true" outlineLevel="0" collapsed="false">
      <c r="A30" s="5" t="s">
        <v>274</v>
      </c>
      <c r="B30" s="27" t="n">
        <v>480</v>
      </c>
      <c r="C30" s="6" t="n">
        <v>10080</v>
      </c>
      <c r="D30" s="28" t="n">
        <f aca="false">IFERROR(C30/B30,0)</f>
        <v>21</v>
      </c>
      <c r="E30" s="5" t="s">
        <v>248</v>
      </c>
    </row>
    <row r="31" customFormat="false" ht="15" hidden="false" customHeight="true" outlineLevel="0" collapsed="false">
      <c r="A31" s="5" t="s">
        <v>275</v>
      </c>
      <c r="B31" s="27" t="n">
        <v>480</v>
      </c>
      <c r="C31" s="6" t="n">
        <v>15840</v>
      </c>
      <c r="D31" s="28" t="n">
        <f aca="false">IFERROR(C31/B31,0)</f>
        <v>33</v>
      </c>
      <c r="E31" s="5" t="s">
        <v>248</v>
      </c>
    </row>
    <row r="32" customFormat="false" ht="15" hidden="false" customHeight="true" outlineLevel="0" collapsed="false">
      <c r="A32" s="5" t="s">
        <v>276</v>
      </c>
      <c r="B32" s="27" t="n">
        <v>467.5</v>
      </c>
      <c r="C32" s="6" t="n">
        <v>11220</v>
      </c>
      <c r="D32" s="28" t="n">
        <f aca="false">IFERROR(C32/B32,0)</f>
        <v>24</v>
      </c>
      <c r="E32" s="5" t="s">
        <v>248</v>
      </c>
    </row>
    <row r="33" customFormat="false" ht="15" hidden="false" customHeight="true" outlineLevel="0" collapsed="false">
      <c r="A33" s="5" t="s">
        <v>277</v>
      </c>
      <c r="B33" s="27" t="n">
        <v>455</v>
      </c>
      <c r="C33" s="6" t="n">
        <v>12740</v>
      </c>
      <c r="D33" s="28" t="n">
        <f aca="false">IFERROR(C33/B33,0)</f>
        <v>28</v>
      </c>
      <c r="E33" s="5" t="s">
        <v>248</v>
      </c>
    </row>
    <row r="34" customFormat="false" ht="15" hidden="false" customHeight="true" outlineLevel="0" collapsed="false">
      <c r="A34" s="5" t="s">
        <v>278</v>
      </c>
      <c r="B34" s="27" t="n">
        <v>443</v>
      </c>
      <c r="C34" s="6" t="n">
        <v>24304</v>
      </c>
      <c r="D34" s="28" t="n">
        <f aca="false">IFERROR(C34/B34,0)</f>
        <v>54.86230248307</v>
      </c>
      <c r="E34" s="5" t="s">
        <v>246</v>
      </c>
    </row>
    <row r="35" customFormat="false" ht="15" hidden="false" customHeight="true" outlineLevel="0" collapsed="false">
      <c r="A35" s="5" t="s">
        <v>279</v>
      </c>
      <c r="B35" s="27" t="n">
        <v>440</v>
      </c>
      <c r="C35" s="6" t="n">
        <v>8360</v>
      </c>
      <c r="D35" s="28" t="n">
        <f aca="false">IFERROR(C35/B35,0)</f>
        <v>19</v>
      </c>
      <c r="E35" s="5" t="s">
        <v>268</v>
      </c>
    </row>
    <row r="36" customFormat="false" ht="15" hidden="false" customHeight="true" outlineLevel="0" collapsed="false">
      <c r="A36" s="5" t="s">
        <v>280</v>
      </c>
      <c r="B36" s="27" t="n">
        <v>431</v>
      </c>
      <c r="C36" s="6" t="n">
        <v>14223</v>
      </c>
      <c r="D36" s="28" t="n">
        <f aca="false">IFERROR(C36/B36,0)</f>
        <v>33</v>
      </c>
      <c r="E36" s="5" t="s">
        <v>248</v>
      </c>
    </row>
    <row r="37" customFormat="false" ht="15" hidden="false" customHeight="true" outlineLevel="0" collapsed="false">
      <c r="A37" s="5" t="s">
        <v>281</v>
      </c>
      <c r="B37" s="27" t="n">
        <v>414</v>
      </c>
      <c r="C37" s="6" t="n">
        <v>15732</v>
      </c>
      <c r="D37" s="28" t="n">
        <f aca="false">IFERROR(C37/B37,0)</f>
        <v>38</v>
      </c>
      <c r="E37" s="5" t="s">
        <v>246</v>
      </c>
    </row>
    <row r="38" customFormat="false" ht="15" hidden="false" customHeight="true" outlineLevel="0" collapsed="false">
      <c r="A38" s="5" t="s">
        <v>282</v>
      </c>
      <c r="B38" s="27" t="n">
        <v>411.5</v>
      </c>
      <c r="C38" s="6" t="n">
        <v>7248</v>
      </c>
      <c r="D38" s="28" t="n">
        <f aca="false">IFERROR(C38/B38,0)</f>
        <v>17.6136087484812</v>
      </c>
      <c r="E38" s="5" t="s">
        <v>268</v>
      </c>
    </row>
    <row r="39" customFormat="false" ht="15" hidden="false" customHeight="true" outlineLevel="0" collapsed="false">
      <c r="A39" s="5" t="s">
        <v>283</v>
      </c>
      <c r="B39" s="27" t="n">
        <v>406</v>
      </c>
      <c r="C39" s="6" t="n">
        <v>22947</v>
      </c>
      <c r="D39" s="28" t="n">
        <f aca="false">IFERROR(C39/B39,0)</f>
        <v>56.5197044334975</v>
      </c>
      <c r="E39" s="5" t="s">
        <v>246</v>
      </c>
    </row>
    <row r="40" customFormat="false" ht="15" hidden="false" customHeight="true" outlineLevel="0" collapsed="false">
      <c r="A40" s="5" t="s">
        <v>284</v>
      </c>
      <c r="B40" s="27" t="n">
        <v>368</v>
      </c>
      <c r="C40" s="6" t="n">
        <v>18256</v>
      </c>
      <c r="D40" s="28" t="n">
        <f aca="false">IFERROR(C40/B40,0)</f>
        <v>49.6086956521739</v>
      </c>
      <c r="E40" s="5" t="s">
        <v>246</v>
      </c>
    </row>
    <row r="41" customFormat="false" ht="15" hidden="false" customHeight="true" outlineLevel="0" collapsed="false">
      <c r="A41" s="5" t="s">
        <v>285</v>
      </c>
      <c r="B41" s="27" t="n">
        <v>350</v>
      </c>
      <c r="C41" s="6" t="n">
        <v>14350</v>
      </c>
      <c r="D41" s="28" t="n">
        <f aca="false">IFERROR(C41/B41,0)</f>
        <v>41</v>
      </c>
      <c r="E41" s="5" t="s">
        <v>246</v>
      </c>
    </row>
    <row r="42" customFormat="false" ht="15" hidden="false" customHeight="true" outlineLevel="0" collapsed="false">
      <c r="A42" s="5" t="s">
        <v>286</v>
      </c>
      <c r="B42" s="27" t="n">
        <v>348</v>
      </c>
      <c r="C42" s="6" t="n">
        <v>5696</v>
      </c>
      <c r="D42" s="28" t="n">
        <f aca="false">IFERROR(C42/B42,0)</f>
        <v>16.367816091954</v>
      </c>
      <c r="E42" s="5" t="s">
        <v>268</v>
      </c>
    </row>
    <row r="43" customFormat="false" ht="15" hidden="false" customHeight="true" outlineLevel="0" collapsed="false">
      <c r="A43" s="5" t="s">
        <v>287</v>
      </c>
      <c r="B43" s="27" t="n">
        <v>317.5</v>
      </c>
      <c r="C43" s="6" t="n">
        <v>5124</v>
      </c>
      <c r="D43" s="28" t="n">
        <f aca="false">IFERROR(C43/B43,0)</f>
        <v>16.1385826771654</v>
      </c>
      <c r="E43" s="5" t="s">
        <v>268</v>
      </c>
    </row>
    <row r="44" customFormat="false" ht="15" hidden="false" customHeight="true" outlineLevel="0" collapsed="false">
      <c r="A44" s="5" t="s">
        <v>288</v>
      </c>
      <c r="B44" s="27" t="n">
        <v>298.5</v>
      </c>
      <c r="C44" s="6" t="n">
        <v>6567</v>
      </c>
      <c r="D44" s="28" t="n">
        <f aca="false">IFERROR(C44/B44,0)</f>
        <v>22</v>
      </c>
      <c r="E44" s="5" t="s">
        <v>248</v>
      </c>
    </row>
    <row r="45" customFormat="false" ht="15" hidden="false" customHeight="true" outlineLevel="0" collapsed="false">
      <c r="A45" s="5" t="s">
        <v>289</v>
      </c>
      <c r="B45" s="27" t="n">
        <v>290</v>
      </c>
      <c r="C45" s="6" t="n">
        <v>9668</v>
      </c>
      <c r="D45" s="28" t="n">
        <f aca="false">IFERROR(C45/B45,0)</f>
        <v>33.3379310344828</v>
      </c>
      <c r="E45" s="5" t="s">
        <v>248</v>
      </c>
    </row>
    <row r="46" customFormat="false" ht="15" hidden="false" customHeight="true" outlineLevel="0" collapsed="false">
      <c r="A46" s="5" t="s">
        <v>290</v>
      </c>
      <c r="B46" s="27" t="n">
        <v>275</v>
      </c>
      <c r="C46" s="6" t="n">
        <v>17188</v>
      </c>
      <c r="D46" s="28" t="n">
        <f aca="false">IFERROR(C46/B46,0)</f>
        <v>62.5018181818182</v>
      </c>
      <c r="E46" s="5" t="s">
        <v>246</v>
      </c>
    </row>
    <row r="47" customFormat="false" ht="15" hidden="false" customHeight="true" outlineLevel="0" collapsed="false">
      <c r="A47" s="5" t="s">
        <v>291</v>
      </c>
      <c r="B47" s="27" t="n">
        <v>251</v>
      </c>
      <c r="C47" s="6" t="n">
        <v>7098</v>
      </c>
      <c r="D47" s="28" t="n">
        <f aca="false">IFERROR(C47/B47,0)</f>
        <v>28.2788844621514</v>
      </c>
      <c r="E47" s="5" t="s">
        <v>248</v>
      </c>
    </row>
    <row r="48" customFormat="false" ht="15" hidden="false" customHeight="true" outlineLevel="0" collapsed="false">
      <c r="A48" s="5" t="s">
        <v>292</v>
      </c>
      <c r="B48" s="27" t="n">
        <v>230.5</v>
      </c>
      <c r="C48" s="6" t="n">
        <v>3688</v>
      </c>
      <c r="D48" s="28" t="n">
        <f aca="false">IFERROR(C48/B48,0)</f>
        <v>16</v>
      </c>
      <c r="E48" s="5" t="s">
        <v>268</v>
      </c>
    </row>
    <row r="49" customFormat="false" ht="15" hidden="false" customHeight="true" outlineLevel="0" collapsed="false">
      <c r="A49" s="5" t="s">
        <v>293</v>
      </c>
      <c r="B49" s="27" t="n">
        <v>213</v>
      </c>
      <c r="C49" s="6" t="n">
        <v>5092</v>
      </c>
      <c r="D49" s="28" t="n">
        <f aca="false">IFERROR(C49/B49,0)</f>
        <v>23.906103286385</v>
      </c>
      <c r="E49" s="5" t="s">
        <v>248</v>
      </c>
    </row>
    <row r="50" customFormat="false" ht="15" hidden="false" customHeight="true" outlineLevel="0" collapsed="false">
      <c r="A50" s="5" t="s">
        <v>294</v>
      </c>
      <c r="B50" s="27" t="n">
        <v>176.5</v>
      </c>
      <c r="C50" s="6" t="n">
        <v>6884</v>
      </c>
      <c r="D50" s="28" t="n">
        <f aca="false">IFERROR(C50/B50,0)</f>
        <v>39.0028328611898</v>
      </c>
      <c r="E50" s="5" t="s">
        <v>246</v>
      </c>
    </row>
    <row r="51" customFormat="false" ht="15" hidden="false" customHeight="true" outlineLevel="0" collapsed="false">
      <c r="A51" s="5" t="s">
        <v>295</v>
      </c>
      <c r="B51" s="27" t="n">
        <v>176</v>
      </c>
      <c r="C51" s="6" t="n">
        <v>4928</v>
      </c>
      <c r="D51" s="28" t="n">
        <f aca="false">IFERROR(C51/B51,0)</f>
        <v>28</v>
      </c>
      <c r="E51" s="5" t="s">
        <v>248</v>
      </c>
    </row>
    <row r="52" customFormat="false" ht="15" hidden="false" customHeight="true" outlineLevel="0" collapsed="false">
      <c r="A52" s="5" t="s">
        <v>296</v>
      </c>
      <c r="B52" s="27" t="n">
        <v>148.5</v>
      </c>
      <c r="C52" s="6" t="n">
        <v>6072</v>
      </c>
      <c r="D52" s="28" t="n">
        <f aca="false">IFERROR(C52/B52,0)</f>
        <v>40.8888888888889</v>
      </c>
      <c r="E52" s="5" t="s">
        <v>246</v>
      </c>
    </row>
    <row r="53" customFormat="false" ht="15" hidden="false" customHeight="true" outlineLevel="0" collapsed="false">
      <c r="A53" s="5" t="s">
        <v>297</v>
      </c>
      <c r="B53" s="27" t="n">
        <v>141</v>
      </c>
      <c r="C53" s="6" t="n">
        <v>2485</v>
      </c>
      <c r="D53" s="28" t="n">
        <f aca="false">IFERROR(C53/B53,0)</f>
        <v>17.6241134751773</v>
      </c>
      <c r="E53" s="5" t="s">
        <v>268</v>
      </c>
    </row>
    <row r="54" customFormat="false" ht="15" hidden="false" customHeight="true" outlineLevel="0" collapsed="false">
      <c r="A54" s="5" t="s">
        <v>298</v>
      </c>
      <c r="B54" s="27" t="n">
        <v>120.5</v>
      </c>
      <c r="C54" s="6" t="n">
        <v>3256</v>
      </c>
      <c r="D54" s="28" t="n">
        <f aca="false">IFERROR(C54/B54,0)</f>
        <v>27.0207468879668</v>
      </c>
      <c r="E54" s="5" t="s">
        <v>248</v>
      </c>
    </row>
    <row r="55" customFormat="false" ht="15" hidden="false" customHeight="true" outlineLevel="0" collapsed="false">
      <c r="A55" s="5" t="s">
        <v>299</v>
      </c>
      <c r="B55" s="27" t="n">
        <v>88</v>
      </c>
      <c r="C55" s="6" t="n">
        <v>2992</v>
      </c>
      <c r="D55" s="28" t="n">
        <f aca="false">IFERROR(C55/B55,0)</f>
        <v>34</v>
      </c>
      <c r="E55" s="5" t="s">
        <v>248</v>
      </c>
    </row>
    <row r="56" customFormat="false" ht="15" hidden="false" customHeight="true" outlineLevel="0" collapsed="false">
      <c r="A56" s="5" t="s">
        <v>300</v>
      </c>
      <c r="B56" s="27" t="n">
        <v>80</v>
      </c>
      <c r="C56" s="6" t="n">
        <v>2880</v>
      </c>
      <c r="D56" s="28" t="n">
        <f aca="false">IFERROR(C56/B56,0)</f>
        <v>36</v>
      </c>
      <c r="E56" s="5" t="s">
        <v>246</v>
      </c>
    </row>
    <row r="57" customFormat="false" ht="15" hidden="false" customHeight="true" outlineLevel="0" collapsed="false">
      <c r="A57" s="5" t="s">
        <v>301</v>
      </c>
      <c r="B57" s="27" t="n">
        <v>69</v>
      </c>
      <c r="C57" s="6" t="n">
        <v>1302</v>
      </c>
      <c r="D57" s="28" t="n">
        <f aca="false">IFERROR(C57/B57,0)</f>
        <v>18.8695652173913</v>
      </c>
      <c r="E57" s="5" t="s">
        <v>268</v>
      </c>
    </row>
    <row r="58" customFormat="false" ht="15" hidden="false" customHeight="true" outlineLevel="0" collapsed="false">
      <c r="A58" s="5" t="s">
        <v>302</v>
      </c>
      <c r="B58" s="27" t="n">
        <v>64</v>
      </c>
      <c r="C58" s="6" t="n">
        <v>2304</v>
      </c>
      <c r="D58" s="28" t="n">
        <f aca="false">IFERROR(C58/B58,0)</f>
        <v>36</v>
      </c>
      <c r="E58" s="5" t="s">
        <v>246</v>
      </c>
    </row>
    <row r="59" customFormat="false" ht="15" hidden="false" customHeight="true" outlineLevel="0" collapsed="false">
      <c r="A59" s="5" t="s">
        <v>303</v>
      </c>
      <c r="B59" s="27" t="n">
        <v>57</v>
      </c>
      <c r="C59" s="6" t="n">
        <v>1094</v>
      </c>
      <c r="D59" s="28" t="n">
        <f aca="false">IFERROR(C59/B59,0)</f>
        <v>19.1929824561404</v>
      </c>
      <c r="E59" s="5" t="s">
        <v>268</v>
      </c>
    </row>
    <row r="60" customFormat="false" ht="15" hidden="false" customHeight="true" outlineLevel="0" collapsed="false">
      <c r="A60" s="5" t="s">
        <v>304</v>
      </c>
      <c r="B60" s="27" t="n">
        <v>55</v>
      </c>
      <c r="C60" s="6" t="n">
        <v>2200</v>
      </c>
      <c r="D60" s="28" t="n">
        <f aca="false">IFERROR(C60/B60,0)</f>
        <v>40</v>
      </c>
      <c r="E60" s="5" t="s">
        <v>246</v>
      </c>
    </row>
    <row r="61" customFormat="false" ht="15" hidden="false" customHeight="true" outlineLevel="0" collapsed="false">
      <c r="A61" s="5" t="s">
        <v>305</v>
      </c>
      <c r="B61" s="27" t="n">
        <v>51</v>
      </c>
      <c r="C61" s="6" t="n">
        <v>1275</v>
      </c>
      <c r="D61" s="28" t="n">
        <f aca="false">IFERROR(C61/B61,0)</f>
        <v>25</v>
      </c>
      <c r="E61" s="5" t="s">
        <v>248</v>
      </c>
    </row>
    <row r="62" customFormat="false" ht="15" hidden="false" customHeight="true" outlineLevel="0" collapsed="false">
      <c r="A62" s="5" t="s">
        <v>306</v>
      </c>
      <c r="B62" s="27" t="n">
        <v>44.5</v>
      </c>
      <c r="C62" s="6" t="n">
        <v>1648</v>
      </c>
      <c r="D62" s="28" t="n">
        <f aca="false">IFERROR(C62/B62,0)</f>
        <v>37.0337078651685</v>
      </c>
      <c r="E62" s="5" t="s">
        <v>248</v>
      </c>
    </row>
    <row r="63" customFormat="false" ht="15" hidden="false" customHeight="true" outlineLevel="0" collapsed="false">
      <c r="A63" s="5" t="s">
        <v>307</v>
      </c>
      <c r="B63" s="27" t="n">
        <v>40</v>
      </c>
      <c r="C63" s="6" t="n">
        <v>720</v>
      </c>
      <c r="D63" s="28" t="n">
        <f aca="false">IFERROR(C63/B63,0)</f>
        <v>18</v>
      </c>
      <c r="E63" s="5" t="s">
        <v>268</v>
      </c>
    </row>
    <row r="64" customFormat="false" ht="15" hidden="false" customHeight="true" outlineLevel="0" collapsed="false">
      <c r="A64" s="5" t="s">
        <v>308</v>
      </c>
      <c r="B64" s="27" t="n">
        <v>38</v>
      </c>
      <c r="C64" s="6" t="n">
        <v>1254</v>
      </c>
      <c r="D64" s="28" t="n">
        <f aca="false">IFERROR(C64/B64,0)</f>
        <v>33</v>
      </c>
      <c r="E64" s="5" t="s">
        <v>248</v>
      </c>
    </row>
    <row r="65" customFormat="false" ht="15" hidden="false" customHeight="true" outlineLevel="0" collapsed="false">
      <c r="A65" s="5" t="s">
        <v>309</v>
      </c>
      <c r="B65" s="27" t="n">
        <v>32.5</v>
      </c>
      <c r="C65" s="6" t="n">
        <v>1292</v>
      </c>
      <c r="D65" s="28" t="n">
        <f aca="false">IFERROR(C65/B65,0)</f>
        <v>39.7538461538462</v>
      </c>
      <c r="E65" s="5" t="s">
        <v>248</v>
      </c>
    </row>
    <row r="66" customFormat="false" ht="15" hidden="false" customHeight="true" outlineLevel="0" collapsed="false">
      <c r="A66" s="5" t="s">
        <v>310</v>
      </c>
      <c r="B66" s="27" t="n">
        <v>29</v>
      </c>
      <c r="C66" s="6" t="n">
        <v>1044</v>
      </c>
      <c r="D66" s="28" t="n">
        <f aca="false">IFERROR(C66/B66,0)</f>
        <v>36</v>
      </c>
      <c r="E66" s="5" t="s">
        <v>246</v>
      </c>
    </row>
    <row r="67" customFormat="false" ht="15" hidden="false" customHeight="true" outlineLevel="0" collapsed="false">
      <c r="A67" s="5" t="s">
        <v>311</v>
      </c>
      <c r="B67" s="27" t="n">
        <v>19</v>
      </c>
      <c r="C67" s="6" t="n">
        <v>760</v>
      </c>
      <c r="D67" s="28" t="n">
        <f aca="false">IFERROR(C67/B67,0)</f>
        <v>40</v>
      </c>
      <c r="E67" s="5" t="s">
        <v>246</v>
      </c>
    </row>
    <row r="68" customFormat="false" ht="15" hidden="false" customHeight="true" outlineLevel="0" collapsed="false">
      <c r="A68" s="5" t="s">
        <v>312</v>
      </c>
      <c r="B68" s="27" t="n">
        <v>5</v>
      </c>
      <c r="C68" s="6" t="n">
        <v>188</v>
      </c>
      <c r="D68" s="28" t="n">
        <f aca="false">IFERROR(C68/B68,0)</f>
        <v>37.6</v>
      </c>
      <c r="E68" s="5" t="s">
        <v>313</v>
      </c>
    </row>
    <row r="69" customFormat="false" ht="15" hidden="false" customHeight="true" outlineLevel="0" collapsed="false">
      <c r="A69" s="5" t="s">
        <v>314</v>
      </c>
      <c r="B69" s="27" t="n">
        <v>2</v>
      </c>
      <c r="C69" s="6" t="n">
        <v>70</v>
      </c>
      <c r="D69" s="28" t="n">
        <f aca="false">IFERROR(C69/B69,0)</f>
        <v>35</v>
      </c>
      <c r="E69" s="5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14"/>
  </cols>
  <sheetData>
    <row r="1" customFormat="false" ht="19.5" hidden="false" customHeight="true" outlineLevel="0" collapsed="false">
      <c r="A1" s="2" t="s">
        <v>315</v>
      </c>
    </row>
    <row r="3" customFormat="false" ht="15" hidden="false" customHeight="true" outlineLevel="0" collapsed="false">
      <c r="A3" s="22" t="s">
        <v>244</v>
      </c>
      <c r="B3" s="22" t="s">
        <v>316</v>
      </c>
      <c r="C3" s="22" t="s">
        <v>241</v>
      </c>
      <c r="D3" s="22" t="s">
        <v>242</v>
      </c>
      <c r="E3" s="22" t="s">
        <v>317</v>
      </c>
    </row>
    <row r="4" customFormat="false" ht="15" hidden="false" customHeight="true" outlineLevel="0" collapsed="false">
      <c r="A4" s="13" t="s">
        <v>246</v>
      </c>
      <c r="B4" s="5" t="n">
        <v>22</v>
      </c>
      <c r="C4" s="27" t="n">
        <v>12921</v>
      </c>
      <c r="D4" s="6" t="n">
        <v>575838</v>
      </c>
      <c r="E4" s="23" t="n">
        <f aca="false">IFERROR(C4/SUM(C$4:C$7),0)</f>
        <v>0.310604694767966</v>
      </c>
    </row>
    <row r="5" customFormat="false" ht="15" hidden="false" customHeight="true" outlineLevel="0" collapsed="false">
      <c r="A5" s="13" t="s">
        <v>248</v>
      </c>
      <c r="B5" s="5" t="n">
        <v>33</v>
      </c>
      <c r="C5" s="27" t="n">
        <v>25972.5</v>
      </c>
      <c r="D5" s="6" t="n">
        <v>738695</v>
      </c>
      <c r="E5" s="23" t="n">
        <f aca="false">IFERROR(C5/SUM(C$4:C$7),0)</f>
        <v>0.624346446471712</v>
      </c>
    </row>
    <row r="6" customFormat="false" ht="15" hidden="false" customHeight="true" outlineLevel="0" collapsed="false">
      <c r="A6" s="13" t="s">
        <v>268</v>
      </c>
      <c r="B6" s="5" t="n">
        <v>10</v>
      </c>
      <c r="C6" s="27" t="n">
        <v>2701</v>
      </c>
      <c r="D6" s="6" t="n">
        <v>48020</v>
      </c>
      <c r="E6" s="23" t="n">
        <f aca="false">IFERROR(C6/SUM(C$4:C$7),0)</f>
        <v>0.0649286650079929</v>
      </c>
    </row>
    <row r="7" customFormat="false" ht="15" hidden="false" customHeight="true" outlineLevel="0" collapsed="false">
      <c r="A7" s="13" t="s">
        <v>313</v>
      </c>
      <c r="B7" s="5" t="n">
        <v>1</v>
      </c>
      <c r="C7" s="27" t="n">
        <v>5</v>
      </c>
      <c r="D7" s="6" t="n">
        <v>188</v>
      </c>
      <c r="E7" s="23" t="n">
        <f aca="false">IFERROR(C7/SUM(C$4:C$7),0)</f>
        <v>0.000120193752328754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318</v>
      </c>
    </row>
    <row r="3" customFormat="false" ht="15" hidden="false" customHeight="true" outlineLevel="0" collapsed="false">
      <c r="A3" s="5" t="s">
        <v>319</v>
      </c>
      <c r="B3" s="27" t="n">
        <v>41600</v>
      </c>
    </row>
    <row r="4" customFormat="false" ht="15" hidden="false" customHeight="true" outlineLevel="0" collapsed="false">
      <c r="A4" s="5" t="s">
        <v>320</v>
      </c>
      <c r="B4" s="29" t="n">
        <v>66</v>
      </c>
    </row>
    <row r="5" customFormat="false" ht="15" hidden="false" customHeight="true" outlineLevel="0" collapsed="false">
      <c r="A5" s="5" t="s">
        <v>321</v>
      </c>
      <c r="B5" s="27" t="n">
        <v>129.6</v>
      </c>
    </row>
    <row r="6" customFormat="false" ht="15" hidden="false" customHeight="true" outlineLevel="0" collapsed="false">
      <c r="A6" s="5" t="s">
        <v>322</v>
      </c>
      <c r="B6" s="30" t="n">
        <v>145.07</v>
      </c>
    </row>
    <row r="7" customFormat="false" ht="15" hidden="false" customHeight="true" outlineLevel="0" collapsed="false">
      <c r="A7" s="5" t="s">
        <v>12</v>
      </c>
      <c r="B7" s="3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</cols>
  <sheetData>
    <row r="1" customFormat="false" ht="19.5" hidden="false" customHeight="true" outlineLevel="0" collapsed="false">
      <c r="A1" s="2" t="s">
        <v>323</v>
      </c>
    </row>
    <row r="3" customFormat="false" ht="15" hidden="false" customHeight="true" outlineLevel="0" collapsed="false">
      <c r="A3" s="22" t="s">
        <v>324</v>
      </c>
      <c r="B3" s="22" t="s">
        <v>325</v>
      </c>
      <c r="C3" s="22" t="s">
        <v>326</v>
      </c>
      <c r="D3" s="22" t="s">
        <v>117</v>
      </c>
    </row>
    <row r="4" customFormat="false" ht="15" hidden="false" customHeight="true" outlineLevel="0" collapsed="false">
      <c r="A4" s="5" t="s">
        <v>327</v>
      </c>
      <c r="B4" s="31" t="n">
        <v>0.277185723451485</v>
      </c>
      <c r="C4" s="31" t="n">
        <v>0.34</v>
      </c>
      <c r="D4" s="23" t="n">
        <f aca="false">B4-C4</f>
        <v>-0.062814276548515</v>
      </c>
    </row>
    <row r="5" customFormat="false" ht="15" hidden="false" customHeight="true" outlineLevel="0" collapsed="false">
      <c r="A5" s="5" t="s">
        <v>328</v>
      </c>
      <c r="B5" s="31" t="n">
        <v>0.459174948031563</v>
      </c>
      <c r="C5" s="31" t="n">
        <v>0.45</v>
      </c>
      <c r="D5" s="23" t="n">
        <f aca="false">B5-C5</f>
        <v>0.00917494803156299</v>
      </c>
    </row>
    <row r="6" customFormat="false" ht="15" hidden="false" customHeight="true" outlineLevel="0" collapsed="false">
      <c r="A6" s="5" t="s">
        <v>329</v>
      </c>
      <c r="B6" s="31" t="n">
        <v>0.307617914135673</v>
      </c>
      <c r="C6" s="31" t="n">
        <v>0.38</v>
      </c>
      <c r="D6" s="23" t="n">
        <f aca="false">B6-C6</f>
        <v>-0.072382085864327</v>
      </c>
    </row>
    <row r="7" customFormat="false" ht="15" hidden="false" customHeight="true" outlineLevel="0" collapsed="false">
      <c r="A7" s="5" t="s">
        <v>330</v>
      </c>
      <c r="B7" s="27" t="n">
        <v>129.593457943925</v>
      </c>
      <c r="C7" s="27" t="n">
        <v>95</v>
      </c>
      <c r="D7" s="32" t="n">
        <f aca="false">B7-C7</f>
        <v>34.593457943925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44"/>
  </cols>
  <sheetData>
    <row r="1" customFormat="false" ht="19.5" hidden="false" customHeight="true" outlineLevel="0" collapsed="false">
      <c r="A1" s="2" t="s">
        <v>331</v>
      </c>
    </row>
    <row r="3" customFormat="false" ht="15" hidden="false" customHeight="true" outlineLevel="0" collapsed="false">
      <c r="A3" s="22" t="s">
        <v>332</v>
      </c>
      <c r="B3" s="22" t="s">
        <v>136</v>
      </c>
      <c r="C3" s="22" t="s">
        <v>333</v>
      </c>
    </row>
    <row r="4" customFormat="false" ht="15" hidden="false" customHeight="true" outlineLevel="0" collapsed="false">
      <c r="A4" s="5" t="s">
        <v>334</v>
      </c>
      <c r="B4" s="33" t="s">
        <v>335</v>
      </c>
      <c r="C4" s="5" t="s">
        <v>336</v>
      </c>
    </row>
    <row r="5" customFormat="false" ht="15" hidden="false" customHeight="true" outlineLevel="0" collapsed="false">
      <c r="A5" s="5" t="s">
        <v>337</v>
      </c>
      <c r="B5" s="33" t="s">
        <v>335</v>
      </c>
      <c r="C5" s="5" t="s">
        <v>338</v>
      </c>
    </row>
    <row r="6" customFormat="false" ht="15" hidden="false" customHeight="true" outlineLevel="0" collapsed="false">
      <c r="A6" s="5" t="s">
        <v>339</v>
      </c>
      <c r="B6" s="33" t="s">
        <v>335</v>
      </c>
      <c r="C6" s="5" t="s">
        <v>340</v>
      </c>
    </row>
    <row r="7" customFormat="false" ht="15" hidden="false" customHeight="true" outlineLevel="0" collapsed="false">
      <c r="A7" s="5" t="s">
        <v>341</v>
      </c>
      <c r="B7" s="33" t="s">
        <v>335</v>
      </c>
      <c r="C7" s="5" t="s">
        <v>342</v>
      </c>
    </row>
    <row r="8" customFormat="false" ht="15" hidden="false" customHeight="true" outlineLevel="0" collapsed="false">
      <c r="A8" s="5" t="s">
        <v>343</v>
      </c>
      <c r="B8" s="34" t="s">
        <v>344</v>
      </c>
      <c r="C8" s="5" t="s">
        <v>345</v>
      </c>
    </row>
    <row r="9" customFormat="false" ht="15" hidden="false" customHeight="true" outlineLevel="0" collapsed="false">
      <c r="A9" s="5" t="s">
        <v>346</v>
      </c>
      <c r="B9" s="34" t="s">
        <v>344</v>
      </c>
      <c r="C9" s="5" t="s">
        <v>347</v>
      </c>
    </row>
    <row r="10" customFormat="false" ht="15" hidden="false" customHeight="true" outlineLevel="0" collapsed="false">
      <c r="A10" s="5" t="s">
        <v>6</v>
      </c>
      <c r="B10" s="34" t="s">
        <v>344</v>
      </c>
      <c r="C10" s="5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349</v>
      </c>
    </row>
    <row r="3" customFormat="false" ht="15" hidden="false" customHeight="true" outlineLevel="0" collapsed="false">
      <c r="A3" s="22" t="s">
        <v>14</v>
      </c>
      <c r="B3" s="22" t="s">
        <v>350</v>
      </c>
      <c r="C3" s="22" t="s">
        <v>351</v>
      </c>
      <c r="D3" s="22" t="s">
        <v>117</v>
      </c>
    </row>
    <row r="4" customFormat="false" ht="15" hidden="false" customHeight="true" outlineLevel="0" collapsed="false">
      <c r="A4" s="5" t="s">
        <v>352</v>
      </c>
      <c r="B4" s="6" t="n">
        <v>3390877.09</v>
      </c>
      <c r="C4" s="6" t="n">
        <v>3390877.09</v>
      </c>
      <c r="D4" s="10" t="n">
        <f aca="false">IF(ISNUMBER(B4),B4-C4,"—")</f>
        <v>0</v>
      </c>
    </row>
    <row r="5" customFormat="false" ht="15" hidden="false" customHeight="true" outlineLevel="0" collapsed="false">
      <c r="A5" s="5" t="s">
        <v>353</v>
      </c>
      <c r="B5" s="6" t="n">
        <v>-6034876</v>
      </c>
      <c r="C5" s="6" t="n">
        <v>6034876</v>
      </c>
      <c r="D5" s="10" t="n">
        <f aca="false">IF(ISNUMBER(B5),B5-C5,"—")</f>
        <v>-12069752</v>
      </c>
    </row>
    <row r="6" customFormat="false" ht="15" hidden="false" customHeight="true" outlineLevel="0" collapsed="false">
      <c r="A6" s="5" t="s">
        <v>354</v>
      </c>
      <c r="C6" s="6" t="n">
        <v>1192245.52</v>
      </c>
      <c r="D6" s="10" t="str">
        <f aca="false">IF(ISNUMBER(B6),B6-C6,"—")</f>
        <v>—</v>
      </c>
    </row>
    <row r="7" customFormat="false" ht="15" hidden="false" customHeight="true" outlineLevel="0" collapsed="false">
      <c r="A7" s="5" t="s">
        <v>355</v>
      </c>
      <c r="C7" s="6" t="n">
        <v>1977161.81</v>
      </c>
      <c r="D7" s="10" t="str">
        <f aca="false">IF(ISNUMBER(B7),B7-C7,"—")</f>
        <v>—</v>
      </c>
    </row>
    <row r="8" customFormat="false" ht="15" hidden="false" customHeight="true" outlineLevel="0" collapsed="false">
      <c r="A8" s="5" t="s">
        <v>356</v>
      </c>
      <c r="C8" s="6" t="n">
        <v>221469.76</v>
      </c>
      <c r="D8" s="10" t="str">
        <f aca="false">IF(ISNUMBER(B8),B8-C8,"—")</f>
        <v>—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357</v>
      </c>
    </row>
    <row r="3" customFormat="false" ht="15" hidden="false" customHeight="true" outlineLevel="0" collapsed="false">
      <c r="A3" s="22" t="s">
        <v>324</v>
      </c>
      <c r="B3" s="22" t="s">
        <v>358</v>
      </c>
      <c r="C3" s="22" t="s">
        <v>359</v>
      </c>
    </row>
    <row r="4" customFormat="false" ht="15" hidden="false" customHeight="true" outlineLevel="0" collapsed="false">
      <c r="A4" s="35" t="s">
        <v>327</v>
      </c>
      <c r="B4" s="35" t="s">
        <v>360</v>
      </c>
      <c r="C4" s="35" t="s">
        <v>361</v>
      </c>
    </row>
    <row r="5" customFormat="false" ht="15" hidden="false" customHeight="true" outlineLevel="0" collapsed="false">
      <c r="A5" s="35" t="s">
        <v>12</v>
      </c>
      <c r="B5" s="35" t="s">
        <v>360</v>
      </c>
      <c r="C5" s="35" t="s">
        <v>362</v>
      </c>
    </row>
    <row r="6" customFormat="false" ht="15" hidden="false" customHeight="true" outlineLevel="0" collapsed="false">
      <c r="A6" s="35" t="s">
        <v>363</v>
      </c>
      <c r="B6" s="35" t="s">
        <v>364</v>
      </c>
      <c r="C6" s="35" t="s">
        <v>365</v>
      </c>
    </row>
    <row r="7" customFormat="false" ht="15" hidden="false" customHeight="true" outlineLevel="0" collapsed="false">
      <c r="A7" s="35" t="s">
        <v>329</v>
      </c>
      <c r="B7" s="35" t="s">
        <v>366</v>
      </c>
      <c r="C7" s="35" t="s">
        <v>367</v>
      </c>
    </row>
    <row r="8" customFormat="false" ht="15" hidden="false" customHeight="true" outlineLevel="0" collapsed="false">
      <c r="A8" s="35" t="s">
        <v>330</v>
      </c>
      <c r="B8" s="35" t="s">
        <v>368</v>
      </c>
      <c r="C8" s="35" t="s">
        <v>369</v>
      </c>
    </row>
    <row r="9" customFormat="false" ht="23.25" hidden="false" customHeight="true" outlineLevel="0" collapsed="false">
      <c r="A9" s="35" t="s">
        <v>370</v>
      </c>
      <c r="B9" s="35" t="s">
        <v>371</v>
      </c>
      <c r="C9" s="35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373</v>
      </c>
    </row>
    <row r="3" customFormat="false" ht="15" hidden="false" customHeight="true" outlineLevel="0" collapsed="false">
      <c r="A3" s="22" t="s">
        <v>374</v>
      </c>
      <c r="B3" s="22" t="s">
        <v>375</v>
      </c>
      <c r="C3" s="22" t="s">
        <v>376</v>
      </c>
    </row>
    <row r="4" customFormat="false" ht="15" hidden="false" customHeight="true" outlineLevel="0" collapsed="false">
      <c r="A4" s="5" t="s">
        <v>377</v>
      </c>
      <c r="B4" s="5" t="s">
        <v>378</v>
      </c>
      <c r="C4" s="5" t="s">
        <v>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2026-04-26T02:18:34Z</dcterms:created>
  <dc:creator>openpyxl</dc:creator>
  <dc:description/>
  <dc:language>en-US</dc:language>
  <cp:lastModifiedBy/>
  <dcterms:modified xsi:type="dcterms:W3CDTF">2026-04-26T02:34:19Z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