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D5DEC5"/>
      </patternFill>
    </fill>
    <fill>
      <patternFill patternType="solid">
        <fgColor rgb="00E8CEC3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#2112 · Big 3 Apartments</t>
        </is>
      </c>
    </row>
    <row r="2">
      <c r="A2" s="2" t="inlineStr">
        <is>
          <t>BMDC Services, LLC · 20 units · Live / in-progress · OCIP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0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518063</v>
      </c>
    </row>
    <row r="12">
      <c r="A12" s="4" t="inlineStr">
        <is>
          <t>Retention held</t>
        </is>
      </c>
      <c r="B12" s="5" t="n">
        <v>25903.15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0</v>
      </c>
    </row>
    <row r="21">
      <c r="A21" s="4" t="inlineStr">
        <is>
          <t>PR</t>
        </is>
      </c>
      <c r="B21" s="9" t="n">
        <v>0</v>
      </c>
    </row>
    <row r="22">
      <c r="A22" s="4" t="inlineStr">
        <is>
          <t>AR</t>
        </is>
      </c>
      <c r="B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2112</t>
        </is>
      </c>
    </row>
    <row r="4">
      <c r="A4" s="10" t="inlineStr">
        <is>
          <t>Project name</t>
        </is>
      </c>
      <c r="B4" s="4" t="inlineStr">
        <is>
          <t>Big 3 Apartments</t>
        </is>
      </c>
    </row>
    <row r="5">
      <c r="A5" s="10" t="inlineStr">
        <is>
          <t>General contractor</t>
        </is>
      </c>
      <c r="B5" s="4" t="inlineStr">
        <is>
          <t>BMDC Services, LLC</t>
        </is>
      </c>
    </row>
    <row r="6">
      <c r="A6" s="10" t="inlineStr">
        <is>
          <t>Owner</t>
        </is>
      </c>
      <c r="B6" s="4" t="inlineStr">
        <is>
          <t>BMDC Big 3 LLC</t>
        </is>
      </c>
    </row>
    <row r="7">
      <c r="A7" s="10" t="inlineStr">
        <is>
          <t>Units</t>
        </is>
      </c>
      <c r="B7" s="4" t="n">
        <v>20</v>
      </c>
    </row>
    <row r="8">
      <c r="A8" s="10" t="inlineStr">
        <is>
          <t>Insurance</t>
        </is>
      </c>
      <c r="B8" s="4" t="inlineStr">
        <is>
          <t>Not Wrap</t>
        </is>
      </c>
    </row>
    <row r="9">
      <c r="A9" s="10" t="inlineStr">
        <is>
          <t>Job start</t>
        </is>
      </c>
      <c r="B9" s="4" t="inlineStr">
        <is>
          <t>May 2025</t>
        </is>
      </c>
    </row>
    <row r="10">
      <c r="A10" s="10" t="inlineStr">
        <is>
          <t>Expected completion</t>
        </is>
      </c>
      <c r="B10" s="4" t="inlineStr">
        <is>
          <t>Jul 2026</t>
        </is>
      </c>
    </row>
    <row r="11">
      <c r="A11" s="10" t="inlineStr">
        <is>
          <t>Architect</t>
        </is>
      </c>
      <c r="B11" s="4" t="inlineStr">
        <is>
          <t>Robison Engineering</t>
        </is>
      </c>
    </row>
    <row r="12">
      <c r="A12" s="10" t="inlineStr">
        <is>
          <t>MEP Engineer</t>
        </is>
      </c>
      <c r="B12" s="4" t="inlineStr">
        <is>
          <t>Robison Engineering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Mar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  <row r="11">
      <c r="A11" s="4" t="inlineStr">
        <is>
          <t>CO#01</t>
        </is>
      </c>
      <c r="B11" s="4" t="inlineStr">
        <is>
          <t>Condensate drain additions</t>
        </is>
      </c>
      <c r="C11" s="5" t="n">
        <v>11500</v>
      </c>
    </row>
    <row r="12">
      <c r="A12" s="4" t="inlineStr">
        <is>
          <t>CO#02</t>
        </is>
      </c>
      <c r="B12" s="4" t="inlineStr">
        <is>
          <t>Matte black flush lever upgrade</t>
        </is>
      </c>
      <c r="C12" s="5" t="n">
        <v>1120</v>
      </c>
    </row>
    <row r="13">
      <c r="A13" s="4" t="inlineStr">
        <is>
          <t>CO#03</t>
        </is>
      </c>
      <c r="B13" s="4" t="inlineStr">
        <is>
          <t>Water metering additions</t>
        </is>
      </c>
      <c r="C13" s="5" t="n">
        <v>20100</v>
      </c>
    </row>
    <row r="14">
      <c r="A14" s="4" t="inlineStr">
        <is>
          <t>CO#04</t>
        </is>
      </c>
      <c r="B14" s="4" t="inlineStr">
        <is>
          <t>Temporary water service</t>
        </is>
      </c>
      <c r="C14" s="5" t="n">
        <v>1362</v>
      </c>
    </row>
    <row r="15">
      <c r="A15" s="4" t="inlineStr">
        <is>
          <t>CO#05</t>
        </is>
      </c>
      <c r="B15" s="4" t="inlineStr">
        <is>
          <t>Minor re-routes + small adds</t>
        </is>
      </c>
      <c r="C15" s="5" t="n">
        <v>-1737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10" t="inlineStr">
        <is>
          <t>TOTAL</t>
        </is>
      </c>
      <c r="C4" s="6">
        <f>SUM(C4:C3)</f>
        <v/>
      </c>
      <c r="D4" s="6">
        <f>SUM(D4:D3)</f>
        <v/>
      </c>
      <c r="E4" s="6">
        <f>SUM(E4:E3)</f>
        <v/>
      </c>
      <c r="F4" s="6">
        <f>SUM(F4:F3)</f>
        <v/>
      </c>
      <c r="G4" s="6">
        <f>SUM(G4:G3)</f>
        <v/>
      </c>
      <c r="H4" s="7">
        <f>IFERROR(E4/D4,0)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0</v>
      </c>
      <c r="C4" s="5" t="n">
        <v>0</v>
      </c>
      <c r="D4" s="5" t="n">
        <v>0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0</v>
      </c>
      <c r="C6" s="5" t="n">
        <v>0</v>
      </c>
      <c r="D6" s="5" t="n">
        <v>0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0</v>
      </c>
      <c r="C7" s="5" t="n">
        <v>0</v>
      </c>
      <c r="D7" s="5" t="n">
        <v>0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10" t="inlineStr">
        <is>
          <t>TOTAL AP</t>
        </is>
      </c>
      <c r="B4" s="6">
        <f>SUM(B4:B3)</f>
        <v/>
      </c>
      <c r="C4" s="14">
        <f>SUM(C4:C3)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0</v>
      </c>
      <c r="C4" s="15" t="n">
        <v>0</v>
      </c>
      <c r="D4" s="5" t="n">
        <v>0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5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5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5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5" t="n">
        <v>0</v>
      </c>
    </row>
    <row r="4">
      <c r="A4" s="4" t="inlineStr">
        <is>
          <t>Active workers</t>
        </is>
      </c>
      <c r="B4" s="16" t="n">
        <v>0</v>
      </c>
    </row>
    <row r="5">
      <c r="A5" s="4" t="inlineStr">
        <is>
          <t>Hours per unit (to date)</t>
        </is>
      </c>
      <c r="B5" s="15" t="n">
        <v>0</v>
      </c>
    </row>
    <row r="6">
      <c r="A6" s="4" t="inlineStr">
        <is>
          <t>Revenue per labor hour (billed)</t>
        </is>
      </c>
      <c r="B6" s="17" t="n">
        <v>0</v>
      </c>
    </row>
    <row r="7">
      <c r="A7" s="4" t="inlineStr">
        <is>
          <t>Percent complete</t>
        </is>
      </c>
      <c r="B7" s="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18" t="n">
        <v>0</v>
      </c>
      <c r="C4" s="18" t="n">
        <v>0.34</v>
      </c>
      <c r="D4" s="12">
        <f>B4-C4</f>
        <v/>
      </c>
    </row>
    <row r="5">
      <c r="A5" s="4" t="inlineStr">
        <is>
          <t>Roughin labor share (code 120)</t>
        </is>
      </c>
      <c r="B5" s="18" t="n">
        <v>0</v>
      </c>
      <c r="C5" s="18" t="n">
        <v>0.45</v>
      </c>
      <c r="D5" s="12">
        <f>B5-C5</f>
        <v/>
      </c>
    </row>
    <row r="6">
      <c r="A6" s="4" t="inlineStr">
        <is>
          <t>Top vendor concentration</t>
        </is>
      </c>
      <c r="B6" s="18" t="n">
        <v>0</v>
      </c>
      <c r="C6" s="18" t="n">
        <v>0.38</v>
      </c>
      <c r="D6" s="12">
        <f>B6-C6</f>
        <v/>
      </c>
    </row>
    <row r="7">
      <c r="A7" s="4" t="inlineStr">
        <is>
          <t>Hours per unit</t>
        </is>
      </c>
      <c r="B7" s="15" t="n">
        <v>0</v>
      </c>
      <c r="C7" s="15" t="n">
        <v>95</v>
      </c>
      <c r="D7" s="19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Retention aging</t>
        </is>
      </c>
      <c r="B4" s="20" t="inlineStr">
        <is>
          <t>✓ OK</t>
        </is>
      </c>
      <c r="C4" s="4" t="inlineStr">
        <is>
          <t>$25,903 held · 5.0% of billed · standard range</t>
        </is>
      </c>
    </row>
    <row r="5">
      <c r="A5" s="4" t="inlineStr">
        <is>
          <t>Forecast margin</t>
        </is>
      </c>
      <c r="B5" s="21" t="inlineStr">
        <is>
          <t>⚠ WATCH</t>
        </is>
      </c>
      <c r="C5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0</v>
      </c>
      <c r="C4" s="5" t="n">
        <v>0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0</v>
      </c>
      <c r="C5" s="5" t="n">
        <v>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0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0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2" t="inlineStr">
        <is>
          <t>Forecast margin %</t>
        </is>
      </c>
      <c r="B4" s="22" t="inlineStr">
        <is>
          <t>01 Overview</t>
        </is>
      </c>
      <c r="C4" s="22" t="inlineStr">
        <is>
          <t>Forecast net profit / Revised contract value</t>
        </is>
      </c>
    </row>
    <row r="5">
      <c r="A5" s="22" t="inlineStr">
        <is>
          <t>Percent complete</t>
        </is>
      </c>
      <c r="B5" s="22" t="inlineStr">
        <is>
          <t>01 Overview</t>
        </is>
      </c>
      <c r="C5" s="22" t="inlineStr">
        <is>
          <t>Billed to date / Revised contract value</t>
        </is>
      </c>
    </row>
    <row r="6">
      <c r="A6" s="22" t="inlineStr">
        <is>
          <t>Roughin labor share</t>
        </is>
      </c>
      <c r="B6" s="22" t="inlineStr">
        <is>
          <t>06 Cost Codes</t>
        </is>
      </c>
      <c r="C6" s="22" t="inlineStr">
        <is>
          <t>Code 120 revised / Total labor revised budget</t>
        </is>
      </c>
    </row>
    <row r="7">
      <c r="A7" s="22" t="inlineStr">
        <is>
          <t>Top vendor concentration</t>
        </is>
      </c>
      <c r="B7" s="22" t="inlineStr">
        <is>
          <t>09 Vendor Analysis</t>
        </is>
      </c>
      <c r="C7" s="22" t="inlineStr">
        <is>
          <t>Largest single vendor AP spend / Total AP</t>
        </is>
      </c>
    </row>
    <row r="8">
      <c r="A8" s="22" t="inlineStr">
        <is>
          <t>Hours per unit</t>
        </is>
      </c>
      <c r="B8" s="22" t="inlineStr">
        <is>
          <t>12 Productivity</t>
        </is>
      </c>
      <c r="C8" s="22" t="inlineStr">
        <is>
          <t>Total PR hours to date / Unit count</t>
        </is>
      </c>
    </row>
    <row r="9">
      <c r="A9" s="22" t="inlineStr">
        <is>
          <t>BVA status codes</t>
        </is>
      </c>
      <c r="B9" s="22" t="inlineStr">
        <is>
          <t>08 BVA</t>
        </is>
      </c>
      <c r="C9" s="22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#2112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2026-04-24T14:46:02Z</dcterms:created>
  <dcterms:modified xmlns:dcterms="http://purl.org/dc/terms/" xmlns:xsi="http://www.w3.org/2001/XMLSchema-instance" xsi:type="dcterms:W3CDTF">2026-04-24T14:46:02Z</dcterms:modified>
</cp:coreProperties>
</file>