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<sst xmlns="http://schemas.openxmlformats.org/spreadsheetml/2006/main" count="166" uniqueCount="125">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</sst>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workbookViewId="0">
      <selection activeCell="H60" sqref="H60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15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41718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41729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1" t="s">
        <v>29</v>
      </c>
      <c r="I8" s="82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9" t="s">
        <v>32</v>
      </c>
      <c r="F9" s="80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1226300</v>
      </c>
      <c r="F13" s="41">
        <f>SUM(F14:F64)</f>
        <v>49989</v>
      </c>
      <c r="G13" s="41"/>
      <c r="H13" s="41">
        <f>SUM(H14:H64)</f>
        <v>1276289</v>
      </c>
      <c r="I13" s="12"/>
      <c r="J13" s="48">
        <f>SUM(J14:J64)</f>
        <v>193511</v>
      </c>
      <c r="K13" s="32">
        <f>SUM(K14:K64)</f>
        <v>63814.450000000004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4800</v>
      </c>
      <c r="F24" s="44">
        <f t="shared" si="0"/>
        <v>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67800</v>
      </c>
      <c r="F38" s="44">
        <f t="shared" si="0"/>
        <v>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101700</v>
      </c>
      <c r="F43" s="44">
        <f t="shared" si="0"/>
        <v>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67800</v>
      </c>
      <c r="F44" s="44">
        <f t="shared" si="0"/>
        <v>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93700</v>
      </c>
      <c r="F49" s="44">
        <f t="shared" si="0"/>
        <v>8000</v>
      </c>
      <c r="G49" s="46"/>
      <c r="H49" s="45">
        <v>101700</v>
      </c>
      <c r="I49" s="17">
        <f t="shared" si="1"/>
        <v>1</v>
      </c>
      <c r="J49" s="51">
        <f t="shared" si="2"/>
        <v>0</v>
      </c>
      <c r="K49" s="33">
        <f t="shared" si="3"/>
        <v>5085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13500</v>
      </c>
      <c r="G50" s="46"/>
      <c r="H50" s="45">
        <v>67800</v>
      </c>
      <c r="I50" s="17">
        <f t="shared" si="1"/>
        <v>1</v>
      </c>
      <c r="J50" s="51">
        <f t="shared" si="2"/>
        <v>0</v>
      </c>
      <c r="K50" s="33">
        <f t="shared" si="3"/>
        <v>3390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14533</v>
      </c>
      <c r="G55" s="46"/>
      <c r="H55" s="45">
        <v>14533</v>
      </c>
      <c r="I55" s="17">
        <f t="shared" ref="I55:I64" si="5">H55/D55</f>
        <v>0.54635338345864659</v>
      </c>
      <c r="J55" s="51">
        <f t="shared" ref="J55:J86" si="6">D55-H55</f>
        <v>12067</v>
      </c>
      <c r="K55" s="33">
        <f t="shared" ref="K55:K64" si="7">0.05*H55</f>
        <v>726.65000000000009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9915</v>
      </c>
      <c r="G56" s="46"/>
      <c r="H56" s="45">
        <v>9915</v>
      </c>
      <c r="I56" s="17">
        <f t="shared" si="5"/>
        <v>0.55702247191011234</v>
      </c>
      <c r="J56" s="51">
        <f t="shared" si="6"/>
        <v>7885</v>
      </c>
      <c r="K56" s="33">
        <f t="shared" si="7"/>
        <v>495.75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2458</v>
      </c>
      <c r="G57" s="46"/>
      <c r="H57" s="45">
        <v>2458</v>
      </c>
      <c r="I57" s="17">
        <f t="shared" si="5"/>
        <v>9.2406015037593991E-2</v>
      </c>
      <c r="J57" s="51">
        <f t="shared" si="6"/>
        <v>24142</v>
      </c>
      <c r="K57" s="33">
        <f t="shared" si="7"/>
        <v>122.9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1583</v>
      </c>
      <c r="G58" s="46"/>
      <c r="H58" s="45">
        <v>1583</v>
      </c>
      <c r="I58" s="17">
        <f t="shared" si="5"/>
        <v>8.8932584269662926E-2</v>
      </c>
      <c r="J58" s="51">
        <f t="shared" si="6"/>
        <v>16217</v>
      </c>
      <c r="K58" s="33">
        <f t="shared" si="7"/>
        <v>79.150000000000006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3" t="s">
        <v>20</v>
      </c>
      <c r="B65" s="84"/>
      <c r="C65" s="16"/>
      <c r="D65" s="43">
        <f t="shared" ref="D65:I65" si="8">SUM(D14:D64)</f>
        <v>1469800</v>
      </c>
      <c r="E65" s="43">
        <f t="shared" si="8"/>
        <v>1226300</v>
      </c>
      <c r="F65" s="43">
        <f t="shared" si="8"/>
        <v>49989</v>
      </c>
      <c r="G65" s="43">
        <f t="shared" si="8"/>
        <v>0</v>
      </c>
      <c r="H65" s="43">
        <f t="shared" si="8"/>
        <v>1276289</v>
      </c>
      <c r="I65" s="43">
        <f t="shared" si="8"/>
        <v>42.284714454676013</v>
      </c>
      <c r="J65" s="51">
        <f>D65-H65</f>
        <v>193511</v>
      </c>
      <c r="K65" s="43">
        <f>SUM(K14:K64)</f>
        <v>63814.450000000004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72" t="s">
        <v>122</v>
      </c>
      <c r="B70" s="78" t="s">
        <v>124</v>
      </c>
      <c r="C70" s="16"/>
      <c r="D70" s="43">
        <v>-4234</v>
      </c>
      <c r="E70" s="43">
        <v>0</v>
      </c>
      <c r="F70" s="44">
        <f t="shared" si="9"/>
        <v>-4234</v>
      </c>
      <c r="G70" s="47"/>
      <c r="H70" s="45">
        <v>-4234</v>
      </c>
      <c r="I70" s="17">
        <f t="shared" si="10"/>
        <v>1</v>
      </c>
      <c r="J70" s="51">
        <f t="shared" si="6"/>
        <v>0</v>
      </c>
      <c r="K70" s="33">
        <f t="shared" si="11"/>
        <v>-211.70000000000002</v>
      </c>
    </row>
    <row r="71" spans="1:11" ht="12" customHeight="1" x14ac:dyDescent="0.25">
      <c r="A71" s="72" t="s">
        <v>123</v>
      </c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1137463</v>
      </c>
      <c r="F86" s="43">
        <f t="shared" si="16"/>
        <v>45755</v>
      </c>
      <c r="G86" s="43">
        <f t="shared" si="16"/>
        <v>0</v>
      </c>
      <c r="H86" s="43">
        <f t="shared" si="16"/>
        <v>1183218</v>
      </c>
      <c r="I86" s="43" t="e">
        <f t="shared" si="16"/>
        <v>#DIV/0!</v>
      </c>
      <c r="J86" s="51">
        <f t="shared" si="6"/>
        <v>193511</v>
      </c>
      <c r="K86" s="43">
        <f>SUM(K65:K85)</f>
        <v>59160.900000000009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2014-03-20T22:47:44Z</dcterms:modified>
</cp:coreProperties>
</file>