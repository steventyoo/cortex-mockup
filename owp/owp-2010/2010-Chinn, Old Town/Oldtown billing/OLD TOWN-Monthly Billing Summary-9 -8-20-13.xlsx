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/>
  <c r="D35" i="1"/>
  <c r="D44" i="1"/>
  <c r="D46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<sst xmlns="http://schemas.openxmlformats.org/spreadsheetml/2006/main" count="43" uniqueCount="42">
  <si>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</si>
  <si>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</si>
  <si>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</si>
  <si>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</si>
  <si>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</si>
  <si>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</si>
  <si>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</si>
  <si>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</si>
  <si>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</si>
  <si>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</si>
  <si>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$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</si>
  <si>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</si>
  <si>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</si>
  <si>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</si>
  <si>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</si>
  <si>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</si>
  <si>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</si>
  <si>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</si>
  <si>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</si>
  <si>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</si>
  <si>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</si>
  <si>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</si>
  <si>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</si>
  <si>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</si>
  <si>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</si>
  <si>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</si>
  <si>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</si>
  <si>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</si>
  <si>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</si>
  <si>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</si>
  <si>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</si>
  <si>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</si>
  <si>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</si>
  <si>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</si>
  <si>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</si>
  <si>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</si>
  <si>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</si>
  <si>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</si>
  <si>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</si>
  <si>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</si>
  <si>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</si>
  <si>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8-1-2013 - 8-31-2013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</si>
</sst>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K41" sqref="K41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16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40</v>
      </c>
      <c r="D6" s="44"/>
      <c r="E6" s="44"/>
      <c r="F6" s="5"/>
      <c r="G6" s="5"/>
      <c r="H6" s="3"/>
      <c r="I6" s="4" t="s">
        <v>1</v>
      </c>
      <c r="J6" s="9">
        <v>41506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39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41</v>
      </c>
      <c r="D12" s="52"/>
      <c r="E12" s="2"/>
      <c r="F12" s="5"/>
      <c r="G12" s="5"/>
      <c r="H12" s="3"/>
      <c r="I12" s="4" t="s">
        <v>12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1469800</v>
      </c>
      <c r="E15" s="1" t="s">
        <v>23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34</v>
      </c>
      <c r="D17" s="7" t="s">
        <v>10</v>
      </c>
      <c r="E17" s="1" t="s">
        <v>24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35</v>
      </c>
      <c r="D19" s="7">
        <v>-88837</v>
      </c>
      <c r="E19" s="1" t="s">
        <v>25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SUM(D15:D22)</f>
        <v>1380963</v>
      </c>
      <c r="E23" s="1" t="s">
        <v>36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558900</v>
      </c>
      <c r="E25" s="1" t="s">
        <v>30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822063</v>
      </c>
      <c r="E27" s="1" t="s">
        <v>37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15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355200</v>
      </c>
      <c r="E33" s="1" t="s">
        <v>38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19</v>
      </c>
      <c r="D35" s="7">
        <f>D33*5%</f>
        <v>17760</v>
      </c>
      <c r="E35" s="1" t="s">
        <v>31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13</v>
      </c>
      <c r="D37" s="33">
        <v>184680</v>
      </c>
      <c r="E37" s="38" t="s">
        <v>33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11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22</v>
      </c>
      <c r="D42" s="7">
        <v>203700</v>
      </c>
      <c r="E42" s="1" t="s">
        <v>26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21</v>
      </c>
      <c r="D44" s="7">
        <f>D42*5%</f>
        <v>10185</v>
      </c>
      <c r="E44" s="1" t="s">
        <v>29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20</v>
      </c>
      <c r="D46" s="33">
        <f>D42-D44</f>
        <v>193515</v>
      </c>
      <c r="E46" s="1" t="s">
        <v>32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18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14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17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27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28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2013-08-15T21:55:53Z</dcterms:modified>
</cp:coreProperties>
</file>