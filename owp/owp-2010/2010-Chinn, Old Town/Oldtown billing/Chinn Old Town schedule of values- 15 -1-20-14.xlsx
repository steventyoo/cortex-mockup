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<sst xmlns="http://schemas.openxmlformats.org/spreadsheetml/2006/main" count="166" uniqueCount="125">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</sst>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7" zoomScaleNormal="100" zoomScaleSheetLayoutView="100" workbookViewId="0">
      <selection activeCell="F24" sqref="F24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14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41659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41670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1" t="s">
        <v>29</v>
      </c>
      <c r="I8" s="82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9" t="s">
        <v>32</v>
      </c>
      <c r="F9" s="80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1186300</v>
      </c>
      <c r="F13" s="41">
        <f>SUM(F14:F64)</f>
        <v>61500</v>
      </c>
      <c r="G13" s="41"/>
      <c r="H13" s="41">
        <f>SUM(H14:H64)</f>
        <v>1247800</v>
      </c>
      <c r="I13" s="12"/>
      <c r="J13" s="48">
        <f>SUM(J14:J64)</f>
        <v>222000</v>
      </c>
      <c r="K13" s="32">
        <f>SUM(K14:K64)</f>
        <v>62390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4800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58500</v>
      </c>
      <c r="F38" s="44">
        <f t="shared" si="0"/>
        <v>9300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10200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54300</v>
      </c>
      <c r="F44" s="44">
        <f t="shared" si="0"/>
        <v>13500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10200</v>
      </c>
      <c r="G49" s="46"/>
      <c r="H49" s="45">
        <v>101700</v>
      </c>
      <c r="I49" s="17">
        <f t="shared" si="1"/>
        <v>1</v>
      </c>
      <c r="J49" s="51">
        <f t="shared" si="2"/>
        <v>0</v>
      </c>
      <c r="K49" s="33">
        <f t="shared" si="3"/>
        <v>5085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13500</v>
      </c>
      <c r="G50" s="46"/>
      <c r="H50" s="45">
        <v>67800</v>
      </c>
      <c r="I50" s="17">
        <f t="shared" si="1"/>
        <v>1</v>
      </c>
      <c r="J50" s="51">
        <f t="shared" si="2"/>
        <v>0</v>
      </c>
      <c r="K50" s="33">
        <f t="shared" si="3"/>
        <v>3390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3" t="s">
        <v>20</v>
      </c>
      <c r="B65" s="84"/>
      <c r="C65" s="16"/>
      <c r="D65" s="43">
        <f t="shared" ref="D65:I65" si="8">SUM(D14:D64)</f>
        <v>1469800</v>
      </c>
      <c r="E65" s="43">
        <f t="shared" si="8"/>
        <v>1186300</v>
      </c>
      <c r="F65" s="43">
        <f t="shared" si="8"/>
        <v>61500</v>
      </c>
      <c r="G65" s="43">
        <f t="shared" si="8"/>
        <v>0</v>
      </c>
      <c r="H65" s="43">
        <f t="shared" si="8"/>
        <v>1247800</v>
      </c>
      <c r="I65" s="43">
        <f t="shared" si="8"/>
        <v>41</v>
      </c>
      <c r="J65" s="51">
        <f>D65-H65</f>
        <v>222000</v>
      </c>
      <c r="K65" s="43">
        <f>SUM(K14:K64)</f>
        <v>62390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78" t="s">
        <v>124</v>
      </c>
      <c r="C70" s="16"/>
      <c r="D70" s="43">
        <v>-4234</v>
      </c>
      <c r="E70" s="43">
        <v>0</v>
      </c>
      <c r="F70" s="44">
        <f t="shared" si="9"/>
        <v>0</v>
      </c>
      <c r="G70" s="47"/>
      <c r="H70" s="45">
        <v>0</v>
      </c>
      <c r="I70" s="17">
        <f t="shared" si="10"/>
        <v>0</v>
      </c>
      <c r="J70" s="51">
        <f t="shared" si="6"/>
        <v>-4234</v>
      </c>
      <c r="K70" s="33">
        <f t="shared" si="11"/>
        <v>0</v>
      </c>
    </row>
    <row r="71" spans="1:11" ht="12" customHeight="1" x14ac:dyDescent="0.25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1097463</v>
      </c>
      <c r="F86" s="43">
        <f t="shared" si="16"/>
        <v>61500</v>
      </c>
      <c r="G86" s="43">
        <f t="shared" si="16"/>
        <v>0</v>
      </c>
      <c r="H86" s="43">
        <f t="shared" si="16"/>
        <v>1158963</v>
      </c>
      <c r="I86" s="43" t="e">
        <f t="shared" si="16"/>
        <v>#DIV/0!</v>
      </c>
      <c r="J86" s="51">
        <f t="shared" si="6"/>
        <v>217766</v>
      </c>
      <c r="K86" s="43">
        <f>SUM(K65:K85)</f>
        <v>57948.15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2014-01-16T16:27:46Z</dcterms:modified>
</cp:coreProperties>
</file>