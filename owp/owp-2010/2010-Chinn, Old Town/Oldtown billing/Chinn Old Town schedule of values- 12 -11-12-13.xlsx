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F21" i="6" l="1"/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65" i="6" l="1"/>
  <c r="I86" i="6" s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<sst xmlns="http://schemas.openxmlformats.org/spreadsheetml/2006/main" count="163" uniqueCount="122">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</sst>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0" fontId="12" fillId="0" borderId="7" xfId="3" quotePrefix="1" applyFont="1" applyFill="1" applyBorder="1" applyAlignment="1">
      <alignment horizontal="center"/>
    </xf>
    <xf numFmtId="4" fontId="4" fillId="0" borderId="0" xfId="3" applyNumberFormat="1" applyFont="1"/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Layout" zoomScaleNormal="100" zoomScaleSheetLayoutView="100" workbookViewId="0">
      <selection activeCell="H32" sqref="H32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7" customWidth="1"/>
    <col min="5" max="5" width="15" style="27" customWidth="1"/>
    <col min="6" max="6" width="13.44140625" style="27" customWidth="1"/>
    <col min="7" max="7" width="6.33203125" style="27" customWidth="1"/>
    <col min="8" max="8" width="19" style="27" customWidth="1"/>
    <col min="9" max="9" width="14.44140625" style="1" customWidth="1"/>
    <col min="10" max="10" width="20" style="27" customWidth="1"/>
    <col min="11" max="11" width="16.5546875" style="27" customWidth="1"/>
    <col min="12" max="16384" width="9.109375" style="1"/>
  </cols>
  <sheetData>
    <row r="1" spans="1:11" ht="49.5" customHeight="1" thickBot="1" x14ac:dyDescent="0.45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2.8" x14ac:dyDescent="0.4">
      <c r="A2" s="52" t="s">
        <v>39</v>
      </c>
      <c r="I2" s="2"/>
    </row>
    <row r="3" spans="1:11" x14ac:dyDescent="0.25">
      <c r="A3" s="3" t="s">
        <v>44</v>
      </c>
      <c r="B3" s="1" t="s">
        <v>50</v>
      </c>
      <c r="F3" s="34" t="s">
        <v>7</v>
      </c>
      <c r="G3" s="34"/>
      <c r="H3" s="69">
        <v>12</v>
      </c>
      <c r="I3" s="2"/>
      <c r="J3" s="49"/>
    </row>
    <row r="4" spans="1:11" x14ac:dyDescent="0.25">
      <c r="A4" s="3" t="s">
        <v>43</v>
      </c>
      <c r="B4" s="1" t="s">
        <v>51</v>
      </c>
      <c r="F4" s="34" t="s">
        <v>22</v>
      </c>
      <c r="G4" s="34"/>
      <c r="H4" s="70">
        <v>41590</v>
      </c>
      <c r="I4" s="2"/>
      <c r="J4" s="49"/>
    </row>
    <row r="5" spans="1:11" x14ac:dyDescent="0.25">
      <c r="A5" s="3" t="s">
        <v>8</v>
      </c>
      <c r="E5" s="27" t="s">
        <v>9</v>
      </c>
      <c r="F5" s="34" t="s">
        <v>0</v>
      </c>
      <c r="G5" s="34"/>
      <c r="H5" s="70">
        <v>41598</v>
      </c>
      <c r="I5" s="2"/>
    </row>
    <row r="6" spans="1:11" x14ac:dyDescent="0.25">
      <c r="A6" s="3"/>
      <c r="F6" s="34"/>
      <c r="G6" s="34"/>
      <c r="I6" s="2"/>
    </row>
    <row r="7" spans="1:11" ht="13.8" thickBot="1" x14ac:dyDescent="0.3">
      <c r="A7" s="3"/>
      <c r="I7" s="2"/>
    </row>
    <row r="8" spans="1:11" ht="14.4" thickTop="1" thickBot="1" x14ac:dyDescent="0.3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80" t="s">
        <v>29</v>
      </c>
      <c r="I8" s="81"/>
      <c r="J8" s="59" t="s">
        <v>30</v>
      </c>
      <c r="K8" s="59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5" t="s">
        <v>12</v>
      </c>
      <c r="E9" s="78" t="s">
        <v>32</v>
      </c>
      <c r="F9" s="79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5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8" thickBot="1" x14ac:dyDescent="0.3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5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3.8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1085034</v>
      </c>
      <c r="F13" s="41">
        <f>SUM(F14:F64)</f>
        <v>60700</v>
      </c>
      <c r="G13" s="41"/>
      <c r="H13" s="41">
        <f>SUM(H14:H64)</f>
        <v>1145734</v>
      </c>
      <c r="I13" s="12"/>
      <c r="J13" s="48">
        <f>SUM(J14:J64)</f>
        <v>324066</v>
      </c>
      <c r="K13" s="32">
        <f>SUM(K14:K64)</f>
        <v>57286.699999999983</v>
      </c>
    </row>
    <row r="14" spans="1:11" ht="13.8" x14ac:dyDescent="0.3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8" x14ac:dyDescent="0.3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8" x14ac:dyDescent="0.3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8" x14ac:dyDescent="0.3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8" x14ac:dyDescent="0.3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8" x14ac:dyDescent="0.3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8" x14ac:dyDescent="0.3">
      <c r="A20" s="66" t="s">
        <v>87</v>
      </c>
      <c r="B20" s="67" t="s">
        <v>92</v>
      </c>
      <c r="C20" s="16" t="s">
        <v>37</v>
      </c>
      <c r="D20" s="43">
        <v>28700</v>
      </c>
      <c r="E20" s="43">
        <v>28700</v>
      </c>
      <c r="F20" s="44">
        <f t="shared" si="0"/>
        <v>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8" x14ac:dyDescent="0.3">
      <c r="A21" s="66" t="s">
        <v>88</v>
      </c>
      <c r="B21" s="67" t="s">
        <v>93</v>
      </c>
      <c r="C21" s="16" t="s">
        <v>37</v>
      </c>
      <c r="D21" s="43">
        <v>36800</v>
      </c>
      <c r="E21" s="43">
        <v>36800</v>
      </c>
      <c r="F21" s="44">
        <f t="shared" si="0"/>
        <v>0</v>
      </c>
      <c r="G21" s="46"/>
      <c r="H21" s="45">
        <v>36800</v>
      </c>
      <c r="I21" s="17">
        <f t="shared" si="1"/>
        <v>1</v>
      </c>
      <c r="J21" s="51">
        <f t="shared" si="2"/>
        <v>0</v>
      </c>
      <c r="K21" s="33">
        <f t="shared" si="3"/>
        <v>1840</v>
      </c>
    </row>
    <row r="22" spans="1:11" ht="13.8" x14ac:dyDescent="0.3">
      <c r="A22" s="66" t="s">
        <v>89</v>
      </c>
      <c r="B22" s="67" t="s">
        <v>116</v>
      </c>
      <c r="C22" s="16" t="s">
        <v>37</v>
      </c>
      <c r="D22" s="43">
        <v>138500</v>
      </c>
      <c r="E22" s="43">
        <v>138500</v>
      </c>
      <c r="F22" s="44">
        <f t="shared" si="0"/>
        <v>0</v>
      </c>
      <c r="G22" s="46"/>
      <c r="H22" s="45">
        <v>138500</v>
      </c>
      <c r="I22" s="17">
        <f t="shared" si="1"/>
        <v>1</v>
      </c>
      <c r="J22" s="51">
        <f t="shared" si="2"/>
        <v>0</v>
      </c>
      <c r="K22" s="33">
        <f t="shared" si="3"/>
        <v>6925</v>
      </c>
    </row>
    <row r="23" spans="1:11" ht="13.8" x14ac:dyDescent="0.3">
      <c r="A23" s="66" t="s">
        <v>90</v>
      </c>
      <c r="B23" s="67" t="s">
        <v>115</v>
      </c>
      <c r="C23" s="16"/>
      <c r="D23" s="43">
        <v>16400</v>
      </c>
      <c r="E23" s="43">
        <v>0</v>
      </c>
      <c r="F23" s="44">
        <f t="shared" si="0"/>
        <v>0</v>
      </c>
      <c r="G23" s="46"/>
      <c r="H23" s="45">
        <v>0</v>
      </c>
      <c r="I23" s="17">
        <f t="shared" si="1"/>
        <v>0</v>
      </c>
      <c r="J23" s="51">
        <f t="shared" si="2"/>
        <v>16400</v>
      </c>
      <c r="K23" s="33">
        <f t="shared" si="3"/>
        <v>0</v>
      </c>
    </row>
    <row r="24" spans="1:11" ht="13.8" x14ac:dyDescent="0.3">
      <c r="A24" s="66" t="s">
        <v>90</v>
      </c>
      <c r="B24" s="67" t="s">
        <v>91</v>
      </c>
      <c r="C24" s="16" t="s">
        <v>37</v>
      </c>
      <c r="D24" s="43">
        <v>4800</v>
      </c>
      <c r="E24" s="43">
        <v>0</v>
      </c>
      <c r="F24" s="44">
        <f t="shared" si="0"/>
        <v>0</v>
      </c>
      <c r="G24" s="46"/>
      <c r="H24" s="45">
        <v>0</v>
      </c>
      <c r="I24" s="17">
        <f t="shared" si="1"/>
        <v>0</v>
      </c>
      <c r="J24" s="51">
        <f t="shared" si="2"/>
        <v>4800</v>
      </c>
      <c r="K24" s="33">
        <f t="shared" si="3"/>
        <v>0</v>
      </c>
    </row>
    <row r="25" spans="1:11" ht="13.8" x14ac:dyDescent="0.3">
      <c r="A25" s="66" t="s">
        <v>52</v>
      </c>
      <c r="B25" s="67" t="s">
        <v>72</v>
      </c>
      <c r="C25" s="16"/>
      <c r="D25" s="43">
        <v>101600</v>
      </c>
      <c r="E25" s="43">
        <v>91400</v>
      </c>
      <c r="F25" s="44">
        <f t="shared" si="0"/>
        <v>10200</v>
      </c>
      <c r="G25" s="46"/>
      <c r="H25" s="45">
        <v>101600</v>
      </c>
      <c r="I25" s="17">
        <f t="shared" si="1"/>
        <v>1</v>
      </c>
      <c r="J25" s="51">
        <f t="shared" si="2"/>
        <v>0</v>
      </c>
      <c r="K25" s="33">
        <f t="shared" si="3"/>
        <v>5080</v>
      </c>
    </row>
    <row r="26" spans="1:11" ht="13.8" x14ac:dyDescent="0.3">
      <c r="A26" s="66" t="s">
        <v>53</v>
      </c>
      <c r="B26" s="67" t="s">
        <v>73</v>
      </c>
      <c r="C26" s="16"/>
      <c r="D26" s="43">
        <v>67800</v>
      </c>
      <c r="E26" s="43">
        <v>54300</v>
      </c>
      <c r="F26" s="44">
        <f t="shared" si="0"/>
        <v>13500</v>
      </c>
      <c r="G26" s="46"/>
      <c r="H26" s="45">
        <v>67800</v>
      </c>
      <c r="I26" s="17">
        <f t="shared" si="1"/>
        <v>1</v>
      </c>
      <c r="J26" s="51">
        <f t="shared" si="2"/>
        <v>0</v>
      </c>
      <c r="K26" s="33">
        <f t="shared" si="3"/>
        <v>3390</v>
      </c>
    </row>
    <row r="27" spans="1:11" ht="13.8" x14ac:dyDescent="0.3">
      <c r="A27" s="66" t="s">
        <v>52</v>
      </c>
      <c r="B27" s="67" t="s">
        <v>112</v>
      </c>
      <c r="C27" s="16"/>
      <c r="D27" s="43">
        <v>4600</v>
      </c>
      <c r="E27" s="43">
        <v>3406</v>
      </c>
      <c r="F27" s="44">
        <f t="shared" si="0"/>
        <v>0</v>
      </c>
      <c r="G27" s="46"/>
      <c r="H27" s="45">
        <v>3406</v>
      </c>
      <c r="I27" s="17">
        <f t="shared" si="1"/>
        <v>0.74043478260869566</v>
      </c>
      <c r="J27" s="51">
        <f t="shared" si="2"/>
        <v>1194</v>
      </c>
      <c r="K27" s="33">
        <f t="shared" si="3"/>
        <v>170.3</v>
      </c>
    </row>
    <row r="28" spans="1:11" ht="13.8" x14ac:dyDescent="0.3">
      <c r="A28" s="66" t="s">
        <v>53</v>
      </c>
      <c r="B28" s="67" t="s">
        <v>111</v>
      </c>
      <c r="C28" s="16"/>
      <c r="D28" s="43">
        <v>2800</v>
      </c>
      <c r="E28" s="43">
        <v>2044</v>
      </c>
      <c r="F28" s="44">
        <f t="shared" si="0"/>
        <v>0</v>
      </c>
      <c r="G28" s="46"/>
      <c r="H28" s="45">
        <v>2044</v>
      </c>
      <c r="I28" s="17">
        <f t="shared" si="1"/>
        <v>0.73</v>
      </c>
      <c r="J28" s="51">
        <f t="shared" si="2"/>
        <v>756</v>
      </c>
      <c r="K28" s="33">
        <f t="shared" si="3"/>
        <v>102.2</v>
      </c>
    </row>
    <row r="29" spans="1:11" ht="13.8" x14ac:dyDescent="0.3">
      <c r="A29" s="66" t="s">
        <v>52</v>
      </c>
      <c r="B29" s="67" t="s">
        <v>113</v>
      </c>
      <c r="C29" s="16"/>
      <c r="D29" s="43">
        <v>1500</v>
      </c>
      <c r="E29" s="43">
        <v>0</v>
      </c>
      <c r="F29" s="44">
        <f t="shared" si="0"/>
        <v>0</v>
      </c>
      <c r="G29" s="46"/>
      <c r="H29" s="45">
        <v>0</v>
      </c>
      <c r="I29" s="17">
        <f t="shared" si="1"/>
        <v>0</v>
      </c>
      <c r="J29" s="51">
        <f t="shared" si="2"/>
        <v>1500</v>
      </c>
      <c r="K29" s="33">
        <f t="shared" si="3"/>
        <v>0</v>
      </c>
    </row>
    <row r="30" spans="1:11" ht="13.8" x14ac:dyDescent="0.3">
      <c r="A30" s="66" t="s">
        <v>53</v>
      </c>
      <c r="B30" s="67" t="s">
        <v>114</v>
      </c>
      <c r="C30" s="16"/>
      <c r="D30" s="43">
        <v>900</v>
      </c>
      <c r="E30" s="43">
        <v>0</v>
      </c>
      <c r="F30" s="44">
        <f t="shared" si="0"/>
        <v>0</v>
      </c>
      <c r="G30" s="46"/>
      <c r="H30" s="45">
        <v>0</v>
      </c>
      <c r="I30" s="17">
        <f t="shared" si="1"/>
        <v>0</v>
      </c>
      <c r="J30" s="51">
        <f t="shared" si="2"/>
        <v>900</v>
      </c>
      <c r="K30" s="33">
        <f t="shared" si="3"/>
        <v>0</v>
      </c>
    </row>
    <row r="31" spans="1:11" ht="13.8" x14ac:dyDescent="0.3">
      <c r="A31" s="66" t="s">
        <v>54</v>
      </c>
      <c r="B31" s="67" t="s">
        <v>74</v>
      </c>
      <c r="C31" s="16"/>
      <c r="D31" s="43">
        <v>101700</v>
      </c>
      <c r="E31" s="43">
        <v>91500</v>
      </c>
      <c r="F31" s="44">
        <f t="shared" si="0"/>
        <v>10200</v>
      </c>
      <c r="G31" s="46"/>
      <c r="H31" s="45">
        <v>101700</v>
      </c>
      <c r="I31" s="17">
        <f t="shared" si="1"/>
        <v>1</v>
      </c>
      <c r="J31" s="51">
        <f t="shared" si="2"/>
        <v>0</v>
      </c>
      <c r="K31" s="33">
        <f t="shared" si="3"/>
        <v>5085</v>
      </c>
    </row>
    <row r="32" spans="1:11" ht="13.8" x14ac:dyDescent="0.3">
      <c r="A32" s="66" t="s">
        <v>55</v>
      </c>
      <c r="B32" s="67" t="s">
        <v>75</v>
      </c>
      <c r="C32" s="16"/>
      <c r="D32" s="43">
        <v>67800</v>
      </c>
      <c r="E32" s="43">
        <v>54300</v>
      </c>
      <c r="F32" s="44">
        <f t="shared" si="0"/>
        <v>6700</v>
      </c>
      <c r="G32" s="46"/>
      <c r="H32" s="45">
        <v>61000</v>
      </c>
      <c r="I32" s="17">
        <f t="shared" si="1"/>
        <v>0.89970501474926257</v>
      </c>
      <c r="J32" s="51">
        <f t="shared" si="2"/>
        <v>6800</v>
      </c>
      <c r="K32" s="33">
        <f t="shared" si="3"/>
        <v>3050</v>
      </c>
    </row>
    <row r="33" spans="1:11" ht="13.8" x14ac:dyDescent="0.3">
      <c r="A33" s="66" t="s">
        <v>54</v>
      </c>
      <c r="B33" s="67" t="s">
        <v>110</v>
      </c>
      <c r="C33" s="16"/>
      <c r="D33" s="43">
        <v>5000</v>
      </c>
      <c r="E33" s="43">
        <v>3577</v>
      </c>
      <c r="F33" s="44">
        <f t="shared" si="0"/>
        <v>0</v>
      </c>
      <c r="G33" s="46"/>
      <c r="H33" s="45">
        <v>3577</v>
      </c>
      <c r="I33" s="17">
        <f t="shared" si="1"/>
        <v>0.71540000000000004</v>
      </c>
      <c r="J33" s="51">
        <f t="shared" si="2"/>
        <v>1423</v>
      </c>
      <c r="K33" s="33">
        <f t="shared" si="3"/>
        <v>178.85000000000002</v>
      </c>
    </row>
    <row r="34" spans="1:11" ht="13.8" x14ac:dyDescent="0.3">
      <c r="A34" s="66" t="s">
        <v>55</v>
      </c>
      <c r="B34" s="67" t="s">
        <v>109</v>
      </c>
      <c r="C34" s="67" t="s">
        <v>45</v>
      </c>
      <c r="D34" s="43">
        <v>2800</v>
      </c>
      <c r="E34" s="43">
        <v>2044</v>
      </c>
      <c r="F34" s="44">
        <f t="shared" si="0"/>
        <v>0</v>
      </c>
      <c r="G34" s="46"/>
      <c r="H34" s="45">
        <v>2044</v>
      </c>
      <c r="I34" s="17">
        <f t="shared" si="1"/>
        <v>0.73</v>
      </c>
      <c r="J34" s="51">
        <f t="shared" si="2"/>
        <v>756</v>
      </c>
      <c r="K34" s="33">
        <f t="shared" si="3"/>
        <v>102.2</v>
      </c>
    </row>
    <row r="35" spans="1:11" ht="13.8" x14ac:dyDescent="0.3">
      <c r="A35" s="66" t="s">
        <v>54</v>
      </c>
      <c r="B35" s="67" t="s">
        <v>108</v>
      </c>
      <c r="C35" s="16"/>
      <c r="D35" s="43">
        <v>1600</v>
      </c>
      <c r="E35" s="43">
        <v>0</v>
      </c>
      <c r="F35" s="44">
        <f t="shared" si="0"/>
        <v>0</v>
      </c>
      <c r="G35" s="46"/>
      <c r="H35" s="45">
        <v>0</v>
      </c>
      <c r="I35" s="17">
        <f t="shared" si="1"/>
        <v>0</v>
      </c>
      <c r="J35" s="51">
        <f t="shared" si="2"/>
        <v>1600</v>
      </c>
      <c r="K35" s="33">
        <f t="shared" si="3"/>
        <v>0</v>
      </c>
    </row>
    <row r="36" spans="1:11" ht="13.8" x14ac:dyDescent="0.3">
      <c r="A36" s="66" t="s">
        <v>55</v>
      </c>
      <c r="B36" s="67" t="s">
        <v>107</v>
      </c>
      <c r="C36" s="16"/>
      <c r="D36" s="43">
        <v>900</v>
      </c>
      <c r="E36" s="43">
        <v>0</v>
      </c>
      <c r="F36" s="44">
        <f t="shared" si="0"/>
        <v>0</v>
      </c>
      <c r="G36" s="46"/>
      <c r="H36" s="45">
        <v>0</v>
      </c>
      <c r="I36" s="17">
        <f t="shared" si="1"/>
        <v>0</v>
      </c>
      <c r="J36" s="51">
        <f t="shared" si="2"/>
        <v>900</v>
      </c>
      <c r="K36" s="33">
        <f t="shared" si="3"/>
        <v>0</v>
      </c>
    </row>
    <row r="37" spans="1:11" ht="13.8" x14ac:dyDescent="0.3">
      <c r="A37" s="66" t="s">
        <v>56</v>
      </c>
      <c r="B37" s="67" t="s">
        <v>76</v>
      </c>
      <c r="C37" s="16"/>
      <c r="D37" s="43">
        <v>101700</v>
      </c>
      <c r="E37" s="43">
        <v>91500</v>
      </c>
      <c r="F37" s="44">
        <f t="shared" si="0"/>
        <v>0</v>
      </c>
      <c r="G37" s="46"/>
      <c r="H37" s="45">
        <v>91500</v>
      </c>
      <c r="I37" s="17">
        <f t="shared" si="1"/>
        <v>0.89970501474926257</v>
      </c>
      <c r="J37" s="51">
        <f t="shared" si="2"/>
        <v>10200</v>
      </c>
      <c r="K37" s="33">
        <f t="shared" si="3"/>
        <v>4575</v>
      </c>
    </row>
    <row r="38" spans="1:11" ht="13.8" x14ac:dyDescent="0.3">
      <c r="A38" s="66" t="s">
        <v>57</v>
      </c>
      <c r="B38" s="67" t="s">
        <v>77</v>
      </c>
      <c r="C38" s="16"/>
      <c r="D38" s="43">
        <v>67800</v>
      </c>
      <c r="E38" s="43">
        <v>54300</v>
      </c>
      <c r="F38" s="44">
        <f t="shared" si="0"/>
        <v>6700</v>
      </c>
      <c r="G38" s="46"/>
      <c r="H38" s="45">
        <v>61000</v>
      </c>
      <c r="I38" s="17">
        <f t="shared" si="1"/>
        <v>0.89970501474926257</v>
      </c>
      <c r="J38" s="51">
        <f t="shared" si="2"/>
        <v>6800</v>
      </c>
      <c r="K38" s="33">
        <f t="shared" si="3"/>
        <v>3050</v>
      </c>
    </row>
    <row r="39" spans="1:11" ht="13.8" x14ac:dyDescent="0.3">
      <c r="A39" s="66" t="s">
        <v>56</v>
      </c>
      <c r="B39" s="67" t="s">
        <v>102</v>
      </c>
      <c r="C39" s="16"/>
      <c r="D39" s="43">
        <v>5000</v>
      </c>
      <c r="E39" s="43">
        <v>3577</v>
      </c>
      <c r="F39" s="44">
        <f t="shared" si="0"/>
        <v>0</v>
      </c>
      <c r="G39" s="46"/>
      <c r="H39" s="45">
        <v>3577</v>
      </c>
      <c r="I39" s="17">
        <f t="shared" si="1"/>
        <v>0.71540000000000004</v>
      </c>
      <c r="J39" s="51">
        <f t="shared" si="2"/>
        <v>1423</v>
      </c>
      <c r="K39" s="33">
        <f t="shared" si="3"/>
        <v>178.85000000000002</v>
      </c>
    </row>
    <row r="40" spans="1:11" ht="13.8" x14ac:dyDescent="0.3">
      <c r="A40" s="66" t="s">
        <v>57</v>
      </c>
      <c r="B40" s="67" t="s">
        <v>101</v>
      </c>
      <c r="C40" s="16"/>
      <c r="D40" s="43">
        <v>2800</v>
      </c>
      <c r="E40" s="43">
        <v>2044</v>
      </c>
      <c r="F40" s="44">
        <f t="shared" si="0"/>
        <v>0</v>
      </c>
      <c r="G40" s="46"/>
      <c r="H40" s="45">
        <v>2044</v>
      </c>
      <c r="I40" s="17">
        <f t="shared" si="1"/>
        <v>0.73</v>
      </c>
      <c r="J40" s="51">
        <f t="shared" si="2"/>
        <v>756</v>
      </c>
      <c r="K40" s="33">
        <f t="shared" si="3"/>
        <v>102.2</v>
      </c>
    </row>
    <row r="41" spans="1:11" ht="13.8" x14ac:dyDescent="0.3">
      <c r="A41" s="66" t="s">
        <v>56</v>
      </c>
      <c r="B41" s="67" t="s">
        <v>103</v>
      </c>
      <c r="C41" s="16"/>
      <c r="D41" s="43">
        <v>1600</v>
      </c>
      <c r="E41" s="43">
        <v>0</v>
      </c>
      <c r="F41" s="44">
        <f t="shared" si="0"/>
        <v>0</v>
      </c>
      <c r="G41" s="46"/>
      <c r="H41" s="45">
        <v>0</v>
      </c>
      <c r="I41" s="17">
        <f t="shared" si="1"/>
        <v>0</v>
      </c>
      <c r="J41" s="51">
        <f t="shared" si="2"/>
        <v>1600</v>
      </c>
      <c r="K41" s="33">
        <f t="shared" si="3"/>
        <v>0</v>
      </c>
    </row>
    <row r="42" spans="1:11" ht="13.8" x14ac:dyDescent="0.3">
      <c r="A42" s="66" t="s">
        <v>57</v>
      </c>
      <c r="B42" s="67" t="s">
        <v>104</v>
      </c>
      <c r="C42" s="16"/>
      <c r="D42" s="43">
        <v>900</v>
      </c>
      <c r="E42" s="43">
        <v>0</v>
      </c>
      <c r="F42" s="44">
        <f t="shared" si="0"/>
        <v>0</v>
      </c>
      <c r="G42" s="46"/>
      <c r="H42" s="45">
        <v>0</v>
      </c>
      <c r="I42" s="17">
        <f t="shared" si="1"/>
        <v>0</v>
      </c>
      <c r="J42" s="51">
        <f t="shared" si="2"/>
        <v>900</v>
      </c>
      <c r="K42" s="33">
        <f t="shared" si="3"/>
        <v>0</v>
      </c>
    </row>
    <row r="43" spans="1:11" ht="13.8" x14ac:dyDescent="0.3">
      <c r="A43" s="66" t="s">
        <v>58</v>
      </c>
      <c r="B43" s="67" t="s">
        <v>78</v>
      </c>
      <c r="C43" s="16"/>
      <c r="D43" s="43">
        <v>101700</v>
      </c>
      <c r="E43" s="43">
        <v>91500</v>
      </c>
      <c r="F43" s="44">
        <f t="shared" si="0"/>
        <v>0</v>
      </c>
      <c r="G43" s="46"/>
      <c r="H43" s="45">
        <v>91500</v>
      </c>
      <c r="I43" s="17">
        <f t="shared" si="1"/>
        <v>0.89970501474926257</v>
      </c>
      <c r="J43" s="51">
        <f t="shared" si="2"/>
        <v>10200</v>
      </c>
      <c r="K43" s="33">
        <f t="shared" si="3"/>
        <v>4575</v>
      </c>
    </row>
    <row r="44" spans="1:11" ht="13.8" x14ac:dyDescent="0.3">
      <c r="A44" s="66" t="s">
        <v>59</v>
      </c>
      <c r="B44" s="67" t="s">
        <v>79</v>
      </c>
      <c r="C44" s="16"/>
      <c r="D44" s="43">
        <v>67800</v>
      </c>
      <c r="E44" s="43">
        <v>54300</v>
      </c>
      <c r="F44" s="44">
        <f t="shared" si="0"/>
        <v>6700</v>
      </c>
      <c r="G44" s="46"/>
      <c r="H44" s="45">
        <v>61000</v>
      </c>
      <c r="I44" s="17">
        <f t="shared" si="1"/>
        <v>0.89970501474926257</v>
      </c>
      <c r="J44" s="51">
        <f t="shared" si="2"/>
        <v>6800</v>
      </c>
      <c r="K44" s="33">
        <f t="shared" si="3"/>
        <v>3050</v>
      </c>
    </row>
    <row r="45" spans="1:11" ht="13.8" x14ac:dyDescent="0.3">
      <c r="A45" s="66" t="s">
        <v>58</v>
      </c>
      <c r="B45" s="67" t="s">
        <v>100</v>
      </c>
      <c r="C45" s="16"/>
      <c r="D45" s="43">
        <v>5000</v>
      </c>
      <c r="E45" s="43">
        <v>3577</v>
      </c>
      <c r="F45" s="44">
        <f t="shared" si="0"/>
        <v>0</v>
      </c>
      <c r="G45" s="46"/>
      <c r="H45" s="45">
        <v>3577</v>
      </c>
      <c r="I45" s="17">
        <f t="shared" si="1"/>
        <v>0.71540000000000004</v>
      </c>
      <c r="J45" s="51">
        <f t="shared" si="2"/>
        <v>1423</v>
      </c>
      <c r="K45" s="33">
        <f t="shared" si="3"/>
        <v>178.85000000000002</v>
      </c>
    </row>
    <row r="46" spans="1:11" ht="13.8" x14ac:dyDescent="0.3">
      <c r="A46" s="66" t="s">
        <v>59</v>
      </c>
      <c r="B46" s="67" t="s">
        <v>99</v>
      </c>
      <c r="C46" s="16"/>
      <c r="D46" s="43">
        <v>2800</v>
      </c>
      <c r="E46" s="43">
        <v>2044</v>
      </c>
      <c r="F46" s="44">
        <f t="shared" si="0"/>
        <v>0</v>
      </c>
      <c r="G46" s="46"/>
      <c r="H46" s="45">
        <v>2044</v>
      </c>
      <c r="I46" s="17">
        <f t="shared" si="1"/>
        <v>0.73</v>
      </c>
      <c r="J46" s="51">
        <f t="shared" si="2"/>
        <v>756</v>
      </c>
      <c r="K46" s="33">
        <f t="shared" si="3"/>
        <v>102.2</v>
      </c>
    </row>
    <row r="47" spans="1:11" ht="13.8" x14ac:dyDescent="0.3">
      <c r="A47" s="66" t="s">
        <v>58</v>
      </c>
      <c r="B47" s="67" t="s">
        <v>98</v>
      </c>
      <c r="C47" s="16"/>
      <c r="D47" s="43">
        <v>1600</v>
      </c>
      <c r="E47" s="43">
        <v>0</v>
      </c>
      <c r="F47" s="44">
        <f t="shared" si="0"/>
        <v>0</v>
      </c>
      <c r="G47" s="46"/>
      <c r="H47" s="45">
        <v>0</v>
      </c>
      <c r="I47" s="17">
        <f t="shared" si="1"/>
        <v>0</v>
      </c>
      <c r="J47" s="51">
        <f t="shared" si="2"/>
        <v>1600</v>
      </c>
      <c r="K47" s="33">
        <f t="shared" si="3"/>
        <v>0</v>
      </c>
    </row>
    <row r="48" spans="1:11" ht="13.8" x14ac:dyDescent="0.3">
      <c r="A48" s="66" t="s">
        <v>59</v>
      </c>
      <c r="B48" s="67" t="s">
        <v>97</v>
      </c>
      <c r="C48" s="16"/>
      <c r="D48" s="43">
        <v>900</v>
      </c>
      <c r="E48" s="43">
        <v>0</v>
      </c>
      <c r="F48" s="44">
        <f t="shared" si="0"/>
        <v>0</v>
      </c>
      <c r="G48" s="46"/>
      <c r="H48" s="45">
        <v>0</v>
      </c>
      <c r="I48" s="17">
        <f t="shared" si="1"/>
        <v>0</v>
      </c>
      <c r="J48" s="51">
        <f t="shared" si="2"/>
        <v>900</v>
      </c>
      <c r="K48" s="33">
        <f t="shared" si="3"/>
        <v>0</v>
      </c>
    </row>
    <row r="49" spans="1:11" ht="13.8" x14ac:dyDescent="0.3">
      <c r="A49" s="66" t="s">
        <v>60</v>
      </c>
      <c r="B49" s="67" t="s">
        <v>80</v>
      </c>
      <c r="C49" s="16"/>
      <c r="D49" s="43">
        <v>101700</v>
      </c>
      <c r="E49" s="43">
        <v>91500</v>
      </c>
      <c r="F49" s="44">
        <f t="shared" si="0"/>
        <v>0</v>
      </c>
      <c r="G49" s="46"/>
      <c r="H49" s="45">
        <v>91500</v>
      </c>
      <c r="I49" s="17">
        <f t="shared" si="1"/>
        <v>0.89970501474926257</v>
      </c>
      <c r="J49" s="51">
        <f t="shared" si="2"/>
        <v>10200</v>
      </c>
      <c r="K49" s="33">
        <f t="shared" si="3"/>
        <v>4575</v>
      </c>
    </row>
    <row r="50" spans="1:11" ht="13.8" x14ac:dyDescent="0.3">
      <c r="A50" s="66" t="s">
        <v>61</v>
      </c>
      <c r="B50" s="67" t="s">
        <v>94</v>
      </c>
      <c r="C50" s="16"/>
      <c r="D50" s="43">
        <v>67800</v>
      </c>
      <c r="E50" s="43">
        <v>54300</v>
      </c>
      <c r="F50" s="44">
        <f t="shared" si="0"/>
        <v>6700</v>
      </c>
      <c r="G50" s="46"/>
      <c r="H50" s="45">
        <v>61000</v>
      </c>
      <c r="I50" s="17">
        <f t="shared" si="1"/>
        <v>0.89970501474926257</v>
      </c>
      <c r="J50" s="51">
        <f t="shared" si="2"/>
        <v>6800</v>
      </c>
      <c r="K50" s="33">
        <f t="shared" si="3"/>
        <v>3050</v>
      </c>
    </row>
    <row r="51" spans="1:11" ht="13.8" x14ac:dyDescent="0.3">
      <c r="A51" s="66" t="s">
        <v>60</v>
      </c>
      <c r="B51" s="67" t="s">
        <v>96</v>
      </c>
      <c r="C51" s="16"/>
      <c r="D51" s="43">
        <v>5000</v>
      </c>
      <c r="E51" s="43">
        <v>3577</v>
      </c>
      <c r="F51" s="44">
        <f t="shared" si="0"/>
        <v>0</v>
      </c>
      <c r="G51" s="46"/>
      <c r="H51" s="45">
        <v>3577</v>
      </c>
      <c r="I51" s="17">
        <f t="shared" si="1"/>
        <v>0.71540000000000004</v>
      </c>
      <c r="J51" s="51">
        <f t="shared" si="2"/>
        <v>1423</v>
      </c>
      <c r="K51" s="33">
        <f t="shared" si="3"/>
        <v>178.85000000000002</v>
      </c>
    </row>
    <row r="52" spans="1:11" ht="13.8" x14ac:dyDescent="0.3">
      <c r="A52" s="66" t="s">
        <v>61</v>
      </c>
      <c r="B52" s="67" t="s">
        <v>95</v>
      </c>
      <c r="C52" s="16"/>
      <c r="D52" s="43">
        <v>2800</v>
      </c>
      <c r="E52" s="43">
        <v>2044</v>
      </c>
      <c r="F52" s="44">
        <f t="shared" si="0"/>
        <v>0</v>
      </c>
      <c r="G52" s="46"/>
      <c r="H52" s="45">
        <v>2044</v>
      </c>
      <c r="I52" s="17">
        <f t="shared" si="1"/>
        <v>0.73</v>
      </c>
      <c r="J52" s="51">
        <f t="shared" si="2"/>
        <v>756</v>
      </c>
      <c r="K52" s="33">
        <f t="shared" si="3"/>
        <v>102.2</v>
      </c>
    </row>
    <row r="53" spans="1:11" ht="13.8" x14ac:dyDescent="0.3">
      <c r="A53" s="66" t="s">
        <v>60</v>
      </c>
      <c r="B53" s="67" t="s">
        <v>105</v>
      </c>
      <c r="C53" s="16"/>
      <c r="D53" s="43">
        <v>1600</v>
      </c>
      <c r="E53" s="43">
        <v>0</v>
      </c>
      <c r="F53" s="44">
        <f t="shared" si="0"/>
        <v>0</v>
      </c>
      <c r="G53" s="46"/>
      <c r="H53" s="45">
        <v>0</v>
      </c>
      <c r="I53" s="17">
        <f t="shared" si="1"/>
        <v>0</v>
      </c>
      <c r="J53" s="51">
        <f t="shared" si="2"/>
        <v>1600</v>
      </c>
      <c r="K53" s="33">
        <f t="shared" si="3"/>
        <v>0</v>
      </c>
    </row>
    <row r="54" spans="1:11" ht="13.8" x14ac:dyDescent="0.3">
      <c r="A54" s="66" t="s">
        <v>61</v>
      </c>
      <c r="B54" s="67" t="s">
        <v>106</v>
      </c>
      <c r="C54" s="16"/>
      <c r="D54" s="43">
        <v>900</v>
      </c>
      <c r="E54" s="43">
        <v>0</v>
      </c>
      <c r="F54" s="44">
        <f t="shared" si="0"/>
        <v>0</v>
      </c>
      <c r="G54" s="46"/>
      <c r="H54" s="45">
        <v>0</v>
      </c>
      <c r="I54" s="17">
        <f t="shared" si="1"/>
        <v>0</v>
      </c>
      <c r="J54" s="51">
        <f t="shared" si="2"/>
        <v>900</v>
      </c>
      <c r="K54" s="33">
        <f t="shared" si="3"/>
        <v>0</v>
      </c>
    </row>
    <row r="55" spans="1:11" ht="13.8" x14ac:dyDescent="0.3">
      <c r="A55" s="66" t="s">
        <v>52</v>
      </c>
      <c r="B55" s="67" t="s">
        <v>62</v>
      </c>
      <c r="C55" s="16"/>
      <c r="D55" s="43">
        <v>26600</v>
      </c>
      <c r="E55" s="43">
        <v>0</v>
      </c>
      <c r="F55" s="44">
        <f t="shared" ref="F55:F64" si="4">H55-E55</f>
        <v>0</v>
      </c>
      <c r="G55" s="46"/>
      <c r="H55" s="45">
        <v>0</v>
      </c>
      <c r="I55" s="17">
        <f t="shared" ref="I55:I64" si="5">H55/D55</f>
        <v>0</v>
      </c>
      <c r="J55" s="51">
        <f t="shared" ref="J55:J86" si="6">D55-H55</f>
        <v>26600</v>
      </c>
      <c r="K55" s="33">
        <f t="shared" ref="K55:K64" si="7">0.05*H55</f>
        <v>0</v>
      </c>
    </row>
    <row r="56" spans="1:11" ht="13.8" x14ac:dyDescent="0.3">
      <c r="A56" s="66" t="s">
        <v>53</v>
      </c>
      <c r="B56" s="67" t="s">
        <v>63</v>
      </c>
      <c r="C56" s="16"/>
      <c r="D56" s="43">
        <v>17800</v>
      </c>
      <c r="E56" s="43">
        <v>0</v>
      </c>
      <c r="F56" s="44">
        <f t="shared" si="4"/>
        <v>0</v>
      </c>
      <c r="G56" s="46"/>
      <c r="H56" s="45">
        <v>0</v>
      </c>
      <c r="I56" s="17">
        <f t="shared" si="5"/>
        <v>0</v>
      </c>
      <c r="J56" s="51">
        <f t="shared" si="6"/>
        <v>17800</v>
      </c>
      <c r="K56" s="33">
        <f t="shared" si="7"/>
        <v>0</v>
      </c>
    </row>
    <row r="57" spans="1:11" ht="13.8" x14ac:dyDescent="0.3">
      <c r="A57" s="66" t="s">
        <v>54</v>
      </c>
      <c r="B57" s="67" t="s">
        <v>71</v>
      </c>
      <c r="C57" s="16"/>
      <c r="D57" s="43">
        <v>26600</v>
      </c>
      <c r="E57" s="43">
        <v>0</v>
      </c>
      <c r="F57" s="44">
        <f t="shared" si="4"/>
        <v>0</v>
      </c>
      <c r="G57" s="46"/>
      <c r="H57" s="45">
        <v>0</v>
      </c>
      <c r="I57" s="17">
        <f t="shared" si="5"/>
        <v>0</v>
      </c>
      <c r="J57" s="51">
        <f t="shared" si="6"/>
        <v>26600</v>
      </c>
      <c r="K57" s="33">
        <f t="shared" si="7"/>
        <v>0</v>
      </c>
    </row>
    <row r="58" spans="1:11" ht="13.8" x14ac:dyDescent="0.3">
      <c r="A58" s="66" t="s">
        <v>55</v>
      </c>
      <c r="B58" s="67" t="s">
        <v>64</v>
      </c>
      <c r="C58" s="16"/>
      <c r="D58" s="43">
        <v>17800</v>
      </c>
      <c r="E58" s="43">
        <v>0</v>
      </c>
      <c r="F58" s="44">
        <f t="shared" si="4"/>
        <v>0</v>
      </c>
      <c r="G58" s="46"/>
      <c r="H58" s="45">
        <v>0</v>
      </c>
      <c r="I58" s="17">
        <f t="shared" si="5"/>
        <v>0</v>
      </c>
      <c r="J58" s="51">
        <f t="shared" si="6"/>
        <v>17800</v>
      </c>
      <c r="K58" s="33">
        <f t="shared" si="7"/>
        <v>0</v>
      </c>
    </row>
    <row r="59" spans="1:11" ht="13.8" x14ac:dyDescent="0.3">
      <c r="A59" s="66" t="s">
        <v>56</v>
      </c>
      <c r="B59" s="67" t="s">
        <v>65</v>
      </c>
      <c r="C59" s="16"/>
      <c r="D59" s="43">
        <v>26600</v>
      </c>
      <c r="E59" s="43">
        <v>0</v>
      </c>
      <c r="F59" s="44">
        <f t="shared" si="4"/>
        <v>0</v>
      </c>
      <c r="G59" s="46"/>
      <c r="H59" s="45">
        <v>0</v>
      </c>
      <c r="I59" s="17">
        <f t="shared" si="5"/>
        <v>0</v>
      </c>
      <c r="J59" s="51">
        <f t="shared" si="6"/>
        <v>26600</v>
      </c>
      <c r="K59" s="33">
        <f t="shared" si="7"/>
        <v>0</v>
      </c>
    </row>
    <row r="60" spans="1:11" ht="13.8" x14ac:dyDescent="0.3">
      <c r="A60" s="66" t="s">
        <v>57</v>
      </c>
      <c r="B60" s="67" t="s">
        <v>66</v>
      </c>
      <c r="C60" s="16"/>
      <c r="D60" s="43">
        <v>17800</v>
      </c>
      <c r="E60" s="43">
        <v>0</v>
      </c>
      <c r="F60" s="44">
        <f t="shared" si="4"/>
        <v>0</v>
      </c>
      <c r="G60" s="46"/>
      <c r="H60" s="45">
        <v>0</v>
      </c>
      <c r="I60" s="17">
        <f t="shared" si="5"/>
        <v>0</v>
      </c>
      <c r="J60" s="51">
        <f t="shared" si="6"/>
        <v>17800</v>
      </c>
      <c r="K60" s="33">
        <f t="shared" si="7"/>
        <v>0</v>
      </c>
    </row>
    <row r="61" spans="1:11" ht="13.8" x14ac:dyDescent="0.3">
      <c r="A61" s="66" t="s">
        <v>58</v>
      </c>
      <c r="B61" s="67" t="s">
        <v>67</v>
      </c>
      <c r="C61" s="16"/>
      <c r="D61" s="43">
        <v>26600</v>
      </c>
      <c r="E61" s="43">
        <v>0</v>
      </c>
      <c r="F61" s="44">
        <f t="shared" si="4"/>
        <v>0</v>
      </c>
      <c r="G61" s="46"/>
      <c r="H61" s="45">
        <v>0</v>
      </c>
      <c r="I61" s="17">
        <f t="shared" si="5"/>
        <v>0</v>
      </c>
      <c r="J61" s="51">
        <f t="shared" si="6"/>
        <v>26600</v>
      </c>
      <c r="K61" s="33">
        <f t="shared" si="7"/>
        <v>0</v>
      </c>
    </row>
    <row r="62" spans="1:11" ht="13.8" x14ac:dyDescent="0.3">
      <c r="A62" s="66" t="s">
        <v>59</v>
      </c>
      <c r="B62" s="67" t="s">
        <v>68</v>
      </c>
      <c r="C62" s="16"/>
      <c r="D62" s="43">
        <v>17800</v>
      </c>
      <c r="E62" s="43">
        <v>0</v>
      </c>
      <c r="F62" s="44">
        <f t="shared" si="4"/>
        <v>0</v>
      </c>
      <c r="G62" s="46"/>
      <c r="H62" s="45">
        <v>0</v>
      </c>
      <c r="I62" s="17">
        <f t="shared" si="5"/>
        <v>0</v>
      </c>
      <c r="J62" s="51">
        <f t="shared" si="6"/>
        <v>17800</v>
      </c>
      <c r="K62" s="33">
        <f t="shared" si="7"/>
        <v>0</v>
      </c>
    </row>
    <row r="63" spans="1:11" ht="13.8" x14ac:dyDescent="0.3">
      <c r="A63" s="66" t="s">
        <v>60</v>
      </c>
      <c r="B63" s="67" t="s">
        <v>69</v>
      </c>
      <c r="C63" s="16"/>
      <c r="D63" s="43">
        <v>26600</v>
      </c>
      <c r="E63" s="43">
        <v>0</v>
      </c>
      <c r="F63" s="44">
        <f t="shared" si="4"/>
        <v>0</v>
      </c>
      <c r="G63" s="46"/>
      <c r="H63" s="45">
        <v>0</v>
      </c>
      <c r="I63" s="17">
        <f t="shared" si="5"/>
        <v>0</v>
      </c>
      <c r="J63" s="51">
        <f t="shared" si="6"/>
        <v>26600</v>
      </c>
      <c r="K63" s="33">
        <f t="shared" si="7"/>
        <v>0</v>
      </c>
    </row>
    <row r="64" spans="1:11" ht="13.8" x14ac:dyDescent="0.3">
      <c r="A64" s="66" t="s">
        <v>61</v>
      </c>
      <c r="B64" s="67" t="s">
        <v>70</v>
      </c>
      <c r="C64" s="16"/>
      <c r="D64" s="43">
        <v>17800</v>
      </c>
      <c r="E64" s="43">
        <v>0</v>
      </c>
      <c r="F64" s="44">
        <f t="shared" si="4"/>
        <v>0</v>
      </c>
      <c r="G64" s="46"/>
      <c r="H64" s="45">
        <v>0</v>
      </c>
      <c r="I64" s="17">
        <f t="shared" si="5"/>
        <v>0</v>
      </c>
      <c r="J64" s="51">
        <f t="shared" si="6"/>
        <v>17800</v>
      </c>
      <c r="K64" s="33">
        <f t="shared" si="7"/>
        <v>0</v>
      </c>
    </row>
    <row r="65" spans="1:11" ht="13.8" x14ac:dyDescent="0.25">
      <c r="A65" s="82" t="s">
        <v>20</v>
      </c>
      <c r="B65" s="83"/>
      <c r="C65" s="16"/>
      <c r="D65" s="43">
        <f t="shared" ref="D65:I65" si="8">SUM(D14:D64)</f>
        <v>1469800</v>
      </c>
      <c r="E65" s="43">
        <f t="shared" si="8"/>
        <v>1085034</v>
      </c>
      <c r="F65" s="43">
        <f t="shared" si="8"/>
        <v>60700</v>
      </c>
      <c r="G65" s="43">
        <f t="shared" si="8"/>
        <v>0</v>
      </c>
      <c r="H65" s="43">
        <f t="shared" si="8"/>
        <v>1145734</v>
      </c>
      <c r="I65" s="43">
        <f t="shared" si="8"/>
        <v>25.549969885853532</v>
      </c>
      <c r="J65" s="51">
        <f>D65-H65</f>
        <v>324066</v>
      </c>
      <c r="K65" s="43">
        <f>SUM(K14:K64)</f>
        <v>57286.699999999983</v>
      </c>
    </row>
    <row r="66" spans="1:11" ht="20.100000000000001" customHeight="1" x14ac:dyDescent="0.25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5">
      <c r="A67" s="72" t="s">
        <v>117</v>
      </c>
      <c r="B67" s="76" t="s">
        <v>121</v>
      </c>
      <c r="C67" s="20"/>
      <c r="D67" s="43">
        <v>-55000</v>
      </c>
      <c r="E67" s="43">
        <v>-55000</v>
      </c>
      <c r="F67" s="44">
        <f t="shared" ref="F67:F85" si="9">H67-E67</f>
        <v>0</v>
      </c>
      <c r="G67" s="40"/>
      <c r="H67" s="45">
        <v>-55000</v>
      </c>
      <c r="I67" s="17">
        <f t="shared" ref="I67:I85" si="10">H67/D67</f>
        <v>1</v>
      </c>
      <c r="J67" s="51">
        <f t="shared" si="6"/>
        <v>0</v>
      </c>
      <c r="K67" s="33">
        <f t="shared" ref="K67:K85" si="11">0.05*H67</f>
        <v>-2750</v>
      </c>
    </row>
    <row r="68" spans="1:11" x14ac:dyDescent="0.25">
      <c r="A68" s="72" t="s">
        <v>117</v>
      </c>
      <c r="B68" s="75" t="s">
        <v>120</v>
      </c>
      <c r="C68" s="16"/>
      <c r="D68" s="43">
        <v>-25000</v>
      </c>
      <c r="E68" s="43">
        <v>-25000</v>
      </c>
      <c r="F68" s="44">
        <f t="shared" si="9"/>
        <v>0</v>
      </c>
      <c r="G68" s="46"/>
      <c r="H68" s="45">
        <v>-25000</v>
      </c>
      <c r="I68" s="17">
        <f t="shared" si="10"/>
        <v>1</v>
      </c>
      <c r="J68" s="51">
        <f t="shared" si="6"/>
        <v>0</v>
      </c>
      <c r="K68" s="33">
        <f t="shared" si="11"/>
        <v>-1250</v>
      </c>
    </row>
    <row r="69" spans="1:11" ht="12" customHeight="1" x14ac:dyDescent="0.25">
      <c r="A69" s="72" t="s">
        <v>118</v>
      </c>
      <c r="B69" s="71" t="s">
        <v>119</v>
      </c>
      <c r="C69" s="16"/>
      <c r="D69" s="43">
        <v>-8837</v>
      </c>
      <c r="E69" s="43">
        <v>-8837</v>
      </c>
      <c r="F69" s="44">
        <f t="shared" si="9"/>
        <v>0</v>
      </c>
      <c r="G69" s="46"/>
      <c r="H69" s="45">
        <v>-8837</v>
      </c>
      <c r="I69" s="17">
        <f t="shared" si="10"/>
        <v>1</v>
      </c>
      <c r="J69" s="51">
        <f t="shared" si="6"/>
        <v>0</v>
      </c>
      <c r="K69" s="33">
        <f t="shared" si="11"/>
        <v>-441.85</v>
      </c>
    </row>
    <row r="70" spans="1:11" ht="12" customHeight="1" x14ac:dyDescent="0.25">
      <c r="A70" s="21"/>
      <c r="C70" s="16"/>
      <c r="D70" s="43">
        <v>0</v>
      </c>
      <c r="E70" s="43">
        <v>0</v>
      </c>
      <c r="F70" s="44">
        <f t="shared" si="9"/>
        <v>0</v>
      </c>
      <c r="G70" s="47"/>
      <c r="H70" s="45">
        <v>0</v>
      </c>
      <c r="I70" s="17" t="e">
        <f t="shared" si="10"/>
        <v>#DIV/0!</v>
      </c>
      <c r="J70" s="51">
        <f t="shared" si="6"/>
        <v>0</v>
      </c>
      <c r="K70" s="33">
        <f t="shared" si="11"/>
        <v>0</v>
      </c>
    </row>
    <row r="71" spans="1:11" ht="12" customHeight="1" x14ac:dyDescent="0.25">
      <c r="A71" s="21"/>
      <c r="B71" s="16"/>
      <c r="C71" s="16"/>
      <c r="D71" s="43">
        <v>0</v>
      </c>
      <c r="E71" s="43">
        <v>0</v>
      </c>
      <c r="F71" s="44">
        <f t="shared" si="9"/>
        <v>0</v>
      </c>
      <c r="G71" s="46"/>
      <c r="H71" s="45">
        <v>0</v>
      </c>
      <c r="I71" s="17" t="e">
        <f t="shared" si="10"/>
        <v>#DIV/0!</v>
      </c>
      <c r="J71" s="51">
        <f t="shared" si="6"/>
        <v>0</v>
      </c>
      <c r="K71" s="33">
        <f t="shared" si="11"/>
        <v>0</v>
      </c>
    </row>
    <row r="72" spans="1:11" ht="12" customHeight="1" x14ac:dyDescent="0.25">
      <c r="A72" s="21"/>
      <c r="B72" s="16"/>
      <c r="C72" s="16"/>
      <c r="D72" s="43">
        <v>0</v>
      </c>
      <c r="E72" s="43">
        <v>0</v>
      </c>
      <c r="F72" s="44">
        <f t="shared" ref="F72:F80" si="12">H72-E72</f>
        <v>0</v>
      </c>
      <c r="G72" s="46"/>
      <c r="H72" s="45">
        <v>0</v>
      </c>
      <c r="I72" s="17" t="e">
        <f t="shared" ref="I72:I80" si="13">H72/D72</f>
        <v>#DIV/0!</v>
      </c>
      <c r="J72" s="51">
        <f t="shared" ref="J72:J80" si="14">D72-H72</f>
        <v>0</v>
      </c>
      <c r="K72" s="33">
        <f t="shared" ref="K72:K80" si="15">0.05*H72</f>
        <v>0</v>
      </c>
    </row>
    <row r="73" spans="1:11" ht="12" customHeight="1" x14ac:dyDescent="0.25">
      <c r="A73" s="21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5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5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5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5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5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5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5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5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5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5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5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5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3.8" x14ac:dyDescent="0.25">
      <c r="A86" s="77">
        <f>SUM(D67:D85)</f>
        <v>-88837</v>
      </c>
      <c r="B86" s="73" t="s">
        <v>21</v>
      </c>
      <c r="C86" s="74"/>
      <c r="D86" s="43">
        <f t="shared" ref="D86:I86" si="16">SUM(D65:D85)</f>
        <v>1380963</v>
      </c>
      <c r="E86" s="43">
        <f t="shared" si="16"/>
        <v>996197</v>
      </c>
      <c r="F86" s="43">
        <f t="shared" si="16"/>
        <v>60700</v>
      </c>
      <c r="G86" s="43">
        <f t="shared" si="16"/>
        <v>0</v>
      </c>
      <c r="H86" s="43">
        <f t="shared" si="16"/>
        <v>1056897</v>
      </c>
      <c r="I86" s="43" t="e">
        <f t="shared" si="16"/>
        <v>#DIV/0!</v>
      </c>
      <c r="J86" s="51">
        <f t="shared" si="6"/>
        <v>324066</v>
      </c>
      <c r="K86" s="43">
        <f>SUM(K65:K85)</f>
        <v>52844.849999999984</v>
      </c>
    </row>
    <row r="87" spans="1:11" x14ac:dyDescent="0.25">
      <c r="I87" s="2"/>
    </row>
    <row r="88" spans="1:11" x14ac:dyDescent="0.25">
      <c r="I88" s="2"/>
    </row>
    <row r="89" spans="1:11" x14ac:dyDescent="0.25">
      <c r="C89" s="24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2012-08-21T22:17:14Z</cp:lastPrinted>
  <dcterms:created xsi:type="dcterms:W3CDTF">2001-02-05T15:33:02Z</dcterms:created>
  <dcterms:modified xsi:type="dcterms:W3CDTF">2013-11-12T16:12:50Z</dcterms:modified>
</cp:coreProperties>
</file>