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/>
  <c r="G65" i="6"/>
  <c r="G86" i="6" s="1"/>
  <c r="H65" i="6"/>
  <c r="H86" i="6" s="1"/>
  <c r="F67" i="6"/>
  <c r="I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<sst xmlns="http://schemas.openxmlformats.org/spreadsheetml/2006/main" count="159" uniqueCount="119">
  <si>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</si>
  <si>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</si>
  <si>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</si>
  <si>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</si>
  <si>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</si>
  <si>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</si>
  <si>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</si>
  <si>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</si>
  <si>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</si>
  <si>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</si>
  <si>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</si>
  <si>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</si>
  <si>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</si>
  <si>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</si>
  <si>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</si>
  <si>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</si>
  <si>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</si>
  <si>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</si>
  <si>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</si>
  <si>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</si>
  <si>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</si>
  <si>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</si>
  <si>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</si>
  <si>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</si>
  <si>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</si>
  <si>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</si>
  <si>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</si>
  <si>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</si>
  <si>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</si>
  <si>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</si>
  <si>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</si>
  <si>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</si>
  <si>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</si>
  <si>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</si>
  <si>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</si>
  <si>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</si>
  <si>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</si>
  <si>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</si>
  <si>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</si>
  <si>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</si>
  <si>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</si>
  <si>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</si>
  <si>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</si>
  <si>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</si>
  <si>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</si>
  <si>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</si>
  <si>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</si>
  <si>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</si>
  <si>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</si>
  <si>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</si>
  <si>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</si>
  <si>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</si>
  <si>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</si>
  <si>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</si>
  <si>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</si>
  <si>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</si>
  <si>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</si>
  <si>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</si>
  <si>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</si>
  <si>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</si>
  <si>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</si>
  <si>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</si>
  <si>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</si>
  <si>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</si>
  <si>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</si>
  <si>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</si>
  <si>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</si>
  <si>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</si>
  <si>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</si>
  <si>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</si>
  <si>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</si>
  <si>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</si>
  <si>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</si>
  <si>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</si>
  <si>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</si>
  <si>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</si>
  <si>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</si>
  <si>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</si>
  <si>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</si>
  <si>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</si>
  <si>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</si>
  <si>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</si>
  <si>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</si>
  <si>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</si>
  <si>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</si>
  <si>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</si>
  <si>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</si>
  <si>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</si>
  <si>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</si>
  <si>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</si>
  <si>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</si>
  <si>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</si>
  <si>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</si>
  <si>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</si>
  <si>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</si>
  <si>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</si>
  <si>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</si>
  <si>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</si>
  <si>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</si>
  <si>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</si>
  <si>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</si>
  <si>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</si>
  <si>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</si>
  <si>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</si>
  <si>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</si>
  <si>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</si>
  <si>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</si>
  <si>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</si>
  <si>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</si>
  <si>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</si>
  <si>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</si>
  <si>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</si>
  <si>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</si>
  <si>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</si>
  <si>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</si>
  <si>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</si>
  <si>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</si>
  <si>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change Stering 32'' tubs to Sterling 30'' tubs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</si>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</sst>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1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2" fillId="0" borderId="28" xfId="3" applyFont="1" applyBorder="1" applyAlignment="1">
      <alignment horizontal="center"/>
    </xf>
    <xf numFmtId="4" fontId="4" fillId="0" borderId="29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2" xfId="3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topLeftCell="A52" zoomScaleNormal="100" zoomScaleSheetLayoutView="100" zoomScalePageLayoutView="130" workbookViewId="0">
      <selection activeCell="D73" sqref="D73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8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41443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41486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76" t="s">
        <v>29</v>
      </c>
      <c r="I8" s="77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4" t="s">
        <v>32</v>
      </c>
      <c r="F9" s="75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194400</v>
      </c>
      <c r="F13" s="41">
        <f>SUM(F14:F64)</f>
        <v>160800</v>
      </c>
      <c r="G13" s="41"/>
      <c r="H13" s="41">
        <f>SUM(H14:H64)</f>
        <v>355200</v>
      </c>
      <c r="I13" s="12"/>
      <c r="J13" s="48">
        <f>SUM(J14:J64)</f>
        <v>1114600</v>
      </c>
      <c r="K13" s="32">
        <f>SUM(K14:K64)</f>
        <v>17760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14000</v>
      </c>
      <c r="F20" s="44">
        <f t="shared" si="0"/>
        <v>11500</v>
      </c>
      <c r="G20" s="46"/>
      <c r="H20" s="45">
        <v>25500</v>
      </c>
      <c r="I20" s="17">
        <f t="shared" si="1"/>
        <v>0.88850174216027877</v>
      </c>
      <c r="J20" s="51">
        <f t="shared" si="2"/>
        <v>3200</v>
      </c>
      <c r="K20" s="33">
        <f t="shared" si="3"/>
        <v>1275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7200</v>
      </c>
      <c r="F21" s="44">
        <f t="shared" si="0"/>
        <v>17800</v>
      </c>
      <c r="G21" s="46"/>
      <c r="H21" s="45">
        <v>25000</v>
      </c>
      <c r="I21" s="17">
        <f t="shared" si="1"/>
        <v>0.67934782608695654</v>
      </c>
      <c r="J21" s="51">
        <f t="shared" si="2"/>
        <v>11800</v>
      </c>
      <c r="K21" s="33">
        <f t="shared" si="3"/>
        <v>1250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49000</v>
      </c>
      <c r="F22" s="44">
        <f t="shared" si="0"/>
        <v>71000</v>
      </c>
      <c r="G22" s="46"/>
      <c r="H22" s="45">
        <v>120000</v>
      </c>
      <c r="I22" s="17">
        <f t="shared" si="1"/>
        <v>0.86642599277978338</v>
      </c>
      <c r="J22" s="51">
        <f t="shared" si="2"/>
        <v>18500</v>
      </c>
      <c r="K22" s="33">
        <f t="shared" si="3"/>
        <v>6000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0</v>
      </c>
      <c r="G23" s="46"/>
      <c r="H23" s="45">
        <v>0</v>
      </c>
      <c r="I23" s="17">
        <f t="shared" si="1"/>
        <v>0</v>
      </c>
      <c r="J23" s="51">
        <f t="shared" si="2"/>
        <v>16400</v>
      </c>
      <c r="K23" s="33">
        <f t="shared" si="3"/>
        <v>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0</v>
      </c>
      <c r="F25" s="44">
        <f t="shared" si="0"/>
        <v>46000</v>
      </c>
      <c r="G25" s="46"/>
      <c r="H25" s="45">
        <v>46000</v>
      </c>
      <c r="I25" s="17">
        <f t="shared" si="1"/>
        <v>0.452755905511811</v>
      </c>
      <c r="J25" s="51">
        <f t="shared" si="2"/>
        <v>55600</v>
      </c>
      <c r="K25" s="33">
        <f t="shared" si="3"/>
        <v>2300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0</v>
      </c>
      <c r="F26" s="44">
        <f t="shared" si="0"/>
        <v>9500</v>
      </c>
      <c r="G26" s="46"/>
      <c r="H26" s="45">
        <v>9500</v>
      </c>
      <c r="I26" s="17">
        <f t="shared" si="1"/>
        <v>0.14011799410029499</v>
      </c>
      <c r="J26" s="51">
        <f t="shared" si="2"/>
        <v>58300</v>
      </c>
      <c r="K26" s="33">
        <f t="shared" si="3"/>
        <v>475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0</v>
      </c>
      <c r="F27" s="44">
        <f t="shared" si="0"/>
        <v>0</v>
      </c>
      <c r="G27" s="46"/>
      <c r="H27" s="45">
        <v>0</v>
      </c>
      <c r="I27" s="17">
        <f t="shared" si="1"/>
        <v>0</v>
      </c>
      <c r="J27" s="51">
        <f t="shared" si="2"/>
        <v>4600</v>
      </c>
      <c r="K27" s="33">
        <f t="shared" si="3"/>
        <v>0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0</v>
      </c>
      <c r="F28" s="44">
        <f t="shared" si="0"/>
        <v>0</v>
      </c>
      <c r="G28" s="46"/>
      <c r="H28" s="45">
        <v>0</v>
      </c>
      <c r="I28" s="17">
        <f t="shared" si="1"/>
        <v>0</v>
      </c>
      <c r="J28" s="51">
        <f t="shared" si="2"/>
        <v>2800</v>
      </c>
      <c r="K28" s="33">
        <f t="shared" si="3"/>
        <v>0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0</v>
      </c>
      <c r="G29" s="46"/>
      <c r="H29" s="45">
        <v>0</v>
      </c>
      <c r="I29" s="17">
        <f t="shared" si="1"/>
        <v>0</v>
      </c>
      <c r="J29" s="51">
        <f t="shared" si="2"/>
        <v>1500</v>
      </c>
      <c r="K29" s="33">
        <f t="shared" si="3"/>
        <v>0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0</v>
      </c>
      <c r="G30" s="46"/>
      <c r="H30" s="45">
        <v>0</v>
      </c>
      <c r="I30" s="17">
        <f t="shared" si="1"/>
        <v>0</v>
      </c>
      <c r="J30" s="51">
        <f t="shared" si="2"/>
        <v>900</v>
      </c>
      <c r="K30" s="33">
        <f t="shared" si="3"/>
        <v>0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0</v>
      </c>
      <c r="F31" s="44">
        <f t="shared" si="0"/>
        <v>5000</v>
      </c>
      <c r="G31" s="46"/>
      <c r="H31" s="45">
        <v>5000</v>
      </c>
      <c r="I31" s="17">
        <f t="shared" si="1"/>
        <v>4.9164208456243856E-2</v>
      </c>
      <c r="J31" s="51">
        <f t="shared" si="2"/>
        <v>96700</v>
      </c>
      <c r="K31" s="33">
        <f t="shared" si="3"/>
        <v>250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0</v>
      </c>
      <c r="F32" s="44">
        <f t="shared" si="0"/>
        <v>0</v>
      </c>
      <c r="G32" s="46"/>
      <c r="H32" s="45">
        <v>0</v>
      </c>
      <c r="I32" s="17">
        <f t="shared" si="1"/>
        <v>0</v>
      </c>
      <c r="J32" s="51">
        <f t="shared" si="2"/>
        <v>67800</v>
      </c>
      <c r="K32" s="33">
        <f t="shared" si="3"/>
        <v>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0</v>
      </c>
      <c r="F33" s="44">
        <f t="shared" si="0"/>
        <v>0</v>
      </c>
      <c r="G33" s="46"/>
      <c r="H33" s="45">
        <v>0</v>
      </c>
      <c r="I33" s="17">
        <f t="shared" si="1"/>
        <v>0</v>
      </c>
      <c r="J33" s="51">
        <f t="shared" si="2"/>
        <v>5000</v>
      </c>
      <c r="K33" s="33">
        <f t="shared" si="3"/>
        <v>0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0</v>
      </c>
      <c r="F34" s="44">
        <f t="shared" si="0"/>
        <v>0</v>
      </c>
      <c r="G34" s="46"/>
      <c r="H34" s="45">
        <v>0</v>
      </c>
      <c r="I34" s="17">
        <f t="shared" si="1"/>
        <v>0</v>
      </c>
      <c r="J34" s="51">
        <f t="shared" si="2"/>
        <v>2800</v>
      </c>
      <c r="K34" s="33">
        <f t="shared" si="3"/>
        <v>0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0</v>
      </c>
      <c r="G35" s="46"/>
      <c r="H35" s="45">
        <v>0</v>
      </c>
      <c r="I35" s="17">
        <f t="shared" si="1"/>
        <v>0</v>
      </c>
      <c r="J35" s="51">
        <f t="shared" si="2"/>
        <v>1600</v>
      </c>
      <c r="K35" s="33">
        <f t="shared" si="3"/>
        <v>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0</v>
      </c>
      <c r="G36" s="46"/>
      <c r="H36" s="45">
        <v>0</v>
      </c>
      <c r="I36" s="17">
        <f t="shared" si="1"/>
        <v>0</v>
      </c>
      <c r="J36" s="51">
        <f t="shared" si="2"/>
        <v>900</v>
      </c>
      <c r="K36" s="33">
        <f t="shared" si="3"/>
        <v>0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0</v>
      </c>
      <c r="F37" s="44">
        <f t="shared" si="0"/>
        <v>0</v>
      </c>
      <c r="G37" s="46"/>
      <c r="H37" s="45">
        <v>0</v>
      </c>
      <c r="I37" s="17">
        <f t="shared" si="1"/>
        <v>0</v>
      </c>
      <c r="J37" s="51">
        <f t="shared" si="2"/>
        <v>101700</v>
      </c>
      <c r="K37" s="33">
        <f t="shared" si="3"/>
        <v>0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0</v>
      </c>
      <c r="F38" s="44">
        <f t="shared" si="0"/>
        <v>0</v>
      </c>
      <c r="G38" s="46"/>
      <c r="H38" s="45">
        <v>0</v>
      </c>
      <c r="I38" s="17">
        <f t="shared" si="1"/>
        <v>0</v>
      </c>
      <c r="J38" s="51">
        <f t="shared" si="2"/>
        <v>67800</v>
      </c>
      <c r="K38" s="33">
        <f t="shared" si="3"/>
        <v>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0</v>
      </c>
      <c r="F39" s="44">
        <f t="shared" si="0"/>
        <v>0</v>
      </c>
      <c r="G39" s="46"/>
      <c r="H39" s="45">
        <v>0</v>
      </c>
      <c r="I39" s="17">
        <f t="shared" si="1"/>
        <v>0</v>
      </c>
      <c r="J39" s="51">
        <f t="shared" si="2"/>
        <v>5000</v>
      </c>
      <c r="K39" s="33">
        <f t="shared" si="3"/>
        <v>0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0</v>
      </c>
      <c r="F40" s="44">
        <f t="shared" si="0"/>
        <v>0</v>
      </c>
      <c r="G40" s="46"/>
      <c r="H40" s="45">
        <v>0</v>
      </c>
      <c r="I40" s="17">
        <f t="shared" si="1"/>
        <v>0</v>
      </c>
      <c r="J40" s="51">
        <f t="shared" si="2"/>
        <v>2800</v>
      </c>
      <c r="K40" s="33">
        <f t="shared" si="3"/>
        <v>0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0</v>
      </c>
      <c r="G41" s="46"/>
      <c r="H41" s="45">
        <v>0</v>
      </c>
      <c r="I41" s="17">
        <f t="shared" si="1"/>
        <v>0</v>
      </c>
      <c r="J41" s="51">
        <f t="shared" si="2"/>
        <v>1600</v>
      </c>
      <c r="K41" s="33">
        <f t="shared" si="3"/>
        <v>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0</v>
      </c>
      <c r="G42" s="46"/>
      <c r="H42" s="45">
        <v>0</v>
      </c>
      <c r="I42" s="17">
        <f t="shared" si="1"/>
        <v>0</v>
      </c>
      <c r="J42" s="51">
        <f t="shared" si="2"/>
        <v>900</v>
      </c>
      <c r="K42" s="33">
        <f t="shared" si="3"/>
        <v>0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0</v>
      </c>
      <c r="F43" s="44">
        <f t="shared" si="0"/>
        <v>0</v>
      </c>
      <c r="G43" s="46"/>
      <c r="H43" s="45">
        <v>0</v>
      </c>
      <c r="I43" s="17">
        <f t="shared" si="1"/>
        <v>0</v>
      </c>
      <c r="J43" s="51">
        <f t="shared" si="2"/>
        <v>101700</v>
      </c>
      <c r="K43" s="33">
        <f t="shared" si="3"/>
        <v>0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0</v>
      </c>
      <c r="F44" s="44">
        <f t="shared" si="0"/>
        <v>0</v>
      </c>
      <c r="G44" s="46"/>
      <c r="H44" s="45">
        <v>0</v>
      </c>
      <c r="I44" s="17">
        <f t="shared" si="1"/>
        <v>0</v>
      </c>
      <c r="J44" s="51">
        <f t="shared" si="2"/>
        <v>67800</v>
      </c>
      <c r="K44" s="33">
        <f t="shared" si="3"/>
        <v>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0</v>
      </c>
      <c r="F45" s="44">
        <f t="shared" si="0"/>
        <v>0</v>
      </c>
      <c r="G45" s="46"/>
      <c r="H45" s="45">
        <v>0</v>
      </c>
      <c r="I45" s="17">
        <f t="shared" si="1"/>
        <v>0</v>
      </c>
      <c r="J45" s="51">
        <f t="shared" si="2"/>
        <v>5000</v>
      </c>
      <c r="K45" s="33">
        <f t="shared" si="3"/>
        <v>0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0</v>
      </c>
      <c r="F46" s="44">
        <f t="shared" si="0"/>
        <v>0</v>
      </c>
      <c r="G46" s="46"/>
      <c r="H46" s="45">
        <v>0</v>
      </c>
      <c r="I46" s="17">
        <f t="shared" si="1"/>
        <v>0</v>
      </c>
      <c r="J46" s="51">
        <f t="shared" si="2"/>
        <v>2800</v>
      </c>
      <c r="K46" s="33">
        <f t="shared" si="3"/>
        <v>0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0</v>
      </c>
      <c r="G47" s="46"/>
      <c r="H47" s="45">
        <v>0</v>
      </c>
      <c r="I47" s="17">
        <f t="shared" si="1"/>
        <v>0</v>
      </c>
      <c r="J47" s="51">
        <f t="shared" si="2"/>
        <v>1600</v>
      </c>
      <c r="K47" s="33">
        <f t="shared" si="3"/>
        <v>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0</v>
      </c>
      <c r="G48" s="46"/>
      <c r="H48" s="45">
        <v>0</v>
      </c>
      <c r="I48" s="17">
        <f t="shared" si="1"/>
        <v>0</v>
      </c>
      <c r="J48" s="51">
        <f t="shared" si="2"/>
        <v>900</v>
      </c>
      <c r="K48" s="33">
        <f t="shared" si="3"/>
        <v>0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0</v>
      </c>
      <c r="F49" s="44">
        <f t="shared" si="0"/>
        <v>0</v>
      </c>
      <c r="G49" s="46"/>
      <c r="H49" s="45">
        <v>0</v>
      </c>
      <c r="I49" s="17">
        <f t="shared" si="1"/>
        <v>0</v>
      </c>
      <c r="J49" s="51">
        <f t="shared" si="2"/>
        <v>101700</v>
      </c>
      <c r="K49" s="33">
        <f t="shared" si="3"/>
        <v>0</v>
      </c>
    </row>
    <row r="50" spans="1:11" ht="13.8" x14ac:dyDescent="0.3">
      <c r="A50" s="66" t="s">
        <v>60</v>
      </c>
      <c r="B50" s="67" t="s">
        <v>94</v>
      </c>
      <c r="C50" s="16"/>
      <c r="D50" s="43">
        <v>67800</v>
      </c>
      <c r="E50" s="43">
        <v>0</v>
      </c>
      <c r="F50" s="44">
        <f t="shared" si="0"/>
        <v>0</v>
      </c>
      <c r="G50" s="46"/>
      <c r="H50" s="45">
        <v>0</v>
      </c>
      <c r="I50" s="17">
        <f t="shared" si="1"/>
        <v>0</v>
      </c>
      <c r="J50" s="51">
        <f t="shared" si="2"/>
        <v>67800</v>
      </c>
      <c r="K50" s="33">
        <f t="shared" si="3"/>
        <v>0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0</v>
      </c>
      <c r="F51" s="44">
        <f t="shared" si="0"/>
        <v>0</v>
      </c>
      <c r="G51" s="46"/>
      <c r="H51" s="45">
        <v>0</v>
      </c>
      <c r="I51" s="17">
        <f t="shared" si="1"/>
        <v>0</v>
      </c>
      <c r="J51" s="51">
        <f t="shared" si="2"/>
        <v>5000</v>
      </c>
      <c r="K51" s="33">
        <f t="shared" si="3"/>
        <v>0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0</v>
      </c>
      <c r="F52" s="44">
        <f t="shared" si="0"/>
        <v>0</v>
      </c>
      <c r="G52" s="46"/>
      <c r="H52" s="45">
        <v>0</v>
      </c>
      <c r="I52" s="17">
        <f t="shared" si="1"/>
        <v>0</v>
      </c>
      <c r="J52" s="51">
        <f t="shared" si="2"/>
        <v>2800</v>
      </c>
      <c r="K52" s="33">
        <f t="shared" si="3"/>
        <v>0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0</v>
      </c>
      <c r="G53" s="46"/>
      <c r="H53" s="45">
        <v>0</v>
      </c>
      <c r="I53" s="17">
        <f t="shared" si="1"/>
        <v>0</v>
      </c>
      <c r="J53" s="51">
        <f t="shared" si="2"/>
        <v>1600</v>
      </c>
      <c r="K53" s="33">
        <f t="shared" si="3"/>
        <v>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0</v>
      </c>
      <c r="G54" s="46"/>
      <c r="H54" s="45">
        <v>0</v>
      </c>
      <c r="I54" s="17">
        <f t="shared" si="1"/>
        <v>0</v>
      </c>
      <c r="J54" s="51">
        <f t="shared" si="2"/>
        <v>900</v>
      </c>
      <c r="K54" s="33">
        <f t="shared" si="3"/>
        <v>0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78" t="s">
        <v>20</v>
      </c>
      <c r="B65" s="79"/>
      <c r="C65" s="16"/>
      <c r="D65" s="43">
        <f t="shared" ref="D65:I65" si="8">SUM(D14:D64)</f>
        <v>1469800</v>
      </c>
      <c r="E65" s="43">
        <f t="shared" si="8"/>
        <v>194400</v>
      </c>
      <c r="F65" s="43">
        <f t="shared" si="8"/>
        <v>160800</v>
      </c>
      <c r="G65" s="43">
        <f t="shared" si="8"/>
        <v>0</v>
      </c>
      <c r="H65" s="43">
        <f t="shared" si="8"/>
        <v>355200</v>
      </c>
      <c r="I65" s="43">
        <f t="shared" si="8"/>
        <v>9.0763136690953683</v>
      </c>
      <c r="J65" s="51">
        <f>D65-H65</f>
        <v>1114600</v>
      </c>
      <c r="K65" s="43">
        <f>SUM(K14:K64)</f>
        <v>17760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81" t="s">
        <v>118</v>
      </c>
      <c r="B67" s="80" t="s">
        <v>117</v>
      </c>
      <c r="C67" s="20"/>
      <c r="D67" s="43">
        <v>-8837</v>
      </c>
      <c r="E67" s="43">
        <v>0</v>
      </c>
      <c r="F67" s="44">
        <f t="shared" ref="F67:F85" si="9">H67-E67</f>
        <v>0</v>
      </c>
      <c r="G67" s="40"/>
      <c r="H67" s="45">
        <v>0</v>
      </c>
      <c r="I67" s="17">
        <f t="shared" ref="I67:I85" si="10">H67/D67</f>
        <v>0</v>
      </c>
      <c r="J67" s="51">
        <f t="shared" si="6"/>
        <v>-8837</v>
      </c>
      <c r="K67" s="33">
        <f t="shared" ref="K67:K85" si="11">0.05*H67</f>
        <v>0</v>
      </c>
    </row>
    <row r="68" spans="1:11" x14ac:dyDescent="0.25">
      <c r="A68" s="22"/>
      <c r="B68" s="19"/>
      <c r="C68" s="16"/>
      <c r="D68" s="43">
        <v>0</v>
      </c>
      <c r="E68" s="43">
        <v>0</v>
      </c>
      <c r="F68" s="44">
        <f t="shared" si="9"/>
        <v>0</v>
      </c>
      <c r="G68" s="46"/>
      <c r="H68" s="45">
        <v>0</v>
      </c>
      <c r="I68" s="17" t="e">
        <f t="shared" si="10"/>
        <v>#DIV/0!</v>
      </c>
      <c r="J68" s="51">
        <f t="shared" si="6"/>
        <v>0</v>
      </c>
      <c r="K68" s="33">
        <f t="shared" si="11"/>
        <v>0</v>
      </c>
    </row>
    <row r="69" spans="1:11" ht="12" customHeight="1" x14ac:dyDescent="0.25">
      <c r="A69" s="21"/>
      <c r="B69" s="16"/>
      <c r="C69" s="16"/>
      <c r="D69" s="43">
        <v>0</v>
      </c>
      <c r="E69" s="43">
        <v>0</v>
      </c>
      <c r="F69" s="44">
        <f t="shared" si="9"/>
        <v>0</v>
      </c>
      <c r="G69" s="46"/>
      <c r="H69" s="45">
        <v>0</v>
      </c>
      <c r="I69" s="17" t="e">
        <f t="shared" si="10"/>
        <v>#DIV/0!</v>
      </c>
      <c r="J69" s="51">
        <f t="shared" si="6"/>
        <v>0</v>
      </c>
      <c r="K69" s="33">
        <f t="shared" si="11"/>
        <v>0</v>
      </c>
    </row>
    <row r="70" spans="1:11" ht="12" customHeight="1" x14ac:dyDescent="0.25">
      <c r="A70" s="21"/>
      <c r="C70" s="16"/>
      <c r="D70" s="43">
        <v>0</v>
      </c>
      <c r="E70" s="43">
        <v>0</v>
      </c>
      <c r="F70" s="44">
        <f t="shared" si="9"/>
        <v>0</v>
      </c>
      <c r="G70" s="47"/>
      <c r="H70" s="45">
        <v>0</v>
      </c>
      <c r="I70" s="17" t="e">
        <f t="shared" si="10"/>
        <v>#DIV/0!</v>
      </c>
      <c r="J70" s="51">
        <f t="shared" si="6"/>
        <v>0</v>
      </c>
      <c r="K70" s="33">
        <f t="shared" si="11"/>
        <v>0</v>
      </c>
    </row>
    <row r="71" spans="1:11" ht="12" customHeight="1" x14ac:dyDescent="0.25">
      <c r="A71" s="21"/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1" t="s">
        <v>21</v>
      </c>
      <c r="B86" s="72"/>
      <c r="C86" s="73"/>
      <c r="D86" s="43">
        <f t="shared" ref="D86:I86" si="16">SUM(D65:D85)</f>
        <v>1460963</v>
      </c>
      <c r="E86" s="43">
        <f t="shared" si="16"/>
        <v>194400</v>
      </c>
      <c r="F86" s="43">
        <f t="shared" si="16"/>
        <v>160800</v>
      </c>
      <c r="G86" s="43">
        <f t="shared" si="16"/>
        <v>0</v>
      </c>
      <c r="H86" s="43">
        <f t="shared" si="16"/>
        <v>355200</v>
      </c>
      <c r="I86" s="43" t="e">
        <f t="shared" si="16"/>
        <v>#DIV/0!</v>
      </c>
      <c r="J86" s="51">
        <f t="shared" si="6"/>
        <v>1105763</v>
      </c>
      <c r="K86" s="43">
        <f>SUM(K65:K85)</f>
        <v>17760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4">
    <mergeCell ref="A86:C86"/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2013-07-19T00:03:15Z</dcterms:modified>
</cp:coreProperties>
</file>