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F21" i="6" l="1"/>
  <c r="A86" i="6" l="1"/>
  <c r="I67" i="6"/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 s="1"/>
  <c r="G65" i="6"/>
  <c r="G86" i="6" s="1"/>
  <c r="H65" i="6"/>
  <c r="H86" i="6" s="1"/>
  <c r="F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I65" i="6" l="1"/>
  <c r="I86" i="6" s="1"/>
  <c r="K65" i="6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<sst xmlns="http://schemas.openxmlformats.org/spreadsheetml/2006/main" count="166" uniqueCount="125">
  <si>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</si>
  <si>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</si>
  <si>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</si>
  <si>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</si>
  <si>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</si>
  <si>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</si>
  <si>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</si>
  <si>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</si>
  <si>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</si>
  <si>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</si>
  <si>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</si>
  <si>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</si>
  <si>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</si>
  <si>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</si>
  <si>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</si>
  <si>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</si>
  <si>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</si>
  <si>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</si>
  <si>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</si>
  <si>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</si>
  <si>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</si>
  <si>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</si>
  <si>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</si>
  <si>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</si>
  <si>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</si>
  <si>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</si>
  <si>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</si>
  <si>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</si>
  <si>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</si>
  <si>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</si>
  <si>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</si>
  <si>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</si>
  <si>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</si>
  <si>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</si>
  <si>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</si>
  <si>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</si>
  <si>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</si>
  <si>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</si>
  <si>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</si>
  <si>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</si>
  <si>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</si>
  <si>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</si>
  <si>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</si>
  <si>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</si>
  <si>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</si>
  <si>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</si>
  <si>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</si>
  <si>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</si>
  <si>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</si>
  <si>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</si>
  <si>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</si>
  <si>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</si>
  <si>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</si>
  <si>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</si>
  <si>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</si>
  <si>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</si>
  <si>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</si>
  <si>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</si>
  <si>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</si>
  <si>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</si>
  <si>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</si>
  <si>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</si>
  <si>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</si>
  <si>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</si>
  <si>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</si>
  <si>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</si>
  <si>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</si>
  <si>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</si>
  <si>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</si>
  <si>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</si>
  <si>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</si>
  <si>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</si>
  <si>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</si>
  <si>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</si>
  <si>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</si>
  <si>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</si>
  <si>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</si>
  <si>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</si>
  <si>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</si>
  <si>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</si>
  <si>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</si>
  <si>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</si>
  <si>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</si>
  <si>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</si>
  <si>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</si>
  <si>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</si>
  <si>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</si>
  <si>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</si>
  <si>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</si>
  <si>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</si>
  <si>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</si>
  <si>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</si>
  <si>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</si>
  <si>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</si>
  <si>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</si>
  <si>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</si>
  <si>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</si>
  <si>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</si>
  <si>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</si>
  <si>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</si>
  <si>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</si>
  <si>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</si>
  <si>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</si>
  <si>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</si>
  <si>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</si>
  <si>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</si>
  <si>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</si>
  <si>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</si>
  <si>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</si>
  <si>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</si>
  <si>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</si>
  <si>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</si>
  <si>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</si>
  <si>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</si>
  <si>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</si>
  <si>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</si>
  <si>
    <t>Roughin plumbing at parking level lm2 east</t>
  </si>
  <si>
    <t>#1</t>
  </si>
  <si>
    <t>#2</t>
  </si>
  <si>
    <t>reconcile plumbing fixture allowance (change tubs)</t>
  </si>
  <si>
    <t>change waste stacks from cast iron to plastic in residential units</t>
  </si>
  <si>
    <t>change DWV cast iron piping in garage and vents in residential units to pvc</t>
  </si>
  <si>
    <t>#3</t>
  </si>
  <si>
    <t>#4</t>
  </si>
  <si>
    <t>credit installation of bathroom vanity sinks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</si>
</sst>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  <font>
      <sz val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3" fontId="3" fillId="0" borderId="0" xfId="3" applyNumberFormat="1" applyFont="1" applyAlignment="1">
      <alignment horizontal="left" vertical="top"/>
    </xf>
    <xf numFmtId="164" fontId="3" fillId="0" borderId="0" xfId="3" applyNumberFormat="1" applyFont="1" applyAlignment="1">
      <alignment horizontal="left" vertical="top"/>
    </xf>
    <xf numFmtId="0" fontId="1" fillId="0" borderId="7" xfId="3" quotePrefix="1" applyFont="1" applyFill="1" applyBorder="1" applyAlignment="1">
      <alignment horizontal="center"/>
    </xf>
    <xf numFmtId="0" fontId="4" fillId="0" borderId="8" xfId="3" quotePrefix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11" fillId="0" borderId="7" xfId="3" quotePrefix="1" applyFont="1" applyFill="1" applyBorder="1" applyAlignment="1">
      <alignment horizontal="center"/>
    </xf>
    <xf numFmtId="0" fontId="12" fillId="0" borderId="7" xfId="3" quotePrefix="1" applyFont="1" applyFill="1" applyBorder="1" applyAlignment="1">
      <alignment horizontal="center"/>
    </xf>
    <xf numFmtId="4" fontId="4" fillId="0" borderId="0" xfId="3" applyNumberFormat="1" applyFont="1"/>
    <xf numFmtId="4" fontId="4" fillId="0" borderId="28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3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0" borderId="0" xfId="3" applyFont="1"/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workbookViewId="0">
      <selection activeCell="B103" sqref="B103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7" customWidth="1"/>
    <col min="5" max="5" width="15" style="27" customWidth="1"/>
    <col min="6" max="6" width="13.44140625" style="27" customWidth="1"/>
    <col min="7" max="7" width="6.33203125" style="27" customWidth="1"/>
    <col min="8" max="8" width="19" style="27" customWidth="1"/>
    <col min="9" max="9" width="14.44140625" style="1" customWidth="1"/>
    <col min="10" max="10" width="20" style="27" customWidth="1"/>
    <col min="11" max="11" width="16.5546875" style="27" customWidth="1"/>
    <col min="12" max="16384" width="9.109375" style="1"/>
  </cols>
  <sheetData>
    <row r="1" spans="1:11" ht="49.5" customHeight="1" thickBot="1" x14ac:dyDescent="0.45">
      <c r="A1" s="53"/>
      <c r="B1" s="54"/>
      <c r="C1" s="54"/>
      <c r="D1" s="55"/>
      <c r="E1" s="55"/>
      <c r="F1" s="55"/>
      <c r="G1" s="55"/>
      <c r="H1" s="55"/>
      <c r="I1" s="56"/>
      <c r="J1" s="55"/>
      <c r="K1" s="55"/>
    </row>
    <row r="2" spans="1:11" ht="22.8" x14ac:dyDescent="0.4">
      <c r="A2" s="52" t="s">
        <v>39</v>
      </c>
      <c r="I2" s="2"/>
    </row>
    <row r="3" spans="1:11" x14ac:dyDescent="0.25">
      <c r="A3" s="3" t="s">
        <v>44</v>
      </c>
      <c r="B3" s="1" t="s">
        <v>50</v>
      </c>
      <c r="F3" s="34" t="s">
        <v>7</v>
      </c>
      <c r="G3" s="34"/>
      <c r="H3" s="69">
        <v>13</v>
      </c>
      <c r="I3" s="2"/>
      <c r="J3" s="49"/>
    </row>
    <row r="4" spans="1:11" x14ac:dyDescent="0.25">
      <c r="A4" s="3" t="s">
        <v>43</v>
      </c>
      <c r="B4" s="1" t="s">
        <v>51</v>
      </c>
      <c r="F4" s="34" t="s">
        <v>22</v>
      </c>
      <c r="G4" s="34"/>
      <c r="H4" s="70">
        <v>41625</v>
      </c>
      <c r="I4" s="2"/>
      <c r="J4" s="49"/>
    </row>
    <row r="5" spans="1:11" x14ac:dyDescent="0.25">
      <c r="A5" s="3" t="s">
        <v>8</v>
      </c>
      <c r="E5" s="27" t="s">
        <v>9</v>
      </c>
      <c r="F5" s="34" t="s">
        <v>0</v>
      </c>
      <c r="G5" s="34"/>
      <c r="H5" s="70">
        <v>41631</v>
      </c>
      <c r="I5" s="2"/>
    </row>
    <row r="6" spans="1:11" x14ac:dyDescent="0.25">
      <c r="A6" s="3"/>
      <c r="F6" s="34"/>
      <c r="G6" s="34"/>
      <c r="I6" s="2"/>
    </row>
    <row r="7" spans="1:11" ht="13.8" thickBot="1" x14ac:dyDescent="0.3">
      <c r="A7" s="3"/>
      <c r="I7" s="2"/>
    </row>
    <row r="8" spans="1:11" ht="14.4" thickTop="1" thickBot="1" x14ac:dyDescent="0.3">
      <c r="A8" s="58" t="s">
        <v>24</v>
      </c>
      <c r="B8" s="58" t="s">
        <v>25</v>
      </c>
      <c r="C8" s="57"/>
      <c r="D8" s="59" t="s">
        <v>23</v>
      </c>
      <c r="E8" s="59" t="s">
        <v>26</v>
      </c>
      <c r="F8" s="59" t="s">
        <v>27</v>
      </c>
      <c r="G8" s="60" t="s">
        <v>28</v>
      </c>
      <c r="H8" s="80" t="s">
        <v>29</v>
      </c>
      <c r="I8" s="81"/>
      <c r="J8" s="59" t="s">
        <v>30</v>
      </c>
      <c r="K8" s="59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5" t="s">
        <v>12</v>
      </c>
      <c r="E9" s="78" t="s">
        <v>32</v>
      </c>
      <c r="F9" s="79"/>
      <c r="G9" s="63" t="s">
        <v>6</v>
      </c>
      <c r="H9" s="35" t="s">
        <v>18</v>
      </c>
      <c r="I9" s="6" t="s">
        <v>13</v>
      </c>
      <c r="J9" s="28" t="s">
        <v>2</v>
      </c>
      <c r="K9" s="28" t="s">
        <v>3</v>
      </c>
    </row>
    <row r="10" spans="1:11" x14ac:dyDescent="0.25">
      <c r="A10" s="7" t="s">
        <v>42</v>
      </c>
      <c r="B10" s="8"/>
      <c r="C10" s="8" t="s">
        <v>15</v>
      </c>
      <c r="D10" s="36" t="s">
        <v>19</v>
      </c>
      <c r="E10" s="36" t="s">
        <v>33</v>
      </c>
      <c r="F10" s="29" t="s">
        <v>14</v>
      </c>
      <c r="G10" s="61" t="s">
        <v>6</v>
      </c>
      <c r="H10" s="36" t="s">
        <v>1</v>
      </c>
      <c r="I10" s="9" t="s">
        <v>16</v>
      </c>
      <c r="J10" s="29" t="s">
        <v>5</v>
      </c>
      <c r="K10" s="65">
        <v>0.05</v>
      </c>
    </row>
    <row r="11" spans="1:11" ht="13.8" thickBot="1" x14ac:dyDescent="0.3">
      <c r="A11" s="7" t="s">
        <v>40</v>
      </c>
      <c r="B11" s="8"/>
      <c r="C11" s="8"/>
      <c r="D11" s="36"/>
      <c r="E11" s="36" t="s">
        <v>38</v>
      </c>
      <c r="F11" s="29" t="s">
        <v>34</v>
      </c>
      <c r="G11" s="61"/>
      <c r="H11" s="36" t="s">
        <v>4</v>
      </c>
      <c r="I11" s="26"/>
      <c r="J11" s="29"/>
      <c r="K11" s="30"/>
    </row>
    <row r="12" spans="1:11" x14ac:dyDescent="0.25">
      <c r="A12" s="10"/>
      <c r="B12" s="11"/>
      <c r="C12" s="11"/>
      <c r="D12" s="37"/>
      <c r="E12" s="37"/>
      <c r="F12" s="38"/>
      <c r="G12" s="62"/>
      <c r="H12" s="37"/>
      <c r="I12" s="25"/>
      <c r="J12" s="50"/>
      <c r="K12" s="31"/>
    </row>
    <row r="13" spans="1:11" ht="13.8" x14ac:dyDescent="0.25">
      <c r="A13" s="64" t="s">
        <v>35</v>
      </c>
      <c r="B13" s="14" t="s">
        <v>36</v>
      </c>
      <c r="C13" s="15"/>
      <c r="D13" s="39">
        <f>SUM(D14:D64)</f>
        <v>1469800</v>
      </c>
      <c r="E13" s="40">
        <f>SUM(E14:E64)</f>
        <v>1125634</v>
      </c>
      <c r="F13" s="41">
        <f>SUM(F14:F64)</f>
        <v>93666</v>
      </c>
      <c r="G13" s="41"/>
      <c r="H13" s="41">
        <f>SUM(H14:H64)</f>
        <v>1219300</v>
      </c>
      <c r="I13" s="12"/>
      <c r="J13" s="48">
        <f>SUM(J14:J64)</f>
        <v>250500</v>
      </c>
      <c r="K13" s="32">
        <f>SUM(K14:K64)</f>
        <v>60965</v>
      </c>
    </row>
    <row r="14" spans="1:11" ht="13.8" x14ac:dyDescent="0.3">
      <c r="A14" s="13"/>
      <c r="B14" s="68" t="s">
        <v>46</v>
      </c>
      <c r="C14" s="15"/>
      <c r="D14" s="42">
        <v>33000</v>
      </c>
      <c r="E14" s="43">
        <v>33000</v>
      </c>
      <c r="F14" s="44">
        <f t="shared" ref="F14:F54" si="0">H14-E14</f>
        <v>0</v>
      </c>
      <c r="G14" s="47"/>
      <c r="H14" s="45">
        <v>33000</v>
      </c>
      <c r="I14" s="17">
        <f t="shared" ref="I14:I54" si="1">H14/D14</f>
        <v>1</v>
      </c>
      <c r="J14" s="51">
        <f>D14-H14</f>
        <v>0</v>
      </c>
      <c r="K14" s="33">
        <f>0.05*H14</f>
        <v>1650</v>
      </c>
    </row>
    <row r="15" spans="1:11" ht="13.8" x14ac:dyDescent="0.3">
      <c r="A15" s="66"/>
      <c r="B15" s="67" t="s">
        <v>47</v>
      </c>
      <c r="C15" s="16" t="s">
        <v>37</v>
      </c>
      <c r="D15" s="42">
        <v>39000</v>
      </c>
      <c r="E15" s="43">
        <v>39000</v>
      </c>
      <c r="F15" s="44">
        <f t="shared" si="0"/>
        <v>0</v>
      </c>
      <c r="G15" s="46"/>
      <c r="H15" s="45">
        <v>39000</v>
      </c>
      <c r="I15" s="17">
        <f t="shared" si="1"/>
        <v>1</v>
      </c>
      <c r="J15" s="51">
        <f t="shared" ref="J15:J54" si="2">D15-H15</f>
        <v>0</v>
      </c>
      <c r="K15" s="33">
        <f>0.05*H15</f>
        <v>1950</v>
      </c>
    </row>
    <row r="16" spans="1:11" ht="13.8" x14ac:dyDescent="0.3">
      <c r="A16" s="66" t="s">
        <v>48</v>
      </c>
      <c r="B16" s="67" t="s">
        <v>49</v>
      </c>
      <c r="C16" s="16" t="s">
        <v>37</v>
      </c>
      <c r="D16" s="42">
        <v>22400</v>
      </c>
      <c r="E16" s="43">
        <v>22400</v>
      </c>
      <c r="F16" s="44">
        <f t="shared" si="0"/>
        <v>0</v>
      </c>
      <c r="G16" s="46"/>
      <c r="H16" s="45">
        <v>22400</v>
      </c>
      <c r="I16" s="17">
        <f t="shared" si="1"/>
        <v>1</v>
      </c>
      <c r="J16" s="51">
        <f t="shared" si="2"/>
        <v>0</v>
      </c>
      <c r="K16" s="33">
        <f t="shared" ref="K16:K54" si="3">0.05*H16</f>
        <v>1120</v>
      </c>
    </row>
    <row r="17" spans="1:11" ht="13.8" x14ac:dyDescent="0.3">
      <c r="A17" s="66" t="s">
        <v>82</v>
      </c>
      <c r="B17" s="67" t="s">
        <v>81</v>
      </c>
      <c r="C17" s="16" t="s">
        <v>37</v>
      </c>
      <c r="D17" s="43">
        <v>3100</v>
      </c>
      <c r="E17" s="43">
        <v>3100</v>
      </c>
      <c r="F17" s="44">
        <f t="shared" si="0"/>
        <v>0</v>
      </c>
      <c r="G17" s="46"/>
      <c r="H17" s="45">
        <v>3100</v>
      </c>
      <c r="I17" s="17">
        <f t="shared" si="1"/>
        <v>1</v>
      </c>
      <c r="J17" s="51">
        <f t="shared" si="2"/>
        <v>0</v>
      </c>
      <c r="K17" s="33">
        <f t="shared" si="3"/>
        <v>155</v>
      </c>
    </row>
    <row r="18" spans="1:11" ht="13.8" x14ac:dyDescent="0.3">
      <c r="A18" s="66" t="s">
        <v>83</v>
      </c>
      <c r="B18" s="67" t="s">
        <v>86</v>
      </c>
      <c r="C18" s="16" t="s">
        <v>37</v>
      </c>
      <c r="D18" s="43">
        <v>6300</v>
      </c>
      <c r="E18" s="43">
        <v>6300</v>
      </c>
      <c r="F18" s="44">
        <f t="shared" si="0"/>
        <v>0</v>
      </c>
      <c r="G18" s="46"/>
      <c r="H18" s="45">
        <v>6300</v>
      </c>
      <c r="I18" s="17">
        <f t="shared" si="1"/>
        <v>1</v>
      </c>
      <c r="J18" s="51">
        <f t="shared" si="2"/>
        <v>0</v>
      </c>
      <c r="K18" s="33">
        <f t="shared" si="3"/>
        <v>315</v>
      </c>
    </row>
    <row r="19" spans="1:11" ht="13.8" x14ac:dyDescent="0.3">
      <c r="A19" s="66" t="s">
        <v>84</v>
      </c>
      <c r="B19" s="67" t="s">
        <v>85</v>
      </c>
      <c r="C19" s="16" t="s">
        <v>37</v>
      </c>
      <c r="D19" s="43">
        <v>20400</v>
      </c>
      <c r="E19" s="43">
        <v>20400</v>
      </c>
      <c r="F19" s="44">
        <f t="shared" si="0"/>
        <v>0</v>
      </c>
      <c r="G19" s="46"/>
      <c r="H19" s="45">
        <v>20400</v>
      </c>
      <c r="I19" s="17">
        <f t="shared" si="1"/>
        <v>1</v>
      </c>
      <c r="J19" s="51">
        <f t="shared" si="2"/>
        <v>0</v>
      </c>
      <c r="K19" s="33">
        <f t="shared" si="3"/>
        <v>1020</v>
      </c>
    </row>
    <row r="20" spans="1:11" ht="13.8" x14ac:dyDescent="0.3">
      <c r="A20" s="66" t="s">
        <v>87</v>
      </c>
      <c r="B20" s="67" t="s">
        <v>92</v>
      </c>
      <c r="C20" s="16" t="s">
        <v>37</v>
      </c>
      <c r="D20" s="43">
        <v>28700</v>
      </c>
      <c r="E20" s="43">
        <v>28700</v>
      </c>
      <c r="F20" s="44">
        <f t="shared" si="0"/>
        <v>0</v>
      </c>
      <c r="G20" s="46"/>
      <c r="H20" s="45">
        <v>28700</v>
      </c>
      <c r="I20" s="17">
        <f t="shared" si="1"/>
        <v>1</v>
      </c>
      <c r="J20" s="51">
        <f t="shared" si="2"/>
        <v>0</v>
      </c>
      <c r="K20" s="33">
        <f t="shared" si="3"/>
        <v>1435</v>
      </c>
    </row>
    <row r="21" spans="1:11" ht="13.8" x14ac:dyDescent="0.3">
      <c r="A21" s="66" t="s">
        <v>88</v>
      </c>
      <c r="B21" s="67" t="s">
        <v>93</v>
      </c>
      <c r="C21" s="16" t="s">
        <v>37</v>
      </c>
      <c r="D21" s="43">
        <v>36800</v>
      </c>
      <c r="E21" s="43">
        <v>36800</v>
      </c>
      <c r="F21" s="44">
        <f t="shared" si="0"/>
        <v>0</v>
      </c>
      <c r="G21" s="46"/>
      <c r="H21" s="45">
        <v>36800</v>
      </c>
      <c r="I21" s="17">
        <f t="shared" si="1"/>
        <v>1</v>
      </c>
      <c r="J21" s="51">
        <f t="shared" si="2"/>
        <v>0</v>
      </c>
      <c r="K21" s="33">
        <f t="shared" si="3"/>
        <v>1840</v>
      </c>
    </row>
    <row r="22" spans="1:11" ht="13.8" x14ac:dyDescent="0.3">
      <c r="A22" s="66" t="s">
        <v>89</v>
      </c>
      <c r="B22" s="67" t="s">
        <v>116</v>
      </c>
      <c r="C22" s="16" t="s">
        <v>37</v>
      </c>
      <c r="D22" s="43">
        <v>138500</v>
      </c>
      <c r="E22" s="43">
        <v>138500</v>
      </c>
      <c r="F22" s="44">
        <f t="shared" si="0"/>
        <v>0</v>
      </c>
      <c r="G22" s="46"/>
      <c r="H22" s="45">
        <v>138500</v>
      </c>
      <c r="I22" s="17">
        <f t="shared" si="1"/>
        <v>1</v>
      </c>
      <c r="J22" s="51">
        <f t="shared" si="2"/>
        <v>0</v>
      </c>
      <c r="K22" s="33">
        <f t="shared" si="3"/>
        <v>6925</v>
      </c>
    </row>
    <row r="23" spans="1:11" ht="13.8" x14ac:dyDescent="0.3">
      <c r="A23" s="66" t="s">
        <v>90</v>
      </c>
      <c r="B23" s="67" t="s">
        <v>115</v>
      </c>
      <c r="C23" s="16"/>
      <c r="D23" s="43">
        <v>16400</v>
      </c>
      <c r="E23" s="43">
        <v>0</v>
      </c>
      <c r="F23" s="44">
        <f t="shared" si="0"/>
        <v>16400</v>
      </c>
      <c r="G23" s="46"/>
      <c r="H23" s="45">
        <v>16400</v>
      </c>
      <c r="I23" s="17">
        <f t="shared" si="1"/>
        <v>1</v>
      </c>
      <c r="J23" s="51">
        <f t="shared" si="2"/>
        <v>0</v>
      </c>
      <c r="K23" s="33">
        <f t="shared" si="3"/>
        <v>820</v>
      </c>
    </row>
    <row r="24" spans="1:11" ht="13.8" x14ac:dyDescent="0.3">
      <c r="A24" s="66" t="s">
        <v>90</v>
      </c>
      <c r="B24" s="67" t="s">
        <v>91</v>
      </c>
      <c r="C24" s="16" t="s">
        <v>37</v>
      </c>
      <c r="D24" s="43">
        <v>4800</v>
      </c>
      <c r="E24" s="43">
        <v>0</v>
      </c>
      <c r="F24" s="44">
        <f t="shared" si="0"/>
        <v>0</v>
      </c>
      <c r="G24" s="46"/>
      <c r="H24" s="45">
        <v>0</v>
      </c>
      <c r="I24" s="17">
        <f t="shared" si="1"/>
        <v>0</v>
      </c>
      <c r="J24" s="51">
        <f t="shared" si="2"/>
        <v>4800</v>
      </c>
      <c r="K24" s="33">
        <f t="shared" si="3"/>
        <v>0</v>
      </c>
    </row>
    <row r="25" spans="1:11" ht="13.8" x14ac:dyDescent="0.3">
      <c r="A25" s="66" t="s">
        <v>52</v>
      </c>
      <c r="B25" s="67" t="s">
        <v>72</v>
      </c>
      <c r="C25" s="16"/>
      <c r="D25" s="43">
        <v>101600</v>
      </c>
      <c r="E25" s="43">
        <v>101600</v>
      </c>
      <c r="F25" s="44">
        <f t="shared" si="0"/>
        <v>0</v>
      </c>
      <c r="G25" s="46"/>
      <c r="H25" s="45">
        <v>101600</v>
      </c>
      <c r="I25" s="17">
        <f t="shared" si="1"/>
        <v>1</v>
      </c>
      <c r="J25" s="51">
        <f t="shared" si="2"/>
        <v>0</v>
      </c>
      <c r="K25" s="33">
        <f t="shared" si="3"/>
        <v>5080</v>
      </c>
    </row>
    <row r="26" spans="1:11" ht="13.8" x14ac:dyDescent="0.3">
      <c r="A26" s="66" t="s">
        <v>53</v>
      </c>
      <c r="B26" s="67" t="s">
        <v>73</v>
      </c>
      <c r="C26" s="16"/>
      <c r="D26" s="43">
        <v>67800</v>
      </c>
      <c r="E26" s="43">
        <v>67800</v>
      </c>
      <c r="F26" s="44">
        <f t="shared" si="0"/>
        <v>0</v>
      </c>
      <c r="G26" s="46"/>
      <c r="H26" s="45">
        <v>67800</v>
      </c>
      <c r="I26" s="17">
        <f t="shared" si="1"/>
        <v>1</v>
      </c>
      <c r="J26" s="51">
        <f t="shared" si="2"/>
        <v>0</v>
      </c>
      <c r="K26" s="33">
        <f t="shared" si="3"/>
        <v>3390</v>
      </c>
    </row>
    <row r="27" spans="1:11" ht="13.8" x14ac:dyDescent="0.3">
      <c r="A27" s="66" t="s">
        <v>52</v>
      </c>
      <c r="B27" s="67" t="s">
        <v>112</v>
      </c>
      <c r="C27" s="16"/>
      <c r="D27" s="43">
        <v>4600</v>
      </c>
      <c r="E27" s="43">
        <v>3406</v>
      </c>
      <c r="F27" s="44">
        <f t="shared" si="0"/>
        <v>1194</v>
      </c>
      <c r="G27" s="46"/>
      <c r="H27" s="45">
        <v>4600</v>
      </c>
      <c r="I27" s="17">
        <f t="shared" si="1"/>
        <v>1</v>
      </c>
      <c r="J27" s="51">
        <f t="shared" si="2"/>
        <v>0</v>
      </c>
      <c r="K27" s="33">
        <f t="shared" si="3"/>
        <v>230</v>
      </c>
    </row>
    <row r="28" spans="1:11" ht="13.8" x14ac:dyDescent="0.3">
      <c r="A28" s="66" t="s">
        <v>53</v>
      </c>
      <c r="B28" s="67" t="s">
        <v>111</v>
      </c>
      <c r="C28" s="16"/>
      <c r="D28" s="43">
        <v>2800</v>
      </c>
      <c r="E28" s="43">
        <v>2044</v>
      </c>
      <c r="F28" s="44">
        <f t="shared" si="0"/>
        <v>756</v>
      </c>
      <c r="G28" s="46"/>
      <c r="H28" s="45">
        <v>2800</v>
      </c>
      <c r="I28" s="17">
        <f t="shared" si="1"/>
        <v>1</v>
      </c>
      <c r="J28" s="51">
        <f t="shared" si="2"/>
        <v>0</v>
      </c>
      <c r="K28" s="33">
        <f t="shared" si="3"/>
        <v>140</v>
      </c>
    </row>
    <row r="29" spans="1:11" ht="13.8" x14ac:dyDescent="0.3">
      <c r="A29" s="66" t="s">
        <v>52</v>
      </c>
      <c r="B29" s="67" t="s">
        <v>113</v>
      </c>
      <c r="C29" s="16"/>
      <c r="D29" s="43">
        <v>1500</v>
      </c>
      <c r="E29" s="43">
        <v>0</v>
      </c>
      <c r="F29" s="44">
        <f t="shared" si="0"/>
        <v>1500</v>
      </c>
      <c r="G29" s="46"/>
      <c r="H29" s="45">
        <v>1500</v>
      </c>
      <c r="I29" s="17">
        <f t="shared" si="1"/>
        <v>1</v>
      </c>
      <c r="J29" s="51">
        <f t="shared" si="2"/>
        <v>0</v>
      </c>
      <c r="K29" s="33">
        <f t="shared" si="3"/>
        <v>75</v>
      </c>
    </row>
    <row r="30" spans="1:11" ht="13.8" x14ac:dyDescent="0.3">
      <c r="A30" s="66" t="s">
        <v>53</v>
      </c>
      <c r="B30" s="67" t="s">
        <v>114</v>
      </c>
      <c r="C30" s="16"/>
      <c r="D30" s="43">
        <v>900</v>
      </c>
      <c r="E30" s="43">
        <v>0</v>
      </c>
      <c r="F30" s="44">
        <f t="shared" si="0"/>
        <v>900</v>
      </c>
      <c r="G30" s="46"/>
      <c r="H30" s="45">
        <v>900</v>
      </c>
      <c r="I30" s="17">
        <f t="shared" si="1"/>
        <v>1</v>
      </c>
      <c r="J30" s="51">
        <f t="shared" si="2"/>
        <v>0</v>
      </c>
      <c r="K30" s="33">
        <f t="shared" si="3"/>
        <v>45</v>
      </c>
    </row>
    <row r="31" spans="1:11" ht="13.8" x14ac:dyDescent="0.3">
      <c r="A31" s="66" t="s">
        <v>54</v>
      </c>
      <c r="B31" s="67" t="s">
        <v>74</v>
      </c>
      <c r="C31" s="16"/>
      <c r="D31" s="43">
        <v>101700</v>
      </c>
      <c r="E31" s="43">
        <v>101700</v>
      </c>
      <c r="F31" s="44">
        <f t="shared" si="0"/>
        <v>0</v>
      </c>
      <c r="G31" s="46"/>
      <c r="H31" s="45">
        <v>101700</v>
      </c>
      <c r="I31" s="17">
        <f t="shared" si="1"/>
        <v>1</v>
      </c>
      <c r="J31" s="51">
        <f t="shared" si="2"/>
        <v>0</v>
      </c>
      <c r="K31" s="33">
        <f t="shared" si="3"/>
        <v>5085</v>
      </c>
    </row>
    <row r="32" spans="1:11" ht="13.8" x14ac:dyDescent="0.3">
      <c r="A32" s="66" t="s">
        <v>55</v>
      </c>
      <c r="B32" s="67" t="s">
        <v>75</v>
      </c>
      <c r="C32" s="16"/>
      <c r="D32" s="43">
        <v>67800</v>
      </c>
      <c r="E32" s="43">
        <v>61000</v>
      </c>
      <c r="F32" s="44">
        <f t="shared" si="0"/>
        <v>6800</v>
      </c>
      <c r="G32" s="46"/>
      <c r="H32" s="45">
        <v>67800</v>
      </c>
      <c r="I32" s="17">
        <f t="shared" si="1"/>
        <v>1</v>
      </c>
      <c r="J32" s="51">
        <f t="shared" si="2"/>
        <v>0</v>
      </c>
      <c r="K32" s="33">
        <f t="shared" si="3"/>
        <v>3390</v>
      </c>
    </row>
    <row r="33" spans="1:11" ht="13.8" x14ac:dyDescent="0.3">
      <c r="A33" s="66" t="s">
        <v>54</v>
      </c>
      <c r="B33" s="67" t="s">
        <v>110</v>
      </c>
      <c r="C33" s="16"/>
      <c r="D33" s="43">
        <v>5000</v>
      </c>
      <c r="E33" s="43">
        <v>3577</v>
      </c>
      <c r="F33" s="44">
        <f t="shared" si="0"/>
        <v>1423</v>
      </c>
      <c r="G33" s="46"/>
      <c r="H33" s="45">
        <v>5000</v>
      </c>
      <c r="I33" s="17">
        <f t="shared" si="1"/>
        <v>1</v>
      </c>
      <c r="J33" s="51">
        <f t="shared" si="2"/>
        <v>0</v>
      </c>
      <c r="K33" s="33">
        <f t="shared" si="3"/>
        <v>250</v>
      </c>
    </row>
    <row r="34" spans="1:11" ht="13.8" x14ac:dyDescent="0.3">
      <c r="A34" s="66" t="s">
        <v>55</v>
      </c>
      <c r="B34" s="67" t="s">
        <v>109</v>
      </c>
      <c r="C34" s="67" t="s">
        <v>45</v>
      </c>
      <c r="D34" s="43">
        <v>2800</v>
      </c>
      <c r="E34" s="43">
        <v>2044</v>
      </c>
      <c r="F34" s="44">
        <f t="shared" si="0"/>
        <v>756</v>
      </c>
      <c r="G34" s="46"/>
      <c r="H34" s="45">
        <v>2800</v>
      </c>
      <c r="I34" s="17">
        <f t="shared" si="1"/>
        <v>1</v>
      </c>
      <c r="J34" s="51">
        <f t="shared" si="2"/>
        <v>0</v>
      </c>
      <c r="K34" s="33">
        <f t="shared" si="3"/>
        <v>140</v>
      </c>
    </row>
    <row r="35" spans="1:11" ht="13.8" x14ac:dyDescent="0.3">
      <c r="A35" s="66" t="s">
        <v>54</v>
      </c>
      <c r="B35" s="67" t="s">
        <v>108</v>
      </c>
      <c r="C35" s="16"/>
      <c r="D35" s="43">
        <v>1600</v>
      </c>
      <c r="E35" s="43">
        <v>0</v>
      </c>
      <c r="F35" s="44">
        <f t="shared" si="0"/>
        <v>1600</v>
      </c>
      <c r="G35" s="46"/>
      <c r="H35" s="45">
        <v>1600</v>
      </c>
      <c r="I35" s="17">
        <f t="shared" si="1"/>
        <v>1</v>
      </c>
      <c r="J35" s="51">
        <f t="shared" si="2"/>
        <v>0</v>
      </c>
      <c r="K35" s="33">
        <f t="shared" si="3"/>
        <v>80</v>
      </c>
    </row>
    <row r="36" spans="1:11" ht="13.8" x14ac:dyDescent="0.3">
      <c r="A36" s="66" t="s">
        <v>55</v>
      </c>
      <c r="B36" s="67" t="s">
        <v>107</v>
      </c>
      <c r="C36" s="16"/>
      <c r="D36" s="43">
        <v>900</v>
      </c>
      <c r="E36" s="43">
        <v>0</v>
      </c>
      <c r="F36" s="44">
        <f t="shared" si="0"/>
        <v>900</v>
      </c>
      <c r="G36" s="46"/>
      <c r="H36" s="45">
        <v>900</v>
      </c>
      <c r="I36" s="17">
        <f t="shared" si="1"/>
        <v>1</v>
      </c>
      <c r="J36" s="51">
        <f t="shared" si="2"/>
        <v>0</v>
      </c>
      <c r="K36" s="33">
        <f t="shared" si="3"/>
        <v>45</v>
      </c>
    </row>
    <row r="37" spans="1:11" ht="13.8" x14ac:dyDescent="0.3">
      <c r="A37" s="66" t="s">
        <v>56</v>
      </c>
      <c r="B37" s="67" t="s">
        <v>76</v>
      </c>
      <c r="C37" s="16"/>
      <c r="D37" s="43">
        <v>101700</v>
      </c>
      <c r="E37" s="43">
        <v>91500</v>
      </c>
      <c r="F37" s="44">
        <f t="shared" si="0"/>
        <v>10200</v>
      </c>
      <c r="G37" s="46"/>
      <c r="H37" s="45">
        <v>101700</v>
      </c>
      <c r="I37" s="17">
        <f t="shared" si="1"/>
        <v>1</v>
      </c>
      <c r="J37" s="51">
        <f t="shared" si="2"/>
        <v>0</v>
      </c>
      <c r="K37" s="33">
        <f t="shared" si="3"/>
        <v>5085</v>
      </c>
    </row>
    <row r="38" spans="1:11" ht="13.8" x14ac:dyDescent="0.3">
      <c r="A38" s="66" t="s">
        <v>57</v>
      </c>
      <c r="B38" s="67" t="s">
        <v>77</v>
      </c>
      <c r="C38" s="16"/>
      <c r="D38" s="43">
        <v>67800</v>
      </c>
      <c r="E38" s="43">
        <v>54300</v>
      </c>
      <c r="F38" s="44">
        <f t="shared" si="0"/>
        <v>13500</v>
      </c>
      <c r="G38" s="46"/>
      <c r="H38" s="45">
        <v>67800</v>
      </c>
      <c r="I38" s="17">
        <f t="shared" si="1"/>
        <v>1</v>
      </c>
      <c r="J38" s="51">
        <f t="shared" si="2"/>
        <v>0</v>
      </c>
      <c r="K38" s="33">
        <f t="shared" si="3"/>
        <v>3390</v>
      </c>
    </row>
    <row r="39" spans="1:11" ht="13.8" x14ac:dyDescent="0.3">
      <c r="A39" s="66" t="s">
        <v>56</v>
      </c>
      <c r="B39" s="67" t="s">
        <v>102</v>
      </c>
      <c r="C39" s="16"/>
      <c r="D39" s="43">
        <v>5000</v>
      </c>
      <c r="E39" s="43">
        <v>3577</v>
      </c>
      <c r="F39" s="44">
        <f t="shared" si="0"/>
        <v>1423</v>
      </c>
      <c r="G39" s="46"/>
      <c r="H39" s="45">
        <v>5000</v>
      </c>
      <c r="I39" s="17">
        <f t="shared" si="1"/>
        <v>1</v>
      </c>
      <c r="J39" s="51">
        <f t="shared" si="2"/>
        <v>0</v>
      </c>
      <c r="K39" s="33">
        <f t="shared" si="3"/>
        <v>250</v>
      </c>
    </row>
    <row r="40" spans="1:11" ht="13.8" x14ac:dyDescent="0.3">
      <c r="A40" s="66" t="s">
        <v>57</v>
      </c>
      <c r="B40" s="67" t="s">
        <v>101</v>
      </c>
      <c r="C40" s="16"/>
      <c r="D40" s="43">
        <v>2800</v>
      </c>
      <c r="E40" s="43">
        <v>2044</v>
      </c>
      <c r="F40" s="44">
        <f t="shared" si="0"/>
        <v>756</v>
      </c>
      <c r="G40" s="46"/>
      <c r="H40" s="45">
        <v>2800</v>
      </c>
      <c r="I40" s="17">
        <f t="shared" si="1"/>
        <v>1</v>
      </c>
      <c r="J40" s="51">
        <f t="shared" si="2"/>
        <v>0</v>
      </c>
      <c r="K40" s="33">
        <f t="shared" si="3"/>
        <v>140</v>
      </c>
    </row>
    <row r="41" spans="1:11" ht="13.8" x14ac:dyDescent="0.3">
      <c r="A41" s="66" t="s">
        <v>56</v>
      </c>
      <c r="B41" s="67" t="s">
        <v>103</v>
      </c>
      <c r="C41" s="16"/>
      <c r="D41" s="43">
        <v>1600</v>
      </c>
      <c r="E41" s="43">
        <v>0</v>
      </c>
      <c r="F41" s="44">
        <f t="shared" si="0"/>
        <v>1600</v>
      </c>
      <c r="G41" s="46"/>
      <c r="H41" s="45">
        <v>1600</v>
      </c>
      <c r="I41" s="17">
        <f t="shared" si="1"/>
        <v>1</v>
      </c>
      <c r="J41" s="51">
        <f t="shared" si="2"/>
        <v>0</v>
      </c>
      <c r="K41" s="33">
        <f t="shared" si="3"/>
        <v>80</v>
      </c>
    </row>
    <row r="42" spans="1:11" ht="13.8" x14ac:dyDescent="0.3">
      <c r="A42" s="66" t="s">
        <v>57</v>
      </c>
      <c r="B42" s="67" t="s">
        <v>104</v>
      </c>
      <c r="C42" s="16"/>
      <c r="D42" s="43">
        <v>900</v>
      </c>
      <c r="E42" s="43">
        <v>0</v>
      </c>
      <c r="F42" s="44">
        <f t="shared" si="0"/>
        <v>900</v>
      </c>
      <c r="G42" s="46"/>
      <c r="H42" s="45">
        <v>900</v>
      </c>
      <c r="I42" s="17">
        <f t="shared" si="1"/>
        <v>1</v>
      </c>
      <c r="J42" s="51">
        <f t="shared" si="2"/>
        <v>0</v>
      </c>
      <c r="K42" s="33">
        <f t="shared" si="3"/>
        <v>45</v>
      </c>
    </row>
    <row r="43" spans="1:11" ht="13.8" x14ac:dyDescent="0.3">
      <c r="A43" s="66" t="s">
        <v>58</v>
      </c>
      <c r="B43" s="67" t="s">
        <v>78</v>
      </c>
      <c r="C43" s="16"/>
      <c r="D43" s="43">
        <v>101700</v>
      </c>
      <c r="E43" s="43">
        <v>91500</v>
      </c>
      <c r="F43" s="44">
        <f t="shared" si="0"/>
        <v>10200</v>
      </c>
      <c r="G43" s="46"/>
      <c r="H43" s="45">
        <v>101700</v>
      </c>
      <c r="I43" s="17">
        <f t="shared" si="1"/>
        <v>1</v>
      </c>
      <c r="J43" s="51">
        <f t="shared" si="2"/>
        <v>0</v>
      </c>
      <c r="K43" s="33">
        <f t="shared" si="3"/>
        <v>5085</v>
      </c>
    </row>
    <row r="44" spans="1:11" ht="13.8" x14ac:dyDescent="0.3">
      <c r="A44" s="66" t="s">
        <v>59</v>
      </c>
      <c r="B44" s="67" t="s">
        <v>79</v>
      </c>
      <c r="C44" s="16"/>
      <c r="D44" s="43">
        <v>67800</v>
      </c>
      <c r="E44" s="43">
        <v>54300</v>
      </c>
      <c r="F44" s="44">
        <f t="shared" si="0"/>
        <v>13500</v>
      </c>
      <c r="G44" s="46"/>
      <c r="H44" s="45">
        <v>67800</v>
      </c>
      <c r="I44" s="17">
        <f t="shared" si="1"/>
        <v>1</v>
      </c>
      <c r="J44" s="51">
        <f t="shared" si="2"/>
        <v>0</v>
      </c>
      <c r="K44" s="33">
        <f t="shared" si="3"/>
        <v>3390</v>
      </c>
    </row>
    <row r="45" spans="1:11" ht="13.8" x14ac:dyDescent="0.3">
      <c r="A45" s="66" t="s">
        <v>58</v>
      </c>
      <c r="B45" s="67" t="s">
        <v>100</v>
      </c>
      <c r="C45" s="16"/>
      <c r="D45" s="43">
        <v>5000</v>
      </c>
      <c r="E45" s="43">
        <v>3577</v>
      </c>
      <c r="F45" s="44">
        <f t="shared" si="0"/>
        <v>1423</v>
      </c>
      <c r="G45" s="46"/>
      <c r="H45" s="45">
        <v>5000</v>
      </c>
      <c r="I45" s="17">
        <f t="shared" si="1"/>
        <v>1</v>
      </c>
      <c r="J45" s="51">
        <f t="shared" si="2"/>
        <v>0</v>
      </c>
      <c r="K45" s="33">
        <f t="shared" si="3"/>
        <v>250</v>
      </c>
    </row>
    <row r="46" spans="1:11" ht="13.8" x14ac:dyDescent="0.3">
      <c r="A46" s="66" t="s">
        <v>59</v>
      </c>
      <c r="B46" s="67" t="s">
        <v>99</v>
      </c>
      <c r="C46" s="16"/>
      <c r="D46" s="43">
        <v>2800</v>
      </c>
      <c r="E46" s="43">
        <v>2044</v>
      </c>
      <c r="F46" s="44">
        <f t="shared" si="0"/>
        <v>756</v>
      </c>
      <c r="G46" s="46"/>
      <c r="H46" s="45">
        <v>2800</v>
      </c>
      <c r="I46" s="17">
        <f t="shared" si="1"/>
        <v>1</v>
      </c>
      <c r="J46" s="51">
        <f t="shared" si="2"/>
        <v>0</v>
      </c>
      <c r="K46" s="33">
        <f t="shared" si="3"/>
        <v>140</v>
      </c>
    </row>
    <row r="47" spans="1:11" ht="13.8" x14ac:dyDescent="0.3">
      <c r="A47" s="66" t="s">
        <v>58</v>
      </c>
      <c r="B47" s="67" t="s">
        <v>98</v>
      </c>
      <c r="C47" s="16"/>
      <c r="D47" s="43">
        <v>1600</v>
      </c>
      <c r="E47" s="43">
        <v>0</v>
      </c>
      <c r="F47" s="44">
        <f t="shared" si="0"/>
        <v>1600</v>
      </c>
      <c r="G47" s="46"/>
      <c r="H47" s="45">
        <v>1600</v>
      </c>
      <c r="I47" s="17">
        <f t="shared" si="1"/>
        <v>1</v>
      </c>
      <c r="J47" s="51">
        <f t="shared" si="2"/>
        <v>0</v>
      </c>
      <c r="K47" s="33">
        <f t="shared" si="3"/>
        <v>80</v>
      </c>
    </row>
    <row r="48" spans="1:11" ht="13.8" x14ac:dyDescent="0.3">
      <c r="A48" s="66" t="s">
        <v>59</v>
      </c>
      <c r="B48" s="67" t="s">
        <v>97</v>
      </c>
      <c r="C48" s="16"/>
      <c r="D48" s="43">
        <v>900</v>
      </c>
      <c r="E48" s="43">
        <v>0</v>
      </c>
      <c r="F48" s="44">
        <f t="shared" si="0"/>
        <v>900</v>
      </c>
      <c r="G48" s="46"/>
      <c r="H48" s="45">
        <v>900</v>
      </c>
      <c r="I48" s="17">
        <f t="shared" si="1"/>
        <v>1</v>
      </c>
      <c r="J48" s="51">
        <f t="shared" si="2"/>
        <v>0</v>
      </c>
      <c r="K48" s="33">
        <f t="shared" si="3"/>
        <v>45</v>
      </c>
    </row>
    <row r="49" spans="1:11" ht="13.8" x14ac:dyDescent="0.3">
      <c r="A49" s="66" t="s">
        <v>60</v>
      </c>
      <c r="B49" s="67" t="s">
        <v>80</v>
      </c>
      <c r="C49" s="16"/>
      <c r="D49" s="43">
        <v>101700</v>
      </c>
      <c r="E49" s="43">
        <v>91500</v>
      </c>
      <c r="F49" s="44">
        <f t="shared" si="0"/>
        <v>0</v>
      </c>
      <c r="G49" s="46"/>
      <c r="H49" s="45">
        <v>91500</v>
      </c>
      <c r="I49" s="17">
        <f t="shared" si="1"/>
        <v>0.89970501474926257</v>
      </c>
      <c r="J49" s="51">
        <f t="shared" si="2"/>
        <v>10200</v>
      </c>
      <c r="K49" s="33">
        <f t="shared" si="3"/>
        <v>4575</v>
      </c>
    </row>
    <row r="50" spans="1:11" ht="13.8" x14ac:dyDescent="0.3">
      <c r="A50" s="66" t="s">
        <v>61</v>
      </c>
      <c r="B50" s="67" t="s">
        <v>94</v>
      </c>
      <c r="C50" s="16"/>
      <c r="D50" s="43">
        <v>67800</v>
      </c>
      <c r="E50" s="43">
        <v>54300</v>
      </c>
      <c r="F50" s="44">
        <f t="shared" si="0"/>
        <v>0</v>
      </c>
      <c r="G50" s="46"/>
      <c r="H50" s="45">
        <v>54300</v>
      </c>
      <c r="I50" s="17">
        <f t="shared" si="1"/>
        <v>0.80088495575221241</v>
      </c>
      <c r="J50" s="51">
        <f t="shared" si="2"/>
        <v>13500</v>
      </c>
      <c r="K50" s="33">
        <f t="shared" si="3"/>
        <v>2715</v>
      </c>
    </row>
    <row r="51" spans="1:11" ht="13.8" x14ac:dyDescent="0.3">
      <c r="A51" s="66" t="s">
        <v>60</v>
      </c>
      <c r="B51" s="67" t="s">
        <v>96</v>
      </c>
      <c r="C51" s="16"/>
      <c r="D51" s="43">
        <v>5000</v>
      </c>
      <c r="E51" s="43">
        <v>3577</v>
      </c>
      <c r="F51" s="44">
        <f t="shared" si="0"/>
        <v>1423</v>
      </c>
      <c r="G51" s="46"/>
      <c r="H51" s="45">
        <v>5000</v>
      </c>
      <c r="I51" s="17">
        <f t="shared" si="1"/>
        <v>1</v>
      </c>
      <c r="J51" s="51">
        <f t="shared" si="2"/>
        <v>0</v>
      </c>
      <c r="K51" s="33">
        <f t="shared" si="3"/>
        <v>250</v>
      </c>
    </row>
    <row r="52" spans="1:11" ht="13.8" x14ac:dyDescent="0.3">
      <c r="A52" s="66" t="s">
        <v>61</v>
      </c>
      <c r="B52" s="67" t="s">
        <v>95</v>
      </c>
      <c r="C52" s="16"/>
      <c r="D52" s="43">
        <v>2800</v>
      </c>
      <c r="E52" s="43">
        <v>2044</v>
      </c>
      <c r="F52" s="44">
        <f t="shared" si="0"/>
        <v>756</v>
      </c>
      <c r="G52" s="46"/>
      <c r="H52" s="45">
        <v>2800</v>
      </c>
      <c r="I52" s="17">
        <f t="shared" si="1"/>
        <v>1</v>
      </c>
      <c r="J52" s="51">
        <f t="shared" si="2"/>
        <v>0</v>
      </c>
      <c r="K52" s="33">
        <f t="shared" si="3"/>
        <v>140</v>
      </c>
    </row>
    <row r="53" spans="1:11" ht="13.8" x14ac:dyDescent="0.3">
      <c r="A53" s="66" t="s">
        <v>60</v>
      </c>
      <c r="B53" s="67" t="s">
        <v>105</v>
      </c>
      <c r="C53" s="16"/>
      <c r="D53" s="43">
        <v>1600</v>
      </c>
      <c r="E53" s="43">
        <v>0</v>
      </c>
      <c r="F53" s="44">
        <f t="shared" si="0"/>
        <v>1600</v>
      </c>
      <c r="G53" s="46"/>
      <c r="H53" s="45">
        <v>1600</v>
      </c>
      <c r="I53" s="17">
        <f t="shared" si="1"/>
        <v>1</v>
      </c>
      <c r="J53" s="51">
        <f t="shared" si="2"/>
        <v>0</v>
      </c>
      <c r="K53" s="33">
        <f t="shared" si="3"/>
        <v>80</v>
      </c>
    </row>
    <row r="54" spans="1:11" ht="13.8" x14ac:dyDescent="0.3">
      <c r="A54" s="66" t="s">
        <v>61</v>
      </c>
      <c r="B54" s="67" t="s">
        <v>106</v>
      </c>
      <c r="C54" s="16"/>
      <c r="D54" s="43">
        <v>900</v>
      </c>
      <c r="E54" s="43">
        <v>0</v>
      </c>
      <c r="F54" s="44">
        <f t="shared" si="0"/>
        <v>900</v>
      </c>
      <c r="G54" s="46"/>
      <c r="H54" s="45">
        <v>900</v>
      </c>
      <c r="I54" s="17">
        <f t="shared" si="1"/>
        <v>1</v>
      </c>
      <c r="J54" s="51">
        <f t="shared" si="2"/>
        <v>0</v>
      </c>
      <c r="K54" s="33">
        <f t="shared" si="3"/>
        <v>45</v>
      </c>
    </row>
    <row r="55" spans="1:11" ht="13.8" x14ac:dyDescent="0.3">
      <c r="A55" s="66" t="s">
        <v>52</v>
      </c>
      <c r="B55" s="67" t="s">
        <v>62</v>
      </c>
      <c r="C55" s="16"/>
      <c r="D55" s="43">
        <v>26600</v>
      </c>
      <c r="E55" s="43">
        <v>0</v>
      </c>
      <c r="F55" s="44">
        <f t="shared" ref="F55:F64" si="4">H55-E55</f>
        <v>0</v>
      </c>
      <c r="G55" s="46"/>
      <c r="H55" s="45">
        <v>0</v>
      </c>
      <c r="I55" s="17">
        <f t="shared" ref="I55:I64" si="5">H55/D55</f>
        <v>0</v>
      </c>
      <c r="J55" s="51">
        <f t="shared" ref="J55:J86" si="6">D55-H55</f>
        <v>26600</v>
      </c>
      <c r="K55" s="33">
        <f t="shared" ref="K55:K64" si="7">0.05*H55</f>
        <v>0</v>
      </c>
    </row>
    <row r="56" spans="1:11" ht="13.8" x14ac:dyDescent="0.3">
      <c r="A56" s="66" t="s">
        <v>53</v>
      </c>
      <c r="B56" s="67" t="s">
        <v>63</v>
      </c>
      <c r="C56" s="16"/>
      <c r="D56" s="43">
        <v>17800</v>
      </c>
      <c r="E56" s="43">
        <v>0</v>
      </c>
      <c r="F56" s="44">
        <f t="shared" si="4"/>
        <v>0</v>
      </c>
      <c r="G56" s="46"/>
      <c r="H56" s="45">
        <v>0</v>
      </c>
      <c r="I56" s="17">
        <f t="shared" si="5"/>
        <v>0</v>
      </c>
      <c r="J56" s="51">
        <f t="shared" si="6"/>
        <v>17800</v>
      </c>
      <c r="K56" s="33">
        <f t="shared" si="7"/>
        <v>0</v>
      </c>
    </row>
    <row r="57" spans="1:11" ht="13.8" x14ac:dyDescent="0.3">
      <c r="A57" s="66" t="s">
        <v>54</v>
      </c>
      <c r="B57" s="67" t="s">
        <v>71</v>
      </c>
      <c r="C57" s="16"/>
      <c r="D57" s="43">
        <v>26600</v>
      </c>
      <c r="E57" s="43">
        <v>0</v>
      </c>
      <c r="F57" s="44">
        <f t="shared" si="4"/>
        <v>0</v>
      </c>
      <c r="G57" s="46"/>
      <c r="H57" s="45">
        <v>0</v>
      </c>
      <c r="I57" s="17">
        <f t="shared" si="5"/>
        <v>0</v>
      </c>
      <c r="J57" s="51">
        <f t="shared" si="6"/>
        <v>26600</v>
      </c>
      <c r="K57" s="33">
        <f t="shared" si="7"/>
        <v>0</v>
      </c>
    </row>
    <row r="58" spans="1:11" ht="13.8" x14ac:dyDescent="0.3">
      <c r="A58" s="66" t="s">
        <v>55</v>
      </c>
      <c r="B58" s="67" t="s">
        <v>64</v>
      </c>
      <c r="C58" s="16"/>
      <c r="D58" s="43">
        <v>17800</v>
      </c>
      <c r="E58" s="43">
        <v>0</v>
      </c>
      <c r="F58" s="44">
        <f t="shared" si="4"/>
        <v>0</v>
      </c>
      <c r="G58" s="46"/>
      <c r="H58" s="45">
        <v>0</v>
      </c>
      <c r="I58" s="17">
        <f t="shared" si="5"/>
        <v>0</v>
      </c>
      <c r="J58" s="51">
        <f t="shared" si="6"/>
        <v>17800</v>
      </c>
      <c r="K58" s="33">
        <f t="shared" si="7"/>
        <v>0</v>
      </c>
    </row>
    <row r="59" spans="1:11" ht="13.8" x14ac:dyDescent="0.3">
      <c r="A59" s="66" t="s">
        <v>56</v>
      </c>
      <c r="B59" s="67" t="s">
        <v>65</v>
      </c>
      <c r="C59" s="16"/>
      <c r="D59" s="43">
        <v>26600</v>
      </c>
      <c r="E59" s="43">
        <v>0</v>
      </c>
      <c r="F59" s="44">
        <f t="shared" si="4"/>
        <v>0</v>
      </c>
      <c r="G59" s="46"/>
      <c r="H59" s="45">
        <v>0</v>
      </c>
      <c r="I59" s="17">
        <f t="shared" si="5"/>
        <v>0</v>
      </c>
      <c r="J59" s="51">
        <f t="shared" si="6"/>
        <v>26600</v>
      </c>
      <c r="K59" s="33">
        <f t="shared" si="7"/>
        <v>0</v>
      </c>
    </row>
    <row r="60" spans="1:11" ht="13.8" x14ac:dyDescent="0.3">
      <c r="A60" s="66" t="s">
        <v>57</v>
      </c>
      <c r="B60" s="67" t="s">
        <v>66</v>
      </c>
      <c r="C60" s="16"/>
      <c r="D60" s="43">
        <v>17800</v>
      </c>
      <c r="E60" s="43">
        <v>0</v>
      </c>
      <c r="F60" s="44">
        <f t="shared" si="4"/>
        <v>0</v>
      </c>
      <c r="G60" s="46"/>
      <c r="H60" s="45">
        <v>0</v>
      </c>
      <c r="I60" s="17">
        <f t="shared" si="5"/>
        <v>0</v>
      </c>
      <c r="J60" s="51">
        <f t="shared" si="6"/>
        <v>17800</v>
      </c>
      <c r="K60" s="33">
        <f t="shared" si="7"/>
        <v>0</v>
      </c>
    </row>
    <row r="61" spans="1:11" ht="13.8" x14ac:dyDescent="0.3">
      <c r="A61" s="66" t="s">
        <v>58</v>
      </c>
      <c r="B61" s="67" t="s">
        <v>67</v>
      </c>
      <c r="C61" s="16"/>
      <c r="D61" s="43">
        <v>26600</v>
      </c>
      <c r="E61" s="43">
        <v>0</v>
      </c>
      <c r="F61" s="44">
        <f t="shared" si="4"/>
        <v>0</v>
      </c>
      <c r="G61" s="46"/>
      <c r="H61" s="45">
        <v>0</v>
      </c>
      <c r="I61" s="17">
        <f t="shared" si="5"/>
        <v>0</v>
      </c>
      <c r="J61" s="51">
        <f t="shared" si="6"/>
        <v>26600</v>
      </c>
      <c r="K61" s="33">
        <f t="shared" si="7"/>
        <v>0</v>
      </c>
    </row>
    <row r="62" spans="1:11" ht="13.8" x14ac:dyDescent="0.3">
      <c r="A62" s="66" t="s">
        <v>59</v>
      </c>
      <c r="B62" s="67" t="s">
        <v>68</v>
      </c>
      <c r="C62" s="16"/>
      <c r="D62" s="43">
        <v>17800</v>
      </c>
      <c r="E62" s="43">
        <v>0</v>
      </c>
      <c r="F62" s="44">
        <f t="shared" si="4"/>
        <v>0</v>
      </c>
      <c r="G62" s="46"/>
      <c r="H62" s="45">
        <v>0</v>
      </c>
      <c r="I62" s="17">
        <f t="shared" si="5"/>
        <v>0</v>
      </c>
      <c r="J62" s="51">
        <f t="shared" si="6"/>
        <v>17800</v>
      </c>
      <c r="K62" s="33">
        <f t="shared" si="7"/>
        <v>0</v>
      </c>
    </row>
    <row r="63" spans="1:11" ht="13.8" x14ac:dyDescent="0.3">
      <c r="A63" s="66" t="s">
        <v>60</v>
      </c>
      <c r="B63" s="67" t="s">
        <v>69</v>
      </c>
      <c r="C63" s="16"/>
      <c r="D63" s="43">
        <v>26600</v>
      </c>
      <c r="E63" s="43">
        <v>0</v>
      </c>
      <c r="F63" s="44">
        <f t="shared" si="4"/>
        <v>0</v>
      </c>
      <c r="G63" s="46"/>
      <c r="H63" s="45">
        <v>0</v>
      </c>
      <c r="I63" s="17">
        <f t="shared" si="5"/>
        <v>0</v>
      </c>
      <c r="J63" s="51">
        <f t="shared" si="6"/>
        <v>26600</v>
      </c>
      <c r="K63" s="33">
        <f t="shared" si="7"/>
        <v>0</v>
      </c>
    </row>
    <row r="64" spans="1:11" ht="13.8" x14ac:dyDescent="0.3">
      <c r="A64" s="66" t="s">
        <v>61</v>
      </c>
      <c r="B64" s="67" t="s">
        <v>70</v>
      </c>
      <c r="C64" s="16"/>
      <c r="D64" s="43">
        <v>17800</v>
      </c>
      <c r="E64" s="43">
        <v>0</v>
      </c>
      <c r="F64" s="44">
        <f t="shared" si="4"/>
        <v>0</v>
      </c>
      <c r="G64" s="46"/>
      <c r="H64" s="45">
        <v>0</v>
      </c>
      <c r="I64" s="17">
        <f t="shared" si="5"/>
        <v>0</v>
      </c>
      <c r="J64" s="51">
        <f t="shared" si="6"/>
        <v>17800</v>
      </c>
      <c r="K64" s="33">
        <f t="shared" si="7"/>
        <v>0</v>
      </c>
    </row>
    <row r="65" spans="1:11" ht="13.8" x14ac:dyDescent="0.25">
      <c r="A65" s="82" t="s">
        <v>20</v>
      </c>
      <c r="B65" s="83"/>
      <c r="C65" s="16"/>
      <c r="D65" s="43">
        <f t="shared" ref="D65:I65" si="8">SUM(D14:D64)</f>
        <v>1469800</v>
      </c>
      <c r="E65" s="43">
        <f t="shared" si="8"/>
        <v>1125634</v>
      </c>
      <c r="F65" s="43">
        <f t="shared" si="8"/>
        <v>93666</v>
      </c>
      <c r="G65" s="43">
        <f t="shared" si="8"/>
        <v>0</v>
      </c>
      <c r="H65" s="43">
        <f t="shared" si="8"/>
        <v>1219300</v>
      </c>
      <c r="I65" s="43">
        <f t="shared" si="8"/>
        <v>39.700589970501476</v>
      </c>
      <c r="J65" s="51">
        <f>D65-H65</f>
        <v>250500</v>
      </c>
      <c r="K65" s="43">
        <f>SUM(K14:K64)</f>
        <v>60965</v>
      </c>
    </row>
    <row r="66" spans="1:11" ht="20.100000000000001" customHeight="1" x14ac:dyDescent="0.25">
      <c r="A66" s="18"/>
      <c r="B66" s="15" t="s">
        <v>17</v>
      </c>
      <c r="C66" s="16"/>
      <c r="D66" s="43"/>
      <c r="E66" s="43"/>
      <c r="F66" s="44"/>
      <c r="G66" s="46"/>
      <c r="H66" s="45"/>
      <c r="I66" s="17"/>
      <c r="J66" s="51"/>
      <c r="K66" s="33"/>
    </row>
    <row r="67" spans="1:11" x14ac:dyDescent="0.25">
      <c r="A67" s="72" t="s">
        <v>117</v>
      </c>
      <c r="B67" s="76" t="s">
        <v>121</v>
      </c>
      <c r="C67" s="20"/>
      <c r="D67" s="43">
        <v>-55000</v>
      </c>
      <c r="E67" s="43">
        <v>-55000</v>
      </c>
      <c r="F67" s="44">
        <f t="shared" ref="F67:F85" si="9">H67-E67</f>
        <v>0</v>
      </c>
      <c r="G67" s="40"/>
      <c r="H67" s="45">
        <v>-55000</v>
      </c>
      <c r="I67" s="17">
        <f t="shared" ref="I67:I85" si="10">H67/D67</f>
        <v>1</v>
      </c>
      <c r="J67" s="51">
        <f t="shared" si="6"/>
        <v>0</v>
      </c>
      <c r="K67" s="33">
        <f t="shared" ref="K67:K85" si="11">0.05*H67</f>
        <v>-2750</v>
      </c>
    </row>
    <row r="68" spans="1:11" x14ac:dyDescent="0.25">
      <c r="A68" s="72" t="s">
        <v>117</v>
      </c>
      <c r="B68" s="75" t="s">
        <v>120</v>
      </c>
      <c r="C68" s="16"/>
      <c r="D68" s="43">
        <v>-25000</v>
      </c>
      <c r="E68" s="43">
        <v>-25000</v>
      </c>
      <c r="F68" s="44">
        <f t="shared" si="9"/>
        <v>0</v>
      </c>
      <c r="G68" s="46"/>
      <c r="H68" s="45">
        <v>-25000</v>
      </c>
      <c r="I68" s="17">
        <f t="shared" si="10"/>
        <v>1</v>
      </c>
      <c r="J68" s="51">
        <f t="shared" si="6"/>
        <v>0</v>
      </c>
      <c r="K68" s="33">
        <f t="shared" si="11"/>
        <v>-1250</v>
      </c>
    </row>
    <row r="69" spans="1:11" ht="12" customHeight="1" x14ac:dyDescent="0.25">
      <c r="A69" s="72" t="s">
        <v>118</v>
      </c>
      <c r="B69" s="71" t="s">
        <v>119</v>
      </c>
      <c r="C69" s="16"/>
      <c r="D69" s="43">
        <v>-8837</v>
      </c>
      <c r="E69" s="43">
        <v>-8837</v>
      </c>
      <c r="F69" s="44">
        <f t="shared" si="9"/>
        <v>0</v>
      </c>
      <c r="G69" s="46"/>
      <c r="H69" s="45">
        <v>-8837</v>
      </c>
      <c r="I69" s="17">
        <f t="shared" si="10"/>
        <v>1</v>
      </c>
      <c r="J69" s="51">
        <f t="shared" si="6"/>
        <v>0</v>
      </c>
      <c r="K69" s="33">
        <f t="shared" si="11"/>
        <v>-441.85</v>
      </c>
    </row>
    <row r="70" spans="1:11" ht="12" customHeight="1" x14ac:dyDescent="0.25">
      <c r="A70" s="72" t="s">
        <v>122</v>
      </c>
      <c r="B70" s="84" t="s">
        <v>124</v>
      </c>
      <c r="C70" s="16"/>
      <c r="D70" s="43">
        <v>-4234</v>
      </c>
      <c r="E70" s="43">
        <v>0</v>
      </c>
      <c r="F70" s="44">
        <f t="shared" si="9"/>
        <v>0</v>
      </c>
      <c r="G70" s="47"/>
      <c r="H70" s="45">
        <v>0</v>
      </c>
      <c r="I70" s="17">
        <f t="shared" si="10"/>
        <v>0</v>
      </c>
      <c r="J70" s="51">
        <f t="shared" si="6"/>
        <v>-4234</v>
      </c>
      <c r="K70" s="33">
        <f t="shared" si="11"/>
        <v>0</v>
      </c>
    </row>
    <row r="71" spans="1:11" ht="12" customHeight="1" x14ac:dyDescent="0.25">
      <c r="A71" s="72" t="s">
        <v>123</v>
      </c>
      <c r="B71" s="16"/>
      <c r="C71" s="16"/>
      <c r="D71" s="43">
        <v>0</v>
      </c>
      <c r="E71" s="43">
        <v>0</v>
      </c>
      <c r="F71" s="44">
        <f t="shared" si="9"/>
        <v>0</v>
      </c>
      <c r="G71" s="46"/>
      <c r="H71" s="45">
        <v>0</v>
      </c>
      <c r="I71" s="17" t="e">
        <f t="shared" si="10"/>
        <v>#DIV/0!</v>
      </c>
      <c r="J71" s="51">
        <f t="shared" si="6"/>
        <v>0</v>
      </c>
      <c r="K71" s="33">
        <f t="shared" si="11"/>
        <v>0</v>
      </c>
    </row>
    <row r="72" spans="1:11" ht="12" customHeight="1" x14ac:dyDescent="0.25">
      <c r="A72" s="21"/>
      <c r="B72" s="16"/>
      <c r="C72" s="16"/>
      <c r="D72" s="43">
        <v>0</v>
      </c>
      <c r="E72" s="43">
        <v>0</v>
      </c>
      <c r="F72" s="44">
        <f t="shared" ref="F72:F80" si="12">H72-E72</f>
        <v>0</v>
      </c>
      <c r="G72" s="46"/>
      <c r="H72" s="45">
        <v>0</v>
      </c>
      <c r="I72" s="17" t="e">
        <f t="shared" ref="I72:I80" si="13">H72/D72</f>
        <v>#DIV/0!</v>
      </c>
      <c r="J72" s="51">
        <f t="shared" ref="J72:J80" si="14">D72-H72</f>
        <v>0</v>
      </c>
      <c r="K72" s="33">
        <f t="shared" ref="K72:K80" si="15">0.05*H72</f>
        <v>0</v>
      </c>
    </row>
    <row r="73" spans="1:11" ht="12" customHeight="1" x14ac:dyDescent="0.25">
      <c r="A73" s="21"/>
      <c r="C73" s="16"/>
      <c r="D73" s="43">
        <v>0</v>
      </c>
      <c r="E73" s="43">
        <v>0</v>
      </c>
      <c r="F73" s="44">
        <f t="shared" si="12"/>
        <v>0</v>
      </c>
      <c r="G73" s="47"/>
      <c r="H73" s="45">
        <v>0</v>
      </c>
      <c r="I73" s="17" t="e">
        <f t="shared" si="13"/>
        <v>#DIV/0!</v>
      </c>
      <c r="J73" s="51">
        <f t="shared" si="14"/>
        <v>0</v>
      </c>
      <c r="K73" s="33">
        <f t="shared" si="15"/>
        <v>0</v>
      </c>
    </row>
    <row r="74" spans="1:11" ht="12" customHeight="1" x14ac:dyDescent="0.25">
      <c r="A74" s="21"/>
      <c r="B74" s="16"/>
      <c r="C74" s="16"/>
      <c r="D74" s="43">
        <v>0</v>
      </c>
      <c r="E74" s="43">
        <v>0</v>
      </c>
      <c r="F74" s="44">
        <f t="shared" si="12"/>
        <v>0</v>
      </c>
      <c r="G74" s="46"/>
      <c r="H74" s="45">
        <v>0</v>
      </c>
      <c r="I74" s="17" t="e">
        <f t="shared" si="13"/>
        <v>#DIV/0!</v>
      </c>
      <c r="J74" s="51">
        <f t="shared" si="14"/>
        <v>0</v>
      </c>
      <c r="K74" s="33">
        <f t="shared" si="15"/>
        <v>0</v>
      </c>
    </row>
    <row r="75" spans="1:11" ht="12" customHeight="1" x14ac:dyDescent="0.25">
      <c r="A75" s="21"/>
      <c r="B75" s="16"/>
      <c r="C75" s="16"/>
      <c r="D75" s="43">
        <v>0</v>
      </c>
      <c r="E75" s="43">
        <v>0</v>
      </c>
      <c r="F75" s="44">
        <f>H75-E75</f>
        <v>0</v>
      </c>
      <c r="G75" s="46"/>
      <c r="H75" s="45">
        <v>0</v>
      </c>
      <c r="I75" s="17" t="e">
        <f>H75/D75</f>
        <v>#DIV/0!</v>
      </c>
      <c r="J75" s="51">
        <f>D75-H75</f>
        <v>0</v>
      </c>
      <c r="K75" s="33">
        <f>0.05*H75</f>
        <v>0</v>
      </c>
    </row>
    <row r="76" spans="1:11" ht="12" customHeight="1" x14ac:dyDescent="0.25">
      <c r="A76" s="21"/>
      <c r="C76" s="16"/>
      <c r="D76" s="43">
        <v>0</v>
      </c>
      <c r="E76" s="43">
        <v>0</v>
      </c>
      <c r="F76" s="44">
        <f>H76-E76</f>
        <v>0</v>
      </c>
      <c r="G76" s="47"/>
      <c r="H76" s="45">
        <v>0</v>
      </c>
      <c r="I76" s="17" t="e">
        <f>H76/D76</f>
        <v>#DIV/0!</v>
      </c>
      <c r="J76" s="51">
        <f>D76-H76</f>
        <v>0</v>
      </c>
      <c r="K76" s="33">
        <f>0.05*H76</f>
        <v>0</v>
      </c>
    </row>
    <row r="77" spans="1:11" ht="12" customHeight="1" x14ac:dyDescent="0.25">
      <c r="A77" s="21"/>
      <c r="B77" s="16"/>
      <c r="C77" s="16"/>
      <c r="D77" s="43">
        <v>0</v>
      </c>
      <c r="E77" s="43">
        <v>0</v>
      </c>
      <c r="F77" s="44">
        <f t="shared" si="12"/>
        <v>0</v>
      </c>
      <c r="G77" s="46"/>
      <c r="H77" s="45">
        <v>0</v>
      </c>
      <c r="I77" s="17" t="e">
        <f t="shared" si="13"/>
        <v>#DIV/0!</v>
      </c>
      <c r="J77" s="51">
        <f t="shared" si="14"/>
        <v>0</v>
      </c>
      <c r="K77" s="33">
        <f t="shared" si="15"/>
        <v>0</v>
      </c>
    </row>
    <row r="78" spans="1:11" ht="12" customHeight="1" x14ac:dyDescent="0.25">
      <c r="A78" s="21"/>
      <c r="B78" s="16"/>
      <c r="C78" s="16"/>
      <c r="D78" s="43">
        <v>0</v>
      </c>
      <c r="E78" s="43">
        <v>0</v>
      </c>
      <c r="F78" s="44">
        <f>H78-E78</f>
        <v>0</v>
      </c>
      <c r="G78" s="46"/>
      <c r="H78" s="45">
        <v>0</v>
      </c>
      <c r="I78" s="17" t="e">
        <f>H78/D78</f>
        <v>#DIV/0!</v>
      </c>
      <c r="J78" s="51">
        <f>D78-H78</f>
        <v>0</v>
      </c>
      <c r="K78" s="33">
        <f>0.05*H78</f>
        <v>0</v>
      </c>
    </row>
    <row r="79" spans="1:11" ht="12" customHeight="1" x14ac:dyDescent="0.25">
      <c r="A79" s="21"/>
      <c r="C79" s="16"/>
      <c r="D79" s="43">
        <v>0</v>
      </c>
      <c r="E79" s="43">
        <v>0</v>
      </c>
      <c r="F79" s="44">
        <f t="shared" si="12"/>
        <v>0</v>
      </c>
      <c r="G79" s="47"/>
      <c r="H79" s="45">
        <v>0</v>
      </c>
      <c r="I79" s="17" t="e">
        <f t="shared" si="13"/>
        <v>#DIV/0!</v>
      </c>
      <c r="J79" s="51">
        <f t="shared" si="14"/>
        <v>0</v>
      </c>
      <c r="K79" s="33">
        <f t="shared" si="15"/>
        <v>0</v>
      </c>
    </row>
    <row r="80" spans="1:11" ht="12" customHeight="1" x14ac:dyDescent="0.25">
      <c r="A80" s="21"/>
      <c r="B80" s="16"/>
      <c r="C80" s="16"/>
      <c r="D80" s="43">
        <v>0</v>
      </c>
      <c r="E80" s="43">
        <v>0</v>
      </c>
      <c r="F80" s="44">
        <f t="shared" si="12"/>
        <v>0</v>
      </c>
      <c r="G80" s="46"/>
      <c r="H80" s="45">
        <v>0</v>
      </c>
      <c r="I80" s="17" t="e">
        <f t="shared" si="13"/>
        <v>#DIV/0!</v>
      </c>
      <c r="J80" s="51">
        <f t="shared" si="14"/>
        <v>0</v>
      </c>
      <c r="K80" s="33">
        <f t="shared" si="15"/>
        <v>0</v>
      </c>
    </row>
    <row r="81" spans="1:11" ht="12" customHeight="1" x14ac:dyDescent="0.25">
      <c r="A81" s="21"/>
      <c r="B81" s="16"/>
      <c r="C81" s="16"/>
      <c r="D81" s="43">
        <v>0</v>
      </c>
      <c r="E81" s="43">
        <v>0</v>
      </c>
      <c r="F81" s="44">
        <f t="shared" si="9"/>
        <v>0</v>
      </c>
      <c r="G81" s="46"/>
      <c r="H81" s="45">
        <v>0</v>
      </c>
      <c r="I81" s="17" t="e">
        <f t="shared" si="10"/>
        <v>#DIV/0!</v>
      </c>
      <c r="J81" s="51">
        <f t="shared" si="6"/>
        <v>0</v>
      </c>
      <c r="K81" s="33">
        <f t="shared" si="11"/>
        <v>0</v>
      </c>
    </row>
    <row r="82" spans="1:11" ht="12" customHeight="1" x14ac:dyDescent="0.25">
      <c r="A82" s="21"/>
      <c r="C82" s="16"/>
      <c r="D82" s="43">
        <v>0</v>
      </c>
      <c r="E82" s="43">
        <v>0</v>
      </c>
      <c r="F82" s="44">
        <f t="shared" si="9"/>
        <v>0</v>
      </c>
      <c r="G82" s="47"/>
      <c r="H82" s="45">
        <v>0</v>
      </c>
      <c r="I82" s="17" t="e">
        <f t="shared" si="10"/>
        <v>#DIV/0!</v>
      </c>
      <c r="J82" s="51">
        <f t="shared" si="6"/>
        <v>0</v>
      </c>
      <c r="K82" s="33">
        <f t="shared" si="11"/>
        <v>0</v>
      </c>
    </row>
    <row r="83" spans="1:11" ht="12" customHeight="1" x14ac:dyDescent="0.25">
      <c r="A83" s="21"/>
      <c r="B83" s="16"/>
      <c r="C83" s="16"/>
      <c r="D83" s="43">
        <v>0</v>
      </c>
      <c r="E83" s="43">
        <v>0</v>
      </c>
      <c r="F83" s="44">
        <f t="shared" si="9"/>
        <v>0</v>
      </c>
      <c r="G83" s="46"/>
      <c r="H83" s="45">
        <v>0</v>
      </c>
      <c r="I83" s="17" t="e">
        <f t="shared" si="10"/>
        <v>#DIV/0!</v>
      </c>
      <c r="J83" s="51">
        <f t="shared" si="6"/>
        <v>0</v>
      </c>
      <c r="K83" s="33">
        <f t="shared" si="11"/>
        <v>0</v>
      </c>
    </row>
    <row r="84" spans="1:11" ht="12" customHeight="1" x14ac:dyDescent="0.25">
      <c r="A84" s="23"/>
      <c r="B84" s="16"/>
      <c r="C84" s="16"/>
      <c r="D84" s="43">
        <v>0</v>
      </c>
      <c r="E84" s="43">
        <v>0</v>
      </c>
      <c r="F84" s="44">
        <f t="shared" si="9"/>
        <v>0</v>
      </c>
      <c r="G84" s="46"/>
      <c r="H84" s="45">
        <v>0</v>
      </c>
      <c r="I84" s="17" t="e">
        <f t="shared" si="10"/>
        <v>#DIV/0!</v>
      </c>
      <c r="J84" s="51">
        <f t="shared" si="6"/>
        <v>0</v>
      </c>
      <c r="K84" s="33">
        <f t="shared" si="11"/>
        <v>0</v>
      </c>
    </row>
    <row r="85" spans="1:11" x14ac:dyDescent="0.25">
      <c r="A85" s="22"/>
      <c r="B85" s="19"/>
      <c r="C85" s="16"/>
      <c r="D85" s="43">
        <v>0</v>
      </c>
      <c r="E85" s="43">
        <v>0</v>
      </c>
      <c r="F85" s="44">
        <f t="shared" si="9"/>
        <v>0</v>
      </c>
      <c r="G85" s="46"/>
      <c r="H85" s="45">
        <v>0</v>
      </c>
      <c r="I85" s="17" t="e">
        <f t="shared" si="10"/>
        <v>#DIV/0!</v>
      </c>
      <c r="J85" s="51">
        <f t="shared" si="6"/>
        <v>0</v>
      </c>
      <c r="K85" s="33">
        <f t="shared" si="11"/>
        <v>0</v>
      </c>
    </row>
    <row r="86" spans="1:11" ht="13.8" x14ac:dyDescent="0.25">
      <c r="A86" s="77">
        <f>SUM(D67:D85)</f>
        <v>-93071</v>
      </c>
      <c r="B86" s="73" t="s">
        <v>21</v>
      </c>
      <c r="C86" s="74"/>
      <c r="D86" s="43">
        <f t="shared" ref="D86:I86" si="16">SUM(D65:D85)</f>
        <v>1376729</v>
      </c>
      <c r="E86" s="43">
        <f t="shared" si="16"/>
        <v>1036797</v>
      </c>
      <c r="F86" s="43">
        <f t="shared" si="16"/>
        <v>93666</v>
      </c>
      <c r="G86" s="43">
        <f t="shared" si="16"/>
        <v>0</v>
      </c>
      <c r="H86" s="43">
        <f t="shared" si="16"/>
        <v>1130463</v>
      </c>
      <c r="I86" s="43" t="e">
        <f t="shared" si="16"/>
        <v>#DIV/0!</v>
      </c>
      <c r="J86" s="51">
        <f t="shared" si="6"/>
        <v>246266</v>
      </c>
      <c r="K86" s="43">
        <f>SUM(K65:K85)</f>
        <v>56523.15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4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3"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2014-01-06T15:52:32Z</cp:lastPrinted>
  <dcterms:created xsi:type="dcterms:W3CDTF">2001-02-05T15:33:02Z</dcterms:created>
  <dcterms:modified xsi:type="dcterms:W3CDTF">2014-01-06T19:13:22Z</dcterms:modified>
</cp:coreProperties>
</file>