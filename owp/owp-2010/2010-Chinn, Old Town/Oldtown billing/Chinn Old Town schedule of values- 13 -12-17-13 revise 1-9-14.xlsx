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<sst xmlns="http://schemas.openxmlformats.org/spreadsheetml/2006/main" count="166" uniqueCount="125">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</sst>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61" zoomScaleNormal="100" zoomScaleSheetLayoutView="100" workbookViewId="0">
      <selection activeCell="H44" sqref="H44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13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41625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41631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1" t="s">
        <v>29</v>
      </c>
      <c r="I8" s="82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9" t="s">
        <v>32</v>
      </c>
      <c r="F9" s="80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1125634</v>
      </c>
      <c r="F13" s="41">
        <f>SUM(F14:F64)</f>
        <v>60666</v>
      </c>
      <c r="G13" s="41"/>
      <c r="H13" s="41">
        <f>SUM(H14:H64)</f>
        <v>1186300</v>
      </c>
      <c r="I13" s="12"/>
      <c r="J13" s="48">
        <f>SUM(J14:J64)</f>
        <v>283500</v>
      </c>
      <c r="K13" s="32">
        <f>SUM(K14:K64)</f>
        <v>59315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16400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3406</v>
      </c>
      <c r="F27" s="44">
        <f t="shared" si="0"/>
        <v>1194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2044</v>
      </c>
      <c r="F28" s="44">
        <f t="shared" si="0"/>
        <v>756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1500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900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61000</v>
      </c>
      <c r="F32" s="44">
        <f t="shared" si="0"/>
        <v>6800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3577</v>
      </c>
      <c r="F33" s="44">
        <f t="shared" si="0"/>
        <v>1423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2044</v>
      </c>
      <c r="F34" s="44">
        <f t="shared" si="0"/>
        <v>756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1600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900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91500</v>
      </c>
      <c r="F37" s="44">
        <f t="shared" si="0"/>
        <v>10200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54300</v>
      </c>
      <c r="F38" s="44">
        <f t="shared" si="0"/>
        <v>4200</v>
      </c>
      <c r="G38" s="46"/>
      <c r="H38" s="45">
        <v>58500</v>
      </c>
      <c r="I38" s="17">
        <f t="shared" si="1"/>
        <v>0.86283185840707965</v>
      </c>
      <c r="J38" s="51">
        <f t="shared" si="2"/>
        <v>9300</v>
      </c>
      <c r="K38" s="33">
        <f t="shared" si="3"/>
        <v>2925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3577</v>
      </c>
      <c r="F39" s="44">
        <f t="shared" si="0"/>
        <v>1423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2044</v>
      </c>
      <c r="F40" s="44">
        <f t="shared" si="0"/>
        <v>756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1600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900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91500</v>
      </c>
      <c r="F43" s="44">
        <f t="shared" si="0"/>
        <v>0</v>
      </c>
      <c r="G43" s="46"/>
      <c r="H43" s="45">
        <v>91500</v>
      </c>
      <c r="I43" s="17">
        <f t="shared" si="1"/>
        <v>0.89970501474926257</v>
      </c>
      <c r="J43" s="51">
        <f t="shared" si="2"/>
        <v>10200</v>
      </c>
      <c r="K43" s="33">
        <f t="shared" si="3"/>
        <v>4575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54300</v>
      </c>
      <c r="F44" s="44">
        <f t="shared" si="0"/>
        <v>0</v>
      </c>
      <c r="G44" s="46"/>
      <c r="H44" s="45">
        <v>54300</v>
      </c>
      <c r="I44" s="17">
        <f t="shared" si="1"/>
        <v>0.80088495575221241</v>
      </c>
      <c r="J44" s="51">
        <f t="shared" si="2"/>
        <v>13500</v>
      </c>
      <c r="K44" s="33">
        <f t="shared" si="3"/>
        <v>2715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3577</v>
      </c>
      <c r="F45" s="44">
        <f t="shared" si="0"/>
        <v>1423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2044</v>
      </c>
      <c r="F46" s="44">
        <f t="shared" si="0"/>
        <v>756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1600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900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91500</v>
      </c>
      <c r="F49" s="44">
        <f t="shared" si="0"/>
        <v>0</v>
      </c>
      <c r="G49" s="46"/>
      <c r="H49" s="45">
        <v>91500</v>
      </c>
      <c r="I49" s="17">
        <f t="shared" si="1"/>
        <v>0.89970501474926257</v>
      </c>
      <c r="J49" s="51">
        <f t="shared" si="2"/>
        <v>10200</v>
      </c>
      <c r="K49" s="33">
        <f t="shared" si="3"/>
        <v>4575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0</v>
      </c>
      <c r="G50" s="46"/>
      <c r="H50" s="45">
        <v>54300</v>
      </c>
      <c r="I50" s="17">
        <f t="shared" si="1"/>
        <v>0.80088495575221241</v>
      </c>
      <c r="J50" s="51">
        <f t="shared" si="2"/>
        <v>13500</v>
      </c>
      <c r="K50" s="33">
        <f t="shared" si="3"/>
        <v>2715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3577</v>
      </c>
      <c r="F51" s="44">
        <f t="shared" si="0"/>
        <v>1423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2044</v>
      </c>
      <c r="F52" s="44">
        <f t="shared" si="0"/>
        <v>756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1600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900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3" t="s">
        <v>20</v>
      </c>
      <c r="B65" s="84"/>
      <c r="C65" s="16"/>
      <c r="D65" s="43">
        <f t="shared" ref="D65:I65" si="8">SUM(D14:D64)</f>
        <v>1469800</v>
      </c>
      <c r="E65" s="43">
        <f t="shared" si="8"/>
        <v>1125634</v>
      </c>
      <c r="F65" s="43">
        <f t="shared" si="8"/>
        <v>60666</v>
      </c>
      <c r="G65" s="43">
        <f t="shared" si="8"/>
        <v>0</v>
      </c>
      <c r="H65" s="43">
        <f t="shared" si="8"/>
        <v>1186300</v>
      </c>
      <c r="I65" s="43">
        <f t="shared" si="8"/>
        <v>39.264011799410035</v>
      </c>
      <c r="J65" s="51">
        <f>D65-H65</f>
        <v>283500</v>
      </c>
      <c r="K65" s="43">
        <f>SUM(K14:K64)</f>
        <v>59315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72" t="s">
        <v>122</v>
      </c>
      <c r="B70" s="78" t="s">
        <v>124</v>
      </c>
      <c r="C70" s="16"/>
      <c r="D70" s="43">
        <v>-4234</v>
      </c>
      <c r="E70" s="43">
        <v>0</v>
      </c>
      <c r="F70" s="44">
        <f t="shared" si="9"/>
        <v>0</v>
      </c>
      <c r="G70" s="47"/>
      <c r="H70" s="45">
        <v>0</v>
      </c>
      <c r="I70" s="17">
        <f t="shared" si="10"/>
        <v>0</v>
      </c>
      <c r="J70" s="51">
        <f t="shared" si="6"/>
        <v>-4234</v>
      </c>
      <c r="K70" s="33">
        <f t="shared" si="11"/>
        <v>0</v>
      </c>
    </row>
    <row r="71" spans="1:11" ht="12" customHeight="1" x14ac:dyDescent="0.25">
      <c r="A71" s="72" t="s">
        <v>123</v>
      </c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1036797</v>
      </c>
      <c r="F86" s="43">
        <f t="shared" si="16"/>
        <v>60666</v>
      </c>
      <c r="G86" s="43">
        <f t="shared" si="16"/>
        <v>0</v>
      </c>
      <c r="H86" s="43">
        <f t="shared" si="16"/>
        <v>1097463</v>
      </c>
      <c r="I86" s="43" t="e">
        <f t="shared" si="16"/>
        <v>#DIV/0!</v>
      </c>
      <c r="J86" s="51">
        <f t="shared" si="6"/>
        <v>279266</v>
      </c>
      <c r="K86" s="43">
        <f>SUM(K65:K85)</f>
        <v>54873.15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2014-01-06T15:52:32Z</cp:lastPrinted>
  <dcterms:created xsi:type="dcterms:W3CDTF">2001-02-05T15:33:02Z</dcterms:created>
  <dcterms:modified xsi:type="dcterms:W3CDTF">2014-01-09T15:48:29Z</dcterms:modified>
</cp:coreProperties>
</file>