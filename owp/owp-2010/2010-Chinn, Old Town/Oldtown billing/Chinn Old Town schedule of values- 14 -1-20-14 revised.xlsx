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48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Backup'!$A$2:$K$86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Backup'!$A$1:$K$71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F38" i="6" l="1"/>
  <c r="F21" i="6" l="1"/>
  <c r="A86" i="6" l="1"/>
  <c r="I67" i="6"/>
  <c r="H13" i="6" l="1"/>
  <c r="E13" i="6"/>
  <c r="F14" i="6"/>
  <c r="K14" i="6"/>
  <c r="K15" i="6"/>
  <c r="K76" i="6"/>
  <c r="J76" i="6"/>
  <c r="I76" i="6"/>
  <c r="F76" i="6"/>
  <c r="K75" i="6"/>
  <c r="J75" i="6"/>
  <c r="I75" i="6"/>
  <c r="F75" i="6"/>
  <c r="K74" i="6"/>
  <c r="J74" i="6"/>
  <c r="I74" i="6"/>
  <c r="F74" i="6"/>
  <c r="K78" i="6"/>
  <c r="J78" i="6"/>
  <c r="I78" i="6"/>
  <c r="F78" i="6"/>
  <c r="K77" i="6"/>
  <c r="J77" i="6"/>
  <c r="I77" i="6"/>
  <c r="F77" i="6"/>
  <c r="K73" i="6"/>
  <c r="J73" i="6"/>
  <c r="I73" i="6"/>
  <c r="F73" i="6"/>
  <c r="K80" i="6"/>
  <c r="J80" i="6"/>
  <c r="I80" i="6"/>
  <c r="F80" i="6"/>
  <c r="K79" i="6"/>
  <c r="J79" i="6"/>
  <c r="I79" i="6"/>
  <c r="F79" i="6"/>
  <c r="K72" i="6"/>
  <c r="J72" i="6"/>
  <c r="I72" i="6"/>
  <c r="F72" i="6"/>
  <c r="F81" i="6"/>
  <c r="I81" i="6"/>
  <c r="J81" i="6"/>
  <c r="K81" i="6"/>
  <c r="F82" i="6"/>
  <c r="I82" i="6"/>
  <c r="J82" i="6"/>
  <c r="K82" i="6"/>
  <c r="F83" i="6"/>
  <c r="I83" i="6"/>
  <c r="J83" i="6"/>
  <c r="K83" i="6"/>
  <c r="D13" i="6"/>
  <c r="I14" i="6"/>
  <c r="J14" i="6"/>
  <c r="F15" i="6"/>
  <c r="I15" i="6"/>
  <c r="J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37" i="6"/>
  <c r="I37" i="6"/>
  <c r="J37" i="6"/>
  <c r="K37" i="6"/>
  <c r="I38" i="6"/>
  <c r="J38" i="6"/>
  <c r="K38" i="6"/>
  <c r="F39" i="6"/>
  <c r="I39" i="6"/>
  <c r="J39" i="6"/>
  <c r="K39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58" i="6"/>
  <c r="I58" i="6"/>
  <c r="J58" i="6"/>
  <c r="K58" i="6"/>
  <c r="F59" i="6"/>
  <c r="I59" i="6"/>
  <c r="J59" i="6"/>
  <c r="K59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D65" i="6"/>
  <c r="D86" i="6" s="1"/>
  <c r="E65" i="6"/>
  <c r="E86" i="6" s="1"/>
  <c r="G65" i="6"/>
  <c r="G86" i="6" s="1"/>
  <c r="H65" i="6"/>
  <c r="H86" i="6" s="1"/>
  <c r="F67" i="6"/>
  <c r="J67" i="6"/>
  <c r="K67" i="6"/>
  <c r="F68" i="6"/>
  <c r="I68" i="6"/>
  <c r="J68" i="6"/>
  <c r="K68" i="6"/>
  <c r="F69" i="6"/>
  <c r="I69" i="6"/>
  <c r="J69" i="6"/>
  <c r="K69" i="6"/>
  <c r="F70" i="6"/>
  <c r="I70" i="6"/>
  <c r="J70" i="6"/>
  <c r="K70" i="6"/>
  <c r="F71" i="6"/>
  <c r="I71" i="6"/>
  <c r="J71" i="6"/>
  <c r="K71" i="6"/>
  <c r="F84" i="6"/>
  <c r="I84" i="6"/>
  <c r="J84" i="6"/>
  <c r="K84" i="6"/>
  <c r="F85" i="6"/>
  <c r="I85" i="6"/>
  <c r="J85" i="6"/>
  <c r="K85" i="6"/>
  <c r="I65" i="6" l="1"/>
  <c r="I86" i="6" s="1"/>
  <c r="K65" i="6"/>
  <c r="K86" i="6" s="1"/>
  <c r="K13" i="6"/>
  <c r="J86" i="6"/>
  <c r="J13" i="6"/>
  <c r="J65" i="6"/>
  <c r="F13" i="6"/>
  <c r="F65" i="6"/>
  <c r="F86" i="6" s="1"/>
</calcChain>
</file>

<file path=xl/sharedStrings.xml><?xml version="1.0" encoding="utf-8"?>
<sst xmlns="http://schemas.openxmlformats.org/spreadsheetml/2006/main" count="166" uniqueCount="125">
  <si>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</si>
  <si>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</si>
  <si>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</si>
  <si>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</si>
  <si>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</si>
  <si>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</si>
  <si>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</si>
  <si>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</si>
  <si>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</si>
  <si>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</si>
  <si>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</si>
  <si>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</si>
  <si>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</si>
  <si>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</si>
  <si>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</si>
  <si>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</si>
  <si>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</si>
  <si>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</si>
  <si>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</si>
  <si>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</si>
  <si>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</si>
  <si>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</si>
  <si>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</si>
  <si>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</si>
  <si>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</si>
  <si>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</si>
  <si>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</si>
  <si>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</si>
  <si>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</si>
  <si>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</si>
  <si>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</si>
  <si>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</si>
  <si>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</si>
  <si>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</si>
  <si>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</si>
  <si>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</si>
  <si>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</si>
  <si>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</si>
  <si>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</si>
  <si>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</si>
  <si>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</si>
  <si>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</si>
  <si>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</si>
  <si>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</si>
  <si>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</si>
  <si>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roughin plumbing in units at level 1 west</t>
  </si>
  <si>
    <t>plumbing design, engineering and permit set of drawings</t>
  </si>
  <si>
    <t>plumbing permit and plumbing plan review fee</t>
  </si>
  <si>
    <t>P01/P02 SOG</t>
  </si>
  <si>
    <t>underground piping/basins at level P01 and P02 SOG</t>
  </si>
  <si>
    <t>Old Town Mixed Use</t>
  </si>
  <si>
    <t>Redmond, WA</t>
  </si>
  <si>
    <t>level R1 west</t>
  </si>
  <si>
    <t>level R1 east</t>
  </si>
  <si>
    <t>level R2 west</t>
  </si>
  <si>
    <t>level R2 east</t>
  </si>
  <si>
    <t>level R3 west</t>
  </si>
  <si>
    <t>level R3 east</t>
  </si>
  <si>
    <t>level R4 west</t>
  </si>
  <si>
    <t>level R4 east</t>
  </si>
  <si>
    <t>level R5 west</t>
  </si>
  <si>
    <t>level R5 east</t>
  </si>
  <si>
    <t>install toilets, lavs, sinks and water heaters at level R1 west</t>
  </si>
  <si>
    <t>install toilets, lavs, sinks and water heaters at level R1 east</t>
  </si>
  <si>
    <t>install toilets, lavs, sinks and water heaters at level R2 east</t>
  </si>
  <si>
    <t>install toilets, lavs, sinks and water heaters at level R3 west</t>
  </si>
  <si>
    <t>install toilets, lavs, sinks and water heaters at level R3 east</t>
  </si>
  <si>
    <t>install toilets, lavs, sinks and water heaters at level R4 west</t>
  </si>
  <si>
    <t>install toilets, lavs, sinks and water heaters at level R4 east</t>
  </si>
  <si>
    <t>install toilets, lavs, sinks and water heaters at level R5 west</t>
  </si>
  <si>
    <t>install toilets, lavs, sinks and water heaters at level R5 east</t>
  </si>
  <si>
    <t>install toilets, lavs, sinks and water heaters at level R2 west</t>
  </si>
  <si>
    <t>roughin plumbing in units at level R1 west</t>
  </si>
  <si>
    <t>roughin plumbing in units at level R1 east</t>
  </si>
  <si>
    <t>roughin plumbing in units at level R2 west</t>
  </si>
  <si>
    <t>roughin plumbing in units at level R2 east</t>
  </si>
  <si>
    <t>roughin plumbing in units at level R3 west</t>
  </si>
  <si>
    <t>roughin plumbing in units at level R3 east</t>
  </si>
  <si>
    <t>roughin plumbing in units at level R4 west</t>
  </si>
  <si>
    <t>roughin plumbing in units at level R4 east</t>
  </si>
  <si>
    <t>roughin plumbing in units at level R5 west</t>
  </si>
  <si>
    <t>canout, sleeve, install drains PT deck at level L01</t>
  </si>
  <si>
    <t>L01 PT deck</t>
  </si>
  <si>
    <t>L02 PT deck</t>
  </si>
  <si>
    <t>R1 PT deck</t>
  </si>
  <si>
    <t>canout, sleeve, install drains PT deck at level R1</t>
  </si>
  <si>
    <t>canout, sleeve, install drains PT deck at level L02</t>
  </si>
  <si>
    <t>level P01/P02</t>
  </si>
  <si>
    <t>level L01</t>
  </si>
  <si>
    <t xml:space="preserve">level L02 </t>
  </si>
  <si>
    <t>H2O mech room</t>
  </si>
  <si>
    <t>install domestic water valve room</t>
  </si>
  <si>
    <t>Roughin plumbing at parking level P01/P02</t>
  </si>
  <si>
    <t>Roughin plumbing at retail and parking level L01</t>
  </si>
  <si>
    <t>roughin plumbing in units at level R5 east</t>
  </si>
  <si>
    <t xml:space="preserve">stock Sterling bathtubs at level R5 </t>
  </si>
  <si>
    <t>stock Sterling bathtubs at level R5 west</t>
  </si>
  <si>
    <t>install bathtubs at level R4 east</t>
  </si>
  <si>
    <t>install bathtubs at level R4 west</t>
  </si>
  <si>
    <t>stock Sterling bathtubs at level R4 east</t>
  </si>
  <si>
    <t>stock Sterling bathtubs at level R4 west</t>
  </si>
  <si>
    <t>stock Sterling bathtubs at level R3 east</t>
  </si>
  <si>
    <t>stock Sterling bathtubs at level R3 west</t>
  </si>
  <si>
    <t>install bathtubs at level R3 west</t>
  </si>
  <si>
    <t>install bathtubs at level R3 east</t>
  </si>
  <si>
    <t>install bathtubs at level R5 west</t>
  </si>
  <si>
    <t>install bathtubs at level R5 east</t>
  </si>
  <si>
    <t>install bathtubs at level R2 east</t>
  </si>
  <si>
    <t>install bathtubs at level R2 west</t>
  </si>
  <si>
    <t>stock Sterling bathtubs at level R2 east</t>
  </si>
  <si>
    <t>stock Sterling bathtubs at level R2 west</t>
  </si>
  <si>
    <t>stock Sterling bathtubs at level R1 east</t>
  </si>
  <si>
    <t>stock Sterling bathtubs at level R1 west</t>
  </si>
  <si>
    <t>install bathtubs at level R1 west</t>
  </si>
  <si>
    <t>install bathtubs at level R1 east</t>
  </si>
  <si>
    <t>stock domestic water valve room</t>
  </si>
  <si>
    <t>Roughin plumbing at parking level lm2 east</t>
  </si>
  <si>
    <t>#1</t>
  </si>
  <si>
    <t>#2</t>
  </si>
  <si>
    <t>reconcile plumbing fixture allowance (change tubs)</t>
  </si>
  <si>
    <t>change waste stacks from cast iron to plastic in residential units</t>
  </si>
  <si>
    <t>change DWV cast iron piping in garage and vents in residential units to pvc</t>
  </si>
  <si>
    <t>#3</t>
  </si>
  <si>
    <t>#4</t>
  </si>
  <si>
    <t>credit installation of bathroom vanity sinks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</si>
</sst>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  <family val="2"/>
    </font>
    <font>
      <sz val="9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4" fillId="0" borderId="1" xfId="3" applyFont="1" applyBorder="1" applyAlignment="1">
      <alignment horizontal="center"/>
    </xf>
    <xf numFmtId="0" fontId="4" fillId="0" borderId="2" xfId="3" applyFont="1" applyBorder="1" applyAlignment="1">
      <alignment horizontal="center"/>
    </xf>
    <xf numFmtId="169" fontId="4" fillId="0" borderId="2" xfId="3" quotePrefix="1" applyNumberFormat="1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0" fontId="4" fillId="0" borderId="4" xfId="3" applyFont="1" applyBorder="1" applyAlignment="1">
      <alignment horizontal="center"/>
    </xf>
    <xf numFmtId="169" fontId="4" fillId="0" borderId="4" xfId="3" applyNumberFormat="1" applyFont="1" applyBorder="1" applyAlignment="1">
      <alignment horizontal="center"/>
    </xf>
    <xf numFmtId="0" fontId="3" fillId="0" borderId="5" xfId="3" applyFont="1" applyBorder="1"/>
    <xf numFmtId="0" fontId="3" fillId="0" borderId="6" xfId="3" applyFont="1" applyBorder="1"/>
    <xf numFmtId="169" fontId="4" fillId="0" borderId="7" xfId="3" applyNumberFormat="1" applyFont="1" applyBorder="1"/>
    <xf numFmtId="0" fontId="4" fillId="0" borderId="8" xfId="3" quotePrefix="1" applyFont="1" applyBorder="1" applyAlignment="1">
      <alignment horizontal="left"/>
    </xf>
    <xf numFmtId="0" fontId="2" fillId="0" borderId="7" xfId="3" applyFont="1" applyBorder="1" applyAlignment="1">
      <alignment horizontal="center"/>
    </xf>
    <xf numFmtId="0" fontId="4" fillId="0" borderId="7" xfId="3" applyFont="1" applyBorder="1"/>
    <xf numFmtId="0" fontId="3" fillId="0" borderId="7" xfId="3" applyFont="1" applyBorder="1"/>
    <xf numFmtId="169" fontId="3" fillId="0" borderId="7" xfId="3" applyNumberFormat="1" applyFont="1" applyBorder="1"/>
    <xf numFmtId="0" fontId="3" fillId="0" borderId="8" xfId="3" applyFont="1" applyFill="1" applyBorder="1"/>
    <xf numFmtId="0" fontId="3" fillId="0" borderId="7" xfId="3" applyFont="1" applyFill="1" applyBorder="1"/>
    <xf numFmtId="0" fontId="4" fillId="0" borderId="7" xfId="3" quotePrefix="1" applyFont="1" applyBorder="1" applyAlignment="1">
      <alignment horizontal="left"/>
    </xf>
    <xf numFmtId="0" fontId="3" fillId="0" borderId="8" xfId="3" quotePrefix="1" applyFont="1" applyFill="1" applyBorder="1"/>
    <xf numFmtId="0" fontId="3" fillId="0" borderId="8" xfId="3" applyFont="1" applyFill="1" applyBorder="1" applyAlignment="1">
      <alignment horizontal="left"/>
    </xf>
    <xf numFmtId="0" fontId="3" fillId="0" borderId="8" xfId="3" quotePrefix="1" applyFont="1" applyFill="1" applyBorder="1" applyAlignment="1">
      <alignment horizontal="left"/>
    </xf>
    <xf numFmtId="3" fontId="3" fillId="0" borderId="0" xfId="3" applyNumberFormat="1" applyFont="1"/>
    <xf numFmtId="169" fontId="4" fillId="0" borderId="9" xfId="3" applyNumberFormat="1" applyFont="1" applyBorder="1"/>
    <xf numFmtId="169" fontId="4" fillId="0" borderId="10" xfId="3" applyNumberFormat="1" applyFont="1" applyBorder="1" applyAlignment="1">
      <alignment horizontal="center"/>
    </xf>
    <xf numFmtId="4" fontId="3" fillId="0" borderId="0" xfId="3" applyNumberFormat="1" applyFont="1"/>
    <xf numFmtId="4" fontId="4" fillId="0" borderId="11" xfId="3" applyNumberFormat="1" applyFont="1" applyBorder="1" applyAlignment="1">
      <alignment horizontal="center"/>
    </xf>
    <xf numFmtId="4" fontId="4" fillId="0" borderId="12" xfId="3" applyNumberFormat="1" applyFont="1" applyBorder="1" applyAlignment="1">
      <alignment horizontal="center"/>
    </xf>
    <xf numFmtId="4" fontId="4" fillId="0" borderId="13" xfId="3" applyNumberFormat="1" applyFont="1" applyBorder="1" applyAlignment="1">
      <alignment horizontal="center"/>
    </xf>
    <xf numFmtId="4" fontId="4" fillId="0" borderId="14" xfId="3" applyNumberFormat="1" applyFont="1" applyBorder="1"/>
    <xf numFmtId="4" fontId="4" fillId="0" borderId="15" xfId="3" applyNumberFormat="1" applyFont="1" applyBorder="1"/>
    <xf numFmtId="4" fontId="3" fillId="0" borderId="15" xfId="3" applyNumberFormat="1" applyFont="1" applyBorder="1"/>
    <xf numFmtId="4" fontId="3" fillId="0" borderId="0" xfId="3" applyNumberFormat="1" applyFont="1" applyAlignment="1">
      <alignment horizontal="right"/>
    </xf>
    <xf numFmtId="4" fontId="4" fillId="0" borderId="2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4" fontId="3" fillId="0" borderId="6" xfId="3" applyNumberFormat="1" applyFont="1" applyBorder="1"/>
    <xf numFmtId="4" fontId="3" fillId="0" borderId="16" xfId="3" applyNumberFormat="1" applyFont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3" fillId="0" borderId="7" xfId="3" applyNumberFormat="1" applyFont="1" applyBorder="1"/>
    <xf numFmtId="4" fontId="3" fillId="0" borderId="7" xfId="3" applyNumberFormat="1" applyFont="1" applyFill="1" applyBorder="1"/>
    <xf numFmtId="4" fontId="3" fillId="0" borderId="17" xfId="3" applyNumberFormat="1" applyFont="1" applyFill="1" applyBorder="1"/>
    <xf numFmtId="4" fontId="3" fillId="0" borderId="7" xfId="0" applyNumberFormat="1" applyFont="1" applyFill="1" applyBorder="1"/>
    <xf numFmtId="4" fontId="3" fillId="0" borderId="18" xfId="3" applyNumberFormat="1" applyFont="1" applyFill="1" applyBorder="1"/>
    <xf numFmtId="4" fontId="4" fillId="0" borderId="18" xfId="3" applyNumberFormat="1" applyFont="1" applyFill="1" applyBorder="1"/>
    <xf numFmtId="4" fontId="4" fillId="0" borderId="19" xfId="3" applyNumberFormat="1" applyFont="1" applyFill="1" applyBorder="1"/>
    <xf numFmtId="4" fontId="3" fillId="0" borderId="0" xfId="3" applyNumberFormat="1" applyFont="1" applyFill="1" applyAlignment="1">
      <alignment horizontal="right"/>
    </xf>
    <xf numFmtId="4" fontId="3" fillId="0" borderId="20" xfId="3" applyNumberFormat="1" applyFont="1" applyBorder="1"/>
    <xf numFmtId="4" fontId="3" fillId="0" borderId="19" xfId="3" applyNumberFormat="1" applyFont="1" applyFill="1" applyBorder="1"/>
    <xf numFmtId="0" fontId="5" fillId="0" borderId="0" xfId="3" applyFont="1"/>
    <xf numFmtId="0" fontId="7" fillId="0" borderId="21" xfId="3" applyFont="1" applyBorder="1"/>
    <xf numFmtId="0" fontId="3" fillId="0" borderId="21" xfId="3" applyFont="1" applyBorder="1"/>
    <xf numFmtId="4" fontId="3" fillId="0" borderId="21" xfId="3" applyNumberFormat="1" applyFont="1" applyBorder="1"/>
    <xf numFmtId="169" fontId="3" fillId="0" borderId="21" xfId="3" applyNumberFormat="1" applyFont="1" applyBorder="1"/>
    <xf numFmtId="0" fontId="3" fillId="0" borderId="22" xfId="3" applyFont="1" applyBorder="1"/>
    <xf numFmtId="0" fontId="4" fillId="0" borderId="22" xfId="3" applyFont="1" applyBorder="1" applyAlignment="1">
      <alignment horizontal="center"/>
    </xf>
    <xf numFmtId="4" fontId="4" fillId="0" borderId="22" xfId="3" applyNumberFormat="1" applyFont="1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4" fontId="4" fillId="0" borderId="24" xfId="3" applyNumberFormat="1" applyFont="1" applyBorder="1" applyAlignment="1">
      <alignment horizontal="center"/>
    </xf>
    <xf numFmtId="4" fontId="3" fillId="0" borderId="25" xfId="3" applyNumberFormat="1" applyFont="1" applyBorder="1"/>
    <xf numFmtId="0" fontId="4" fillId="0" borderId="26" xfId="0" applyFont="1" applyBorder="1" applyAlignment="1">
      <alignment horizontal="center"/>
    </xf>
    <xf numFmtId="0" fontId="4" fillId="0" borderId="8" xfId="3" applyFont="1" applyBorder="1" applyAlignment="1">
      <alignment horizontal="left"/>
    </xf>
    <xf numFmtId="9" fontId="4" fillId="0" borderId="12" xfId="3" applyNumberFormat="1" applyFont="1" applyBorder="1" applyAlignment="1">
      <alignment horizontal="center"/>
    </xf>
    <xf numFmtId="0" fontId="8" fillId="0" borderId="8" xfId="3" applyFont="1" applyFill="1" applyBorder="1"/>
    <xf numFmtId="0" fontId="9" fillId="0" borderId="7" xfId="3" applyFont="1" applyFill="1" applyBorder="1"/>
    <xf numFmtId="0" fontId="9" fillId="0" borderId="7" xfId="3" applyFont="1" applyBorder="1"/>
    <xf numFmtId="3" fontId="3" fillId="0" borderId="0" xfId="3" applyNumberFormat="1" applyFont="1" applyAlignment="1">
      <alignment horizontal="left" vertical="top"/>
    </xf>
    <xf numFmtId="164" fontId="3" fillId="0" borderId="0" xfId="3" applyNumberFormat="1" applyFont="1" applyAlignment="1">
      <alignment horizontal="left" vertical="top"/>
    </xf>
    <xf numFmtId="0" fontId="1" fillId="0" borderId="7" xfId="3" quotePrefix="1" applyFont="1" applyFill="1" applyBorder="1" applyAlignment="1">
      <alignment horizontal="center"/>
    </xf>
    <xf numFmtId="0" fontId="4" fillId="0" borderId="8" xfId="3" quotePrefix="1" applyFont="1" applyFill="1" applyBorder="1" applyAlignment="1">
      <alignment horizontal="center" vertical="center"/>
    </xf>
    <xf numFmtId="0" fontId="2" fillId="0" borderId="18" xfId="3" applyFont="1" applyBorder="1" applyAlignment="1">
      <alignment horizontal="center"/>
    </xf>
    <xf numFmtId="0" fontId="2" fillId="0" borderId="27" xfId="3" applyFont="1" applyBorder="1" applyAlignment="1">
      <alignment horizontal="center"/>
    </xf>
    <xf numFmtId="0" fontId="11" fillId="0" borderId="7" xfId="3" quotePrefix="1" applyFont="1" applyFill="1" applyBorder="1" applyAlignment="1">
      <alignment horizontal="center"/>
    </xf>
    <xf numFmtId="0" fontId="12" fillId="0" borderId="7" xfId="3" quotePrefix="1" applyFont="1" applyFill="1" applyBorder="1" applyAlignment="1">
      <alignment horizontal="center"/>
    </xf>
    <xf numFmtId="4" fontId="4" fillId="0" borderId="0" xfId="3" applyNumberFormat="1" applyFont="1"/>
    <xf numFmtId="0" fontId="1" fillId="0" borderId="0" xfId="3" applyFont="1"/>
    <xf numFmtId="4" fontId="4" fillId="0" borderId="28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31" xfId="3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5"/>
  <sheetViews>
    <sheetView tabSelected="1" view="pageBreakPreview" zoomScaleNormal="100" zoomScaleSheetLayoutView="100" workbookViewId="0">
      <selection activeCell="G7" sqref="G7"/>
    </sheetView>
  </sheetViews>
  <sheetFormatPr defaultColWidth="9.109375" defaultRowHeight="13.2" x14ac:dyDescent="0.25"/>
  <cols>
    <col min="1" max="1" width="13.5546875" style="1" customWidth="1"/>
    <col min="2" max="2" width="49.6640625" style="1" customWidth="1"/>
    <col min="3" max="3" width="25.44140625" style="1" hidden="1" customWidth="1"/>
    <col min="4" max="4" width="17.5546875" style="27" customWidth="1"/>
    <col min="5" max="5" width="15" style="27" customWidth="1"/>
    <col min="6" max="6" width="13.44140625" style="27" customWidth="1"/>
    <col min="7" max="7" width="6.33203125" style="27" customWidth="1"/>
    <col min="8" max="8" width="19" style="27" customWidth="1"/>
    <col min="9" max="9" width="14.44140625" style="1" customWidth="1"/>
    <col min="10" max="10" width="20" style="27" customWidth="1"/>
    <col min="11" max="11" width="16.5546875" style="27" customWidth="1"/>
    <col min="12" max="16384" width="9.109375" style="1"/>
  </cols>
  <sheetData>
    <row r="1" spans="1:11" ht="49.5" customHeight="1" thickBot="1" x14ac:dyDescent="0.45">
      <c r="A1" s="53"/>
      <c r="B1" s="54"/>
      <c r="C1" s="54"/>
      <c r="D1" s="55"/>
      <c r="E1" s="55"/>
      <c r="F1" s="55"/>
      <c r="G1" s="55"/>
      <c r="H1" s="55"/>
      <c r="I1" s="56"/>
      <c r="J1" s="55"/>
      <c r="K1" s="55"/>
    </row>
    <row r="2" spans="1:11" ht="22.8" x14ac:dyDescent="0.4">
      <c r="A2" s="52" t="s">
        <v>39</v>
      </c>
      <c r="I2" s="2"/>
    </row>
    <row r="3" spans="1:11" x14ac:dyDescent="0.25">
      <c r="A3" s="3" t="s">
        <v>44</v>
      </c>
      <c r="B3" s="1" t="s">
        <v>50</v>
      </c>
      <c r="F3" s="34" t="s">
        <v>7</v>
      </c>
      <c r="G3" s="34"/>
      <c r="H3" s="69">
        <v>14</v>
      </c>
      <c r="I3" s="2"/>
      <c r="J3" s="49"/>
    </row>
    <row r="4" spans="1:11" x14ac:dyDescent="0.25">
      <c r="A4" s="3" t="s">
        <v>43</v>
      </c>
      <c r="B4" s="1" t="s">
        <v>51</v>
      </c>
      <c r="F4" s="34" t="s">
        <v>22</v>
      </c>
      <c r="G4" s="34"/>
      <c r="H4" s="70">
        <v>41659</v>
      </c>
      <c r="I4" s="2"/>
      <c r="J4" s="49"/>
    </row>
    <row r="5" spans="1:11" x14ac:dyDescent="0.25">
      <c r="A5" s="3" t="s">
        <v>8</v>
      </c>
      <c r="E5" s="27" t="s">
        <v>9</v>
      </c>
      <c r="F5" s="34" t="s">
        <v>0</v>
      </c>
      <c r="G5" s="34"/>
      <c r="H5" s="70">
        <v>41670</v>
      </c>
      <c r="I5" s="2"/>
    </row>
    <row r="6" spans="1:11" x14ac:dyDescent="0.25">
      <c r="A6" s="3"/>
      <c r="F6" s="34"/>
      <c r="G6" s="34"/>
      <c r="I6" s="2"/>
    </row>
    <row r="7" spans="1:11" ht="13.8" thickBot="1" x14ac:dyDescent="0.3">
      <c r="A7" s="3"/>
      <c r="I7" s="2"/>
    </row>
    <row r="8" spans="1:11" ht="14.4" thickTop="1" thickBot="1" x14ac:dyDescent="0.3">
      <c r="A8" s="58" t="s">
        <v>24</v>
      </c>
      <c r="B8" s="58" t="s">
        <v>25</v>
      </c>
      <c r="C8" s="57"/>
      <c r="D8" s="59" t="s">
        <v>23</v>
      </c>
      <c r="E8" s="59" t="s">
        <v>26</v>
      </c>
      <c r="F8" s="59" t="s">
        <v>27</v>
      </c>
      <c r="G8" s="60" t="s">
        <v>28</v>
      </c>
      <c r="H8" s="81" t="s">
        <v>29</v>
      </c>
      <c r="I8" s="82"/>
      <c r="J8" s="59" t="s">
        <v>30</v>
      </c>
      <c r="K8" s="59" t="s">
        <v>31</v>
      </c>
    </row>
    <row r="9" spans="1:11" ht="14.4" thickTop="1" thickBot="1" x14ac:dyDescent="0.3">
      <c r="A9" s="4" t="s">
        <v>41</v>
      </c>
      <c r="B9" s="5" t="s">
        <v>10</v>
      </c>
      <c r="C9" s="5" t="s">
        <v>11</v>
      </c>
      <c r="D9" s="35" t="s">
        <v>12</v>
      </c>
      <c r="E9" s="79" t="s">
        <v>32</v>
      </c>
      <c r="F9" s="80"/>
      <c r="G9" s="63" t="s">
        <v>6</v>
      </c>
      <c r="H9" s="35" t="s">
        <v>18</v>
      </c>
      <c r="I9" s="6" t="s">
        <v>13</v>
      </c>
      <c r="J9" s="28" t="s">
        <v>2</v>
      </c>
      <c r="K9" s="28" t="s">
        <v>3</v>
      </c>
    </row>
    <row r="10" spans="1:11" x14ac:dyDescent="0.25">
      <c r="A10" s="7" t="s">
        <v>42</v>
      </c>
      <c r="B10" s="8"/>
      <c r="C10" s="8" t="s">
        <v>15</v>
      </c>
      <c r="D10" s="36" t="s">
        <v>19</v>
      </c>
      <c r="E10" s="36" t="s">
        <v>33</v>
      </c>
      <c r="F10" s="29" t="s">
        <v>14</v>
      </c>
      <c r="G10" s="61" t="s">
        <v>6</v>
      </c>
      <c r="H10" s="36" t="s">
        <v>1</v>
      </c>
      <c r="I10" s="9" t="s">
        <v>16</v>
      </c>
      <c r="J10" s="29" t="s">
        <v>5</v>
      </c>
      <c r="K10" s="65">
        <v>0.05</v>
      </c>
    </row>
    <row r="11" spans="1:11" ht="13.8" thickBot="1" x14ac:dyDescent="0.3">
      <c r="A11" s="7" t="s">
        <v>40</v>
      </c>
      <c r="B11" s="8"/>
      <c r="C11" s="8"/>
      <c r="D11" s="36"/>
      <c r="E11" s="36" t="s">
        <v>38</v>
      </c>
      <c r="F11" s="29" t="s">
        <v>34</v>
      </c>
      <c r="G11" s="61"/>
      <c r="H11" s="36" t="s">
        <v>4</v>
      </c>
      <c r="I11" s="26"/>
      <c r="J11" s="29"/>
      <c r="K11" s="30"/>
    </row>
    <row r="12" spans="1:11" x14ac:dyDescent="0.25">
      <c r="A12" s="10"/>
      <c r="B12" s="11"/>
      <c r="C12" s="11"/>
      <c r="D12" s="37"/>
      <c r="E12" s="37"/>
      <c r="F12" s="38"/>
      <c r="G12" s="62"/>
      <c r="H12" s="37"/>
      <c r="I12" s="25"/>
      <c r="J12" s="50"/>
      <c r="K12" s="31"/>
    </row>
    <row r="13" spans="1:11" ht="13.8" x14ac:dyDescent="0.25">
      <c r="A13" s="64" t="s">
        <v>35</v>
      </c>
      <c r="B13" s="14" t="s">
        <v>36</v>
      </c>
      <c r="C13" s="15"/>
      <c r="D13" s="39">
        <f>SUM(D14:D64)</f>
        <v>1469800</v>
      </c>
      <c r="E13" s="40">
        <f>SUM(E14:E64)</f>
        <v>1186300</v>
      </c>
      <c r="F13" s="41">
        <f>SUM(F14:F64)</f>
        <v>40000</v>
      </c>
      <c r="G13" s="41"/>
      <c r="H13" s="41">
        <f>SUM(H14:H64)</f>
        <v>1226300</v>
      </c>
      <c r="I13" s="12"/>
      <c r="J13" s="48">
        <f>SUM(J14:J64)</f>
        <v>243500</v>
      </c>
      <c r="K13" s="32">
        <f>SUM(K14:K64)</f>
        <v>61315</v>
      </c>
    </row>
    <row r="14" spans="1:11" ht="13.8" x14ac:dyDescent="0.3">
      <c r="A14" s="13"/>
      <c r="B14" s="68" t="s">
        <v>46</v>
      </c>
      <c r="C14" s="15"/>
      <c r="D14" s="42">
        <v>33000</v>
      </c>
      <c r="E14" s="43">
        <v>33000</v>
      </c>
      <c r="F14" s="44">
        <f t="shared" ref="F14:F54" si="0">H14-E14</f>
        <v>0</v>
      </c>
      <c r="G14" s="47"/>
      <c r="H14" s="45">
        <v>33000</v>
      </c>
      <c r="I14" s="17">
        <f t="shared" ref="I14:I54" si="1">H14/D14</f>
        <v>1</v>
      </c>
      <c r="J14" s="51">
        <f>D14-H14</f>
        <v>0</v>
      </c>
      <c r="K14" s="33">
        <f>0.05*H14</f>
        <v>1650</v>
      </c>
    </row>
    <row r="15" spans="1:11" ht="13.8" x14ac:dyDescent="0.3">
      <c r="A15" s="66"/>
      <c r="B15" s="67" t="s">
        <v>47</v>
      </c>
      <c r="C15" s="16" t="s">
        <v>37</v>
      </c>
      <c r="D15" s="42">
        <v>39000</v>
      </c>
      <c r="E15" s="43">
        <v>39000</v>
      </c>
      <c r="F15" s="44">
        <f t="shared" si="0"/>
        <v>0</v>
      </c>
      <c r="G15" s="46"/>
      <c r="H15" s="45">
        <v>39000</v>
      </c>
      <c r="I15" s="17">
        <f t="shared" si="1"/>
        <v>1</v>
      </c>
      <c r="J15" s="51">
        <f t="shared" ref="J15:J54" si="2">D15-H15</f>
        <v>0</v>
      </c>
      <c r="K15" s="33">
        <f>0.05*H15</f>
        <v>1950</v>
      </c>
    </row>
    <row r="16" spans="1:11" ht="13.8" x14ac:dyDescent="0.3">
      <c r="A16" s="66" t="s">
        <v>48</v>
      </c>
      <c r="B16" s="67" t="s">
        <v>49</v>
      </c>
      <c r="C16" s="16" t="s">
        <v>37</v>
      </c>
      <c r="D16" s="42">
        <v>22400</v>
      </c>
      <c r="E16" s="43">
        <v>22400</v>
      </c>
      <c r="F16" s="44">
        <f t="shared" si="0"/>
        <v>0</v>
      </c>
      <c r="G16" s="46"/>
      <c r="H16" s="45">
        <v>22400</v>
      </c>
      <c r="I16" s="17">
        <f t="shared" si="1"/>
        <v>1</v>
      </c>
      <c r="J16" s="51">
        <f t="shared" si="2"/>
        <v>0</v>
      </c>
      <c r="K16" s="33">
        <f t="shared" ref="K16:K54" si="3">0.05*H16</f>
        <v>1120</v>
      </c>
    </row>
    <row r="17" spans="1:11" ht="13.8" x14ac:dyDescent="0.3">
      <c r="A17" s="66" t="s">
        <v>82</v>
      </c>
      <c r="B17" s="67" t="s">
        <v>81</v>
      </c>
      <c r="C17" s="16" t="s">
        <v>37</v>
      </c>
      <c r="D17" s="43">
        <v>3100</v>
      </c>
      <c r="E17" s="43">
        <v>3100</v>
      </c>
      <c r="F17" s="44">
        <f t="shared" si="0"/>
        <v>0</v>
      </c>
      <c r="G17" s="46"/>
      <c r="H17" s="45">
        <v>3100</v>
      </c>
      <c r="I17" s="17">
        <f t="shared" si="1"/>
        <v>1</v>
      </c>
      <c r="J17" s="51">
        <f t="shared" si="2"/>
        <v>0</v>
      </c>
      <c r="K17" s="33">
        <f t="shared" si="3"/>
        <v>155</v>
      </c>
    </row>
    <row r="18" spans="1:11" ht="13.8" x14ac:dyDescent="0.3">
      <c r="A18" s="66" t="s">
        <v>83</v>
      </c>
      <c r="B18" s="67" t="s">
        <v>86</v>
      </c>
      <c r="C18" s="16" t="s">
        <v>37</v>
      </c>
      <c r="D18" s="43">
        <v>6300</v>
      </c>
      <c r="E18" s="43">
        <v>6300</v>
      </c>
      <c r="F18" s="44">
        <f t="shared" si="0"/>
        <v>0</v>
      </c>
      <c r="G18" s="46"/>
      <c r="H18" s="45">
        <v>6300</v>
      </c>
      <c r="I18" s="17">
        <f t="shared" si="1"/>
        <v>1</v>
      </c>
      <c r="J18" s="51">
        <f t="shared" si="2"/>
        <v>0</v>
      </c>
      <c r="K18" s="33">
        <f t="shared" si="3"/>
        <v>315</v>
      </c>
    </row>
    <row r="19" spans="1:11" ht="13.8" x14ac:dyDescent="0.3">
      <c r="A19" s="66" t="s">
        <v>84</v>
      </c>
      <c r="B19" s="67" t="s">
        <v>85</v>
      </c>
      <c r="C19" s="16" t="s">
        <v>37</v>
      </c>
      <c r="D19" s="43">
        <v>20400</v>
      </c>
      <c r="E19" s="43">
        <v>20400</v>
      </c>
      <c r="F19" s="44">
        <f t="shared" si="0"/>
        <v>0</v>
      </c>
      <c r="G19" s="46"/>
      <c r="H19" s="45">
        <v>20400</v>
      </c>
      <c r="I19" s="17">
        <f t="shared" si="1"/>
        <v>1</v>
      </c>
      <c r="J19" s="51">
        <f t="shared" si="2"/>
        <v>0</v>
      </c>
      <c r="K19" s="33">
        <f t="shared" si="3"/>
        <v>1020</v>
      </c>
    </row>
    <row r="20" spans="1:11" ht="13.8" x14ac:dyDescent="0.3">
      <c r="A20" s="66" t="s">
        <v>87</v>
      </c>
      <c r="B20" s="67" t="s">
        <v>92</v>
      </c>
      <c r="C20" s="16" t="s">
        <v>37</v>
      </c>
      <c r="D20" s="43">
        <v>28700</v>
      </c>
      <c r="E20" s="43">
        <v>28700</v>
      </c>
      <c r="F20" s="44">
        <f t="shared" si="0"/>
        <v>0</v>
      </c>
      <c r="G20" s="46"/>
      <c r="H20" s="45">
        <v>28700</v>
      </c>
      <c r="I20" s="17">
        <f t="shared" si="1"/>
        <v>1</v>
      </c>
      <c r="J20" s="51">
        <f t="shared" si="2"/>
        <v>0</v>
      </c>
      <c r="K20" s="33">
        <f t="shared" si="3"/>
        <v>1435</v>
      </c>
    </row>
    <row r="21" spans="1:11" ht="13.8" x14ac:dyDescent="0.3">
      <c r="A21" s="66" t="s">
        <v>88</v>
      </c>
      <c r="B21" s="67" t="s">
        <v>93</v>
      </c>
      <c r="C21" s="16" t="s">
        <v>37</v>
      </c>
      <c r="D21" s="43">
        <v>36800</v>
      </c>
      <c r="E21" s="43">
        <v>36800</v>
      </c>
      <c r="F21" s="44">
        <f t="shared" si="0"/>
        <v>0</v>
      </c>
      <c r="G21" s="46"/>
      <c r="H21" s="45">
        <v>36800</v>
      </c>
      <c r="I21" s="17">
        <f t="shared" si="1"/>
        <v>1</v>
      </c>
      <c r="J21" s="51">
        <f t="shared" si="2"/>
        <v>0</v>
      </c>
      <c r="K21" s="33">
        <f t="shared" si="3"/>
        <v>1840</v>
      </c>
    </row>
    <row r="22" spans="1:11" ht="13.8" x14ac:dyDescent="0.3">
      <c r="A22" s="66" t="s">
        <v>89</v>
      </c>
      <c r="B22" s="67" t="s">
        <v>116</v>
      </c>
      <c r="C22" s="16" t="s">
        <v>37</v>
      </c>
      <c r="D22" s="43">
        <v>138500</v>
      </c>
      <c r="E22" s="43">
        <v>138500</v>
      </c>
      <c r="F22" s="44">
        <f t="shared" si="0"/>
        <v>0</v>
      </c>
      <c r="G22" s="46"/>
      <c r="H22" s="45">
        <v>138500</v>
      </c>
      <c r="I22" s="17">
        <f t="shared" si="1"/>
        <v>1</v>
      </c>
      <c r="J22" s="51">
        <f t="shared" si="2"/>
        <v>0</v>
      </c>
      <c r="K22" s="33">
        <f t="shared" si="3"/>
        <v>6925</v>
      </c>
    </row>
    <row r="23" spans="1:11" ht="13.8" x14ac:dyDescent="0.3">
      <c r="A23" s="66" t="s">
        <v>90</v>
      </c>
      <c r="B23" s="67" t="s">
        <v>115</v>
      </c>
      <c r="C23" s="16"/>
      <c r="D23" s="43">
        <v>16400</v>
      </c>
      <c r="E23" s="43">
        <v>16400</v>
      </c>
      <c r="F23" s="44">
        <f t="shared" si="0"/>
        <v>0</v>
      </c>
      <c r="G23" s="46"/>
      <c r="H23" s="45">
        <v>16400</v>
      </c>
      <c r="I23" s="17">
        <f t="shared" si="1"/>
        <v>1</v>
      </c>
      <c r="J23" s="51">
        <f t="shared" si="2"/>
        <v>0</v>
      </c>
      <c r="K23" s="33">
        <f t="shared" si="3"/>
        <v>820</v>
      </c>
    </row>
    <row r="24" spans="1:11" ht="13.8" x14ac:dyDescent="0.3">
      <c r="A24" s="66" t="s">
        <v>90</v>
      </c>
      <c r="B24" s="67" t="s">
        <v>91</v>
      </c>
      <c r="C24" s="16" t="s">
        <v>37</v>
      </c>
      <c r="D24" s="43">
        <v>4800</v>
      </c>
      <c r="E24" s="43">
        <v>0</v>
      </c>
      <c r="F24" s="44">
        <f t="shared" si="0"/>
        <v>4800</v>
      </c>
      <c r="G24" s="46"/>
      <c r="H24" s="45">
        <v>4800</v>
      </c>
      <c r="I24" s="17">
        <f t="shared" si="1"/>
        <v>1</v>
      </c>
      <c r="J24" s="51">
        <f t="shared" si="2"/>
        <v>0</v>
      </c>
      <c r="K24" s="33">
        <f t="shared" si="3"/>
        <v>240</v>
      </c>
    </row>
    <row r="25" spans="1:11" ht="13.8" x14ac:dyDescent="0.3">
      <c r="A25" s="66" t="s">
        <v>52</v>
      </c>
      <c r="B25" s="67" t="s">
        <v>72</v>
      </c>
      <c r="C25" s="16"/>
      <c r="D25" s="43">
        <v>101600</v>
      </c>
      <c r="E25" s="43">
        <v>101600</v>
      </c>
      <c r="F25" s="44">
        <f t="shared" si="0"/>
        <v>0</v>
      </c>
      <c r="G25" s="46"/>
      <c r="H25" s="45">
        <v>101600</v>
      </c>
      <c r="I25" s="17">
        <f t="shared" si="1"/>
        <v>1</v>
      </c>
      <c r="J25" s="51">
        <f t="shared" si="2"/>
        <v>0</v>
      </c>
      <c r="K25" s="33">
        <f t="shared" si="3"/>
        <v>5080</v>
      </c>
    </row>
    <row r="26" spans="1:11" ht="13.8" x14ac:dyDescent="0.3">
      <c r="A26" s="66" t="s">
        <v>53</v>
      </c>
      <c r="B26" s="67" t="s">
        <v>73</v>
      </c>
      <c r="C26" s="16"/>
      <c r="D26" s="43">
        <v>67800</v>
      </c>
      <c r="E26" s="43">
        <v>67800</v>
      </c>
      <c r="F26" s="44">
        <f t="shared" si="0"/>
        <v>0</v>
      </c>
      <c r="G26" s="46"/>
      <c r="H26" s="45">
        <v>67800</v>
      </c>
      <c r="I26" s="17">
        <f t="shared" si="1"/>
        <v>1</v>
      </c>
      <c r="J26" s="51">
        <f t="shared" si="2"/>
        <v>0</v>
      </c>
      <c r="K26" s="33">
        <f t="shared" si="3"/>
        <v>3390</v>
      </c>
    </row>
    <row r="27" spans="1:11" ht="13.8" x14ac:dyDescent="0.3">
      <c r="A27" s="66" t="s">
        <v>52</v>
      </c>
      <c r="B27" s="67" t="s">
        <v>112</v>
      </c>
      <c r="C27" s="16"/>
      <c r="D27" s="43">
        <v>4600</v>
      </c>
      <c r="E27" s="43">
        <v>4600</v>
      </c>
      <c r="F27" s="44">
        <f t="shared" si="0"/>
        <v>0</v>
      </c>
      <c r="G27" s="46"/>
      <c r="H27" s="45">
        <v>4600</v>
      </c>
      <c r="I27" s="17">
        <f t="shared" si="1"/>
        <v>1</v>
      </c>
      <c r="J27" s="51">
        <f t="shared" si="2"/>
        <v>0</v>
      </c>
      <c r="K27" s="33">
        <f t="shared" si="3"/>
        <v>230</v>
      </c>
    </row>
    <row r="28" spans="1:11" ht="13.8" x14ac:dyDescent="0.3">
      <c r="A28" s="66" t="s">
        <v>53</v>
      </c>
      <c r="B28" s="67" t="s">
        <v>111</v>
      </c>
      <c r="C28" s="16"/>
      <c r="D28" s="43">
        <v>2800</v>
      </c>
      <c r="E28" s="43">
        <v>2800</v>
      </c>
      <c r="F28" s="44">
        <f t="shared" si="0"/>
        <v>0</v>
      </c>
      <c r="G28" s="46"/>
      <c r="H28" s="45">
        <v>2800</v>
      </c>
      <c r="I28" s="17">
        <f t="shared" si="1"/>
        <v>1</v>
      </c>
      <c r="J28" s="51">
        <f t="shared" si="2"/>
        <v>0</v>
      </c>
      <c r="K28" s="33">
        <f t="shared" si="3"/>
        <v>140</v>
      </c>
    </row>
    <row r="29" spans="1:11" ht="13.8" x14ac:dyDescent="0.3">
      <c r="A29" s="66" t="s">
        <v>52</v>
      </c>
      <c r="B29" s="67" t="s">
        <v>113</v>
      </c>
      <c r="C29" s="16"/>
      <c r="D29" s="43">
        <v>1500</v>
      </c>
      <c r="E29" s="43">
        <v>1500</v>
      </c>
      <c r="F29" s="44">
        <f t="shared" si="0"/>
        <v>0</v>
      </c>
      <c r="G29" s="46"/>
      <c r="H29" s="45">
        <v>1500</v>
      </c>
      <c r="I29" s="17">
        <f t="shared" si="1"/>
        <v>1</v>
      </c>
      <c r="J29" s="51">
        <f t="shared" si="2"/>
        <v>0</v>
      </c>
      <c r="K29" s="33">
        <f t="shared" si="3"/>
        <v>75</v>
      </c>
    </row>
    <row r="30" spans="1:11" ht="13.8" x14ac:dyDescent="0.3">
      <c r="A30" s="66" t="s">
        <v>53</v>
      </c>
      <c r="B30" s="67" t="s">
        <v>114</v>
      </c>
      <c r="C30" s="16"/>
      <c r="D30" s="43">
        <v>900</v>
      </c>
      <c r="E30" s="43">
        <v>900</v>
      </c>
      <c r="F30" s="44">
        <f t="shared" si="0"/>
        <v>0</v>
      </c>
      <c r="G30" s="46"/>
      <c r="H30" s="45">
        <v>900</v>
      </c>
      <c r="I30" s="17">
        <f t="shared" si="1"/>
        <v>1</v>
      </c>
      <c r="J30" s="51">
        <f t="shared" si="2"/>
        <v>0</v>
      </c>
      <c r="K30" s="33">
        <f t="shared" si="3"/>
        <v>45</v>
      </c>
    </row>
    <row r="31" spans="1:11" ht="13.8" x14ac:dyDescent="0.3">
      <c r="A31" s="66" t="s">
        <v>54</v>
      </c>
      <c r="B31" s="67" t="s">
        <v>74</v>
      </c>
      <c r="C31" s="16"/>
      <c r="D31" s="43">
        <v>101700</v>
      </c>
      <c r="E31" s="43">
        <v>101700</v>
      </c>
      <c r="F31" s="44">
        <f t="shared" si="0"/>
        <v>0</v>
      </c>
      <c r="G31" s="46"/>
      <c r="H31" s="45">
        <v>101700</v>
      </c>
      <c r="I31" s="17">
        <f t="shared" si="1"/>
        <v>1</v>
      </c>
      <c r="J31" s="51">
        <f t="shared" si="2"/>
        <v>0</v>
      </c>
      <c r="K31" s="33">
        <f t="shared" si="3"/>
        <v>5085</v>
      </c>
    </row>
    <row r="32" spans="1:11" ht="13.8" x14ac:dyDescent="0.3">
      <c r="A32" s="66" t="s">
        <v>55</v>
      </c>
      <c r="B32" s="67" t="s">
        <v>75</v>
      </c>
      <c r="C32" s="16"/>
      <c r="D32" s="43">
        <v>67800</v>
      </c>
      <c r="E32" s="43">
        <v>67800</v>
      </c>
      <c r="F32" s="44">
        <f t="shared" si="0"/>
        <v>0</v>
      </c>
      <c r="G32" s="46"/>
      <c r="H32" s="45">
        <v>67800</v>
      </c>
      <c r="I32" s="17">
        <f t="shared" si="1"/>
        <v>1</v>
      </c>
      <c r="J32" s="51">
        <f t="shared" si="2"/>
        <v>0</v>
      </c>
      <c r="K32" s="33">
        <f t="shared" si="3"/>
        <v>3390</v>
      </c>
    </row>
    <row r="33" spans="1:11" ht="13.8" x14ac:dyDescent="0.3">
      <c r="A33" s="66" t="s">
        <v>54</v>
      </c>
      <c r="B33" s="67" t="s">
        <v>110</v>
      </c>
      <c r="C33" s="16"/>
      <c r="D33" s="43">
        <v>5000</v>
      </c>
      <c r="E33" s="43">
        <v>5000</v>
      </c>
      <c r="F33" s="44">
        <f t="shared" si="0"/>
        <v>0</v>
      </c>
      <c r="G33" s="46"/>
      <c r="H33" s="45">
        <v>5000</v>
      </c>
      <c r="I33" s="17">
        <f t="shared" si="1"/>
        <v>1</v>
      </c>
      <c r="J33" s="51">
        <f t="shared" si="2"/>
        <v>0</v>
      </c>
      <c r="K33" s="33">
        <f t="shared" si="3"/>
        <v>250</v>
      </c>
    </row>
    <row r="34" spans="1:11" ht="13.8" x14ac:dyDescent="0.3">
      <c r="A34" s="66" t="s">
        <v>55</v>
      </c>
      <c r="B34" s="67" t="s">
        <v>109</v>
      </c>
      <c r="C34" s="67" t="s">
        <v>45</v>
      </c>
      <c r="D34" s="43">
        <v>2800</v>
      </c>
      <c r="E34" s="43">
        <v>2800</v>
      </c>
      <c r="F34" s="44">
        <f t="shared" si="0"/>
        <v>0</v>
      </c>
      <c r="G34" s="46"/>
      <c r="H34" s="45">
        <v>2800</v>
      </c>
      <c r="I34" s="17">
        <f t="shared" si="1"/>
        <v>1</v>
      </c>
      <c r="J34" s="51">
        <f t="shared" si="2"/>
        <v>0</v>
      </c>
      <c r="K34" s="33">
        <f t="shared" si="3"/>
        <v>140</v>
      </c>
    </row>
    <row r="35" spans="1:11" ht="13.8" x14ac:dyDescent="0.3">
      <c r="A35" s="66" t="s">
        <v>54</v>
      </c>
      <c r="B35" s="67" t="s">
        <v>108</v>
      </c>
      <c r="C35" s="16"/>
      <c r="D35" s="43">
        <v>1600</v>
      </c>
      <c r="E35" s="43">
        <v>1600</v>
      </c>
      <c r="F35" s="44">
        <f t="shared" si="0"/>
        <v>0</v>
      </c>
      <c r="G35" s="46"/>
      <c r="H35" s="45">
        <v>1600</v>
      </c>
      <c r="I35" s="17">
        <f t="shared" si="1"/>
        <v>1</v>
      </c>
      <c r="J35" s="51">
        <f t="shared" si="2"/>
        <v>0</v>
      </c>
      <c r="K35" s="33">
        <f t="shared" si="3"/>
        <v>80</v>
      </c>
    </row>
    <row r="36" spans="1:11" ht="13.8" x14ac:dyDescent="0.3">
      <c r="A36" s="66" t="s">
        <v>55</v>
      </c>
      <c r="B36" s="67" t="s">
        <v>107</v>
      </c>
      <c r="C36" s="16"/>
      <c r="D36" s="43">
        <v>900</v>
      </c>
      <c r="E36" s="43">
        <v>900</v>
      </c>
      <c r="F36" s="44">
        <f t="shared" si="0"/>
        <v>0</v>
      </c>
      <c r="G36" s="46"/>
      <c r="H36" s="45">
        <v>900</v>
      </c>
      <c r="I36" s="17">
        <f t="shared" si="1"/>
        <v>1</v>
      </c>
      <c r="J36" s="51">
        <f t="shared" si="2"/>
        <v>0</v>
      </c>
      <c r="K36" s="33">
        <f t="shared" si="3"/>
        <v>45</v>
      </c>
    </row>
    <row r="37" spans="1:11" ht="13.8" x14ac:dyDescent="0.3">
      <c r="A37" s="66" t="s">
        <v>56</v>
      </c>
      <c r="B37" s="67" t="s">
        <v>76</v>
      </c>
      <c r="C37" s="16"/>
      <c r="D37" s="43">
        <v>101700</v>
      </c>
      <c r="E37" s="43">
        <v>101700</v>
      </c>
      <c r="F37" s="44">
        <f t="shared" si="0"/>
        <v>0</v>
      </c>
      <c r="G37" s="46"/>
      <c r="H37" s="45">
        <v>101700</v>
      </c>
      <c r="I37" s="17">
        <f t="shared" si="1"/>
        <v>1</v>
      </c>
      <c r="J37" s="51">
        <f t="shared" si="2"/>
        <v>0</v>
      </c>
      <c r="K37" s="33">
        <f t="shared" si="3"/>
        <v>5085</v>
      </c>
    </row>
    <row r="38" spans="1:11" ht="13.8" x14ac:dyDescent="0.3">
      <c r="A38" s="66" t="s">
        <v>57</v>
      </c>
      <c r="B38" s="67" t="s">
        <v>77</v>
      </c>
      <c r="C38" s="16"/>
      <c r="D38" s="43">
        <v>67800</v>
      </c>
      <c r="E38" s="43">
        <v>58500</v>
      </c>
      <c r="F38" s="44">
        <f t="shared" si="0"/>
        <v>9300</v>
      </c>
      <c r="G38" s="46"/>
      <c r="H38" s="45">
        <v>67800</v>
      </c>
      <c r="I38" s="17">
        <f t="shared" si="1"/>
        <v>1</v>
      </c>
      <c r="J38" s="51">
        <f t="shared" si="2"/>
        <v>0</v>
      </c>
      <c r="K38" s="33">
        <f t="shared" si="3"/>
        <v>3390</v>
      </c>
    </row>
    <row r="39" spans="1:11" ht="13.8" x14ac:dyDescent="0.3">
      <c r="A39" s="66" t="s">
        <v>56</v>
      </c>
      <c r="B39" s="67" t="s">
        <v>102</v>
      </c>
      <c r="C39" s="16"/>
      <c r="D39" s="43">
        <v>5000</v>
      </c>
      <c r="E39" s="43">
        <v>5000</v>
      </c>
      <c r="F39" s="44">
        <f t="shared" si="0"/>
        <v>0</v>
      </c>
      <c r="G39" s="46"/>
      <c r="H39" s="45">
        <v>5000</v>
      </c>
      <c r="I39" s="17">
        <f t="shared" si="1"/>
        <v>1</v>
      </c>
      <c r="J39" s="51">
        <f t="shared" si="2"/>
        <v>0</v>
      </c>
      <c r="K39" s="33">
        <f t="shared" si="3"/>
        <v>250</v>
      </c>
    </row>
    <row r="40" spans="1:11" ht="13.8" x14ac:dyDescent="0.3">
      <c r="A40" s="66" t="s">
        <v>57</v>
      </c>
      <c r="B40" s="67" t="s">
        <v>101</v>
      </c>
      <c r="C40" s="16"/>
      <c r="D40" s="43">
        <v>2800</v>
      </c>
      <c r="E40" s="43">
        <v>2800</v>
      </c>
      <c r="F40" s="44">
        <f t="shared" si="0"/>
        <v>0</v>
      </c>
      <c r="G40" s="46"/>
      <c r="H40" s="45">
        <v>2800</v>
      </c>
      <c r="I40" s="17">
        <f t="shared" si="1"/>
        <v>1</v>
      </c>
      <c r="J40" s="51">
        <f t="shared" si="2"/>
        <v>0</v>
      </c>
      <c r="K40" s="33">
        <f t="shared" si="3"/>
        <v>140</v>
      </c>
    </row>
    <row r="41" spans="1:11" ht="13.8" x14ac:dyDescent="0.3">
      <c r="A41" s="66" t="s">
        <v>56</v>
      </c>
      <c r="B41" s="67" t="s">
        <v>103</v>
      </c>
      <c r="C41" s="16"/>
      <c r="D41" s="43">
        <v>1600</v>
      </c>
      <c r="E41" s="43">
        <v>1600</v>
      </c>
      <c r="F41" s="44">
        <f t="shared" si="0"/>
        <v>0</v>
      </c>
      <c r="G41" s="46"/>
      <c r="H41" s="45">
        <v>1600</v>
      </c>
      <c r="I41" s="17">
        <f t="shared" si="1"/>
        <v>1</v>
      </c>
      <c r="J41" s="51">
        <f t="shared" si="2"/>
        <v>0</v>
      </c>
      <c r="K41" s="33">
        <f t="shared" si="3"/>
        <v>80</v>
      </c>
    </row>
    <row r="42" spans="1:11" ht="13.8" x14ac:dyDescent="0.3">
      <c r="A42" s="66" t="s">
        <v>57</v>
      </c>
      <c r="B42" s="67" t="s">
        <v>104</v>
      </c>
      <c r="C42" s="16"/>
      <c r="D42" s="43">
        <v>900</v>
      </c>
      <c r="E42" s="43">
        <v>900</v>
      </c>
      <c r="F42" s="44">
        <f t="shared" si="0"/>
        <v>0</v>
      </c>
      <c r="G42" s="46"/>
      <c r="H42" s="45">
        <v>900</v>
      </c>
      <c r="I42" s="17">
        <f t="shared" si="1"/>
        <v>1</v>
      </c>
      <c r="J42" s="51">
        <f t="shared" si="2"/>
        <v>0</v>
      </c>
      <c r="K42" s="33">
        <f t="shared" si="3"/>
        <v>45</v>
      </c>
    </row>
    <row r="43" spans="1:11" ht="13.8" x14ac:dyDescent="0.3">
      <c r="A43" s="66" t="s">
        <v>58</v>
      </c>
      <c r="B43" s="67" t="s">
        <v>78</v>
      </c>
      <c r="C43" s="16"/>
      <c r="D43" s="43">
        <v>101700</v>
      </c>
      <c r="E43" s="43">
        <v>91500</v>
      </c>
      <c r="F43" s="44">
        <f t="shared" si="0"/>
        <v>10200</v>
      </c>
      <c r="G43" s="46"/>
      <c r="H43" s="45">
        <v>101700</v>
      </c>
      <c r="I43" s="17">
        <f t="shared" si="1"/>
        <v>1</v>
      </c>
      <c r="J43" s="51">
        <f t="shared" si="2"/>
        <v>0</v>
      </c>
      <c r="K43" s="33">
        <f t="shared" si="3"/>
        <v>5085</v>
      </c>
    </row>
    <row r="44" spans="1:11" ht="13.8" x14ac:dyDescent="0.3">
      <c r="A44" s="66" t="s">
        <v>59</v>
      </c>
      <c r="B44" s="67" t="s">
        <v>79</v>
      </c>
      <c r="C44" s="16"/>
      <c r="D44" s="43">
        <v>67800</v>
      </c>
      <c r="E44" s="43">
        <v>54300</v>
      </c>
      <c r="F44" s="44">
        <f t="shared" si="0"/>
        <v>13500</v>
      </c>
      <c r="G44" s="46"/>
      <c r="H44" s="45">
        <v>67800</v>
      </c>
      <c r="I44" s="17">
        <f t="shared" si="1"/>
        <v>1</v>
      </c>
      <c r="J44" s="51">
        <f t="shared" si="2"/>
        <v>0</v>
      </c>
      <c r="K44" s="33">
        <f t="shared" si="3"/>
        <v>3390</v>
      </c>
    </row>
    <row r="45" spans="1:11" ht="13.8" x14ac:dyDescent="0.3">
      <c r="A45" s="66" t="s">
        <v>58</v>
      </c>
      <c r="B45" s="67" t="s">
        <v>100</v>
      </c>
      <c r="C45" s="16"/>
      <c r="D45" s="43">
        <v>5000</v>
      </c>
      <c r="E45" s="43">
        <v>5000</v>
      </c>
      <c r="F45" s="44">
        <f t="shared" si="0"/>
        <v>0</v>
      </c>
      <c r="G45" s="46"/>
      <c r="H45" s="45">
        <v>5000</v>
      </c>
      <c r="I45" s="17">
        <f t="shared" si="1"/>
        <v>1</v>
      </c>
      <c r="J45" s="51">
        <f t="shared" si="2"/>
        <v>0</v>
      </c>
      <c r="K45" s="33">
        <f t="shared" si="3"/>
        <v>250</v>
      </c>
    </row>
    <row r="46" spans="1:11" ht="13.8" x14ac:dyDescent="0.3">
      <c r="A46" s="66" t="s">
        <v>59</v>
      </c>
      <c r="B46" s="67" t="s">
        <v>99</v>
      </c>
      <c r="C46" s="16"/>
      <c r="D46" s="43">
        <v>2800</v>
      </c>
      <c r="E46" s="43">
        <v>2800</v>
      </c>
      <c r="F46" s="44">
        <f t="shared" si="0"/>
        <v>0</v>
      </c>
      <c r="G46" s="46"/>
      <c r="H46" s="45">
        <v>2800</v>
      </c>
      <c r="I46" s="17">
        <f t="shared" si="1"/>
        <v>1</v>
      </c>
      <c r="J46" s="51">
        <f t="shared" si="2"/>
        <v>0</v>
      </c>
      <c r="K46" s="33">
        <f t="shared" si="3"/>
        <v>140</v>
      </c>
    </row>
    <row r="47" spans="1:11" ht="13.8" x14ac:dyDescent="0.3">
      <c r="A47" s="66" t="s">
        <v>58</v>
      </c>
      <c r="B47" s="67" t="s">
        <v>98</v>
      </c>
      <c r="C47" s="16"/>
      <c r="D47" s="43">
        <v>1600</v>
      </c>
      <c r="E47" s="43">
        <v>1600</v>
      </c>
      <c r="F47" s="44">
        <f t="shared" si="0"/>
        <v>0</v>
      </c>
      <c r="G47" s="46"/>
      <c r="H47" s="45">
        <v>1600</v>
      </c>
      <c r="I47" s="17">
        <f t="shared" si="1"/>
        <v>1</v>
      </c>
      <c r="J47" s="51">
        <f t="shared" si="2"/>
        <v>0</v>
      </c>
      <c r="K47" s="33">
        <f t="shared" si="3"/>
        <v>80</v>
      </c>
    </row>
    <row r="48" spans="1:11" ht="13.8" x14ac:dyDescent="0.3">
      <c r="A48" s="66" t="s">
        <v>59</v>
      </c>
      <c r="B48" s="67" t="s">
        <v>97</v>
      </c>
      <c r="C48" s="16"/>
      <c r="D48" s="43">
        <v>900</v>
      </c>
      <c r="E48" s="43">
        <v>900</v>
      </c>
      <c r="F48" s="44">
        <f t="shared" si="0"/>
        <v>0</v>
      </c>
      <c r="G48" s="46"/>
      <c r="H48" s="45">
        <v>900</v>
      </c>
      <c r="I48" s="17">
        <f t="shared" si="1"/>
        <v>1</v>
      </c>
      <c r="J48" s="51">
        <f t="shared" si="2"/>
        <v>0</v>
      </c>
      <c r="K48" s="33">
        <f t="shared" si="3"/>
        <v>45</v>
      </c>
    </row>
    <row r="49" spans="1:11" ht="13.8" x14ac:dyDescent="0.3">
      <c r="A49" s="66" t="s">
        <v>60</v>
      </c>
      <c r="B49" s="67" t="s">
        <v>80</v>
      </c>
      <c r="C49" s="16"/>
      <c r="D49" s="43">
        <v>101700</v>
      </c>
      <c r="E49" s="43">
        <v>91500</v>
      </c>
      <c r="F49" s="44">
        <f t="shared" si="0"/>
        <v>2200</v>
      </c>
      <c r="G49" s="46"/>
      <c r="H49" s="45">
        <v>93700</v>
      </c>
      <c r="I49" s="17">
        <f t="shared" si="1"/>
        <v>0.9213372664700098</v>
      </c>
      <c r="J49" s="51">
        <f t="shared" si="2"/>
        <v>8000</v>
      </c>
      <c r="K49" s="33">
        <f t="shared" si="3"/>
        <v>4685</v>
      </c>
    </row>
    <row r="50" spans="1:11" ht="13.8" x14ac:dyDescent="0.3">
      <c r="A50" s="66" t="s">
        <v>61</v>
      </c>
      <c r="B50" s="67" t="s">
        <v>94</v>
      </c>
      <c r="C50" s="16"/>
      <c r="D50" s="43">
        <v>67800</v>
      </c>
      <c r="E50" s="43">
        <v>54300</v>
      </c>
      <c r="F50" s="44">
        <f t="shared" si="0"/>
        <v>0</v>
      </c>
      <c r="G50" s="46"/>
      <c r="H50" s="45">
        <v>54300</v>
      </c>
      <c r="I50" s="17">
        <f t="shared" si="1"/>
        <v>0.80088495575221241</v>
      </c>
      <c r="J50" s="51">
        <f t="shared" si="2"/>
        <v>13500</v>
      </c>
      <c r="K50" s="33">
        <f t="shared" si="3"/>
        <v>2715</v>
      </c>
    </row>
    <row r="51" spans="1:11" ht="13.8" x14ac:dyDescent="0.3">
      <c r="A51" s="66" t="s">
        <v>60</v>
      </c>
      <c r="B51" s="67" t="s">
        <v>96</v>
      </c>
      <c r="C51" s="16"/>
      <c r="D51" s="43">
        <v>5000</v>
      </c>
      <c r="E51" s="43">
        <v>5000</v>
      </c>
      <c r="F51" s="44">
        <f t="shared" si="0"/>
        <v>0</v>
      </c>
      <c r="G51" s="46"/>
      <c r="H51" s="45">
        <v>5000</v>
      </c>
      <c r="I51" s="17">
        <f t="shared" si="1"/>
        <v>1</v>
      </c>
      <c r="J51" s="51">
        <f t="shared" si="2"/>
        <v>0</v>
      </c>
      <c r="K51" s="33">
        <f t="shared" si="3"/>
        <v>250</v>
      </c>
    </row>
    <row r="52" spans="1:11" ht="13.8" x14ac:dyDescent="0.3">
      <c r="A52" s="66" t="s">
        <v>61</v>
      </c>
      <c r="B52" s="67" t="s">
        <v>95</v>
      </c>
      <c r="C52" s="16"/>
      <c r="D52" s="43">
        <v>2800</v>
      </c>
      <c r="E52" s="43">
        <v>2800</v>
      </c>
      <c r="F52" s="44">
        <f t="shared" si="0"/>
        <v>0</v>
      </c>
      <c r="G52" s="46"/>
      <c r="H52" s="45">
        <v>2800</v>
      </c>
      <c r="I52" s="17">
        <f t="shared" si="1"/>
        <v>1</v>
      </c>
      <c r="J52" s="51">
        <f t="shared" si="2"/>
        <v>0</v>
      </c>
      <c r="K52" s="33">
        <f t="shared" si="3"/>
        <v>140</v>
      </c>
    </row>
    <row r="53" spans="1:11" ht="13.8" x14ac:dyDescent="0.3">
      <c r="A53" s="66" t="s">
        <v>60</v>
      </c>
      <c r="B53" s="67" t="s">
        <v>105</v>
      </c>
      <c r="C53" s="16"/>
      <c r="D53" s="43">
        <v>1600</v>
      </c>
      <c r="E53" s="43">
        <v>1600</v>
      </c>
      <c r="F53" s="44">
        <f t="shared" si="0"/>
        <v>0</v>
      </c>
      <c r="G53" s="46"/>
      <c r="H53" s="45">
        <v>1600</v>
      </c>
      <c r="I53" s="17">
        <f t="shared" si="1"/>
        <v>1</v>
      </c>
      <c r="J53" s="51">
        <f t="shared" si="2"/>
        <v>0</v>
      </c>
      <c r="K53" s="33">
        <f t="shared" si="3"/>
        <v>80</v>
      </c>
    </row>
    <row r="54" spans="1:11" ht="13.8" x14ac:dyDescent="0.3">
      <c r="A54" s="66" t="s">
        <v>61</v>
      </c>
      <c r="B54" s="67" t="s">
        <v>106</v>
      </c>
      <c r="C54" s="16"/>
      <c r="D54" s="43">
        <v>900</v>
      </c>
      <c r="E54" s="43">
        <v>900</v>
      </c>
      <c r="F54" s="44">
        <f t="shared" si="0"/>
        <v>0</v>
      </c>
      <c r="G54" s="46"/>
      <c r="H54" s="45">
        <v>900</v>
      </c>
      <c r="I54" s="17">
        <f t="shared" si="1"/>
        <v>1</v>
      </c>
      <c r="J54" s="51">
        <f t="shared" si="2"/>
        <v>0</v>
      </c>
      <c r="K54" s="33">
        <f t="shared" si="3"/>
        <v>45</v>
      </c>
    </row>
    <row r="55" spans="1:11" ht="13.8" x14ac:dyDescent="0.3">
      <c r="A55" s="66" t="s">
        <v>52</v>
      </c>
      <c r="B55" s="67" t="s">
        <v>62</v>
      </c>
      <c r="C55" s="16"/>
      <c r="D55" s="43">
        <v>26600</v>
      </c>
      <c r="E55" s="43">
        <v>0</v>
      </c>
      <c r="F55" s="44">
        <f t="shared" ref="F55:F64" si="4">H55-E55</f>
        <v>0</v>
      </c>
      <c r="G55" s="46"/>
      <c r="H55" s="45">
        <v>0</v>
      </c>
      <c r="I55" s="17">
        <f t="shared" ref="I55:I64" si="5">H55/D55</f>
        <v>0</v>
      </c>
      <c r="J55" s="51">
        <f t="shared" ref="J55:J86" si="6">D55-H55</f>
        <v>26600</v>
      </c>
      <c r="K55" s="33">
        <f t="shared" ref="K55:K64" si="7">0.05*H55</f>
        <v>0</v>
      </c>
    </row>
    <row r="56" spans="1:11" ht="13.8" x14ac:dyDescent="0.3">
      <c r="A56" s="66" t="s">
        <v>53</v>
      </c>
      <c r="B56" s="67" t="s">
        <v>63</v>
      </c>
      <c r="C56" s="16"/>
      <c r="D56" s="43">
        <v>17800</v>
      </c>
      <c r="E56" s="43">
        <v>0</v>
      </c>
      <c r="F56" s="44">
        <f t="shared" si="4"/>
        <v>0</v>
      </c>
      <c r="G56" s="46"/>
      <c r="H56" s="45">
        <v>0</v>
      </c>
      <c r="I56" s="17">
        <f t="shared" si="5"/>
        <v>0</v>
      </c>
      <c r="J56" s="51">
        <f t="shared" si="6"/>
        <v>17800</v>
      </c>
      <c r="K56" s="33">
        <f t="shared" si="7"/>
        <v>0</v>
      </c>
    </row>
    <row r="57" spans="1:11" ht="13.8" x14ac:dyDescent="0.3">
      <c r="A57" s="66" t="s">
        <v>54</v>
      </c>
      <c r="B57" s="67" t="s">
        <v>71</v>
      </c>
      <c r="C57" s="16"/>
      <c r="D57" s="43">
        <v>26600</v>
      </c>
      <c r="E57" s="43">
        <v>0</v>
      </c>
      <c r="F57" s="44">
        <f t="shared" si="4"/>
        <v>0</v>
      </c>
      <c r="G57" s="46"/>
      <c r="H57" s="45">
        <v>0</v>
      </c>
      <c r="I57" s="17">
        <f t="shared" si="5"/>
        <v>0</v>
      </c>
      <c r="J57" s="51">
        <f t="shared" si="6"/>
        <v>26600</v>
      </c>
      <c r="K57" s="33">
        <f t="shared" si="7"/>
        <v>0</v>
      </c>
    </row>
    <row r="58" spans="1:11" ht="13.8" x14ac:dyDescent="0.3">
      <c r="A58" s="66" t="s">
        <v>55</v>
      </c>
      <c r="B58" s="67" t="s">
        <v>64</v>
      </c>
      <c r="C58" s="16"/>
      <c r="D58" s="43">
        <v>17800</v>
      </c>
      <c r="E58" s="43">
        <v>0</v>
      </c>
      <c r="F58" s="44">
        <f t="shared" si="4"/>
        <v>0</v>
      </c>
      <c r="G58" s="46"/>
      <c r="H58" s="45">
        <v>0</v>
      </c>
      <c r="I58" s="17">
        <f t="shared" si="5"/>
        <v>0</v>
      </c>
      <c r="J58" s="51">
        <f t="shared" si="6"/>
        <v>17800</v>
      </c>
      <c r="K58" s="33">
        <f t="shared" si="7"/>
        <v>0</v>
      </c>
    </row>
    <row r="59" spans="1:11" ht="13.8" x14ac:dyDescent="0.3">
      <c r="A59" s="66" t="s">
        <v>56</v>
      </c>
      <c r="B59" s="67" t="s">
        <v>65</v>
      </c>
      <c r="C59" s="16"/>
      <c r="D59" s="43">
        <v>26600</v>
      </c>
      <c r="E59" s="43">
        <v>0</v>
      </c>
      <c r="F59" s="44">
        <f t="shared" si="4"/>
        <v>0</v>
      </c>
      <c r="G59" s="46"/>
      <c r="H59" s="45">
        <v>0</v>
      </c>
      <c r="I59" s="17">
        <f t="shared" si="5"/>
        <v>0</v>
      </c>
      <c r="J59" s="51">
        <f t="shared" si="6"/>
        <v>26600</v>
      </c>
      <c r="K59" s="33">
        <f t="shared" si="7"/>
        <v>0</v>
      </c>
    </row>
    <row r="60" spans="1:11" ht="13.8" x14ac:dyDescent="0.3">
      <c r="A60" s="66" t="s">
        <v>57</v>
      </c>
      <c r="B60" s="67" t="s">
        <v>66</v>
      </c>
      <c r="C60" s="16"/>
      <c r="D60" s="43">
        <v>17800</v>
      </c>
      <c r="E60" s="43">
        <v>0</v>
      </c>
      <c r="F60" s="44">
        <f t="shared" si="4"/>
        <v>0</v>
      </c>
      <c r="G60" s="46"/>
      <c r="H60" s="45">
        <v>0</v>
      </c>
      <c r="I60" s="17">
        <f t="shared" si="5"/>
        <v>0</v>
      </c>
      <c r="J60" s="51">
        <f t="shared" si="6"/>
        <v>17800</v>
      </c>
      <c r="K60" s="33">
        <f t="shared" si="7"/>
        <v>0</v>
      </c>
    </row>
    <row r="61" spans="1:11" ht="13.8" x14ac:dyDescent="0.3">
      <c r="A61" s="66" t="s">
        <v>58</v>
      </c>
      <c r="B61" s="67" t="s">
        <v>67</v>
      </c>
      <c r="C61" s="16"/>
      <c r="D61" s="43">
        <v>26600</v>
      </c>
      <c r="E61" s="43">
        <v>0</v>
      </c>
      <c r="F61" s="44">
        <f t="shared" si="4"/>
        <v>0</v>
      </c>
      <c r="G61" s="46"/>
      <c r="H61" s="45">
        <v>0</v>
      </c>
      <c r="I61" s="17">
        <f t="shared" si="5"/>
        <v>0</v>
      </c>
      <c r="J61" s="51">
        <f t="shared" si="6"/>
        <v>26600</v>
      </c>
      <c r="K61" s="33">
        <f t="shared" si="7"/>
        <v>0</v>
      </c>
    </row>
    <row r="62" spans="1:11" ht="13.8" x14ac:dyDescent="0.3">
      <c r="A62" s="66" t="s">
        <v>59</v>
      </c>
      <c r="B62" s="67" t="s">
        <v>68</v>
      </c>
      <c r="C62" s="16"/>
      <c r="D62" s="43">
        <v>17800</v>
      </c>
      <c r="E62" s="43">
        <v>0</v>
      </c>
      <c r="F62" s="44">
        <f t="shared" si="4"/>
        <v>0</v>
      </c>
      <c r="G62" s="46"/>
      <c r="H62" s="45">
        <v>0</v>
      </c>
      <c r="I62" s="17">
        <f t="shared" si="5"/>
        <v>0</v>
      </c>
      <c r="J62" s="51">
        <f t="shared" si="6"/>
        <v>17800</v>
      </c>
      <c r="K62" s="33">
        <f t="shared" si="7"/>
        <v>0</v>
      </c>
    </row>
    <row r="63" spans="1:11" ht="13.8" x14ac:dyDescent="0.3">
      <c r="A63" s="66" t="s">
        <v>60</v>
      </c>
      <c r="B63" s="67" t="s">
        <v>69</v>
      </c>
      <c r="C63" s="16"/>
      <c r="D63" s="43">
        <v>26600</v>
      </c>
      <c r="E63" s="43">
        <v>0</v>
      </c>
      <c r="F63" s="44">
        <f t="shared" si="4"/>
        <v>0</v>
      </c>
      <c r="G63" s="46"/>
      <c r="H63" s="45">
        <v>0</v>
      </c>
      <c r="I63" s="17">
        <f t="shared" si="5"/>
        <v>0</v>
      </c>
      <c r="J63" s="51">
        <f t="shared" si="6"/>
        <v>26600</v>
      </c>
      <c r="K63" s="33">
        <f t="shared" si="7"/>
        <v>0</v>
      </c>
    </row>
    <row r="64" spans="1:11" ht="13.8" x14ac:dyDescent="0.3">
      <c r="A64" s="66" t="s">
        <v>61</v>
      </c>
      <c r="B64" s="67" t="s">
        <v>70</v>
      </c>
      <c r="C64" s="16"/>
      <c r="D64" s="43">
        <v>17800</v>
      </c>
      <c r="E64" s="43">
        <v>0</v>
      </c>
      <c r="F64" s="44">
        <f t="shared" si="4"/>
        <v>0</v>
      </c>
      <c r="G64" s="46"/>
      <c r="H64" s="45">
        <v>0</v>
      </c>
      <c r="I64" s="17">
        <f t="shared" si="5"/>
        <v>0</v>
      </c>
      <c r="J64" s="51">
        <f t="shared" si="6"/>
        <v>17800</v>
      </c>
      <c r="K64" s="33">
        <f t="shared" si="7"/>
        <v>0</v>
      </c>
    </row>
    <row r="65" spans="1:11" ht="13.8" x14ac:dyDescent="0.25">
      <c r="A65" s="83" t="s">
        <v>20</v>
      </c>
      <c r="B65" s="84"/>
      <c r="C65" s="16"/>
      <c r="D65" s="43">
        <f t="shared" ref="D65:I65" si="8">SUM(D14:D64)</f>
        <v>1469800</v>
      </c>
      <c r="E65" s="43">
        <f t="shared" si="8"/>
        <v>1186300</v>
      </c>
      <c r="F65" s="43">
        <f t="shared" si="8"/>
        <v>40000</v>
      </c>
      <c r="G65" s="43">
        <f t="shared" si="8"/>
        <v>0</v>
      </c>
      <c r="H65" s="43">
        <f t="shared" si="8"/>
        <v>1226300</v>
      </c>
      <c r="I65" s="43">
        <f t="shared" si="8"/>
        <v>40.722222222222221</v>
      </c>
      <c r="J65" s="51">
        <f>D65-H65</f>
        <v>243500</v>
      </c>
      <c r="K65" s="43">
        <f>SUM(K14:K64)</f>
        <v>61315</v>
      </c>
    </row>
    <row r="66" spans="1:11" ht="20.100000000000001" customHeight="1" x14ac:dyDescent="0.25">
      <c r="A66" s="18"/>
      <c r="B66" s="15" t="s">
        <v>17</v>
      </c>
      <c r="C66" s="16"/>
      <c r="D66" s="43"/>
      <c r="E66" s="43"/>
      <c r="F66" s="44"/>
      <c r="G66" s="46"/>
      <c r="H66" s="45"/>
      <c r="I66" s="17"/>
      <c r="J66" s="51"/>
      <c r="K66" s="33"/>
    </row>
    <row r="67" spans="1:11" x14ac:dyDescent="0.25">
      <c r="A67" s="72" t="s">
        <v>117</v>
      </c>
      <c r="B67" s="76" t="s">
        <v>121</v>
      </c>
      <c r="C67" s="20"/>
      <c r="D67" s="43">
        <v>-55000</v>
      </c>
      <c r="E67" s="43">
        <v>-55000</v>
      </c>
      <c r="F67" s="44">
        <f t="shared" ref="F67:F85" si="9">H67-E67</f>
        <v>0</v>
      </c>
      <c r="G67" s="40"/>
      <c r="H67" s="45">
        <v>-55000</v>
      </c>
      <c r="I67" s="17">
        <f t="shared" ref="I67:I85" si="10">H67/D67</f>
        <v>1</v>
      </c>
      <c r="J67" s="51">
        <f t="shared" si="6"/>
        <v>0</v>
      </c>
      <c r="K67" s="33">
        <f t="shared" ref="K67:K85" si="11">0.05*H67</f>
        <v>-2750</v>
      </c>
    </row>
    <row r="68" spans="1:11" x14ac:dyDescent="0.25">
      <c r="A68" s="72" t="s">
        <v>117</v>
      </c>
      <c r="B68" s="75" t="s">
        <v>120</v>
      </c>
      <c r="C68" s="16"/>
      <c r="D68" s="43">
        <v>-25000</v>
      </c>
      <c r="E68" s="43">
        <v>-25000</v>
      </c>
      <c r="F68" s="44">
        <f t="shared" si="9"/>
        <v>0</v>
      </c>
      <c r="G68" s="46"/>
      <c r="H68" s="45">
        <v>-25000</v>
      </c>
      <c r="I68" s="17">
        <f t="shared" si="10"/>
        <v>1</v>
      </c>
      <c r="J68" s="51">
        <f t="shared" si="6"/>
        <v>0</v>
      </c>
      <c r="K68" s="33">
        <f t="shared" si="11"/>
        <v>-1250</v>
      </c>
    </row>
    <row r="69" spans="1:11" ht="12" customHeight="1" x14ac:dyDescent="0.25">
      <c r="A69" s="72" t="s">
        <v>118</v>
      </c>
      <c r="B69" s="71" t="s">
        <v>119</v>
      </c>
      <c r="C69" s="16"/>
      <c r="D69" s="43">
        <v>-8837</v>
      </c>
      <c r="E69" s="43">
        <v>-8837</v>
      </c>
      <c r="F69" s="44">
        <f t="shared" si="9"/>
        <v>0</v>
      </c>
      <c r="G69" s="46"/>
      <c r="H69" s="45">
        <v>-8837</v>
      </c>
      <c r="I69" s="17">
        <f t="shared" si="10"/>
        <v>1</v>
      </c>
      <c r="J69" s="51">
        <f t="shared" si="6"/>
        <v>0</v>
      </c>
      <c r="K69" s="33">
        <f t="shared" si="11"/>
        <v>-441.85</v>
      </c>
    </row>
    <row r="70" spans="1:11" ht="12" customHeight="1" x14ac:dyDescent="0.25">
      <c r="A70" s="72" t="s">
        <v>122</v>
      </c>
      <c r="B70" s="78" t="s">
        <v>124</v>
      </c>
      <c r="C70" s="16"/>
      <c r="D70" s="43">
        <v>-4234</v>
      </c>
      <c r="E70" s="43">
        <v>0</v>
      </c>
      <c r="F70" s="44">
        <f t="shared" si="9"/>
        <v>0</v>
      </c>
      <c r="G70" s="47"/>
      <c r="H70" s="45">
        <v>0</v>
      </c>
      <c r="I70" s="17">
        <f t="shared" si="10"/>
        <v>0</v>
      </c>
      <c r="J70" s="51">
        <f t="shared" si="6"/>
        <v>-4234</v>
      </c>
      <c r="K70" s="33">
        <f t="shared" si="11"/>
        <v>0</v>
      </c>
    </row>
    <row r="71" spans="1:11" ht="12" customHeight="1" x14ac:dyDescent="0.25">
      <c r="A71" s="72" t="s">
        <v>123</v>
      </c>
      <c r="B71" s="16"/>
      <c r="C71" s="16"/>
      <c r="D71" s="43">
        <v>0</v>
      </c>
      <c r="E71" s="43">
        <v>0</v>
      </c>
      <c r="F71" s="44">
        <f t="shared" si="9"/>
        <v>0</v>
      </c>
      <c r="G71" s="46"/>
      <c r="H71" s="45">
        <v>0</v>
      </c>
      <c r="I71" s="17" t="e">
        <f t="shared" si="10"/>
        <v>#DIV/0!</v>
      </c>
      <c r="J71" s="51">
        <f t="shared" si="6"/>
        <v>0</v>
      </c>
      <c r="K71" s="33">
        <f t="shared" si="11"/>
        <v>0</v>
      </c>
    </row>
    <row r="72" spans="1:11" ht="12" customHeight="1" x14ac:dyDescent="0.25">
      <c r="A72" s="21"/>
      <c r="B72" s="16"/>
      <c r="C72" s="16"/>
      <c r="D72" s="43">
        <v>0</v>
      </c>
      <c r="E72" s="43">
        <v>0</v>
      </c>
      <c r="F72" s="44">
        <f t="shared" ref="F72:F80" si="12">H72-E72</f>
        <v>0</v>
      </c>
      <c r="G72" s="46"/>
      <c r="H72" s="45">
        <v>0</v>
      </c>
      <c r="I72" s="17" t="e">
        <f t="shared" ref="I72:I80" si="13">H72/D72</f>
        <v>#DIV/0!</v>
      </c>
      <c r="J72" s="51">
        <f t="shared" ref="J72:J80" si="14">D72-H72</f>
        <v>0</v>
      </c>
      <c r="K72" s="33">
        <f t="shared" ref="K72:K80" si="15">0.05*H72</f>
        <v>0</v>
      </c>
    </row>
    <row r="73" spans="1:11" ht="12" customHeight="1" x14ac:dyDescent="0.25">
      <c r="A73" s="21"/>
      <c r="C73" s="16"/>
      <c r="D73" s="43">
        <v>0</v>
      </c>
      <c r="E73" s="43">
        <v>0</v>
      </c>
      <c r="F73" s="44">
        <f t="shared" si="12"/>
        <v>0</v>
      </c>
      <c r="G73" s="47"/>
      <c r="H73" s="45">
        <v>0</v>
      </c>
      <c r="I73" s="17" t="e">
        <f t="shared" si="13"/>
        <v>#DIV/0!</v>
      </c>
      <c r="J73" s="51">
        <f t="shared" si="14"/>
        <v>0</v>
      </c>
      <c r="K73" s="33">
        <f t="shared" si="15"/>
        <v>0</v>
      </c>
    </row>
    <row r="74" spans="1:11" ht="12" customHeight="1" x14ac:dyDescent="0.25">
      <c r="A74" s="21"/>
      <c r="B74" s="16"/>
      <c r="C74" s="16"/>
      <c r="D74" s="43">
        <v>0</v>
      </c>
      <c r="E74" s="43">
        <v>0</v>
      </c>
      <c r="F74" s="44">
        <f t="shared" si="12"/>
        <v>0</v>
      </c>
      <c r="G74" s="46"/>
      <c r="H74" s="45">
        <v>0</v>
      </c>
      <c r="I74" s="17" t="e">
        <f t="shared" si="13"/>
        <v>#DIV/0!</v>
      </c>
      <c r="J74" s="51">
        <f t="shared" si="14"/>
        <v>0</v>
      </c>
      <c r="K74" s="33">
        <f t="shared" si="15"/>
        <v>0</v>
      </c>
    </row>
    <row r="75" spans="1:11" ht="12" customHeight="1" x14ac:dyDescent="0.25">
      <c r="A75" s="21"/>
      <c r="B75" s="16"/>
      <c r="C75" s="16"/>
      <c r="D75" s="43">
        <v>0</v>
      </c>
      <c r="E75" s="43">
        <v>0</v>
      </c>
      <c r="F75" s="44">
        <f>H75-E75</f>
        <v>0</v>
      </c>
      <c r="G75" s="46"/>
      <c r="H75" s="45">
        <v>0</v>
      </c>
      <c r="I75" s="17" t="e">
        <f>H75/D75</f>
        <v>#DIV/0!</v>
      </c>
      <c r="J75" s="51">
        <f>D75-H75</f>
        <v>0</v>
      </c>
      <c r="K75" s="33">
        <f>0.05*H75</f>
        <v>0</v>
      </c>
    </row>
    <row r="76" spans="1:11" ht="12" customHeight="1" x14ac:dyDescent="0.25">
      <c r="A76" s="21"/>
      <c r="C76" s="16"/>
      <c r="D76" s="43">
        <v>0</v>
      </c>
      <c r="E76" s="43">
        <v>0</v>
      </c>
      <c r="F76" s="44">
        <f>H76-E76</f>
        <v>0</v>
      </c>
      <c r="G76" s="47"/>
      <c r="H76" s="45">
        <v>0</v>
      </c>
      <c r="I76" s="17" t="e">
        <f>H76/D76</f>
        <v>#DIV/0!</v>
      </c>
      <c r="J76" s="51">
        <f>D76-H76</f>
        <v>0</v>
      </c>
      <c r="K76" s="33">
        <f>0.05*H76</f>
        <v>0</v>
      </c>
    </row>
    <row r="77" spans="1:11" ht="12" customHeight="1" x14ac:dyDescent="0.25">
      <c r="A77" s="21"/>
      <c r="B77" s="16"/>
      <c r="C77" s="16"/>
      <c r="D77" s="43">
        <v>0</v>
      </c>
      <c r="E77" s="43">
        <v>0</v>
      </c>
      <c r="F77" s="44">
        <f t="shared" si="12"/>
        <v>0</v>
      </c>
      <c r="G77" s="46"/>
      <c r="H77" s="45">
        <v>0</v>
      </c>
      <c r="I77" s="17" t="e">
        <f t="shared" si="13"/>
        <v>#DIV/0!</v>
      </c>
      <c r="J77" s="51">
        <f t="shared" si="14"/>
        <v>0</v>
      </c>
      <c r="K77" s="33">
        <f t="shared" si="15"/>
        <v>0</v>
      </c>
    </row>
    <row r="78" spans="1:11" ht="12" customHeight="1" x14ac:dyDescent="0.25">
      <c r="A78" s="21"/>
      <c r="B78" s="16"/>
      <c r="C78" s="16"/>
      <c r="D78" s="43">
        <v>0</v>
      </c>
      <c r="E78" s="43">
        <v>0</v>
      </c>
      <c r="F78" s="44">
        <f>H78-E78</f>
        <v>0</v>
      </c>
      <c r="G78" s="46"/>
      <c r="H78" s="45">
        <v>0</v>
      </c>
      <c r="I78" s="17" t="e">
        <f>H78/D78</f>
        <v>#DIV/0!</v>
      </c>
      <c r="J78" s="51">
        <f>D78-H78</f>
        <v>0</v>
      </c>
      <c r="K78" s="33">
        <f>0.05*H78</f>
        <v>0</v>
      </c>
    </row>
    <row r="79" spans="1:11" ht="12" customHeight="1" x14ac:dyDescent="0.25">
      <c r="A79" s="21"/>
      <c r="C79" s="16"/>
      <c r="D79" s="43">
        <v>0</v>
      </c>
      <c r="E79" s="43">
        <v>0</v>
      </c>
      <c r="F79" s="44">
        <f t="shared" si="12"/>
        <v>0</v>
      </c>
      <c r="G79" s="47"/>
      <c r="H79" s="45">
        <v>0</v>
      </c>
      <c r="I79" s="17" t="e">
        <f t="shared" si="13"/>
        <v>#DIV/0!</v>
      </c>
      <c r="J79" s="51">
        <f t="shared" si="14"/>
        <v>0</v>
      </c>
      <c r="K79" s="33">
        <f t="shared" si="15"/>
        <v>0</v>
      </c>
    </row>
    <row r="80" spans="1:11" ht="12" customHeight="1" x14ac:dyDescent="0.25">
      <c r="A80" s="21"/>
      <c r="B80" s="16"/>
      <c r="C80" s="16"/>
      <c r="D80" s="43">
        <v>0</v>
      </c>
      <c r="E80" s="43">
        <v>0</v>
      </c>
      <c r="F80" s="44">
        <f t="shared" si="12"/>
        <v>0</v>
      </c>
      <c r="G80" s="46"/>
      <c r="H80" s="45">
        <v>0</v>
      </c>
      <c r="I80" s="17" t="e">
        <f t="shared" si="13"/>
        <v>#DIV/0!</v>
      </c>
      <c r="J80" s="51">
        <f t="shared" si="14"/>
        <v>0</v>
      </c>
      <c r="K80" s="33">
        <f t="shared" si="15"/>
        <v>0</v>
      </c>
    </row>
    <row r="81" spans="1:11" ht="12" customHeight="1" x14ac:dyDescent="0.25">
      <c r="A81" s="21"/>
      <c r="B81" s="16"/>
      <c r="C81" s="16"/>
      <c r="D81" s="43">
        <v>0</v>
      </c>
      <c r="E81" s="43">
        <v>0</v>
      </c>
      <c r="F81" s="44">
        <f t="shared" si="9"/>
        <v>0</v>
      </c>
      <c r="G81" s="46"/>
      <c r="H81" s="45">
        <v>0</v>
      </c>
      <c r="I81" s="17" t="e">
        <f t="shared" si="10"/>
        <v>#DIV/0!</v>
      </c>
      <c r="J81" s="51">
        <f t="shared" si="6"/>
        <v>0</v>
      </c>
      <c r="K81" s="33">
        <f t="shared" si="11"/>
        <v>0</v>
      </c>
    </row>
    <row r="82" spans="1:11" ht="12" customHeight="1" x14ac:dyDescent="0.25">
      <c r="A82" s="21"/>
      <c r="C82" s="16"/>
      <c r="D82" s="43">
        <v>0</v>
      </c>
      <c r="E82" s="43">
        <v>0</v>
      </c>
      <c r="F82" s="44">
        <f t="shared" si="9"/>
        <v>0</v>
      </c>
      <c r="G82" s="47"/>
      <c r="H82" s="45">
        <v>0</v>
      </c>
      <c r="I82" s="17" t="e">
        <f t="shared" si="10"/>
        <v>#DIV/0!</v>
      </c>
      <c r="J82" s="51">
        <f t="shared" si="6"/>
        <v>0</v>
      </c>
      <c r="K82" s="33">
        <f t="shared" si="11"/>
        <v>0</v>
      </c>
    </row>
    <row r="83" spans="1:11" ht="12" customHeight="1" x14ac:dyDescent="0.25">
      <c r="A83" s="21"/>
      <c r="B83" s="16"/>
      <c r="C83" s="16"/>
      <c r="D83" s="43">
        <v>0</v>
      </c>
      <c r="E83" s="43">
        <v>0</v>
      </c>
      <c r="F83" s="44">
        <f t="shared" si="9"/>
        <v>0</v>
      </c>
      <c r="G83" s="46"/>
      <c r="H83" s="45">
        <v>0</v>
      </c>
      <c r="I83" s="17" t="e">
        <f t="shared" si="10"/>
        <v>#DIV/0!</v>
      </c>
      <c r="J83" s="51">
        <f t="shared" si="6"/>
        <v>0</v>
      </c>
      <c r="K83" s="33">
        <f t="shared" si="11"/>
        <v>0</v>
      </c>
    </row>
    <row r="84" spans="1:11" ht="12" customHeight="1" x14ac:dyDescent="0.25">
      <c r="A84" s="23"/>
      <c r="B84" s="16"/>
      <c r="C84" s="16"/>
      <c r="D84" s="43">
        <v>0</v>
      </c>
      <c r="E84" s="43">
        <v>0</v>
      </c>
      <c r="F84" s="44">
        <f t="shared" si="9"/>
        <v>0</v>
      </c>
      <c r="G84" s="46"/>
      <c r="H84" s="45">
        <v>0</v>
      </c>
      <c r="I84" s="17" t="e">
        <f t="shared" si="10"/>
        <v>#DIV/0!</v>
      </c>
      <c r="J84" s="51">
        <f t="shared" si="6"/>
        <v>0</v>
      </c>
      <c r="K84" s="33">
        <f t="shared" si="11"/>
        <v>0</v>
      </c>
    </row>
    <row r="85" spans="1:11" x14ac:dyDescent="0.25">
      <c r="A85" s="22"/>
      <c r="B85" s="19"/>
      <c r="C85" s="16"/>
      <c r="D85" s="43">
        <v>0</v>
      </c>
      <c r="E85" s="43">
        <v>0</v>
      </c>
      <c r="F85" s="44">
        <f t="shared" si="9"/>
        <v>0</v>
      </c>
      <c r="G85" s="46"/>
      <c r="H85" s="45">
        <v>0</v>
      </c>
      <c r="I85" s="17" t="e">
        <f t="shared" si="10"/>
        <v>#DIV/0!</v>
      </c>
      <c r="J85" s="51">
        <f t="shared" si="6"/>
        <v>0</v>
      </c>
      <c r="K85" s="33">
        <f t="shared" si="11"/>
        <v>0</v>
      </c>
    </row>
    <row r="86" spans="1:11" ht="13.8" x14ac:dyDescent="0.25">
      <c r="A86" s="77">
        <f>SUM(D67:D85)</f>
        <v>-93071</v>
      </c>
      <c r="B86" s="73" t="s">
        <v>21</v>
      </c>
      <c r="C86" s="74"/>
      <c r="D86" s="43">
        <f t="shared" ref="D86:I86" si="16">SUM(D65:D85)</f>
        <v>1376729</v>
      </c>
      <c r="E86" s="43">
        <f t="shared" si="16"/>
        <v>1097463</v>
      </c>
      <c r="F86" s="43">
        <f t="shared" si="16"/>
        <v>40000</v>
      </c>
      <c r="G86" s="43">
        <f t="shared" si="16"/>
        <v>0</v>
      </c>
      <c r="H86" s="43">
        <f t="shared" si="16"/>
        <v>1137463</v>
      </c>
      <c r="I86" s="43" t="e">
        <f t="shared" si="16"/>
        <v>#DIV/0!</v>
      </c>
      <c r="J86" s="51">
        <f t="shared" si="6"/>
        <v>239266</v>
      </c>
      <c r="K86" s="43">
        <f>SUM(K65:K85)</f>
        <v>56873.15</v>
      </c>
    </row>
    <row r="87" spans="1:11" x14ac:dyDescent="0.25">
      <c r="I87" s="2"/>
    </row>
    <row r="88" spans="1:11" x14ac:dyDescent="0.25">
      <c r="I88" s="2"/>
    </row>
    <row r="89" spans="1:11" x14ac:dyDescent="0.25">
      <c r="C89" s="24"/>
      <c r="I89" s="2"/>
    </row>
    <row r="90" spans="1:1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s="1" customFormat="1" x14ac:dyDescent="0.25">
      <c r="I97" s="2"/>
    </row>
    <row r="98" spans="9:9" s="1" customFormat="1" x14ac:dyDescent="0.25">
      <c r="I98" s="2"/>
    </row>
    <row r="99" spans="9:9" s="1" customFormat="1" x14ac:dyDescent="0.25">
      <c r="I99" s="2"/>
    </row>
    <row r="100" spans="9:9" s="1" customFormat="1" x14ac:dyDescent="0.25">
      <c r="I100" s="2"/>
    </row>
    <row r="101" spans="9:9" s="1" customFormat="1" x14ac:dyDescent="0.25">
      <c r="I101" s="2"/>
    </row>
    <row r="102" spans="9:9" s="1" customFormat="1" x14ac:dyDescent="0.25">
      <c r="I102" s="2"/>
    </row>
    <row r="103" spans="9:9" s="1" customFormat="1" x14ac:dyDescent="0.25">
      <c r="I103" s="2"/>
    </row>
    <row r="104" spans="9:9" s="1" customFormat="1" x14ac:dyDescent="0.25">
      <c r="I104" s="2"/>
    </row>
    <row r="105" spans="9:9" s="1" customFormat="1" x14ac:dyDescent="0.25">
      <c r="I105" s="2"/>
    </row>
    <row r="106" spans="9:9" s="1" customFormat="1" x14ac:dyDescent="0.25">
      <c r="I106" s="2"/>
    </row>
    <row r="107" spans="9:9" s="1" customFormat="1" x14ac:dyDescent="0.25">
      <c r="I107" s="2"/>
    </row>
    <row r="108" spans="9:9" s="1" customFormat="1" x14ac:dyDescent="0.25">
      <c r="I108" s="2"/>
    </row>
    <row r="109" spans="9:9" s="1" customFormat="1" x14ac:dyDescent="0.25">
      <c r="I109" s="2"/>
    </row>
    <row r="110" spans="9:9" s="1" customFormat="1" x14ac:dyDescent="0.25">
      <c r="I110" s="2"/>
    </row>
    <row r="111" spans="9:9" s="1" customFormat="1" x14ac:dyDescent="0.25">
      <c r="I111" s="2"/>
    </row>
    <row r="112" spans="9:9" s="1" customFormat="1" x14ac:dyDescent="0.25">
      <c r="I112" s="2"/>
    </row>
    <row r="113" spans="9:9" s="1" customFormat="1" x14ac:dyDescent="0.25">
      <c r="I113" s="2"/>
    </row>
    <row r="114" spans="9:9" s="1" customFormat="1" x14ac:dyDescent="0.25">
      <c r="I114" s="2"/>
    </row>
    <row r="115" spans="9:9" s="1" customFormat="1" x14ac:dyDescent="0.25">
      <c r="I115" s="2"/>
    </row>
    <row r="116" spans="9:9" s="1" customFormat="1" x14ac:dyDescent="0.25">
      <c r="I116" s="2"/>
    </row>
    <row r="117" spans="9:9" s="1" customFormat="1" x14ac:dyDescent="0.25">
      <c r="I117" s="2"/>
    </row>
    <row r="118" spans="9:9" s="1" customFormat="1" x14ac:dyDescent="0.25">
      <c r="I118" s="2"/>
    </row>
    <row r="119" spans="9:9" s="1" customFormat="1" x14ac:dyDescent="0.25">
      <c r="I119" s="2"/>
    </row>
    <row r="120" spans="9:9" s="1" customFormat="1" x14ac:dyDescent="0.25">
      <c r="I120" s="2"/>
    </row>
    <row r="121" spans="9:9" s="1" customFormat="1" x14ac:dyDescent="0.25">
      <c r="I121" s="2"/>
    </row>
    <row r="122" spans="9:9" s="1" customFormat="1" x14ac:dyDescent="0.25">
      <c r="I122" s="2"/>
    </row>
    <row r="123" spans="9:9" s="1" customFormat="1" x14ac:dyDescent="0.25">
      <c r="I123" s="2"/>
    </row>
    <row r="124" spans="9:9" s="1" customFormat="1" x14ac:dyDescent="0.25">
      <c r="I124" s="2"/>
    </row>
    <row r="125" spans="9:9" s="1" customFormat="1" x14ac:dyDescent="0.25">
      <c r="I125" s="2"/>
    </row>
    <row r="126" spans="9:9" s="1" customFormat="1" x14ac:dyDescent="0.25">
      <c r="I126" s="2"/>
    </row>
    <row r="127" spans="9:9" s="1" customFormat="1" x14ac:dyDescent="0.25">
      <c r="I127" s="2"/>
    </row>
    <row r="128" spans="9:9" s="1" customFormat="1" x14ac:dyDescent="0.25">
      <c r="I128" s="2"/>
    </row>
    <row r="129" spans="9:9" s="1" customFormat="1" x14ac:dyDescent="0.25">
      <c r="I129" s="2"/>
    </row>
    <row r="130" spans="9:9" s="1" customFormat="1" x14ac:dyDescent="0.25">
      <c r="I130" s="2"/>
    </row>
    <row r="131" spans="9:9" s="1" customFormat="1" x14ac:dyDescent="0.25">
      <c r="I131" s="2"/>
    </row>
    <row r="132" spans="9:9" s="1" customFormat="1" x14ac:dyDescent="0.25">
      <c r="I132" s="2"/>
    </row>
    <row r="133" spans="9:9" s="1" customFormat="1" x14ac:dyDescent="0.25">
      <c r="I133" s="2"/>
    </row>
    <row r="134" spans="9:9" s="1" customFormat="1" x14ac:dyDescent="0.25">
      <c r="I134" s="2"/>
    </row>
    <row r="135" spans="9:9" s="1" customFormat="1" x14ac:dyDescent="0.25">
      <c r="I135" s="2"/>
    </row>
    <row r="136" spans="9:9" s="1" customFormat="1" x14ac:dyDescent="0.25">
      <c r="I136" s="2"/>
    </row>
    <row r="137" spans="9:9" s="1" customFormat="1" x14ac:dyDescent="0.25">
      <c r="I137" s="2"/>
    </row>
    <row r="138" spans="9:9" s="1" customFormat="1" x14ac:dyDescent="0.25">
      <c r="I138" s="2"/>
    </row>
    <row r="139" spans="9:9" s="1" customFormat="1" x14ac:dyDescent="0.25">
      <c r="I139" s="2"/>
    </row>
    <row r="140" spans="9:9" s="1" customFormat="1" x14ac:dyDescent="0.25">
      <c r="I140" s="2"/>
    </row>
    <row r="141" spans="9:9" s="1" customFormat="1" x14ac:dyDescent="0.25">
      <c r="I141" s="2"/>
    </row>
    <row r="142" spans="9:9" s="1" customFormat="1" x14ac:dyDescent="0.25">
      <c r="I142" s="2"/>
    </row>
    <row r="143" spans="9:9" s="1" customFormat="1" x14ac:dyDescent="0.25">
      <c r="I143" s="2"/>
    </row>
    <row r="144" spans="9:9" s="1" customFormat="1" x14ac:dyDescent="0.25">
      <c r="I144" s="2"/>
    </row>
    <row r="145" spans="9:9" s="1" customFormat="1" x14ac:dyDescent="0.25">
      <c r="I145" s="2"/>
    </row>
    <row r="146" spans="9:9" s="1" customFormat="1" x14ac:dyDescent="0.25">
      <c r="I146" s="2"/>
    </row>
    <row r="147" spans="9:9" s="1" customFormat="1" x14ac:dyDescent="0.25">
      <c r="I147" s="2"/>
    </row>
    <row r="148" spans="9:9" s="1" customFormat="1" x14ac:dyDescent="0.25">
      <c r="I148" s="2"/>
    </row>
    <row r="149" spans="9:9" s="1" customFormat="1" x14ac:dyDescent="0.25">
      <c r="I149" s="2"/>
    </row>
    <row r="150" spans="9:9" s="1" customFormat="1" x14ac:dyDescent="0.25">
      <c r="I150" s="2"/>
    </row>
    <row r="151" spans="9:9" s="1" customFormat="1" x14ac:dyDescent="0.25">
      <c r="I151" s="2"/>
    </row>
    <row r="152" spans="9:9" s="1" customFormat="1" x14ac:dyDescent="0.25">
      <c r="I152" s="2"/>
    </row>
    <row r="153" spans="9:9" s="1" customFormat="1" x14ac:dyDescent="0.25">
      <c r="I153" s="2"/>
    </row>
    <row r="154" spans="9:9" s="1" customFormat="1" x14ac:dyDescent="0.25">
      <c r="I154" s="2"/>
    </row>
    <row r="155" spans="9:9" s="1" customFormat="1" x14ac:dyDescent="0.25">
      <c r="I155" s="2"/>
    </row>
    <row r="156" spans="9:9" s="1" customFormat="1" x14ac:dyDescent="0.25">
      <c r="I156" s="2"/>
    </row>
    <row r="157" spans="9:9" s="1" customFormat="1" x14ac:dyDescent="0.25">
      <c r="I157" s="2"/>
    </row>
    <row r="158" spans="9:9" s="1" customFormat="1" x14ac:dyDescent="0.25">
      <c r="I158" s="2"/>
    </row>
    <row r="159" spans="9:9" s="1" customFormat="1" x14ac:dyDescent="0.25">
      <c r="I159" s="2"/>
    </row>
    <row r="160" spans="9:9" s="1" customFormat="1" x14ac:dyDescent="0.25">
      <c r="I160" s="2"/>
    </row>
    <row r="161" spans="9:9" s="1" customFormat="1" x14ac:dyDescent="0.25">
      <c r="I161" s="2"/>
    </row>
    <row r="162" spans="9:9" s="1" customFormat="1" x14ac:dyDescent="0.25">
      <c r="I162" s="2"/>
    </row>
    <row r="163" spans="9:9" s="1" customFormat="1" x14ac:dyDescent="0.25">
      <c r="I163" s="2"/>
    </row>
    <row r="164" spans="9:9" s="1" customFormat="1" x14ac:dyDescent="0.25">
      <c r="I164" s="2"/>
    </row>
    <row r="165" spans="9:9" s="1" customFormat="1" x14ac:dyDescent="0.25">
      <c r="I165" s="2"/>
    </row>
    <row r="166" spans="9:9" s="1" customFormat="1" x14ac:dyDescent="0.25">
      <c r="I166" s="2"/>
    </row>
    <row r="167" spans="9:9" s="1" customFormat="1" x14ac:dyDescent="0.25">
      <c r="I167" s="2"/>
    </row>
    <row r="168" spans="9:9" s="1" customFormat="1" x14ac:dyDescent="0.25">
      <c r="I168" s="2"/>
    </row>
    <row r="169" spans="9:9" s="1" customFormat="1" x14ac:dyDescent="0.25">
      <c r="I169" s="2"/>
    </row>
    <row r="170" spans="9:9" s="1" customFormat="1" x14ac:dyDescent="0.25">
      <c r="I170" s="2"/>
    </row>
    <row r="171" spans="9:9" s="1" customFormat="1" x14ac:dyDescent="0.25">
      <c r="I171" s="2"/>
    </row>
    <row r="172" spans="9:9" s="1" customFormat="1" x14ac:dyDescent="0.25">
      <c r="I172" s="2"/>
    </row>
    <row r="173" spans="9:9" s="1" customFormat="1" x14ac:dyDescent="0.25">
      <c r="I173" s="2"/>
    </row>
    <row r="174" spans="9:9" s="1" customFormat="1" x14ac:dyDescent="0.25">
      <c r="I174" s="2"/>
    </row>
    <row r="175" spans="9:9" s="1" customFormat="1" x14ac:dyDescent="0.25">
      <c r="I175" s="2"/>
    </row>
    <row r="176" spans="9:9" s="1" customFormat="1" x14ac:dyDescent="0.25">
      <c r="I176" s="2"/>
    </row>
    <row r="177" spans="9:9" s="1" customFormat="1" x14ac:dyDescent="0.25">
      <c r="I177" s="2"/>
    </row>
    <row r="178" spans="9:9" s="1" customFormat="1" x14ac:dyDescent="0.25">
      <c r="I178" s="2"/>
    </row>
    <row r="179" spans="9:9" s="1" customFormat="1" x14ac:dyDescent="0.25">
      <c r="I179" s="2"/>
    </row>
    <row r="180" spans="9:9" s="1" customFormat="1" x14ac:dyDescent="0.25">
      <c r="I180" s="2"/>
    </row>
    <row r="181" spans="9:9" s="1" customFormat="1" x14ac:dyDescent="0.25">
      <c r="I181" s="2"/>
    </row>
    <row r="182" spans="9:9" s="1" customFormat="1" x14ac:dyDescent="0.25">
      <c r="I182" s="2"/>
    </row>
    <row r="183" spans="9:9" s="1" customFormat="1" x14ac:dyDescent="0.25">
      <c r="I183" s="2"/>
    </row>
    <row r="184" spans="9:9" s="1" customFormat="1" x14ac:dyDescent="0.25">
      <c r="I184" s="2"/>
    </row>
    <row r="185" spans="9:9" s="1" customFormat="1" x14ac:dyDescent="0.25">
      <c r="I185" s="2"/>
    </row>
    <row r="186" spans="9:9" s="1" customFormat="1" x14ac:dyDescent="0.25">
      <c r="I186" s="2"/>
    </row>
    <row r="187" spans="9:9" s="1" customFormat="1" x14ac:dyDescent="0.25">
      <c r="I187" s="2"/>
    </row>
    <row r="188" spans="9:9" s="1" customFormat="1" x14ac:dyDescent="0.25">
      <c r="I188" s="2"/>
    </row>
    <row r="189" spans="9:9" s="1" customFormat="1" x14ac:dyDescent="0.25">
      <c r="I189" s="2"/>
    </row>
    <row r="190" spans="9:9" s="1" customFormat="1" x14ac:dyDescent="0.25">
      <c r="I190" s="2"/>
    </row>
    <row r="191" spans="9:9" s="1" customFormat="1" x14ac:dyDescent="0.25">
      <c r="I191" s="2"/>
    </row>
    <row r="192" spans="9:9" s="1" customFormat="1" x14ac:dyDescent="0.25">
      <c r="I192" s="2"/>
    </row>
    <row r="193" spans="9:9" s="1" customFormat="1" x14ac:dyDescent="0.25">
      <c r="I193" s="2"/>
    </row>
    <row r="194" spans="9:9" s="1" customFormat="1" x14ac:dyDescent="0.25">
      <c r="I194" s="2"/>
    </row>
    <row r="195" spans="9:9" s="1" customFormat="1" x14ac:dyDescent="0.25">
      <c r="I195" s="2"/>
    </row>
    <row r="196" spans="9:9" s="1" customFormat="1" x14ac:dyDescent="0.25">
      <c r="I196" s="2"/>
    </row>
    <row r="197" spans="9:9" s="1" customFormat="1" x14ac:dyDescent="0.25">
      <c r="I197" s="2"/>
    </row>
    <row r="198" spans="9:9" s="1" customFormat="1" x14ac:dyDescent="0.25">
      <c r="I198" s="2"/>
    </row>
    <row r="199" spans="9:9" s="1" customFormat="1" x14ac:dyDescent="0.25">
      <c r="I199" s="2"/>
    </row>
    <row r="200" spans="9:9" s="1" customFormat="1" x14ac:dyDescent="0.25">
      <c r="I200" s="2"/>
    </row>
    <row r="201" spans="9:9" s="1" customFormat="1" x14ac:dyDescent="0.25">
      <c r="I201" s="2"/>
    </row>
    <row r="202" spans="9:9" s="1" customFormat="1" x14ac:dyDescent="0.25">
      <c r="I202" s="2"/>
    </row>
    <row r="203" spans="9:9" s="1" customFormat="1" x14ac:dyDescent="0.25">
      <c r="I203" s="2"/>
    </row>
    <row r="204" spans="9:9" s="1" customFormat="1" x14ac:dyDescent="0.25">
      <c r="I204" s="2"/>
    </row>
    <row r="205" spans="9:9" s="1" customFormat="1" x14ac:dyDescent="0.25">
      <c r="I205" s="2"/>
    </row>
    <row r="206" spans="9:9" s="1" customFormat="1" x14ac:dyDescent="0.25">
      <c r="I206" s="2"/>
    </row>
    <row r="207" spans="9:9" s="1" customFormat="1" x14ac:dyDescent="0.25">
      <c r="I207" s="2"/>
    </row>
    <row r="208" spans="9:9" s="1" customFormat="1" x14ac:dyDescent="0.25">
      <c r="I208" s="2"/>
    </row>
    <row r="209" spans="9:9" s="1" customFormat="1" x14ac:dyDescent="0.25">
      <c r="I209" s="2"/>
    </row>
    <row r="210" spans="9:9" s="1" customFormat="1" x14ac:dyDescent="0.25">
      <c r="I210" s="2"/>
    </row>
    <row r="211" spans="9:9" s="1" customFormat="1" x14ac:dyDescent="0.25">
      <c r="I211" s="2"/>
    </row>
    <row r="212" spans="9:9" s="1" customFormat="1" x14ac:dyDescent="0.25">
      <c r="I212" s="2"/>
    </row>
    <row r="213" spans="9:9" s="1" customFormat="1" x14ac:dyDescent="0.25">
      <c r="I213" s="2"/>
    </row>
    <row r="214" spans="9:9" s="1" customFormat="1" x14ac:dyDescent="0.25">
      <c r="I214" s="2"/>
    </row>
    <row r="215" spans="9:9" s="1" customFormat="1" x14ac:dyDescent="0.25">
      <c r="I215" s="2"/>
    </row>
    <row r="216" spans="9:9" s="1" customFormat="1" x14ac:dyDescent="0.25">
      <c r="I216" s="2"/>
    </row>
    <row r="217" spans="9:9" s="1" customFormat="1" x14ac:dyDescent="0.25">
      <c r="I217" s="2"/>
    </row>
    <row r="218" spans="9:9" s="1" customFormat="1" x14ac:dyDescent="0.25">
      <c r="I218" s="2"/>
    </row>
    <row r="219" spans="9:9" s="1" customFormat="1" x14ac:dyDescent="0.25">
      <c r="I219" s="2"/>
    </row>
    <row r="220" spans="9:9" s="1" customFormat="1" x14ac:dyDescent="0.25">
      <c r="I220" s="2"/>
    </row>
    <row r="221" spans="9:9" s="1" customFormat="1" x14ac:dyDescent="0.25">
      <c r="I221" s="2"/>
    </row>
    <row r="222" spans="9:9" s="1" customFormat="1" x14ac:dyDescent="0.25">
      <c r="I222" s="2"/>
    </row>
    <row r="223" spans="9:9" s="1" customFormat="1" x14ac:dyDescent="0.25">
      <c r="I223" s="2"/>
    </row>
    <row r="224" spans="9:9" s="1" customFormat="1" x14ac:dyDescent="0.25">
      <c r="I224" s="2"/>
    </row>
    <row r="225" spans="9:9" s="1" customFormat="1" x14ac:dyDescent="0.25">
      <c r="I225" s="2"/>
    </row>
    <row r="226" spans="9:9" s="1" customFormat="1" x14ac:dyDescent="0.25">
      <c r="I226" s="2"/>
    </row>
    <row r="227" spans="9:9" s="1" customFormat="1" x14ac:dyDescent="0.25">
      <c r="I227" s="2"/>
    </row>
    <row r="228" spans="9:9" s="1" customFormat="1" x14ac:dyDescent="0.25">
      <c r="I228" s="2"/>
    </row>
    <row r="229" spans="9:9" s="1" customFormat="1" x14ac:dyDescent="0.25">
      <c r="I229" s="2"/>
    </row>
    <row r="230" spans="9:9" s="1" customFormat="1" x14ac:dyDescent="0.25">
      <c r="I230" s="2"/>
    </row>
    <row r="231" spans="9:9" s="1" customFormat="1" x14ac:dyDescent="0.25">
      <c r="I231" s="2"/>
    </row>
    <row r="232" spans="9:9" s="1" customFormat="1" x14ac:dyDescent="0.25">
      <c r="I232" s="2"/>
    </row>
    <row r="233" spans="9:9" s="1" customFormat="1" x14ac:dyDescent="0.25">
      <c r="I233" s="2"/>
    </row>
    <row r="234" spans="9:9" s="1" customFormat="1" x14ac:dyDescent="0.25">
      <c r="I234" s="2"/>
    </row>
    <row r="235" spans="9:9" s="1" customFormat="1" x14ac:dyDescent="0.25">
      <c r="I235" s="2"/>
    </row>
    <row r="236" spans="9:9" s="1" customFormat="1" x14ac:dyDescent="0.25">
      <c r="I236" s="2"/>
    </row>
    <row r="237" spans="9:9" s="1" customFormat="1" x14ac:dyDescent="0.25">
      <c r="I237" s="2"/>
    </row>
    <row r="238" spans="9:9" s="1" customFormat="1" x14ac:dyDescent="0.25">
      <c r="I238" s="2"/>
    </row>
    <row r="239" spans="9:9" s="1" customFormat="1" x14ac:dyDescent="0.25">
      <c r="I239" s="2"/>
    </row>
    <row r="240" spans="9:9" s="1" customFormat="1" x14ac:dyDescent="0.25">
      <c r="I240" s="2"/>
    </row>
    <row r="241" spans="9:9" s="1" customFormat="1" x14ac:dyDescent="0.25">
      <c r="I241" s="2"/>
    </row>
    <row r="242" spans="9:9" s="1" customFormat="1" x14ac:dyDescent="0.25">
      <c r="I242" s="2"/>
    </row>
    <row r="243" spans="9:9" s="1" customFormat="1" x14ac:dyDescent="0.25">
      <c r="I243" s="2"/>
    </row>
    <row r="244" spans="9:9" s="1" customFormat="1" x14ac:dyDescent="0.25">
      <c r="I244" s="2"/>
    </row>
    <row r="245" spans="9:9" s="1" customFormat="1" x14ac:dyDescent="0.25">
      <c r="I245" s="2"/>
    </row>
    <row r="246" spans="9:9" s="1" customFormat="1" x14ac:dyDescent="0.25">
      <c r="I246" s="2"/>
    </row>
    <row r="247" spans="9:9" s="1" customFormat="1" x14ac:dyDescent="0.25">
      <c r="I247" s="2"/>
    </row>
    <row r="248" spans="9:9" s="1" customFormat="1" x14ac:dyDescent="0.25">
      <c r="I248" s="2"/>
    </row>
    <row r="249" spans="9:9" s="1" customFormat="1" x14ac:dyDescent="0.25">
      <c r="I249" s="2"/>
    </row>
    <row r="250" spans="9:9" s="1" customFormat="1" x14ac:dyDescent="0.25">
      <c r="I250" s="2"/>
    </row>
    <row r="251" spans="9:9" s="1" customFormat="1" x14ac:dyDescent="0.25">
      <c r="I251" s="2"/>
    </row>
    <row r="252" spans="9:9" s="1" customFormat="1" x14ac:dyDescent="0.25">
      <c r="I252" s="2"/>
    </row>
    <row r="253" spans="9:9" s="1" customFormat="1" x14ac:dyDescent="0.25">
      <c r="I253" s="2"/>
    </row>
    <row r="254" spans="9:9" s="1" customFormat="1" x14ac:dyDescent="0.25">
      <c r="I254" s="2"/>
    </row>
    <row r="255" spans="9:9" s="1" customFormat="1" x14ac:dyDescent="0.25">
      <c r="I255" s="2"/>
    </row>
    <row r="256" spans="9:9" s="1" customFormat="1" x14ac:dyDescent="0.25">
      <c r="I256" s="2"/>
    </row>
    <row r="257" spans="9:9" s="1" customFormat="1" x14ac:dyDescent="0.25">
      <c r="I257" s="2"/>
    </row>
    <row r="258" spans="9:9" s="1" customFormat="1" x14ac:dyDescent="0.25">
      <c r="I258" s="2"/>
    </row>
    <row r="259" spans="9:9" s="1" customFormat="1" x14ac:dyDescent="0.25">
      <c r="I259" s="2"/>
    </row>
    <row r="260" spans="9:9" s="1" customFormat="1" x14ac:dyDescent="0.25">
      <c r="I260" s="2"/>
    </row>
    <row r="261" spans="9:9" s="1" customFormat="1" x14ac:dyDescent="0.25">
      <c r="I261" s="2"/>
    </row>
    <row r="262" spans="9:9" s="1" customFormat="1" x14ac:dyDescent="0.25">
      <c r="I262" s="2"/>
    </row>
    <row r="263" spans="9:9" s="1" customFormat="1" x14ac:dyDescent="0.25">
      <c r="I263" s="2"/>
    </row>
    <row r="264" spans="9:9" s="1" customFormat="1" x14ac:dyDescent="0.25">
      <c r="I264" s="2"/>
    </row>
    <row r="265" spans="9:9" s="1" customFormat="1" x14ac:dyDescent="0.25">
      <c r="I265" s="2"/>
    </row>
    <row r="266" spans="9:9" s="1" customFormat="1" x14ac:dyDescent="0.25">
      <c r="I266" s="2"/>
    </row>
    <row r="267" spans="9:9" s="1" customFormat="1" x14ac:dyDescent="0.25">
      <c r="I267" s="2"/>
    </row>
    <row r="268" spans="9:9" s="1" customFormat="1" x14ac:dyDescent="0.25">
      <c r="I268" s="2"/>
    </row>
    <row r="269" spans="9:9" s="1" customFormat="1" x14ac:dyDescent="0.25">
      <c r="I269" s="2"/>
    </row>
    <row r="270" spans="9:9" s="1" customFormat="1" x14ac:dyDescent="0.25">
      <c r="I270" s="2"/>
    </row>
    <row r="271" spans="9:9" s="1" customFormat="1" x14ac:dyDescent="0.25">
      <c r="I271" s="2"/>
    </row>
    <row r="272" spans="9:9" s="1" customFormat="1" x14ac:dyDescent="0.25">
      <c r="I272" s="2"/>
    </row>
    <row r="273" spans="9:9" s="1" customFormat="1" x14ac:dyDescent="0.25">
      <c r="I273" s="2"/>
    </row>
    <row r="274" spans="9:9" s="1" customFormat="1" x14ac:dyDescent="0.25">
      <c r="I274" s="2"/>
    </row>
    <row r="275" spans="9:9" s="1" customFormat="1" x14ac:dyDescent="0.25">
      <c r="I275" s="2"/>
    </row>
    <row r="276" spans="9:9" s="1" customFormat="1" x14ac:dyDescent="0.25">
      <c r="I276" s="2"/>
    </row>
    <row r="277" spans="9:9" s="1" customFormat="1" x14ac:dyDescent="0.25">
      <c r="I277" s="2"/>
    </row>
    <row r="278" spans="9:9" s="1" customFormat="1" x14ac:dyDescent="0.25">
      <c r="I278" s="2"/>
    </row>
    <row r="279" spans="9:9" s="1" customFormat="1" x14ac:dyDescent="0.25">
      <c r="I279" s="2"/>
    </row>
    <row r="280" spans="9:9" s="1" customFormat="1" x14ac:dyDescent="0.25">
      <c r="I280" s="2"/>
    </row>
    <row r="281" spans="9:9" s="1" customFormat="1" x14ac:dyDescent="0.25">
      <c r="I281" s="2"/>
    </row>
    <row r="282" spans="9:9" s="1" customFormat="1" x14ac:dyDescent="0.25">
      <c r="I282" s="2"/>
    </row>
    <row r="283" spans="9:9" s="1" customFormat="1" x14ac:dyDescent="0.25">
      <c r="I283" s="2"/>
    </row>
    <row r="284" spans="9:9" s="1" customFormat="1" x14ac:dyDescent="0.25">
      <c r="I284" s="2"/>
    </row>
    <row r="285" spans="9:9" s="1" customFormat="1" x14ac:dyDescent="0.25">
      <c r="I285" s="2"/>
    </row>
    <row r="286" spans="9:9" s="1" customFormat="1" x14ac:dyDescent="0.25">
      <c r="I286" s="2"/>
    </row>
    <row r="287" spans="9:9" s="1" customFormat="1" x14ac:dyDescent="0.25">
      <c r="I287" s="2"/>
    </row>
    <row r="288" spans="9:9" s="1" customFormat="1" x14ac:dyDescent="0.25">
      <c r="I288" s="2"/>
    </row>
    <row r="289" spans="9:9" s="1" customFormat="1" x14ac:dyDescent="0.25">
      <c r="I289" s="2"/>
    </row>
    <row r="290" spans="9:9" s="1" customFormat="1" x14ac:dyDescent="0.25">
      <c r="I290" s="2"/>
    </row>
    <row r="291" spans="9:9" s="1" customFormat="1" x14ac:dyDescent="0.25">
      <c r="I291" s="2"/>
    </row>
    <row r="292" spans="9:9" s="1" customFormat="1" x14ac:dyDescent="0.25">
      <c r="I292" s="2"/>
    </row>
    <row r="293" spans="9:9" s="1" customFormat="1" x14ac:dyDescent="0.25">
      <c r="I293" s="2"/>
    </row>
    <row r="294" spans="9:9" s="1" customFormat="1" x14ac:dyDescent="0.25">
      <c r="I294" s="2"/>
    </row>
    <row r="295" spans="9:9" s="1" customFormat="1" x14ac:dyDescent="0.25">
      <c r="I295" s="2"/>
    </row>
    <row r="296" spans="9:9" s="1" customFormat="1" x14ac:dyDescent="0.25">
      <c r="I296" s="2"/>
    </row>
    <row r="297" spans="9:9" s="1" customFormat="1" x14ac:dyDescent="0.25">
      <c r="I297" s="2"/>
    </row>
    <row r="298" spans="9:9" s="1" customFormat="1" x14ac:dyDescent="0.25">
      <c r="I298" s="2"/>
    </row>
    <row r="299" spans="9:9" s="1" customFormat="1" x14ac:dyDescent="0.25">
      <c r="I299" s="2"/>
    </row>
    <row r="300" spans="9:9" s="1" customFormat="1" x14ac:dyDescent="0.25">
      <c r="I300" s="2"/>
    </row>
    <row r="301" spans="9:9" s="1" customFormat="1" x14ac:dyDescent="0.25">
      <c r="I301" s="2"/>
    </row>
    <row r="302" spans="9:9" s="1" customFormat="1" x14ac:dyDescent="0.25">
      <c r="I302" s="2"/>
    </row>
    <row r="303" spans="9:9" s="1" customFormat="1" x14ac:dyDescent="0.25">
      <c r="I303" s="2"/>
    </row>
    <row r="304" spans="9:9" s="1" customFormat="1" x14ac:dyDescent="0.25">
      <c r="I304" s="2"/>
    </row>
    <row r="305" spans="9:9" s="1" customFormat="1" x14ac:dyDescent="0.25">
      <c r="I305" s="2"/>
    </row>
    <row r="306" spans="9:9" s="1" customFormat="1" x14ac:dyDescent="0.25">
      <c r="I306" s="2"/>
    </row>
    <row r="307" spans="9:9" s="1" customFormat="1" x14ac:dyDescent="0.25">
      <c r="I307" s="2"/>
    </row>
    <row r="308" spans="9:9" s="1" customFormat="1" x14ac:dyDescent="0.25">
      <c r="I308" s="2"/>
    </row>
    <row r="309" spans="9:9" s="1" customFormat="1" x14ac:dyDescent="0.25">
      <c r="I309" s="2"/>
    </row>
    <row r="310" spans="9:9" s="1" customFormat="1" x14ac:dyDescent="0.25">
      <c r="I310" s="2"/>
    </row>
    <row r="311" spans="9:9" s="1" customFormat="1" x14ac:dyDescent="0.25">
      <c r="I311" s="2"/>
    </row>
    <row r="312" spans="9:9" s="1" customFormat="1" x14ac:dyDescent="0.25">
      <c r="I312" s="2"/>
    </row>
    <row r="313" spans="9:9" s="1" customFormat="1" x14ac:dyDescent="0.25">
      <c r="I313" s="2"/>
    </row>
    <row r="314" spans="9:9" s="1" customFormat="1" x14ac:dyDescent="0.25">
      <c r="I314" s="2"/>
    </row>
    <row r="315" spans="9:9" s="1" customFormat="1" x14ac:dyDescent="0.25">
      <c r="I315" s="2"/>
    </row>
    <row r="316" spans="9:9" s="1" customFormat="1" x14ac:dyDescent="0.25">
      <c r="I316" s="2"/>
    </row>
    <row r="317" spans="9:9" s="1" customFormat="1" x14ac:dyDescent="0.25">
      <c r="I317" s="2"/>
    </row>
    <row r="318" spans="9:9" s="1" customFormat="1" x14ac:dyDescent="0.25">
      <c r="I318" s="2"/>
    </row>
    <row r="319" spans="9:9" s="1" customFormat="1" x14ac:dyDescent="0.25">
      <c r="I319" s="2"/>
    </row>
    <row r="320" spans="9:9" s="1" customFormat="1" x14ac:dyDescent="0.25">
      <c r="I320" s="2"/>
    </row>
    <row r="321" spans="9:9" s="1" customFormat="1" x14ac:dyDescent="0.25">
      <c r="I321" s="2"/>
    </row>
    <row r="322" spans="9:9" s="1" customFormat="1" x14ac:dyDescent="0.25">
      <c r="I322" s="2"/>
    </row>
    <row r="323" spans="9:9" s="1" customFormat="1" x14ac:dyDescent="0.25">
      <c r="I323" s="2"/>
    </row>
    <row r="324" spans="9:9" s="1" customFormat="1" x14ac:dyDescent="0.25">
      <c r="I324" s="2"/>
    </row>
    <row r="325" spans="9:9" s="1" customFormat="1" x14ac:dyDescent="0.25">
      <c r="I325" s="2"/>
    </row>
    <row r="326" spans="9:9" s="1" customFormat="1" x14ac:dyDescent="0.25">
      <c r="I326" s="2"/>
    </row>
    <row r="327" spans="9:9" s="1" customFormat="1" x14ac:dyDescent="0.25">
      <c r="I327" s="2"/>
    </row>
    <row r="328" spans="9:9" s="1" customFormat="1" x14ac:dyDescent="0.25">
      <c r="I328" s="2"/>
    </row>
    <row r="329" spans="9:9" s="1" customFormat="1" x14ac:dyDescent="0.25">
      <c r="I329" s="2"/>
    </row>
    <row r="330" spans="9:9" s="1" customFormat="1" x14ac:dyDescent="0.25">
      <c r="I330" s="2"/>
    </row>
    <row r="331" spans="9:9" s="1" customFormat="1" x14ac:dyDescent="0.25">
      <c r="I331" s="2"/>
    </row>
    <row r="332" spans="9:9" s="1" customFormat="1" x14ac:dyDescent="0.25">
      <c r="I332" s="2"/>
    </row>
    <row r="333" spans="9:9" s="1" customFormat="1" x14ac:dyDescent="0.25">
      <c r="I333" s="2"/>
    </row>
    <row r="334" spans="9:9" s="1" customFormat="1" x14ac:dyDescent="0.25">
      <c r="I334" s="2"/>
    </row>
    <row r="335" spans="9:9" s="1" customFormat="1" x14ac:dyDescent="0.25">
      <c r="I335" s="2"/>
    </row>
    <row r="336" spans="9:9" s="1" customFormat="1" x14ac:dyDescent="0.25">
      <c r="I336" s="2"/>
    </row>
    <row r="337" spans="9:9" s="1" customFormat="1" x14ac:dyDescent="0.25">
      <c r="I337" s="2"/>
    </row>
    <row r="338" spans="9:9" s="1" customFormat="1" x14ac:dyDescent="0.25">
      <c r="I338" s="2"/>
    </row>
    <row r="339" spans="9:9" s="1" customFormat="1" x14ac:dyDescent="0.25">
      <c r="I339" s="2"/>
    </row>
    <row r="340" spans="9:9" s="1" customFormat="1" x14ac:dyDescent="0.25">
      <c r="I340" s="2"/>
    </row>
    <row r="341" spans="9:9" s="1" customFormat="1" x14ac:dyDescent="0.25">
      <c r="I341" s="2"/>
    </row>
    <row r="342" spans="9:9" s="1" customFormat="1" x14ac:dyDescent="0.25">
      <c r="I342" s="2"/>
    </row>
    <row r="343" spans="9:9" s="1" customFormat="1" x14ac:dyDescent="0.25">
      <c r="I343" s="2"/>
    </row>
    <row r="344" spans="9:9" s="1" customFormat="1" x14ac:dyDescent="0.25">
      <c r="I344" s="2"/>
    </row>
    <row r="345" spans="9:9" s="1" customFormat="1" x14ac:dyDescent="0.25">
      <c r="I345" s="2"/>
    </row>
    <row r="346" spans="9:9" s="1" customFormat="1" x14ac:dyDescent="0.25">
      <c r="I346" s="2"/>
    </row>
    <row r="347" spans="9:9" s="1" customFormat="1" x14ac:dyDescent="0.25">
      <c r="I347" s="2"/>
    </row>
    <row r="348" spans="9:9" s="1" customFormat="1" x14ac:dyDescent="0.25">
      <c r="I348" s="2"/>
    </row>
    <row r="349" spans="9:9" s="1" customFormat="1" x14ac:dyDescent="0.25">
      <c r="I349" s="2"/>
    </row>
    <row r="350" spans="9:9" s="1" customFormat="1" x14ac:dyDescent="0.25">
      <c r="I350" s="2"/>
    </row>
    <row r="351" spans="9:9" s="1" customFormat="1" x14ac:dyDescent="0.25">
      <c r="I351" s="2"/>
    </row>
    <row r="352" spans="9:9" s="1" customFormat="1" x14ac:dyDescent="0.25">
      <c r="I352" s="2"/>
    </row>
    <row r="353" spans="9:9" s="1" customFormat="1" x14ac:dyDescent="0.25">
      <c r="I353" s="2"/>
    </row>
    <row r="354" spans="9:9" s="1" customFormat="1" x14ac:dyDescent="0.25">
      <c r="I354" s="2"/>
    </row>
    <row r="355" spans="9:9" s="1" customFormat="1" x14ac:dyDescent="0.25">
      <c r="I355" s="2"/>
    </row>
    <row r="356" spans="9:9" s="1" customFormat="1" x14ac:dyDescent="0.25">
      <c r="I356" s="2"/>
    </row>
    <row r="357" spans="9:9" s="1" customFormat="1" x14ac:dyDescent="0.25">
      <c r="I357" s="2"/>
    </row>
    <row r="358" spans="9:9" s="1" customFormat="1" x14ac:dyDescent="0.25">
      <c r="I358" s="2"/>
    </row>
    <row r="359" spans="9:9" s="1" customFormat="1" x14ac:dyDescent="0.25">
      <c r="I359" s="2"/>
    </row>
    <row r="360" spans="9:9" s="1" customFormat="1" x14ac:dyDescent="0.25">
      <c r="I360" s="2"/>
    </row>
    <row r="361" spans="9:9" s="1" customFormat="1" x14ac:dyDescent="0.25">
      <c r="I361" s="2"/>
    </row>
    <row r="362" spans="9:9" s="1" customFormat="1" x14ac:dyDescent="0.25">
      <c r="I362" s="2"/>
    </row>
    <row r="363" spans="9:9" s="1" customFormat="1" x14ac:dyDescent="0.25">
      <c r="I363" s="2"/>
    </row>
    <row r="364" spans="9:9" s="1" customFormat="1" x14ac:dyDescent="0.25">
      <c r="I364" s="2"/>
    </row>
    <row r="365" spans="9:9" s="1" customFormat="1" x14ac:dyDescent="0.25">
      <c r="I365" s="2"/>
    </row>
    <row r="366" spans="9:9" s="1" customFormat="1" x14ac:dyDescent="0.25">
      <c r="I366" s="2"/>
    </row>
    <row r="367" spans="9:9" s="1" customFormat="1" x14ac:dyDescent="0.25">
      <c r="I367" s="2"/>
    </row>
    <row r="368" spans="9:9" s="1" customFormat="1" x14ac:dyDescent="0.25">
      <c r="I368" s="2"/>
    </row>
    <row r="369" spans="9:9" s="1" customFormat="1" x14ac:dyDescent="0.25">
      <c r="I369" s="2"/>
    </row>
    <row r="370" spans="9:9" s="1" customFormat="1" x14ac:dyDescent="0.25">
      <c r="I370" s="2"/>
    </row>
    <row r="371" spans="9:9" s="1" customFormat="1" x14ac:dyDescent="0.25">
      <c r="I371" s="2"/>
    </row>
    <row r="372" spans="9:9" s="1" customFormat="1" x14ac:dyDescent="0.25">
      <c r="I372" s="2"/>
    </row>
    <row r="373" spans="9:9" s="1" customFormat="1" x14ac:dyDescent="0.25">
      <c r="I373" s="2"/>
    </row>
    <row r="374" spans="9:9" s="1" customFormat="1" x14ac:dyDescent="0.25">
      <c r="I374" s="2"/>
    </row>
    <row r="375" spans="9:9" s="1" customFormat="1" x14ac:dyDescent="0.25">
      <c r="I375" s="2"/>
    </row>
    <row r="376" spans="9:9" s="1" customFormat="1" x14ac:dyDescent="0.25">
      <c r="I376" s="2"/>
    </row>
    <row r="377" spans="9:9" s="1" customFormat="1" x14ac:dyDescent="0.25">
      <c r="I377" s="2"/>
    </row>
    <row r="378" spans="9:9" s="1" customFormat="1" x14ac:dyDescent="0.25">
      <c r="I378" s="2"/>
    </row>
    <row r="379" spans="9:9" s="1" customFormat="1" x14ac:dyDescent="0.25">
      <c r="I379" s="2"/>
    </row>
    <row r="380" spans="9:9" s="1" customFormat="1" x14ac:dyDescent="0.25">
      <c r="I380" s="2"/>
    </row>
    <row r="381" spans="9:9" s="1" customFormat="1" x14ac:dyDescent="0.25">
      <c r="I381" s="2"/>
    </row>
    <row r="382" spans="9:9" s="1" customFormat="1" x14ac:dyDescent="0.25">
      <c r="I382" s="2"/>
    </row>
    <row r="383" spans="9:9" s="1" customFormat="1" x14ac:dyDescent="0.25">
      <c r="I383" s="2"/>
    </row>
    <row r="384" spans="9:9" s="1" customFormat="1" x14ac:dyDescent="0.25">
      <c r="I384" s="2"/>
    </row>
    <row r="385" spans="9:9" s="1" customFormat="1" x14ac:dyDescent="0.25">
      <c r="I385" s="2"/>
    </row>
    <row r="386" spans="9:9" s="1" customFormat="1" x14ac:dyDescent="0.25">
      <c r="I386" s="2"/>
    </row>
    <row r="387" spans="9:9" s="1" customFormat="1" x14ac:dyDescent="0.25">
      <c r="I387" s="2"/>
    </row>
    <row r="388" spans="9:9" s="1" customFormat="1" x14ac:dyDescent="0.25">
      <c r="I388" s="2"/>
    </row>
    <row r="389" spans="9:9" s="1" customFormat="1" x14ac:dyDescent="0.25">
      <c r="I389" s="2"/>
    </row>
    <row r="390" spans="9:9" s="1" customFormat="1" x14ac:dyDescent="0.25">
      <c r="I390" s="2"/>
    </row>
    <row r="391" spans="9:9" s="1" customFormat="1" x14ac:dyDescent="0.25">
      <c r="I391" s="2"/>
    </row>
    <row r="392" spans="9:9" s="1" customFormat="1" x14ac:dyDescent="0.25">
      <c r="I392" s="2"/>
    </row>
    <row r="393" spans="9:9" s="1" customFormat="1" x14ac:dyDescent="0.25">
      <c r="I393" s="2"/>
    </row>
    <row r="394" spans="9:9" s="1" customFormat="1" x14ac:dyDescent="0.25">
      <c r="I394" s="2"/>
    </row>
    <row r="395" spans="9:9" s="1" customFormat="1" x14ac:dyDescent="0.25">
      <c r="I395" s="2"/>
    </row>
    <row r="396" spans="9:9" s="1" customFormat="1" x14ac:dyDescent="0.25">
      <c r="I396" s="2"/>
    </row>
    <row r="397" spans="9:9" s="1" customFormat="1" x14ac:dyDescent="0.25">
      <c r="I397" s="2"/>
    </row>
    <row r="398" spans="9:9" s="1" customFormat="1" x14ac:dyDescent="0.25">
      <c r="I398" s="2"/>
    </row>
    <row r="399" spans="9:9" s="1" customFormat="1" x14ac:dyDescent="0.25">
      <c r="I399" s="2"/>
    </row>
    <row r="400" spans="9:9" s="1" customFormat="1" x14ac:dyDescent="0.25">
      <c r="I400" s="2"/>
    </row>
    <row r="401" spans="9:9" s="1" customFormat="1" x14ac:dyDescent="0.25">
      <c r="I401" s="2"/>
    </row>
    <row r="402" spans="9:9" s="1" customFormat="1" x14ac:dyDescent="0.25">
      <c r="I402" s="2"/>
    </row>
    <row r="403" spans="9:9" s="1" customFormat="1" x14ac:dyDescent="0.25">
      <c r="I403" s="2"/>
    </row>
    <row r="404" spans="9:9" s="1" customFormat="1" x14ac:dyDescent="0.25">
      <c r="I404" s="2"/>
    </row>
    <row r="405" spans="9:9" s="1" customFormat="1" x14ac:dyDescent="0.25">
      <c r="I405" s="2"/>
    </row>
    <row r="406" spans="9:9" s="1" customFormat="1" x14ac:dyDescent="0.25">
      <c r="I406" s="2"/>
    </row>
    <row r="407" spans="9:9" s="1" customFormat="1" x14ac:dyDescent="0.25">
      <c r="I407" s="2"/>
    </row>
    <row r="408" spans="9:9" s="1" customFormat="1" x14ac:dyDescent="0.25">
      <c r="I408" s="2"/>
    </row>
    <row r="409" spans="9:9" s="1" customFormat="1" x14ac:dyDescent="0.25">
      <c r="I409" s="2"/>
    </row>
    <row r="410" spans="9:9" s="1" customFormat="1" x14ac:dyDescent="0.25">
      <c r="I410" s="2"/>
    </row>
    <row r="411" spans="9:9" s="1" customFormat="1" x14ac:dyDescent="0.25">
      <c r="I411" s="2"/>
    </row>
    <row r="412" spans="9:9" s="1" customFormat="1" x14ac:dyDescent="0.25">
      <c r="I412" s="2"/>
    </row>
    <row r="413" spans="9:9" s="1" customFormat="1" x14ac:dyDescent="0.25">
      <c r="I413" s="2"/>
    </row>
    <row r="414" spans="9:9" s="1" customFormat="1" x14ac:dyDescent="0.25">
      <c r="I414" s="2"/>
    </row>
    <row r="415" spans="9:9" s="1" customFormat="1" x14ac:dyDescent="0.25">
      <c r="I415" s="2"/>
    </row>
    <row r="416" spans="9:9" s="1" customFormat="1" x14ac:dyDescent="0.25">
      <c r="I416" s="2"/>
    </row>
    <row r="417" spans="9:9" s="1" customFormat="1" x14ac:dyDescent="0.25">
      <c r="I417" s="2"/>
    </row>
    <row r="418" spans="9:9" s="1" customFormat="1" x14ac:dyDescent="0.25">
      <c r="I418" s="2"/>
    </row>
    <row r="419" spans="9:9" s="1" customFormat="1" x14ac:dyDescent="0.25">
      <c r="I419" s="2"/>
    </row>
    <row r="420" spans="9:9" s="1" customFormat="1" x14ac:dyDescent="0.25">
      <c r="I420" s="2"/>
    </row>
    <row r="421" spans="9:9" s="1" customFormat="1" x14ac:dyDescent="0.25">
      <c r="I421" s="2"/>
    </row>
    <row r="422" spans="9:9" s="1" customFormat="1" x14ac:dyDescent="0.25">
      <c r="I422" s="2"/>
    </row>
    <row r="423" spans="9:9" s="1" customFormat="1" x14ac:dyDescent="0.25">
      <c r="I423" s="2"/>
    </row>
    <row r="424" spans="9:9" s="1" customFormat="1" x14ac:dyDescent="0.25">
      <c r="I424" s="2"/>
    </row>
    <row r="425" spans="9:9" s="1" customFormat="1" x14ac:dyDescent="0.25">
      <c r="I425" s="2"/>
    </row>
    <row r="426" spans="9:9" s="1" customFormat="1" x14ac:dyDescent="0.25">
      <c r="I426" s="2"/>
    </row>
    <row r="427" spans="9:9" s="1" customFormat="1" x14ac:dyDescent="0.25">
      <c r="I427" s="2"/>
    </row>
    <row r="428" spans="9:9" s="1" customFormat="1" x14ac:dyDescent="0.25">
      <c r="I428" s="2"/>
    </row>
    <row r="429" spans="9:9" s="1" customFormat="1" x14ac:dyDescent="0.25">
      <c r="I429" s="2"/>
    </row>
    <row r="430" spans="9:9" s="1" customFormat="1" x14ac:dyDescent="0.25">
      <c r="I430" s="2"/>
    </row>
    <row r="431" spans="9:9" s="1" customFormat="1" x14ac:dyDescent="0.25">
      <c r="I431" s="2"/>
    </row>
    <row r="432" spans="9:9" s="1" customFormat="1" x14ac:dyDescent="0.25">
      <c r="I432" s="2"/>
    </row>
    <row r="433" spans="9:9" s="1" customFormat="1" x14ac:dyDescent="0.25">
      <c r="I433" s="2"/>
    </row>
    <row r="434" spans="9:9" s="1" customFormat="1" x14ac:dyDescent="0.25">
      <c r="I434" s="2"/>
    </row>
    <row r="435" spans="9:9" s="1" customFormat="1" x14ac:dyDescent="0.25">
      <c r="I435" s="2"/>
    </row>
  </sheetData>
  <mergeCells count="3">
    <mergeCell ref="E9:F9"/>
    <mergeCell ref="H8:I8"/>
    <mergeCell ref="A65:B65"/>
  </mergeCells>
  <phoneticPr fontId="6" type="noConversion"/>
  <printOptions horizontalCentered="1" verticalCentered="1"/>
  <pageMargins left="0" right="0" top="0" bottom="0" header="0" footer="0"/>
  <pageSetup scale="75" fitToHeight="0" orientation="landscape" r:id="rId1"/>
  <headerFooter alignWithMargins="0"/>
  <rowBreaks count="1" manualBreakCount="1">
    <brk id="48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2014-01-16T16:27:38Z</cp:lastPrinted>
  <dcterms:created xsi:type="dcterms:W3CDTF">2001-02-05T15:33:02Z</dcterms:created>
  <dcterms:modified xsi:type="dcterms:W3CDTF">2014-02-06T15:22:33Z</dcterms:modified>
</cp:coreProperties>
</file>