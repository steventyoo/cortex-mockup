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<sst xmlns="http://schemas.openxmlformats.org/spreadsheetml/2006/main" count="163" uniqueCount="122">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</sst>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zoomScalePageLayoutView="130" workbookViewId="0">
      <selection activeCell="G71" sqref="G71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9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41506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41517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0" t="s">
        <v>29</v>
      </c>
      <c r="I8" s="81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8" t="s">
        <v>32</v>
      </c>
      <c r="F9" s="79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355200</v>
      </c>
      <c r="F13" s="41">
        <f>SUM(F14:F64)</f>
        <v>196184</v>
      </c>
      <c r="G13" s="41"/>
      <c r="H13" s="41">
        <f>SUM(H14:H64)</f>
        <v>551384</v>
      </c>
      <c r="I13" s="12"/>
      <c r="J13" s="48">
        <f>SUM(J14:J64)</f>
        <v>918416</v>
      </c>
      <c r="K13" s="32">
        <f>SUM(K14:K64)</f>
        <v>27569.199999999997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25500</v>
      </c>
      <c r="F20" s="44">
        <f t="shared" si="0"/>
        <v>3200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25000</v>
      </c>
      <c r="F21" s="44">
        <f t="shared" si="0"/>
        <v>5000</v>
      </c>
      <c r="G21" s="46"/>
      <c r="H21" s="45">
        <v>30000</v>
      </c>
      <c r="I21" s="17">
        <f t="shared" si="1"/>
        <v>0.81521739130434778</v>
      </c>
      <c r="J21" s="51">
        <f t="shared" si="2"/>
        <v>6800</v>
      </c>
      <c r="K21" s="33">
        <f t="shared" si="3"/>
        <v>1500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120000</v>
      </c>
      <c r="F22" s="44">
        <f t="shared" si="0"/>
        <v>7000</v>
      </c>
      <c r="G22" s="46"/>
      <c r="H22" s="45">
        <v>127000</v>
      </c>
      <c r="I22" s="17">
        <f t="shared" si="1"/>
        <v>0.9169675090252708</v>
      </c>
      <c r="J22" s="51">
        <f t="shared" si="2"/>
        <v>11500</v>
      </c>
      <c r="K22" s="33">
        <f t="shared" si="3"/>
        <v>6350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46000</v>
      </c>
      <c r="F25" s="44">
        <f t="shared" si="0"/>
        <v>15000</v>
      </c>
      <c r="G25" s="46"/>
      <c r="H25" s="45">
        <v>61000</v>
      </c>
      <c r="I25" s="17">
        <f t="shared" si="1"/>
        <v>0.60039370078740162</v>
      </c>
      <c r="J25" s="51">
        <f t="shared" si="2"/>
        <v>40600</v>
      </c>
      <c r="K25" s="33">
        <f t="shared" si="3"/>
        <v>3050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9500</v>
      </c>
      <c r="F26" s="44">
        <f t="shared" si="0"/>
        <v>24400</v>
      </c>
      <c r="G26" s="46"/>
      <c r="H26" s="45">
        <v>33900</v>
      </c>
      <c r="I26" s="17">
        <f t="shared" si="1"/>
        <v>0.5</v>
      </c>
      <c r="J26" s="51">
        <f t="shared" si="2"/>
        <v>33900</v>
      </c>
      <c r="K26" s="33">
        <f t="shared" si="3"/>
        <v>1695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0</v>
      </c>
      <c r="F27" s="44">
        <f t="shared" si="0"/>
        <v>3406</v>
      </c>
      <c r="G27" s="46"/>
      <c r="H27" s="45">
        <v>3406</v>
      </c>
      <c r="I27" s="17">
        <f t="shared" si="1"/>
        <v>0.74043478260869566</v>
      </c>
      <c r="J27" s="51">
        <f t="shared" si="2"/>
        <v>1194</v>
      </c>
      <c r="K27" s="33">
        <f t="shared" si="3"/>
        <v>170.3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0</v>
      </c>
      <c r="F28" s="44">
        <f t="shared" si="0"/>
        <v>2044</v>
      </c>
      <c r="G28" s="46"/>
      <c r="H28" s="45">
        <v>2044</v>
      </c>
      <c r="I28" s="17">
        <f t="shared" si="1"/>
        <v>0.73</v>
      </c>
      <c r="J28" s="51">
        <f t="shared" si="2"/>
        <v>756</v>
      </c>
      <c r="K28" s="33">
        <f t="shared" si="3"/>
        <v>102.2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5000</v>
      </c>
      <c r="F31" s="44">
        <f t="shared" si="0"/>
        <v>56000</v>
      </c>
      <c r="G31" s="46"/>
      <c r="H31" s="45">
        <v>61000</v>
      </c>
      <c r="I31" s="17">
        <f t="shared" si="1"/>
        <v>0.59980334316617501</v>
      </c>
      <c r="J31" s="51">
        <f t="shared" si="2"/>
        <v>40700</v>
      </c>
      <c r="K31" s="33">
        <f t="shared" si="3"/>
        <v>3050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0</v>
      </c>
      <c r="F32" s="44">
        <f t="shared" si="0"/>
        <v>6780</v>
      </c>
      <c r="G32" s="46"/>
      <c r="H32" s="45">
        <v>6780</v>
      </c>
      <c r="I32" s="17">
        <f t="shared" si="1"/>
        <v>0.1</v>
      </c>
      <c r="J32" s="51">
        <f t="shared" si="2"/>
        <v>61020</v>
      </c>
      <c r="K32" s="33">
        <f t="shared" si="3"/>
        <v>339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0</v>
      </c>
      <c r="F33" s="44">
        <f t="shared" si="0"/>
        <v>3577</v>
      </c>
      <c r="G33" s="46"/>
      <c r="H33" s="45">
        <v>3577</v>
      </c>
      <c r="I33" s="17">
        <f t="shared" si="1"/>
        <v>0.71540000000000004</v>
      </c>
      <c r="J33" s="51">
        <f t="shared" si="2"/>
        <v>1423</v>
      </c>
      <c r="K33" s="33">
        <f t="shared" si="3"/>
        <v>178.85000000000002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0</v>
      </c>
      <c r="F34" s="44">
        <f t="shared" si="0"/>
        <v>2044</v>
      </c>
      <c r="G34" s="46"/>
      <c r="H34" s="45">
        <v>2044</v>
      </c>
      <c r="I34" s="17">
        <f t="shared" si="1"/>
        <v>0.73</v>
      </c>
      <c r="J34" s="51">
        <f t="shared" si="2"/>
        <v>756</v>
      </c>
      <c r="K34" s="33">
        <f t="shared" si="3"/>
        <v>102.2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0</v>
      </c>
      <c r="F37" s="44">
        <f t="shared" si="0"/>
        <v>40700</v>
      </c>
      <c r="G37" s="46"/>
      <c r="H37" s="45">
        <v>40700</v>
      </c>
      <c r="I37" s="17">
        <f t="shared" si="1"/>
        <v>0.40019665683382499</v>
      </c>
      <c r="J37" s="51">
        <f t="shared" si="2"/>
        <v>61000</v>
      </c>
      <c r="K37" s="33">
        <f t="shared" si="3"/>
        <v>2035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0</v>
      </c>
      <c r="F38" s="44">
        <f t="shared" si="0"/>
        <v>0</v>
      </c>
      <c r="G38" s="46"/>
      <c r="H38" s="45">
        <v>0</v>
      </c>
      <c r="I38" s="17">
        <f t="shared" si="1"/>
        <v>0</v>
      </c>
      <c r="J38" s="51">
        <f t="shared" si="2"/>
        <v>67800</v>
      </c>
      <c r="K38" s="33">
        <f t="shared" si="3"/>
        <v>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0</v>
      </c>
      <c r="F39" s="44">
        <f t="shared" si="0"/>
        <v>3577</v>
      </c>
      <c r="G39" s="46"/>
      <c r="H39" s="45">
        <v>3577</v>
      </c>
      <c r="I39" s="17">
        <f t="shared" si="1"/>
        <v>0.71540000000000004</v>
      </c>
      <c r="J39" s="51">
        <f t="shared" si="2"/>
        <v>1423</v>
      </c>
      <c r="K39" s="33">
        <f t="shared" si="3"/>
        <v>178.85000000000002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0</v>
      </c>
      <c r="F40" s="44">
        <f t="shared" si="0"/>
        <v>2044</v>
      </c>
      <c r="G40" s="46"/>
      <c r="H40" s="45">
        <v>2044</v>
      </c>
      <c r="I40" s="17">
        <f t="shared" si="1"/>
        <v>0.73</v>
      </c>
      <c r="J40" s="51">
        <f t="shared" si="2"/>
        <v>756</v>
      </c>
      <c r="K40" s="33">
        <f t="shared" si="3"/>
        <v>102.2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0</v>
      </c>
      <c r="F43" s="44">
        <f t="shared" si="0"/>
        <v>10170</v>
      </c>
      <c r="G43" s="46"/>
      <c r="H43" s="45">
        <v>10170</v>
      </c>
      <c r="I43" s="17">
        <f t="shared" si="1"/>
        <v>0.1</v>
      </c>
      <c r="J43" s="51">
        <f t="shared" si="2"/>
        <v>91530</v>
      </c>
      <c r="K43" s="33">
        <f t="shared" si="3"/>
        <v>508.5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0</v>
      </c>
      <c r="F44" s="44">
        <f t="shared" si="0"/>
        <v>0</v>
      </c>
      <c r="G44" s="46"/>
      <c r="H44" s="45">
        <v>0</v>
      </c>
      <c r="I44" s="17">
        <f t="shared" si="1"/>
        <v>0</v>
      </c>
      <c r="J44" s="51">
        <f t="shared" si="2"/>
        <v>67800</v>
      </c>
      <c r="K44" s="33">
        <f t="shared" si="3"/>
        <v>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0</v>
      </c>
      <c r="F45" s="44">
        <f t="shared" si="0"/>
        <v>3577</v>
      </c>
      <c r="G45" s="46"/>
      <c r="H45" s="45">
        <v>3577</v>
      </c>
      <c r="I45" s="17">
        <f t="shared" si="1"/>
        <v>0.71540000000000004</v>
      </c>
      <c r="J45" s="51">
        <f t="shared" si="2"/>
        <v>1423</v>
      </c>
      <c r="K45" s="33">
        <f t="shared" si="3"/>
        <v>178.85000000000002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0</v>
      </c>
      <c r="F46" s="44">
        <f t="shared" si="0"/>
        <v>2044</v>
      </c>
      <c r="G46" s="46"/>
      <c r="H46" s="45">
        <v>2044</v>
      </c>
      <c r="I46" s="17">
        <f t="shared" si="1"/>
        <v>0.73</v>
      </c>
      <c r="J46" s="51">
        <f t="shared" si="2"/>
        <v>756</v>
      </c>
      <c r="K46" s="33">
        <f t="shared" si="3"/>
        <v>102.2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0</v>
      </c>
      <c r="F49" s="44">
        <f t="shared" si="0"/>
        <v>0</v>
      </c>
      <c r="G49" s="46"/>
      <c r="H49" s="45">
        <v>0</v>
      </c>
      <c r="I49" s="17">
        <f t="shared" si="1"/>
        <v>0</v>
      </c>
      <c r="J49" s="51">
        <f t="shared" si="2"/>
        <v>101700</v>
      </c>
      <c r="K49" s="33">
        <f t="shared" si="3"/>
        <v>0</v>
      </c>
    </row>
    <row r="50" spans="1:11" ht="13.8" x14ac:dyDescent="0.3">
      <c r="A50" s="66" t="s">
        <v>60</v>
      </c>
      <c r="B50" s="67" t="s">
        <v>94</v>
      </c>
      <c r="C50" s="16"/>
      <c r="D50" s="43">
        <v>67800</v>
      </c>
      <c r="E50" s="43">
        <v>0</v>
      </c>
      <c r="F50" s="44">
        <f t="shared" si="0"/>
        <v>0</v>
      </c>
      <c r="G50" s="46"/>
      <c r="H50" s="45">
        <v>0</v>
      </c>
      <c r="I50" s="17">
        <f t="shared" si="1"/>
        <v>0</v>
      </c>
      <c r="J50" s="51">
        <f t="shared" si="2"/>
        <v>67800</v>
      </c>
      <c r="K50" s="33">
        <f t="shared" si="3"/>
        <v>0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0</v>
      </c>
      <c r="F51" s="44">
        <f t="shared" si="0"/>
        <v>3577</v>
      </c>
      <c r="G51" s="46"/>
      <c r="H51" s="45">
        <v>3577</v>
      </c>
      <c r="I51" s="17">
        <f t="shared" si="1"/>
        <v>0.71540000000000004</v>
      </c>
      <c r="J51" s="51">
        <f t="shared" si="2"/>
        <v>1423</v>
      </c>
      <c r="K51" s="33">
        <f t="shared" si="3"/>
        <v>178.85000000000002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0</v>
      </c>
      <c r="F52" s="44">
        <f t="shared" si="0"/>
        <v>2044</v>
      </c>
      <c r="G52" s="46"/>
      <c r="H52" s="45">
        <v>2044</v>
      </c>
      <c r="I52" s="17">
        <f t="shared" si="1"/>
        <v>0.73</v>
      </c>
      <c r="J52" s="51">
        <f t="shared" si="2"/>
        <v>756</v>
      </c>
      <c r="K52" s="33">
        <f t="shared" si="3"/>
        <v>102.2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2" t="s">
        <v>20</v>
      </c>
      <c r="B65" s="83"/>
      <c r="C65" s="16"/>
      <c r="D65" s="43">
        <f t="shared" ref="D65:I65" si="8">SUM(D14:D64)</f>
        <v>1469800</v>
      </c>
      <c r="E65" s="43">
        <f t="shared" si="8"/>
        <v>355200</v>
      </c>
      <c r="F65" s="43">
        <f t="shared" si="8"/>
        <v>196184</v>
      </c>
      <c r="G65" s="43">
        <f t="shared" si="8"/>
        <v>0</v>
      </c>
      <c r="H65" s="43">
        <f t="shared" si="8"/>
        <v>551384</v>
      </c>
      <c r="I65" s="43">
        <f t="shared" si="8"/>
        <v>18.284613383725716</v>
      </c>
      <c r="J65" s="51">
        <f>D65-H65</f>
        <v>918416</v>
      </c>
      <c r="K65" s="43">
        <f>SUM(K14:K64)</f>
        <v>27569.199999999997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0</v>
      </c>
      <c r="F67" s="44">
        <f t="shared" ref="F67:F85" si="9">H67-E67</f>
        <v>-36600</v>
      </c>
      <c r="G67" s="40"/>
      <c r="H67" s="45">
        <v>-36600</v>
      </c>
      <c r="I67" s="17">
        <f t="shared" ref="I67:I85" si="10">H67/D67</f>
        <v>0.66545454545454541</v>
      </c>
      <c r="J67" s="51">
        <f t="shared" si="6"/>
        <v>-18400</v>
      </c>
      <c r="K67" s="33">
        <f t="shared" ref="K67:K85" si="11">0.05*H67</f>
        <v>-1830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0</v>
      </c>
      <c r="F68" s="44">
        <f t="shared" si="9"/>
        <v>-7500</v>
      </c>
      <c r="G68" s="46"/>
      <c r="H68" s="45">
        <v>-7500</v>
      </c>
      <c r="I68" s="17">
        <f t="shared" si="10"/>
        <v>0.3</v>
      </c>
      <c r="J68" s="51">
        <f t="shared" si="6"/>
        <v>-17500</v>
      </c>
      <c r="K68" s="33">
        <f t="shared" si="11"/>
        <v>-375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0</v>
      </c>
      <c r="F69" s="44">
        <f t="shared" si="9"/>
        <v>-8837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21"/>
      <c r="C70" s="16"/>
      <c r="D70" s="43">
        <v>0</v>
      </c>
      <c r="E70" s="43">
        <v>0</v>
      </c>
      <c r="F70" s="44">
        <f t="shared" si="9"/>
        <v>0</v>
      </c>
      <c r="G70" s="47"/>
      <c r="H70" s="45">
        <v>0</v>
      </c>
      <c r="I70" s="17" t="e">
        <f t="shared" si="10"/>
        <v>#DIV/0!</v>
      </c>
      <c r="J70" s="51">
        <f t="shared" si="6"/>
        <v>0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-88837</v>
      </c>
      <c r="B86" s="73" t="s">
        <v>21</v>
      </c>
      <c r="C86" s="74"/>
      <c r="D86" s="43">
        <f t="shared" ref="D86:I86" si="16">SUM(D65:D85)</f>
        <v>1380963</v>
      </c>
      <c r="E86" s="43">
        <f t="shared" si="16"/>
        <v>355200</v>
      </c>
      <c r="F86" s="43">
        <f t="shared" si="16"/>
        <v>143247</v>
      </c>
      <c r="G86" s="43">
        <f t="shared" si="16"/>
        <v>0</v>
      </c>
      <c r="H86" s="43">
        <f t="shared" si="16"/>
        <v>498447</v>
      </c>
      <c r="I86" s="43" t="e">
        <f t="shared" si="16"/>
        <v>#DIV/0!</v>
      </c>
      <c r="J86" s="51">
        <f t="shared" si="6"/>
        <v>882516</v>
      </c>
      <c r="K86" s="43">
        <f>SUM(K65:K85)</f>
        <v>24922.35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2013-09-03T14:11:21Z</dcterms:modified>
</cp:coreProperties>
</file>