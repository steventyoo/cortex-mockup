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<sst xmlns="http://schemas.openxmlformats.org/spreadsheetml/2006/main" count="165" uniqueCount="124">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</sst>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0" xfId="3" applyFont="1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Layout" zoomScaleNormal="100" zoomScaleSheetLayoutView="100" workbookViewId="0">
      <selection activeCell="B75" sqref="B75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13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41620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41628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1145734</v>
      </c>
      <c r="F13" s="41">
        <f>SUM(F14:F64)</f>
        <v>0</v>
      </c>
      <c r="G13" s="41"/>
      <c r="H13" s="41">
        <f>SUM(H14:H64)</f>
        <v>1145734</v>
      </c>
      <c r="I13" s="12"/>
      <c r="J13" s="48">
        <f>SUM(J14:J64)</f>
        <v>324066</v>
      </c>
      <c r="K13" s="32">
        <f>SUM(K14:K64)</f>
        <v>57286.699999999983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0</v>
      </c>
      <c r="G23" s="46"/>
      <c r="H23" s="45">
        <v>0</v>
      </c>
      <c r="I23" s="17">
        <f t="shared" si="1"/>
        <v>0</v>
      </c>
      <c r="J23" s="51">
        <f t="shared" si="2"/>
        <v>16400</v>
      </c>
      <c r="K23" s="33">
        <f t="shared" si="3"/>
        <v>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0</v>
      </c>
      <c r="G27" s="46"/>
      <c r="H27" s="45">
        <v>3406</v>
      </c>
      <c r="I27" s="17">
        <f t="shared" si="1"/>
        <v>0.74043478260869566</v>
      </c>
      <c r="J27" s="51">
        <f t="shared" si="2"/>
        <v>1194</v>
      </c>
      <c r="K27" s="33">
        <f t="shared" si="3"/>
        <v>170.3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0</v>
      </c>
      <c r="G28" s="46"/>
      <c r="H28" s="45">
        <v>2044</v>
      </c>
      <c r="I28" s="17">
        <f t="shared" si="1"/>
        <v>0.73</v>
      </c>
      <c r="J28" s="51">
        <f t="shared" si="2"/>
        <v>756</v>
      </c>
      <c r="K28" s="33">
        <f t="shared" si="3"/>
        <v>102.2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0</v>
      </c>
      <c r="G29" s="46"/>
      <c r="H29" s="45">
        <v>0</v>
      </c>
      <c r="I29" s="17">
        <f t="shared" si="1"/>
        <v>0</v>
      </c>
      <c r="J29" s="51">
        <f t="shared" si="2"/>
        <v>1500</v>
      </c>
      <c r="K29" s="33">
        <f t="shared" si="3"/>
        <v>0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0</v>
      </c>
      <c r="G30" s="46"/>
      <c r="H30" s="45">
        <v>0</v>
      </c>
      <c r="I30" s="17">
        <f t="shared" si="1"/>
        <v>0</v>
      </c>
      <c r="J30" s="51">
        <f t="shared" si="2"/>
        <v>900</v>
      </c>
      <c r="K30" s="33">
        <f t="shared" si="3"/>
        <v>0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61000</v>
      </c>
      <c r="F32" s="44">
        <f t="shared" si="0"/>
        <v>0</v>
      </c>
      <c r="G32" s="46"/>
      <c r="H32" s="45">
        <v>61000</v>
      </c>
      <c r="I32" s="17">
        <f t="shared" si="1"/>
        <v>0.89970501474926257</v>
      </c>
      <c r="J32" s="51">
        <f t="shared" si="2"/>
        <v>6800</v>
      </c>
      <c r="K32" s="33">
        <f t="shared" si="3"/>
        <v>3050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0</v>
      </c>
      <c r="G33" s="46"/>
      <c r="H33" s="45">
        <v>3577</v>
      </c>
      <c r="I33" s="17">
        <f t="shared" si="1"/>
        <v>0.71540000000000004</v>
      </c>
      <c r="J33" s="51">
        <f t="shared" si="2"/>
        <v>1423</v>
      </c>
      <c r="K33" s="33">
        <f t="shared" si="3"/>
        <v>178.85000000000002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0</v>
      </c>
      <c r="G34" s="46"/>
      <c r="H34" s="45">
        <v>2044</v>
      </c>
      <c r="I34" s="17">
        <f t="shared" si="1"/>
        <v>0.73</v>
      </c>
      <c r="J34" s="51">
        <f t="shared" si="2"/>
        <v>756</v>
      </c>
      <c r="K34" s="33">
        <f t="shared" si="3"/>
        <v>102.2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0</v>
      </c>
      <c r="G35" s="46"/>
      <c r="H35" s="45">
        <v>0</v>
      </c>
      <c r="I35" s="17">
        <f t="shared" si="1"/>
        <v>0</v>
      </c>
      <c r="J35" s="51">
        <f t="shared" si="2"/>
        <v>1600</v>
      </c>
      <c r="K35" s="33">
        <f t="shared" si="3"/>
        <v>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0</v>
      </c>
      <c r="G36" s="46"/>
      <c r="H36" s="45">
        <v>0</v>
      </c>
      <c r="I36" s="17">
        <f t="shared" si="1"/>
        <v>0</v>
      </c>
      <c r="J36" s="51">
        <f t="shared" si="2"/>
        <v>900</v>
      </c>
      <c r="K36" s="33">
        <f t="shared" si="3"/>
        <v>0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91500</v>
      </c>
      <c r="F37" s="44">
        <f t="shared" si="0"/>
        <v>0</v>
      </c>
      <c r="G37" s="46"/>
      <c r="H37" s="45">
        <v>91500</v>
      </c>
      <c r="I37" s="17">
        <f t="shared" si="1"/>
        <v>0.89970501474926257</v>
      </c>
      <c r="J37" s="51">
        <f t="shared" si="2"/>
        <v>10200</v>
      </c>
      <c r="K37" s="33">
        <f t="shared" si="3"/>
        <v>4575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61000</v>
      </c>
      <c r="F38" s="44">
        <f t="shared" si="0"/>
        <v>0</v>
      </c>
      <c r="G38" s="46"/>
      <c r="H38" s="45">
        <v>61000</v>
      </c>
      <c r="I38" s="17">
        <f t="shared" si="1"/>
        <v>0.89970501474926257</v>
      </c>
      <c r="J38" s="51">
        <f t="shared" si="2"/>
        <v>6800</v>
      </c>
      <c r="K38" s="33">
        <f t="shared" si="3"/>
        <v>3050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0</v>
      </c>
      <c r="G39" s="46"/>
      <c r="H39" s="45">
        <v>3577</v>
      </c>
      <c r="I39" s="17">
        <f t="shared" si="1"/>
        <v>0.71540000000000004</v>
      </c>
      <c r="J39" s="51">
        <f t="shared" si="2"/>
        <v>1423</v>
      </c>
      <c r="K39" s="33">
        <f t="shared" si="3"/>
        <v>178.85000000000002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0</v>
      </c>
      <c r="G40" s="46"/>
      <c r="H40" s="45">
        <v>2044</v>
      </c>
      <c r="I40" s="17">
        <f t="shared" si="1"/>
        <v>0.73</v>
      </c>
      <c r="J40" s="51">
        <f t="shared" si="2"/>
        <v>756</v>
      </c>
      <c r="K40" s="33">
        <f t="shared" si="3"/>
        <v>102.2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0</v>
      </c>
      <c r="G41" s="46"/>
      <c r="H41" s="45">
        <v>0</v>
      </c>
      <c r="I41" s="17">
        <f t="shared" si="1"/>
        <v>0</v>
      </c>
      <c r="J41" s="51">
        <f t="shared" si="2"/>
        <v>1600</v>
      </c>
      <c r="K41" s="33">
        <f t="shared" si="3"/>
        <v>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0</v>
      </c>
      <c r="G42" s="46"/>
      <c r="H42" s="45">
        <v>0</v>
      </c>
      <c r="I42" s="17">
        <f t="shared" si="1"/>
        <v>0</v>
      </c>
      <c r="J42" s="51">
        <f t="shared" si="2"/>
        <v>900</v>
      </c>
      <c r="K42" s="33">
        <f t="shared" si="3"/>
        <v>0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0</v>
      </c>
      <c r="G43" s="46"/>
      <c r="H43" s="45">
        <v>91500</v>
      </c>
      <c r="I43" s="17">
        <f t="shared" si="1"/>
        <v>0.89970501474926257</v>
      </c>
      <c r="J43" s="51">
        <f t="shared" si="2"/>
        <v>10200</v>
      </c>
      <c r="K43" s="33">
        <f t="shared" si="3"/>
        <v>4575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61000</v>
      </c>
      <c r="F44" s="44">
        <f t="shared" si="0"/>
        <v>0</v>
      </c>
      <c r="G44" s="46"/>
      <c r="H44" s="45">
        <v>61000</v>
      </c>
      <c r="I44" s="17">
        <f t="shared" si="1"/>
        <v>0.89970501474926257</v>
      </c>
      <c r="J44" s="51">
        <f t="shared" si="2"/>
        <v>6800</v>
      </c>
      <c r="K44" s="33">
        <f t="shared" si="3"/>
        <v>3050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0</v>
      </c>
      <c r="G45" s="46"/>
      <c r="H45" s="45">
        <v>3577</v>
      </c>
      <c r="I45" s="17">
        <f t="shared" si="1"/>
        <v>0.71540000000000004</v>
      </c>
      <c r="J45" s="51">
        <f t="shared" si="2"/>
        <v>1423</v>
      </c>
      <c r="K45" s="33">
        <f t="shared" si="3"/>
        <v>178.85000000000002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0</v>
      </c>
      <c r="G46" s="46"/>
      <c r="H46" s="45">
        <v>2044</v>
      </c>
      <c r="I46" s="17">
        <f t="shared" si="1"/>
        <v>0.73</v>
      </c>
      <c r="J46" s="51">
        <f t="shared" si="2"/>
        <v>756</v>
      </c>
      <c r="K46" s="33">
        <f t="shared" si="3"/>
        <v>102.2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0</v>
      </c>
      <c r="G47" s="46"/>
      <c r="H47" s="45">
        <v>0</v>
      </c>
      <c r="I47" s="17">
        <f t="shared" si="1"/>
        <v>0</v>
      </c>
      <c r="J47" s="51">
        <f t="shared" si="2"/>
        <v>1600</v>
      </c>
      <c r="K47" s="33">
        <f t="shared" si="3"/>
        <v>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0</v>
      </c>
      <c r="G48" s="46"/>
      <c r="H48" s="45">
        <v>0</v>
      </c>
      <c r="I48" s="17">
        <f t="shared" si="1"/>
        <v>0</v>
      </c>
      <c r="J48" s="51">
        <f t="shared" si="2"/>
        <v>900</v>
      </c>
      <c r="K48" s="33">
        <f t="shared" si="3"/>
        <v>0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0</v>
      </c>
      <c r="G49" s="46"/>
      <c r="H49" s="45">
        <v>91500</v>
      </c>
      <c r="I49" s="17">
        <f t="shared" si="1"/>
        <v>0.89970501474926257</v>
      </c>
      <c r="J49" s="51">
        <f t="shared" si="2"/>
        <v>10200</v>
      </c>
      <c r="K49" s="33">
        <f t="shared" si="3"/>
        <v>4575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61000</v>
      </c>
      <c r="F50" s="44">
        <f t="shared" si="0"/>
        <v>0</v>
      </c>
      <c r="G50" s="46"/>
      <c r="H50" s="45">
        <v>61000</v>
      </c>
      <c r="I50" s="17">
        <f t="shared" si="1"/>
        <v>0.89970501474926257</v>
      </c>
      <c r="J50" s="51">
        <f t="shared" si="2"/>
        <v>6800</v>
      </c>
      <c r="K50" s="33">
        <f t="shared" si="3"/>
        <v>3050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0</v>
      </c>
      <c r="G51" s="46"/>
      <c r="H51" s="45">
        <v>3577</v>
      </c>
      <c r="I51" s="17">
        <f t="shared" si="1"/>
        <v>0.71540000000000004</v>
      </c>
      <c r="J51" s="51">
        <f t="shared" si="2"/>
        <v>1423</v>
      </c>
      <c r="K51" s="33">
        <f t="shared" si="3"/>
        <v>178.85000000000002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0</v>
      </c>
      <c r="G52" s="46"/>
      <c r="H52" s="45">
        <v>2044</v>
      </c>
      <c r="I52" s="17">
        <f t="shared" si="1"/>
        <v>0.73</v>
      </c>
      <c r="J52" s="51">
        <f t="shared" si="2"/>
        <v>756</v>
      </c>
      <c r="K52" s="33">
        <f t="shared" si="3"/>
        <v>102.2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0</v>
      </c>
      <c r="G53" s="46"/>
      <c r="H53" s="45">
        <v>0</v>
      </c>
      <c r="I53" s="17">
        <f t="shared" si="1"/>
        <v>0</v>
      </c>
      <c r="J53" s="51">
        <f t="shared" si="2"/>
        <v>1600</v>
      </c>
      <c r="K53" s="33">
        <f t="shared" si="3"/>
        <v>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0</v>
      </c>
      <c r="G54" s="46"/>
      <c r="H54" s="45">
        <v>0</v>
      </c>
      <c r="I54" s="17">
        <f t="shared" si="1"/>
        <v>0</v>
      </c>
      <c r="J54" s="51">
        <f t="shared" si="2"/>
        <v>900</v>
      </c>
      <c r="K54" s="33">
        <f t="shared" si="3"/>
        <v>0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1145734</v>
      </c>
      <c r="F65" s="43">
        <f t="shared" si="8"/>
        <v>0</v>
      </c>
      <c r="G65" s="43">
        <f t="shared" si="8"/>
        <v>0</v>
      </c>
      <c r="H65" s="43">
        <f t="shared" si="8"/>
        <v>1145734</v>
      </c>
      <c r="I65" s="43">
        <f t="shared" si="8"/>
        <v>25.549969885853532</v>
      </c>
      <c r="J65" s="51">
        <f>D65-H65</f>
        <v>324066</v>
      </c>
      <c r="K65" s="43">
        <f>SUM(K14:K64)</f>
        <v>57286.699999999983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84" t="s">
        <v>123</v>
      </c>
      <c r="C70" s="16"/>
      <c r="D70" s="43">
        <v>-4234</v>
      </c>
      <c r="E70" s="43">
        <v>0</v>
      </c>
      <c r="F70" s="44">
        <f t="shared" si="9"/>
        <v>0</v>
      </c>
      <c r="G70" s="47"/>
      <c r="H70" s="45">
        <v>0</v>
      </c>
      <c r="I70" s="17">
        <f t="shared" si="10"/>
        <v>0</v>
      </c>
      <c r="J70" s="51">
        <f t="shared" si="6"/>
        <v>-4234</v>
      </c>
      <c r="K70" s="33">
        <f t="shared" si="11"/>
        <v>0</v>
      </c>
    </row>
    <row r="71" spans="1:11" ht="12" customHeight="1" x14ac:dyDescent="0.25">
      <c r="A71" s="21"/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1056897</v>
      </c>
      <c r="F86" s="43">
        <f t="shared" si="16"/>
        <v>0</v>
      </c>
      <c r="G86" s="43">
        <f t="shared" si="16"/>
        <v>0</v>
      </c>
      <c r="H86" s="43">
        <f t="shared" si="16"/>
        <v>1056897</v>
      </c>
      <c r="I86" s="43" t="e">
        <f t="shared" si="16"/>
        <v>#DIV/0!</v>
      </c>
      <c r="J86" s="51">
        <f t="shared" si="6"/>
        <v>319832</v>
      </c>
      <c r="K86" s="43">
        <f>SUM(K65:K85)</f>
        <v>52844.849999999984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2013-11-18T15:11:12Z</dcterms:modified>
</cp:coreProperties>
</file>