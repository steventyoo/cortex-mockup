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Oldtown 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65" i="6" l="1"/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86" i="6" l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<sst xmlns="http://schemas.openxmlformats.org/spreadsheetml/2006/main" count="169" uniqueCount="130">
  <si>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</si>
  <si>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</si>
  <si>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</si>
  <si>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</si>
  <si>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</si>
  <si>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</si>
  <si>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</si>
  <si>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</si>
  <si>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</si>
  <si>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</si>
  <si>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</si>
  <si>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</si>
  <si>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</si>
  <si>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</si>
  <si>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</si>
  <si>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</si>
  <si>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</si>
  <si>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</si>
  <si>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</si>
  <si>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</si>
  <si>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</si>
  <si>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</si>
  <si>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</si>
  <si>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</si>
  <si>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</si>
  <si>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</si>
  <si>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</si>
  <si>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</si>
  <si>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</si>
  <si>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</si>
  <si>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</si>
  <si>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</si>
  <si>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</si>
  <si>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</si>
  <si>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</si>
  <si>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</si>
  <si>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</si>
  <si>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</si>
  <si>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</si>
  <si>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</si>
  <si>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</si>
  <si>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</si>
  <si>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</si>
  <si>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</si>
  <si>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</si>
  <si>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</si>
  <si>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</si>
  <si>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</si>
  <si>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</si>
  <si>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</si>
  <si>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</si>
  <si>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</si>
  <si>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</si>
  <si>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</si>
  <si>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</si>
  <si>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</si>
  <si>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</si>
  <si>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</si>
  <si>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</si>
  <si>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</si>
  <si>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</si>
  <si>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</si>
  <si>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</si>
  <si>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</si>
  <si>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</si>
  <si>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</si>
  <si>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</si>
  <si>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</si>
  <si>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</si>
  <si>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</si>
  <si>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</si>
  <si>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</si>
  <si>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</si>
  <si>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</si>
  <si>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</si>
  <si>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</si>
  <si>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</si>
  <si>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</si>
  <si>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</si>
  <si>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</si>
  <si>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</si>
  <si>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</si>
  <si>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</si>
  <si>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</si>
  <si>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</si>
  <si>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</si>
  <si>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</si>
  <si>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</si>
  <si>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</si>
  <si>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</si>
  <si>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</si>
  <si>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</si>
  <si>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</si>
  <si>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</si>
  <si>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</si>
  <si>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</si>
  <si>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</si>
  <si>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</si>
  <si>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</si>
  <si>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</si>
  <si>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</si>
  <si>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</si>
  <si>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</si>
  <si>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</si>
  <si>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</si>
  <si>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</si>
  <si>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</si>
  <si>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</si>
  <si>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</si>
  <si>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</si>
  <si>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</si>
  <si>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</si>
  <si>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</si>
  <si>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</si>
  <si>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</si>
  <si>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</si>
  <si>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</si>
  <si>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</si>
  <si>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</si>
  <si>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</si>
  <si>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</si>
  <si>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</si>
  <si>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</si>
  <si>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</si>
  <si>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</si>
  <si>
    <t>level R6 west</t>
  </si>
  <si>
    <t>level R6east</t>
  </si>
  <si>
    <t>level R3east</t>
  </si>
  <si>
    <t>COP 028-relocate dog wash</t>
  </si>
  <si>
    <t>COP 172-add pipe insulation to meet LEED requirment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</si>
</sst>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0" fillId="0" borderId="7" xfId="3" quotePrefix="1" applyFont="1" applyFill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0" fontId="1" fillId="0" borderId="7" xfId="3" applyFont="1" applyBorder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46" zoomScaleNormal="100" zoomScaleSheetLayoutView="100" workbookViewId="0">
      <selection activeCell="I65" sqref="I65"/>
    </sheetView>
  </sheetViews>
  <sheetFormatPr defaultColWidth="9.140625"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7" customWidth="1"/>
    <col min="5" max="5" width="15" style="27" customWidth="1"/>
    <col min="6" max="6" width="13.42578125" style="27" customWidth="1"/>
    <col min="7" max="7" width="6.28515625" style="27" customWidth="1"/>
    <col min="8" max="8" width="19" style="27" customWidth="1"/>
    <col min="9" max="9" width="14.42578125" style="1" customWidth="1"/>
    <col min="10" max="10" width="20" style="27" customWidth="1"/>
    <col min="11" max="11" width="16.5703125" style="27" customWidth="1"/>
    <col min="12" max="16384" width="9.140625" style="1"/>
  </cols>
  <sheetData>
    <row r="1" spans="1:11" ht="49.5" customHeight="1" thickBot="1" x14ac:dyDescent="0.4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3.25" x14ac:dyDescent="0.35">
      <c r="A2" s="52" t="s">
        <v>39</v>
      </c>
      <c r="I2" s="2"/>
    </row>
    <row r="3" spans="1:11" x14ac:dyDescent="0.2">
      <c r="A3" s="3" t="s">
        <v>44</v>
      </c>
      <c r="B3" s="1" t="s">
        <v>50</v>
      </c>
      <c r="F3" s="34" t="s">
        <v>7</v>
      </c>
      <c r="G3" s="34"/>
      <c r="H3" s="69">
        <v>17</v>
      </c>
      <c r="I3" s="2"/>
      <c r="J3" s="49"/>
    </row>
    <row r="4" spans="1:11" x14ac:dyDescent="0.2">
      <c r="A4" s="3" t="s">
        <v>43</v>
      </c>
      <c r="B4" s="1" t="s">
        <v>51</v>
      </c>
      <c r="F4" s="34" t="s">
        <v>22</v>
      </c>
      <c r="G4" s="34"/>
      <c r="H4" s="70">
        <v>41779</v>
      </c>
      <c r="I4" s="2"/>
      <c r="J4" s="49"/>
    </row>
    <row r="5" spans="1:11" x14ac:dyDescent="0.2">
      <c r="A5" s="3" t="s">
        <v>8</v>
      </c>
      <c r="E5" s="27" t="s">
        <v>9</v>
      </c>
      <c r="F5" s="34" t="s">
        <v>0</v>
      </c>
      <c r="G5" s="34"/>
      <c r="H5" s="70">
        <v>41790</v>
      </c>
      <c r="I5" s="2"/>
    </row>
    <row r="6" spans="1:11" x14ac:dyDescent="0.2">
      <c r="A6" s="3"/>
      <c r="F6" s="34"/>
      <c r="G6" s="34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2" t="s">
        <v>29</v>
      </c>
      <c r="I8" s="83"/>
      <c r="J8" s="59" t="s">
        <v>30</v>
      </c>
      <c r="K8" s="59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5" t="s">
        <v>12</v>
      </c>
      <c r="E9" s="80" t="s">
        <v>32</v>
      </c>
      <c r="F9" s="81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5" thickBot="1" x14ac:dyDescent="0.25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5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1405266</v>
      </c>
      <c r="F13" s="41">
        <f>SUM(F14:F64)</f>
        <v>64534</v>
      </c>
      <c r="G13" s="41"/>
      <c r="H13" s="41">
        <f>SUM(H14:H64)</f>
        <v>1469800</v>
      </c>
      <c r="I13" s="12"/>
      <c r="J13" s="48">
        <f>SUM(J14:J64)</f>
        <v>0</v>
      </c>
      <c r="K13" s="32">
        <f>SUM(K14:K64)</f>
        <v>73490</v>
      </c>
    </row>
    <row r="14" spans="1:11" x14ac:dyDescent="0.2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5" x14ac:dyDescent="0.25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5" x14ac:dyDescent="0.25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5" x14ac:dyDescent="0.25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5" x14ac:dyDescent="0.25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5" x14ac:dyDescent="0.25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5" x14ac:dyDescent="0.25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5" x14ac:dyDescent="0.25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5" x14ac:dyDescent="0.25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5" x14ac:dyDescent="0.25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5" x14ac:dyDescent="0.25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5" x14ac:dyDescent="0.25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5" x14ac:dyDescent="0.25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5" x14ac:dyDescent="0.25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5" x14ac:dyDescent="0.25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5" x14ac:dyDescent="0.25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5" x14ac:dyDescent="0.25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5" x14ac:dyDescent="0.25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5" x14ac:dyDescent="0.25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5" x14ac:dyDescent="0.25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5" x14ac:dyDescent="0.25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5" x14ac:dyDescent="0.25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5" x14ac:dyDescent="0.25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5" x14ac:dyDescent="0.25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5" x14ac:dyDescent="0.25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5" x14ac:dyDescent="0.25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5" x14ac:dyDescent="0.25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5" x14ac:dyDescent="0.25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5" x14ac:dyDescent="0.25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5" x14ac:dyDescent="0.25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5" x14ac:dyDescent="0.25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5" x14ac:dyDescent="0.25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5" x14ac:dyDescent="0.25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5" x14ac:dyDescent="0.25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5" x14ac:dyDescent="0.25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5" x14ac:dyDescent="0.25">
      <c r="A49" s="66" t="s">
        <v>60</v>
      </c>
      <c r="B49" s="67" t="s">
        <v>80</v>
      </c>
      <c r="C49" s="16"/>
      <c r="D49" s="43">
        <v>101700</v>
      </c>
      <c r="E49" s="43">
        <v>101700</v>
      </c>
      <c r="F49" s="44">
        <f t="shared" si="0"/>
        <v>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5" x14ac:dyDescent="0.25">
      <c r="A50" s="66" t="s">
        <v>61</v>
      </c>
      <c r="B50" s="67" t="s">
        <v>94</v>
      </c>
      <c r="C50" s="16"/>
      <c r="D50" s="43">
        <v>67800</v>
      </c>
      <c r="E50" s="43">
        <v>67800</v>
      </c>
      <c r="F50" s="44">
        <f t="shared" si="0"/>
        <v>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5" x14ac:dyDescent="0.25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5" x14ac:dyDescent="0.25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5" x14ac:dyDescent="0.25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5" x14ac:dyDescent="0.25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5" x14ac:dyDescent="0.25">
      <c r="A55" s="66" t="s">
        <v>54</v>
      </c>
      <c r="B55" s="67" t="s">
        <v>62</v>
      </c>
      <c r="C55" s="16"/>
      <c r="D55" s="43">
        <v>26600</v>
      </c>
      <c r="E55" s="43">
        <v>26600</v>
      </c>
      <c r="F55" s="44">
        <f t="shared" ref="F55:F64" si="4">H55-E55</f>
        <v>0</v>
      </c>
      <c r="G55" s="46"/>
      <c r="H55" s="45">
        <v>26600</v>
      </c>
      <c r="I55" s="17">
        <f t="shared" ref="I55:I65" si="5">H55/D55</f>
        <v>1</v>
      </c>
      <c r="J55" s="51">
        <f t="shared" ref="J55:J86" si="6">D55-H55</f>
        <v>0</v>
      </c>
      <c r="K55" s="33">
        <f t="shared" ref="K55:K64" si="7">0.05*H55</f>
        <v>1330</v>
      </c>
    </row>
    <row r="56" spans="1:11" ht="13.5" x14ac:dyDescent="0.25">
      <c r="A56" s="66" t="s">
        <v>55</v>
      </c>
      <c r="B56" s="67" t="s">
        <v>63</v>
      </c>
      <c r="C56" s="16"/>
      <c r="D56" s="43">
        <v>17800</v>
      </c>
      <c r="E56" s="43">
        <v>17800</v>
      </c>
      <c r="F56" s="44">
        <f t="shared" si="4"/>
        <v>0</v>
      </c>
      <c r="G56" s="46"/>
      <c r="H56" s="45">
        <v>17800</v>
      </c>
      <c r="I56" s="17">
        <f t="shared" si="5"/>
        <v>1</v>
      </c>
      <c r="J56" s="51">
        <f t="shared" si="6"/>
        <v>0</v>
      </c>
      <c r="K56" s="33">
        <f t="shared" si="7"/>
        <v>890</v>
      </c>
    </row>
    <row r="57" spans="1:11" ht="13.5" x14ac:dyDescent="0.25">
      <c r="A57" s="66" t="s">
        <v>56</v>
      </c>
      <c r="B57" s="67" t="s">
        <v>71</v>
      </c>
      <c r="C57" s="16"/>
      <c r="D57" s="43">
        <v>26600</v>
      </c>
      <c r="E57" s="43">
        <v>26600</v>
      </c>
      <c r="F57" s="44">
        <f t="shared" si="4"/>
        <v>0</v>
      </c>
      <c r="G57" s="46"/>
      <c r="H57" s="45">
        <v>26600</v>
      </c>
      <c r="I57" s="17">
        <f t="shared" si="5"/>
        <v>1</v>
      </c>
      <c r="J57" s="51">
        <f t="shared" si="6"/>
        <v>0</v>
      </c>
      <c r="K57" s="33">
        <f t="shared" si="7"/>
        <v>1330</v>
      </c>
    </row>
    <row r="58" spans="1:11" ht="13.5" x14ac:dyDescent="0.25">
      <c r="A58" s="66" t="s">
        <v>127</v>
      </c>
      <c r="B58" s="67" t="s">
        <v>64</v>
      </c>
      <c r="C58" s="16"/>
      <c r="D58" s="43">
        <v>17800</v>
      </c>
      <c r="E58" s="43">
        <v>17800</v>
      </c>
      <c r="F58" s="44">
        <f t="shared" si="4"/>
        <v>0</v>
      </c>
      <c r="G58" s="46"/>
      <c r="H58" s="45">
        <v>17800</v>
      </c>
      <c r="I58" s="17">
        <f t="shared" si="5"/>
        <v>1</v>
      </c>
      <c r="J58" s="51">
        <f t="shared" si="6"/>
        <v>0</v>
      </c>
      <c r="K58" s="33">
        <f t="shared" si="7"/>
        <v>890</v>
      </c>
    </row>
    <row r="59" spans="1:11" ht="13.5" x14ac:dyDescent="0.25">
      <c r="A59" s="66" t="s">
        <v>58</v>
      </c>
      <c r="B59" s="67" t="s">
        <v>65</v>
      </c>
      <c r="C59" s="16"/>
      <c r="D59" s="43">
        <v>26600</v>
      </c>
      <c r="E59" s="43">
        <v>26600</v>
      </c>
      <c r="F59" s="44">
        <f t="shared" si="4"/>
        <v>0</v>
      </c>
      <c r="G59" s="46"/>
      <c r="H59" s="45">
        <v>26600</v>
      </c>
      <c r="I59" s="17">
        <f t="shared" si="5"/>
        <v>1</v>
      </c>
      <c r="J59" s="51">
        <f t="shared" si="6"/>
        <v>0</v>
      </c>
      <c r="K59" s="33">
        <f t="shared" si="7"/>
        <v>1330</v>
      </c>
    </row>
    <row r="60" spans="1:11" ht="13.5" x14ac:dyDescent="0.25">
      <c r="A60" s="66" t="s">
        <v>59</v>
      </c>
      <c r="B60" s="67" t="s">
        <v>66</v>
      </c>
      <c r="C60" s="16"/>
      <c r="D60" s="43">
        <v>17800</v>
      </c>
      <c r="E60" s="43">
        <v>17800</v>
      </c>
      <c r="F60" s="44">
        <f t="shared" si="4"/>
        <v>0</v>
      </c>
      <c r="G60" s="46"/>
      <c r="H60" s="45">
        <v>17800</v>
      </c>
      <c r="I60" s="17">
        <f t="shared" si="5"/>
        <v>1</v>
      </c>
      <c r="J60" s="51">
        <f t="shared" si="6"/>
        <v>0</v>
      </c>
      <c r="K60" s="33">
        <f t="shared" si="7"/>
        <v>890</v>
      </c>
    </row>
    <row r="61" spans="1:11" ht="13.5" x14ac:dyDescent="0.25">
      <c r="A61" s="66" t="s">
        <v>60</v>
      </c>
      <c r="B61" s="67" t="s">
        <v>67</v>
      </c>
      <c r="C61" s="16"/>
      <c r="D61" s="43">
        <v>26600</v>
      </c>
      <c r="E61" s="43">
        <v>14671</v>
      </c>
      <c r="F61" s="44">
        <f t="shared" si="4"/>
        <v>11929</v>
      </c>
      <c r="G61" s="46"/>
      <c r="H61" s="45">
        <v>26600</v>
      </c>
      <c r="I61" s="17">
        <f t="shared" si="5"/>
        <v>1</v>
      </c>
      <c r="J61" s="51">
        <f t="shared" si="6"/>
        <v>0</v>
      </c>
      <c r="K61" s="33">
        <f t="shared" si="7"/>
        <v>1330</v>
      </c>
    </row>
    <row r="62" spans="1:11" ht="13.5" x14ac:dyDescent="0.25">
      <c r="A62" s="66" t="s">
        <v>61</v>
      </c>
      <c r="B62" s="67" t="s">
        <v>68</v>
      </c>
      <c r="C62" s="16"/>
      <c r="D62" s="43">
        <v>17800</v>
      </c>
      <c r="E62" s="43">
        <v>9595</v>
      </c>
      <c r="F62" s="44">
        <f t="shared" si="4"/>
        <v>8205</v>
      </c>
      <c r="G62" s="46"/>
      <c r="H62" s="45">
        <v>17800</v>
      </c>
      <c r="I62" s="17">
        <f t="shared" si="5"/>
        <v>1</v>
      </c>
      <c r="J62" s="51">
        <f t="shared" si="6"/>
        <v>0</v>
      </c>
      <c r="K62" s="33">
        <f t="shared" si="7"/>
        <v>890</v>
      </c>
    </row>
    <row r="63" spans="1:11" ht="13.5" x14ac:dyDescent="0.25">
      <c r="A63" s="66" t="s">
        <v>125</v>
      </c>
      <c r="B63" s="67" t="s">
        <v>69</v>
      </c>
      <c r="C63" s="16"/>
      <c r="D63" s="43">
        <v>26600</v>
      </c>
      <c r="E63" s="43">
        <v>0</v>
      </c>
      <c r="F63" s="44">
        <f t="shared" si="4"/>
        <v>26600</v>
      </c>
      <c r="G63" s="46"/>
      <c r="H63" s="45">
        <v>26600</v>
      </c>
      <c r="I63" s="17">
        <f t="shared" si="5"/>
        <v>1</v>
      </c>
      <c r="J63" s="51">
        <f t="shared" si="6"/>
        <v>0</v>
      </c>
      <c r="K63" s="33">
        <f t="shared" si="7"/>
        <v>1330</v>
      </c>
    </row>
    <row r="64" spans="1:11" ht="13.5" x14ac:dyDescent="0.25">
      <c r="A64" s="66" t="s">
        <v>126</v>
      </c>
      <c r="B64" s="67" t="s">
        <v>70</v>
      </c>
      <c r="C64" s="16"/>
      <c r="D64" s="43">
        <v>17800</v>
      </c>
      <c r="E64" s="43">
        <v>0</v>
      </c>
      <c r="F64" s="44">
        <f t="shared" si="4"/>
        <v>17800</v>
      </c>
      <c r="G64" s="46"/>
      <c r="H64" s="45">
        <v>17800</v>
      </c>
      <c r="I64" s="17">
        <f t="shared" si="5"/>
        <v>1</v>
      </c>
      <c r="J64" s="51">
        <f t="shared" si="6"/>
        <v>0</v>
      </c>
      <c r="K64" s="33">
        <f t="shared" si="7"/>
        <v>890</v>
      </c>
    </row>
    <row r="65" spans="1:11" ht="15" x14ac:dyDescent="0.25">
      <c r="A65" s="84" t="s">
        <v>20</v>
      </c>
      <c r="B65" s="85"/>
      <c r="C65" s="16"/>
      <c r="D65" s="43">
        <f t="shared" ref="D65:I65" si="8">SUM(D14:D64)</f>
        <v>1469800</v>
      </c>
      <c r="E65" s="43">
        <f t="shared" si="8"/>
        <v>1405266</v>
      </c>
      <c r="F65" s="43">
        <f t="shared" si="8"/>
        <v>64534</v>
      </c>
      <c r="G65" s="43">
        <f t="shared" si="8"/>
        <v>0</v>
      </c>
      <c r="H65" s="43">
        <f t="shared" si="8"/>
        <v>1469800</v>
      </c>
      <c r="I65" s="17">
        <f t="shared" si="5"/>
        <v>1</v>
      </c>
      <c r="J65" s="51">
        <f>D65-H65</f>
        <v>0</v>
      </c>
      <c r="K65" s="43">
        <f>SUM(K14:K64)</f>
        <v>73490</v>
      </c>
    </row>
    <row r="66" spans="1:11" ht="20.100000000000001" customHeight="1" x14ac:dyDescent="0.2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">
      <c r="A70" s="72" t="s">
        <v>122</v>
      </c>
      <c r="B70" s="78" t="s">
        <v>124</v>
      </c>
      <c r="C70" s="16"/>
      <c r="D70" s="43">
        <v>-4234</v>
      </c>
      <c r="E70" s="43">
        <v>-4234</v>
      </c>
      <c r="F70" s="44">
        <f t="shared" si="9"/>
        <v>0</v>
      </c>
      <c r="G70" s="47"/>
      <c r="H70" s="45">
        <v>-4234</v>
      </c>
      <c r="I70" s="17">
        <f t="shared" si="10"/>
        <v>1</v>
      </c>
      <c r="J70" s="51">
        <f t="shared" si="6"/>
        <v>0</v>
      </c>
      <c r="K70" s="33">
        <f t="shared" si="11"/>
        <v>-211.70000000000002</v>
      </c>
    </row>
    <row r="71" spans="1:11" ht="12" customHeight="1" x14ac:dyDescent="0.2">
      <c r="A71" s="72" t="s">
        <v>123</v>
      </c>
      <c r="B71" s="79" t="s">
        <v>128</v>
      </c>
      <c r="C71" s="16"/>
      <c r="D71" s="43">
        <v>2447</v>
      </c>
      <c r="E71" s="43">
        <v>0</v>
      </c>
      <c r="F71" s="44">
        <f t="shared" si="9"/>
        <v>2447</v>
      </c>
      <c r="G71" s="46"/>
      <c r="H71" s="45">
        <v>2447</v>
      </c>
      <c r="I71" s="17">
        <f t="shared" si="10"/>
        <v>1</v>
      </c>
      <c r="J71" s="51">
        <f t="shared" si="6"/>
        <v>0</v>
      </c>
      <c r="K71" s="33">
        <f t="shared" si="11"/>
        <v>122.35000000000001</v>
      </c>
    </row>
    <row r="72" spans="1:11" ht="12" customHeight="1" x14ac:dyDescent="0.2">
      <c r="A72" s="72" t="s">
        <v>123</v>
      </c>
      <c r="B72" s="79" t="s">
        <v>129</v>
      </c>
      <c r="C72" s="16"/>
      <c r="D72" s="43">
        <v>5395</v>
      </c>
      <c r="E72" s="43">
        <v>0</v>
      </c>
      <c r="F72" s="44">
        <f t="shared" ref="F72:F80" si="12">H72-E72</f>
        <v>5395</v>
      </c>
      <c r="G72" s="46"/>
      <c r="H72" s="45">
        <v>5395</v>
      </c>
      <c r="I72" s="17">
        <f t="shared" ref="I72:I80" si="13">H72/D72</f>
        <v>1</v>
      </c>
      <c r="J72" s="51">
        <f t="shared" ref="J72:J80" si="14">D72-H72</f>
        <v>0</v>
      </c>
      <c r="K72" s="33">
        <f t="shared" ref="K72:K80" si="15">0.05*H72</f>
        <v>269.75</v>
      </c>
    </row>
    <row r="73" spans="1:11" ht="12" customHeight="1" x14ac:dyDescent="0.2">
      <c r="A73" s="72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5" x14ac:dyDescent="0.25">
      <c r="A86" s="77">
        <f>SUM(D67:D85)</f>
        <v>-85229</v>
      </c>
      <c r="B86" s="73" t="s">
        <v>21</v>
      </c>
      <c r="C86" s="74"/>
      <c r="D86" s="43">
        <f t="shared" ref="D86:I86" si="16">SUM(D65:D85)</f>
        <v>1384571</v>
      </c>
      <c r="E86" s="43">
        <f t="shared" si="16"/>
        <v>1312195</v>
      </c>
      <c r="F86" s="43">
        <f t="shared" si="16"/>
        <v>72376</v>
      </c>
      <c r="G86" s="43">
        <f t="shared" si="16"/>
        <v>0</v>
      </c>
      <c r="H86" s="43">
        <f t="shared" si="16"/>
        <v>1384571</v>
      </c>
      <c r="I86" s="43" t="e">
        <f t="shared" si="16"/>
        <v>#DIV/0!</v>
      </c>
      <c r="J86" s="51">
        <f t="shared" si="6"/>
        <v>0</v>
      </c>
      <c r="K86" s="43">
        <f>SUM(K65:K85)</f>
        <v>69228.55</v>
      </c>
    </row>
    <row r="87" spans="1:11" x14ac:dyDescent="0.2">
      <c r="I87" s="2"/>
    </row>
    <row r="88" spans="1:11" x14ac:dyDescent="0.2">
      <c r="I88" s="2"/>
    </row>
    <row r="89" spans="1:11" x14ac:dyDescent="0.2">
      <c r="C89" s="24"/>
      <c r="I89" s="2"/>
    </row>
    <row r="90" spans="1:1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s="1" customFormat="1" x14ac:dyDescent="0.2">
      <c r="I97" s="2"/>
    </row>
    <row r="98" spans="9:9" s="1" customFormat="1" x14ac:dyDescent="0.2">
      <c r="I98" s="2"/>
    </row>
    <row r="99" spans="9:9" s="1" customFormat="1" x14ac:dyDescent="0.2">
      <c r="I99" s="2"/>
    </row>
    <row r="100" spans="9:9" s="1" customFormat="1" x14ac:dyDescent="0.2">
      <c r="I100" s="2"/>
    </row>
    <row r="101" spans="9:9" s="1" customFormat="1" x14ac:dyDescent="0.2">
      <c r="I101" s="2"/>
    </row>
    <row r="102" spans="9:9" s="1" customFormat="1" x14ac:dyDescent="0.2">
      <c r="I102" s="2"/>
    </row>
    <row r="103" spans="9:9" s="1" customFormat="1" x14ac:dyDescent="0.2">
      <c r="I103" s="2"/>
    </row>
    <row r="104" spans="9:9" s="1" customFormat="1" x14ac:dyDescent="0.2">
      <c r="I104" s="2"/>
    </row>
    <row r="105" spans="9:9" s="1" customFormat="1" x14ac:dyDescent="0.2">
      <c r="I105" s="2"/>
    </row>
    <row r="106" spans="9:9" s="1" customFormat="1" x14ac:dyDescent="0.2">
      <c r="I106" s="2"/>
    </row>
    <row r="107" spans="9:9" s="1" customFormat="1" x14ac:dyDescent="0.2">
      <c r="I107" s="2"/>
    </row>
    <row r="108" spans="9:9" s="1" customFormat="1" x14ac:dyDescent="0.2">
      <c r="I108" s="2"/>
    </row>
    <row r="109" spans="9:9" s="1" customFormat="1" x14ac:dyDescent="0.2">
      <c r="I109" s="2"/>
    </row>
    <row r="110" spans="9:9" s="1" customFormat="1" x14ac:dyDescent="0.2">
      <c r="I110" s="2"/>
    </row>
    <row r="111" spans="9:9" s="1" customFormat="1" x14ac:dyDescent="0.2">
      <c r="I111" s="2"/>
    </row>
    <row r="112" spans="9:9" s="1" customFormat="1" x14ac:dyDescent="0.2">
      <c r="I112" s="2"/>
    </row>
    <row r="113" spans="9:9" s="1" customFormat="1" x14ac:dyDescent="0.2">
      <c r="I113" s="2"/>
    </row>
    <row r="114" spans="9:9" s="1" customFormat="1" x14ac:dyDescent="0.2">
      <c r="I114" s="2"/>
    </row>
    <row r="115" spans="9:9" s="1" customFormat="1" x14ac:dyDescent="0.2">
      <c r="I115" s="2"/>
    </row>
    <row r="116" spans="9:9" s="1" customFormat="1" x14ac:dyDescent="0.2">
      <c r="I116" s="2"/>
    </row>
    <row r="117" spans="9:9" s="1" customFormat="1" x14ac:dyDescent="0.2">
      <c r="I117" s="2"/>
    </row>
    <row r="118" spans="9:9" s="1" customFormat="1" x14ac:dyDescent="0.2">
      <c r="I118" s="2"/>
    </row>
    <row r="119" spans="9:9" s="1" customFormat="1" x14ac:dyDescent="0.2">
      <c r="I119" s="2"/>
    </row>
    <row r="120" spans="9:9" s="1" customFormat="1" x14ac:dyDescent="0.2">
      <c r="I120" s="2"/>
    </row>
    <row r="121" spans="9:9" s="1" customFormat="1" x14ac:dyDescent="0.2">
      <c r="I121" s="2"/>
    </row>
    <row r="122" spans="9:9" s="1" customFormat="1" x14ac:dyDescent="0.2">
      <c r="I122" s="2"/>
    </row>
    <row r="123" spans="9:9" s="1" customFormat="1" x14ac:dyDescent="0.2">
      <c r="I123" s="2"/>
    </row>
    <row r="124" spans="9:9" s="1" customFormat="1" x14ac:dyDescent="0.2">
      <c r="I124" s="2"/>
    </row>
    <row r="125" spans="9:9" s="1" customFormat="1" x14ac:dyDescent="0.2">
      <c r="I125" s="2"/>
    </row>
    <row r="126" spans="9:9" s="1" customFormat="1" x14ac:dyDescent="0.2">
      <c r="I126" s="2"/>
    </row>
    <row r="127" spans="9:9" s="1" customFormat="1" x14ac:dyDescent="0.2">
      <c r="I127" s="2"/>
    </row>
    <row r="128" spans="9:9" s="1" customFormat="1" x14ac:dyDescent="0.2">
      <c r="I128" s="2"/>
    </row>
    <row r="129" spans="9:9" s="1" customFormat="1" x14ac:dyDescent="0.2">
      <c r="I129" s="2"/>
    </row>
    <row r="130" spans="9:9" s="1" customFormat="1" x14ac:dyDescent="0.2">
      <c r="I130" s="2"/>
    </row>
    <row r="131" spans="9:9" s="1" customFormat="1" x14ac:dyDescent="0.2">
      <c r="I131" s="2"/>
    </row>
    <row r="132" spans="9:9" s="1" customFormat="1" x14ac:dyDescent="0.2">
      <c r="I132" s="2"/>
    </row>
    <row r="133" spans="9:9" s="1" customFormat="1" x14ac:dyDescent="0.2">
      <c r="I133" s="2"/>
    </row>
    <row r="134" spans="9:9" s="1" customFormat="1" x14ac:dyDescent="0.2">
      <c r="I134" s="2"/>
    </row>
    <row r="135" spans="9:9" s="1" customFormat="1" x14ac:dyDescent="0.2">
      <c r="I135" s="2"/>
    </row>
    <row r="136" spans="9:9" s="1" customFormat="1" x14ac:dyDescent="0.2">
      <c r="I136" s="2"/>
    </row>
    <row r="137" spans="9:9" s="1" customFormat="1" x14ac:dyDescent="0.2">
      <c r="I137" s="2"/>
    </row>
    <row r="138" spans="9:9" s="1" customFormat="1" x14ac:dyDescent="0.2">
      <c r="I138" s="2"/>
    </row>
    <row r="139" spans="9:9" s="1" customFormat="1" x14ac:dyDescent="0.2">
      <c r="I139" s="2"/>
    </row>
    <row r="140" spans="9:9" s="1" customFormat="1" x14ac:dyDescent="0.2">
      <c r="I140" s="2"/>
    </row>
    <row r="141" spans="9:9" s="1" customFormat="1" x14ac:dyDescent="0.2">
      <c r="I141" s="2"/>
    </row>
    <row r="142" spans="9:9" s="1" customFormat="1" x14ac:dyDescent="0.2">
      <c r="I142" s="2"/>
    </row>
    <row r="143" spans="9:9" s="1" customFormat="1" x14ac:dyDescent="0.2">
      <c r="I143" s="2"/>
    </row>
    <row r="144" spans="9:9" s="1" customFormat="1" x14ac:dyDescent="0.2">
      <c r="I144" s="2"/>
    </row>
    <row r="145" spans="9:9" s="1" customFormat="1" x14ac:dyDescent="0.2">
      <c r="I145" s="2"/>
    </row>
    <row r="146" spans="9:9" s="1" customFormat="1" x14ac:dyDescent="0.2">
      <c r="I146" s="2"/>
    </row>
    <row r="147" spans="9:9" s="1" customFormat="1" x14ac:dyDescent="0.2">
      <c r="I147" s="2"/>
    </row>
    <row r="148" spans="9:9" s="1" customFormat="1" x14ac:dyDescent="0.2">
      <c r="I148" s="2"/>
    </row>
    <row r="149" spans="9:9" s="1" customFormat="1" x14ac:dyDescent="0.2">
      <c r="I149" s="2"/>
    </row>
    <row r="150" spans="9:9" s="1" customFormat="1" x14ac:dyDescent="0.2">
      <c r="I150" s="2"/>
    </row>
    <row r="151" spans="9:9" s="1" customFormat="1" x14ac:dyDescent="0.2">
      <c r="I151" s="2"/>
    </row>
    <row r="152" spans="9:9" s="1" customFormat="1" x14ac:dyDescent="0.2">
      <c r="I152" s="2"/>
    </row>
    <row r="153" spans="9:9" s="1" customFormat="1" x14ac:dyDescent="0.2">
      <c r="I153" s="2"/>
    </row>
    <row r="154" spans="9:9" s="1" customFormat="1" x14ac:dyDescent="0.2">
      <c r="I154" s="2"/>
    </row>
    <row r="155" spans="9:9" s="1" customFormat="1" x14ac:dyDescent="0.2">
      <c r="I155" s="2"/>
    </row>
    <row r="156" spans="9:9" s="1" customFormat="1" x14ac:dyDescent="0.2">
      <c r="I156" s="2"/>
    </row>
    <row r="157" spans="9:9" s="1" customFormat="1" x14ac:dyDescent="0.2">
      <c r="I157" s="2"/>
    </row>
    <row r="158" spans="9:9" s="1" customFormat="1" x14ac:dyDescent="0.2">
      <c r="I158" s="2"/>
    </row>
    <row r="159" spans="9:9" s="1" customFormat="1" x14ac:dyDescent="0.2">
      <c r="I159" s="2"/>
    </row>
    <row r="160" spans="9:9" s="1" customFormat="1" x14ac:dyDescent="0.2">
      <c r="I160" s="2"/>
    </row>
    <row r="161" spans="9:9" s="1" customFormat="1" x14ac:dyDescent="0.2">
      <c r="I161" s="2"/>
    </row>
    <row r="162" spans="9:9" s="1" customFormat="1" x14ac:dyDescent="0.2">
      <c r="I162" s="2"/>
    </row>
    <row r="163" spans="9:9" s="1" customFormat="1" x14ac:dyDescent="0.2">
      <c r="I163" s="2"/>
    </row>
    <row r="164" spans="9:9" s="1" customFormat="1" x14ac:dyDescent="0.2">
      <c r="I164" s="2"/>
    </row>
    <row r="165" spans="9:9" s="1" customFormat="1" x14ac:dyDescent="0.2">
      <c r="I165" s="2"/>
    </row>
    <row r="166" spans="9:9" s="1" customFormat="1" x14ac:dyDescent="0.2">
      <c r="I166" s="2"/>
    </row>
    <row r="167" spans="9:9" s="1" customFormat="1" x14ac:dyDescent="0.2">
      <c r="I167" s="2"/>
    </row>
    <row r="168" spans="9:9" s="1" customFormat="1" x14ac:dyDescent="0.2">
      <c r="I168" s="2"/>
    </row>
    <row r="169" spans="9:9" s="1" customFormat="1" x14ac:dyDescent="0.2">
      <c r="I169" s="2"/>
    </row>
    <row r="170" spans="9:9" s="1" customFormat="1" x14ac:dyDescent="0.2">
      <c r="I170" s="2"/>
    </row>
    <row r="171" spans="9:9" s="1" customFormat="1" x14ac:dyDescent="0.2">
      <c r="I171" s="2"/>
    </row>
    <row r="172" spans="9:9" s="1" customFormat="1" x14ac:dyDescent="0.2">
      <c r="I172" s="2"/>
    </row>
    <row r="173" spans="9:9" s="1" customFormat="1" x14ac:dyDescent="0.2">
      <c r="I173" s="2"/>
    </row>
    <row r="174" spans="9:9" s="1" customFormat="1" x14ac:dyDescent="0.2">
      <c r="I174" s="2"/>
    </row>
    <row r="175" spans="9:9" s="1" customFormat="1" x14ac:dyDescent="0.2">
      <c r="I175" s="2"/>
    </row>
    <row r="176" spans="9:9" s="1" customFormat="1" x14ac:dyDescent="0.2">
      <c r="I176" s="2"/>
    </row>
    <row r="177" spans="9:9" s="1" customFormat="1" x14ac:dyDescent="0.2">
      <c r="I177" s="2"/>
    </row>
    <row r="178" spans="9:9" s="1" customFormat="1" x14ac:dyDescent="0.2">
      <c r="I178" s="2"/>
    </row>
    <row r="179" spans="9:9" s="1" customFormat="1" x14ac:dyDescent="0.2">
      <c r="I179" s="2"/>
    </row>
    <row r="180" spans="9:9" s="1" customFormat="1" x14ac:dyDescent="0.2">
      <c r="I180" s="2"/>
    </row>
    <row r="181" spans="9:9" s="1" customFormat="1" x14ac:dyDescent="0.2">
      <c r="I181" s="2"/>
    </row>
    <row r="182" spans="9:9" s="1" customFormat="1" x14ac:dyDescent="0.2">
      <c r="I182" s="2"/>
    </row>
    <row r="183" spans="9:9" s="1" customFormat="1" x14ac:dyDescent="0.2">
      <c r="I183" s="2"/>
    </row>
    <row r="184" spans="9:9" s="1" customFormat="1" x14ac:dyDescent="0.2">
      <c r="I184" s="2"/>
    </row>
    <row r="185" spans="9:9" s="1" customFormat="1" x14ac:dyDescent="0.2">
      <c r="I185" s="2"/>
    </row>
    <row r="186" spans="9:9" s="1" customFormat="1" x14ac:dyDescent="0.2">
      <c r="I186" s="2"/>
    </row>
    <row r="187" spans="9:9" s="1" customFormat="1" x14ac:dyDescent="0.2">
      <c r="I187" s="2"/>
    </row>
    <row r="188" spans="9:9" s="1" customFormat="1" x14ac:dyDescent="0.2">
      <c r="I188" s="2"/>
    </row>
    <row r="189" spans="9:9" s="1" customFormat="1" x14ac:dyDescent="0.2">
      <c r="I189" s="2"/>
    </row>
    <row r="190" spans="9:9" s="1" customFormat="1" x14ac:dyDescent="0.2">
      <c r="I190" s="2"/>
    </row>
    <row r="191" spans="9:9" s="1" customFormat="1" x14ac:dyDescent="0.2">
      <c r="I191" s="2"/>
    </row>
    <row r="192" spans="9:9" s="1" customFormat="1" x14ac:dyDescent="0.2">
      <c r="I192" s="2"/>
    </row>
    <row r="193" spans="9:9" s="1" customFormat="1" x14ac:dyDescent="0.2">
      <c r="I193" s="2"/>
    </row>
    <row r="194" spans="9:9" s="1" customFormat="1" x14ac:dyDescent="0.2">
      <c r="I194" s="2"/>
    </row>
    <row r="195" spans="9:9" s="1" customFormat="1" x14ac:dyDescent="0.2">
      <c r="I195" s="2"/>
    </row>
    <row r="196" spans="9:9" s="1" customFormat="1" x14ac:dyDescent="0.2">
      <c r="I196" s="2"/>
    </row>
    <row r="197" spans="9:9" s="1" customFormat="1" x14ac:dyDescent="0.2">
      <c r="I197" s="2"/>
    </row>
    <row r="198" spans="9:9" s="1" customFormat="1" x14ac:dyDescent="0.2">
      <c r="I198" s="2"/>
    </row>
    <row r="199" spans="9:9" s="1" customFormat="1" x14ac:dyDescent="0.2">
      <c r="I199" s="2"/>
    </row>
    <row r="200" spans="9:9" s="1" customFormat="1" x14ac:dyDescent="0.2">
      <c r="I200" s="2"/>
    </row>
    <row r="201" spans="9:9" s="1" customFormat="1" x14ac:dyDescent="0.2">
      <c r="I201" s="2"/>
    </row>
    <row r="202" spans="9:9" s="1" customFormat="1" x14ac:dyDescent="0.2">
      <c r="I202" s="2"/>
    </row>
    <row r="203" spans="9:9" s="1" customFormat="1" x14ac:dyDescent="0.2">
      <c r="I203" s="2"/>
    </row>
    <row r="204" spans="9:9" s="1" customFormat="1" x14ac:dyDescent="0.2">
      <c r="I204" s="2"/>
    </row>
    <row r="205" spans="9:9" s="1" customFormat="1" x14ac:dyDescent="0.2">
      <c r="I205" s="2"/>
    </row>
    <row r="206" spans="9:9" s="1" customFormat="1" x14ac:dyDescent="0.2">
      <c r="I206" s="2"/>
    </row>
    <row r="207" spans="9:9" s="1" customFormat="1" x14ac:dyDescent="0.2">
      <c r="I207" s="2"/>
    </row>
    <row r="208" spans="9:9" s="1" customFormat="1" x14ac:dyDescent="0.2">
      <c r="I208" s="2"/>
    </row>
    <row r="209" spans="9:9" s="1" customFormat="1" x14ac:dyDescent="0.2">
      <c r="I209" s="2"/>
    </row>
    <row r="210" spans="9:9" s="1" customFormat="1" x14ac:dyDescent="0.2">
      <c r="I210" s="2"/>
    </row>
    <row r="211" spans="9:9" s="1" customFormat="1" x14ac:dyDescent="0.2">
      <c r="I211" s="2"/>
    </row>
    <row r="212" spans="9:9" s="1" customFormat="1" x14ac:dyDescent="0.2">
      <c r="I212" s="2"/>
    </row>
    <row r="213" spans="9:9" s="1" customFormat="1" x14ac:dyDescent="0.2">
      <c r="I213" s="2"/>
    </row>
    <row r="214" spans="9:9" s="1" customFormat="1" x14ac:dyDescent="0.2">
      <c r="I214" s="2"/>
    </row>
    <row r="215" spans="9:9" s="1" customFormat="1" x14ac:dyDescent="0.2">
      <c r="I215" s="2"/>
    </row>
    <row r="216" spans="9:9" s="1" customFormat="1" x14ac:dyDescent="0.2">
      <c r="I216" s="2"/>
    </row>
    <row r="217" spans="9:9" s="1" customFormat="1" x14ac:dyDescent="0.2">
      <c r="I217" s="2"/>
    </row>
    <row r="218" spans="9:9" s="1" customFormat="1" x14ac:dyDescent="0.2">
      <c r="I218" s="2"/>
    </row>
    <row r="219" spans="9:9" s="1" customFormat="1" x14ac:dyDescent="0.2">
      <c r="I219" s="2"/>
    </row>
    <row r="220" spans="9:9" s="1" customFormat="1" x14ac:dyDescent="0.2">
      <c r="I220" s="2"/>
    </row>
    <row r="221" spans="9:9" s="1" customFormat="1" x14ac:dyDescent="0.2">
      <c r="I221" s="2"/>
    </row>
    <row r="222" spans="9:9" s="1" customFormat="1" x14ac:dyDescent="0.2">
      <c r="I222" s="2"/>
    </row>
    <row r="223" spans="9:9" s="1" customFormat="1" x14ac:dyDescent="0.2">
      <c r="I223" s="2"/>
    </row>
    <row r="224" spans="9:9" s="1" customFormat="1" x14ac:dyDescent="0.2">
      <c r="I224" s="2"/>
    </row>
    <row r="225" spans="9:9" s="1" customFormat="1" x14ac:dyDescent="0.2">
      <c r="I225" s="2"/>
    </row>
    <row r="226" spans="9:9" s="1" customFormat="1" x14ac:dyDescent="0.2">
      <c r="I226" s="2"/>
    </row>
    <row r="227" spans="9:9" s="1" customFormat="1" x14ac:dyDescent="0.2">
      <c r="I227" s="2"/>
    </row>
    <row r="228" spans="9:9" s="1" customFormat="1" x14ac:dyDescent="0.2">
      <c r="I228" s="2"/>
    </row>
    <row r="229" spans="9:9" s="1" customFormat="1" x14ac:dyDescent="0.2">
      <c r="I229" s="2"/>
    </row>
    <row r="230" spans="9:9" s="1" customFormat="1" x14ac:dyDescent="0.2">
      <c r="I230" s="2"/>
    </row>
    <row r="231" spans="9:9" s="1" customFormat="1" x14ac:dyDescent="0.2">
      <c r="I231" s="2"/>
    </row>
    <row r="232" spans="9:9" s="1" customFormat="1" x14ac:dyDescent="0.2">
      <c r="I232" s="2"/>
    </row>
    <row r="233" spans="9:9" s="1" customFormat="1" x14ac:dyDescent="0.2">
      <c r="I233" s="2"/>
    </row>
    <row r="234" spans="9:9" s="1" customFormat="1" x14ac:dyDescent="0.2">
      <c r="I234" s="2"/>
    </row>
    <row r="235" spans="9:9" s="1" customFormat="1" x14ac:dyDescent="0.2">
      <c r="I235" s="2"/>
    </row>
    <row r="236" spans="9:9" s="1" customFormat="1" x14ac:dyDescent="0.2">
      <c r="I236" s="2"/>
    </row>
    <row r="237" spans="9:9" s="1" customFormat="1" x14ac:dyDescent="0.2">
      <c r="I237" s="2"/>
    </row>
    <row r="238" spans="9:9" s="1" customFormat="1" x14ac:dyDescent="0.2">
      <c r="I238" s="2"/>
    </row>
    <row r="239" spans="9:9" s="1" customFormat="1" x14ac:dyDescent="0.2">
      <c r="I239" s="2"/>
    </row>
    <row r="240" spans="9:9" s="1" customFormat="1" x14ac:dyDescent="0.2">
      <c r="I240" s="2"/>
    </row>
    <row r="241" spans="9:9" s="1" customFormat="1" x14ac:dyDescent="0.2">
      <c r="I241" s="2"/>
    </row>
    <row r="242" spans="9:9" s="1" customFormat="1" x14ac:dyDescent="0.2">
      <c r="I242" s="2"/>
    </row>
    <row r="243" spans="9:9" s="1" customFormat="1" x14ac:dyDescent="0.2">
      <c r="I243" s="2"/>
    </row>
    <row r="244" spans="9:9" s="1" customFormat="1" x14ac:dyDescent="0.2">
      <c r="I244" s="2"/>
    </row>
    <row r="245" spans="9:9" s="1" customFormat="1" x14ac:dyDescent="0.2">
      <c r="I245" s="2"/>
    </row>
    <row r="246" spans="9:9" s="1" customFormat="1" x14ac:dyDescent="0.2">
      <c r="I246" s="2"/>
    </row>
    <row r="247" spans="9:9" s="1" customFormat="1" x14ac:dyDescent="0.2">
      <c r="I247" s="2"/>
    </row>
    <row r="248" spans="9:9" s="1" customFormat="1" x14ac:dyDescent="0.2">
      <c r="I248" s="2"/>
    </row>
    <row r="249" spans="9:9" s="1" customFormat="1" x14ac:dyDescent="0.2">
      <c r="I249" s="2"/>
    </row>
    <row r="250" spans="9:9" s="1" customFormat="1" x14ac:dyDescent="0.2">
      <c r="I250" s="2"/>
    </row>
    <row r="251" spans="9:9" s="1" customFormat="1" x14ac:dyDescent="0.2">
      <c r="I251" s="2"/>
    </row>
    <row r="252" spans="9:9" s="1" customFormat="1" x14ac:dyDescent="0.2">
      <c r="I252" s="2"/>
    </row>
    <row r="253" spans="9:9" s="1" customFormat="1" x14ac:dyDescent="0.2">
      <c r="I253" s="2"/>
    </row>
    <row r="254" spans="9:9" s="1" customFormat="1" x14ac:dyDescent="0.2">
      <c r="I254" s="2"/>
    </row>
    <row r="255" spans="9:9" s="1" customFormat="1" x14ac:dyDescent="0.2">
      <c r="I255" s="2"/>
    </row>
    <row r="256" spans="9:9" s="1" customFormat="1" x14ac:dyDescent="0.2">
      <c r="I256" s="2"/>
    </row>
    <row r="257" spans="9:9" s="1" customFormat="1" x14ac:dyDescent="0.2">
      <c r="I257" s="2"/>
    </row>
    <row r="258" spans="9:9" s="1" customFormat="1" x14ac:dyDescent="0.2">
      <c r="I258" s="2"/>
    </row>
    <row r="259" spans="9:9" s="1" customFormat="1" x14ac:dyDescent="0.2">
      <c r="I259" s="2"/>
    </row>
    <row r="260" spans="9:9" s="1" customFormat="1" x14ac:dyDescent="0.2">
      <c r="I260" s="2"/>
    </row>
    <row r="261" spans="9:9" s="1" customFormat="1" x14ac:dyDescent="0.2">
      <c r="I261" s="2"/>
    </row>
    <row r="262" spans="9:9" s="1" customFormat="1" x14ac:dyDescent="0.2">
      <c r="I262" s="2"/>
    </row>
    <row r="263" spans="9:9" s="1" customFormat="1" x14ac:dyDescent="0.2">
      <c r="I263" s="2"/>
    </row>
    <row r="264" spans="9:9" s="1" customFormat="1" x14ac:dyDescent="0.2">
      <c r="I264" s="2"/>
    </row>
    <row r="265" spans="9:9" s="1" customFormat="1" x14ac:dyDescent="0.2">
      <c r="I265" s="2"/>
    </row>
    <row r="266" spans="9:9" s="1" customFormat="1" x14ac:dyDescent="0.2">
      <c r="I266" s="2"/>
    </row>
    <row r="267" spans="9:9" s="1" customFormat="1" x14ac:dyDescent="0.2">
      <c r="I267" s="2"/>
    </row>
    <row r="268" spans="9:9" s="1" customFormat="1" x14ac:dyDescent="0.2">
      <c r="I268" s="2"/>
    </row>
    <row r="269" spans="9:9" s="1" customFormat="1" x14ac:dyDescent="0.2">
      <c r="I269" s="2"/>
    </row>
    <row r="270" spans="9:9" s="1" customFormat="1" x14ac:dyDescent="0.2">
      <c r="I270" s="2"/>
    </row>
    <row r="271" spans="9:9" s="1" customFormat="1" x14ac:dyDescent="0.2">
      <c r="I271" s="2"/>
    </row>
    <row r="272" spans="9:9" s="1" customFormat="1" x14ac:dyDescent="0.2">
      <c r="I272" s="2"/>
    </row>
    <row r="273" spans="9:9" s="1" customFormat="1" x14ac:dyDescent="0.2">
      <c r="I273" s="2"/>
    </row>
    <row r="274" spans="9:9" s="1" customFormat="1" x14ac:dyDescent="0.2">
      <c r="I274" s="2"/>
    </row>
    <row r="275" spans="9:9" s="1" customFormat="1" x14ac:dyDescent="0.2">
      <c r="I275" s="2"/>
    </row>
    <row r="276" spans="9:9" s="1" customFormat="1" x14ac:dyDescent="0.2">
      <c r="I276" s="2"/>
    </row>
    <row r="277" spans="9:9" s="1" customFormat="1" x14ac:dyDescent="0.2">
      <c r="I277" s="2"/>
    </row>
    <row r="278" spans="9:9" s="1" customFormat="1" x14ac:dyDescent="0.2">
      <c r="I278" s="2"/>
    </row>
    <row r="279" spans="9:9" s="1" customFormat="1" x14ac:dyDescent="0.2">
      <c r="I279" s="2"/>
    </row>
    <row r="280" spans="9:9" s="1" customFormat="1" x14ac:dyDescent="0.2">
      <c r="I280" s="2"/>
    </row>
    <row r="281" spans="9:9" s="1" customFormat="1" x14ac:dyDescent="0.2">
      <c r="I281" s="2"/>
    </row>
    <row r="282" spans="9:9" s="1" customFormat="1" x14ac:dyDescent="0.2">
      <c r="I282" s="2"/>
    </row>
    <row r="283" spans="9:9" s="1" customFormat="1" x14ac:dyDescent="0.2">
      <c r="I283" s="2"/>
    </row>
    <row r="284" spans="9:9" s="1" customFormat="1" x14ac:dyDescent="0.2">
      <c r="I284" s="2"/>
    </row>
    <row r="285" spans="9:9" s="1" customFormat="1" x14ac:dyDescent="0.2">
      <c r="I285" s="2"/>
    </row>
    <row r="286" spans="9:9" s="1" customFormat="1" x14ac:dyDescent="0.2">
      <c r="I286" s="2"/>
    </row>
    <row r="287" spans="9:9" s="1" customFormat="1" x14ac:dyDescent="0.2">
      <c r="I287" s="2"/>
    </row>
    <row r="288" spans="9:9" s="1" customFormat="1" x14ac:dyDescent="0.2">
      <c r="I288" s="2"/>
    </row>
    <row r="289" spans="9:9" s="1" customFormat="1" x14ac:dyDescent="0.2">
      <c r="I289" s="2"/>
    </row>
    <row r="290" spans="9:9" s="1" customFormat="1" x14ac:dyDescent="0.2">
      <c r="I290" s="2"/>
    </row>
    <row r="291" spans="9:9" s="1" customFormat="1" x14ac:dyDescent="0.2">
      <c r="I291" s="2"/>
    </row>
    <row r="292" spans="9:9" s="1" customFormat="1" x14ac:dyDescent="0.2">
      <c r="I292" s="2"/>
    </row>
    <row r="293" spans="9:9" s="1" customFormat="1" x14ac:dyDescent="0.2">
      <c r="I293" s="2"/>
    </row>
    <row r="294" spans="9:9" s="1" customFormat="1" x14ac:dyDescent="0.2">
      <c r="I294" s="2"/>
    </row>
    <row r="295" spans="9:9" s="1" customFormat="1" x14ac:dyDescent="0.2">
      <c r="I295" s="2"/>
    </row>
    <row r="296" spans="9:9" s="1" customFormat="1" x14ac:dyDescent="0.2">
      <c r="I296" s="2"/>
    </row>
    <row r="297" spans="9:9" s="1" customFormat="1" x14ac:dyDescent="0.2">
      <c r="I297" s="2"/>
    </row>
    <row r="298" spans="9:9" s="1" customFormat="1" x14ac:dyDescent="0.2">
      <c r="I298" s="2"/>
    </row>
    <row r="299" spans="9:9" s="1" customFormat="1" x14ac:dyDescent="0.2">
      <c r="I299" s="2"/>
    </row>
    <row r="300" spans="9:9" s="1" customFormat="1" x14ac:dyDescent="0.2">
      <c r="I300" s="2"/>
    </row>
    <row r="301" spans="9:9" s="1" customFormat="1" x14ac:dyDescent="0.2">
      <c r="I301" s="2"/>
    </row>
    <row r="302" spans="9:9" s="1" customFormat="1" x14ac:dyDescent="0.2">
      <c r="I302" s="2"/>
    </row>
    <row r="303" spans="9:9" s="1" customFormat="1" x14ac:dyDescent="0.2">
      <c r="I303" s="2"/>
    </row>
    <row r="304" spans="9:9" s="1" customFormat="1" x14ac:dyDescent="0.2">
      <c r="I304" s="2"/>
    </row>
    <row r="305" spans="9:9" s="1" customFormat="1" x14ac:dyDescent="0.2">
      <c r="I305" s="2"/>
    </row>
    <row r="306" spans="9:9" s="1" customFormat="1" x14ac:dyDescent="0.2">
      <c r="I306" s="2"/>
    </row>
    <row r="307" spans="9:9" s="1" customFormat="1" x14ac:dyDescent="0.2">
      <c r="I307" s="2"/>
    </row>
    <row r="308" spans="9:9" s="1" customFormat="1" x14ac:dyDescent="0.2">
      <c r="I308" s="2"/>
    </row>
    <row r="309" spans="9:9" s="1" customFormat="1" x14ac:dyDescent="0.2">
      <c r="I309" s="2"/>
    </row>
    <row r="310" spans="9:9" s="1" customFormat="1" x14ac:dyDescent="0.2">
      <c r="I310" s="2"/>
    </row>
    <row r="311" spans="9:9" s="1" customFormat="1" x14ac:dyDescent="0.2">
      <c r="I311" s="2"/>
    </row>
    <row r="312" spans="9:9" s="1" customFormat="1" x14ac:dyDescent="0.2">
      <c r="I312" s="2"/>
    </row>
    <row r="313" spans="9:9" s="1" customFormat="1" x14ac:dyDescent="0.2">
      <c r="I313" s="2"/>
    </row>
    <row r="314" spans="9:9" s="1" customFormat="1" x14ac:dyDescent="0.2">
      <c r="I314" s="2"/>
    </row>
    <row r="315" spans="9:9" s="1" customFormat="1" x14ac:dyDescent="0.2">
      <c r="I315" s="2"/>
    </row>
    <row r="316" spans="9:9" s="1" customFormat="1" x14ac:dyDescent="0.2">
      <c r="I316" s="2"/>
    </row>
    <row r="317" spans="9:9" s="1" customFormat="1" x14ac:dyDescent="0.2">
      <c r="I317" s="2"/>
    </row>
    <row r="318" spans="9:9" s="1" customFormat="1" x14ac:dyDescent="0.2">
      <c r="I318" s="2"/>
    </row>
    <row r="319" spans="9:9" s="1" customFormat="1" x14ac:dyDescent="0.2">
      <c r="I319" s="2"/>
    </row>
    <row r="320" spans="9:9" s="1" customFormat="1" x14ac:dyDescent="0.2">
      <c r="I320" s="2"/>
    </row>
    <row r="321" spans="9:9" s="1" customFormat="1" x14ac:dyDescent="0.2">
      <c r="I321" s="2"/>
    </row>
    <row r="322" spans="9:9" s="1" customFormat="1" x14ac:dyDescent="0.2">
      <c r="I322" s="2"/>
    </row>
    <row r="323" spans="9:9" s="1" customFormat="1" x14ac:dyDescent="0.2">
      <c r="I323" s="2"/>
    </row>
    <row r="324" spans="9:9" s="1" customFormat="1" x14ac:dyDescent="0.2">
      <c r="I324" s="2"/>
    </row>
    <row r="325" spans="9:9" s="1" customFormat="1" x14ac:dyDescent="0.2">
      <c r="I325" s="2"/>
    </row>
    <row r="326" spans="9:9" s="1" customFormat="1" x14ac:dyDescent="0.2">
      <c r="I326" s="2"/>
    </row>
    <row r="327" spans="9:9" s="1" customFormat="1" x14ac:dyDescent="0.2">
      <c r="I327" s="2"/>
    </row>
    <row r="328" spans="9:9" s="1" customFormat="1" x14ac:dyDescent="0.2">
      <c r="I328" s="2"/>
    </row>
    <row r="329" spans="9:9" s="1" customFormat="1" x14ac:dyDescent="0.2">
      <c r="I329" s="2"/>
    </row>
    <row r="330" spans="9:9" s="1" customFormat="1" x14ac:dyDescent="0.2">
      <c r="I330" s="2"/>
    </row>
    <row r="331" spans="9:9" s="1" customFormat="1" x14ac:dyDescent="0.2">
      <c r="I331" s="2"/>
    </row>
    <row r="332" spans="9:9" s="1" customFormat="1" x14ac:dyDescent="0.2">
      <c r="I332" s="2"/>
    </row>
    <row r="333" spans="9:9" s="1" customFormat="1" x14ac:dyDescent="0.2">
      <c r="I333" s="2"/>
    </row>
    <row r="334" spans="9:9" s="1" customFormat="1" x14ac:dyDescent="0.2">
      <c r="I334" s="2"/>
    </row>
    <row r="335" spans="9:9" s="1" customFormat="1" x14ac:dyDescent="0.2">
      <c r="I335" s="2"/>
    </row>
    <row r="336" spans="9:9" s="1" customFormat="1" x14ac:dyDescent="0.2">
      <c r="I336" s="2"/>
    </row>
    <row r="337" spans="9:9" s="1" customFormat="1" x14ac:dyDescent="0.2">
      <c r="I337" s="2"/>
    </row>
    <row r="338" spans="9:9" s="1" customFormat="1" x14ac:dyDescent="0.2">
      <c r="I338" s="2"/>
    </row>
    <row r="339" spans="9:9" s="1" customFormat="1" x14ac:dyDescent="0.2">
      <c r="I339" s="2"/>
    </row>
    <row r="340" spans="9:9" s="1" customFormat="1" x14ac:dyDescent="0.2">
      <c r="I340" s="2"/>
    </row>
    <row r="341" spans="9:9" s="1" customFormat="1" x14ac:dyDescent="0.2">
      <c r="I341" s="2"/>
    </row>
    <row r="342" spans="9:9" s="1" customFormat="1" x14ac:dyDescent="0.2">
      <c r="I342" s="2"/>
    </row>
    <row r="343" spans="9:9" s="1" customFormat="1" x14ac:dyDescent="0.2">
      <c r="I343" s="2"/>
    </row>
    <row r="344" spans="9:9" s="1" customFormat="1" x14ac:dyDescent="0.2">
      <c r="I344" s="2"/>
    </row>
    <row r="345" spans="9:9" s="1" customFormat="1" x14ac:dyDescent="0.2">
      <c r="I345" s="2"/>
    </row>
    <row r="346" spans="9:9" s="1" customFormat="1" x14ac:dyDescent="0.2">
      <c r="I346" s="2"/>
    </row>
    <row r="347" spans="9:9" s="1" customFormat="1" x14ac:dyDescent="0.2">
      <c r="I347" s="2"/>
    </row>
    <row r="348" spans="9:9" s="1" customFormat="1" x14ac:dyDescent="0.2">
      <c r="I348" s="2"/>
    </row>
    <row r="349" spans="9:9" s="1" customFormat="1" x14ac:dyDescent="0.2">
      <c r="I349" s="2"/>
    </row>
    <row r="350" spans="9:9" s="1" customFormat="1" x14ac:dyDescent="0.2">
      <c r="I350" s="2"/>
    </row>
    <row r="351" spans="9:9" s="1" customFormat="1" x14ac:dyDescent="0.2">
      <c r="I351" s="2"/>
    </row>
    <row r="352" spans="9:9" s="1" customFormat="1" x14ac:dyDescent="0.2">
      <c r="I352" s="2"/>
    </row>
    <row r="353" spans="9:9" s="1" customFormat="1" x14ac:dyDescent="0.2">
      <c r="I353" s="2"/>
    </row>
    <row r="354" spans="9:9" s="1" customFormat="1" x14ac:dyDescent="0.2">
      <c r="I354" s="2"/>
    </row>
    <row r="355" spans="9:9" s="1" customFormat="1" x14ac:dyDescent="0.2">
      <c r="I355" s="2"/>
    </row>
    <row r="356" spans="9:9" s="1" customFormat="1" x14ac:dyDescent="0.2">
      <c r="I356" s="2"/>
    </row>
    <row r="357" spans="9:9" s="1" customFormat="1" x14ac:dyDescent="0.2">
      <c r="I357" s="2"/>
    </row>
    <row r="358" spans="9:9" s="1" customFormat="1" x14ac:dyDescent="0.2">
      <c r="I358" s="2"/>
    </row>
    <row r="359" spans="9:9" s="1" customFormat="1" x14ac:dyDescent="0.2">
      <c r="I359" s="2"/>
    </row>
    <row r="360" spans="9:9" s="1" customFormat="1" x14ac:dyDescent="0.2">
      <c r="I360" s="2"/>
    </row>
    <row r="361" spans="9:9" s="1" customFormat="1" x14ac:dyDescent="0.2">
      <c r="I361" s="2"/>
    </row>
    <row r="362" spans="9:9" s="1" customFormat="1" x14ac:dyDescent="0.2">
      <c r="I362" s="2"/>
    </row>
    <row r="363" spans="9:9" s="1" customFormat="1" x14ac:dyDescent="0.2">
      <c r="I363" s="2"/>
    </row>
    <row r="364" spans="9:9" s="1" customFormat="1" x14ac:dyDescent="0.2">
      <c r="I364" s="2"/>
    </row>
    <row r="365" spans="9:9" s="1" customFormat="1" x14ac:dyDescent="0.2">
      <c r="I365" s="2"/>
    </row>
    <row r="366" spans="9:9" s="1" customFormat="1" x14ac:dyDescent="0.2">
      <c r="I366" s="2"/>
    </row>
    <row r="367" spans="9:9" s="1" customFormat="1" x14ac:dyDescent="0.2">
      <c r="I367" s="2"/>
    </row>
    <row r="368" spans="9:9" s="1" customFormat="1" x14ac:dyDescent="0.2">
      <c r="I368" s="2"/>
    </row>
    <row r="369" spans="9:9" s="1" customFormat="1" x14ac:dyDescent="0.2">
      <c r="I369" s="2"/>
    </row>
    <row r="370" spans="9:9" s="1" customFormat="1" x14ac:dyDescent="0.2">
      <c r="I370" s="2"/>
    </row>
    <row r="371" spans="9:9" s="1" customFormat="1" x14ac:dyDescent="0.2">
      <c r="I371" s="2"/>
    </row>
    <row r="372" spans="9:9" s="1" customFormat="1" x14ac:dyDescent="0.2">
      <c r="I372" s="2"/>
    </row>
    <row r="373" spans="9:9" s="1" customFormat="1" x14ac:dyDescent="0.2">
      <c r="I373" s="2"/>
    </row>
    <row r="374" spans="9:9" s="1" customFormat="1" x14ac:dyDescent="0.2">
      <c r="I374" s="2"/>
    </row>
    <row r="375" spans="9:9" s="1" customFormat="1" x14ac:dyDescent="0.2">
      <c r="I375" s="2"/>
    </row>
    <row r="376" spans="9:9" s="1" customFormat="1" x14ac:dyDescent="0.2">
      <c r="I376" s="2"/>
    </row>
    <row r="377" spans="9:9" s="1" customFormat="1" x14ac:dyDescent="0.2">
      <c r="I377" s="2"/>
    </row>
    <row r="378" spans="9:9" s="1" customFormat="1" x14ac:dyDescent="0.2">
      <c r="I378" s="2"/>
    </row>
    <row r="379" spans="9:9" s="1" customFormat="1" x14ac:dyDescent="0.2">
      <c r="I379" s="2"/>
    </row>
    <row r="380" spans="9:9" s="1" customFormat="1" x14ac:dyDescent="0.2">
      <c r="I380" s="2"/>
    </row>
    <row r="381" spans="9:9" s="1" customFormat="1" x14ac:dyDescent="0.2">
      <c r="I381" s="2"/>
    </row>
    <row r="382" spans="9:9" s="1" customFormat="1" x14ac:dyDescent="0.2">
      <c r="I382" s="2"/>
    </row>
    <row r="383" spans="9:9" s="1" customFormat="1" x14ac:dyDescent="0.2">
      <c r="I383" s="2"/>
    </row>
    <row r="384" spans="9:9" s="1" customFormat="1" x14ac:dyDescent="0.2">
      <c r="I384" s="2"/>
    </row>
    <row r="385" spans="9:9" s="1" customFormat="1" x14ac:dyDescent="0.2">
      <c r="I385" s="2"/>
    </row>
    <row r="386" spans="9:9" s="1" customFormat="1" x14ac:dyDescent="0.2">
      <c r="I386" s="2"/>
    </row>
    <row r="387" spans="9:9" s="1" customFormat="1" x14ac:dyDescent="0.2">
      <c r="I387" s="2"/>
    </row>
    <row r="388" spans="9:9" s="1" customFormat="1" x14ac:dyDescent="0.2">
      <c r="I388" s="2"/>
    </row>
    <row r="389" spans="9:9" s="1" customFormat="1" x14ac:dyDescent="0.2">
      <c r="I389" s="2"/>
    </row>
    <row r="390" spans="9:9" s="1" customFormat="1" x14ac:dyDescent="0.2">
      <c r="I390" s="2"/>
    </row>
    <row r="391" spans="9:9" s="1" customFormat="1" x14ac:dyDescent="0.2">
      <c r="I391" s="2"/>
    </row>
    <row r="392" spans="9:9" s="1" customFormat="1" x14ac:dyDescent="0.2">
      <c r="I392" s="2"/>
    </row>
    <row r="393" spans="9:9" s="1" customFormat="1" x14ac:dyDescent="0.2">
      <c r="I393" s="2"/>
    </row>
    <row r="394" spans="9:9" s="1" customFormat="1" x14ac:dyDescent="0.2">
      <c r="I394" s="2"/>
    </row>
    <row r="395" spans="9:9" s="1" customFormat="1" x14ac:dyDescent="0.2">
      <c r="I395" s="2"/>
    </row>
    <row r="396" spans="9:9" s="1" customFormat="1" x14ac:dyDescent="0.2">
      <c r="I396" s="2"/>
    </row>
    <row r="397" spans="9:9" s="1" customFormat="1" x14ac:dyDescent="0.2">
      <c r="I397" s="2"/>
    </row>
    <row r="398" spans="9:9" s="1" customFormat="1" x14ac:dyDescent="0.2">
      <c r="I398" s="2"/>
    </row>
    <row r="399" spans="9:9" s="1" customFormat="1" x14ac:dyDescent="0.2">
      <c r="I399" s="2"/>
    </row>
    <row r="400" spans="9:9" s="1" customFormat="1" x14ac:dyDescent="0.2">
      <c r="I400" s="2"/>
    </row>
    <row r="401" spans="9:9" s="1" customFormat="1" x14ac:dyDescent="0.2">
      <c r="I401" s="2"/>
    </row>
    <row r="402" spans="9:9" s="1" customFormat="1" x14ac:dyDescent="0.2">
      <c r="I402" s="2"/>
    </row>
    <row r="403" spans="9:9" s="1" customFormat="1" x14ac:dyDescent="0.2">
      <c r="I403" s="2"/>
    </row>
    <row r="404" spans="9:9" s="1" customFormat="1" x14ac:dyDescent="0.2">
      <c r="I404" s="2"/>
    </row>
    <row r="405" spans="9:9" s="1" customFormat="1" x14ac:dyDescent="0.2">
      <c r="I405" s="2"/>
    </row>
    <row r="406" spans="9:9" s="1" customFormat="1" x14ac:dyDescent="0.2">
      <c r="I406" s="2"/>
    </row>
    <row r="407" spans="9:9" s="1" customFormat="1" x14ac:dyDescent="0.2">
      <c r="I407" s="2"/>
    </row>
    <row r="408" spans="9:9" s="1" customFormat="1" x14ac:dyDescent="0.2">
      <c r="I408" s="2"/>
    </row>
    <row r="409" spans="9:9" s="1" customFormat="1" x14ac:dyDescent="0.2">
      <c r="I409" s="2"/>
    </row>
    <row r="410" spans="9:9" s="1" customFormat="1" x14ac:dyDescent="0.2">
      <c r="I410" s="2"/>
    </row>
    <row r="411" spans="9:9" s="1" customFormat="1" x14ac:dyDescent="0.2">
      <c r="I411" s="2"/>
    </row>
    <row r="412" spans="9:9" s="1" customFormat="1" x14ac:dyDescent="0.2">
      <c r="I412" s="2"/>
    </row>
    <row r="413" spans="9:9" s="1" customFormat="1" x14ac:dyDescent="0.2">
      <c r="I413" s="2"/>
    </row>
    <row r="414" spans="9:9" s="1" customFormat="1" x14ac:dyDescent="0.2">
      <c r="I414" s="2"/>
    </row>
    <row r="415" spans="9:9" s="1" customFormat="1" x14ac:dyDescent="0.2">
      <c r="I415" s="2"/>
    </row>
    <row r="416" spans="9:9" s="1" customFormat="1" x14ac:dyDescent="0.2">
      <c r="I416" s="2"/>
    </row>
    <row r="417" spans="9:9" s="1" customFormat="1" x14ac:dyDescent="0.2">
      <c r="I417" s="2"/>
    </row>
    <row r="418" spans="9:9" s="1" customFormat="1" x14ac:dyDescent="0.2">
      <c r="I418" s="2"/>
    </row>
    <row r="419" spans="9:9" s="1" customFormat="1" x14ac:dyDescent="0.2">
      <c r="I419" s="2"/>
    </row>
    <row r="420" spans="9:9" s="1" customFormat="1" x14ac:dyDescent="0.2">
      <c r="I420" s="2"/>
    </row>
    <row r="421" spans="9:9" s="1" customFormat="1" x14ac:dyDescent="0.2">
      <c r="I421" s="2"/>
    </row>
    <row r="422" spans="9:9" s="1" customFormat="1" x14ac:dyDescent="0.2">
      <c r="I422" s="2"/>
    </row>
    <row r="423" spans="9:9" s="1" customFormat="1" x14ac:dyDescent="0.2">
      <c r="I423" s="2"/>
    </row>
    <row r="424" spans="9:9" s="1" customFormat="1" x14ac:dyDescent="0.2">
      <c r="I424" s="2"/>
    </row>
    <row r="425" spans="9:9" s="1" customFormat="1" x14ac:dyDescent="0.2">
      <c r="I425" s="2"/>
    </row>
    <row r="426" spans="9:9" s="1" customFormat="1" x14ac:dyDescent="0.2">
      <c r="I426" s="2"/>
    </row>
    <row r="427" spans="9:9" s="1" customFormat="1" x14ac:dyDescent="0.2">
      <c r="I427" s="2"/>
    </row>
    <row r="428" spans="9:9" s="1" customFormat="1" x14ac:dyDescent="0.2">
      <c r="I428" s="2"/>
    </row>
    <row r="429" spans="9:9" s="1" customFormat="1" x14ac:dyDescent="0.2">
      <c r="I429" s="2"/>
    </row>
    <row r="430" spans="9:9" s="1" customFormat="1" x14ac:dyDescent="0.2">
      <c r="I430" s="2"/>
    </row>
    <row r="431" spans="9:9" s="1" customFormat="1" x14ac:dyDescent="0.2">
      <c r="I431" s="2"/>
    </row>
    <row r="432" spans="9:9" s="1" customFormat="1" x14ac:dyDescent="0.2">
      <c r="I432" s="2"/>
    </row>
    <row r="433" spans="9:9" s="1" customFormat="1" x14ac:dyDescent="0.2">
      <c r="I433" s="2"/>
    </row>
    <row r="434" spans="9:9" s="1" customFormat="1" x14ac:dyDescent="0.2">
      <c r="I434" s="2"/>
    </row>
    <row r="435" spans="9:9" s="1" customFormat="1" x14ac:dyDescent="0.2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2014-05-20T15:08:08Z</dcterms:modified>
</cp:coreProperties>
</file>