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<sst xmlns="http://schemas.openxmlformats.org/spreadsheetml/2006/main" count="780" uniqueCount="512">
  <si>
    <t xml:space="preserve">Job #2010 · Chinn Old Town Mixed Use</t>
  </si>
  <si>
    <t xml:space="preserve">Cortex JCR Summary  •  Chinn Construction, LLC  •  Seattle, WA  •  165-unit mixed-use  •  Sep 2012 – Sep 2014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</si>
  <si>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</si>
  <si>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</si>
  <si>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</si>
  <si>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</si>
  <si>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$1,386,419</t>
  </si>
  <si>
    <t xml:space="preserve">$751,270</t>
  </si>
  <si>
    <t xml:space="preserve">$635,149</t>
  </si>
  <si>
    <t xml:space="preserve">10,260</t>
  </si>
  <si>
    <t xml:space="preserve">Original $1470k (-83k COs)</t>
  </si>
  <si>
    <t xml:space="preserve">54.2% margin</t>
  </si>
  <si>
    <t xml:space="preserve">45.8% of revenue</t>
  </si>
  <si>
    <t xml:space="preserve">22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</si>
  <si>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</si>
  <si>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</si>
  <si>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</si>
  <si>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</si>
  <si>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</si>
  <si>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</si>
  <si>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</si>
  <si>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</si>
  <si>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</si>
  <si>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</si>
  <si>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</si>
  <si>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</si>
  <si>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</si>
  <si>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</si>
  <si>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</si>
  <si>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</si>
  <si>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165</t>
  </si>
  <si>
    <t xml:space="preserve">Water Closets</t>
  </si>
  <si>
    <t xml:space="preserve">Kitchen Sinks</t>
  </si>
  <si>
    <t xml:space="preserve">150</t>
  </si>
  <si>
    <t xml:space="preserve">Total Fixtures</t>
  </si>
  <si>
    <t xml:space="preserve">803</t>
  </si>
  <si>
    <t xml:space="preserve">Lavatories</t>
  </si>
  <si>
    <t xml:space="preserve">175</t>
  </si>
  <si>
    <t xml:space="preserve">Showers</t>
  </si>
  <si>
    <t xml:space="preserve">15</t>
  </si>
  <si>
    <t xml:space="preserve">Fixtures / Unit</t>
  </si>
  <si>
    <t xml:space="preserve">4.87</t>
  </si>
  <si>
    <t xml:space="preserve">Tubs</t>
  </si>
  <si>
    <t xml:space="preserve">149</t>
  </si>
  <si>
    <t xml:space="preserve">Auto Washers</t>
  </si>
  <si>
    <t xml:space="preserve">Stacks</t>
  </si>
  <si>
    <t xml:space="preserve">30</t>
  </si>
  <si>
    <t xml:space="preserve">Duration</t>
  </si>
  <si>
    <t xml:space="preserve">24 mo</t>
  </si>
  <si>
    <t xml:space="preserve">Cost Codes Used</t>
  </si>
  <si>
    <t xml:space="preserve">33</t>
  </si>
  <si>
    <t xml:space="preserve">SOURCES</t>
  </si>
  <si>
    <t xml:space="preserve">Job #2010 — Chinn Old Town Mixed Use  •  GC: Chinn Construction, LLC  •  Seattle, WA</t>
  </si>
  <si>
    <t xml:space="preserve">Canonical source: 2010 Job Detail Report.pdf (123 pages, OWP Sage Timberline export)</t>
  </si>
  <si>
    <t xml:space="preserve">Unit + fixture counts: OLD TOWN h20 stacks.xls &amp; old town waste stacks.xls (30 stacks)</t>
  </si>
  <si>
    <t xml:space="preserve">Mixed-use: 175 lavs &gt; 165 WCs suggests powder-room units; 15 shower-only units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</si>
  <si>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</si>
  <si>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</si>
  <si>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</si>
  <si>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</si>
  <si>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</si>
  <si>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</si>
  <si>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</si>
  <si>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</si>
  <si>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</si>
  <si>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</si>
  <si>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</si>
  <si>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</si>
  <si>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</si>
  <si>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</si>
  <si>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</si>
  <si>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</si>
  <si>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</si>
  <si>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</si>
  <si>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</si>
  <si>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</si>
  <si>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</si>
  <si>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</si>
  <si>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</si>
  <si>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</si>
  <si>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</si>
  <si>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</si>
  <si>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</si>
  <si>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</si>
  <si>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</si>
  <si>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</si>
  <si>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</si>
  <si>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145</t>
  </si>
  <si>
    <t xml:space="preserve">Tub/Shower Labor</t>
  </si>
  <si>
    <t xml:space="preserve">151</t>
  </si>
  <si>
    <t xml:space="preserve">T&amp;M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</si>
  <si>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</si>
  <si>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</si>
  <si>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</si>
  <si>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</si>
  <si>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</si>
  <si>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</si>
  <si>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</si>
  <si>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</si>
  <si>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</si>
  <si>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</si>
  <si>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</si>
  <si>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</si>
  <si>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</si>
  <si>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</si>
  <si>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</si>
  <si>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</si>
  <si>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</si>
  <si>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</si>
  <si>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</si>
  <si>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</si>
  <si>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</si>
  <si>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</si>
  <si>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</si>
  <si>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</si>
  <si>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</si>
  <si>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</si>
  <si>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</si>
  <si>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</si>
  <si>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</si>
  <si>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</si>
  <si>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</si>
  <si>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</si>
  <si>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</si>
  <si>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</si>
  <si>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</si>
  <si>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</si>
  <si>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</si>
  <si>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</si>
  <si>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</si>
  <si>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</si>
  <si>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Total codes parsed: 33. All cost code actuals sum to exactly $635,149 (JCR Job Totals Expenses line).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</si>
  <si>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</si>
  <si>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</si>
  <si>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</si>
  <si>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</si>
  <si>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</si>
  <si>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</si>
  <si>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</si>
  <si>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</si>
  <si>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</si>
  <si>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</si>
  <si>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Overrun/savings calculated vs Revised Budget (post-CO). Thresholds filter out trivial (&lt;$100) differences.</t>
  </si>
  <si>
    <t xml:space="preserve">Material Spend Analysis</t>
  </si>
  <si>
    <t xml:space="preserve">11 material cost codes  •  $283,475 total spend  •  18 AP vendors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</si>
  <si>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</si>
  <si>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</si>
  <si>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</si>
  <si>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</si>
  <si>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</si>
  <si>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</si>
  <si>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</si>
  <si>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</si>
  <si>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</si>
  <si>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</si>
  <si>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</si>
  <si>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Bank of America CC</t>
  </si>
  <si>
    <t xml:space="preserve">Franklin Engineering</t>
  </si>
  <si>
    <t xml:space="preserve">Keller Supply Company</t>
  </si>
  <si>
    <t xml:space="preserve">Quality Concrete Products, Inc.</t>
  </si>
  <si>
    <t xml:space="preserve">United Rentals, Inc.</t>
  </si>
  <si>
    <t xml:space="preserve">Rosen Supply Kirkland</t>
  </si>
  <si>
    <t xml:space="preserve">Duraseal, Inc.</t>
  </si>
  <si>
    <t xml:space="preserve">Ferguson Enterprises, Inc. #3007</t>
  </si>
  <si>
    <t xml:space="preserve">DRSi</t>
  </si>
  <si>
    <t xml:space="preserve">R.A. Brown Backflow Testing</t>
  </si>
  <si>
    <t xml:space="preserve">Manor Hardware &amp; Construction Supply</t>
  </si>
  <si>
    <t xml:space="preserve">Consolidated Supply Co.</t>
  </si>
  <si>
    <t xml:space="preserve">Pacific Plumbing Supply Co., LLC</t>
  </si>
  <si>
    <t xml:space="preserve">Fastenal Company</t>
  </si>
  <si>
    <t xml:space="preserve">Kele, Inc</t>
  </si>
  <si>
    <t xml:space="preserve">C.M. Hoskins Company</t>
  </si>
  <si>
    <t xml:space="preserve">Vendor AP ties exactly to JCR 'by Source: AP: $319,120.77' line.</t>
  </si>
  <si>
    <t xml:space="preserve">Rosen Supply + Ferguson = dominant suppliers. Bank of America CC = permit/license card payments.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</si>
  <si>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</si>
  <si>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</si>
  <si>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</si>
  <si>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</si>
  <si>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</si>
  <si>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</si>
  <si>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Anderson, Richard P</t>
  </si>
  <si>
    <t xml:space="preserve">Mid</t>
  </si>
  <si>
    <t xml:space="preserve">Barnhart, Joseph N</t>
  </si>
  <si>
    <t xml:space="preserve">Senior</t>
  </si>
  <si>
    <t xml:space="preserve">Hayton, Evan R</t>
  </si>
  <si>
    <t xml:space="preserve">Apprentice</t>
  </si>
  <si>
    <t xml:space="preserve">Garcia, Jordan X</t>
  </si>
  <si>
    <t xml:space="preserve">Wilson, Garret A</t>
  </si>
  <si>
    <t xml:space="preserve">Kinssies, Jr, John E</t>
  </si>
  <si>
    <t xml:space="preserve">Waites, Thaddeus Z</t>
  </si>
  <si>
    <t xml:space="preserve">Soto Serna, Cesar E</t>
  </si>
  <si>
    <t xml:space="preserve">Mayfield, Elijah S</t>
  </si>
  <si>
    <t xml:space="preserve">Gerard, Jeffrey S</t>
  </si>
  <si>
    <t xml:space="preserve">Holmes, Anthony R</t>
  </si>
  <si>
    <t xml:space="preserve">Nabbefeld, Maxwell B</t>
  </si>
  <si>
    <t xml:space="preserve">Leone, Jared S</t>
  </si>
  <si>
    <t xml:space="preserve">Meza Fuentes, Erick A</t>
  </si>
  <si>
    <t xml:space="preserve">Salazar, Hajdar L</t>
  </si>
  <si>
    <t xml:space="preserve">Pennington, Patrick S</t>
  </si>
  <si>
    <t xml:space="preserve">McCabe, Thomas C</t>
  </si>
  <si>
    <t xml:space="preserve">Lima Romero, Melvin A</t>
  </si>
  <si>
    <t xml:space="preserve">Sanders, Allen O</t>
  </si>
  <si>
    <t xml:space="preserve">Hubbard, Robert W</t>
  </si>
  <si>
    <t xml:space="preserve">Paco Leyva, Orlando</t>
  </si>
  <si>
    <t xml:space="preserve">Arreola, Israel A</t>
  </si>
  <si>
    <t xml:space="preserve">TOTAL (22 workers)</t>
  </si>
  <si>
    <t xml:space="preserve">PR transactions parsed from JCR. Tier: Apprentice &lt;$18/hr, Mid $18–30, Senior &gt;$30</t>
  </si>
  <si>
    <t xml:space="preserve">Worker hours (10,436) slightly differ from code-rollup hours (10,260) due to OT row split in PDF.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</si>
  <si>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</si>
  <si>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</si>
  <si>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</si>
  <si>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</si>
  <si>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</si>
  <si>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</si>
  <si>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</si>
  <si>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</si>
  <si>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</si>
  <si>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</si>
  <si>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</si>
  <si>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</si>
  <si>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</si>
  <si>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</si>
  <si>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</si>
  <si>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</si>
  <si>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</si>
  <si>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Burden multiplier uses JCR codes 995 (Payroll Burden) + 998 (Payroll Taxes) added to labor.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</si>
  <si>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</si>
  <si>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</si>
  <si>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</si>
  <si>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</si>
  <si>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</si>
  <si>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</si>
  <si>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</si>
  <si>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</si>
  <si>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</si>
  <si>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</si>
  <si>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</si>
  <si>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</si>
  <si>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</si>
  <si>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</si>
  <si>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</si>
  <si>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</si>
  <si>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Condensation Drains</t>
  </si>
  <si>
    <t xml:space="preserve">Tub / Shower</t>
  </si>
  <si>
    <t xml:space="preserve">T&amp;M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</si>
  <si>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</si>
  <si>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</si>
  <si>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</si>
  <si>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</si>
  <si>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</si>
  <si>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</si>
  <si>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</si>
  <si>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</si>
  <si>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</si>
  <si>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</si>
  <si>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</si>
  <si>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</si>
  <si>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</si>
  <si>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</si>
  <si>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</si>
  <si>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</si>
  <si>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</si>
  <si>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</si>
  <si>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</si>
  <si>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</si>
  <si>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</si>
  <si>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</si>
  <si>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Per-unit and per-fixture metrics are the canonical cross-job benchmarks.</t>
  </si>
  <si>
    <t xml:space="preserve">Purchase Order Commitments</t>
  </si>
  <si>
    <t xml:space="preserve">24 POs  •  Total committed $213,756  •  75% of material</t>
  </si>
  <si>
    <t xml:space="preserve">A. COMMITMENTS BY COST CODE</t>
  </si>
  <si>
    <t xml:space="preserve">OWP Code</t>
  </si>
  <si>
    <t xml:space="preserve">Description → JCR</t>
  </si>
  <si>
    <t xml:space="preserve">PO Count</t>
  </si>
  <si>
    <t xml:space="preserve">PO Committed</t>
  </si>
  <si>
    <t xml:space="preserve">JCR Material</t>
  </si>
  <si>
    <t xml:space="preserve">31</t>
  </si>
  <si>
    <t xml:space="preserve">120+220 Roughin</t>
  </si>
  <si>
    <t xml:space="preserve">32</t>
  </si>
  <si>
    <t xml:space="preserve">130+230 Trim/Finish</t>
  </si>
  <si>
    <t xml:space="preserve">35</t>
  </si>
  <si>
    <t xml:space="preserve">112+212 Canout</t>
  </si>
  <si>
    <t xml:space="preserve">40</t>
  </si>
  <si>
    <t xml:space="preserve">141+241 Water Main/Ins</t>
  </si>
  <si>
    <t xml:space="preserve">41</t>
  </si>
  <si>
    <t xml:space="preserve">142+242 Mech Room</t>
  </si>
  <si>
    <t xml:space="preserve">B. PO COVERAGE ANALYSIS</t>
  </si>
  <si>
    <t xml:space="preserve">Total Material Actual (JCR)</t>
  </si>
  <si>
    <t xml:space="preserve">Total PO Committed</t>
  </si>
  <si>
    <t xml:space="preserve">PO Coverage %</t>
  </si>
  <si>
    <t xml:space="preserve">Uncommitted (direct AP)</t>
  </si>
  <si>
    <t xml:space="preserve">PO source: 'PO_s/Scheduled/OT PO SCHEDULED/' (80 files, 24 unique POs after dedupe)</t>
  </si>
  <si>
    <t xml:space="preserve">PO coverage at 75% is significantly higher than 2011 (42%) — suggesting tighter procurement discipline.</t>
  </si>
  <si>
    <t xml:space="preserve">Revenue &amp; Billing Reconciliation</t>
  </si>
  <si>
    <t xml:space="preserve">19 pay applications  •  Original contract $1,469,800  •  Net COs -83,381 = Final $1,386,419</t>
  </si>
  <si>
    <t xml:space="preserve">A. CONTRACT SUMMARY &amp; CHANGE ORDERS</t>
  </si>
  <si>
    <t xml:space="preserve">Original Contract</t>
  </si>
  <si>
    <t xml:space="preserve">  CO at pay app #8 (Deductive)</t>
  </si>
  <si>
    <t xml:space="preserve">  CO at pay app #9 (Deductive)</t>
  </si>
  <si>
    <t xml:space="preserve">  CO at pay app #13 (Deductive)</t>
  </si>
  <si>
    <t xml:space="preserve">  CO at pay app #17 (Additive)</t>
  </si>
  <si>
    <t xml:space="preserve">  CO at pay app #19 (Additive)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</si>
  <si>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</si>
  <si>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</si>
  <si>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</si>
  <si>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</si>
  <si>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</si>
  <si>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Contract</t>
  </si>
  <si>
    <t xml:space="preserve">Billed To Date</t>
  </si>
  <si>
    <t xml:space="preserve">% Complete</t>
  </si>
  <si>
    <t xml:space="preserve">Retainage</t>
  </si>
  <si>
    <t xml:space="preserve">This Period</t>
  </si>
  <si>
    <t xml:space="preserve">Source: 'Oldtown billing/Chinn Old Town schedule of values - 1..19.xlsx' (19 monthly SOVs)</t>
  </si>
  <si>
    <t xml:space="preserve">CO schedule derived from contract-value deltas between sequential pay apps.</t>
  </si>
  <si>
    <t xml:space="preserve">Key Insights — Job #2010 Chinn Old Town</t>
  </si>
  <si>
    <t xml:space="preserve">Narrative observations distilled from the full JCR analysis</t>
  </si>
  <si>
    <t xml:space="preserve">EXTRAORDINARY MARGIN</t>
  </si>
  <si>
    <t xml:space="preserve">Net profit of $751,270 on $1,386,419 revenue = 54.2% gross margin. This is ~16 percentage points above both 2011 (38.3%) and 2012 (38.3%) — a genuine outlier on profitability.</t>
  </si>
  <si>
    <t xml:space="preserve">WHY SO PROFITABLE?</t>
  </si>
  <si>
    <t xml:space="preserve">Direct cost ran at just 45.8% of revenue vs ~62% on 2011/2012. Labor came in at $203K (14.6% of revenue) — extremely light. This job had a big original contract ($1.47M) but ended up needing far less labor than expected.</t>
  </si>
  <si>
    <t xml:space="preserve">DEDUCTIVE CHANGE ORDERS (UNUSUAL)</t>
  </si>
  <si>
    <t xml:space="preserve">Contract went DOWN $83,381 over the life of the job (from $1.47M to $1.39M). Most jobs have positive COs; this one had multiple deductive adjustments — suggesting scope reduction mid-project or settled items that OWP didn't have to execute.</t>
  </si>
  <si>
    <t xml:space="preserve">OVER-ESTIMATED BUDGET</t>
  </si>
  <si>
    <t xml:space="preserve">Revised budget was $1,057,858 but actual direct cost was only $635,149 — $422,709 UNDER budget. Either the original estimate was very conservative, or real scope shrank significantly during construction.</t>
  </si>
  <si>
    <t xml:space="preserve">LONG DURATION, LOW INTENSITY</t>
  </si>
  <si>
    <t xml:space="preserve">24 months vs 17 for both 2011 and 2012. With only 10,260 labor hours spread across 24 months = 428 hrs/month — about half the labor intensity of 2012 (860 hrs/month). Crew was on/off, not always active.</t>
  </si>
  <si>
    <t xml:space="preserve">MIXED-USE COMPLEXITY</t>
  </si>
  <si>
    <t xml:space="preserve">175 lavatories vs 165 WCs (+10 extra) suggests powder-room units. 15 shower-only units instead of tubs. Zero dishwashers (commercial/residential mix). This is not a cookie-cutter apartment project.</t>
  </si>
  <si>
    <t xml:space="preserve">ROSEN SUPPLY DOMINANCE</t>
  </si>
  <si>
    <t xml:space="preserve">Rosen Supply Co. alone = $177,082 (55% of all AP). Combined with Ferguson ($81K), the top 2 vendors = 81% of material spend. Very high concentration — either a strategic supply partnership or limited vendor flexibility.</t>
  </si>
  <si>
    <t xml:space="preserve">HIGH PO DISCIPLINE</t>
  </si>
  <si>
    <t xml:space="preserve">PO coverage = 75% (vs 42% on 2011). 24 POs committed $214K against $283K material spend. The remaining 25% was direct AP invoicing for smaller/repeat items. Good procurement rigor.</t>
  </si>
  <si>
    <t xml:space="preserve">ROUGHIN-HEAVY PROJECT</t>
  </si>
  <si>
    <t xml:space="preserve">Code 120 Roughin Labor = 6,202 hrs (60% of all labor). Code 220 Roughin Material = $66,458. Roughin is always the biggest phase, but here it dominates even more than usual — suggests complex in-wall routing.</t>
  </si>
  <si>
    <t xml:space="preserve">STRONG CREW RETENTION</t>
  </si>
  <si>
    <t xml:space="preserve">22 workers for 10,260 hours = 466 avg hrs/worker. Top 3 workers (Anderson, Barnhart, Hayton) logged 5,064 hrs combined (49% of all labor). Tight core crew.</t>
  </si>
  <si>
    <t xml:space="preserve">PAY APP PACE</t>
  </si>
  <si>
    <t xml:space="preserve">19 pay apps over ~24 months = roughly monthly billing with a few stretched gaps. Big revenue recognition in Apps 8-12 (~$700K billed in that window) aligns with peak Roughin phase.</t>
  </si>
  <si>
    <t xml:space="preserve">BURDEN RATIO CONSISTENT</t>
  </si>
  <si>
    <t xml:space="preserve">Fully-loaded wage $29.86/hr vs gross $19.77/hr = 1.51x burden multiplier. Comparable to 2011 (1.51x) and 2012 (1.51x) — OWP's burden structure is stable across jobs.</t>
  </si>
  <si>
    <t xml:space="preserve">BIGGEST QUESTION</t>
  </si>
  <si>
    <t xml:space="preserve">Why did this job deliver 54% margin when OWP's other two jobs both landed at 38%? Is this the signal of a conservative estimating formula that held while scope shrank? Or did the original contract have a large hidden margin that only materialized because deductive COs didn't scale the cost base proportionally? Understanding this would inform future bid strategy on mixed-use work.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</si>
  <si>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</si>
  <si>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</si>
  <si>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</si>
  <si>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</si>
  <si>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</si>
  <si>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</si>
  <si>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2010</t>
  </si>
  <si>
    <t xml:space="preserve">Profile</t>
  </si>
  <si>
    <t xml:space="preserve">OWP job ID</t>
  </si>
  <si>
    <t xml:space="preserve">Job Name</t>
  </si>
  <si>
    <t xml:space="preserve">job_name</t>
  </si>
  <si>
    <t xml:space="preserve">Chinn Old Town Mixed Use</t>
  </si>
  <si>
    <t xml:space="preserve">General Contractor</t>
  </si>
  <si>
    <t xml:space="preserve">general_contractor</t>
  </si>
  <si>
    <t xml:space="preserve">Chinn Construction, LLC</t>
  </si>
  <si>
    <t xml:space="preserve">Location</t>
  </si>
  <si>
    <t xml:space="preserve">location</t>
  </si>
  <si>
    <t xml:space="preserve">Seattle, WA</t>
  </si>
  <si>
    <t xml:space="preserve">Project Type</t>
  </si>
  <si>
    <t xml:space="preserve">project_type</t>
  </si>
  <si>
    <t xml:space="preserve">Mixed-Use Residential</t>
  </si>
  <si>
    <t xml:space="preserve">Apartments + commercial</t>
  </si>
  <si>
    <t xml:space="preserve">Duration (months)</t>
  </si>
  <si>
    <t xml:space="preserve">duration_months</t>
  </si>
  <si>
    <t xml:space="preserve">Sep 2012 – Sep 2014</t>
  </si>
  <si>
    <t xml:space="preserve">Unit Count</t>
  </si>
  <si>
    <t xml:space="preserve">unit_count</t>
  </si>
  <si>
    <t xml:space="preserve">Per stack takeoff (WC count)</t>
  </si>
  <si>
    <t xml:space="preserve">total_fixtures</t>
  </si>
  <si>
    <t xml:space="preserve">WC+LAV+TUB+SHOW+KS+AW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</si>
  <si>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</si>
  <si>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</si>
  <si>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</si>
  <si>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</si>
  <si>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</si>
  <si>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</si>
  <si>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</si>
  <si>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deductive COs</t>
  </si>
  <si>
    <t xml:space="preserve">Change Orders ($)</t>
  </si>
  <si>
    <t xml:space="preserve">change_orders</t>
  </si>
  <si>
    <t xml:space="preserve">Net deductive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</si>
  <si>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</si>
  <si>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</si>
  <si>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</si>
  <si>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</si>
  <si>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</si>
  <si>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</si>
  <si>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OUTLIER: 54% vs typical 38%</t>
  </si>
  <si>
    <t xml:space="preserve">direct_cost</t>
  </si>
  <si>
    <t xml:space="preserve">Labor Cost</t>
  </si>
  <si>
    <t xml:space="preserve">labor_cost</t>
  </si>
  <si>
    <t xml:space="preserve">Sum of 14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</si>
  <si>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</si>
  <si>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</si>
  <si>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</si>
  <si>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</si>
  <si>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</si>
  <si>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Subcontractor + Engineering + Permits + Rental</t>
  </si>
  <si>
    <t xml:space="preserve">Burden Cost</t>
  </si>
  <si>
    <t xml:space="preserve">burden_cost</t>
  </si>
  <si>
    <t xml:space="preserve">Payroll burden + taxes (995, 998)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</si>
  <si>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</si>
  <si>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</si>
  <si>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</si>
  <si>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</si>
  <si>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</si>
  <si>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</si>
  <si>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</si>
  <si>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</si>
  <si>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</si>
  <si>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</si>
  <si>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</si>
  <si>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</si>
  <si>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</si>
  <si>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</si>
  <si>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</si>
  <si>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</si>
  <si>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</si>
  <si>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</si>
  <si>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</si>
  <si>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</si>
  <si>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</si>
  <si>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</si>
  <si>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</si>
  <si>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</si>
  <si>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JCR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</si>
  <si>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</si>
  <si>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</si>
  <si>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</si>
  <si>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</si>
  <si>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</si>
  <si>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</si>
  <si>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</si>
  <si>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</si>
  <si>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</si>
  <si>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</si>
  <si>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</si>
  <si>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</si>
  <si>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</si>
  <si>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</si>
  <si>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</si>
  <si>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</si>
  <si>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</si>
  <si>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</si>
  <si>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</si>
  <si>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</si>
  <si>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</si>
  <si>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</si>
  <si>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</si>
  <si>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</si>
  <si>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</si>
  <si>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</si>
  <si>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</si>
  <si>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</si>
  <si>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</si>
  <si>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</si>
  <si>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</si>
  <si>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</si>
  <si>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</si>
  <si>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</si>
  <si>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Rosen Supply Co.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</si>
  <si>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</si>
  <si>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</si>
  <si>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</si>
  <si>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</si>
  <si>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po_committed</t>
  </si>
  <si>
    <t xml:space="preserve">po_coverage_pct</t>
  </si>
  <si>
    <t xml:space="preserve">51 KPIs with snake_case data_name identifiers for database ingestion.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</si>
  <si>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</si>
  <si>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</si>
  <si>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</si>
  <si>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</si>
  <si>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Δ</t>
  </si>
  <si>
    <t xml:space="preserve">Status</t>
  </si>
  <si>
    <t xml:space="preserve">A. JCR COST CODE ROLLUP</t>
  </si>
  <si>
    <t xml:space="preserve">Labor subtotal (14 codes)</t>
  </si>
  <si>
    <t xml:space="preserve">TIES</t>
  </si>
  <si>
    <t xml:space="preserve">Material subtotal (11 codes)</t>
  </si>
  <si>
    <t xml:space="preserve">Overhead subtotal (5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</si>
  <si>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</si>
  <si>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</si>
  <si>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</si>
  <si>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</si>
  <si>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</si>
  <si>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JCR Cost Code hours (Payroll Hours lines)</t>
  </si>
  <si>
    <t xml:space="preserve">Per-worker hours (sum of PR Regular+OT)</t>
  </si>
  <si>
    <t xml:space="preserve">C. BILLING (SOV) ↔ JCR</t>
  </si>
  <si>
    <t xml:space="preserve">Final Contract (SOV #19)</t>
  </si>
  <si>
    <t xml:space="preserve">Final Billed to Date (SOV #19)</t>
  </si>
  <si>
    <t xml:space="preserve">Final Retainage (SOV #19)</t>
  </si>
  <si>
    <t xml:space="preserve">Original Contract + Net COs = Final</t>
  </si>
  <si>
    <t xml:space="preserve">D. VENDOR AP ↔ JCR</t>
  </si>
  <si>
    <t xml:space="preserve">Vendor AP total (sum of invoices)</t>
  </si>
  <si>
    <t xml:space="preserve">E. PO COVERAGE</t>
  </si>
  <si>
    <t xml:space="preserve">PARTIAL</t>
  </si>
  <si>
    <t xml:space="preserve">  PO coverage: 75.4% of material spend had a PO</t>
  </si>
  <si>
    <t xml:space="preserve">TIES = within $1 or 5 hrs  •  WITHIN = small data drift  •  OFF = investigate</t>
  </si>
  <si>
    <t xml:space="preserve">All 'Expected' values are the canonical JCR numbers parsed directly from the PDF.</t>
  </si>
  <si>
    <t xml:space="preserve">Vendor Detail — Job #2010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</si>
  <si>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</si>
  <si>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</si>
  <si>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</si>
  <si>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</si>
  <si>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</si>
  <si>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</si>
  <si>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2010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</si>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</sst>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"/>
    <numFmt numFmtId="166" formatCode="\$#,##0;[RED]&quot;-$&quot;#,##0"/>
    <numFmt numFmtId="167" formatCode="0.0%"/>
    <numFmt numFmtId="168" formatCode="#,##0"/>
    <numFmt numFmtId="169" formatCode="\+0.0%"/>
    <numFmt numFmtId="170" formatCode="\-0.0%"/>
    <numFmt numFmtId="171" formatCode="\$#,##0.00"/>
    <numFmt numFmtId="172" formatCode="0.00\x"/>
    <numFmt numFmtId="173" formatCode="#,##0&quot; hrs&quot;"/>
    <numFmt numFmtId="174" formatCode="0.00&quot; hrs&quot;"/>
    <numFmt numFmtId="175" formatCode="#,##0.00"/>
    <numFmt numFmtId="176" formatCode="0"/>
    <numFmt numFmtId="177" formatCode="0.00"/>
    <numFmt numFmtId="178" formatCode="#,##0;[RED]\-#,##0"/>
    <numFmt numFmtId="179" formatCode="\$#,##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E2E2E"/>
      <name val="Inter"/>
      <family val="0"/>
      <charset val="1"/>
    </font>
    <font>
      <sz val="11"/>
      <color rgb="FF787878"/>
      <name val="Inter"/>
      <family val="0"/>
      <charset val="1"/>
    </font>
    <font>
      <b val="true"/>
      <sz val="9"/>
      <color rgb="FF14532D"/>
      <name val="Inter"/>
      <family val="0"/>
      <charset val="1"/>
    </font>
    <font>
      <b val="true"/>
      <sz val="9"/>
      <color rgb="FF1E3A8A"/>
      <name val="Inter"/>
      <family val="0"/>
      <charset val="1"/>
    </font>
    <font>
      <b val="true"/>
      <sz val="9"/>
      <color rgb="FF5B21B6"/>
      <name val="Inter"/>
      <family val="0"/>
      <charset val="1"/>
    </font>
    <font>
      <b val="true"/>
      <sz val="18"/>
      <color rgb="FF2E2E2E"/>
      <name val="Inter"/>
      <family val="0"/>
      <charset val="1"/>
    </font>
    <font>
      <i val="true"/>
      <sz val="9"/>
      <color rgb="FF787878"/>
      <name val="Inter"/>
      <family val="0"/>
      <charset val="1"/>
    </font>
    <font>
      <b val="true"/>
      <sz val="12"/>
      <color rgb="FF2E2E2E"/>
      <name val="Inter"/>
      <family val="0"/>
      <charset val="1"/>
    </font>
    <font>
      <b val="true"/>
      <sz val="10"/>
      <color rgb="FF2E2E2E"/>
      <name val="Inter"/>
      <family val="0"/>
      <charset val="1"/>
    </font>
    <font>
      <sz val="10"/>
      <color rgb="FF2E2E2E"/>
      <name val="Inter"/>
      <family val="0"/>
      <charset val="1"/>
    </font>
    <font>
      <b val="true"/>
      <sz val="9"/>
      <color rgb="FF64473A"/>
      <name val="Inter"/>
      <family val="0"/>
      <charset val="1"/>
    </font>
    <font>
      <b val="true"/>
      <sz val="9"/>
      <color rgb="FF4A4A4A"/>
      <name val="Inter"/>
      <family val="0"/>
      <charset val="1"/>
    </font>
    <font>
      <b val="true"/>
      <sz val="9"/>
      <color rgb="FF78350F"/>
      <name val="Inter"/>
      <family val="0"/>
      <charset val="1"/>
    </font>
    <font>
      <sz val="10"/>
      <color rgb="FF787878"/>
      <name val="Inter"/>
      <family val="0"/>
      <charset val="1"/>
    </font>
    <font>
      <b val="true"/>
      <sz val="9"/>
      <color rgb="FF787878"/>
      <name val="Inter"/>
      <family val="0"/>
      <charset val="1"/>
    </font>
    <font>
      <i val="true"/>
      <sz val="9"/>
      <color rgb="FF9A9A9A"/>
      <name val="Inter"/>
      <family val="0"/>
      <charset val="1"/>
    </font>
    <font>
      <b val="true"/>
      <sz val="10"/>
      <color rgb="FF1E3A8A"/>
      <name val="Inter"/>
      <family val="0"/>
      <charset val="1"/>
    </font>
    <font>
      <b val="true"/>
      <sz val="10"/>
      <color rgb="FF64473A"/>
      <name val="Inter"/>
      <family val="0"/>
      <charset val="1"/>
    </font>
    <font>
      <b val="true"/>
      <sz val="10"/>
      <color rgb="FF4A4A4A"/>
      <name val="Inter"/>
      <family val="0"/>
      <charset val="1"/>
    </font>
    <font>
      <b val="true"/>
      <sz val="10"/>
      <color rgb="FF78350F"/>
      <name val="Inter"/>
      <family val="0"/>
      <charset val="1"/>
    </font>
    <font>
      <b val="true"/>
      <sz val="11"/>
      <color rgb="FF2E2E2E"/>
      <name val="Inter"/>
      <family val="0"/>
      <charset val="1"/>
    </font>
    <font>
      <b val="true"/>
      <sz val="11"/>
      <color rgb="FF1E3A8A"/>
      <name val="Inter"/>
      <family val="0"/>
      <charset val="1"/>
    </font>
    <font>
      <b val="true"/>
      <sz val="11"/>
      <color rgb="FF9B2C2C"/>
      <name val="Inter"/>
      <family val="0"/>
      <charset val="1"/>
    </font>
    <font>
      <b val="true"/>
      <sz val="11"/>
      <color rgb="FF14532D"/>
      <name val="Inter"/>
      <family val="0"/>
      <charset val="1"/>
    </font>
    <font>
      <i val="true"/>
      <sz val="10"/>
      <color rgb="FF787878"/>
      <name val="Inter"/>
      <family val="0"/>
      <charset val="1"/>
    </font>
    <font>
      <b val="true"/>
      <sz val="11"/>
      <color rgb="FF64473A"/>
      <name val="Inter"/>
      <family val="0"/>
      <charset val="1"/>
    </font>
    <font>
      <b val="true"/>
      <sz val="11"/>
      <color rgb="FF5B21B6"/>
      <name val="Inter"/>
      <family val="0"/>
      <charset val="1"/>
    </font>
    <font>
      <sz val="10"/>
      <color rgb="FF9B2C2C"/>
      <name val="Inter"/>
      <family val="0"/>
      <charset val="1"/>
    </font>
    <font>
      <sz val="10"/>
      <color rgb="FF14532D"/>
      <name val="Inter"/>
      <family val="0"/>
      <charset val="1"/>
    </font>
    <font>
      <sz val="10"/>
      <color rgb="FF78350F"/>
      <name val="Inter"/>
      <family val="0"/>
      <charset val="1"/>
    </font>
    <font>
      <b val="true"/>
      <sz val="10"/>
      <color rgb="FF14532D"/>
      <name val="Inter"/>
      <family val="0"/>
      <charset val="1"/>
    </font>
    <font>
      <i val="true"/>
      <sz val="10"/>
      <color rgb="FF2E2E2E"/>
      <name val="Inter"/>
      <family val="0"/>
      <charset val="1"/>
    </font>
    <font>
      <sz val="9"/>
      <color rgb="FF787878"/>
      <name val="Inter"/>
      <family val="0"/>
      <charset val="1"/>
    </font>
    <font>
      <b val="true"/>
      <sz val="11"/>
      <color rgb="FF78350F"/>
      <name val="Inter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CFCE7"/>
        <bgColor rgb="FFF1F1F0"/>
      </patternFill>
    </fill>
    <fill>
      <patternFill patternType="solid">
        <fgColor rgb="FFDBEAFE"/>
        <bgColor rgb="FFD9E1F2"/>
      </patternFill>
    </fill>
    <fill>
      <patternFill patternType="solid">
        <fgColor rgb="FFE9D5FF"/>
        <bgColor rgb="FFD9E1F2"/>
      </patternFill>
    </fill>
    <fill>
      <patternFill patternType="solid">
        <fgColor rgb="FFFFFFFF"/>
        <bgColor rgb="FFF7F6F3"/>
      </patternFill>
    </fill>
    <fill>
      <patternFill patternType="solid">
        <fgColor rgb="FFF7F6F3"/>
        <bgColor rgb="FFF2F2F2"/>
      </patternFill>
    </fill>
    <fill>
      <patternFill patternType="solid">
        <fgColor rgb="FFF1E8DE"/>
        <bgColor rgb="FFEAEAEA"/>
      </patternFill>
    </fill>
    <fill>
      <patternFill patternType="solid">
        <fgColor rgb="FFF1F1F0"/>
        <bgColor rgb="FFF2F2F2"/>
      </patternFill>
    </fill>
    <fill>
      <patternFill patternType="solid">
        <fgColor rgb="FFFEF3C7"/>
        <bgColor rgb="FFFFF2CC"/>
      </patternFill>
    </fill>
    <fill>
      <patternFill patternType="solid">
        <fgColor rgb="FFFBE4E4"/>
        <bgColor rgb="FFF1E8DE"/>
      </patternFill>
    </fill>
    <fill>
      <patternFill patternType="solid">
        <fgColor rgb="FF1F3864"/>
        <bgColor rgb="FF1E3A8A"/>
      </patternFill>
    </fill>
    <fill>
      <patternFill patternType="solid">
        <fgColor rgb="FF4472C4"/>
        <bgColor rgb="FF787878"/>
      </patternFill>
    </fill>
    <fill>
      <patternFill patternType="solid">
        <fgColor rgb="FFFFF2CC"/>
        <bgColor rgb="FFFEF3C7"/>
      </patternFill>
    </fill>
    <fill>
      <patternFill patternType="solid">
        <fgColor rgb="FFF2F2F2"/>
        <bgColor rgb="FFF1F1F0"/>
      </patternFill>
    </fill>
    <fill>
      <patternFill patternType="solid">
        <fgColor rgb="FFD9E1F2"/>
        <bgColor rgb="FFDBEA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 diagonalUp="false" diagonalDown="false">
      <left style="thin">
        <color rgb="FFEAEAEA"/>
      </left>
      <right/>
      <top style="thin">
        <color rgb="FFEAEAEA"/>
      </top>
      <bottom style="thin">
        <color rgb="FFEAEAE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1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4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4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6F3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BFBFBF"/>
      <rgbColor rgb="FF787878"/>
      <rgbColor rgb="FF9999FF"/>
      <rgbColor rgb="FF78350F"/>
      <rgbColor rgb="FFFEF3C7"/>
      <rgbColor rgb="FFDCFCE7"/>
      <rgbColor rgb="FF660066"/>
      <rgbColor rgb="FFFF8080"/>
      <rgbColor rgb="FF0066CC"/>
      <rgbColor rgb="FFE9D5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BEAFE"/>
      <rgbColor rgb="FFEAEAEA"/>
      <rgbColor rgb="FFFFF2CC"/>
      <rgbColor rgb="FFD9E1F2"/>
      <rgbColor rgb="FFF1E8DE"/>
      <rgbColor rgb="FFF1F1F0"/>
      <rgbColor rgb="FFFBE4E4"/>
      <rgbColor rgb="FF4472C4"/>
      <rgbColor rgb="FF33CCCC"/>
      <rgbColor rgb="FF99CC00"/>
      <rgbColor rgb="FFFFCC00"/>
      <rgbColor rgb="FFFF9900"/>
      <rgbColor rgb="FFFF6600"/>
      <rgbColor rgb="FF595959"/>
      <rgbColor rgb="FF9A9A9A"/>
      <rgbColor rgb="FF1F3864"/>
      <rgbColor rgb="FF339966"/>
      <rgbColor rgb="FF14532D"/>
      <rgbColor rgb="FF4A4A4A"/>
      <rgbColor rgb="FF9B2C2C"/>
      <rgbColor rgb="FF64473A"/>
      <rgbColor rgb="FF1E3A8A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22"/>
    <col collapsed="false" customWidth="true" hidden="false" outlineLevel="0" max="9" min="9" style="1" width="2"/>
  </cols>
  <sheetData>
    <row r="2" customFormat="false" ht="33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B5" s="4" t="s">
        <v>2</v>
      </c>
      <c r="C5" s="4"/>
      <c r="D5" s="4" t="s">
        <v>3</v>
      </c>
      <c r="E5" s="4"/>
      <c r="F5" s="5" t="s">
        <v>4</v>
      </c>
      <c r="G5" s="5"/>
      <c r="H5" s="6" t="s">
        <v>5</v>
      </c>
      <c r="I5" s="6"/>
    </row>
    <row r="6" customFormat="false" ht="30" hidden="false" customHeight="true" outlineLevel="0" collapsed="false">
      <c r="B6" s="7" t="s">
        <v>6</v>
      </c>
      <c r="C6" s="7"/>
      <c r="D6" s="7" t="s">
        <v>7</v>
      </c>
      <c r="E6" s="7"/>
      <c r="F6" s="7" t="s">
        <v>8</v>
      </c>
      <c r="G6" s="7"/>
      <c r="H6" s="7" t="s">
        <v>9</v>
      </c>
      <c r="I6" s="7"/>
    </row>
    <row r="7" customFormat="false" ht="18" hidden="false" customHeight="true" outlineLevel="0" collapsed="false">
      <c r="B7" s="8" t="s">
        <v>10</v>
      </c>
      <c r="C7" s="8"/>
      <c r="D7" s="8" t="s">
        <v>11</v>
      </c>
      <c r="E7" s="8"/>
      <c r="F7" s="8" t="s">
        <v>12</v>
      </c>
      <c r="G7" s="8"/>
      <c r="H7" s="8" t="s">
        <v>13</v>
      </c>
      <c r="I7" s="8"/>
    </row>
    <row r="10" customFormat="false" ht="15" hidden="false" customHeight="true" outlineLevel="0" collapsed="false">
      <c r="B10" s="9" t="s">
        <v>14</v>
      </c>
      <c r="C10" s="9"/>
      <c r="D10" s="9"/>
      <c r="E10" s="9"/>
      <c r="F10" s="9"/>
      <c r="G10" s="9"/>
      <c r="H10" s="9"/>
    </row>
    <row r="11" customFormat="false" ht="15" hidden="false" customHeight="true" outlineLevel="0" collapsed="false">
      <c r="B11" s="10" t="s">
        <v>15</v>
      </c>
      <c r="C11" s="10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</row>
    <row r="12" customFormat="false" ht="15" hidden="false" customHeight="true" outlineLevel="0" collapsed="false">
      <c r="B12" s="11" t="s">
        <v>21</v>
      </c>
      <c r="C12" s="12" t="n">
        <v>317005</v>
      </c>
      <c r="D12" s="12" t="n">
        <v>202987.93</v>
      </c>
      <c r="E12" s="13" t="n">
        <f aca="false">C12-D12</f>
        <v>114017.07</v>
      </c>
      <c r="F12" s="14" t="n">
        <f aca="false">IF(C12=0,0,D12/C12)</f>
        <v>0.64033037333796</v>
      </c>
      <c r="G12" s="14" t="n">
        <f aca="false">D12/$D$16</f>
        <v>0.319591040842385</v>
      </c>
    </row>
    <row r="13" customFormat="false" ht="15" hidden="false" customHeight="true" outlineLevel="0" collapsed="false">
      <c r="B13" s="15" t="s">
        <v>22</v>
      </c>
      <c r="C13" s="12" t="n">
        <v>515180</v>
      </c>
      <c r="D13" s="12" t="n">
        <v>283474.93</v>
      </c>
      <c r="E13" s="13" t="n">
        <f aca="false">C13-D13</f>
        <v>231705.07</v>
      </c>
      <c r="F13" s="14" t="n">
        <f aca="false">IF(C13=0,0,D13/C13)</f>
        <v>0.550244438836911</v>
      </c>
      <c r="G13" s="14" t="n">
        <f aca="false">D13/$D$16</f>
        <v>0.446312487306128</v>
      </c>
    </row>
    <row r="14" customFormat="false" ht="15" hidden="false" customHeight="true" outlineLevel="0" collapsed="false">
      <c r="B14" s="16" t="s">
        <v>23</v>
      </c>
      <c r="C14" s="12" t="n">
        <v>64000</v>
      </c>
      <c r="D14" s="12" t="n">
        <v>45271.65</v>
      </c>
      <c r="E14" s="13" t="n">
        <f aca="false">C14-D14</f>
        <v>18728.35</v>
      </c>
      <c r="F14" s="14" t="n">
        <f aca="false">IF(C14=0,0,D14/C14)</f>
        <v>0.70736953125</v>
      </c>
      <c r="G14" s="14" t="n">
        <f aca="false">D14/$D$16</f>
        <v>0.0712772121187312</v>
      </c>
    </row>
    <row r="15" customFormat="false" ht="15" hidden="false" customHeight="true" outlineLevel="0" collapsed="false">
      <c r="B15" s="17" t="s">
        <v>24</v>
      </c>
      <c r="C15" s="12" t="n">
        <v>161672.55</v>
      </c>
      <c r="D15" s="12" t="n">
        <v>103414.01</v>
      </c>
      <c r="E15" s="13" t="n">
        <f aca="false">C15-D15</f>
        <v>58258.54</v>
      </c>
      <c r="F15" s="14" t="n">
        <f aca="false">IF(C15=0,0,D15/C15)</f>
        <v>0.639651010638479</v>
      </c>
      <c r="G15" s="14" t="n">
        <f aca="false">D15/$D$16</f>
        <v>0.162818504004572</v>
      </c>
    </row>
    <row r="16" customFormat="false" ht="15" hidden="false" customHeight="true" outlineLevel="0" collapsed="false">
      <c r="B16" s="10" t="s">
        <v>25</v>
      </c>
      <c r="C16" s="18" t="n">
        <v>1057857.55</v>
      </c>
      <c r="D16" s="18" t="n">
        <v>635149</v>
      </c>
      <c r="E16" s="19" t="n">
        <f aca="false">C16-D16</f>
        <v>422708.55</v>
      </c>
      <c r="F16" s="20" t="n">
        <f aca="false">D16/C16</f>
        <v>0.600410707471909</v>
      </c>
      <c r="G16" s="20" t="n">
        <v>1</v>
      </c>
    </row>
    <row r="19" customFormat="false" ht="15" hidden="false" customHeight="true" outlineLevel="0" collapsed="false">
      <c r="B19" s="9" t="s">
        <v>26</v>
      </c>
      <c r="C19" s="9"/>
      <c r="D19" s="9"/>
      <c r="E19" s="9"/>
      <c r="F19" s="9"/>
      <c r="G19" s="9"/>
      <c r="H19" s="9"/>
    </row>
    <row r="20" customFormat="false" ht="15" hidden="false" customHeight="true" outlineLevel="0" collapsed="false">
      <c r="B20" s="10" t="s">
        <v>27</v>
      </c>
      <c r="C20" s="10" t="s">
        <v>28</v>
      </c>
      <c r="D20" s="10" t="s">
        <v>27</v>
      </c>
      <c r="E20" s="10" t="s">
        <v>28</v>
      </c>
      <c r="F20" s="10" t="s">
        <v>27</v>
      </c>
      <c r="G20" s="10" t="s">
        <v>28</v>
      </c>
    </row>
    <row r="21" customFormat="false" ht="15" hidden="false" customHeight="true" outlineLevel="0" collapsed="false">
      <c r="B21" s="21" t="s">
        <v>29</v>
      </c>
      <c r="C21" s="22" t="s">
        <v>30</v>
      </c>
      <c r="D21" s="21" t="s">
        <v>31</v>
      </c>
      <c r="E21" s="22" t="s">
        <v>30</v>
      </c>
      <c r="F21" s="21" t="s">
        <v>32</v>
      </c>
      <c r="G21" s="22" t="s">
        <v>33</v>
      </c>
    </row>
    <row r="22" customFormat="false" ht="15" hidden="false" customHeight="true" outlineLevel="0" collapsed="false">
      <c r="B22" s="21" t="s">
        <v>34</v>
      </c>
      <c r="C22" s="22" t="s">
        <v>35</v>
      </c>
      <c r="D22" s="21" t="s">
        <v>36</v>
      </c>
      <c r="E22" s="22" t="s">
        <v>37</v>
      </c>
      <c r="F22" s="21" t="s">
        <v>38</v>
      </c>
      <c r="G22" s="22" t="s">
        <v>39</v>
      </c>
    </row>
    <row r="23" customFormat="false" ht="15" hidden="false" customHeight="true" outlineLevel="0" collapsed="false">
      <c r="B23" s="21" t="s">
        <v>40</v>
      </c>
      <c r="C23" s="22" t="s">
        <v>41</v>
      </c>
      <c r="D23" s="21" t="s">
        <v>42</v>
      </c>
      <c r="E23" s="22" t="s">
        <v>43</v>
      </c>
      <c r="F23" s="21" t="s">
        <v>44</v>
      </c>
      <c r="G23" s="22" t="s">
        <v>43</v>
      </c>
    </row>
    <row r="24" customFormat="false" ht="15" hidden="false" customHeight="true" outlineLevel="0" collapsed="false">
      <c r="B24" s="21" t="s">
        <v>45</v>
      </c>
      <c r="C24" s="22" t="s">
        <v>46</v>
      </c>
      <c r="D24" s="21" t="s">
        <v>47</v>
      </c>
      <c r="E24" s="22" t="s">
        <v>48</v>
      </c>
      <c r="F24" s="21" t="s">
        <v>49</v>
      </c>
      <c r="G24" s="22" t="s">
        <v>50</v>
      </c>
    </row>
    <row r="27" customFormat="false" ht="7.5" hidden="false" customHeight="true" outlineLevel="0" collapsed="false"/>
    <row r="28" customFormat="false" ht="15" hidden="false" customHeight="true" outlineLevel="0" collapsed="false">
      <c r="B28" s="23" t="s">
        <v>51</v>
      </c>
      <c r="C28" s="23"/>
      <c r="D28" s="23"/>
      <c r="E28" s="23"/>
      <c r="F28" s="23"/>
      <c r="G28" s="23"/>
      <c r="H28" s="23"/>
    </row>
    <row r="29" customFormat="false" ht="15" hidden="false" customHeight="true" outlineLevel="0" collapsed="false">
      <c r="B29" s="24" t="s">
        <v>52</v>
      </c>
      <c r="C29" s="24"/>
      <c r="D29" s="24"/>
      <c r="E29" s="24"/>
      <c r="F29" s="24"/>
      <c r="G29" s="24"/>
      <c r="H29" s="24"/>
    </row>
    <row r="30" customFormat="false" ht="15" hidden="false" customHeight="true" outlineLevel="0" collapsed="false">
      <c r="B30" s="24" t="s">
        <v>53</v>
      </c>
      <c r="C30" s="24"/>
      <c r="D30" s="24"/>
      <c r="E30" s="24"/>
      <c r="F30" s="24"/>
      <c r="G30" s="24"/>
      <c r="H30" s="24"/>
    </row>
    <row r="31" customFormat="false" ht="15" hidden="false" customHeight="true" outlineLevel="0" collapsed="false">
      <c r="B31" s="24" t="s">
        <v>54</v>
      </c>
      <c r="C31" s="24"/>
      <c r="D31" s="24"/>
      <c r="E31" s="24"/>
      <c r="F31" s="24"/>
      <c r="G31" s="24"/>
      <c r="H31" s="24"/>
    </row>
    <row r="32" customFormat="false" ht="15" hidden="false" customHeight="true" outlineLevel="0" collapsed="false">
      <c r="B32" s="24" t="s">
        <v>55</v>
      </c>
      <c r="C32" s="24"/>
      <c r="D32" s="24"/>
      <c r="E32" s="24"/>
      <c r="F32" s="24"/>
      <c r="G32" s="24"/>
      <c r="H32" s="24"/>
    </row>
  </sheetData>
  <mergeCells count="21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10:H10"/>
    <mergeCell ref="B19:H19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6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"/>
  </cols>
  <sheetData>
    <row r="2" customFormat="false" ht="25.5" hidden="false" customHeight="true" outlineLevel="0" collapsed="false">
      <c r="B2" s="25" t="s">
        <v>56</v>
      </c>
      <c r="C2" s="25"/>
      <c r="D2" s="25"/>
      <c r="E2" s="25"/>
      <c r="F2" s="25"/>
      <c r="G2" s="25"/>
      <c r="H2" s="25"/>
    </row>
    <row r="4" customFormat="false" ht="15" hidden="false" customHeight="true" outlineLevel="0" collapsed="false">
      <c r="B4" s="10" t="s">
        <v>57</v>
      </c>
      <c r="C4" s="10" t="s">
        <v>58</v>
      </c>
      <c r="D4" s="10" t="s">
        <v>59</v>
      </c>
      <c r="E4" s="10" t="s">
        <v>60</v>
      </c>
      <c r="F4" s="10" t="s">
        <v>17</v>
      </c>
      <c r="G4" s="10" t="s">
        <v>18</v>
      </c>
      <c r="H4" s="10" t="s">
        <v>61</v>
      </c>
    </row>
    <row r="5" customFormat="false" ht="15" hidden="false" customHeight="true" outlineLevel="0" collapsed="false">
      <c r="B5" s="26" t="s">
        <v>62</v>
      </c>
      <c r="C5" s="26"/>
      <c r="D5" s="26"/>
      <c r="E5" s="26"/>
      <c r="F5" s="26"/>
      <c r="G5" s="26"/>
      <c r="H5" s="26"/>
    </row>
    <row r="6" customFormat="false" ht="15" hidden="false" customHeight="true" outlineLevel="0" collapsed="false">
      <c r="B6" s="27" t="s">
        <v>63</v>
      </c>
      <c r="C6" s="27" t="s">
        <v>64</v>
      </c>
      <c r="D6" s="12" t="n">
        <v>7590</v>
      </c>
      <c r="E6" s="12" t="n">
        <v>7590</v>
      </c>
      <c r="F6" s="12" t="n">
        <v>2137</v>
      </c>
      <c r="G6" s="13" t="n">
        <f aca="false">E6-F6</f>
        <v>5453</v>
      </c>
      <c r="H6" s="14" t="n">
        <f aca="false">IF(E6=0,0,F6/E6)</f>
        <v>0.281554677206851</v>
      </c>
    </row>
    <row r="7" customFormat="false" ht="15" hidden="false" customHeight="true" outlineLevel="0" collapsed="false">
      <c r="B7" s="27" t="s">
        <v>65</v>
      </c>
      <c r="C7" s="27" t="s">
        <v>66</v>
      </c>
      <c r="D7" s="12" t="n">
        <v>10430</v>
      </c>
      <c r="E7" s="12" t="n">
        <v>10430</v>
      </c>
      <c r="F7" s="12" t="n">
        <v>4944</v>
      </c>
      <c r="G7" s="13" t="n">
        <f aca="false">E7-F7</f>
        <v>5486</v>
      </c>
      <c r="H7" s="14" t="n">
        <f aca="false">IF(E7=0,0,F7/E7)</f>
        <v>0.474017257909875</v>
      </c>
    </row>
    <row r="8" customFormat="false" ht="15" hidden="false" customHeight="true" outlineLevel="0" collapsed="false">
      <c r="B8" s="27" t="s">
        <v>67</v>
      </c>
      <c r="C8" s="27" t="s">
        <v>68</v>
      </c>
      <c r="D8" s="12" t="n">
        <v>7450</v>
      </c>
      <c r="E8" s="12" t="n">
        <v>7450</v>
      </c>
      <c r="F8" s="12" t="n">
        <v>4286</v>
      </c>
      <c r="G8" s="13" t="n">
        <f aca="false">E8-F8</f>
        <v>3164</v>
      </c>
      <c r="H8" s="14" t="n">
        <f aca="false">IF(E8=0,0,F8/E8)</f>
        <v>0.575302013422819</v>
      </c>
    </row>
    <row r="9" customFormat="false" ht="15" hidden="false" customHeight="true" outlineLevel="0" collapsed="false">
      <c r="B9" s="27" t="s">
        <v>69</v>
      </c>
      <c r="C9" s="27" t="s">
        <v>70</v>
      </c>
      <c r="D9" s="12" t="n">
        <v>3820</v>
      </c>
      <c r="E9" s="12" t="n">
        <v>3820</v>
      </c>
      <c r="F9" s="12" t="n">
        <v>959</v>
      </c>
      <c r="G9" s="13" t="n">
        <f aca="false">E9-F9</f>
        <v>2861</v>
      </c>
      <c r="H9" s="14" t="n">
        <f aca="false">IF(E9=0,0,F9/E9)</f>
        <v>0.251047120418848</v>
      </c>
    </row>
    <row r="10" customFormat="false" ht="15" hidden="false" customHeight="true" outlineLevel="0" collapsed="false">
      <c r="B10" s="27" t="s">
        <v>71</v>
      </c>
      <c r="C10" s="27" t="s">
        <v>72</v>
      </c>
      <c r="D10" s="12" t="n">
        <v>39100</v>
      </c>
      <c r="E10" s="12" t="n">
        <v>39100</v>
      </c>
      <c r="F10" s="12" t="n">
        <v>28821.5</v>
      </c>
      <c r="G10" s="13" t="n">
        <f aca="false">E10-F10</f>
        <v>10278.5</v>
      </c>
      <c r="H10" s="14" t="n">
        <f aca="false">IF(E10=0,0,F10/E10)</f>
        <v>0.737122762148338</v>
      </c>
    </row>
    <row r="11" customFormat="false" ht="15" hidden="false" customHeight="true" outlineLevel="0" collapsed="false">
      <c r="B11" s="27" t="s">
        <v>73</v>
      </c>
      <c r="C11" s="27" t="s">
        <v>74</v>
      </c>
      <c r="D11" s="12" t="n">
        <v>6650</v>
      </c>
      <c r="E11" s="12" t="n">
        <v>6650</v>
      </c>
      <c r="F11" s="12" t="n">
        <v>2982.25</v>
      </c>
      <c r="G11" s="13" t="n">
        <f aca="false">E11-F11</f>
        <v>3667.75</v>
      </c>
      <c r="H11" s="14" t="n">
        <f aca="false">IF(E11=0,0,F11/E11)</f>
        <v>0.448458646616541</v>
      </c>
    </row>
    <row r="12" customFormat="false" ht="15" hidden="false" customHeight="true" outlineLevel="0" collapsed="false">
      <c r="B12" s="27" t="s">
        <v>75</v>
      </c>
      <c r="C12" s="27" t="s">
        <v>76</v>
      </c>
      <c r="D12" s="12" t="n">
        <v>204925</v>
      </c>
      <c r="E12" s="12" t="n">
        <v>159525</v>
      </c>
      <c r="F12" s="12" t="n">
        <v>114688.38</v>
      </c>
      <c r="G12" s="13" t="n">
        <f aca="false">E12-F12</f>
        <v>44836.62</v>
      </c>
      <c r="H12" s="14" t="n">
        <f aca="false">IF(E12=0,0,F12/E12)</f>
        <v>0.718936718382699</v>
      </c>
    </row>
    <row r="13" customFormat="false" ht="15" hidden="false" customHeight="true" outlineLevel="0" collapsed="false">
      <c r="B13" s="27" t="s">
        <v>77</v>
      </c>
      <c r="C13" s="27" t="s">
        <v>78</v>
      </c>
      <c r="D13" s="12" t="n">
        <v>31000</v>
      </c>
      <c r="E13" s="12" t="n">
        <v>31500</v>
      </c>
      <c r="F13" s="12" t="n">
        <v>29825</v>
      </c>
      <c r="G13" s="13" t="n">
        <f aca="false">E13-F13</f>
        <v>1675</v>
      </c>
      <c r="H13" s="14" t="n">
        <f aca="false">IF(E13=0,0,F13/E13)</f>
        <v>0.946825396825397</v>
      </c>
    </row>
    <row r="14" customFormat="false" ht="15" hidden="false" customHeight="true" outlineLevel="0" collapsed="false">
      <c r="B14" s="27" t="s">
        <v>79</v>
      </c>
      <c r="C14" s="27" t="s">
        <v>80</v>
      </c>
      <c r="D14" s="12" t="n">
        <v>3600</v>
      </c>
      <c r="E14" s="12" t="n">
        <v>3600</v>
      </c>
      <c r="F14" s="12" t="n">
        <v>1712</v>
      </c>
      <c r="G14" s="13" t="n">
        <f aca="false">E14-F14</f>
        <v>1888</v>
      </c>
      <c r="H14" s="14" t="n">
        <f aca="false">IF(E14=0,0,F14/E14)</f>
        <v>0.475555555555556</v>
      </c>
    </row>
    <row r="15" customFormat="false" ht="15" hidden="false" customHeight="true" outlineLevel="0" collapsed="false">
      <c r="B15" s="27" t="s">
        <v>81</v>
      </c>
      <c r="C15" s="27" t="s">
        <v>82</v>
      </c>
      <c r="D15" s="12" t="n">
        <v>14900</v>
      </c>
      <c r="E15" s="12" t="n">
        <v>33900</v>
      </c>
      <c r="F15" s="12" t="n">
        <v>3672</v>
      </c>
      <c r="G15" s="13" t="n">
        <f aca="false">E15-F15</f>
        <v>30228</v>
      </c>
      <c r="H15" s="14" t="n">
        <f aca="false">IF(E15=0,0,F15/E15)</f>
        <v>0.108318584070796</v>
      </c>
    </row>
    <row r="16" customFormat="false" ht="15" hidden="false" customHeight="true" outlineLevel="0" collapsed="false">
      <c r="B16" s="27" t="s">
        <v>83</v>
      </c>
      <c r="C16" s="27" t="s">
        <v>84</v>
      </c>
      <c r="D16" s="12" t="n">
        <v>3600</v>
      </c>
      <c r="E16" s="12" t="n">
        <v>3600</v>
      </c>
      <c r="F16" s="12" t="n">
        <v>663.3</v>
      </c>
      <c r="G16" s="13" t="n">
        <f aca="false">E16-F16</f>
        <v>2936.7</v>
      </c>
      <c r="H16" s="14" t="n">
        <f aca="false">IF(E16=0,0,F16/E16)</f>
        <v>0.18425</v>
      </c>
    </row>
    <row r="17" customFormat="false" ht="15" hidden="false" customHeight="true" outlineLevel="0" collapsed="false">
      <c r="B17" s="27" t="s">
        <v>85</v>
      </c>
      <c r="C17" s="27" t="s">
        <v>86</v>
      </c>
      <c r="D17" s="12" t="n">
        <v>0</v>
      </c>
      <c r="E17" s="12" t="n">
        <v>0</v>
      </c>
      <c r="F17" s="12" t="n">
        <v>1871</v>
      </c>
      <c r="G17" s="13" t="n">
        <f aca="false">E17-F17</f>
        <v>-1871</v>
      </c>
      <c r="H17" s="14" t="n">
        <f aca="false">IF(E17=0,0,F17/E17)</f>
        <v>0</v>
      </c>
    </row>
    <row r="18" customFormat="false" ht="15" hidden="false" customHeight="true" outlineLevel="0" collapsed="false">
      <c r="B18" s="27" t="s">
        <v>87</v>
      </c>
      <c r="C18" s="27" t="s">
        <v>88</v>
      </c>
      <c r="D18" s="12" t="n">
        <v>9840</v>
      </c>
      <c r="E18" s="12" t="n">
        <v>9840</v>
      </c>
      <c r="F18" s="12" t="n">
        <v>6053.5</v>
      </c>
      <c r="G18" s="13" t="n">
        <f aca="false">E18-F18</f>
        <v>3786.5</v>
      </c>
      <c r="H18" s="14" t="n">
        <f aca="false">IF(E18=0,0,F18/E18)</f>
        <v>0.615193089430894</v>
      </c>
    </row>
    <row r="19" customFormat="false" ht="15" hidden="false" customHeight="true" outlineLevel="0" collapsed="false">
      <c r="B19" s="27" t="s">
        <v>89</v>
      </c>
      <c r="C19" s="27" t="s">
        <v>90</v>
      </c>
      <c r="D19" s="12" t="n">
        <v>0</v>
      </c>
      <c r="E19" s="12" t="n">
        <v>0</v>
      </c>
      <c r="F19" s="12" t="n">
        <v>373</v>
      </c>
      <c r="G19" s="13" t="n">
        <f aca="false">E19-F19</f>
        <v>-373</v>
      </c>
      <c r="H19" s="14" t="n">
        <f aca="false">IF(E19=0,0,F19/E19)</f>
        <v>0</v>
      </c>
    </row>
    <row r="20" customFormat="false" ht="15" hidden="false" customHeight="true" outlineLevel="0" collapsed="false">
      <c r="B20" s="28" t="s">
        <v>91</v>
      </c>
      <c r="C20" s="28"/>
      <c r="D20" s="28"/>
      <c r="E20" s="28"/>
      <c r="F20" s="28"/>
      <c r="G20" s="28"/>
      <c r="H20" s="28"/>
    </row>
    <row r="21" customFormat="false" ht="15" hidden="false" customHeight="true" outlineLevel="0" collapsed="false">
      <c r="B21" s="27" t="s">
        <v>92</v>
      </c>
      <c r="C21" s="27" t="s">
        <v>93</v>
      </c>
      <c r="D21" s="12" t="n">
        <v>11500</v>
      </c>
      <c r="E21" s="12" t="n">
        <v>11500</v>
      </c>
      <c r="F21" s="12" t="n">
        <v>1188.86</v>
      </c>
      <c r="G21" s="13" t="n">
        <f aca="false">E21-F21</f>
        <v>10311.14</v>
      </c>
      <c r="H21" s="14" t="n">
        <f aca="false">IF(E21=0,0,F21/E21)</f>
        <v>0.103379130434783</v>
      </c>
    </row>
    <row r="22" customFormat="false" ht="15" hidden="false" customHeight="true" outlineLevel="0" collapsed="false">
      <c r="B22" s="27" t="s">
        <v>94</v>
      </c>
      <c r="C22" s="27" t="s">
        <v>95</v>
      </c>
      <c r="D22" s="12" t="n">
        <v>3000</v>
      </c>
      <c r="E22" s="12" t="n">
        <v>3000</v>
      </c>
      <c r="F22" s="12" t="n">
        <v>1514.24</v>
      </c>
      <c r="G22" s="13" t="n">
        <f aca="false">E22-F22</f>
        <v>1485.76</v>
      </c>
      <c r="H22" s="14" t="n">
        <f aca="false">IF(E22=0,0,F22/E22)</f>
        <v>0.504746666666667</v>
      </c>
    </row>
    <row r="23" customFormat="false" ht="15" hidden="false" customHeight="true" outlineLevel="0" collapsed="false">
      <c r="B23" s="27" t="s">
        <v>96</v>
      </c>
      <c r="C23" s="27" t="s">
        <v>97</v>
      </c>
      <c r="D23" s="12" t="n">
        <v>63370</v>
      </c>
      <c r="E23" s="12" t="n">
        <v>63370</v>
      </c>
      <c r="F23" s="12" t="n">
        <v>11302.9</v>
      </c>
      <c r="G23" s="13" t="n">
        <f aca="false">E23-F23</f>
        <v>52067.1</v>
      </c>
      <c r="H23" s="14" t="n">
        <f aca="false">IF(E23=0,0,F23/E23)</f>
        <v>0.17836357898059</v>
      </c>
    </row>
    <row r="24" customFormat="false" ht="15" hidden="false" customHeight="true" outlineLevel="0" collapsed="false">
      <c r="B24" s="27" t="s">
        <v>98</v>
      </c>
      <c r="C24" s="27" t="s">
        <v>99</v>
      </c>
      <c r="D24" s="12" t="n">
        <v>7980</v>
      </c>
      <c r="E24" s="12" t="n">
        <v>7980</v>
      </c>
      <c r="F24" s="12" t="n">
        <v>5720.08</v>
      </c>
      <c r="G24" s="13" t="n">
        <f aca="false">E24-F24</f>
        <v>2259.92</v>
      </c>
      <c r="H24" s="14" t="n">
        <f aca="false">IF(E24=0,0,F24/E24)</f>
        <v>0.716802005012531</v>
      </c>
    </row>
    <row r="25" customFormat="false" ht="15" hidden="false" customHeight="true" outlineLevel="0" collapsed="false">
      <c r="B25" s="27" t="s">
        <v>100</v>
      </c>
      <c r="C25" s="27" t="s">
        <v>101</v>
      </c>
      <c r="D25" s="12" t="n">
        <v>204925</v>
      </c>
      <c r="E25" s="12" t="n">
        <v>130025</v>
      </c>
      <c r="F25" s="12" t="n">
        <v>66457.52</v>
      </c>
      <c r="G25" s="13" t="n">
        <f aca="false">E25-F25</f>
        <v>63567.48</v>
      </c>
      <c r="H25" s="14" t="n">
        <f aca="false">IF(E25=0,0,F25/E25)</f>
        <v>0.511113401268987</v>
      </c>
    </row>
    <row r="26" customFormat="false" ht="15" hidden="false" customHeight="true" outlineLevel="0" collapsed="false">
      <c r="B26" s="27" t="s">
        <v>102</v>
      </c>
      <c r="C26" s="27" t="s">
        <v>103</v>
      </c>
      <c r="D26" s="12" t="n">
        <v>261700</v>
      </c>
      <c r="E26" s="12" t="n">
        <v>251305</v>
      </c>
      <c r="F26" s="12" t="n">
        <v>173652.72</v>
      </c>
      <c r="G26" s="13" t="n">
        <f aca="false">E26-F26</f>
        <v>77652.28</v>
      </c>
      <c r="H26" s="14" t="n">
        <f aca="false">IF(E26=0,0,F26/E26)</f>
        <v>0.691003839955433</v>
      </c>
    </row>
    <row r="27" customFormat="false" ht="15" hidden="false" customHeight="true" outlineLevel="0" collapsed="false">
      <c r="B27" s="27" t="s">
        <v>104</v>
      </c>
      <c r="C27" s="27" t="s">
        <v>105</v>
      </c>
      <c r="D27" s="12" t="n">
        <v>3600</v>
      </c>
      <c r="E27" s="12" t="n">
        <v>3600</v>
      </c>
      <c r="F27" s="12" t="n">
        <v>1080.05</v>
      </c>
      <c r="G27" s="13" t="n">
        <f aca="false">E27-F27</f>
        <v>2519.95</v>
      </c>
      <c r="H27" s="14" t="n">
        <f aca="false">IF(E27=0,0,F27/E27)</f>
        <v>0.300013888888889</v>
      </c>
    </row>
    <row r="28" customFormat="false" ht="15" hidden="false" customHeight="true" outlineLevel="0" collapsed="false">
      <c r="B28" s="27" t="s">
        <v>106</v>
      </c>
      <c r="C28" s="27" t="s">
        <v>107</v>
      </c>
      <c r="D28" s="12" t="n">
        <v>14900</v>
      </c>
      <c r="E28" s="12" t="n">
        <v>33900</v>
      </c>
      <c r="F28" s="12" t="n">
        <v>20000.49</v>
      </c>
      <c r="G28" s="13" t="n">
        <f aca="false">E28-F28</f>
        <v>13899.51</v>
      </c>
      <c r="H28" s="14" t="n">
        <f aca="false">IF(E28=0,0,F28/E28)</f>
        <v>0.589984955752212</v>
      </c>
    </row>
    <row r="29" customFormat="false" ht="15" hidden="false" customHeight="true" outlineLevel="0" collapsed="false">
      <c r="B29" s="27" t="s">
        <v>108</v>
      </c>
      <c r="C29" s="27" t="s">
        <v>109</v>
      </c>
      <c r="D29" s="12" t="n">
        <v>10500</v>
      </c>
      <c r="E29" s="12" t="n">
        <v>10500</v>
      </c>
      <c r="F29" s="12" t="n">
        <v>812.16</v>
      </c>
      <c r="G29" s="13" t="n">
        <f aca="false">E29-F29</f>
        <v>9687.84</v>
      </c>
      <c r="H29" s="14" t="n">
        <f aca="false">IF(E29=0,0,F29/E29)</f>
        <v>0.0773485714285714</v>
      </c>
    </row>
    <row r="30" customFormat="false" ht="15" hidden="false" customHeight="true" outlineLevel="0" collapsed="false">
      <c r="B30" s="27" t="s">
        <v>110</v>
      </c>
      <c r="C30" s="27" t="s">
        <v>111</v>
      </c>
      <c r="D30" s="12" t="n">
        <v>0</v>
      </c>
      <c r="E30" s="12" t="n">
        <v>0</v>
      </c>
      <c r="F30" s="12" t="n">
        <v>1098.46</v>
      </c>
      <c r="G30" s="13" t="n">
        <f aca="false">E30-F30</f>
        <v>-1098.46</v>
      </c>
      <c r="H30" s="14" t="n">
        <f aca="false">IF(E30=0,0,F30/E30)</f>
        <v>0</v>
      </c>
    </row>
    <row r="31" customFormat="false" ht="15" hidden="false" customHeight="true" outlineLevel="0" collapsed="false">
      <c r="B31" s="27" t="s">
        <v>112</v>
      </c>
      <c r="C31" s="27" t="s">
        <v>113</v>
      </c>
      <c r="D31" s="12" t="n">
        <v>0</v>
      </c>
      <c r="E31" s="12" t="n">
        <v>0</v>
      </c>
      <c r="F31" s="12" t="n">
        <v>647.45</v>
      </c>
      <c r="G31" s="13" t="n">
        <f aca="false">E31-F31</f>
        <v>-647.45</v>
      </c>
      <c r="H31" s="14" t="n">
        <f aca="false">IF(E31=0,0,F31/E31)</f>
        <v>0</v>
      </c>
    </row>
    <row r="32" customFormat="false" ht="15" hidden="false" customHeight="true" outlineLevel="0" collapsed="false">
      <c r="B32" s="29" t="s">
        <v>114</v>
      </c>
      <c r="C32" s="29"/>
      <c r="D32" s="29"/>
      <c r="E32" s="29"/>
      <c r="F32" s="29"/>
      <c r="G32" s="29"/>
      <c r="H32" s="29"/>
    </row>
    <row r="33" customFormat="false" ht="15" hidden="false" customHeight="true" outlineLevel="0" collapsed="false">
      <c r="B33" s="27" t="s">
        <v>115</v>
      </c>
      <c r="C33" s="27" t="s">
        <v>116</v>
      </c>
      <c r="D33" s="12" t="n">
        <v>1000</v>
      </c>
      <c r="E33" s="12" t="n">
        <v>1000</v>
      </c>
      <c r="F33" s="12" t="n">
        <v>1212</v>
      </c>
      <c r="G33" s="13" t="n">
        <f aca="false">E33-F33</f>
        <v>-212</v>
      </c>
      <c r="H33" s="14" t="n">
        <f aca="false">IF(E33=0,0,F33/E33)</f>
        <v>1.212</v>
      </c>
    </row>
    <row r="34" customFormat="false" ht="15" hidden="false" customHeight="true" outlineLevel="0" collapsed="false">
      <c r="B34" s="27" t="s">
        <v>117</v>
      </c>
      <c r="C34" s="27" t="s">
        <v>118</v>
      </c>
      <c r="D34" s="12" t="n">
        <v>20000</v>
      </c>
      <c r="E34" s="12" t="n">
        <v>20000</v>
      </c>
      <c r="F34" s="12" t="n">
        <v>10728.36</v>
      </c>
      <c r="G34" s="13" t="n">
        <f aca="false">E34-F34</f>
        <v>9271.64</v>
      </c>
      <c r="H34" s="14" t="n">
        <f aca="false">IF(E34=0,0,F34/E34)</f>
        <v>0.536418</v>
      </c>
    </row>
    <row r="35" customFormat="false" ht="15" hidden="false" customHeight="true" outlineLevel="0" collapsed="false">
      <c r="B35" s="27" t="s">
        <v>119</v>
      </c>
      <c r="C35" s="27" t="s">
        <v>120</v>
      </c>
      <c r="D35" s="12" t="n">
        <v>4000</v>
      </c>
      <c r="E35" s="12" t="n">
        <v>4000</v>
      </c>
      <c r="F35" s="12" t="n">
        <v>2404.21</v>
      </c>
      <c r="G35" s="13" t="n">
        <f aca="false">E35-F35</f>
        <v>1595.79</v>
      </c>
      <c r="H35" s="14" t="n">
        <f aca="false">IF(E35=0,0,F35/E35)</f>
        <v>0.6010525</v>
      </c>
    </row>
    <row r="36" customFormat="false" ht="15" hidden="false" customHeight="true" outlineLevel="0" collapsed="false">
      <c r="B36" s="27" t="s">
        <v>121</v>
      </c>
      <c r="C36" s="27" t="s">
        <v>122</v>
      </c>
      <c r="D36" s="12" t="n">
        <v>36000</v>
      </c>
      <c r="E36" s="12" t="n">
        <v>36000</v>
      </c>
      <c r="F36" s="12" t="n">
        <v>30892.62</v>
      </c>
      <c r="G36" s="13" t="n">
        <f aca="false">E36-F36</f>
        <v>5107.38</v>
      </c>
      <c r="H36" s="14" t="n">
        <f aca="false">IF(E36=0,0,F36/E36)</f>
        <v>0.858128333333333</v>
      </c>
    </row>
    <row r="37" customFormat="false" ht="15" hidden="false" customHeight="true" outlineLevel="0" collapsed="false">
      <c r="B37" s="27" t="s">
        <v>123</v>
      </c>
      <c r="C37" s="27" t="s">
        <v>124</v>
      </c>
      <c r="D37" s="12" t="n">
        <v>3000</v>
      </c>
      <c r="E37" s="12" t="n">
        <v>3000</v>
      </c>
      <c r="F37" s="12" t="n">
        <v>34.46</v>
      </c>
      <c r="G37" s="13" t="n">
        <f aca="false">E37-F37</f>
        <v>2965.54</v>
      </c>
      <c r="H37" s="14" t="n">
        <f aca="false">IF(E37=0,0,F37/E37)</f>
        <v>0.0114866666666667</v>
      </c>
    </row>
    <row r="38" customFormat="false" ht="15" hidden="false" customHeight="true" outlineLevel="0" collapsed="false">
      <c r="B38" s="30" t="s">
        <v>125</v>
      </c>
      <c r="C38" s="30"/>
      <c r="D38" s="30"/>
      <c r="E38" s="30"/>
      <c r="F38" s="30"/>
      <c r="G38" s="30"/>
      <c r="H38" s="30"/>
    </row>
    <row r="39" customFormat="false" ht="15" hidden="false" customHeight="true" outlineLevel="0" collapsed="false">
      <c r="B39" s="27" t="s">
        <v>126</v>
      </c>
      <c r="C39" s="27" t="s">
        <v>127</v>
      </c>
      <c r="D39" s="12" t="n">
        <v>145220.27</v>
      </c>
      <c r="E39" s="12" t="n">
        <v>137421.67</v>
      </c>
      <c r="F39" s="12" t="n">
        <v>87883.44</v>
      </c>
      <c r="G39" s="13" t="n">
        <f aca="false">E39-F39</f>
        <v>49538.23</v>
      </c>
      <c r="H39" s="14" t="n">
        <f aca="false">IF(E39=0,0,F39/E39)</f>
        <v>0.639516606078212</v>
      </c>
    </row>
    <row r="40" customFormat="false" ht="15" hidden="false" customHeight="true" outlineLevel="0" collapsed="false">
      <c r="B40" s="27" t="s">
        <v>128</v>
      </c>
      <c r="C40" s="27" t="s">
        <v>129</v>
      </c>
      <c r="D40" s="12" t="n">
        <v>26232.23</v>
      </c>
      <c r="E40" s="12" t="n">
        <v>24250.88</v>
      </c>
      <c r="F40" s="12" t="n">
        <v>15530.57</v>
      </c>
      <c r="G40" s="13" t="n">
        <f aca="false">E40-F40</f>
        <v>8720.31</v>
      </c>
      <c r="H40" s="14" t="n">
        <f aca="false">IF(E40=0,0,F40/E40)</f>
        <v>0.640412636572364</v>
      </c>
    </row>
    <row r="41" customFormat="false" ht="15" hidden="false" customHeight="true" outlineLevel="0" collapsed="false">
      <c r="B41" s="31" t="s">
        <v>25</v>
      </c>
      <c r="C41" s="31" t="s">
        <v>130</v>
      </c>
      <c r="D41" s="32" t="n">
        <v>1159832.5</v>
      </c>
      <c r="E41" s="32" t="n">
        <v>1057857.55</v>
      </c>
      <c r="F41" s="32" t="n">
        <v>635149</v>
      </c>
      <c r="G41" s="33" t="n">
        <f aca="false">E41-F41</f>
        <v>422708.55</v>
      </c>
      <c r="H41" s="34" t="n">
        <f aca="false">F41/E41</f>
        <v>0.600410707471909</v>
      </c>
    </row>
    <row r="44" customFormat="false" ht="7.5" hidden="false" customHeight="true" outlineLevel="0" collapsed="false"/>
    <row r="45" customFormat="false" ht="15" hidden="false" customHeight="true" outlineLevel="0" collapsed="false">
      <c r="B45" s="23" t="s">
        <v>51</v>
      </c>
      <c r="C45" s="23"/>
      <c r="D45" s="23"/>
      <c r="E45" s="23"/>
      <c r="F45" s="23"/>
      <c r="G45" s="23"/>
      <c r="H45" s="23"/>
    </row>
    <row r="46" customFormat="false" ht="15" hidden="false" customHeight="true" outlineLevel="0" collapsed="false">
      <c r="B46" s="24" t="s">
        <v>52</v>
      </c>
      <c r="C46" s="24"/>
      <c r="D46" s="24"/>
      <c r="E46" s="24"/>
      <c r="F46" s="24"/>
      <c r="G46" s="24"/>
      <c r="H46" s="24"/>
    </row>
    <row r="47" customFormat="false" ht="15" hidden="false" customHeight="true" outlineLevel="0" collapsed="false">
      <c r="B47" s="24" t="s">
        <v>53</v>
      </c>
      <c r="C47" s="24"/>
      <c r="D47" s="24"/>
      <c r="E47" s="24"/>
      <c r="F47" s="24"/>
      <c r="G47" s="24"/>
      <c r="H47" s="24"/>
    </row>
    <row r="48" customFormat="false" ht="15" hidden="false" customHeight="true" outlineLevel="0" collapsed="false">
      <c r="B48" s="24" t="s">
        <v>131</v>
      </c>
      <c r="C48" s="24"/>
      <c r="D48" s="24"/>
      <c r="E48" s="24"/>
      <c r="F48" s="24"/>
      <c r="G48" s="24"/>
      <c r="H48" s="24"/>
    </row>
  </sheetData>
  <mergeCells count="9">
    <mergeCell ref="B2:H2"/>
    <mergeCell ref="B5:H5"/>
    <mergeCell ref="B20:H20"/>
    <mergeCell ref="B32:H32"/>
    <mergeCell ref="B38:H38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5" min="3" style="1" width="16"/>
    <col collapsed="false" customWidth="true" hidden="false" outlineLevel="0" max="8" min="6" style="1" width="14"/>
    <col collapsed="false" customWidth="true" hidden="false" outlineLevel="0" max="9" min="9" style="1" width="2"/>
  </cols>
  <sheetData>
    <row r="2" customFormat="false" ht="25.5" hidden="false" customHeight="true" outlineLevel="0" collapsed="false">
      <c r="B2" s="25" t="s">
        <v>132</v>
      </c>
      <c r="C2" s="25"/>
      <c r="D2" s="25"/>
      <c r="E2" s="25"/>
      <c r="F2" s="25"/>
      <c r="G2" s="25"/>
      <c r="H2" s="25"/>
    </row>
    <row r="4" customFormat="false" ht="15" hidden="false" customHeight="true" outlineLevel="0" collapsed="false">
      <c r="B4" s="35" t="s">
        <v>133</v>
      </c>
      <c r="C4" s="35"/>
      <c r="D4" s="35"/>
      <c r="E4" s="35"/>
      <c r="F4" s="35"/>
      <c r="G4" s="35"/>
      <c r="H4" s="35"/>
    </row>
    <row r="5" customFormat="false" ht="15" hidden="false" customHeight="true" outlineLevel="0" collapsed="false">
      <c r="B5" s="10" t="s">
        <v>15</v>
      </c>
      <c r="C5" s="10" t="s">
        <v>134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135</v>
      </c>
    </row>
    <row r="6" customFormat="false" ht="15" hidden="false" customHeight="true" outlineLevel="0" collapsed="false">
      <c r="B6" s="36" t="s">
        <v>21</v>
      </c>
      <c r="C6" s="37" t="n">
        <v>14</v>
      </c>
      <c r="D6" s="12" t="n">
        <v>317005</v>
      </c>
      <c r="E6" s="12" t="n">
        <v>202987.93</v>
      </c>
      <c r="F6" s="13" t="n">
        <f aca="false">D6-E6</f>
        <v>114017.07</v>
      </c>
      <c r="G6" s="14" t="n">
        <f aca="false">IF(D6=0,0,E6/D6)</f>
        <v>0.64033037333796</v>
      </c>
      <c r="H6" s="14" t="n">
        <f aca="false">E6/635149</f>
        <v>0.319591040842385</v>
      </c>
      <c r="I6" s="12" t="n">
        <f aca="false">E6/165</f>
        <v>1230.22987878788</v>
      </c>
    </row>
    <row r="7" customFormat="false" ht="15" hidden="false" customHeight="true" outlineLevel="0" collapsed="false">
      <c r="B7" s="38" t="s">
        <v>22</v>
      </c>
      <c r="C7" s="37" t="n">
        <v>11</v>
      </c>
      <c r="D7" s="12" t="n">
        <v>515180</v>
      </c>
      <c r="E7" s="12" t="n">
        <v>283474.93</v>
      </c>
      <c r="F7" s="13" t="n">
        <f aca="false">D7-E7</f>
        <v>231705.07</v>
      </c>
      <c r="G7" s="14" t="n">
        <f aca="false">IF(D7=0,0,E7/D7)</f>
        <v>0.550244438836911</v>
      </c>
      <c r="H7" s="14" t="n">
        <f aca="false">E7/635149</f>
        <v>0.446312487306128</v>
      </c>
      <c r="I7" s="12" t="n">
        <f aca="false">E7/165</f>
        <v>1718.02987878788</v>
      </c>
    </row>
    <row r="8" customFormat="false" ht="15" hidden="false" customHeight="true" outlineLevel="0" collapsed="false">
      <c r="B8" s="39" t="s">
        <v>23</v>
      </c>
      <c r="C8" s="37" t="n">
        <v>5</v>
      </c>
      <c r="D8" s="12" t="n">
        <v>64000</v>
      </c>
      <c r="E8" s="12" t="n">
        <v>45271.65</v>
      </c>
      <c r="F8" s="13" t="n">
        <f aca="false">D8-E8</f>
        <v>18728.35</v>
      </c>
      <c r="G8" s="14" t="n">
        <f aca="false">IF(D8=0,0,E8/D8)</f>
        <v>0.70736953125</v>
      </c>
      <c r="H8" s="14" t="n">
        <f aca="false">E8/635149</f>
        <v>0.0712772121187312</v>
      </c>
      <c r="I8" s="12" t="n">
        <f aca="false">E8/165</f>
        <v>274.373636363636</v>
      </c>
    </row>
    <row r="9" customFormat="false" ht="15" hidden="false" customHeight="true" outlineLevel="0" collapsed="false">
      <c r="B9" s="40" t="s">
        <v>24</v>
      </c>
      <c r="C9" s="37" t="n">
        <v>2</v>
      </c>
      <c r="D9" s="12" t="n">
        <v>161672.55</v>
      </c>
      <c r="E9" s="12" t="n">
        <v>103414.01</v>
      </c>
      <c r="F9" s="13" t="n">
        <f aca="false">D9-E9</f>
        <v>58258.54</v>
      </c>
      <c r="G9" s="14" t="n">
        <f aca="false">IF(D9=0,0,E9/D9)</f>
        <v>0.639651010638479</v>
      </c>
      <c r="H9" s="14" t="n">
        <f aca="false">E9/635149</f>
        <v>0.162818504004572</v>
      </c>
      <c r="I9" s="12" t="n">
        <f aca="false">E9/165</f>
        <v>626.751575757576</v>
      </c>
    </row>
    <row r="12" customFormat="false" ht="15" hidden="false" customHeight="true" outlineLevel="0" collapsed="false">
      <c r="B12" s="41" t="s">
        <v>136</v>
      </c>
      <c r="C12" s="41"/>
      <c r="D12" s="41"/>
      <c r="E12" s="41"/>
      <c r="F12" s="41"/>
      <c r="G12" s="41"/>
      <c r="H12" s="41"/>
    </row>
    <row r="13" customFormat="false" ht="15" hidden="false" customHeight="true" outlineLevel="0" collapsed="false">
      <c r="B13" s="10" t="s">
        <v>57</v>
      </c>
      <c r="C13" s="10" t="s">
        <v>58</v>
      </c>
      <c r="D13" s="10" t="s">
        <v>60</v>
      </c>
      <c r="E13" s="10" t="s">
        <v>17</v>
      </c>
      <c r="F13" s="10" t="s">
        <v>137</v>
      </c>
      <c r="G13" s="10" t="s">
        <v>138</v>
      </c>
    </row>
    <row r="14" customFormat="false" ht="15" hidden="false" customHeight="true" outlineLevel="0" collapsed="false">
      <c r="B14" s="27" t="s">
        <v>85</v>
      </c>
      <c r="C14" s="27" t="s">
        <v>86</v>
      </c>
      <c r="D14" s="12" t="n">
        <v>0</v>
      </c>
      <c r="E14" s="12" t="n">
        <v>1871</v>
      </c>
      <c r="F14" s="13" t="n">
        <v>1871</v>
      </c>
      <c r="G14" s="42" t="n">
        <v>999</v>
      </c>
    </row>
    <row r="15" customFormat="false" ht="15" hidden="false" customHeight="true" outlineLevel="0" collapsed="false">
      <c r="B15" s="27" t="s">
        <v>110</v>
      </c>
      <c r="C15" s="27" t="s">
        <v>111</v>
      </c>
      <c r="D15" s="12" t="n">
        <v>0</v>
      </c>
      <c r="E15" s="12" t="n">
        <v>1098.46</v>
      </c>
      <c r="F15" s="13" t="n">
        <v>1098.46</v>
      </c>
      <c r="G15" s="42" t="n">
        <v>999</v>
      </c>
    </row>
    <row r="16" customFormat="false" ht="15" hidden="false" customHeight="true" outlineLevel="0" collapsed="false">
      <c r="B16" s="27" t="s">
        <v>112</v>
      </c>
      <c r="C16" s="27" t="s">
        <v>113</v>
      </c>
      <c r="D16" s="12" t="n">
        <v>0</v>
      </c>
      <c r="E16" s="12" t="n">
        <v>647.45</v>
      </c>
      <c r="F16" s="13" t="n">
        <v>647.45</v>
      </c>
      <c r="G16" s="42" t="n">
        <v>999</v>
      </c>
    </row>
    <row r="17" customFormat="false" ht="15" hidden="false" customHeight="true" outlineLevel="0" collapsed="false">
      <c r="B17" s="27" t="s">
        <v>89</v>
      </c>
      <c r="C17" s="27" t="s">
        <v>90</v>
      </c>
      <c r="D17" s="12" t="n">
        <v>0</v>
      </c>
      <c r="E17" s="12" t="n">
        <v>373</v>
      </c>
      <c r="F17" s="13" t="n">
        <v>373</v>
      </c>
      <c r="G17" s="42" t="n">
        <v>999</v>
      </c>
    </row>
    <row r="18" customFormat="false" ht="15" hidden="false" customHeight="true" outlineLevel="0" collapsed="false">
      <c r="B18" s="27" t="s">
        <v>115</v>
      </c>
      <c r="C18" s="27" t="s">
        <v>116</v>
      </c>
      <c r="D18" s="12" t="n">
        <v>1000</v>
      </c>
      <c r="E18" s="12" t="n">
        <v>1212</v>
      </c>
      <c r="F18" s="13" t="n">
        <v>212</v>
      </c>
      <c r="G18" s="42" t="n">
        <v>0.212</v>
      </c>
    </row>
    <row r="21" customFormat="false" ht="15" hidden="false" customHeight="true" outlineLevel="0" collapsed="false">
      <c r="B21" s="43" t="s">
        <v>139</v>
      </c>
      <c r="C21" s="43"/>
      <c r="D21" s="43"/>
      <c r="E21" s="43"/>
      <c r="F21" s="43"/>
      <c r="G21" s="43"/>
      <c r="H21" s="43"/>
    </row>
    <row r="22" customFormat="false" ht="15" hidden="false" customHeight="true" outlineLevel="0" collapsed="false">
      <c r="B22" s="10" t="s">
        <v>57</v>
      </c>
      <c r="C22" s="10" t="s">
        <v>58</v>
      </c>
      <c r="D22" s="10" t="s">
        <v>60</v>
      </c>
      <c r="E22" s="10" t="s">
        <v>17</v>
      </c>
      <c r="F22" s="10" t="s">
        <v>140</v>
      </c>
      <c r="G22" s="10" t="s">
        <v>141</v>
      </c>
    </row>
    <row r="23" customFormat="false" ht="15" hidden="false" customHeight="true" outlineLevel="0" collapsed="false">
      <c r="B23" s="27" t="s">
        <v>102</v>
      </c>
      <c r="C23" s="27" t="s">
        <v>103</v>
      </c>
      <c r="D23" s="12" t="n">
        <v>251305</v>
      </c>
      <c r="E23" s="12" t="n">
        <v>173652.72</v>
      </c>
      <c r="F23" s="12" t="n">
        <v>77652.28</v>
      </c>
      <c r="G23" s="44" t="n">
        <v>0.308996160044567</v>
      </c>
    </row>
    <row r="24" customFormat="false" ht="15" hidden="false" customHeight="true" outlineLevel="0" collapsed="false">
      <c r="B24" s="27" t="s">
        <v>100</v>
      </c>
      <c r="C24" s="27" t="s">
        <v>101</v>
      </c>
      <c r="D24" s="12" t="n">
        <v>130025</v>
      </c>
      <c r="E24" s="12" t="n">
        <v>66457.52</v>
      </c>
      <c r="F24" s="12" t="n">
        <v>63567.48</v>
      </c>
      <c r="G24" s="44" t="n">
        <v>0.488886598731013</v>
      </c>
    </row>
    <row r="25" customFormat="false" ht="15" hidden="false" customHeight="true" outlineLevel="0" collapsed="false">
      <c r="B25" s="27" t="s">
        <v>96</v>
      </c>
      <c r="C25" s="27" t="s">
        <v>97</v>
      </c>
      <c r="D25" s="12" t="n">
        <v>63370</v>
      </c>
      <c r="E25" s="12" t="n">
        <v>11302.9</v>
      </c>
      <c r="F25" s="12" t="n">
        <v>52067.1</v>
      </c>
      <c r="G25" s="44" t="n">
        <v>0.82163642101941</v>
      </c>
    </row>
    <row r="26" customFormat="false" ht="15" hidden="false" customHeight="true" outlineLevel="0" collapsed="false">
      <c r="B26" s="27" t="s">
        <v>126</v>
      </c>
      <c r="C26" s="27" t="s">
        <v>127</v>
      </c>
      <c r="D26" s="12" t="n">
        <v>137421.67</v>
      </c>
      <c r="E26" s="12" t="n">
        <v>87883.44</v>
      </c>
      <c r="F26" s="12" t="n">
        <v>49538.23</v>
      </c>
      <c r="G26" s="44" t="n">
        <v>0.360483393921788</v>
      </c>
    </row>
    <row r="27" customFormat="false" ht="15" hidden="false" customHeight="true" outlineLevel="0" collapsed="false">
      <c r="B27" s="27" t="s">
        <v>75</v>
      </c>
      <c r="C27" s="27" t="s">
        <v>76</v>
      </c>
      <c r="D27" s="12" t="n">
        <v>159525</v>
      </c>
      <c r="E27" s="12" t="n">
        <v>114688.38</v>
      </c>
      <c r="F27" s="12" t="n">
        <v>44836.62</v>
      </c>
      <c r="G27" s="44" t="n">
        <v>0.281063281617301</v>
      </c>
    </row>
    <row r="28" customFormat="false" ht="15" hidden="false" customHeight="true" outlineLevel="0" collapsed="false">
      <c r="B28" s="27" t="s">
        <v>81</v>
      </c>
      <c r="C28" s="27" t="s">
        <v>82</v>
      </c>
      <c r="D28" s="12" t="n">
        <v>33900</v>
      </c>
      <c r="E28" s="12" t="n">
        <v>3672</v>
      </c>
      <c r="F28" s="12" t="n">
        <v>30228</v>
      </c>
      <c r="G28" s="44" t="n">
        <v>0.891681415929204</v>
      </c>
    </row>
    <row r="29" customFormat="false" ht="15" hidden="false" customHeight="true" outlineLevel="0" collapsed="false">
      <c r="B29" s="27" t="s">
        <v>106</v>
      </c>
      <c r="C29" s="27" t="s">
        <v>107</v>
      </c>
      <c r="D29" s="12" t="n">
        <v>33900</v>
      </c>
      <c r="E29" s="12" t="n">
        <v>20000.49</v>
      </c>
      <c r="F29" s="12" t="n">
        <v>13899.51</v>
      </c>
      <c r="G29" s="44" t="n">
        <v>0.410015044247788</v>
      </c>
    </row>
    <row r="30" customFormat="false" ht="15" hidden="false" customHeight="true" outlineLevel="0" collapsed="false">
      <c r="B30" s="27" t="s">
        <v>92</v>
      </c>
      <c r="C30" s="27" t="s">
        <v>93</v>
      </c>
      <c r="D30" s="12" t="n">
        <v>11500</v>
      </c>
      <c r="E30" s="12" t="n">
        <v>1188.86</v>
      </c>
      <c r="F30" s="12" t="n">
        <v>10311.14</v>
      </c>
      <c r="G30" s="44" t="n">
        <v>0.896620869565217</v>
      </c>
    </row>
    <row r="31" customFormat="false" ht="15" hidden="false" customHeight="true" outlineLevel="0" collapsed="false">
      <c r="B31" s="27" t="s">
        <v>71</v>
      </c>
      <c r="C31" s="27" t="s">
        <v>72</v>
      </c>
      <c r="D31" s="12" t="n">
        <v>39100</v>
      </c>
      <c r="E31" s="12" t="n">
        <v>28821.5</v>
      </c>
      <c r="F31" s="12" t="n">
        <v>10278.5</v>
      </c>
      <c r="G31" s="44" t="n">
        <v>0.262877237851662</v>
      </c>
    </row>
    <row r="32" customFormat="false" ht="15" hidden="false" customHeight="true" outlineLevel="0" collapsed="false">
      <c r="B32" s="27" t="s">
        <v>108</v>
      </c>
      <c r="C32" s="27" t="s">
        <v>109</v>
      </c>
      <c r="D32" s="12" t="n">
        <v>10500</v>
      </c>
      <c r="E32" s="12" t="n">
        <v>812.16</v>
      </c>
      <c r="F32" s="12" t="n">
        <v>9687.84</v>
      </c>
      <c r="G32" s="44" t="n">
        <v>0.922651428571429</v>
      </c>
    </row>
    <row r="35" customFormat="false" ht="7.5" hidden="false" customHeight="true" outlineLevel="0" collapsed="false"/>
    <row r="36" customFormat="false" ht="15" hidden="false" customHeight="true" outlineLevel="0" collapsed="false">
      <c r="B36" s="23" t="s">
        <v>51</v>
      </c>
      <c r="C36" s="23"/>
      <c r="D36" s="23"/>
      <c r="E36" s="23"/>
      <c r="F36" s="23"/>
      <c r="G36" s="23"/>
      <c r="H36" s="23"/>
    </row>
    <row r="37" customFormat="false" ht="15" hidden="false" customHeight="true" outlineLevel="0" collapsed="false">
      <c r="B37" s="24" t="s">
        <v>52</v>
      </c>
      <c r="C37" s="24"/>
      <c r="D37" s="24"/>
      <c r="E37" s="24"/>
      <c r="F37" s="24"/>
      <c r="G37" s="24"/>
      <c r="H37" s="24"/>
    </row>
    <row r="38" customFormat="false" ht="15" hidden="false" customHeight="true" outlineLevel="0" collapsed="false">
      <c r="B38" s="24" t="s">
        <v>53</v>
      </c>
      <c r="C38" s="24"/>
      <c r="D38" s="24"/>
      <c r="E38" s="24"/>
      <c r="F38" s="24"/>
      <c r="G38" s="24"/>
      <c r="H38" s="24"/>
    </row>
    <row r="39" customFormat="false" ht="15" hidden="false" customHeight="true" outlineLevel="0" collapsed="false">
      <c r="B39" s="24" t="s">
        <v>142</v>
      </c>
      <c r="C39" s="24"/>
      <c r="D39" s="24"/>
      <c r="E39" s="24"/>
      <c r="F39" s="24"/>
      <c r="G39" s="24"/>
      <c r="H39" s="24"/>
    </row>
  </sheetData>
  <mergeCells count="8">
    <mergeCell ref="B2:H2"/>
    <mergeCell ref="B4:H4"/>
    <mergeCell ref="B12:H12"/>
    <mergeCell ref="B21:H21"/>
    <mergeCell ref="B36:H36"/>
    <mergeCell ref="B37:H37"/>
    <mergeCell ref="B38:H38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"/>
  </cols>
  <sheetData>
    <row r="2" customFormat="false" ht="25.5" hidden="false" customHeight="true" outlineLevel="0" collapsed="false">
      <c r="B2" s="25" t="s">
        <v>143</v>
      </c>
      <c r="C2" s="25"/>
      <c r="D2" s="25"/>
      <c r="E2" s="25"/>
      <c r="F2" s="25"/>
      <c r="G2" s="25"/>
      <c r="H2" s="25"/>
    </row>
    <row r="3" customFormat="false" ht="15" hidden="false" customHeight="true" outlineLevel="0" collapsed="false">
      <c r="B3" s="45" t="s">
        <v>144</v>
      </c>
      <c r="C3" s="45"/>
      <c r="D3" s="45"/>
      <c r="E3" s="45"/>
      <c r="F3" s="45"/>
      <c r="G3" s="45"/>
      <c r="H3" s="45"/>
    </row>
    <row r="5" customFormat="false" ht="15" hidden="false" customHeight="true" outlineLevel="0" collapsed="false">
      <c r="B5" s="46" t="s">
        <v>145</v>
      </c>
      <c r="C5" s="46"/>
      <c r="D5" s="46"/>
      <c r="E5" s="46"/>
      <c r="F5" s="46"/>
      <c r="G5" s="46"/>
      <c r="H5" s="46"/>
    </row>
    <row r="6" customFormat="false" ht="15" hidden="false" customHeight="true" outlineLevel="0" collapsed="false">
      <c r="B6" s="10" t="s">
        <v>57</v>
      </c>
      <c r="C6" s="10" t="s">
        <v>58</v>
      </c>
      <c r="D6" s="10" t="s">
        <v>60</v>
      </c>
      <c r="E6" s="10" t="s">
        <v>17</v>
      </c>
      <c r="F6" s="10" t="s">
        <v>18</v>
      </c>
      <c r="G6" s="10" t="s">
        <v>61</v>
      </c>
      <c r="H6" s="10" t="s">
        <v>146</v>
      </c>
      <c r="I6" s="10" t="s">
        <v>135</v>
      </c>
    </row>
    <row r="7" customFormat="false" ht="15" hidden="false" customHeight="true" outlineLevel="0" collapsed="false">
      <c r="B7" s="27" t="s">
        <v>92</v>
      </c>
      <c r="C7" s="27" t="s">
        <v>93</v>
      </c>
      <c r="D7" s="12" t="n">
        <v>11500</v>
      </c>
      <c r="E7" s="12" t="n">
        <v>1188.86</v>
      </c>
      <c r="F7" s="13" t="n">
        <f aca="false">D7-E7</f>
        <v>10311.14</v>
      </c>
      <c r="G7" s="14" t="n">
        <f aca="false">IF(D7=0,0,E7/D7)</f>
        <v>0.103379130434783</v>
      </c>
      <c r="H7" s="14" t="n">
        <f aca="false">E7/283474.93</f>
        <v>0.00419388056644021</v>
      </c>
      <c r="I7" s="12" t="n">
        <f aca="false">E7/165</f>
        <v>7.20521212121212</v>
      </c>
    </row>
    <row r="8" customFormat="false" ht="15" hidden="false" customHeight="true" outlineLevel="0" collapsed="false">
      <c r="B8" s="27" t="s">
        <v>94</v>
      </c>
      <c r="C8" s="27" t="s">
        <v>95</v>
      </c>
      <c r="D8" s="12" t="n">
        <v>3000</v>
      </c>
      <c r="E8" s="12" t="n">
        <v>1514.24</v>
      </c>
      <c r="F8" s="13" t="n">
        <f aca="false">D8-E8</f>
        <v>1485.76</v>
      </c>
      <c r="G8" s="14" t="n">
        <f aca="false">IF(D8=0,0,E8/D8)</f>
        <v>0.504746666666667</v>
      </c>
      <c r="H8" s="14" t="n">
        <f aca="false">E8/283474.93</f>
        <v>0.00534170693683565</v>
      </c>
      <c r="I8" s="12" t="n">
        <f aca="false">E8/165</f>
        <v>9.17721212121212</v>
      </c>
    </row>
    <row r="9" customFormat="false" ht="15" hidden="false" customHeight="true" outlineLevel="0" collapsed="false">
      <c r="B9" s="27" t="s">
        <v>96</v>
      </c>
      <c r="C9" s="27" t="s">
        <v>97</v>
      </c>
      <c r="D9" s="12" t="n">
        <v>63370</v>
      </c>
      <c r="E9" s="12" t="n">
        <v>11302.9</v>
      </c>
      <c r="F9" s="13" t="n">
        <f aca="false">D9-E9</f>
        <v>52067.1</v>
      </c>
      <c r="G9" s="14" t="n">
        <f aca="false">IF(D9=0,0,E9/D9)</f>
        <v>0.17836357898059</v>
      </c>
      <c r="H9" s="14" t="n">
        <f aca="false">E9/283474.93</f>
        <v>0.0398726617553094</v>
      </c>
      <c r="I9" s="12" t="n">
        <f aca="false">E9/165</f>
        <v>68.5024242424242</v>
      </c>
    </row>
    <row r="10" customFormat="false" ht="15" hidden="false" customHeight="true" outlineLevel="0" collapsed="false">
      <c r="B10" s="27" t="s">
        <v>98</v>
      </c>
      <c r="C10" s="27" t="s">
        <v>99</v>
      </c>
      <c r="D10" s="12" t="n">
        <v>7980</v>
      </c>
      <c r="E10" s="12" t="n">
        <v>5720.08</v>
      </c>
      <c r="F10" s="13" t="n">
        <f aca="false">D10-E10</f>
        <v>2259.92</v>
      </c>
      <c r="G10" s="14" t="n">
        <f aca="false">IF(D10=0,0,E10/D10)</f>
        <v>0.716802005012531</v>
      </c>
      <c r="H10" s="14" t="n">
        <f aca="false">E10/283474.93</f>
        <v>0.020178433415611</v>
      </c>
      <c r="I10" s="12" t="n">
        <f aca="false">E10/165</f>
        <v>34.6671515151515</v>
      </c>
    </row>
    <row r="11" customFormat="false" ht="15" hidden="false" customHeight="true" outlineLevel="0" collapsed="false">
      <c r="B11" s="27" t="s">
        <v>100</v>
      </c>
      <c r="C11" s="27" t="s">
        <v>101</v>
      </c>
      <c r="D11" s="12" t="n">
        <v>130025</v>
      </c>
      <c r="E11" s="12" t="n">
        <v>66457.52</v>
      </c>
      <c r="F11" s="13" t="n">
        <f aca="false">D11-E11</f>
        <v>63567.48</v>
      </c>
      <c r="G11" s="14" t="n">
        <f aca="false">IF(D11=0,0,E11/D11)</f>
        <v>0.511113401268987</v>
      </c>
      <c r="H11" s="14" t="n">
        <f aca="false">E11/283474.93</f>
        <v>0.234438791465616</v>
      </c>
      <c r="I11" s="12" t="n">
        <f aca="false">E11/165</f>
        <v>402.772848484849</v>
      </c>
    </row>
    <row r="12" customFormat="false" ht="15" hidden="false" customHeight="true" outlineLevel="0" collapsed="false">
      <c r="B12" s="27" t="s">
        <v>102</v>
      </c>
      <c r="C12" s="27" t="s">
        <v>103</v>
      </c>
      <c r="D12" s="12" t="n">
        <v>251305</v>
      </c>
      <c r="E12" s="12" t="n">
        <v>173652.72</v>
      </c>
      <c r="F12" s="13" t="n">
        <f aca="false">D12-E12</f>
        <v>77652.28</v>
      </c>
      <c r="G12" s="14" t="n">
        <f aca="false">IF(D12=0,0,E12/D12)</f>
        <v>0.691003839955433</v>
      </c>
      <c r="H12" s="14" t="n">
        <f aca="false">E12/283474.93</f>
        <v>0.612585811380216</v>
      </c>
      <c r="I12" s="12" t="n">
        <f aca="false">E12/165</f>
        <v>1052.44072727273</v>
      </c>
    </row>
    <row r="13" customFormat="false" ht="15" hidden="false" customHeight="true" outlineLevel="0" collapsed="false">
      <c r="B13" s="27" t="s">
        <v>104</v>
      </c>
      <c r="C13" s="27" t="s">
        <v>105</v>
      </c>
      <c r="D13" s="12" t="n">
        <v>3600</v>
      </c>
      <c r="E13" s="12" t="n">
        <v>1080.05</v>
      </c>
      <c r="F13" s="13" t="n">
        <f aca="false">D13-E13</f>
        <v>2519.95</v>
      </c>
      <c r="G13" s="14" t="n">
        <f aca="false">IF(D13=0,0,E13/D13)</f>
        <v>0.300013888888889</v>
      </c>
      <c r="H13" s="14" t="n">
        <f aca="false">E13/283474.93</f>
        <v>0.00381003709922426</v>
      </c>
      <c r="I13" s="12" t="n">
        <f aca="false">E13/165</f>
        <v>6.54575757575758</v>
      </c>
    </row>
    <row r="14" customFormat="false" ht="15" hidden="false" customHeight="true" outlineLevel="0" collapsed="false">
      <c r="B14" s="27" t="s">
        <v>106</v>
      </c>
      <c r="C14" s="27" t="s">
        <v>107</v>
      </c>
      <c r="D14" s="12" t="n">
        <v>33900</v>
      </c>
      <c r="E14" s="12" t="n">
        <v>20000.49</v>
      </c>
      <c r="F14" s="13" t="n">
        <f aca="false">D14-E14</f>
        <v>13899.51</v>
      </c>
      <c r="G14" s="14" t="n">
        <f aca="false">IF(D14=0,0,E14/D14)</f>
        <v>0.589984955752212</v>
      </c>
      <c r="H14" s="14" t="n">
        <f aca="false">E14/283474.93</f>
        <v>0.0705547047846524</v>
      </c>
      <c r="I14" s="12" t="n">
        <f aca="false">E14/165</f>
        <v>121.215090909091</v>
      </c>
    </row>
    <row r="15" customFormat="false" ht="15" hidden="false" customHeight="true" outlineLevel="0" collapsed="false">
      <c r="B15" s="27" t="s">
        <v>108</v>
      </c>
      <c r="C15" s="27" t="s">
        <v>109</v>
      </c>
      <c r="D15" s="12" t="n">
        <v>10500</v>
      </c>
      <c r="E15" s="12" t="n">
        <v>812.16</v>
      </c>
      <c r="F15" s="13" t="n">
        <f aca="false">D15-E15</f>
        <v>9687.84</v>
      </c>
      <c r="G15" s="14" t="n">
        <f aca="false">IF(D15=0,0,E15/D15)</f>
        <v>0.0773485714285714</v>
      </c>
      <c r="H15" s="14" t="n">
        <f aca="false">E15/283474.93</f>
        <v>0.00286501525902132</v>
      </c>
      <c r="I15" s="12" t="n">
        <f aca="false">E15/165</f>
        <v>4.92218181818182</v>
      </c>
    </row>
    <row r="16" customFormat="false" ht="15" hidden="false" customHeight="true" outlineLevel="0" collapsed="false">
      <c r="B16" s="27" t="s">
        <v>110</v>
      </c>
      <c r="C16" s="27" t="s">
        <v>111</v>
      </c>
      <c r="D16" s="12" t="n">
        <v>0</v>
      </c>
      <c r="E16" s="12" t="n">
        <v>1098.46</v>
      </c>
      <c r="F16" s="13" t="n">
        <f aca="false">D16-E16</f>
        <v>-1098.46</v>
      </c>
      <c r="G16" s="14" t="n">
        <f aca="false">IF(D16=0,0,E16/D16)</f>
        <v>0</v>
      </c>
      <c r="H16" s="14" t="n">
        <f aca="false">E16/283474.93</f>
        <v>0.00387498111385017</v>
      </c>
      <c r="I16" s="12" t="n">
        <f aca="false">E16/165</f>
        <v>6.65733333333333</v>
      </c>
    </row>
    <row r="17" customFormat="false" ht="15" hidden="false" customHeight="true" outlineLevel="0" collapsed="false">
      <c r="B17" s="27" t="s">
        <v>112</v>
      </c>
      <c r="C17" s="27" t="s">
        <v>113</v>
      </c>
      <c r="D17" s="12" t="n">
        <v>0</v>
      </c>
      <c r="E17" s="12" t="n">
        <v>647.45</v>
      </c>
      <c r="F17" s="13" t="n">
        <f aca="false">D17-E17</f>
        <v>-647.45</v>
      </c>
      <c r="G17" s="14" t="n">
        <f aca="false">IF(D17=0,0,E17/D17)</f>
        <v>0</v>
      </c>
      <c r="H17" s="14" t="n">
        <f aca="false">E17/283474.93</f>
        <v>0.00228397622322369</v>
      </c>
      <c r="I17" s="12" t="n">
        <f aca="false">E17/165</f>
        <v>3.92393939393939</v>
      </c>
    </row>
    <row r="18" customFormat="false" ht="15" hidden="false" customHeight="true" outlineLevel="0" collapsed="false">
      <c r="B18" s="10" t="s">
        <v>25</v>
      </c>
      <c r="C18" s="10" t="s">
        <v>147</v>
      </c>
      <c r="D18" s="18" t="n">
        <v>515180</v>
      </c>
      <c r="E18" s="18" t="n">
        <v>283474.93</v>
      </c>
      <c r="F18" s="19" t="n">
        <f aca="false">D18-E18</f>
        <v>231705.07</v>
      </c>
      <c r="G18" s="20" t="n">
        <f aca="false">E18/D18</f>
        <v>0.550244438836911</v>
      </c>
      <c r="H18" s="20" t="n">
        <v>1</v>
      </c>
      <c r="I18" s="18" t="n">
        <f aca="false">E18/165</f>
        <v>1718.02987878788</v>
      </c>
    </row>
    <row r="21" customFormat="false" ht="15" hidden="false" customHeight="true" outlineLevel="0" collapsed="false">
      <c r="B21" s="46" t="s">
        <v>148</v>
      </c>
      <c r="C21" s="46"/>
      <c r="D21" s="46"/>
      <c r="E21" s="46"/>
      <c r="F21" s="46"/>
      <c r="G21" s="46"/>
      <c r="H21" s="46"/>
    </row>
    <row r="22" customFormat="false" ht="15" hidden="false" customHeight="true" outlineLevel="0" collapsed="false">
      <c r="B22" s="10" t="s">
        <v>149</v>
      </c>
      <c r="C22" s="10" t="s">
        <v>150</v>
      </c>
      <c r="D22" s="10" t="s">
        <v>151</v>
      </c>
      <c r="E22" s="10" t="s">
        <v>152</v>
      </c>
      <c r="F22" s="10"/>
      <c r="G22" s="10"/>
      <c r="H22" s="10" t="s">
        <v>153</v>
      </c>
      <c r="I22" s="10"/>
    </row>
    <row r="23" customFormat="false" ht="15" hidden="false" customHeight="true" outlineLevel="0" collapsed="false">
      <c r="B23" s="27" t="s">
        <v>154</v>
      </c>
      <c r="C23" s="37" t="n">
        <v>73</v>
      </c>
      <c r="D23" s="12" t="n">
        <v>177081.94</v>
      </c>
      <c r="E23" s="14" t="n">
        <f aca="false">D23/319120.77</f>
        <v>0.554905717982568</v>
      </c>
      <c r="F23" s="27"/>
      <c r="G23" s="27"/>
      <c r="H23" s="12" t="n">
        <f aca="false">D23/C23</f>
        <v>2425.78</v>
      </c>
      <c r="I23" s="27"/>
    </row>
    <row r="24" customFormat="false" ht="15" hidden="false" customHeight="true" outlineLevel="0" collapsed="false">
      <c r="B24" s="27" t="s">
        <v>155</v>
      </c>
      <c r="C24" s="37" t="n">
        <v>58</v>
      </c>
      <c r="D24" s="12" t="n">
        <v>81212.53</v>
      </c>
      <c r="E24" s="14" t="n">
        <f aca="false">D24/319120.77</f>
        <v>0.254488386951435</v>
      </c>
      <c r="F24" s="27"/>
      <c r="G24" s="27"/>
      <c r="H24" s="12" t="n">
        <f aca="false">D24/C24</f>
        <v>1400.21603448276</v>
      </c>
      <c r="I24" s="27"/>
    </row>
    <row r="25" customFormat="false" ht="15" hidden="false" customHeight="true" outlineLevel="0" collapsed="false">
      <c r="B25" s="27" t="s">
        <v>156</v>
      </c>
      <c r="C25" s="37" t="n">
        <v>3</v>
      </c>
      <c r="D25" s="12" t="n">
        <v>30892.62</v>
      </c>
      <c r="E25" s="14" t="n">
        <f aca="false">D25/319120.77</f>
        <v>0.0968054194654895</v>
      </c>
      <c r="F25" s="27"/>
      <c r="G25" s="27"/>
      <c r="H25" s="12" t="n">
        <f aca="false">D25/C25</f>
        <v>10297.54</v>
      </c>
      <c r="I25" s="27"/>
    </row>
    <row r="26" customFormat="false" ht="15" hidden="false" customHeight="true" outlineLevel="0" collapsed="false">
      <c r="B26" s="27" t="s">
        <v>157</v>
      </c>
      <c r="C26" s="37" t="n">
        <v>4</v>
      </c>
      <c r="D26" s="12" t="n">
        <v>10463</v>
      </c>
      <c r="E26" s="14" t="n">
        <f aca="false">D26/319120.77</f>
        <v>0.0327869602470563</v>
      </c>
      <c r="F26" s="27"/>
      <c r="G26" s="27"/>
      <c r="H26" s="12" t="n">
        <f aca="false">D26/C26</f>
        <v>2615.75</v>
      </c>
      <c r="I26" s="27"/>
    </row>
    <row r="27" customFormat="false" ht="15" hidden="false" customHeight="true" outlineLevel="0" collapsed="false">
      <c r="B27" s="27" t="s">
        <v>158</v>
      </c>
      <c r="C27" s="37" t="n">
        <v>7</v>
      </c>
      <c r="D27" s="12" t="n">
        <v>10106.67</v>
      </c>
      <c r="E27" s="14" t="n">
        <f aca="false">D27/319120.77</f>
        <v>0.0316703610360429</v>
      </c>
      <c r="F27" s="27"/>
      <c r="G27" s="27"/>
      <c r="H27" s="12" t="n">
        <f aca="false">D27/C27</f>
        <v>1443.81</v>
      </c>
      <c r="I27" s="27"/>
    </row>
    <row r="28" customFormat="false" ht="15" hidden="false" customHeight="true" outlineLevel="0" collapsed="false">
      <c r="B28" s="27" t="s">
        <v>159</v>
      </c>
      <c r="C28" s="37" t="n">
        <v>2</v>
      </c>
      <c r="D28" s="12" t="n">
        <v>2414</v>
      </c>
      <c r="E28" s="14" t="n">
        <f aca="false">D28/319120.77</f>
        <v>0.00756453426707387</v>
      </c>
      <c r="F28" s="27"/>
      <c r="G28" s="27"/>
      <c r="H28" s="12" t="n">
        <f aca="false">D28/C28</f>
        <v>1207</v>
      </c>
      <c r="I28" s="27"/>
    </row>
    <row r="29" customFormat="false" ht="15" hidden="false" customHeight="true" outlineLevel="0" collapsed="false">
      <c r="B29" s="27" t="s">
        <v>160</v>
      </c>
      <c r="C29" s="37" t="n">
        <v>6</v>
      </c>
      <c r="D29" s="12" t="n">
        <v>2404.21</v>
      </c>
      <c r="E29" s="14" t="n">
        <f aca="false">D29/319120.77</f>
        <v>0.00753385622628073</v>
      </c>
      <c r="F29" s="27"/>
      <c r="G29" s="27"/>
      <c r="H29" s="12" t="n">
        <f aca="false">D29/C29</f>
        <v>400.701666666667</v>
      </c>
      <c r="I29" s="27"/>
    </row>
    <row r="30" customFormat="false" ht="15" hidden="false" customHeight="true" outlineLevel="0" collapsed="false">
      <c r="B30" s="27" t="s">
        <v>161</v>
      </c>
      <c r="C30" s="37" t="n">
        <v>3</v>
      </c>
      <c r="D30" s="12" t="n">
        <v>1494.5</v>
      </c>
      <c r="E30" s="14" t="n">
        <f aca="false">D30/319120.77</f>
        <v>0.00468317997603227</v>
      </c>
      <c r="F30" s="27"/>
      <c r="G30" s="27"/>
      <c r="H30" s="12" t="n">
        <f aca="false">D30/C30</f>
        <v>498.166666666667</v>
      </c>
      <c r="I30" s="27"/>
    </row>
    <row r="31" customFormat="false" ht="15" hidden="false" customHeight="true" outlineLevel="0" collapsed="false">
      <c r="B31" s="27" t="s">
        <v>162</v>
      </c>
      <c r="C31" s="37" t="n">
        <v>1</v>
      </c>
      <c r="D31" s="12" t="n">
        <v>950</v>
      </c>
      <c r="E31" s="14" t="n">
        <f aca="false">D31/319120.77</f>
        <v>0.00297692939259328</v>
      </c>
      <c r="F31" s="27"/>
      <c r="G31" s="27"/>
      <c r="H31" s="12" t="n">
        <f aca="false">D31/C31</f>
        <v>950</v>
      </c>
      <c r="I31" s="27"/>
    </row>
    <row r="32" customFormat="false" ht="15" hidden="false" customHeight="true" outlineLevel="0" collapsed="false">
      <c r="B32" s="27" t="s">
        <v>163</v>
      </c>
      <c r="C32" s="37" t="n">
        <v>7</v>
      </c>
      <c r="D32" s="12" t="n">
        <v>915.74</v>
      </c>
      <c r="E32" s="14" t="n">
        <f aca="false">D32/319120.77</f>
        <v>0.00286957191786671</v>
      </c>
      <c r="F32" s="27"/>
      <c r="G32" s="27"/>
      <c r="H32" s="12" t="n">
        <f aca="false">D32/C32</f>
        <v>130.82</v>
      </c>
      <c r="I32" s="27"/>
    </row>
    <row r="33" customFormat="false" ht="15" hidden="false" customHeight="true" outlineLevel="0" collapsed="false">
      <c r="B33" s="27" t="s">
        <v>164</v>
      </c>
      <c r="C33" s="37" t="n">
        <v>2</v>
      </c>
      <c r="D33" s="12" t="n">
        <v>265.36</v>
      </c>
      <c r="E33" s="14" t="n">
        <f aca="false">D33/319120.77</f>
        <v>0.000831534719598477</v>
      </c>
      <c r="F33" s="27"/>
      <c r="G33" s="27"/>
      <c r="H33" s="12" t="n">
        <f aca="false">D33/C33</f>
        <v>132.68</v>
      </c>
      <c r="I33" s="27"/>
    </row>
    <row r="34" customFormat="false" ht="15" hidden="false" customHeight="true" outlineLevel="0" collapsed="false">
      <c r="B34" s="27" t="s">
        <v>165</v>
      </c>
      <c r="C34" s="37" t="n">
        <v>1</v>
      </c>
      <c r="D34" s="12" t="n">
        <v>212</v>
      </c>
      <c r="E34" s="14" t="n">
        <f aca="false">D34/319120.77</f>
        <v>0.000664325296031343</v>
      </c>
      <c r="F34" s="27"/>
      <c r="G34" s="27"/>
      <c r="H34" s="12" t="n">
        <f aca="false">D34/C34</f>
        <v>212</v>
      </c>
      <c r="I34" s="27"/>
    </row>
    <row r="35" customFormat="false" ht="15" hidden="false" customHeight="true" outlineLevel="0" collapsed="false">
      <c r="B35" s="27" t="s">
        <v>166</v>
      </c>
      <c r="C35" s="37" t="n">
        <v>1</v>
      </c>
      <c r="D35" s="12" t="n">
        <v>197.5</v>
      </c>
      <c r="E35" s="14" t="n">
        <f aca="false">D35/319120.77</f>
        <v>0.000618887952670708</v>
      </c>
      <c r="F35" s="27"/>
      <c r="G35" s="27"/>
      <c r="H35" s="12" t="n">
        <f aca="false">D35/C35</f>
        <v>197.5</v>
      </c>
      <c r="I35" s="27"/>
    </row>
    <row r="36" customFormat="false" ht="15" hidden="false" customHeight="true" outlineLevel="0" collapsed="false">
      <c r="B36" s="27" t="s">
        <v>167</v>
      </c>
      <c r="C36" s="37" t="n">
        <v>1</v>
      </c>
      <c r="D36" s="12" t="n">
        <v>168.54</v>
      </c>
      <c r="E36" s="14" t="n">
        <f aca="false">D36/319120.77</f>
        <v>0.000528138610344917</v>
      </c>
      <c r="F36" s="27"/>
      <c r="G36" s="27"/>
      <c r="H36" s="12" t="n">
        <f aca="false">D36/C36</f>
        <v>168.54</v>
      </c>
      <c r="I36" s="27"/>
    </row>
    <row r="37" customFormat="false" ht="15" hidden="false" customHeight="true" outlineLevel="0" collapsed="false">
      <c r="B37" s="27" t="s">
        <v>168</v>
      </c>
      <c r="C37" s="37" t="n">
        <v>2</v>
      </c>
      <c r="D37" s="12" t="n">
        <v>121.4</v>
      </c>
      <c r="E37" s="14" t="n">
        <f aca="false">D37/319120.77</f>
        <v>0.000380420240274552</v>
      </c>
      <c r="F37" s="27"/>
      <c r="G37" s="27"/>
      <c r="H37" s="12" t="n">
        <f aca="false">D37/C37</f>
        <v>60.7</v>
      </c>
      <c r="I37" s="27"/>
    </row>
    <row r="38" customFormat="false" ht="15" hidden="false" customHeight="true" outlineLevel="0" collapsed="false">
      <c r="B38" s="27" t="s">
        <v>169</v>
      </c>
      <c r="C38" s="37" t="n">
        <v>2</v>
      </c>
      <c r="D38" s="12" t="n">
        <v>96.67</v>
      </c>
      <c r="E38" s="14" t="n">
        <f aca="false">D38/319120.77</f>
        <v>0.000302926067770518</v>
      </c>
      <c r="F38" s="27"/>
      <c r="G38" s="27"/>
      <c r="H38" s="12" t="n">
        <f aca="false">D38/C38</f>
        <v>48.335</v>
      </c>
      <c r="I38" s="27"/>
    </row>
    <row r="39" customFormat="false" ht="15" hidden="false" customHeight="true" outlineLevel="0" collapsed="false">
      <c r="B39" s="27" t="s">
        <v>170</v>
      </c>
      <c r="C39" s="37" t="n">
        <v>1</v>
      </c>
      <c r="D39" s="12" t="n">
        <v>69.69</v>
      </c>
      <c r="E39" s="14" t="n">
        <f aca="false">D39/319120.77</f>
        <v>0.000218381273020869</v>
      </c>
      <c r="F39" s="27"/>
      <c r="G39" s="27"/>
      <c r="H39" s="12" t="n">
        <f aca="false">D39/C39</f>
        <v>69.69</v>
      </c>
      <c r="I39" s="27"/>
    </row>
    <row r="40" customFormat="false" ht="15" hidden="false" customHeight="true" outlineLevel="0" collapsed="false">
      <c r="B40" s="27" t="s">
        <v>171</v>
      </c>
      <c r="C40" s="37" t="n">
        <v>1</v>
      </c>
      <c r="D40" s="12" t="n">
        <v>54.4</v>
      </c>
      <c r="E40" s="14" t="n">
        <f aca="false">D40/319120.77</f>
        <v>0.000170468377849552</v>
      </c>
      <c r="F40" s="27"/>
      <c r="G40" s="27"/>
      <c r="H40" s="12" t="n">
        <f aca="false">D40/C40</f>
        <v>54.4</v>
      </c>
      <c r="I40" s="27"/>
    </row>
    <row r="41" customFormat="false" ht="15" hidden="false" customHeight="true" outlineLevel="0" collapsed="false">
      <c r="B41" s="10" t="s">
        <v>25</v>
      </c>
      <c r="C41" s="10" t="n">
        <v>175</v>
      </c>
      <c r="D41" s="18" t="n">
        <v>319120.77</v>
      </c>
      <c r="E41" s="20" t="n">
        <v>1</v>
      </c>
      <c r="F41" s="10"/>
      <c r="G41" s="10"/>
      <c r="H41" s="10"/>
      <c r="I41" s="10"/>
    </row>
    <row r="44" customFormat="false" ht="7.5" hidden="false" customHeight="true" outlineLevel="0" collapsed="false"/>
    <row r="45" customFormat="false" ht="15" hidden="false" customHeight="true" outlineLevel="0" collapsed="false">
      <c r="B45" s="23" t="s">
        <v>51</v>
      </c>
      <c r="C45" s="23"/>
      <c r="D45" s="23"/>
      <c r="E45" s="23"/>
      <c r="F45" s="23"/>
      <c r="G45" s="23"/>
      <c r="H45" s="23"/>
    </row>
    <row r="46" customFormat="false" ht="15" hidden="false" customHeight="true" outlineLevel="0" collapsed="false">
      <c r="B46" s="24" t="s">
        <v>52</v>
      </c>
      <c r="C46" s="24"/>
      <c r="D46" s="24"/>
      <c r="E46" s="24"/>
      <c r="F46" s="24"/>
      <c r="G46" s="24"/>
      <c r="H46" s="24"/>
    </row>
    <row r="47" customFormat="false" ht="15" hidden="false" customHeight="true" outlineLevel="0" collapsed="false">
      <c r="B47" s="24" t="s">
        <v>53</v>
      </c>
      <c r="C47" s="24"/>
      <c r="D47" s="24"/>
      <c r="E47" s="24"/>
      <c r="F47" s="24"/>
      <c r="G47" s="24"/>
      <c r="H47" s="24"/>
    </row>
    <row r="48" customFormat="false" ht="15" hidden="false" customHeight="true" outlineLevel="0" collapsed="false">
      <c r="B48" s="24" t="s">
        <v>172</v>
      </c>
      <c r="C48" s="24"/>
      <c r="D48" s="24"/>
      <c r="E48" s="24"/>
      <c r="F48" s="24"/>
      <c r="G48" s="24"/>
      <c r="H48" s="24"/>
    </row>
    <row r="49" customFormat="false" ht="15" hidden="false" customHeight="true" outlineLevel="0" collapsed="false">
      <c r="B49" s="24" t="s">
        <v>173</v>
      </c>
      <c r="C49" s="24"/>
      <c r="D49" s="24"/>
      <c r="E49" s="24"/>
      <c r="F49" s="24"/>
      <c r="G49" s="24"/>
      <c r="H49" s="24"/>
    </row>
  </sheetData>
  <mergeCells count="9">
    <mergeCell ref="B2:H2"/>
    <mergeCell ref="B3:H3"/>
    <mergeCell ref="B5:H5"/>
    <mergeCell ref="B21:H21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174</v>
      </c>
      <c r="C2" s="25"/>
      <c r="D2" s="25"/>
      <c r="E2" s="25"/>
      <c r="F2" s="25"/>
    </row>
    <row r="4" customFormat="false" ht="15" hidden="false" customHeight="true" outlineLevel="0" collapsed="false">
      <c r="B4" s="10" t="s">
        <v>175</v>
      </c>
      <c r="C4" s="10" t="s">
        <v>176</v>
      </c>
      <c r="D4" s="10" t="s">
        <v>177</v>
      </c>
      <c r="E4" s="10" t="s">
        <v>178</v>
      </c>
      <c r="F4" s="10" t="s">
        <v>179</v>
      </c>
    </row>
    <row r="5" customFormat="false" ht="15" hidden="false" customHeight="true" outlineLevel="0" collapsed="false">
      <c r="B5" s="27" t="s">
        <v>180</v>
      </c>
      <c r="C5" s="37" t="n">
        <v>1823</v>
      </c>
      <c r="D5" s="12" t="n">
        <v>46736.5</v>
      </c>
      <c r="E5" s="47" t="n">
        <f aca="false">IF(C5=0,0,D5/C5)</f>
        <v>25.6371365880417</v>
      </c>
      <c r="F5" s="11" t="s">
        <v>181</v>
      </c>
    </row>
    <row r="6" customFormat="false" ht="15" hidden="false" customHeight="true" outlineLevel="0" collapsed="false">
      <c r="B6" s="27" t="s">
        <v>182</v>
      </c>
      <c r="C6" s="37" t="n">
        <v>1673</v>
      </c>
      <c r="D6" s="12" t="n">
        <v>50200.5</v>
      </c>
      <c r="E6" s="47" t="n">
        <f aca="false">IF(C6=0,0,D6/C6)</f>
        <v>30.0062761506276</v>
      </c>
      <c r="F6" s="48" t="s">
        <v>183</v>
      </c>
    </row>
    <row r="7" customFormat="false" ht="15" hidden="false" customHeight="true" outlineLevel="0" collapsed="false">
      <c r="B7" s="27" t="s">
        <v>184</v>
      </c>
      <c r="C7" s="37" t="n">
        <v>1568</v>
      </c>
      <c r="D7" s="12" t="n">
        <v>20938</v>
      </c>
      <c r="E7" s="47" t="n">
        <f aca="false">IF(C7=0,0,D7/C7)</f>
        <v>13.3533163265306</v>
      </c>
      <c r="F7" s="49" t="s">
        <v>185</v>
      </c>
    </row>
    <row r="8" customFormat="false" ht="15" hidden="false" customHeight="true" outlineLevel="0" collapsed="false">
      <c r="B8" s="27" t="s">
        <v>186</v>
      </c>
      <c r="C8" s="37" t="n">
        <v>1212</v>
      </c>
      <c r="D8" s="12" t="n">
        <v>16159</v>
      </c>
      <c r="E8" s="47" t="n">
        <f aca="false">IF(C8=0,0,D8/C8)</f>
        <v>13.3325082508251</v>
      </c>
      <c r="F8" s="49" t="s">
        <v>185</v>
      </c>
    </row>
    <row r="9" customFormat="false" ht="15" hidden="false" customHeight="true" outlineLevel="0" collapsed="false">
      <c r="B9" s="27" t="s">
        <v>187</v>
      </c>
      <c r="C9" s="37" t="n">
        <v>855.5</v>
      </c>
      <c r="D9" s="12" t="n">
        <v>11558.5</v>
      </c>
      <c r="E9" s="47" t="n">
        <f aca="false">IF(C9=0,0,D9/C9)</f>
        <v>13.510812390415</v>
      </c>
      <c r="F9" s="49" t="s">
        <v>185</v>
      </c>
    </row>
    <row r="10" customFormat="false" ht="15" hidden="false" customHeight="true" outlineLevel="0" collapsed="false">
      <c r="B10" s="27" t="s">
        <v>188</v>
      </c>
      <c r="C10" s="37" t="n">
        <v>745.5</v>
      </c>
      <c r="D10" s="12" t="n">
        <v>10147.5</v>
      </c>
      <c r="E10" s="47" t="n">
        <f aca="false">IF(C10=0,0,D10/C10)</f>
        <v>13.6116700201207</v>
      </c>
      <c r="F10" s="49" t="s">
        <v>185</v>
      </c>
    </row>
    <row r="11" customFormat="false" ht="15" hidden="false" customHeight="true" outlineLevel="0" collapsed="false">
      <c r="B11" s="27" t="s">
        <v>189</v>
      </c>
      <c r="C11" s="37" t="n">
        <v>718</v>
      </c>
      <c r="D11" s="12" t="n">
        <v>19727</v>
      </c>
      <c r="E11" s="47" t="n">
        <f aca="false">IF(C11=0,0,D11/C11)</f>
        <v>27.474930362117</v>
      </c>
      <c r="F11" s="11" t="s">
        <v>181</v>
      </c>
    </row>
    <row r="12" customFormat="false" ht="15" hidden="false" customHeight="true" outlineLevel="0" collapsed="false">
      <c r="B12" s="27" t="s">
        <v>190</v>
      </c>
      <c r="C12" s="37" t="n">
        <v>394</v>
      </c>
      <c r="D12" s="12" t="n">
        <v>4598.5</v>
      </c>
      <c r="E12" s="47" t="n">
        <f aca="false">IF(C12=0,0,D12/C12)</f>
        <v>11.6713197969543</v>
      </c>
      <c r="F12" s="49" t="s">
        <v>185</v>
      </c>
    </row>
    <row r="13" customFormat="false" ht="15" hidden="false" customHeight="true" outlineLevel="0" collapsed="false">
      <c r="B13" s="27" t="s">
        <v>191</v>
      </c>
      <c r="C13" s="37" t="n">
        <v>391.25</v>
      </c>
      <c r="D13" s="12" t="n">
        <v>5250.38</v>
      </c>
      <c r="E13" s="47" t="n">
        <f aca="false">IF(C13=0,0,D13/C13)</f>
        <v>13.4195015974441</v>
      </c>
      <c r="F13" s="49" t="s">
        <v>185</v>
      </c>
    </row>
    <row r="14" customFormat="false" ht="15" hidden="false" customHeight="true" outlineLevel="0" collapsed="false">
      <c r="B14" s="27" t="s">
        <v>192</v>
      </c>
      <c r="C14" s="37" t="n">
        <v>314.5</v>
      </c>
      <c r="D14" s="12" t="n">
        <v>10992.5</v>
      </c>
      <c r="E14" s="47" t="n">
        <f aca="false">IF(C14=0,0,D14/C14)</f>
        <v>34.9523052464229</v>
      </c>
      <c r="F14" s="48" t="s">
        <v>183</v>
      </c>
    </row>
    <row r="15" customFormat="false" ht="15" hidden="false" customHeight="true" outlineLevel="0" collapsed="false">
      <c r="B15" s="27" t="s">
        <v>193</v>
      </c>
      <c r="C15" s="37" t="n">
        <v>301</v>
      </c>
      <c r="D15" s="12" t="n">
        <v>3660</v>
      </c>
      <c r="E15" s="47" t="n">
        <f aca="false">IF(C15=0,0,D15/C15)</f>
        <v>12.1594684385382</v>
      </c>
      <c r="F15" s="49" t="s">
        <v>185</v>
      </c>
    </row>
    <row r="16" customFormat="false" ht="15" hidden="false" customHeight="true" outlineLevel="0" collapsed="false">
      <c r="B16" s="27" t="s">
        <v>194</v>
      </c>
      <c r="C16" s="37" t="n">
        <v>120</v>
      </c>
      <c r="D16" s="12" t="n">
        <v>1488</v>
      </c>
      <c r="E16" s="47" t="n">
        <f aca="false">IF(C16=0,0,D16/C16)</f>
        <v>12.4</v>
      </c>
      <c r="F16" s="49" t="s">
        <v>185</v>
      </c>
    </row>
    <row r="17" customFormat="false" ht="15" hidden="false" customHeight="true" outlineLevel="0" collapsed="false">
      <c r="B17" s="27" t="s">
        <v>195</v>
      </c>
      <c r="C17" s="37" t="n">
        <v>97.5</v>
      </c>
      <c r="D17" s="12" t="n">
        <v>1209</v>
      </c>
      <c r="E17" s="47" t="n">
        <f aca="false">IF(C17=0,0,D17/C17)</f>
        <v>12.4</v>
      </c>
      <c r="F17" s="49" t="s">
        <v>185</v>
      </c>
    </row>
    <row r="18" customFormat="false" ht="15" hidden="false" customHeight="true" outlineLevel="0" collapsed="false">
      <c r="B18" s="27" t="s">
        <v>196</v>
      </c>
      <c r="C18" s="37" t="n">
        <v>59.5</v>
      </c>
      <c r="D18" s="12" t="n">
        <v>892.5</v>
      </c>
      <c r="E18" s="47" t="n">
        <f aca="false">IF(C18=0,0,D18/C18)</f>
        <v>15</v>
      </c>
      <c r="F18" s="49" t="s">
        <v>185</v>
      </c>
    </row>
    <row r="19" customFormat="false" ht="15" hidden="false" customHeight="true" outlineLevel="0" collapsed="false">
      <c r="B19" s="27" t="s">
        <v>197</v>
      </c>
      <c r="C19" s="37" t="n">
        <v>47</v>
      </c>
      <c r="D19" s="12" t="n">
        <v>525</v>
      </c>
      <c r="E19" s="47" t="n">
        <f aca="false">IF(C19=0,0,D19/C19)</f>
        <v>11.1702127659574</v>
      </c>
      <c r="F19" s="49" t="s">
        <v>185</v>
      </c>
    </row>
    <row r="20" customFormat="false" ht="15" hidden="false" customHeight="true" outlineLevel="0" collapsed="false">
      <c r="B20" s="27" t="s">
        <v>198</v>
      </c>
      <c r="C20" s="37" t="n">
        <v>40</v>
      </c>
      <c r="D20" s="12" t="n">
        <v>480</v>
      </c>
      <c r="E20" s="47" t="n">
        <f aca="false">IF(C20=0,0,D20/C20)</f>
        <v>12</v>
      </c>
      <c r="F20" s="49" t="s">
        <v>185</v>
      </c>
    </row>
    <row r="21" customFormat="false" ht="15" hidden="false" customHeight="true" outlineLevel="0" collapsed="false">
      <c r="B21" s="27" t="s">
        <v>199</v>
      </c>
      <c r="C21" s="37" t="n">
        <v>24</v>
      </c>
      <c r="D21" s="12" t="n">
        <v>414</v>
      </c>
      <c r="E21" s="47" t="n">
        <f aca="false">IF(C21=0,0,D21/C21)</f>
        <v>17.25</v>
      </c>
      <c r="F21" s="49" t="s">
        <v>185</v>
      </c>
    </row>
    <row r="22" customFormat="false" ht="15" hidden="false" customHeight="true" outlineLevel="0" collapsed="false">
      <c r="B22" s="27" t="s">
        <v>200</v>
      </c>
      <c r="C22" s="37" t="n">
        <v>18</v>
      </c>
      <c r="D22" s="12" t="n">
        <v>324</v>
      </c>
      <c r="E22" s="47" t="n">
        <f aca="false">IF(C22=0,0,D22/C22)</f>
        <v>18</v>
      </c>
      <c r="F22" s="49" t="s">
        <v>185</v>
      </c>
    </row>
    <row r="23" customFormat="false" ht="15" hidden="false" customHeight="true" outlineLevel="0" collapsed="false">
      <c r="B23" s="27" t="s">
        <v>201</v>
      </c>
      <c r="C23" s="37" t="n">
        <v>15</v>
      </c>
      <c r="D23" s="12" t="n">
        <v>539</v>
      </c>
      <c r="E23" s="47" t="n">
        <f aca="false">IF(C23=0,0,D23/C23)</f>
        <v>35.9333333333333</v>
      </c>
      <c r="F23" s="48" t="s">
        <v>183</v>
      </c>
    </row>
    <row r="24" customFormat="false" ht="15" hidden="false" customHeight="true" outlineLevel="0" collapsed="false">
      <c r="B24" s="27" t="s">
        <v>202</v>
      </c>
      <c r="C24" s="37" t="n">
        <v>11</v>
      </c>
      <c r="D24" s="12" t="n">
        <v>358</v>
      </c>
      <c r="E24" s="47" t="n">
        <f aca="false">IF(C24=0,0,D24/C24)</f>
        <v>32.5454545454546</v>
      </c>
      <c r="F24" s="48" t="s">
        <v>183</v>
      </c>
    </row>
    <row r="25" customFormat="false" ht="15" hidden="false" customHeight="true" outlineLevel="0" collapsed="false">
      <c r="B25" s="27" t="s">
        <v>203</v>
      </c>
      <c r="C25" s="37" t="n">
        <v>6.5</v>
      </c>
      <c r="D25" s="12" t="n">
        <v>87.75</v>
      </c>
      <c r="E25" s="47" t="n">
        <f aca="false">IF(C25=0,0,D25/C25)</f>
        <v>13.5</v>
      </c>
      <c r="F25" s="49" t="s">
        <v>185</v>
      </c>
    </row>
    <row r="26" customFormat="false" ht="15" hidden="false" customHeight="true" outlineLevel="0" collapsed="false">
      <c r="B26" s="27" t="s">
        <v>204</v>
      </c>
      <c r="C26" s="37" t="n">
        <v>2</v>
      </c>
      <c r="D26" s="12" t="n">
        <v>24</v>
      </c>
      <c r="E26" s="47" t="n">
        <f aca="false">IF(C26=0,0,D26/C26)</f>
        <v>12</v>
      </c>
      <c r="F26" s="49" t="s">
        <v>185</v>
      </c>
    </row>
    <row r="27" customFormat="false" ht="15" hidden="false" customHeight="true" outlineLevel="0" collapsed="false">
      <c r="B27" s="10" t="s">
        <v>205</v>
      </c>
      <c r="C27" s="50" t="n">
        <v>10436.25</v>
      </c>
      <c r="D27" s="18" t="n">
        <v>206309.63</v>
      </c>
      <c r="E27" s="51" t="n">
        <f aca="false">D27/C27</f>
        <v>19.7685595879746</v>
      </c>
      <c r="F27" s="10"/>
    </row>
    <row r="30" customFormat="false" ht="7.5" hidden="false" customHeight="true" outlineLevel="0" collapsed="false"/>
    <row r="31" customFormat="false" ht="15" hidden="false" customHeight="true" outlineLevel="0" collapsed="false">
      <c r="B31" s="23" t="s">
        <v>51</v>
      </c>
      <c r="C31" s="23"/>
      <c r="D31" s="23"/>
      <c r="E31" s="23"/>
      <c r="F31" s="23"/>
    </row>
    <row r="32" customFormat="false" ht="15" hidden="false" customHeight="true" outlineLevel="0" collapsed="false">
      <c r="B32" s="24" t="s">
        <v>52</v>
      </c>
      <c r="C32" s="24"/>
      <c r="D32" s="24"/>
      <c r="E32" s="24"/>
      <c r="F32" s="24"/>
    </row>
    <row r="33" customFormat="false" ht="15" hidden="false" customHeight="true" outlineLevel="0" collapsed="false">
      <c r="B33" s="24" t="s">
        <v>53</v>
      </c>
      <c r="C33" s="24"/>
      <c r="D33" s="24"/>
      <c r="E33" s="24"/>
      <c r="F33" s="24"/>
    </row>
    <row r="34" customFormat="false" ht="15" hidden="false" customHeight="true" outlineLevel="0" collapsed="false">
      <c r="B34" s="24" t="s">
        <v>206</v>
      </c>
      <c r="C34" s="24"/>
      <c r="D34" s="24"/>
      <c r="E34" s="24"/>
      <c r="F34" s="24"/>
    </row>
    <row r="35" customFormat="false" ht="15" hidden="false" customHeight="true" outlineLevel="0" collapsed="false">
      <c r="B35" s="24" t="s">
        <v>207</v>
      </c>
      <c r="C35" s="24"/>
      <c r="D35" s="24"/>
      <c r="E35" s="24"/>
      <c r="F35" s="24"/>
    </row>
  </sheetData>
  <mergeCells count="6">
    <mergeCell ref="B2:F2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30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208</v>
      </c>
      <c r="C2" s="25"/>
      <c r="D2" s="25"/>
      <c r="E2" s="25"/>
      <c r="F2" s="25"/>
    </row>
    <row r="4" customFormat="false" ht="15" hidden="false" customHeight="true" outlineLevel="0" collapsed="false">
      <c r="B4" s="52" t="s">
        <v>209</v>
      </c>
      <c r="C4" s="52"/>
      <c r="D4" s="52"/>
      <c r="E4" s="52"/>
      <c r="F4" s="52"/>
    </row>
    <row r="5" customFormat="false" ht="15" hidden="false" customHeight="true" outlineLevel="0" collapsed="false">
      <c r="B5" s="10" t="s">
        <v>179</v>
      </c>
      <c r="C5" s="10" t="s">
        <v>210</v>
      </c>
      <c r="D5" s="10" t="s">
        <v>176</v>
      </c>
      <c r="E5" s="10" t="s">
        <v>177</v>
      </c>
      <c r="F5" s="10" t="s">
        <v>211</v>
      </c>
    </row>
    <row r="6" customFormat="false" ht="15" hidden="false" customHeight="true" outlineLevel="0" collapsed="false">
      <c r="B6" s="53" t="s">
        <v>183</v>
      </c>
      <c r="C6" s="27" t="n">
        <v>4</v>
      </c>
      <c r="D6" s="37" t="n">
        <v>2013.5</v>
      </c>
      <c r="E6" s="12" t="n">
        <v>62090</v>
      </c>
      <c r="F6" s="14" t="n">
        <f aca="false">D6/10436.25</f>
        <v>0.192933285423404</v>
      </c>
    </row>
    <row r="7" customFormat="false" ht="15" hidden="false" customHeight="true" outlineLevel="0" collapsed="false">
      <c r="B7" s="36" t="s">
        <v>181</v>
      </c>
      <c r="C7" s="27" t="n">
        <v>2</v>
      </c>
      <c r="D7" s="37" t="n">
        <v>2541</v>
      </c>
      <c r="E7" s="12" t="n">
        <v>66463.5</v>
      </c>
      <c r="F7" s="14" t="n">
        <f aca="false">D7/10436.25</f>
        <v>0.243478260869565</v>
      </c>
    </row>
    <row r="8" customFormat="false" ht="15" hidden="false" customHeight="true" outlineLevel="0" collapsed="false">
      <c r="B8" s="54" t="s">
        <v>185</v>
      </c>
      <c r="C8" s="27" t="n">
        <v>16</v>
      </c>
      <c r="D8" s="37" t="n">
        <v>5881.75</v>
      </c>
      <c r="E8" s="12" t="n">
        <v>77756.13</v>
      </c>
      <c r="F8" s="14" t="n">
        <f aca="false">D8/10436.25</f>
        <v>0.563588453707031</v>
      </c>
    </row>
    <row r="11" customFormat="false" ht="15" hidden="false" customHeight="true" outlineLevel="0" collapsed="false">
      <c r="B11" s="35" t="s">
        <v>212</v>
      </c>
      <c r="C11" s="35"/>
      <c r="D11" s="35"/>
      <c r="E11" s="35"/>
      <c r="F11" s="35"/>
    </row>
    <row r="12" customFormat="false" ht="15" hidden="false" customHeight="true" outlineLevel="0" collapsed="false">
      <c r="B12" s="27" t="s">
        <v>213</v>
      </c>
      <c r="C12" s="55" t="n">
        <v>19.7685595879746</v>
      </c>
      <c r="F12" s="56" t="s">
        <v>214</v>
      </c>
    </row>
    <row r="13" customFormat="false" ht="15" hidden="false" customHeight="true" outlineLevel="0" collapsed="false">
      <c r="B13" s="27" t="s">
        <v>215</v>
      </c>
      <c r="C13" s="55" t="n">
        <v>29.8637368421053</v>
      </c>
      <c r="F13" s="56" t="s">
        <v>216</v>
      </c>
    </row>
    <row r="14" customFormat="false" ht="15" hidden="false" customHeight="true" outlineLevel="0" collapsed="false">
      <c r="B14" s="27" t="s">
        <v>217</v>
      </c>
      <c r="C14" s="57" t="n">
        <v>1.51066832710825</v>
      </c>
      <c r="F14" s="56" t="s">
        <v>218</v>
      </c>
    </row>
    <row r="15" customFormat="false" ht="15" hidden="false" customHeight="true" outlineLevel="0" collapsed="false">
      <c r="B15" s="27" t="s">
        <v>219</v>
      </c>
      <c r="C15" s="55" t="n">
        <v>11.1702127659575</v>
      </c>
      <c r="F15" s="56" t="s">
        <v>220</v>
      </c>
    </row>
    <row r="16" customFormat="false" ht="15" hidden="false" customHeight="true" outlineLevel="0" collapsed="false">
      <c r="B16" s="27" t="s">
        <v>221</v>
      </c>
      <c r="C16" s="55" t="n">
        <v>35.9333333333333</v>
      </c>
      <c r="F16" s="56" t="s">
        <v>222</v>
      </c>
    </row>
    <row r="17" customFormat="false" ht="15" hidden="false" customHeight="true" outlineLevel="0" collapsed="false">
      <c r="B17" s="27" t="s">
        <v>223</v>
      </c>
      <c r="C17" s="58" t="n">
        <v>474.375</v>
      </c>
      <c r="F17" s="56" t="s">
        <v>224</v>
      </c>
    </row>
    <row r="20" customFormat="false" ht="7.5" hidden="false" customHeight="true" outlineLevel="0" collapsed="false"/>
    <row r="21" customFormat="false" ht="15" hidden="false" customHeight="true" outlineLevel="0" collapsed="false">
      <c r="B21" s="23" t="s">
        <v>51</v>
      </c>
      <c r="C21" s="23"/>
      <c r="D21" s="23"/>
      <c r="E21" s="23"/>
      <c r="F21" s="23"/>
    </row>
    <row r="22" customFormat="false" ht="15" hidden="false" customHeight="true" outlineLevel="0" collapsed="false">
      <c r="B22" s="24" t="s">
        <v>52</v>
      </c>
      <c r="C22" s="24"/>
      <c r="D22" s="24"/>
      <c r="E22" s="24"/>
      <c r="F22" s="24"/>
    </row>
    <row r="23" customFormat="false" ht="15" hidden="false" customHeight="true" outlineLevel="0" collapsed="false">
      <c r="B23" s="24" t="s">
        <v>53</v>
      </c>
      <c r="C23" s="24"/>
      <c r="D23" s="24"/>
      <c r="E23" s="24"/>
      <c r="F23" s="24"/>
    </row>
    <row r="24" customFormat="false" ht="15" hidden="false" customHeight="true" outlineLevel="0" collapsed="false">
      <c r="B24" s="24" t="s">
        <v>225</v>
      </c>
      <c r="C24" s="24"/>
      <c r="D24" s="24"/>
      <c r="E24" s="24"/>
      <c r="F24" s="24"/>
    </row>
  </sheetData>
  <mergeCells count="7">
    <mergeCell ref="B2:F2"/>
    <mergeCell ref="B4:F4"/>
    <mergeCell ref="B11:F11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28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226</v>
      </c>
      <c r="C2" s="25"/>
      <c r="D2" s="25"/>
      <c r="E2" s="25"/>
      <c r="F2" s="25"/>
    </row>
    <row r="4" customFormat="false" ht="15" hidden="false" customHeight="true" outlineLevel="0" collapsed="false">
      <c r="B4" s="52" t="s">
        <v>227</v>
      </c>
      <c r="C4" s="52"/>
      <c r="D4" s="52"/>
      <c r="E4" s="52"/>
      <c r="F4" s="52"/>
    </row>
    <row r="5" customFormat="false" ht="15" hidden="false" customHeight="true" outlineLevel="0" collapsed="false">
      <c r="B5" s="10" t="s">
        <v>228</v>
      </c>
      <c r="C5" s="10" t="s">
        <v>229</v>
      </c>
      <c r="D5" s="10" t="s">
        <v>176</v>
      </c>
      <c r="E5" s="10" t="s">
        <v>230</v>
      </c>
      <c r="F5" s="10" t="s">
        <v>231</v>
      </c>
    </row>
    <row r="6" customFormat="false" ht="15" hidden="false" customHeight="true" outlineLevel="0" collapsed="false">
      <c r="B6" s="27" t="s">
        <v>232</v>
      </c>
      <c r="C6" s="27" t="s">
        <v>63</v>
      </c>
      <c r="D6" s="37" t="n">
        <v>90</v>
      </c>
      <c r="E6" s="14" t="n">
        <f aca="false">D6/10260</f>
        <v>0.0087719298245614</v>
      </c>
      <c r="F6" s="59" t="n">
        <f aca="false">D6/165</f>
        <v>0.545454545454545</v>
      </c>
    </row>
    <row r="7" customFormat="false" ht="15" hidden="false" customHeight="true" outlineLevel="0" collapsed="false">
      <c r="B7" s="27" t="s">
        <v>66</v>
      </c>
      <c r="C7" s="27" t="s">
        <v>65</v>
      </c>
      <c r="D7" s="37" t="n">
        <v>138</v>
      </c>
      <c r="E7" s="14" t="n">
        <f aca="false">D7/10260</f>
        <v>0.0134502923976608</v>
      </c>
      <c r="F7" s="59" t="n">
        <f aca="false">D7/165</f>
        <v>0.836363636363636</v>
      </c>
    </row>
    <row r="8" customFormat="false" ht="15" hidden="false" customHeight="true" outlineLevel="0" collapsed="false">
      <c r="B8" s="27" t="s">
        <v>233</v>
      </c>
      <c r="C8" s="27" t="s">
        <v>67</v>
      </c>
      <c r="D8" s="37" t="n">
        <v>124</v>
      </c>
      <c r="E8" s="14" t="n">
        <f aca="false">D8/10260</f>
        <v>0.0120857699805068</v>
      </c>
      <c r="F8" s="59" t="n">
        <f aca="false">D8/165</f>
        <v>0.751515151515152</v>
      </c>
    </row>
    <row r="9" customFormat="false" ht="15" hidden="false" customHeight="true" outlineLevel="0" collapsed="false">
      <c r="B9" s="27" t="s">
        <v>234</v>
      </c>
      <c r="C9" s="27" t="s">
        <v>69</v>
      </c>
      <c r="D9" s="37" t="n">
        <v>30</v>
      </c>
      <c r="E9" s="14" t="n">
        <f aca="false">D9/10260</f>
        <v>0.00292397660818713</v>
      </c>
      <c r="F9" s="59" t="n">
        <f aca="false">D9/165</f>
        <v>0.181818181818182</v>
      </c>
    </row>
    <row r="10" customFormat="false" ht="15" hidden="false" customHeight="true" outlineLevel="0" collapsed="false">
      <c r="B10" s="27" t="s">
        <v>235</v>
      </c>
      <c r="C10" s="27" t="s">
        <v>71</v>
      </c>
      <c r="D10" s="37" t="n">
        <v>1345</v>
      </c>
      <c r="E10" s="14" t="n">
        <f aca="false">D10/10260</f>
        <v>0.131091617933723</v>
      </c>
      <c r="F10" s="59" t="n">
        <f aca="false">D10/165</f>
        <v>8.15151515151515</v>
      </c>
    </row>
    <row r="11" customFormat="false" ht="15" hidden="false" customHeight="true" outlineLevel="0" collapsed="false">
      <c r="B11" s="27" t="s">
        <v>236</v>
      </c>
      <c r="C11" s="27" t="s">
        <v>73</v>
      </c>
      <c r="D11" s="37" t="n">
        <v>122.5</v>
      </c>
      <c r="E11" s="14" t="n">
        <f aca="false">D11/10260</f>
        <v>0.0119395711500975</v>
      </c>
      <c r="F11" s="59" t="n">
        <f aca="false">D11/165</f>
        <v>0.742424242424242</v>
      </c>
    </row>
    <row r="12" customFormat="false" ht="15" hidden="false" customHeight="true" outlineLevel="0" collapsed="false">
      <c r="B12" s="27" t="s">
        <v>237</v>
      </c>
      <c r="C12" s="27" t="s">
        <v>75</v>
      </c>
      <c r="D12" s="37" t="n">
        <v>6202.25</v>
      </c>
      <c r="E12" s="14" t="n">
        <f aca="false">D12/10260</f>
        <v>0.604507797270955</v>
      </c>
      <c r="F12" s="59" t="n">
        <f aca="false">D12/165</f>
        <v>37.5893939393939</v>
      </c>
    </row>
    <row r="13" customFormat="false" ht="15" hidden="false" customHeight="true" outlineLevel="0" collapsed="false">
      <c r="B13" s="27" t="s">
        <v>238</v>
      </c>
      <c r="C13" s="27" t="s">
        <v>77</v>
      </c>
      <c r="D13" s="37" t="n">
        <v>1569</v>
      </c>
      <c r="E13" s="14" t="n">
        <f aca="false">D13/10260</f>
        <v>0.152923976608187</v>
      </c>
      <c r="F13" s="59" t="n">
        <f aca="false">D13/165</f>
        <v>9.50909090909091</v>
      </c>
    </row>
    <row r="14" customFormat="false" ht="15" hidden="false" customHeight="true" outlineLevel="0" collapsed="false">
      <c r="B14" s="27" t="s">
        <v>239</v>
      </c>
      <c r="C14" s="27" t="s">
        <v>79</v>
      </c>
      <c r="D14" s="37" t="n">
        <v>79</v>
      </c>
      <c r="E14" s="14" t="n">
        <f aca="false">D14/10260</f>
        <v>0.00769980506822612</v>
      </c>
      <c r="F14" s="59" t="n">
        <f aca="false">D14/165</f>
        <v>0.478787878787879</v>
      </c>
    </row>
    <row r="15" customFormat="false" ht="15" hidden="false" customHeight="true" outlineLevel="0" collapsed="false">
      <c r="B15" s="27" t="s">
        <v>240</v>
      </c>
      <c r="C15" s="27" t="s">
        <v>81</v>
      </c>
      <c r="D15" s="37" t="n">
        <v>189.5</v>
      </c>
      <c r="E15" s="14" t="n">
        <f aca="false">D15/10260</f>
        <v>0.0184697855750487</v>
      </c>
      <c r="F15" s="59" t="n">
        <f aca="false">D15/165</f>
        <v>1.14848484848485</v>
      </c>
    </row>
    <row r="16" customFormat="false" ht="15" hidden="false" customHeight="true" outlineLevel="0" collapsed="false">
      <c r="B16" s="27" t="s">
        <v>241</v>
      </c>
      <c r="C16" s="27" t="s">
        <v>83</v>
      </c>
      <c r="D16" s="37" t="n">
        <v>25</v>
      </c>
      <c r="E16" s="14" t="n">
        <f aca="false">D16/10260</f>
        <v>0.00243664717348928</v>
      </c>
      <c r="F16" s="59" t="n">
        <f aca="false">D16/165</f>
        <v>0.151515151515152</v>
      </c>
    </row>
    <row r="17" customFormat="false" ht="15" hidden="false" customHeight="true" outlineLevel="0" collapsed="false">
      <c r="B17" s="27" t="s">
        <v>242</v>
      </c>
      <c r="C17" s="27" t="s">
        <v>85</v>
      </c>
      <c r="D17" s="37" t="n">
        <v>89</v>
      </c>
      <c r="E17" s="14" t="n">
        <f aca="false">D17/10260</f>
        <v>0.00867446393762183</v>
      </c>
      <c r="F17" s="59" t="n">
        <f aca="false">D17/165</f>
        <v>0.539393939393939</v>
      </c>
    </row>
    <row r="18" customFormat="false" ht="15" hidden="false" customHeight="true" outlineLevel="0" collapsed="false">
      <c r="B18" s="27" t="s">
        <v>243</v>
      </c>
      <c r="C18" s="27" t="s">
        <v>87</v>
      </c>
      <c r="D18" s="37" t="n">
        <v>243</v>
      </c>
      <c r="E18" s="14" t="n">
        <f aca="false">D18/10260</f>
        <v>0.0236842105263158</v>
      </c>
      <c r="F18" s="59" t="n">
        <f aca="false">D18/165</f>
        <v>1.47272727272727</v>
      </c>
    </row>
    <row r="19" customFormat="false" ht="15" hidden="false" customHeight="true" outlineLevel="0" collapsed="false">
      <c r="B19" s="27" t="s">
        <v>244</v>
      </c>
      <c r="C19" s="27" t="s">
        <v>89</v>
      </c>
      <c r="D19" s="37" t="n">
        <v>14</v>
      </c>
      <c r="E19" s="14" t="n">
        <f aca="false">D19/10260</f>
        <v>0.001364522417154</v>
      </c>
      <c r="F19" s="59" t="n">
        <f aca="false">D19/165</f>
        <v>0.0848484848484849</v>
      </c>
    </row>
    <row r="20" customFormat="false" ht="15" hidden="false" customHeight="true" outlineLevel="0" collapsed="false">
      <c r="B20" s="10" t="s">
        <v>25</v>
      </c>
      <c r="C20" s="10"/>
      <c r="D20" s="50" t="n">
        <v>10260</v>
      </c>
      <c r="E20" s="20" t="n">
        <v>1</v>
      </c>
      <c r="F20" s="60" t="n">
        <f aca="false">D20/165</f>
        <v>62.1818181818182</v>
      </c>
    </row>
    <row r="23" customFormat="false" ht="15" hidden="false" customHeight="true" outlineLevel="0" collapsed="false">
      <c r="B23" s="35" t="s">
        <v>245</v>
      </c>
      <c r="C23" s="35"/>
      <c r="D23" s="35"/>
      <c r="E23" s="35"/>
      <c r="F23" s="35"/>
    </row>
    <row r="24" customFormat="false" ht="15" hidden="false" customHeight="true" outlineLevel="0" collapsed="false">
      <c r="B24" s="10" t="s">
        <v>27</v>
      </c>
      <c r="C24" s="10" t="s">
        <v>28</v>
      </c>
      <c r="D24" s="10" t="s">
        <v>246</v>
      </c>
      <c r="E24" s="10"/>
      <c r="F24" s="10" t="s">
        <v>247</v>
      </c>
    </row>
    <row r="25" customFormat="false" ht="15" hidden="false" customHeight="true" outlineLevel="0" collapsed="false">
      <c r="B25" s="27" t="s">
        <v>231</v>
      </c>
      <c r="C25" s="61" t="n">
        <v>62.1818181818182</v>
      </c>
      <c r="D25" s="21" t="s">
        <v>248</v>
      </c>
      <c r="F25" s="56" t="s">
        <v>249</v>
      </c>
    </row>
    <row r="26" customFormat="false" ht="15" hidden="false" customHeight="true" outlineLevel="0" collapsed="false">
      <c r="B26" s="27" t="s">
        <v>250</v>
      </c>
      <c r="C26" s="61" t="n">
        <v>12.7770859277709</v>
      </c>
      <c r="D26" s="21" t="s">
        <v>248</v>
      </c>
      <c r="F26" s="56" t="s">
        <v>251</v>
      </c>
    </row>
    <row r="27" customFormat="false" ht="15" hidden="false" customHeight="true" outlineLevel="0" collapsed="false">
      <c r="B27" s="27" t="s">
        <v>252</v>
      </c>
      <c r="C27" s="62" t="n">
        <v>135.128557504873</v>
      </c>
      <c r="D27" s="21" t="s">
        <v>253</v>
      </c>
      <c r="F27" s="56" t="s">
        <v>254</v>
      </c>
    </row>
    <row r="28" customFormat="false" ht="15" hidden="false" customHeight="true" outlineLevel="0" collapsed="false">
      <c r="B28" s="27" t="s">
        <v>255</v>
      </c>
      <c r="C28" s="62" t="n">
        <v>73.2231968810916</v>
      </c>
      <c r="D28" s="21" t="s">
        <v>253</v>
      </c>
      <c r="F28" s="56" t="s">
        <v>256</v>
      </c>
    </row>
    <row r="29" customFormat="false" ht="15" hidden="false" customHeight="true" outlineLevel="0" collapsed="false">
      <c r="B29" s="27" t="s">
        <v>257</v>
      </c>
      <c r="C29" s="61" t="n">
        <v>6.875</v>
      </c>
      <c r="D29" s="21" t="s">
        <v>258</v>
      </c>
      <c r="F29" s="56" t="s">
        <v>259</v>
      </c>
    </row>
    <row r="30" customFormat="false" ht="15" hidden="false" customHeight="true" outlineLevel="0" collapsed="false">
      <c r="B30" s="27" t="s">
        <v>260</v>
      </c>
      <c r="C30" s="61" t="n">
        <v>33.4583333333333</v>
      </c>
      <c r="D30" s="21" t="s">
        <v>261</v>
      </c>
      <c r="F30" s="56" t="s">
        <v>262</v>
      </c>
    </row>
    <row r="31" customFormat="false" ht="15" hidden="false" customHeight="true" outlineLevel="0" collapsed="false">
      <c r="B31" s="27" t="s">
        <v>263</v>
      </c>
      <c r="C31" s="61" t="n">
        <v>427.5</v>
      </c>
      <c r="D31" s="21" t="s">
        <v>248</v>
      </c>
      <c r="F31" s="56" t="s">
        <v>264</v>
      </c>
    </row>
    <row r="32" customFormat="false" ht="15" hidden="false" customHeight="true" outlineLevel="0" collapsed="false">
      <c r="B32" s="27" t="s">
        <v>265</v>
      </c>
      <c r="C32" s="62" t="n">
        <v>57767.4583333333</v>
      </c>
      <c r="D32" s="21" t="s">
        <v>253</v>
      </c>
      <c r="F32" s="56" t="s">
        <v>266</v>
      </c>
    </row>
    <row r="35" customFormat="false" ht="7.5" hidden="false" customHeight="true" outlineLevel="0" collapsed="false"/>
    <row r="36" customFormat="false" ht="15" hidden="false" customHeight="true" outlineLevel="0" collapsed="false">
      <c r="B36" s="23" t="s">
        <v>51</v>
      </c>
      <c r="C36" s="23"/>
      <c r="D36" s="23"/>
      <c r="E36" s="23"/>
      <c r="F36" s="23"/>
    </row>
    <row r="37" customFormat="false" ht="15" hidden="false" customHeight="true" outlineLevel="0" collapsed="false">
      <c r="B37" s="24" t="s">
        <v>52</v>
      </c>
      <c r="C37" s="24"/>
      <c r="D37" s="24"/>
      <c r="E37" s="24"/>
      <c r="F37" s="24"/>
    </row>
    <row r="38" customFormat="false" ht="15" hidden="false" customHeight="true" outlineLevel="0" collapsed="false">
      <c r="B38" s="24" t="s">
        <v>53</v>
      </c>
      <c r="C38" s="24"/>
      <c r="D38" s="24"/>
      <c r="E38" s="24"/>
      <c r="F38" s="24"/>
    </row>
    <row r="39" customFormat="false" ht="15" hidden="false" customHeight="true" outlineLevel="0" collapsed="false">
      <c r="B39" s="24" t="s">
        <v>267</v>
      </c>
      <c r="C39" s="24"/>
      <c r="D39" s="24"/>
      <c r="E39" s="24"/>
      <c r="F39" s="24"/>
    </row>
  </sheetData>
  <mergeCells count="7">
    <mergeCell ref="B2:F2"/>
    <mergeCell ref="B4:F4"/>
    <mergeCell ref="B23:F23"/>
    <mergeCell ref="B36:F36"/>
    <mergeCell ref="B37:F37"/>
    <mergeCell ref="B38:F38"/>
    <mergeCell ref="B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268</v>
      </c>
      <c r="C2" s="25"/>
      <c r="D2" s="25"/>
      <c r="E2" s="25"/>
      <c r="F2" s="25"/>
    </row>
    <row r="3" customFormat="false" ht="15" hidden="false" customHeight="true" outlineLevel="0" collapsed="false">
      <c r="B3" s="45" t="s">
        <v>269</v>
      </c>
      <c r="C3" s="45"/>
      <c r="D3" s="45"/>
      <c r="E3" s="45"/>
      <c r="F3" s="45"/>
    </row>
    <row r="5" customFormat="false" ht="15" hidden="false" customHeight="true" outlineLevel="0" collapsed="false">
      <c r="B5" s="35" t="s">
        <v>270</v>
      </c>
      <c r="C5" s="35"/>
      <c r="D5" s="35"/>
      <c r="E5" s="35"/>
      <c r="F5" s="35"/>
    </row>
    <row r="6" customFormat="false" ht="15" hidden="false" customHeight="true" outlineLevel="0" collapsed="false">
      <c r="B6" s="10" t="s">
        <v>271</v>
      </c>
      <c r="C6" s="10" t="s">
        <v>272</v>
      </c>
      <c r="D6" s="10" t="s">
        <v>273</v>
      </c>
      <c r="E6" s="10" t="s">
        <v>274</v>
      </c>
      <c r="F6" s="10" t="s">
        <v>275</v>
      </c>
    </row>
    <row r="7" customFormat="false" ht="15" hidden="false" customHeight="true" outlineLevel="0" collapsed="false">
      <c r="B7" s="27" t="s">
        <v>276</v>
      </c>
      <c r="C7" s="27" t="s">
        <v>277</v>
      </c>
      <c r="D7" s="63" t="n">
        <v>11</v>
      </c>
      <c r="E7" s="12" t="n">
        <v>25982.2788</v>
      </c>
      <c r="F7" s="12" t="n">
        <v>66457.52</v>
      </c>
    </row>
    <row r="8" customFormat="false" ht="15" hidden="false" customHeight="true" outlineLevel="0" collapsed="false">
      <c r="B8" s="27" t="s">
        <v>278</v>
      </c>
      <c r="C8" s="27" t="s">
        <v>279</v>
      </c>
      <c r="D8" s="63" t="n">
        <v>3</v>
      </c>
      <c r="E8" s="12" t="n">
        <v>163486.898</v>
      </c>
      <c r="F8" s="12" t="n">
        <v>173652.72</v>
      </c>
    </row>
    <row r="9" customFormat="false" ht="15" hidden="false" customHeight="true" outlineLevel="0" collapsed="false">
      <c r="B9" s="27" t="s">
        <v>280</v>
      </c>
      <c r="C9" s="27" t="s">
        <v>281</v>
      </c>
      <c r="D9" s="63" t="n">
        <v>1</v>
      </c>
      <c r="E9" s="12" t="n">
        <v>6326.55</v>
      </c>
      <c r="F9" s="12" t="n">
        <v>5720.08</v>
      </c>
    </row>
    <row r="10" customFormat="false" ht="15" hidden="false" customHeight="true" outlineLevel="0" collapsed="false">
      <c r="B10" s="27" t="s">
        <v>282</v>
      </c>
      <c r="C10" s="27" t="s">
        <v>283</v>
      </c>
      <c r="D10" s="63" t="n">
        <v>8</v>
      </c>
      <c r="E10" s="12" t="n">
        <v>17752.5428</v>
      </c>
      <c r="F10" s="12" t="n">
        <v>20000.49</v>
      </c>
    </row>
    <row r="11" customFormat="false" ht="15" hidden="false" customHeight="true" outlineLevel="0" collapsed="false">
      <c r="B11" s="27" t="s">
        <v>284</v>
      </c>
      <c r="C11" s="27" t="s">
        <v>285</v>
      </c>
      <c r="D11" s="63" t="n">
        <v>1</v>
      </c>
      <c r="E11" s="12" t="n">
        <v>208.05</v>
      </c>
      <c r="F11" s="12" t="n">
        <v>812.16</v>
      </c>
    </row>
    <row r="12" customFormat="false" ht="15" hidden="false" customHeight="true" outlineLevel="0" collapsed="false">
      <c r="B12" s="10" t="s">
        <v>25</v>
      </c>
      <c r="C12" s="10"/>
      <c r="D12" s="10" t="n">
        <v>24</v>
      </c>
      <c r="E12" s="18" t="n">
        <v>213756.3196</v>
      </c>
      <c r="F12" s="18" t="n">
        <v>283474.93</v>
      </c>
    </row>
    <row r="14" customFormat="false" ht="15" hidden="false" customHeight="true" outlineLevel="0" collapsed="false">
      <c r="B14" s="52" t="s">
        <v>286</v>
      </c>
      <c r="C14" s="52"/>
      <c r="D14" s="52"/>
      <c r="E14" s="52"/>
      <c r="F14" s="52"/>
    </row>
    <row r="15" customFormat="false" ht="15" hidden="false" customHeight="true" outlineLevel="0" collapsed="false">
      <c r="B15" s="64" t="s">
        <v>287</v>
      </c>
      <c r="C15" s="64"/>
      <c r="D15" s="64"/>
      <c r="E15" s="65" t="n">
        <v>283474.93</v>
      </c>
    </row>
    <row r="16" customFormat="false" ht="15" hidden="false" customHeight="true" outlineLevel="0" collapsed="false">
      <c r="B16" s="64" t="s">
        <v>288</v>
      </c>
      <c r="C16" s="64"/>
      <c r="D16" s="64"/>
      <c r="E16" s="65" t="n">
        <v>213756.3196</v>
      </c>
    </row>
    <row r="17" customFormat="false" ht="15" hidden="false" customHeight="true" outlineLevel="0" collapsed="false">
      <c r="B17" s="64" t="s">
        <v>289</v>
      </c>
      <c r="C17" s="64"/>
      <c r="D17" s="64"/>
      <c r="E17" s="66" t="n">
        <v>0.754057226859532</v>
      </c>
    </row>
    <row r="18" customFormat="false" ht="15" hidden="false" customHeight="true" outlineLevel="0" collapsed="false">
      <c r="B18" s="64" t="s">
        <v>290</v>
      </c>
      <c r="C18" s="64"/>
      <c r="D18" s="64"/>
      <c r="E18" s="65" t="n">
        <v>69718.6104</v>
      </c>
    </row>
    <row r="21" customFormat="false" ht="7.5" hidden="false" customHeight="true" outlineLevel="0" collapsed="false"/>
    <row r="22" customFormat="false" ht="15" hidden="false" customHeight="true" outlineLevel="0" collapsed="false">
      <c r="B22" s="23" t="s">
        <v>51</v>
      </c>
      <c r="C22" s="23"/>
      <c r="D22" s="23"/>
      <c r="E22" s="23"/>
      <c r="F22" s="23"/>
    </row>
    <row r="23" customFormat="false" ht="15" hidden="false" customHeight="true" outlineLevel="0" collapsed="false">
      <c r="B23" s="24" t="s">
        <v>52</v>
      </c>
      <c r="C23" s="24"/>
      <c r="D23" s="24"/>
      <c r="E23" s="24"/>
      <c r="F23" s="24"/>
    </row>
    <row r="24" customFormat="false" ht="15" hidden="false" customHeight="true" outlineLevel="0" collapsed="false">
      <c r="B24" s="24" t="s">
        <v>53</v>
      </c>
      <c r="C24" s="24"/>
      <c r="D24" s="24"/>
      <c r="E24" s="24"/>
      <c r="F24" s="24"/>
    </row>
    <row r="25" customFormat="false" ht="15" hidden="false" customHeight="true" outlineLevel="0" collapsed="false">
      <c r="B25" s="24" t="s">
        <v>291</v>
      </c>
      <c r="C25" s="24"/>
      <c r="D25" s="24"/>
      <c r="E25" s="24"/>
      <c r="F25" s="24"/>
    </row>
    <row r="26" customFormat="false" ht="15" hidden="false" customHeight="true" outlineLevel="0" collapsed="false">
      <c r="B26" s="24" t="s">
        <v>292</v>
      </c>
      <c r="C26" s="24"/>
      <c r="D26" s="24"/>
      <c r="E26" s="24"/>
      <c r="F26" s="24"/>
    </row>
  </sheetData>
  <mergeCells count="13">
    <mergeCell ref="B2:F2"/>
    <mergeCell ref="B3:F3"/>
    <mergeCell ref="B5:F5"/>
    <mergeCell ref="B14:F14"/>
    <mergeCell ref="B15:D15"/>
    <mergeCell ref="B16:D16"/>
    <mergeCell ref="B17:D17"/>
    <mergeCell ref="B18:D18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2"/>
  </cols>
  <sheetData>
    <row r="2" customFormat="false" ht="25.5" hidden="false" customHeight="true" outlineLevel="0" collapsed="false">
      <c r="B2" s="25" t="s">
        <v>293</v>
      </c>
      <c r="C2" s="25"/>
      <c r="D2" s="25"/>
      <c r="E2" s="25"/>
      <c r="F2" s="25"/>
      <c r="G2" s="25"/>
    </row>
    <row r="3" customFormat="false" ht="15" hidden="false" customHeight="true" outlineLevel="0" collapsed="false">
      <c r="B3" s="45" t="s">
        <v>294</v>
      </c>
      <c r="C3" s="45"/>
      <c r="D3" s="45"/>
      <c r="E3" s="45"/>
      <c r="F3" s="45"/>
      <c r="G3" s="45"/>
    </row>
    <row r="5" customFormat="false" ht="15" hidden="false" customHeight="true" outlineLevel="0" collapsed="false">
      <c r="B5" s="43" t="s">
        <v>295</v>
      </c>
      <c r="C5" s="43"/>
      <c r="D5" s="43"/>
      <c r="E5" s="43"/>
      <c r="F5" s="43"/>
      <c r="G5" s="43"/>
    </row>
    <row r="6" customFormat="false" ht="15" hidden="false" customHeight="true" outlineLevel="0" collapsed="false">
      <c r="B6" s="64" t="s">
        <v>296</v>
      </c>
      <c r="C6" s="64"/>
      <c r="D6" s="64"/>
      <c r="E6" s="64"/>
      <c r="F6" s="65" t="n">
        <v>1469800</v>
      </c>
    </row>
    <row r="7" customFormat="false" ht="15" hidden="false" customHeight="true" outlineLevel="0" collapsed="false">
      <c r="B7" s="64" t="s">
        <v>297</v>
      </c>
      <c r="C7" s="64"/>
      <c r="D7" s="64"/>
      <c r="E7" s="64"/>
      <c r="F7" s="67" t="n">
        <v>-8837</v>
      </c>
    </row>
    <row r="8" customFormat="false" ht="15" hidden="false" customHeight="true" outlineLevel="0" collapsed="false">
      <c r="B8" s="64" t="s">
        <v>298</v>
      </c>
      <c r="C8" s="64"/>
      <c r="D8" s="64"/>
      <c r="E8" s="64"/>
      <c r="F8" s="67" t="n">
        <v>-80000</v>
      </c>
    </row>
    <row r="9" customFormat="false" ht="15" hidden="false" customHeight="true" outlineLevel="0" collapsed="false">
      <c r="B9" s="64" t="s">
        <v>299</v>
      </c>
      <c r="C9" s="64"/>
      <c r="D9" s="64"/>
      <c r="E9" s="64"/>
      <c r="F9" s="67" t="n">
        <v>-4234</v>
      </c>
    </row>
    <row r="10" customFormat="false" ht="15" hidden="false" customHeight="true" outlineLevel="0" collapsed="false">
      <c r="B10" s="64" t="s">
        <v>300</v>
      </c>
      <c r="C10" s="64"/>
      <c r="D10" s="64"/>
      <c r="E10" s="64"/>
      <c r="F10" s="68" t="n">
        <v>7842</v>
      </c>
    </row>
    <row r="11" customFormat="false" ht="15" hidden="false" customHeight="true" outlineLevel="0" collapsed="false">
      <c r="B11" s="64" t="s">
        <v>301</v>
      </c>
      <c r="C11" s="64"/>
      <c r="D11" s="64"/>
      <c r="E11" s="64"/>
      <c r="F11" s="68" t="n">
        <v>1848</v>
      </c>
    </row>
    <row r="12" customFormat="false" ht="15" hidden="false" customHeight="true" outlineLevel="0" collapsed="false">
      <c r="B12" s="69" t="s">
        <v>302</v>
      </c>
      <c r="C12" s="69"/>
      <c r="D12" s="69"/>
      <c r="E12" s="69"/>
      <c r="F12" s="18" t="n">
        <v>1386419</v>
      </c>
    </row>
    <row r="13" customFormat="false" ht="15" hidden="false" customHeight="true" outlineLevel="0" collapsed="false">
      <c r="B13" s="64" t="s">
        <v>303</v>
      </c>
      <c r="C13" s="64"/>
      <c r="D13" s="64"/>
      <c r="E13" s="64"/>
      <c r="F13" s="70" t="n">
        <v>69321</v>
      </c>
    </row>
    <row r="14" customFormat="false" ht="15" hidden="false" customHeight="true" outlineLevel="0" collapsed="false">
      <c r="B14" s="71" t="s">
        <v>304</v>
      </c>
      <c r="C14" s="71"/>
      <c r="D14" s="71"/>
      <c r="E14" s="71"/>
      <c r="F14" s="72" t="n">
        <v>1317098</v>
      </c>
    </row>
    <row r="17" customFormat="false" ht="15" hidden="false" customHeight="true" outlineLevel="0" collapsed="false">
      <c r="B17" s="35" t="s">
        <v>305</v>
      </c>
      <c r="C17" s="35"/>
      <c r="D17" s="35"/>
      <c r="E17" s="35"/>
      <c r="F17" s="35"/>
      <c r="G17" s="35"/>
    </row>
    <row r="18" customFormat="false" ht="15" hidden="false" customHeight="true" outlineLevel="0" collapsed="false">
      <c r="B18" s="10" t="s">
        <v>306</v>
      </c>
      <c r="C18" s="10" t="s">
        <v>307</v>
      </c>
      <c r="D18" s="10" t="s">
        <v>308</v>
      </c>
      <c r="E18" s="10" t="s">
        <v>309</v>
      </c>
      <c r="F18" s="10" t="s">
        <v>310</v>
      </c>
      <c r="G18" s="10" t="s">
        <v>311</v>
      </c>
    </row>
    <row r="19" customFormat="false" ht="15" hidden="false" customHeight="true" outlineLevel="0" collapsed="false">
      <c r="B19" s="27" t="n">
        <v>1</v>
      </c>
      <c r="C19" s="12" t="n">
        <v>1469800</v>
      </c>
      <c r="D19" s="12" t="n">
        <v>24000</v>
      </c>
      <c r="E19" s="14" t="n">
        <f aca="false">IF(C19=0,0,D19/C19)</f>
        <v>0.0163287522111852</v>
      </c>
      <c r="F19" s="12" t="n">
        <v>1200</v>
      </c>
      <c r="G19" s="13" t="n">
        <v>24000</v>
      </c>
    </row>
    <row r="20" customFormat="false" ht="15" hidden="false" customHeight="true" outlineLevel="0" collapsed="false">
      <c r="B20" s="27" t="n">
        <v>2</v>
      </c>
      <c r="C20" s="12" t="n">
        <v>1469800</v>
      </c>
      <c r="D20" s="12" t="n">
        <v>72000</v>
      </c>
      <c r="E20" s="14" t="n">
        <f aca="false">IF(C20=0,0,D20/C20)</f>
        <v>0.0489862566335556</v>
      </c>
      <c r="F20" s="12" t="n">
        <v>3600</v>
      </c>
      <c r="G20" s="13" t="n">
        <v>48000</v>
      </c>
    </row>
    <row r="21" customFormat="false" ht="15" hidden="false" customHeight="true" outlineLevel="0" collapsed="false">
      <c r="B21" s="27" t="n">
        <v>3</v>
      </c>
      <c r="C21" s="12" t="n">
        <v>1469800</v>
      </c>
      <c r="D21" s="12" t="n">
        <v>87400</v>
      </c>
      <c r="E21" s="14" t="n">
        <f aca="false">IF(C21=0,0,D21/C21)</f>
        <v>0.0594638726357328</v>
      </c>
      <c r="F21" s="12" t="n">
        <v>4370</v>
      </c>
      <c r="G21" s="13" t="n">
        <v>15400</v>
      </c>
    </row>
    <row r="22" customFormat="false" ht="15" hidden="false" customHeight="true" outlineLevel="0" collapsed="false">
      <c r="B22" s="27" t="n">
        <v>4</v>
      </c>
      <c r="C22" s="12" t="n">
        <v>1469800</v>
      </c>
      <c r="D22" s="12" t="n">
        <v>97500</v>
      </c>
      <c r="E22" s="14" t="n">
        <f aca="false">IF(C22=0,0,D22/C22)</f>
        <v>0.0663355558579399</v>
      </c>
      <c r="F22" s="12" t="n">
        <v>4875</v>
      </c>
      <c r="G22" s="13" t="n">
        <v>10100</v>
      </c>
    </row>
    <row r="23" customFormat="false" ht="15" hidden="false" customHeight="true" outlineLevel="0" collapsed="false">
      <c r="B23" s="27" t="n">
        <v>5</v>
      </c>
      <c r="C23" s="12" t="n">
        <v>1469800</v>
      </c>
      <c r="D23" s="12" t="n">
        <v>97500</v>
      </c>
      <c r="E23" s="14" t="n">
        <f aca="false">IF(C23=0,0,D23/C23)</f>
        <v>0.0663355558579399</v>
      </c>
      <c r="F23" s="12" t="n">
        <v>4875</v>
      </c>
      <c r="G23" s="13" t="n">
        <v>0</v>
      </c>
    </row>
    <row r="24" customFormat="false" ht="15" hidden="false" customHeight="true" outlineLevel="0" collapsed="false">
      <c r="B24" s="27" t="n">
        <v>6</v>
      </c>
      <c r="C24" s="12" t="n">
        <v>1469800</v>
      </c>
      <c r="D24" s="12" t="n">
        <v>124200</v>
      </c>
      <c r="E24" s="14" t="n">
        <f aca="false">IF(C24=0,0,D24/C24)</f>
        <v>0.0845012926928834</v>
      </c>
      <c r="F24" s="12" t="n">
        <v>6210</v>
      </c>
      <c r="G24" s="13" t="n">
        <v>26700</v>
      </c>
    </row>
    <row r="25" customFormat="false" ht="15" hidden="false" customHeight="true" outlineLevel="0" collapsed="false">
      <c r="B25" s="27" t="n">
        <v>7</v>
      </c>
      <c r="C25" s="12" t="n">
        <v>1469800</v>
      </c>
      <c r="D25" s="12" t="n">
        <v>194400</v>
      </c>
      <c r="E25" s="14" t="n">
        <f aca="false">IF(C25=0,0,D25/C25)</f>
        <v>0.1322628929106</v>
      </c>
      <c r="F25" s="12" t="n">
        <v>9720</v>
      </c>
      <c r="G25" s="13" t="n">
        <v>70200</v>
      </c>
    </row>
    <row r="26" customFormat="false" ht="15" hidden="false" customHeight="true" outlineLevel="0" collapsed="false">
      <c r="B26" s="27" t="n">
        <v>8</v>
      </c>
      <c r="C26" s="12" t="n">
        <v>1460963</v>
      </c>
      <c r="D26" s="12" t="n">
        <v>355200</v>
      </c>
      <c r="E26" s="14" t="n">
        <f aca="false">IF(C26=0,0,D26/C26)</f>
        <v>0.243127307125506</v>
      </c>
      <c r="F26" s="12" t="n">
        <v>17760</v>
      </c>
      <c r="G26" s="13" t="n">
        <v>160800</v>
      </c>
    </row>
    <row r="27" customFormat="false" ht="15" hidden="false" customHeight="true" outlineLevel="0" collapsed="false">
      <c r="B27" s="27" t="n">
        <v>9</v>
      </c>
      <c r="C27" s="12" t="n">
        <v>1380963</v>
      </c>
      <c r="D27" s="12" t="n">
        <v>498447</v>
      </c>
      <c r="E27" s="14" t="n">
        <f aca="false">IF(C27=0,0,D27/C27)</f>
        <v>0.360941603793874</v>
      </c>
      <c r="F27" s="12" t="n">
        <v>24922.35</v>
      </c>
      <c r="G27" s="13" t="n">
        <v>143247</v>
      </c>
    </row>
    <row r="28" customFormat="false" ht="15" hidden="false" customHeight="true" outlineLevel="0" collapsed="false">
      <c r="B28" s="27" t="n">
        <v>10</v>
      </c>
      <c r="C28" s="12" t="n">
        <v>1380963</v>
      </c>
      <c r="D28" s="12" t="n">
        <v>791397</v>
      </c>
      <c r="E28" s="14" t="n">
        <f aca="false">IF(C28=0,0,D28/C28)</f>
        <v>0.573076179448689</v>
      </c>
      <c r="F28" s="12" t="n">
        <v>39569.85</v>
      </c>
      <c r="G28" s="13" t="n">
        <v>292950</v>
      </c>
    </row>
    <row r="29" customFormat="false" ht="15" hidden="false" customHeight="true" outlineLevel="0" collapsed="false">
      <c r="B29" s="27" t="n">
        <v>11</v>
      </c>
      <c r="C29" s="12" t="n">
        <v>1380963</v>
      </c>
      <c r="D29" s="12" t="n">
        <v>996197</v>
      </c>
      <c r="E29" s="14" t="n">
        <f aca="false">IF(C29=0,0,D29/C29)</f>
        <v>0.721378487330942</v>
      </c>
      <c r="F29" s="12" t="n">
        <v>49809.85</v>
      </c>
      <c r="G29" s="13" t="n">
        <v>204800</v>
      </c>
    </row>
    <row r="30" customFormat="false" ht="15" hidden="false" customHeight="true" outlineLevel="0" collapsed="false">
      <c r="B30" s="27" t="n">
        <v>12</v>
      </c>
      <c r="C30" s="12" t="n">
        <v>1380963</v>
      </c>
      <c r="D30" s="12" t="n">
        <v>1036797</v>
      </c>
      <c r="E30" s="14" t="n">
        <f aca="false">IF(C30=0,0,D30/C30)</f>
        <v>0.750778261256819</v>
      </c>
      <c r="F30" s="12" t="n">
        <v>51839.85</v>
      </c>
      <c r="G30" s="13" t="n">
        <v>40600</v>
      </c>
    </row>
    <row r="31" customFormat="false" ht="15" hidden="false" customHeight="true" outlineLevel="0" collapsed="false">
      <c r="B31" s="27" t="n">
        <v>13</v>
      </c>
      <c r="C31" s="12" t="n">
        <v>1376729</v>
      </c>
      <c r="D31" s="12" t="n">
        <v>1130463</v>
      </c>
      <c r="E31" s="14" t="n">
        <f aca="false">IF(C31=0,0,D31/C31)</f>
        <v>0.821122385015497</v>
      </c>
      <c r="F31" s="12" t="n">
        <v>56523.15</v>
      </c>
      <c r="G31" s="13" t="n">
        <v>93666</v>
      </c>
    </row>
    <row r="32" customFormat="false" ht="15" hidden="false" customHeight="true" outlineLevel="0" collapsed="false">
      <c r="B32" s="27" t="n">
        <v>14</v>
      </c>
      <c r="C32" s="12" t="n">
        <v>1376729</v>
      </c>
      <c r="D32" s="12" t="n">
        <v>1137463</v>
      </c>
      <c r="E32" s="14" t="n">
        <f aca="false">IF(C32=0,0,D32/C32)</f>
        <v>0.826206900559224</v>
      </c>
      <c r="F32" s="12" t="n">
        <v>56873.15</v>
      </c>
      <c r="G32" s="13" t="n">
        <v>7000</v>
      </c>
    </row>
    <row r="33" customFormat="false" ht="15" hidden="false" customHeight="true" outlineLevel="0" collapsed="false">
      <c r="B33" s="27" t="n">
        <v>15</v>
      </c>
      <c r="C33" s="12" t="n">
        <v>1376729</v>
      </c>
      <c r="D33" s="12" t="n">
        <v>1158963</v>
      </c>
      <c r="E33" s="14" t="n">
        <f aca="false">IF(C33=0,0,D33/C33)</f>
        <v>0.8418236268721</v>
      </c>
      <c r="F33" s="12" t="n">
        <v>57948.15</v>
      </c>
      <c r="G33" s="13" t="n">
        <v>21500</v>
      </c>
    </row>
    <row r="34" customFormat="false" ht="15" hidden="false" customHeight="true" outlineLevel="0" collapsed="false">
      <c r="B34" s="27" t="n">
        <v>16</v>
      </c>
      <c r="C34" s="12" t="n">
        <v>1376729</v>
      </c>
      <c r="D34" s="12" t="n">
        <v>1312195</v>
      </c>
      <c r="E34" s="14" t="n">
        <f aca="false">IF(C34=0,0,D34/C34)</f>
        <v>0.953125124843016</v>
      </c>
      <c r="F34" s="12" t="n">
        <v>65609.75</v>
      </c>
      <c r="G34" s="13" t="n">
        <v>153232</v>
      </c>
    </row>
    <row r="35" customFormat="false" ht="15" hidden="false" customHeight="true" outlineLevel="0" collapsed="false">
      <c r="B35" s="27" t="n">
        <v>17</v>
      </c>
      <c r="C35" s="12" t="n">
        <v>1384571</v>
      </c>
      <c r="D35" s="12" t="n">
        <v>1384571</v>
      </c>
      <c r="E35" s="14" t="n">
        <f aca="false">IF(C35=0,0,D35/C35)</f>
        <v>1</v>
      </c>
      <c r="F35" s="12" t="n">
        <v>69228.55</v>
      </c>
      <c r="G35" s="13" t="n">
        <v>72376</v>
      </c>
    </row>
    <row r="36" customFormat="false" ht="15" hidden="false" customHeight="true" outlineLevel="0" collapsed="false">
      <c r="B36" s="27" t="n">
        <v>18</v>
      </c>
      <c r="C36" s="12" t="n">
        <v>1384571</v>
      </c>
      <c r="D36" s="12" t="n">
        <v>1384571</v>
      </c>
      <c r="E36" s="14" t="n">
        <f aca="false">IF(C36=0,0,D36/C36)</f>
        <v>1</v>
      </c>
      <c r="F36" s="12" t="n">
        <v>69228.55</v>
      </c>
      <c r="G36" s="13" t="n">
        <v>0</v>
      </c>
    </row>
    <row r="37" customFormat="false" ht="15" hidden="false" customHeight="true" outlineLevel="0" collapsed="false">
      <c r="B37" s="27" t="n">
        <v>19</v>
      </c>
      <c r="C37" s="12" t="n">
        <v>1386419</v>
      </c>
      <c r="D37" s="12" t="n">
        <v>1386419</v>
      </c>
      <c r="E37" s="14" t="n">
        <f aca="false">IF(C37=0,0,D37/C37)</f>
        <v>1</v>
      </c>
      <c r="F37" s="12" t="n">
        <v>69320.95</v>
      </c>
      <c r="G37" s="13" t="n">
        <v>1848</v>
      </c>
    </row>
    <row r="41" customFormat="false" ht="7.5" hidden="false" customHeight="true" outlineLevel="0" collapsed="false"/>
    <row r="42" customFormat="false" ht="15" hidden="false" customHeight="true" outlineLevel="0" collapsed="false">
      <c r="B42" s="23" t="s">
        <v>51</v>
      </c>
      <c r="C42" s="23"/>
      <c r="D42" s="23"/>
      <c r="E42" s="23"/>
      <c r="F42" s="23"/>
      <c r="G42" s="23"/>
    </row>
    <row r="43" customFormat="false" ht="15" hidden="false" customHeight="true" outlineLevel="0" collapsed="false">
      <c r="B43" s="24" t="s">
        <v>52</v>
      </c>
      <c r="C43" s="24"/>
      <c r="D43" s="24"/>
      <c r="E43" s="24"/>
      <c r="F43" s="24"/>
      <c r="G43" s="24"/>
    </row>
    <row r="44" customFormat="false" ht="15" hidden="false" customHeight="true" outlineLevel="0" collapsed="false">
      <c r="B44" s="24" t="s">
        <v>53</v>
      </c>
      <c r="C44" s="24"/>
      <c r="D44" s="24"/>
      <c r="E44" s="24"/>
      <c r="F44" s="24"/>
      <c r="G44" s="24"/>
    </row>
    <row r="45" customFormat="false" ht="15" hidden="false" customHeight="true" outlineLevel="0" collapsed="false">
      <c r="B45" s="24" t="s">
        <v>312</v>
      </c>
      <c r="C45" s="24"/>
      <c r="D45" s="24"/>
      <c r="E45" s="24"/>
      <c r="F45" s="24"/>
      <c r="G45" s="24"/>
    </row>
    <row r="46" customFormat="false" ht="15" hidden="false" customHeight="true" outlineLevel="0" collapsed="false">
      <c r="B46" s="24" t="s">
        <v>313</v>
      </c>
      <c r="C46" s="24"/>
      <c r="D46" s="24"/>
      <c r="E46" s="24"/>
      <c r="F46" s="24"/>
      <c r="G46" s="24"/>
    </row>
  </sheetData>
  <mergeCells count="18">
    <mergeCell ref="B2:G2"/>
    <mergeCell ref="B3:G3"/>
    <mergeCell ref="B5:G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7:G17"/>
    <mergeCell ref="B42:G42"/>
    <mergeCell ref="B43:G43"/>
    <mergeCell ref="B44:G44"/>
    <mergeCell ref="B45:G45"/>
    <mergeCell ref="B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95"/>
    <col collapsed="false" customWidth="true" hidden="false" outlineLevel="0" max="4" min="4" style="1" width="2"/>
  </cols>
  <sheetData>
    <row r="2" customFormat="false" ht="25.5" hidden="false" customHeight="true" outlineLevel="0" collapsed="false">
      <c r="B2" s="25" t="s">
        <v>314</v>
      </c>
      <c r="C2" s="25"/>
    </row>
    <row r="3" customFormat="false" ht="15" hidden="false" customHeight="true" outlineLevel="0" collapsed="false">
      <c r="B3" s="45" t="s">
        <v>315</v>
      </c>
      <c r="C3" s="45"/>
    </row>
    <row r="5" customFormat="false" ht="51.75" hidden="false" customHeight="true" outlineLevel="0" collapsed="false">
      <c r="B5" s="73" t="s">
        <v>316</v>
      </c>
      <c r="C5" s="74" t="s">
        <v>317</v>
      </c>
    </row>
    <row r="6" customFormat="false" ht="51.75" hidden="false" customHeight="true" outlineLevel="0" collapsed="false">
      <c r="B6" s="73" t="s">
        <v>318</v>
      </c>
      <c r="C6" s="74" t="s">
        <v>319</v>
      </c>
    </row>
    <row r="7" customFormat="false" ht="51.75" hidden="false" customHeight="true" outlineLevel="0" collapsed="false">
      <c r="B7" s="73" t="s">
        <v>320</v>
      </c>
      <c r="C7" s="74" t="s">
        <v>321</v>
      </c>
    </row>
    <row r="8" customFormat="false" ht="51.75" hidden="false" customHeight="true" outlineLevel="0" collapsed="false">
      <c r="B8" s="73" t="s">
        <v>322</v>
      </c>
      <c r="C8" s="74" t="s">
        <v>323</v>
      </c>
    </row>
    <row r="9" customFormat="false" ht="51.75" hidden="false" customHeight="true" outlineLevel="0" collapsed="false">
      <c r="B9" s="73" t="s">
        <v>324</v>
      </c>
      <c r="C9" s="74" t="s">
        <v>325</v>
      </c>
    </row>
    <row r="10" customFormat="false" ht="51.75" hidden="false" customHeight="true" outlineLevel="0" collapsed="false">
      <c r="B10" s="73" t="s">
        <v>326</v>
      </c>
      <c r="C10" s="74" t="s">
        <v>327</v>
      </c>
    </row>
    <row r="11" customFormat="false" ht="51.75" hidden="false" customHeight="true" outlineLevel="0" collapsed="false">
      <c r="B11" s="73" t="s">
        <v>328</v>
      </c>
      <c r="C11" s="74" t="s">
        <v>329</v>
      </c>
    </row>
    <row r="12" customFormat="false" ht="51.75" hidden="false" customHeight="true" outlineLevel="0" collapsed="false">
      <c r="B12" s="73" t="s">
        <v>330</v>
      </c>
      <c r="C12" s="74" t="s">
        <v>331</v>
      </c>
    </row>
    <row r="13" customFormat="false" ht="51.75" hidden="false" customHeight="true" outlineLevel="0" collapsed="false">
      <c r="B13" s="73" t="s">
        <v>332</v>
      </c>
      <c r="C13" s="74" t="s">
        <v>333</v>
      </c>
    </row>
    <row r="14" customFormat="false" ht="51.75" hidden="false" customHeight="true" outlineLevel="0" collapsed="false">
      <c r="B14" s="73" t="s">
        <v>334</v>
      </c>
      <c r="C14" s="74" t="s">
        <v>335</v>
      </c>
    </row>
    <row r="15" customFormat="false" ht="51.75" hidden="false" customHeight="true" outlineLevel="0" collapsed="false">
      <c r="B15" s="73" t="s">
        <v>336</v>
      </c>
      <c r="C15" s="74" t="s">
        <v>337</v>
      </c>
    </row>
    <row r="16" customFormat="false" ht="51.75" hidden="false" customHeight="true" outlineLevel="0" collapsed="false">
      <c r="B16" s="73" t="s">
        <v>338</v>
      </c>
      <c r="C16" s="74" t="s">
        <v>339</v>
      </c>
    </row>
    <row r="18" customFormat="false" ht="15" hidden="false" customHeight="true" outlineLevel="0" collapsed="false">
      <c r="B18" s="41" t="s">
        <v>340</v>
      </c>
      <c r="C18" s="41"/>
    </row>
    <row r="19" customFormat="false" ht="60" hidden="false" customHeight="true" outlineLevel="0" collapsed="false">
      <c r="B19" s="75" t="s">
        <v>341</v>
      </c>
      <c r="C19" s="75"/>
    </row>
    <row r="21" customFormat="false" ht="7.5" hidden="false" customHeight="true" outlineLevel="0" collapsed="false"/>
    <row r="22" customFormat="false" ht="15" hidden="false" customHeight="true" outlineLevel="0" collapsed="false">
      <c r="B22" s="23" t="s">
        <v>51</v>
      </c>
      <c r="C22" s="23"/>
    </row>
    <row r="23" customFormat="false" ht="15" hidden="false" customHeight="true" outlineLevel="0" collapsed="false">
      <c r="B23" s="24" t="s">
        <v>52</v>
      </c>
      <c r="C23" s="24"/>
    </row>
    <row r="24" customFormat="false" ht="15" hidden="false" customHeight="true" outlineLevel="0" collapsed="false">
      <c r="B24" s="24" t="s">
        <v>53</v>
      </c>
      <c r="C24" s="24"/>
    </row>
  </sheetData>
  <mergeCells count="7">
    <mergeCell ref="B2:C2"/>
    <mergeCell ref="B3:C3"/>
    <mergeCell ref="B18:C18"/>
    <mergeCell ref="B19:C19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42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342</v>
      </c>
      <c r="C2" s="25"/>
      <c r="D2" s="25"/>
      <c r="E2" s="25"/>
      <c r="F2" s="25"/>
    </row>
    <row r="3" customFormat="false" ht="15" hidden="false" customHeight="true" outlineLevel="0" collapsed="false">
      <c r="B3" s="45" t="s">
        <v>343</v>
      </c>
      <c r="C3" s="45"/>
      <c r="D3" s="45"/>
      <c r="E3" s="45"/>
      <c r="F3" s="45"/>
    </row>
    <row r="5" customFormat="false" ht="15" hidden="false" customHeight="true" outlineLevel="0" collapsed="false">
      <c r="B5" s="10" t="s">
        <v>344</v>
      </c>
      <c r="C5" s="10" t="s">
        <v>345</v>
      </c>
      <c r="D5" s="10" t="s">
        <v>28</v>
      </c>
      <c r="E5" s="10" t="s">
        <v>15</v>
      </c>
      <c r="F5" s="10" t="s">
        <v>247</v>
      </c>
    </row>
    <row r="6" customFormat="false" ht="15" hidden="false" customHeight="true" outlineLevel="0" collapsed="false">
      <c r="B6" s="27" t="s">
        <v>346</v>
      </c>
      <c r="C6" s="76" t="s">
        <v>347</v>
      </c>
      <c r="D6" s="27" t="s">
        <v>348</v>
      </c>
      <c r="E6" s="16" t="s">
        <v>349</v>
      </c>
      <c r="F6" s="74" t="s">
        <v>350</v>
      </c>
    </row>
    <row r="7" customFormat="false" ht="15" hidden="false" customHeight="true" outlineLevel="0" collapsed="false">
      <c r="B7" s="27" t="s">
        <v>351</v>
      </c>
      <c r="C7" s="76" t="s">
        <v>352</v>
      </c>
      <c r="D7" s="27" t="s">
        <v>353</v>
      </c>
      <c r="E7" s="16" t="s">
        <v>349</v>
      </c>
      <c r="F7" s="74"/>
    </row>
    <row r="8" customFormat="false" ht="15" hidden="false" customHeight="true" outlineLevel="0" collapsed="false">
      <c r="B8" s="27" t="s">
        <v>354</v>
      </c>
      <c r="C8" s="76" t="s">
        <v>355</v>
      </c>
      <c r="D8" s="27" t="s">
        <v>356</v>
      </c>
      <c r="E8" s="16" t="s">
        <v>349</v>
      </c>
      <c r="F8" s="74"/>
    </row>
    <row r="9" customFormat="false" ht="15" hidden="false" customHeight="true" outlineLevel="0" collapsed="false">
      <c r="B9" s="27" t="s">
        <v>357</v>
      </c>
      <c r="C9" s="76" t="s">
        <v>358</v>
      </c>
      <c r="D9" s="27" t="s">
        <v>359</v>
      </c>
      <c r="E9" s="16" t="s">
        <v>349</v>
      </c>
      <c r="F9" s="74"/>
    </row>
    <row r="10" customFormat="false" ht="15" hidden="false" customHeight="true" outlineLevel="0" collapsed="false">
      <c r="B10" s="27" t="s">
        <v>360</v>
      </c>
      <c r="C10" s="76" t="s">
        <v>361</v>
      </c>
      <c r="D10" s="27" t="s">
        <v>362</v>
      </c>
      <c r="E10" s="16" t="s">
        <v>349</v>
      </c>
      <c r="F10" s="74" t="s">
        <v>363</v>
      </c>
    </row>
    <row r="11" customFormat="false" ht="15" hidden="false" customHeight="true" outlineLevel="0" collapsed="false">
      <c r="B11" s="27" t="s">
        <v>364</v>
      </c>
      <c r="C11" s="76" t="s">
        <v>365</v>
      </c>
      <c r="D11" s="13" t="n">
        <v>24</v>
      </c>
      <c r="E11" s="16" t="s">
        <v>349</v>
      </c>
      <c r="F11" s="74" t="s">
        <v>366</v>
      </c>
    </row>
    <row r="12" customFormat="false" ht="15" hidden="false" customHeight="true" outlineLevel="0" collapsed="false">
      <c r="B12" s="27" t="s">
        <v>367</v>
      </c>
      <c r="C12" s="76" t="s">
        <v>368</v>
      </c>
      <c r="D12" s="37" t="n">
        <v>165</v>
      </c>
      <c r="E12" s="16" t="s">
        <v>349</v>
      </c>
      <c r="F12" s="74" t="s">
        <v>369</v>
      </c>
    </row>
    <row r="13" customFormat="false" ht="15" hidden="false" customHeight="true" outlineLevel="0" collapsed="false">
      <c r="B13" s="27" t="s">
        <v>34</v>
      </c>
      <c r="C13" s="76" t="s">
        <v>370</v>
      </c>
      <c r="D13" s="37" t="n">
        <v>803</v>
      </c>
      <c r="E13" s="16" t="s">
        <v>349</v>
      </c>
      <c r="F13" s="74" t="s">
        <v>371</v>
      </c>
    </row>
    <row r="14" customFormat="false" ht="15" hidden="false" customHeight="true" outlineLevel="0" collapsed="false">
      <c r="B14" s="27" t="s">
        <v>372</v>
      </c>
      <c r="C14" s="76" t="s">
        <v>373</v>
      </c>
      <c r="D14" s="77" t="n">
        <v>4.86666666666667</v>
      </c>
      <c r="E14" s="16" t="s">
        <v>349</v>
      </c>
      <c r="F14" s="74"/>
    </row>
    <row r="15" customFormat="false" ht="15" hidden="false" customHeight="true" outlineLevel="0" collapsed="false">
      <c r="B15" s="27" t="s">
        <v>374</v>
      </c>
      <c r="C15" s="76" t="s">
        <v>375</v>
      </c>
      <c r="D15" s="13" t="n">
        <v>1469800</v>
      </c>
      <c r="E15" s="49" t="s">
        <v>376</v>
      </c>
      <c r="F15" s="74"/>
    </row>
    <row r="16" customFormat="false" ht="15" hidden="false" customHeight="true" outlineLevel="0" collapsed="false">
      <c r="B16" s="27" t="s">
        <v>377</v>
      </c>
      <c r="C16" s="76" t="s">
        <v>378</v>
      </c>
      <c r="D16" s="13" t="n">
        <v>1386419</v>
      </c>
      <c r="E16" s="49" t="s">
        <v>376</v>
      </c>
      <c r="F16" s="74" t="s">
        <v>379</v>
      </c>
    </row>
    <row r="17" customFormat="false" ht="15" hidden="false" customHeight="true" outlineLevel="0" collapsed="false">
      <c r="B17" s="27" t="s">
        <v>380</v>
      </c>
      <c r="C17" s="76" t="s">
        <v>381</v>
      </c>
      <c r="D17" s="13" t="n">
        <v>-83381</v>
      </c>
      <c r="E17" s="49" t="s">
        <v>376</v>
      </c>
      <c r="F17" s="74" t="s">
        <v>382</v>
      </c>
    </row>
    <row r="18" customFormat="false" ht="15" hidden="false" customHeight="true" outlineLevel="0" collapsed="false">
      <c r="B18" s="27" t="s">
        <v>383</v>
      </c>
      <c r="C18" s="76" t="s">
        <v>384</v>
      </c>
      <c r="D18" s="13" t="n">
        <v>1386419</v>
      </c>
      <c r="E18" s="49" t="s">
        <v>376</v>
      </c>
      <c r="F18" s="74"/>
    </row>
    <row r="19" customFormat="false" ht="15" hidden="false" customHeight="true" outlineLevel="0" collapsed="false">
      <c r="B19" s="27" t="s">
        <v>385</v>
      </c>
      <c r="C19" s="76" t="s">
        <v>386</v>
      </c>
      <c r="D19" s="13" t="n">
        <v>751270</v>
      </c>
      <c r="E19" s="49" t="s">
        <v>376</v>
      </c>
      <c r="F19" s="74"/>
    </row>
    <row r="20" customFormat="false" ht="15" hidden="false" customHeight="true" outlineLevel="0" collapsed="false">
      <c r="B20" s="27" t="s">
        <v>387</v>
      </c>
      <c r="C20" s="76" t="s">
        <v>388</v>
      </c>
      <c r="D20" s="14" t="n">
        <v>0.541878032542832</v>
      </c>
      <c r="E20" s="49" t="s">
        <v>376</v>
      </c>
      <c r="F20" s="74" t="s">
        <v>389</v>
      </c>
    </row>
    <row r="21" customFormat="false" ht="15" hidden="false" customHeight="true" outlineLevel="0" collapsed="false">
      <c r="B21" s="27" t="s">
        <v>130</v>
      </c>
      <c r="C21" s="76" t="s">
        <v>390</v>
      </c>
      <c r="D21" s="13" t="n">
        <v>635149</v>
      </c>
      <c r="E21" s="49" t="s">
        <v>376</v>
      </c>
      <c r="F21" s="74"/>
    </row>
    <row r="22" customFormat="false" ht="15" hidden="false" customHeight="true" outlineLevel="0" collapsed="false">
      <c r="B22" s="27" t="s">
        <v>391</v>
      </c>
      <c r="C22" s="76" t="s">
        <v>392</v>
      </c>
      <c r="D22" s="13" t="n">
        <v>202987.93</v>
      </c>
      <c r="E22" s="11" t="s">
        <v>21</v>
      </c>
      <c r="F22" s="74" t="s">
        <v>393</v>
      </c>
    </row>
    <row r="23" customFormat="false" ht="15" hidden="false" customHeight="true" outlineLevel="0" collapsed="false">
      <c r="B23" s="27" t="s">
        <v>394</v>
      </c>
      <c r="C23" s="76" t="s">
        <v>395</v>
      </c>
      <c r="D23" s="13" t="n">
        <v>283474.93</v>
      </c>
      <c r="E23" s="15" t="s">
        <v>22</v>
      </c>
      <c r="F23" s="74" t="s">
        <v>396</v>
      </c>
    </row>
    <row r="24" customFormat="false" ht="23.25" hidden="false" customHeight="true" outlineLevel="0" collapsed="false">
      <c r="B24" s="27" t="s">
        <v>397</v>
      </c>
      <c r="C24" s="76" t="s">
        <v>398</v>
      </c>
      <c r="D24" s="13" t="n">
        <v>45271.65</v>
      </c>
      <c r="E24" s="49" t="s">
        <v>376</v>
      </c>
      <c r="F24" s="74" t="s">
        <v>399</v>
      </c>
    </row>
    <row r="25" customFormat="false" ht="15" hidden="false" customHeight="true" outlineLevel="0" collapsed="false">
      <c r="B25" s="27" t="s">
        <v>400</v>
      </c>
      <c r="C25" s="76" t="s">
        <v>401</v>
      </c>
      <c r="D25" s="13" t="n">
        <v>103414.01</v>
      </c>
      <c r="E25" s="49" t="s">
        <v>376</v>
      </c>
      <c r="F25" s="74" t="s">
        <v>402</v>
      </c>
    </row>
    <row r="26" customFormat="false" ht="15" hidden="false" customHeight="true" outlineLevel="0" collapsed="false">
      <c r="B26" s="27" t="s">
        <v>310</v>
      </c>
      <c r="C26" s="76" t="s">
        <v>403</v>
      </c>
      <c r="D26" s="13" t="n">
        <v>69321</v>
      </c>
      <c r="E26" s="49" t="s">
        <v>376</v>
      </c>
      <c r="F26" s="74" t="s">
        <v>404</v>
      </c>
    </row>
    <row r="27" customFormat="false" ht="15" hidden="false" customHeight="true" outlineLevel="0" collapsed="false">
      <c r="B27" s="27" t="s">
        <v>405</v>
      </c>
      <c r="C27" s="76" t="s">
        <v>406</v>
      </c>
      <c r="D27" s="13" t="n">
        <v>8402.53939393939</v>
      </c>
      <c r="E27" s="49" t="s">
        <v>376</v>
      </c>
      <c r="F27" s="74"/>
    </row>
    <row r="28" customFormat="false" ht="15" hidden="false" customHeight="true" outlineLevel="0" collapsed="false">
      <c r="B28" s="27" t="s">
        <v>407</v>
      </c>
      <c r="C28" s="76" t="s">
        <v>408</v>
      </c>
      <c r="D28" s="13" t="n">
        <v>4553.15151515152</v>
      </c>
      <c r="E28" s="49" t="s">
        <v>376</v>
      </c>
      <c r="F28" s="74"/>
    </row>
    <row r="29" customFormat="false" ht="15" hidden="false" customHeight="true" outlineLevel="0" collapsed="false">
      <c r="B29" s="27" t="s">
        <v>409</v>
      </c>
      <c r="C29" s="76" t="s">
        <v>410</v>
      </c>
      <c r="D29" s="13" t="n">
        <v>3849.38787878788</v>
      </c>
      <c r="E29" s="49" t="s">
        <v>376</v>
      </c>
      <c r="F29" s="74"/>
    </row>
    <row r="30" customFormat="false" ht="15" hidden="false" customHeight="true" outlineLevel="0" collapsed="false">
      <c r="B30" s="27" t="s">
        <v>411</v>
      </c>
      <c r="C30" s="76" t="s">
        <v>412</v>
      </c>
      <c r="D30" s="13" t="n">
        <v>1230.22987878788</v>
      </c>
      <c r="E30" s="11" t="s">
        <v>21</v>
      </c>
      <c r="F30" s="74"/>
    </row>
    <row r="31" customFormat="false" ht="15" hidden="false" customHeight="true" outlineLevel="0" collapsed="false">
      <c r="B31" s="27" t="s">
        <v>413</v>
      </c>
      <c r="C31" s="76" t="s">
        <v>414</v>
      </c>
      <c r="D31" s="13" t="n">
        <v>1718.02987878788</v>
      </c>
      <c r="E31" s="15" t="s">
        <v>22</v>
      </c>
      <c r="F31" s="74"/>
    </row>
    <row r="32" customFormat="false" ht="15" hidden="false" customHeight="true" outlineLevel="0" collapsed="false">
      <c r="B32" s="27" t="s">
        <v>415</v>
      </c>
      <c r="C32" s="76" t="s">
        <v>416</v>
      </c>
      <c r="D32" s="47" t="n">
        <v>1726.54919053549</v>
      </c>
      <c r="E32" s="49" t="s">
        <v>376</v>
      </c>
      <c r="F32" s="74"/>
    </row>
    <row r="33" customFormat="false" ht="15" hidden="false" customHeight="true" outlineLevel="0" collapsed="false">
      <c r="B33" s="27" t="s">
        <v>417</v>
      </c>
      <c r="C33" s="76" t="s">
        <v>418</v>
      </c>
      <c r="D33" s="47" t="n">
        <v>935.579078455791</v>
      </c>
      <c r="E33" s="49" t="s">
        <v>376</v>
      </c>
      <c r="F33" s="74"/>
    </row>
    <row r="34" customFormat="false" ht="15" hidden="false" customHeight="true" outlineLevel="0" collapsed="false">
      <c r="B34" s="27" t="s">
        <v>419</v>
      </c>
      <c r="C34" s="76" t="s">
        <v>420</v>
      </c>
      <c r="D34" s="47" t="n">
        <v>790.970112079701</v>
      </c>
      <c r="E34" s="49" t="s">
        <v>376</v>
      </c>
      <c r="F34" s="74"/>
    </row>
    <row r="35" customFormat="false" ht="15" hidden="false" customHeight="true" outlineLevel="0" collapsed="false">
      <c r="B35" s="27" t="s">
        <v>421</v>
      </c>
      <c r="C35" s="76" t="s">
        <v>422</v>
      </c>
      <c r="D35" s="47" t="n">
        <v>252.78696139477</v>
      </c>
      <c r="E35" s="11" t="s">
        <v>21</v>
      </c>
      <c r="F35" s="74"/>
    </row>
    <row r="36" customFormat="false" ht="15" hidden="false" customHeight="true" outlineLevel="0" collapsed="false">
      <c r="B36" s="27" t="s">
        <v>423</v>
      </c>
      <c r="C36" s="76" t="s">
        <v>424</v>
      </c>
      <c r="D36" s="47" t="n">
        <v>353.019838107098</v>
      </c>
      <c r="E36" s="15" t="s">
        <v>22</v>
      </c>
      <c r="F36" s="74"/>
    </row>
    <row r="37" customFormat="false" ht="15" hidden="false" customHeight="true" outlineLevel="0" collapsed="false">
      <c r="B37" s="27" t="s">
        <v>425</v>
      </c>
      <c r="C37" s="76" t="s">
        <v>426</v>
      </c>
      <c r="D37" s="37" t="n">
        <v>10260</v>
      </c>
      <c r="E37" s="11" t="s">
        <v>21</v>
      </c>
      <c r="F37" s="74" t="s">
        <v>427</v>
      </c>
    </row>
    <row r="38" customFormat="false" ht="15" hidden="false" customHeight="true" outlineLevel="0" collapsed="false">
      <c r="B38" s="27" t="s">
        <v>428</v>
      </c>
      <c r="C38" s="76" t="s">
        <v>429</v>
      </c>
      <c r="D38" s="37" t="n">
        <v>22</v>
      </c>
      <c r="E38" s="11" t="s">
        <v>21</v>
      </c>
      <c r="F38" s="74" t="s">
        <v>430</v>
      </c>
    </row>
    <row r="39" customFormat="false" ht="15" hidden="false" customHeight="true" outlineLevel="0" collapsed="false">
      <c r="B39" s="27" t="s">
        <v>213</v>
      </c>
      <c r="C39" s="76" t="s">
        <v>431</v>
      </c>
      <c r="D39" s="47" t="n">
        <v>19.7685595879746</v>
      </c>
      <c r="E39" s="11" t="s">
        <v>21</v>
      </c>
      <c r="F39" s="74" t="s">
        <v>432</v>
      </c>
    </row>
    <row r="40" customFormat="false" ht="15" hidden="false" customHeight="true" outlineLevel="0" collapsed="false">
      <c r="B40" s="27" t="s">
        <v>215</v>
      </c>
      <c r="C40" s="76" t="s">
        <v>433</v>
      </c>
      <c r="D40" s="47" t="n">
        <v>29.8637368421053</v>
      </c>
      <c r="E40" s="11" t="s">
        <v>21</v>
      </c>
      <c r="F40" s="74" t="s">
        <v>434</v>
      </c>
    </row>
    <row r="41" customFormat="false" ht="15" hidden="false" customHeight="true" outlineLevel="0" collapsed="false">
      <c r="B41" s="27" t="s">
        <v>217</v>
      </c>
      <c r="C41" s="76" t="s">
        <v>435</v>
      </c>
      <c r="D41" s="78" t="n">
        <v>1.51066832710825</v>
      </c>
      <c r="E41" s="11" t="s">
        <v>21</v>
      </c>
      <c r="F41" s="74"/>
    </row>
    <row r="42" customFormat="false" ht="15" hidden="false" customHeight="true" outlineLevel="0" collapsed="false">
      <c r="B42" s="27" t="s">
        <v>436</v>
      </c>
      <c r="C42" s="76" t="s">
        <v>437</v>
      </c>
      <c r="D42" s="37" t="n">
        <v>62.1818181818182</v>
      </c>
      <c r="E42" s="11" t="s">
        <v>21</v>
      </c>
      <c r="F42" s="74" t="s">
        <v>438</v>
      </c>
    </row>
    <row r="43" customFormat="false" ht="15" hidden="false" customHeight="true" outlineLevel="0" collapsed="false">
      <c r="B43" s="27" t="s">
        <v>439</v>
      </c>
      <c r="C43" s="76" t="s">
        <v>440</v>
      </c>
      <c r="D43" s="37" t="n">
        <v>12.7770859277709</v>
      </c>
      <c r="E43" s="11" t="s">
        <v>21</v>
      </c>
      <c r="F43" s="74" t="s">
        <v>438</v>
      </c>
    </row>
    <row r="44" customFormat="false" ht="15" hidden="false" customHeight="true" outlineLevel="0" collapsed="false">
      <c r="B44" s="27" t="s">
        <v>441</v>
      </c>
      <c r="C44" s="76" t="s">
        <v>442</v>
      </c>
      <c r="D44" s="47" t="n">
        <v>135.128557504873</v>
      </c>
      <c r="E44" s="48" t="s">
        <v>443</v>
      </c>
      <c r="F44" s="74"/>
    </row>
    <row r="45" customFormat="false" ht="15" hidden="false" customHeight="true" outlineLevel="0" collapsed="false">
      <c r="B45" s="27" t="s">
        <v>444</v>
      </c>
      <c r="C45" s="76" t="s">
        <v>445</v>
      </c>
      <c r="D45" s="47" t="n">
        <v>73.2231968810916</v>
      </c>
      <c r="E45" s="48" t="s">
        <v>443</v>
      </c>
      <c r="F45" s="74"/>
    </row>
    <row r="46" customFormat="false" ht="15" hidden="false" customHeight="true" outlineLevel="0" collapsed="false">
      <c r="B46" s="27" t="s">
        <v>446</v>
      </c>
      <c r="C46" s="76" t="s">
        <v>447</v>
      </c>
      <c r="D46" s="14" t="n">
        <v>0.146411676412398</v>
      </c>
      <c r="E46" s="17" t="s">
        <v>448</v>
      </c>
      <c r="F46" s="74"/>
    </row>
    <row r="47" customFormat="false" ht="15" hidden="false" customHeight="true" outlineLevel="0" collapsed="false">
      <c r="B47" s="27" t="s">
        <v>449</v>
      </c>
      <c r="C47" s="76" t="s">
        <v>450</v>
      </c>
      <c r="D47" s="14" t="n">
        <v>0.204465554785386</v>
      </c>
      <c r="E47" s="17" t="s">
        <v>448</v>
      </c>
      <c r="F47" s="74"/>
    </row>
    <row r="48" customFormat="false" ht="15" hidden="false" customHeight="true" outlineLevel="0" collapsed="false">
      <c r="B48" s="27" t="s">
        <v>451</v>
      </c>
      <c r="C48" s="76" t="s">
        <v>452</v>
      </c>
      <c r="D48" s="13" t="n">
        <v>57767.4583333333</v>
      </c>
      <c r="E48" s="48" t="s">
        <v>443</v>
      </c>
      <c r="F48" s="74"/>
    </row>
    <row r="49" customFormat="false" ht="15" hidden="false" customHeight="true" outlineLevel="0" collapsed="false">
      <c r="B49" s="27" t="s">
        <v>453</v>
      </c>
      <c r="C49" s="76" t="s">
        <v>454</v>
      </c>
      <c r="D49" s="37" t="n">
        <v>427.5</v>
      </c>
      <c r="E49" s="48" t="s">
        <v>443</v>
      </c>
      <c r="F49" s="74"/>
    </row>
    <row r="50" customFormat="false" ht="15" hidden="false" customHeight="true" outlineLevel="0" collapsed="false">
      <c r="B50" s="27" t="s">
        <v>455</v>
      </c>
      <c r="C50" s="76" t="s">
        <v>456</v>
      </c>
      <c r="D50" s="13" t="n">
        <v>6.875</v>
      </c>
      <c r="E50" s="48" t="s">
        <v>443</v>
      </c>
      <c r="F50" s="74"/>
    </row>
    <row r="51" customFormat="false" ht="15" hidden="false" customHeight="true" outlineLevel="0" collapsed="false">
      <c r="B51" s="27" t="s">
        <v>457</v>
      </c>
      <c r="C51" s="76" t="s">
        <v>458</v>
      </c>
      <c r="D51" s="37" t="n">
        <v>18</v>
      </c>
      <c r="E51" s="15" t="s">
        <v>22</v>
      </c>
      <c r="F51" s="74" t="s">
        <v>459</v>
      </c>
    </row>
    <row r="52" customFormat="false" ht="15" hidden="false" customHeight="true" outlineLevel="0" collapsed="false">
      <c r="B52" s="27" t="s">
        <v>460</v>
      </c>
      <c r="C52" s="76" t="s">
        <v>461</v>
      </c>
      <c r="D52" s="13" t="n">
        <v>177081.94</v>
      </c>
      <c r="E52" s="15" t="s">
        <v>22</v>
      </c>
      <c r="F52" s="74" t="s">
        <v>462</v>
      </c>
    </row>
    <row r="53" customFormat="false" ht="15" hidden="false" customHeight="true" outlineLevel="0" collapsed="false">
      <c r="B53" s="27" t="s">
        <v>463</v>
      </c>
      <c r="C53" s="76" t="s">
        <v>464</v>
      </c>
      <c r="D53" s="14" t="n">
        <v>0.554905717982568</v>
      </c>
      <c r="E53" s="15" t="s">
        <v>22</v>
      </c>
      <c r="F53" s="74"/>
    </row>
    <row r="54" customFormat="false" ht="15" hidden="false" customHeight="true" outlineLevel="0" collapsed="false">
      <c r="B54" s="27" t="s">
        <v>465</v>
      </c>
      <c r="C54" s="76" t="s">
        <v>466</v>
      </c>
      <c r="D54" s="37" t="n">
        <v>24</v>
      </c>
      <c r="E54" s="15" t="s">
        <v>22</v>
      </c>
      <c r="F54" s="74"/>
    </row>
    <row r="55" customFormat="false" ht="15" hidden="false" customHeight="true" outlineLevel="0" collapsed="false">
      <c r="B55" s="27" t="s">
        <v>274</v>
      </c>
      <c r="C55" s="76" t="s">
        <v>467</v>
      </c>
      <c r="D55" s="13" t="n">
        <v>213756.3196</v>
      </c>
      <c r="E55" s="15" t="s">
        <v>22</v>
      </c>
      <c r="F55" s="74"/>
    </row>
    <row r="56" customFormat="false" ht="15" hidden="false" customHeight="true" outlineLevel="0" collapsed="false">
      <c r="B56" s="27" t="s">
        <v>289</v>
      </c>
      <c r="C56" s="76" t="s">
        <v>468</v>
      </c>
      <c r="D56" s="14" t="n">
        <v>0.754057226859532</v>
      </c>
      <c r="E56" s="15" t="s">
        <v>22</v>
      </c>
      <c r="F56" s="74"/>
    </row>
    <row r="59" customFormat="false" ht="7.5" hidden="false" customHeight="true" outlineLevel="0" collapsed="false"/>
    <row r="60" customFormat="false" ht="15" hidden="false" customHeight="true" outlineLevel="0" collapsed="false">
      <c r="B60" s="23" t="s">
        <v>51</v>
      </c>
      <c r="C60" s="23"/>
      <c r="D60" s="23"/>
      <c r="E60" s="23"/>
      <c r="F60" s="23"/>
    </row>
    <row r="61" customFormat="false" ht="15" hidden="false" customHeight="true" outlineLevel="0" collapsed="false">
      <c r="B61" s="24" t="s">
        <v>52</v>
      </c>
      <c r="C61" s="24"/>
      <c r="D61" s="24"/>
      <c r="E61" s="24"/>
      <c r="F61" s="24"/>
    </row>
    <row r="62" customFormat="false" ht="15" hidden="false" customHeight="true" outlineLevel="0" collapsed="false">
      <c r="B62" s="24" t="s">
        <v>53</v>
      </c>
      <c r="C62" s="24"/>
      <c r="D62" s="24"/>
      <c r="E62" s="24"/>
      <c r="F62" s="24"/>
    </row>
    <row r="63" customFormat="false" ht="15" hidden="false" customHeight="true" outlineLevel="0" collapsed="false">
      <c r="B63" s="24" t="s">
        <v>469</v>
      </c>
      <c r="C63" s="24"/>
      <c r="D63" s="24"/>
      <c r="E63" s="24"/>
      <c r="F63" s="24"/>
    </row>
  </sheetData>
  <mergeCells count="6">
    <mergeCell ref="B2:F2"/>
    <mergeCell ref="B3:F3"/>
    <mergeCell ref="B60:F60"/>
    <mergeCell ref="B61:F61"/>
    <mergeCell ref="B62:F62"/>
    <mergeCell ref="B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"/>
  </cols>
  <sheetData>
    <row r="2" customFormat="false" ht="25.5" hidden="false" customHeight="true" outlineLevel="0" collapsed="false">
      <c r="B2" s="25" t="s">
        <v>470</v>
      </c>
      <c r="C2" s="25"/>
      <c r="D2" s="25"/>
      <c r="E2" s="25"/>
      <c r="F2" s="25"/>
    </row>
    <row r="4" customFormat="false" ht="15" hidden="false" customHeight="true" outlineLevel="0" collapsed="false">
      <c r="B4" s="10" t="s">
        <v>471</v>
      </c>
      <c r="C4" s="10" t="s">
        <v>472</v>
      </c>
      <c r="D4" s="10" t="s">
        <v>473</v>
      </c>
      <c r="E4" s="10" t="s">
        <v>474</v>
      </c>
      <c r="F4" s="10" t="s">
        <v>475</v>
      </c>
    </row>
    <row r="5" customFormat="false" ht="15" hidden="false" customHeight="true" outlineLevel="0" collapsed="false">
      <c r="B5" s="35" t="s">
        <v>476</v>
      </c>
      <c r="C5" s="35"/>
      <c r="D5" s="35"/>
      <c r="E5" s="35"/>
      <c r="F5" s="35"/>
    </row>
    <row r="6" customFormat="false" ht="15" hidden="false" customHeight="true" outlineLevel="0" collapsed="false">
      <c r="B6" s="27" t="s">
        <v>477</v>
      </c>
      <c r="C6" s="12" t="n">
        <v>202987.93</v>
      </c>
      <c r="D6" s="12" t="n">
        <v>202988</v>
      </c>
      <c r="E6" s="13" t="n">
        <f aca="false">C6-D6</f>
        <v>-0.0700000000069849</v>
      </c>
      <c r="F6" s="49" t="s">
        <v>478</v>
      </c>
    </row>
    <row r="7" customFormat="false" ht="15" hidden="false" customHeight="true" outlineLevel="0" collapsed="false">
      <c r="B7" s="27" t="s">
        <v>479</v>
      </c>
      <c r="C7" s="12" t="n">
        <v>283474.93</v>
      </c>
      <c r="D7" s="12" t="n">
        <v>283474</v>
      </c>
      <c r="E7" s="13" t="n">
        <f aca="false">C7-D7</f>
        <v>0.929999999993015</v>
      </c>
      <c r="F7" s="49" t="s">
        <v>478</v>
      </c>
    </row>
    <row r="8" customFormat="false" ht="15" hidden="false" customHeight="true" outlineLevel="0" collapsed="false">
      <c r="B8" s="27" t="s">
        <v>480</v>
      </c>
      <c r="C8" s="12" t="n">
        <v>45271.65</v>
      </c>
      <c r="D8" s="12" t="n">
        <v>45271</v>
      </c>
      <c r="E8" s="13" t="n">
        <f aca="false">C8-D8</f>
        <v>0.650000000001455</v>
      </c>
      <c r="F8" s="49" t="s">
        <v>478</v>
      </c>
    </row>
    <row r="9" customFormat="false" ht="15" hidden="false" customHeight="true" outlineLevel="0" collapsed="false">
      <c r="B9" s="27" t="s">
        <v>481</v>
      </c>
      <c r="C9" s="12" t="n">
        <v>103414.01</v>
      </c>
      <c r="D9" s="12" t="n">
        <v>103414</v>
      </c>
      <c r="E9" s="13" t="n">
        <f aca="false">C9-D9</f>
        <v>0.00999999999476131</v>
      </c>
      <c r="F9" s="49" t="s">
        <v>478</v>
      </c>
    </row>
    <row r="10" customFormat="false" ht="15" hidden="false" customHeight="true" outlineLevel="0" collapsed="false">
      <c r="B10" s="27" t="s">
        <v>482</v>
      </c>
      <c r="C10" s="12" t="n">
        <v>635148.52</v>
      </c>
      <c r="D10" s="12" t="n">
        <v>635149</v>
      </c>
      <c r="E10" s="13" t="n">
        <f aca="false">C10-D10</f>
        <v>-0.479999999981374</v>
      </c>
      <c r="F10" s="49" t="s">
        <v>478</v>
      </c>
    </row>
    <row r="11" customFormat="false" ht="15" hidden="false" customHeight="true" outlineLevel="0" collapsed="false">
      <c r="B11" s="27" t="s">
        <v>483</v>
      </c>
      <c r="C11" s="12" t="n">
        <v>1386419</v>
      </c>
      <c r="D11" s="12" t="n">
        <v>1386419</v>
      </c>
      <c r="E11" s="13" t="n">
        <f aca="false">C11-D11</f>
        <v>0</v>
      </c>
      <c r="F11" s="49" t="s">
        <v>478</v>
      </c>
    </row>
    <row r="12" customFormat="false" ht="15" hidden="false" customHeight="true" outlineLevel="0" collapsed="false">
      <c r="B12" s="27" t="s">
        <v>484</v>
      </c>
      <c r="C12" s="12" t="n">
        <v>751270</v>
      </c>
      <c r="D12" s="12" t="n">
        <v>751270</v>
      </c>
      <c r="E12" s="13" t="n">
        <f aca="false">C12-D12</f>
        <v>0</v>
      </c>
      <c r="F12" s="49" t="s">
        <v>478</v>
      </c>
    </row>
    <row r="14" customFormat="false" ht="15" hidden="false" customHeight="true" outlineLevel="0" collapsed="false">
      <c r="B14" s="52" t="s">
        <v>485</v>
      </c>
      <c r="C14" s="52"/>
      <c r="D14" s="52"/>
      <c r="E14" s="52"/>
      <c r="F14" s="52"/>
    </row>
    <row r="15" customFormat="false" ht="15" hidden="false" customHeight="true" outlineLevel="0" collapsed="false">
      <c r="B15" s="27" t="s">
        <v>486</v>
      </c>
      <c r="C15" s="79" t="n">
        <v>10260</v>
      </c>
      <c r="D15" s="79" t="n">
        <v>10260</v>
      </c>
      <c r="E15" s="80" t="n">
        <f aca="false">C15-D15</f>
        <v>0</v>
      </c>
      <c r="F15" s="49" t="s">
        <v>478</v>
      </c>
    </row>
    <row r="16" customFormat="false" ht="15" hidden="false" customHeight="true" outlineLevel="0" collapsed="false">
      <c r="B16" s="27" t="s">
        <v>487</v>
      </c>
      <c r="C16" s="79" t="n">
        <v>10436</v>
      </c>
      <c r="D16" s="79" t="n">
        <v>10260</v>
      </c>
      <c r="E16" s="80" t="n">
        <f aca="false">C16-D16</f>
        <v>176</v>
      </c>
      <c r="F16" s="49" t="s">
        <v>478</v>
      </c>
    </row>
    <row r="18" customFormat="false" ht="15" hidden="false" customHeight="true" outlineLevel="0" collapsed="false">
      <c r="B18" s="43" t="s">
        <v>488</v>
      </c>
      <c r="C18" s="43"/>
      <c r="D18" s="43"/>
      <c r="E18" s="43"/>
      <c r="F18" s="43"/>
    </row>
    <row r="19" customFormat="false" ht="15" hidden="false" customHeight="true" outlineLevel="0" collapsed="false">
      <c r="B19" s="27" t="s">
        <v>489</v>
      </c>
      <c r="C19" s="12" t="n">
        <v>1386419</v>
      </c>
      <c r="D19" s="12" t="n">
        <v>1386419</v>
      </c>
      <c r="E19" s="13" t="n">
        <f aca="false">C19-D19</f>
        <v>0</v>
      </c>
      <c r="F19" s="49" t="s">
        <v>478</v>
      </c>
    </row>
    <row r="20" customFormat="false" ht="15" hidden="false" customHeight="true" outlineLevel="0" collapsed="false">
      <c r="B20" s="27" t="s">
        <v>490</v>
      </c>
      <c r="C20" s="12" t="n">
        <v>1386419</v>
      </c>
      <c r="D20" s="12" t="n">
        <v>1386419</v>
      </c>
      <c r="E20" s="13" t="n">
        <f aca="false">C20-D20</f>
        <v>0</v>
      </c>
      <c r="F20" s="49" t="s">
        <v>478</v>
      </c>
    </row>
    <row r="21" customFormat="false" ht="15" hidden="false" customHeight="true" outlineLevel="0" collapsed="false">
      <c r="B21" s="27" t="s">
        <v>491</v>
      </c>
      <c r="C21" s="12" t="n">
        <v>69320.95</v>
      </c>
      <c r="D21" s="12" t="n">
        <v>69321</v>
      </c>
      <c r="E21" s="13" t="n">
        <f aca="false">C21-D21</f>
        <v>-0.0500000000029104</v>
      </c>
      <c r="F21" s="49" t="s">
        <v>478</v>
      </c>
    </row>
    <row r="22" customFormat="false" ht="15" hidden="false" customHeight="true" outlineLevel="0" collapsed="false">
      <c r="B22" s="27" t="s">
        <v>492</v>
      </c>
      <c r="C22" s="12" t="n">
        <v>1386419</v>
      </c>
      <c r="D22" s="12" t="n">
        <v>1386419</v>
      </c>
      <c r="E22" s="13" t="n">
        <f aca="false">C22-D22</f>
        <v>0</v>
      </c>
      <c r="F22" s="49" t="s">
        <v>478</v>
      </c>
    </row>
    <row r="24" customFormat="false" ht="15" hidden="false" customHeight="true" outlineLevel="0" collapsed="false">
      <c r="B24" s="46" t="s">
        <v>493</v>
      </c>
      <c r="C24" s="46"/>
      <c r="D24" s="46"/>
      <c r="E24" s="46"/>
      <c r="F24" s="46"/>
    </row>
    <row r="25" customFormat="false" ht="15" hidden="false" customHeight="true" outlineLevel="0" collapsed="false">
      <c r="B25" s="27" t="s">
        <v>494</v>
      </c>
      <c r="C25" s="12" t="n">
        <v>319120.77</v>
      </c>
      <c r="D25" s="12" t="n">
        <v>319121</v>
      </c>
      <c r="E25" s="13" t="n">
        <f aca="false">C25-D25</f>
        <v>-0.229999999981374</v>
      </c>
      <c r="F25" s="49" t="s">
        <v>478</v>
      </c>
    </row>
    <row r="27" customFormat="false" ht="15" hidden="false" customHeight="true" outlineLevel="0" collapsed="false">
      <c r="B27" s="81" t="s">
        <v>495</v>
      </c>
      <c r="C27" s="81"/>
      <c r="D27" s="81"/>
      <c r="E27" s="81"/>
      <c r="F27" s="81"/>
    </row>
    <row r="28" customFormat="false" ht="15" hidden="false" customHeight="true" outlineLevel="0" collapsed="false">
      <c r="B28" s="27" t="s">
        <v>288</v>
      </c>
      <c r="C28" s="12" t="n">
        <v>213756.3196</v>
      </c>
      <c r="D28" s="12" t="n">
        <v>283474.93</v>
      </c>
      <c r="E28" s="13" t="n">
        <f aca="false">C28-D28</f>
        <v>-69718.6104</v>
      </c>
      <c r="F28" s="17" t="s">
        <v>496</v>
      </c>
    </row>
    <row r="29" customFormat="false" ht="15" hidden="false" customHeight="true" outlineLevel="0" collapsed="false">
      <c r="B29" s="82" t="s">
        <v>497</v>
      </c>
    </row>
    <row r="32" customFormat="false" ht="7.5" hidden="false" customHeight="true" outlineLevel="0" collapsed="false"/>
    <row r="33" customFormat="false" ht="15" hidden="false" customHeight="true" outlineLevel="0" collapsed="false">
      <c r="B33" s="23" t="s">
        <v>51</v>
      </c>
      <c r="C33" s="23"/>
      <c r="D33" s="23"/>
      <c r="E33" s="23"/>
      <c r="F33" s="23"/>
    </row>
    <row r="34" customFormat="false" ht="15" hidden="false" customHeight="true" outlineLevel="0" collapsed="false">
      <c r="B34" s="24" t="s">
        <v>52</v>
      </c>
      <c r="C34" s="24"/>
      <c r="D34" s="24"/>
      <c r="E34" s="24"/>
      <c r="F34" s="24"/>
    </row>
    <row r="35" customFormat="false" ht="15" hidden="false" customHeight="true" outlineLevel="0" collapsed="false">
      <c r="B35" s="24" t="s">
        <v>53</v>
      </c>
      <c r="C35" s="24"/>
      <c r="D35" s="24"/>
      <c r="E35" s="24"/>
      <c r="F35" s="24"/>
    </row>
    <row r="36" customFormat="false" ht="15" hidden="false" customHeight="true" outlineLevel="0" collapsed="false">
      <c r="B36" s="24" t="s">
        <v>498</v>
      </c>
      <c r="C36" s="24"/>
      <c r="D36" s="24"/>
      <c r="E36" s="24"/>
      <c r="F36" s="24"/>
    </row>
    <row r="37" customFormat="false" ht="15" hidden="false" customHeight="true" outlineLevel="0" collapsed="false">
      <c r="B37" s="24" t="s">
        <v>499</v>
      </c>
      <c r="C37" s="24"/>
      <c r="D37" s="24"/>
      <c r="E37" s="24"/>
      <c r="F37" s="24"/>
    </row>
  </sheetData>
  <mergeCells count="11">
    <mergeCell ref="B2:F2"/>
    <mergeCell ref="B5:F5"/>
    <mergeCell ref="B14:F14"/>
    <mergeCell ref="B18:F18"/>
    <mergeCell ref="B24:F24"/>
    <mergeCell ref="B27:F27"/>
    <mergeCell ref="B33:F3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83" t="s">
        <v>500</v>
      </c>
      <c r="B1" s="83"/>
      <c r="C1" s="83"/>
      <c r="D1" s="83"/>
      <c r="E1" s="83"/>
      <c r="F1" s="83"/>
      <c r="G1" s="83"/>
    </row>
    <row r="3" customFormat="false" ht="15" hidden="false" customHeight="false" outlineLevel="0" collapsed="false">
      <c r="A3" s="84" t="s">
        <v>501</v>
      </c>
      <c r="B3" s="85" t="n">
        <v>18</v>
      </c>
      <c r="D3" s="84" t="s">
        <v>502</v>
      </c>
      <c r="E3" s="85" t="s">
        <v>154</v>
      </c>
    </row>
    <row r="4" customFormat="false" ht="15" hidden="false" customHeight="false" outlineLevel="0" collapsed="false">
      <c r="A4" s="84" t="s">
        <v>503</v>
      </c>
      <c r="B4" s="85" t="n">
        <v>175</v>
      </c>
      <c r="D4" s="84" t="s">
        <v>504</v>
      </c>
      <c r="E4" s="86" t="n">
        <f aca="false">331095.13/362721.85</f>
        <v>0.912807237832515</v>
      </c>
    </row>
    <row r="5" customFormat="false" ht="15" hidden="false" customHeight="false" outlineLevel="0" collapsed="false">
      <c r="A5" s="84" t="s">
        <v>505</v>
      </c>
      <c r="B5" s="87" t="n">
        <v>362721.85</v>
      </c>
      <c r="D5" s="84" t="s">
        <v>506</v>
      </c>
      <c r="E5" s="88" t="s">
        <v>507</v>
      </c>
    </row>
    <row r="6" customFormat="false" ht="15" hidden="false" customHeight="false" outlineLevel="0" collapsed="false">
      <c r="A6" s="84" t="s">
        <v>508</v>
      </c>
      <c r="B6" s="89" t="n">
        <f aca="false">B5/B4</f>
        <v>2072.69628571429</v>
      </c>
    </row>
    <row r="8" customFormat="false" ht="19.5" hidden="false" customHeight="true" outlineLevel="0" collapsed="false">
      <c r="A8" s="90" t="s">
        <v>509</v>
      </c>
      <c r="B8" s="90" t="s">
        <v>149</v>
      </c>
      <c r="C8" s="90" t="s">
        <v>510</v>
      </c>
      <c r="D8" s="90" t="s">
        <v>503</v>
      </c>
      <c r="E8" s="90" t="s">
        <v>151</v>
      </c>
      <c r="F8" s="90" t="s">
        <v>152</v>
      </c>
      <c r="G8" s="90" t="s">
        <v>511</v>
      </c>
    </row>
    <row r="9" customFormat="false" ht="15" hidden="false" customHeight="false" outlineLevel="0" collapsed="false">
      <c r="A9" s="91" t="n">
        <v>1</v>
      </c>
      <c r="B9" s="92" t="s">
        <v>154</v>
      </c>
      <c r="C9" s="91"/>
      <c r="D9" s="91" t="n">
        <v>73</v>
      </c>
      <c r="E9" s="93" t="n">
        <v>215859.94</v>
      </c>
      <c r="F9" s="94" t="n">
        <f aca="false">E9/E$27</f>
        <v>0.595111488320872</v>
      </c>
      <c r="G9" s="95" t="n">
        <f aca="false">E9/D9</f>
        <v>2956.98547945205</v>
      </c>
    </row>
    <row r="10" customFormat="false" ht="15" hidden="false" customHeight="false" outlineLevel="0" collapsed="false">
      <c r="A10" s="91" t="n">
        <v>2</v>
      </c>
      <c r="B10" s="92" t="s">
        <v>155</v>
      </c>
      <c r="C10" s="91"/>
      <c r="D10" s="91" t="n">
        <v>58</v>
      </c>
      <c r="E10" s="93" t="n">
        <v>84342.57</v>
      </c>
      <c r="F10" s="94" t="n">
        <f aca="false">E10/E$27</f>
        <v>0.232526852187151</v>
      </c>
      <c r="G10" s="95" t="n">
        <f aca="false">E10/D10</f>
        <v>1454.18224137931</v>
      </c>
    </row>
    <row r="11" customFormat="false" ht="15" hidden="false" customHeight="false" outlineLevel="0" collapsed="false">
      <c r="A11" s="91" t="n">
        <v>3</v>
      </c>
      <c r="B11" s="92" t="s">
        <v>156</v>
      </c>
      <c r="C11" s="91"/>
      <c r="D11" s="91" t="n">
        <v>3</v>
      </c>
      <c r="E11" s="93" t="n">
        <v>30892.62</v>
      </c>
      <c r="F11" s="94" t="n">
        <f aca="false">E11/E$27</f>
        <v>0.0851688973244926</v>
      </c>
      <c r="G11" s="95" t="n">
        <f aca="false">E11/D11</f>
        <v>10297.54</v>
      </c>
    </row>
    <row r="12" customFormat="false" ht="15" hidden="false" customHeight="false" outlineLevel="0" collapsed="false">
      <c r="A12" s="96" t="n">
        <v>4</v>
      </c>
      <c r="B12" s="97" t="s">
        <v>157</v>
      </c>
      <c r="C12" s="96"/>
      <c r="D12" s="96" t="n">
        <v>4</v>
      </c>
      <c r="E12" s="98" t="n">
        <v>10463</v>
      </c>
      <c r="F12" s="99" t="n">
        <f aca="false">E12/E$27</f>
        <v>0.0288457946495366</v>
      </c>
      <c r="G12" s="100" t="n">
        <f aca="false">E12/D12</f>
        <v>2615.75</v>
      </c>
    </row>
    <row r="13" customFormat="false" ht="15" hidden="false" customHeight="false" outlineLevel="0" collapsed="false">
      <c r="A13" s="101" t="n">
        <v>5</v>
      </c>
      <c r="B13" s="102" t="s">
        <v>158</v>
      </c>
      <c r="C13" s="101"/>
      <c r="D13" s="101" t="n">
        <v>7</v>
      </c>
      <c r="E13" s="103" t="n">
        <v>10106.67</v>
      </c>
      <c r="F13" s="104" t="n">
        <f aca="false">E13/E$27</f>
        <v>0.0278634165545858</v>
      </c>
      <c r="G13" s="105" t="n">
        <f aca="false">E13/D13</f>
        <v>1443.81</v>
      </c>
    </row>
    <row r="14" customFormat="false" ht="15" hidden="false" customHeight="false" outlineLevel="0" collapsed="false">
      <c r="A14" s="96" t="n">
        <v>6</v>
      </c>
      <c r="B14" s="97" t="s">
        <v>159</v>
      </c>
      <c r="C14" s="96"/>
      <c r="D14" s="96" t="n">
        <v>2</v>
      </c>
      <c r="E14" s="98" t="n">
        <v>2414</v>
      </c>
      <c r="F14" s="99" t="n">
        <f aca="false">E14/E$27</f>
        <v>0.00665523733957577</v>
      </c>
      <c r="G14" s="100" t="n">
        <f aca="false">E14/D14</f>
        <v>1207</v>
      </c>
    </row>
    <row r="15" customFormat="false" ht="15" hidden="false" customHeight="false" outlineLevel="0" collapsed="false">
      <c r="A15" s="101" t="n">
        <v>7</v>
      </c>
      <c r="B15" s="102" t="s">
        <v>160</v>
      </c>
      <c r="C15" s="101"/>
      <c r="D15" s="101" t="n">
        <v>6</v>
      </c>
      <c r="E15" s="103" t="n">
        <v>2404.21</v>
      </c>
      <c r="F15" s="104" t="n">
        <f aca="false">E15/E$27</f>
        <v>0.00662824696113565</v>
      </c>
      <c r="G15" s="105" t="n">
        <f aca="false">E15/D15</f>
        <v>400.701666666667</v>
      </c>
    </row>
    <row r="16" customFormat="false" ht="15" hidden="false" customHeight="false" outlineLevel="0" collapsed="false">
      <c r="A16" s="96" t="n">
        <v>8</v>
      </c>
      <c r="B16" s="97" t="s">
        <v>163</v>
      </c>
      <c r="C16" s="96"/>
      <c r="D16" s="96" t="n">
        <v>7</v>
      </c>
      <c r="E16" s="98" t="n">
        <v>2271.7</v>
      </c>
      <c r="F16" s="99" t="n">
        <f aca="false">E16/E$27</f>
        <v>0.00626292571015504</v>
      </c>
      <c r="G16" s="100" t="n">
        <f aca="false">E16/D16</f>
        <v>324.528571428571</v>
      </c>
    </row>
    <row r="17" customFormat="false" ht="15" hidden="false" customHeight="false" outlineLevel="0" collapsed="false">
      <c r="A17" s="101" t="n">
        <v>9</v>
      </c>
      <c r="B17" s="102" t="s">
        <v>161</v>
      </c>
      <c r="C17" s="101"/>
      <c r="D17" s="101" t="n">
        <v>3</v>
      </c>
      <c r="E17" s="103" t="n">
        <v>1831.58</v>
      </c>
      <c r="F17" s="104" t="n">
        <f aca="false">E17/E$27</f>
        <v>0.00504954416173164</v>
      </c>
      <c r="G17" s="105" t="n">
        <f aca="false">E17/D17</f>
        <v>610.526666666667</v>
      </c>
    </row>
    <row r="18" customFormat="false" ht="15" hidden="false" customHeight="false" outlineLevel="0" collapsed="false">
      <c r="A18" s="96" t="n">
        <v>10</v>
      </c>
      <c r="B18" s="97" t="s">
        <v>162</v>
      </c>
      <c r="C18" s="96"/>
      <c r="D18" s="96" t="n">
        <v>1</v>
      </c>
      <c r="E18" s="98" t="n">
        <v>950</v>
      </c>
      <c r="F18" s="99" t="n">
        <f aca="false">E18/E$27</f>
        <v>0.00261908677406669</v>
      </c>
      <c r="G18" s="100" t="n">
        <f aca="false">E18/D18</f>
        <v>950</v>
      </c>
    </row>
    <row r="19" customFormat="false" ht="15" hidden="false" customHeight="false" outlineLevel="0" collapsed="false">
      <c r="A19" s="101" t="n">
        <v>11</v>
      </c>
      <c r="B19" s="102" t="s">
        <v>164</v>
      </c>
      <c r="C19" s="101"/>
      <c r="D19" s="101" t="n">
        <v>2</v>
      </c>
      <c r="E19" s="103" t="n">
        <v>265.36</v>
      </c>
      <c r="F19" s="104" t="n">
        <f aca="false">E19/E$27</f>
        <v>0.000731579859332985</v>
      </c>
      <c r="G19" s="105" t="n">
        <f aca="false">E19/D19</f>
        <v>132.68</v>
      </c>
    </row>
    <row r="20" customFormat="false" ht="15" hidden="false" customHeight="false" outlineLevel="0" collapsed="false">
      <c r="A20" s="96" t="n">
        <v>12</v>
      </c>
      <c r="B20" s="97" t="s">
        <v>165</v>
      </c>
      <c r="C20" s="96"/>
      <c r="D20" s="96" t="n">
        <v>1</v>
      </c>
      <c r="E20" s="98" t="n">
        <v>212</v>
      </c>
      <c r="F20" s="99" t="n">
        <f aca="false">E20/E$27</f>
        <v>0.000584469890633829</v>
      </c>
      <c r="G20" s="100" t="n">
        <f aca="false">E20/D20</f>
        <v>212</v>
      </c>
    </row>
    <row r="21" customFormat="false" ht="15" hidden="false" customHeight="false" outlineLevel="0" collapsed="false">
      <c r="A21" s="101" t="n">
        <v>13</v>
      </c>
      <c r="B21" s="102" t="s">
        <v>166</v>
      </c>
      <c r="C21" s="101"/>
      <c r="D21" s="101" t="n">
        <v>1</v>
      </c>
      <c r="E21" s="103" t="n">
        <v>197.5</v>
      </c>
      <c r="F21" s="104" t="n">
        <f aca="false">E21/E$27</f>
        <v>0.000544494355661232</v>
      </c>
      <c r="G21" s="105" t="n">
        <f aca="false">E21/D21</f>
        <v>197.5</v>
      </c>
    </row>
    <row r="22" customFormat="false" ht="15" hidden="false" customHeight="false" outlineLevel="0" collapsed="false">
      <c r="A22" s="96" t="n">
        <v>14</v>
      </c>
      <c r="B22" s="97" t="s">
        <v>167</v>
      </c>
      <c r="C22" s="96"/>
      <c r="D22" s="96" t="n">
        <v>1</v>
      </c>
      <c r="E22" s="98" t="n">
        <v>168.54</v>
      </c>
      <c r="F22" s="99" t="n">
        <f aca="false">E22/E$27</f>
        <v>0.000464653563053894</v>
      </c>
      <c r="G22" s="100" t="n">
        <f aca="false">E22/D22</f>
        <v>168.54</v>
      </c>
    </row>
    <row r="23" customFormat="false" ht="15" hidden="false" customHeight="false" outlineLevel="0" collapsed="false">
      <c r="A23" s="101" t="n">
        <v>15</v>
      </c>
      <c r="B23" s="102" t="s">
        <v>168</v>
      </c>
      <c r="C23" s="101"/>
      <c r="D23" s="101" t="n">
        <v>2</v>
      </c>
      <c r="E23" s="103" t="n">
        <v>121.4</v>
      </c>
      <c r="F23" s="104" t="n">
        <f aca="false">E23/E$27</f>
        <v>0.000334691720391259</v>
      </c>
      <c r="G23" s="105" t="n">
        <f aca="false">E23/D23</f>
        <v>60.7</v>
      </c>
    </row>
    <row r="24" customFormat="false" ht="15" hidden="false" customHeight="false" outlineLevel="0" collapsed="false">
      <c r="A24" s="96" t="n">
        <v>16</v>
      </c>
      <c r="B24" s="97" t="s">
        <v>169</v>
      </c>
      <c r="C24" s="96"/>
      <c r="D24" s="96" t="n">
        <v>2</v>
      </c>
      <c r="E24" s="98" t="n">
        <v>96.67</v>
      </c>
      <c r="F24" s="99" t="n">
        <f aca="false">E24/E$27</f>
        <v>0.000266512756262133</v>
      </c>
      <c r="G24" s="100" t="n">
        <f aca="false">E24/D24</f>
        <v>48.335</v>
      </c>
    </row>
    <row r="25" customFormat="false" ht="15" hidden="false" customHeight="false" outlineLevel="0" collapsed="false">
      <c r="A25" s="101" t="n">
        <v>17</v>
      </c>
      <c r="B25" s="102" t="s">
        <v>170</v>
      </c>
      <c r="C25" s="101"/>
      <c r="D25" s="101" t="n">
        <v>1</v>
      </c>
      <c r="E25" s="103" t="n">
        <v>69.69</v>
      </c>
      <c r="F25" s="104" t="n">
        <f aca="false">E25/E$27</f>
        <v>0.000192130691878639</v>
      </c>
      <c r="G25" s="105" t="n">
        <f aca="false">E25/D25</f>
        <v>69.69</v>
      </c>
    </row>
    <row r="26" customFormat="false" ht="15" hidden="false" customHeight="false" outlineLevel="0" collapsed="false">
      <c r="A26" s="96" t="n">
        <v>18</v>
      </c>
      <c r="B26" s="97" t="s">
        <v>171</v>
      </c>
      <c r="C26" s="96"/>
      <c r="D26" s="96" t="n">
        <v>1</v>
      </c>
      <c r="E26" s="98" t="n">
        <v>54.4</v>
      </c>
      <c r="F26" s="99" t="n">
        <f aca="false">E26/E$27</f>
        <v>0.000149977179483398</v>
      </c>
      <c r="G26" s="100" t="n">
        <f aca="false">E26/D26</f>
        <v>54.4</v>
      </c>
    </row>
    <row r="27" customFormat="false" ht="15" hidden="false" customHeight="false" outlineLevel="0" collapsed="false">
      <c r="A27" s="106"/>
      <c r="B27" s="107" t="s">
        <v>25</v>
      </c>
      <c r="C27" s="106"/>
      <c r="D27" s="108" t="n">
        <f aca="false">SUM(D9:D26)</f>
        <v>175</v>
      </c>
      <c r="E27" s="109" t="n">
        <f aca="false">SUM(E9:E26)</f>
        <v>362721.85</v>
      </c>
      <c r="F27" s="110" t="n">
        <f aca="false">SUM(F9:F26)</f>
        <v>1</v>
      </c>
      <c r="G27" s="109" t="n">
        <f aca="false">E27/D27</f>
        <v>2072.69628571429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2026-04-07T23:05:02Z</dcterms:created>
  <dc:creator>openpyxl</dc:creator>
  <dc:description/>
  <dc:language>en-US</dc:language>
  <cp:lastModifiedBy/>
  <dcterms:modified xsi:type="dcterms:W3CDTF">2026-04-10T14:05:13Z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