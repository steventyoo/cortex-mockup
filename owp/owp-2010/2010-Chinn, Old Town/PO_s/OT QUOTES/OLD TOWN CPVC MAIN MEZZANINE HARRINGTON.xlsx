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CANOUT'!$A$1:$K$39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10" i="1" l="1"/>
  <c r="N10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O10" i="1" s="1"/>
  <c r="M38" i="1"/>
  <c r="M39" i="1"/>
  <c r="M13" i="1"/>
  <c r="M10" i="1" l="1"/>
  <c r="K37" i="1"/>
  <c r="K38" i="1"/>
  <c r="K39" i="1"/>
  <c r="H40" i="1" l="1"/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</calcChain>
</file>

<file path=xl/sharedStrings.xml><?xml version="1.0" encoding="utf-8"?>
<sst xmlns="http://schemas.openxmlformats.org/spreadsheetml/2006/main" count="54" uniqueCount="54">
  <si>
    <t>P.O.#</t>
  </si>
  <si>
    <t>PRICE</t>
  </si>
  <si>
    <t>PLEASE SUPPLY ITEMS LISTED BELOW</t>
  </si>
  <si>
    <t>REC`D</t>
  </si>
  <si>
    <t>REC'D</t>
  </si>
  <si>
    <t>QUANTITY</t>
  </si>
  <si>
    <t>1/1/2013 +/-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</si>
  <si>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</si>
  <si>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</si>
  <si>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</si>
  <si>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</si>
  <si>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</si>
  <si>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</si>
  <si>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</si>
  <si>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</si>
  <si>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</si>
  <si>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</si>
  <si>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</si>
  <si>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</si>
  <si>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</si>
  <si>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</si>
  <si>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</si>
  <si>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16175 CLVELAND ST REDMOND, WA 98052</t>
  </si>
  <si>
    <t>2010-40</t>
  </si>
  <si>
    <t>SCHEDULE 80 CPVC</t>
  </si>
  <si>
    <t>4'' SCHED 80 PIPE</t>
  </si>
  <si>
    <t>4'' 90</t>
  </si>
  <si>
    <t>CPVC MEZZANINE MAIN</t>
  </si>
  <si>
    <t>M1</t>
  </si>
  <si>
    <t>4 X 4 X 3 TEE</t>
  </si>
  <si>
    <t>4 X 4 X 2 TEE</t>
  </si>
  <si>
    <t>4 X 3 BUSHING</t>
  </si>
  <si>
    <t>3'' COUPLING</t>
  </si>
  <si>
    <t>3'' 45</t>
  </si>
  <si>
    <t>3'' 90</t>
  </si>
  <si>
    <t>3 X 3 X 2 TEE</t>
  </si>
  <si>
    <t>3 X 21/2 BUSH</t>
  </si>
  <si>
    <t>21/2 COUPLING</t>
  </si>
  <si>
    <t>21/2 X 2 BUSHING</t>
  </si>
  <si>
    <t>21/2 TEE</t>
  </si>
  <si>
    <t>1 X 3/4 BUSH</t>
  </si>
  <si>
    <t>2'' CTS X IPS BUSH</t>
  </si>
  <si>
    <t>3/4'' CTS X IPS BUSH</t>
  </si>
  <si>
    <t>11/4'' CTS X IPS BUSH</t>
  </si>
  <si>
    <t>11/2'' CTS X IPS BUSH</t>
  </si>
  <si>
    <t>2'' CPVC X MIP BRASS</t>
  </si>
  <si>
    <t>11/2'' CPVC X MIP BRASS</t>
  </si>
  <si>
    <t>11/4'' CPVC X MIP BRASS</t>
  </si>
  <si>
    <t>3/4'' CPVC X MIP BRASS</t>
  </si>
  <si>
    <t>3'' SCHED 80 PIPE</t>
  </si>
  <si>
    <t>21/2'' SCHED 80 PIPE</t>
  </si>
  <si>
    <t>21/2  TEE</t>
  </si>
  <si>
    <t xml:space="preserve"> 21/2 X11/ 2 bushing</t>
  </si>
  <si>
    <t>21/2 X  1 bushing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</si>
</sst>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164" fontId="0" fillId="0" borderId="0" xfId="0" applyNumberFormat="1" applyProtection="1">
      <protection locked="0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2" xfId="0" applyBorder="1" applyAlignment="1"/>
    <xf numFmtId="0" fontId="0" fillId="0" borderId="4" xfId="0" applyBorder="1" applyAlignment="1"/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/>
    <xf numFmtId="0" fontId="0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0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topLeftCell="A19" zoomScaleNormal="75" workbookViewId="0">
      <selection activeCell="J35" sqref="J3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3" width="8.88671875" style="1"/>
    <col min="14" max="15" width="9.109375" style="1" bestFit="1" customWidth="1"/>
    <col min="16" max="16384" width="8.88671875" style="1"/>
  </cols>
  <sheetData>
    <row r="1" spans="1:15" ht="24" customHeight="1" x14ac:dyDescent="0.25">
      <c r="A1" s="32" t="s">
        <v>20</v>
      </c>
      <c r="B1" s="33"/>
      <c r="C1" s="34" t="s">
        <v>28</v>
      </c>
      <c r="D1" s="29"/>
      <c r="E1" s="28" t="s">
        <v>19</v>
      </c>
      <c r="F1" s="26"/>
      <c r="G1" s="26"/>
      <c r="H1" s="36"/>
      <c r="I1" s="38" t="s">
        <v>18</v>
      </c>
      <c r="J1" s="39"/>
      <c r="K1" s="42"/>
    </row>
    <row r="2" spans="1:15" ht="18.600000000000001" customHeight="1" x14ac:dyDescent="0.25">
      <c r="A2" s="33"/>
      <c r="B2" s="33"/>
      <c r="C2" s="35"/>
      <c r="D2" s="27"/>
      <c r="E2" s="19" t="s">
        <v>27</v>
      </c>
      <c r="F2" s="26"/>
      <c r="G2" s="26"/>
      <c r="H2" s="37"/>
      <c r="I2" s="40"/>
      <c r="J2" s="41"/>
      <c r="K2" s="43"/>
    </row>
    <row r="3" spans="1:15" ht="13.95" customHeight="1" x14ac:dyDescent="0.25">
      <c r="A3" s="44" t="s">
        <v>17</v>
      </c>
      <c r="B3" s="45"/>
      <c r="C3" s="46"/>
      <c r="D3" s="33"/>
      <c r="E3" s="33"/>
      <c r="F3" s="25"/>
      <c r="G3" s="25"/>
      <c r="H3" s="47" t="s">
        <v>16</v>
      </c>
      <c r="I3" s="47"/>
      <c r="J3" s="33"/>
      <c r="K3" s="33"/>
    </row>
    <row r="4" spans="1:15" ht="7.95" customHeight="1" x14ac:dyDescent="0.25">
      <c r="A4" s="45"/>
      <c r="B4" s="45"/>
      <c r="C4" s="33"/>
      <c r="D4" s="33"/>
      <c r="E4" s="33"/>
      <c r="F4" s="25"/>
      <c r="G4" s="25"/>
      <c r="H4" s="33"/>
      <c r="I4" s="33"/>
      <c r="J4" s="33"/>
      <c r="K4" s="33"/>
    </row>
    <row r="5" spans="1:15" ht="16.2" customHeight="1" outlineLevel="1" x14ac:dyDescent="0.25">
      <c r="A5" s="48" t="s">
        <v>15</v>
      </c>
      <c r="B5" s="45"/>
      <c r="C5" s="49" t="s">
        <v>22</v>
      </c>
      <c r="D5" s="50"/>
      <c r="E5" s="50"/>
      <c r="F5" s="50"/>
      <c r="G5" s="50"/>
      <c r="H5" s="50"/>
      <c r="I5" s="50"/>
      <c r="J5" s="33"/>
      <c r="K5" s="33"/>
    </row>
    <row r="6" spans="1:15" ht="6" customHeight="1" outlineLevel="1" x14ac:dyDescent="0.25">
      <c r="A6" s="45"/>
      <c r="B6" s="45"/>
      <c r="C6" s="50"/>
      <c r="D6" s="50"/>
      <c r="E6" s="50"/>
      <c r="F6" s="50"/>
      <c r="G6" s="50"/>
      <c r="H6" s="50"/>
      <c r="I6" s="50"/>
      <c r="J6" s="33"/>
      <c r="K6" s="33"/>
    </row>
    <row r="7" spans="1:15" ht="10.199999999999999" customHeight="1" x14ac:dyDescent="0.25">
      <c r="A7" s="51" t="s">
        <v>14</v>
      </c>
      <c r="B7" s="51"/>
      <c r="C7" s="51"/>
      <c r="D7" s="24"/>
      <c r="E7" s="52" t="s">
        <v>13</v>
      </c>
      <c r="F7" s="53"/>
      <c r="G7" s="53"/>
      <c r="H7" s="54"/>
      <c r="I7" s="23"/>
      <c r="J7" s="55" t="s">
        <v>12</v>
      </c>
      <c r="K7" s="56"/>
    </row>
    <row r="8" spans="1:15" ht="18.600000000000001" customHeight="1" x14ac:dyDescent="0.3">
      <c r="A8" s="57"/>
      <c r="B8" s="58"/>
      <c r="C8" s="58"/>
      <c r="D8" s="18"/>
      <c r="E8" s="59" t="s">
        <v>23</v>
      </c>
      <c r="F8" s="60"/>
      <c r="G8" s="60"/>
      <c r="H8" s="61"/>
      <c r="I8" s="22"/>
      <c r="J8" s="62">
        <v>41204</v>
      </c>
      <c r="K8" s="63"/>
      <c r="M8" s="21"/>
    </row>
    <row r="9" spans="1:15" ht="10.95" customHeight="1" x14ac:dyDescent="0.25">
      <c r="A9" s="51" t="s">
        <v>11</v>
      </c>
      <c r="B9" s="51"/>
      <c r="C9" s="51"/>
      <c r="D9" s="18" t="s">
        <v>10</v>
      </c>
      <c r="E9" s="52" t="s">
        <v>9</v>
      </c>
      <c r="F9" s="60"/>
      <c r="G9" s="60"/>
      <c r="H9" s="61"/>
      <c r="I9" s="20"/>
      <c r="J9" s="19" t="s">
        <v>8</v>
      </c>
      <c r="K9" s="19" t="s">
        <v>7</v>
      </c>
    </row>
    <row r="10" spans="1:15" ht="26.4" customHeight="1" x14ac:dyDescent="0.3">
      <c r="A10" s="64" t="s">
        <v>6</v>
      </c>
      <c r="B10" s="65"/>
      <c r="C10" s="66"/>
      <c r="D10" s="18"/>
      <c r="E10" s="67" t="s">
        <v>21</v>
      </c>
      <c r="F10" s="60"/>
      <c r="G10" s="60"/>
      <c r="H10" s="61"/>
      <c r="I10" s="17"/>
      <c r="J10" s="17"/>
      <c r="K10" s="16">
        <f>SUM(K12:K36)</f>
        <v>882.35000000000014</v>
      </c>
      <c r="L10" s="16"/>
      <c r="M10" s="16">
        <f>SUM(M12:M36)</f>
        <v>910.12500000000011</v>
      </c>
      <c r="N10" s="31">
        <f>SUM(K37,K38,K39)</f>
        <v>1889.6</v>
      </c>
      <c r="O10" s="31">
        <f>SUM(M37,M38,M39)</f>
        <v>1734.1927999999998</v>
      </c>
    </row>
    <row r="11" spans="1:15" x14ac:dyDescent="0.25">
      <c r="A11" s="68" t="s">
        <v>5</v>
      </c>
      <c r="B11" s="69"/>
      <c r="C11" s="15" t="s">
        <v>4</v>
      </c>
      <c r="D11" s="14" t="s">
        <v>3</v>
      </c>
      <c r="E11" s="68" t="s">
        <v>2</v>
      </c>
      <c r="F11" s="33"/>
      <c r="G11" s="33"/>
      <c r="H11" s="33"/>
      <c r="I11" s="33"/>
      <c r="J11" s="70" t="s">
        <v>1</v>
      </c>
      <c r="K11" s="71"/>
    </row>
    <row r="12" spans="1:15" ht="18" customHeight="1" x14ac:dyDescent="0.25">
      <c r="A12" s="13">
        <v>1</v>
      </c>
      <c r="B12" s="5"/>
      <c r="C12" s="4"/>
      <c r="D12" s="4"/>
      <c r="E12" s="72" t="s">
        <v>24</v>
      </c>
      <c r="F12" s="73"/>
      <c r="G12" s="73"/>
      <c r="H12" s="73"/>
      <c r="I12" s="73"/>
      <c r="J12" s="10"/>
      <c r="K12" s="9">
        <f t="shared" ref="K12:K39" si="0">B12*J12</f>
        <v>0</v>
      </c>
    </row>
    <row r="13" spans="1:15" ht="18" customHeight="1" x14ac:dyDescent="0.25">
      <c r="A13" s="13">
        <v>2</v>
      </c>
      <c r="B13" s="5">
        <v>1</v>
      </c>
      <c r="C13" s="4"/>
      <c r="D13" s="4"/>
      <c r="E13" s="74" t="s">
        <v>26</v>
      </c>
      <c r="F13" s="75"/>
      <c r="G13" s="75"/>
      <c r="H13" s="75"/>
      <c r="I13" s="75"/>
      <c r="J13" s="10">
        <v>23.44</v>
      </c>
      <c r="K13" s="9">
        <f t="shared" si="0"/>
        <v>23.44</v>
      </c>
      <c r="L13" s="10">
        <v>23.86</v>
      </c>
      <c r="M13" s="9">
        <f>B13*L13</f>
        <v>23.86</v>
      </c>
    </row>
    <row r="14" spans="1:15" ht="18" customHeight="1" x14ac:dyDescent="0.25">
      <c r="A14" s="13">
        <v>3</v>
      </c>
      <c r="B14" s="5">
        <v>1</v>
      </c>
      <c r="C14" s="4"/>
      <c r="D14" s="4"/>
      <c r="E14" s="74" t="s">
        <v>29</v>
      </c>
      <c r="F14" s="75"/>
      <c r="G14" s="75"/>
      <c r="H14" s="75"/>
      <c r="I14" s="75"/>
      <c r="J14" s="10">
        <v>32.01</v>
      </c>
      <c r="K14" s="9">
        <f t="shared" si="0"/>
        <v>32.01</v>
      </c>
      <c r="L14" s="10">
        <v>32.578000000000003</v>
      </c>
      <c r="M14" s="9">
        <f t="shared" ref="M14:M39" si="1">B14*L14</f>
        <v>32.578000000000003</v>
      </c>
    </row>
    <row r="15" spans="1:15" ht="18" customHeight="1" x14ac:dyDescent="0.25">
      <c r="A15" s="13">
        <v>4</v>
      </c>
      <c r="B15" s="5">
        <v>1</v>
      </c>
      <c r="C15" s="4"/>
      <c r="D15" s="4"/>
      <c r="E15" s="74" t="s">
        <v>30</v>
      </c>
      <c r="F15" s="75"/>
      <c r="G15" s="75"/>
      <c r="H15" s="75"/>
      <c r="I15" s="75"/>
      <c r="J15" s="10">
        <v>32.01</v>
      </c>
      <c r="K15" s="9">
        <f t="shared" si="0"/>
        <v>32.01</v>
      </c>
      <c r="L15" s="10">
        <v>32.578000000000003</v>
      </c>
      <c r="M15" s="9">
        <f t="shared" si="1"/>
        <v>32.578000000000003</v>
      </c>
    </row>
    <row r="16" spans="1:15" ht="18" customHeight="1" x14ac:dyDescent="0.25">
      <c r="A16" s="13">
        <v>5</v>
      </c>
      <c r="B16" s="5">
        <v>1</v>
      </c>
      <c r="C16" s="4"/>
      <c r="D16" s="4"/>
      <c r="E16" s="74" t="s">
        <v>31</v>
      </c>
      <c r="F16" s="75"/>
      <c r="G16" s="75"/>
      <c r="H16" s="75"/>
      <c r="I16" s="75"/>
      <c r="J16" s="10">
        <v>11.76</v>
      </c>
      <c r="K16" s="9">
        <f t="shared" si="0"/>
        <v>11.76</v>
      </c>
      <c r="L16" s="10">
        <v>11.972</v>
      </c>
      <c r="M16" s="9">
        <f t="shared" si="1"/>
        <v>11.972</v>
      </c>
    </row>
    <row r="17" spans="1:13" ht="18" customHeight="1" x14ac:dyDescent="0.25">
      <c r="A17" s="13">
        <v>6</v>
      </c>
      <c r="B17" s="5">
        <v>2</v>
      </c>
      <c r="C17" s="4"/>
      <c r="D17" s="4"/>
      <c r="E17" s="74" t="s">
        <v>32</v>
      </c>
      <c r="F17" s="75"/>
      <c r="G17" s="75"/>
      <c r="H17" s="75"/>
      <c r="I17" s="75"/>
      <c r="J17" s="10">
        <v>8.91</v>
      </c>
      <c r="K17" s="9">
        <f t="shared" si="0"/>
        <v>17.82</v>
      </c>
      <c r="L17" s="10">
        <v>9.0690000000000008</v>
      </c>
      <c r="M17" s="9">
        <f t="shared" si="1"/>
        <v>18.138000000000002</v>
      </c>
    </row>
    <row r="18" spans="1:13" ht="18" customHeight="1" x14ac:dyDescent="0.25">
      <c r="A18" s="13">
        <v>7</v>
      </c>
      <c r="B18" s="5">
        <v>2</v>
      </c>
      <c r="C18" s="4"/>
      <c r="D18" s="4"/>
      <c r="E18" s="74" t="s">
        <v>33</v>
      </c>
      <c r="F18" s="75"/>
      <c r="G18" s="75"/>
      <c r="H18" s="75"/>
      <c r="I18" s="75"/>
      <c r="J18" s="10">
        <v>14.11</v>
      </c>
      <c r="K18" s="9">
        <f t="shared" si="0"/>
        <v>28.22</v>
      </c>
      <c r="L18" s="10">
        <v>14.361000000000001</v>
      </c>
      <c r="M18" s="9">
        <f t="shared" si="1"/>
        <v>28.722000000000001</v>
      </c>
    </row>
    <row r="19" spans="1:13" ht="18" customHeight="1" x14ac:dyDescent="0.25">
      <c r="A19" s="13">
        <v>8</v>
      </c>
      <c r="B19" s="5">
        <v>1</v>
      </c>
      <c r="C19" s="4"/>
      <c r="D19" s="4"/>
      <c r="E19" s="76" t="s">
        <v>34</v>
      </c>
      <c r="F19" s="77"/>
      <c r="G19" s="77"/>
      <c r="H19" s="77"/>
      <c r="I19" s="77"/>
      <c r="J19" s="10">
        <v>13.02</v>
      </c>
      <c r="K19" s="9">
        <f t="shared" si="0"/>
        <v>13.02</v>
      </c>
      <c r="L19" s="10">
        <v>13.249000000000001</v>
      </c>
      <c r="M19" s="9">
        <f t="shared" si="1"/>
        <v>13.249000000000001</v>
      </c>
    </row>
    <row r="20" spans="1:13" ht="18" customHeight="1" x14ac:dyDescent="0.25">
      <c r="A20" s="13">
        <v>9</v>
      </c>
      <c r="B20" s="5">
        <v>3</v>
      </c>
      <c r="C20" s="4"/>
      <c r="D20" s="4"/>
      <c r="E20" s="76" t="s">
        <v>35</v>
      </c>
      <c r="F20" s="77"/>
      <c r="G20" s="77"/>
      <c r="H20" s="77"/>
      <c r="I20" s="77"/>
      <c r="J20" s="10">
        <v>25.32</v>
      </c>
      <c r="K20" s="9">
        <f t="shared" si="0"/>
        <v>75.960000000000008</v>
      </c>
      <c r="L20" s="10">
        <v>25.774999999999999</v>
      </c>
      <c r="M20" s="9">
        <f t="shared" si="1"/>
        <v>77.324999999999989</v>
      </c>
    </row>
    <row r="21" spans="1:13" ht="18" customHeight="1" x14ac:dyDescent="0.25">
      <c r="A21" s="13">
        <v>10</v>
      </c>
      <c r="B21" s="5">
        <v>1</v>
      </c>
      <c r="C21" s="4"/>
      <c r="D21" s="4"/>
      <c r="E21" s="76" t="s">
        <v>36</v>
      </c>
      <c r="F21" s="77"/>
      <c r="G21" s="77"/>
      <c r="H21" s="77"/>
      <c r="I21" s="77"/>
      <c r="J21" s="10">
        <v>10.64</v>
      </c>
      <c r="K21" s="9">
        <f t="shared" si="0"/>
        <v>10.64</v>
      </c>
      <c r="L21" s="10">
        <v>10.827</v>
      </c>
      <c r="M21" s="9">
        <f t="shared" si="1"/>
        <v>10.827</v>
      </c>
    </row>
    <row r="22" spans="1:13" ht="18" customHeight="1" x14ac:dyDescent="0.25">
      <c r="A22" s="13">
        <v>11</v>
      </c>
      <c r="B22" s="5">
        <v>4</v>
      </c>
      <c r="C22" s="4"/>
      <c r="D22" s="4"/>
      <c r="E22" s="76" t="s">
        <v>51</v>
      </c>
      <c r="F22" s="77"/>
      <c r="G22" s="77"/>
      <c r="H22" s="77"/>
      <c r="I22" s="77"/>
      <c r="J22" s="10">
        <v>16.93</v>
      </c>
      <c r="K22" s="9">
        <f t="shared" si="0"/>
        <v>67.72</v>
      </c>
      <c r="L22" s="10">
        <v>17.23</v>
      </c>
      <c r="M22" s="9">
        <f t="shared" si="1"/>
        <v>68.92</v>
      </c>
    </row>
    <row r="23" spans="1:13" ht="18" customHeight="1" x14ac:dyDescent="0.25">
      <c r="A23" s="13">
        <v>13</v>
      </c>
      <c r="B23" s="5">
        <v>3</v>
      </c>
      <c r="C23" s="4"/>
      <c r="D23" s="4"/>
      <c r="E23" s="76" t="s">
        <v>52</v>
      </c>
      <c r="F23" s="77"/>
      <c r="G23" s="77"/>
      <c r="H23" s="77"/>
      <c r="I23" s="77"/>
      <c r="J23" s="10">
        <v>6.98</v>
      </c>
      <c r="K23" s="9">
        <f t="shared" si="0"/>
        <v>20.94</v>
      </c>
      <c r="L23" s="10">
        <v>7.1070000000000002</v>
      </c>
      <c r="M23" s="9">
        <f t="shared" si="1"/>
        <v>21.321000000000002</v>
      </c>
    </row>
    <row r="24" spans="1:13" ht="18" customHeight="1" x14ac:dyDescent="0.25">
      <c r="A24" s="13">
        <v>14</v>
      </c>
      <c r="B24" s="5"/>
      <c r="C24" s="4">
        <v>1</v>
      </c>
      <c r="D24" s="4"/>
      <c r="E24" s="76" t="s">
        <v>53</v>
      </c>
      <c r="F24" s="77"/>
      <c r="G24" s="77"/>
      <c r="H24" s="77"/>
      <c r="I24" s="77"/>
      <c r="J24" s="10">
        <v>14.25</v>
      </c>
      <c r="K24" s="9">
        <f t="shared" si="0"/>
        <v>0</v>
      </c>
      <c r="L24" s="10"/>
      <c r="M24" s="9">
        <f t="shared" si="1"/>
        <v>0</v>
      </c>
    </row>
    <row r="25" spans="1:13" ht="18" customHeight="1" x14ac:dyDescent="0.25">
      <c r="A25" s="13">
        <v>15</v>
      </c>
      <c r="B25" s="5">
        <v>3</v>
      </c>
      <c r="C25" s="4"/>
      <c r="D25" s="4"/>
      <c r="E25" s="76" t="s">
        <v>37</v>
      </c>
      <c r="F25" s="77"/>
      <c r="G25" s="77"/>
      <c r="H25" s="77"/>
      <c r="I25" s="77"/>
      <c r="J25" s="10">
        <v>8.1999999999999993</v>
      </c>
      <c r="K25" s="9">
        <f t="shared" si="0"/>
        <v>24.599999999999998</v>
      </c>
      <c r="L25" s="10">
        <v>8.3469999999999995</v>
      </c>
      <c r="M25" s="9">
        <f t="shared" si="1"/>
        <v>25.040999999999997</v>
      </c>
    </row>
    <row r="26" spans="1:13" ht="18" customHeight="1" x14ac:dyDescent="0.25">
      <c r="A26" s="13">
        <v>16</v>
      </c>
      <c r="B26" s="5">
        <v>3</v>
      </c>
      <c r="C26" s="4"/>
      <c r="D26" s="4"/>
      <c r="E26" s="76" t="s">
        <v>38</v>
      </c>
      <c r="F26" s="77"/>
      <c r="G26" s="77"/>
      <c r="H26" s="77"/>
      <c r="I26" s="77"/>
      <c r="J26" s="10">
        <v>6.98</v>
      </c>
      <c r="K26" s="9">
        <f t="shared" si="0"/>
        <v>20.94</v>
      </c>
      <c r="L26" s="10">
        <v>7.1070000000000002</v>
      </c>
      <c r="M26" s="9">
        <f t="shared" si="1"/>
        <v>21.321000000000002</v>
      </c>
    </row>
    <row r="27" spans="1:13" ht="18" customHeight="1" x14ac:dyDescent="0.25">
      <c r="A27" s="13">
        <v>17</v>
      </c>
      <c r="B27" s="5">
        <v>1</v>
      </c>
      <c r="C27" s="4"/>
      <c r="D27" s="4"/>
      <c r="E27" s="76" t="s">
        <v>39</v>
      </c>
      <c r="F27" s="77"/>
      <c r="G27" s="77"/>
      <c r="H27" s="77"/>
      <c r="I27" s="77"/>
      <c r="J27" s="10">
        <v>16.93</v>
      </c>
      <c r="K27" s="9">
        <f t="shared" si="0"/>
        <v>16.93</v>
      </c>
      <c r="L27" s="10">
        <v>17.23</v>
      </c>
      <c r="M27" s="9">
        <f t="shared" si="1"/>
        <v>17.23</v>
      </c>
    </row>
    <row r="28" spans="1:13" ht="18" customHeight="1" x14ac:dyDescent="0.25">
      <c r="A28" s="13">
        <v>18</v>
      </c>
      <c r="B28" s="5">
        <v>2</v>
      </c>
      <c r="C28" s="4"/>
      <c r="D28" s="4"/>
      <c r="E28" s="76" t="s">
        <v>40</v>
      </c>
      <c r="F28" s="77"/>
      <c r="G28" s="77"/>
      <c r="H28" s="77"/>
      <c r="I28" s="77"/>
      <c r="J28" s="10">
        <v>1.48</v>
      </c>
      <c r="K28" s="9">
        <f t="shared" si="0"/>
        <v>2.96</v>
      </c>
      <c r="L28" s="10">
        <v>1.5069999999999999</v>
      </c>
      <c r="M28" s="9">
        <f t="shared" si="1"/>
        <v>3.0139999999999998</v>
      </c>
    </row>
    <row r="29" spans="1:13" ht="18" customHeight="1" x14ac:dyDescent="0.25">
      <c r="A29" s="13">
        <v>19</v>
      </c>
      <c r="B29" s="5">
        <v>5</v>
      </c>
      <c r="C29" s="4"/>
      <c r="D29" s="4"/>
      <c r="E29" s="76" t="s">
        <v>41</v>
      </c>
      <c r="F29" s="77"/>
      <c r="G29" s="77"/>
      <c r="H29" s="77"/>
      <c r="I29" s="77"/>
      <c r="J29" s="10">
        <v>2.52</v>
      </c>
      <c r="K29" s="9">
        <f t="shared" si="0"/>
        <v>12.6</v>
      </c>
      <c r="L29" s="10">
        <v>2.2719999999999998</v>
      </c>
      <c r="M29" s="9">
        <f t="shared" si="1"/>
        <v>11.36</v>
      </c>
    </row>
    <row r="30" spans="1:13" ht="18" customHeight="1" x14ac:dyDescent="0.25">
      <c r="A30" s="13">
        <v>20</v>
      </c>
      <c r="B30" s="5">
        <v>3</v>
      </c>
      <c r="C30" s="4"/>
      <c r="D30" s="4"/>
      <c r="E30" s="76" t="s">
        <v>44</v>
      </c>
      <c r="F30" s="77"/>
      <c r="G30" s="77"/>
      <c r="H30" s="77"/>
      <c r="I30" s="77"/>
      <c r="J30" s="10">
        <v>4.16</v>
      </c>
      <c r="K30" s="9">
        <f t="shared" si="0"/>
        <v>12.48</v>
      </c>
      <c r="L30" s="10">
        <v>2.1560000000000001</v>
      </c>
      <c r="M30" s="9">
        <f t="shared" si="1"/>
        <v>6.468</v>
      </c>
    </row>
    <row r="31" spans="1:13" ht="18" customHeight="1" x14ac:dyDescent="0.25">
      <c r="A31" s="13">
        <v>21</v>
      </c>
      <c r="B31" s="5">
        <v>3</v>
      </c>
      <c r="C31" s="4"/>
      <c r="D31" s="4"/>
      <c r="E31" s="76" t="s">
        <v>43</v>
      </c>
      <c r="F31" s="77"/>
      <c r="G31" s="77"/>
      <c r="H31" s="77"/>
      <c r="I31" s="77"/>
      <c r="J31" s="10">
        <v>3.3</v>
      </c>
      <c r="K31" s="9">
        <f t="shared" si="0"/>
        <v>9.8999999999999986</v>
      </c>
      <c r="L31" s="10">
        <v>1.7110000000000001</v>
      </c>
      <c r="M31" s="9">
        <f t="shared" si="1"/>
        <v>5.133</v>
      </c>
    </row>
    <row r="32" spans="1:13" ht="18" customHeight="1" x14ac:dyDescent="0.25">
      <c r="A32" s="13">
        <v>22</v>
      </c>
      <c r="B32" s="5">
        <v>2</v>
      </c>
      <c r="C32" s="4"/>
      <c r="D32" s="4"/>
      <c r="E32" s="78" t="s">
        <v>42</v>
      </c>
      <c r="F32" s="79"/>
      <c r="G32" s="79"/>
      <c r="H32" s="79"/>
      <c r="J32" s="10">
        <v>1.24</v>
      </c>
      <c r="K32" s="9">
        <f t="shared" si="0"/>
        <v>2.48</v>
      </c>
      <c r="L32" s="10">
        <v>1.2110000000000001</v>
      </c>
      <c r="M32" s="9">
        <f t="shared" si="1"/>
        <v>2.4220000000000002</v>
      </c>
    </row>
    <row r="33" spans="1:13" ht="18" customHeight="1" x14ac:dyDescent="0.25">
      <c r="A33" s="13">
        <v>10</v>
      </c>
      <c r="B33" s="5">
        <v>4</v>
      </c>
      <c r="C33" s="4"/>
      <c r="D33" s="4"/>
      <c r="E33" s="76" t="s">
        <v>45</v>
      </c>
      <c r="F33" s="77"/>
      <c r="G33" s="77"/>
      <c r="H33" s="77"/>
      <c r="I33" s="77"/>
      <c r="J33" s="10">
        <v>70.540000000000006</v>
      </c>
      <c r="K33" s="9">
        <f t="shared" si="0"/>
        <v>282.16000000000003</v>
      </c>
      <c r="L33" s="10">
        <v>67.576999999999998</v>
      </c>
      <c r="M33" s="9">
        <f t="shared" si="1"/>
        <v>270.30799999999999</v>
      </c>
    </row>
    <row r="34" spans="1:13" ht="18" customHeight="1" x14ac:dyDescent="0.25">
      <c r="A34" s="13">
        <v>24</v>
      </c>
      <c r="B34" s="5">
        <v>3</v>
      </c>
      <c r="C34" s="4"/>
      <c r="D34" s="4"/>
      <c r="E34" s="76" t="s">
        <v>46</v>
      </c>
      <c r="F34" s="77"/>
      <c r="G34" s="77"/>
      <c r="H34" s="77"/>
      <c r="I34" s="77"/>
      <c r="J34" s="10">
        <v>27.51</v>
      </c>
      <c r="K34" s="9">
        <f t="shared" si="0"/>
        <v>82.53</v>
      </c>
      <c r="L34" s="10">
        <v>34.207999999999998</v>
      </c>
      <c r="M34" s="9">
        <f t="shared" si="1"/>
        <v>102.624</v>
      </c>
    </row>
    <row r="35" spans="1:13" ht="18" customHeight="1" x14ac:dyDescent="0.25">
      <c r="A35" s="13">
        <v>25</v>
      </c>
      <c r="B35" s="5">
        <v>3</v>
      </c>
      <c r="C35" s="4"/>
      <c r="D35" s="4"/>
      <c r="E35" s="76" t="s">
        <v>47</v>
      </c>
      <c r="F35" s="77"/>
      <c r="G35" s="77"/>
      <c r="H35" s="77"/>
      <c r="I35" s="77"/>
      <c r="J35" s="10">
        <v>21.61</v>
      </c>
      <c r="K35" s="9">
        <f t="shared" si="0"/>
        <v>64.83</v>
      </c>
      <c r="L35" s="10">
        <v>30</v>
      </c>
      <c r="M35" s="9">
        <f t="shared" si="1"/>
        <v>90</v>
      </c>
    </row>
    <row r="36" spans="1:13" ht="18" customHeight="1" x14ac:dyDescent="0.25">
      <c r="A36" s="13">
        <v>26</v>
      </c>
      <c r="B36" s="5">
        <v>2</v>
      </c>
      <c r="C36" s="4"/>
      <c r="D36" s="4"/>
      <c r="E36" s="76" t="s">
        <v>48</v>
      </c>
      <c r="F36" s="77"/>
      <c r="G36" s="77"/>
      <c r="H36" s="77"/>
      <c r="I36" s="77"/>
      <c r="J36" s="10">
        <v>8.1999999999999993</v>
      </c>
      <c r="K36" s="9">
        <f t="shared" si="0"/>
        <v>16.399999999999999</v>
      </c>
      <c r="L36" s="10">
        <v>7.8570000000000002</v>
      </c>
      <c r="M36" s="9">
        <f t="shared" si="1"/>
        <v>15.714</v>
      </c>
    </row>
    <row r="37" spans="1:13" ht="18" customHeight="1" x14ac:dyDescent="0.25">
      <c r="A37" s="13">
        <v>27</v>
      </c>
      <c r="B37" s="30">
        <v>40</v>
      </c>
      <c r="C37" s="4"/>
      <c r="D37" s="4"/>
      <c r="E37" s="76" t="s">
        <v>25</v>
      </c>
      <c r="F37" s="33"/>
      <c r="G37" s="33"/>
      <c r="H37" s="33"/>
      <c r="I37" s="33"/>
      <c r="J37" s="10">
        <v>10.3</v>
      </c>
      <c r="K37" s="9">
        <f t="shared" si="0"/>
        <v>412</v>
      </c>
      <c r="L37" s="10">
        <v>9.8318200000000004</v>
      </c>
      <c r="M37" s="9">
        <f t="shared" si="1"/>
        <v>393.27280000000002</v>
      </c>
    </row>
    <row r="38" spans="1:13" ht="18" customHeight="1" x14ac:dyDescent="0.25">
      <c r="A38" s="13">
        <v>28</v>
      </c>
      <c r="B38" s="30">
        <v>80</v>
      </c>
      <c r="C38" s="4"/>
      <c r="D38" s="4"/>
      <c r="E38" s="76" t="s">
        <v>49</v>
      </c>
      <c r="F38" s="33"/>
      <c r="G38" s="33"/>
      <c r="H38" s="33"/>
      <c r="I38" s="33"/>
      <c r="J38" s="10">
        <v>7.07</v>
      </c>
      <c r="K38" s="9">
        <f t="shared" si="0"/>
        <v>565.6</v>
      </c>
      <c r="L38" s="10">
        <v>6.7251399999999997</v>
      </c>
      <c r="M38" s="9">
        <f t="shared" si="1"/>
        <v>538.01119999999992</v>
      </c>
    </row>
    <row r="39" spans="1:13" ht="18" customHeight="1" x14ac:dyDescent="0.25">
      <c r="A39" s="12">
        <v>29</v>
      </c>
      <c r="B39" s="30">
        <v>160</v>
      </c>
      <c r="C39" s="4"/>
      <c r="D39" s="11"/>
      <c r="E39" s="76" t="s">
        <v>50</v>
      </c>
      <c r="F39" s="33"/>
      <c r="G39" s="33"/>
      <c r="H39" s="33"/>
      <c r="I39" s="33"/>
      <c r="J39" s="10">
        <v>5.7</v>
      </c>
      <c r="K39" s="9">
        <f t="shared" si="0"/>
        <v>912</v>
      </c>
      <c r="L39" s="10">
        <v>5.0181800000000001</v>
      </c>
      <c r="M39" s="9">
        <f t="shared" si="1"/>
        <v>802.90880000000004</v>
      </c>
    </row>
    <row r="40" spans="1:13" ht="18" customHeight="1" x14ac:dyDescent="0.25">
      <c r="A40" s="80" t="s">
        <v>0</v>
      </c>
      <c r="B40" s="81"/>
      <c r="C40" s="81"/>
      <c r="D40" s="81"/>
      <c r="E40" s="81"/>
      <c r="F40" s="8"/>
      <c r="G40" s="8"/>
      <c r="H40" s="82">
        <f>SUM(K1)</f>
        <v>0</v>
      </c>
      <c r="I40" s="83"/>
      <c r="J40" s="83"/>
      <c r="K40" s="7"/>
    </row>
    <row r="41" spans="1:13" ht="18" customHeight="1" x14ac:dyDescent="0.25">
      <c r="A41" s="6">
        <v>30</v>
      </c>
      <c r="B41" s="5"/>
      <c r="C41" s="4"/>
      <c r="D41" s="4"/>
      <c r="E41" s="84"/>
      <c r="F41" s="33"/>
      <c r="G41" s="33"/>
      <c r="H41" s="33"/>
      <c r="I41" s="33"/>
      <c r="J41" s="3"/>
      <c r="K41" s="2"/>
    </row>
    <row r="42" spans="1:13" ht="18" customHeight="1" x14ac:dyDescent="0.25">
      <c r="A42" s="6">
        <v>31</v>
      </c>
      <c r="B42" s="5"/>
      <c r="C42" s="4"/>
      <c r="D42" s="4"/>
      <c r="E42" s="76"/>
      <c r="F42" s="33"/>
      <c r="G42" s="33"/>
      <c r="H42" s="33"/>
      <c r="I42" s="33"/>
      <c r="J42" s="3"/>
      <c r="K42" s="2"/>
    </row>
    <row r="43" spans="1:13" ht="18" customHeight="1" x14ac:dyDescent="0.25">
      <c r="A43" s="6">
        <v>32</v>
      </c>
      <c r="B43" s="5"/>
      <c r="C43" s="4"/>
      <c r="D43" s="4"/>
      <c r="E43" s="76"/>
      <c r="F43" s="33"/>
      <c r="G43" s="33"/>
      <c r="H43" s="33"/>
      <c r="I43" s="33"/>
      <c r="J43" s="3"/>
      <c r="K43" s="2"/>
    </row>
    <row r="44" spans="1:13" ht="18" customHeight="1" x14ac:dyDescent="0.25">
      <c r="A44" s="6">
        <v>33</v>
      </c>
      <c r="B44" s="5"/>
      <c r="C44" s="4"/>
      <c r="D44" s="4"/>
      <c r="E44" s="76"/>
      <c r="F44" s="33"/>
      <c r="G44" s="33"/>
      <c r="H44" s="33"/>
      <c r="I44" s="33"/>
      <c r="J44" s="3"/>
      <c r="K44" s="2"/>
    </row>
    <row r="45" spans="1:13" ht="18" customHeight="1" x14ac:dyDescent="0.25">
      <c r="A45" s="6">
        <v>34</v>
      </c>
      <c r="B45" s="5"/>
      <c r="C45" s="4"/>
      <c r="D45" s="4"/>
      <c r="E45" s="84"/>
      <c r="F45" s="33"/>
      <c r="G45" s="33"/>
      <c r="H45" s="33"/>
      <c r="I45" s="33"/>
      <c r="J45" s="3"/>
      <c r="K45" s="2"/>
    </row>
    <row r="46" spans="1:13" ht="18" customHeight="1" x14ac:dyDescent="0.25">
      <c r="A46" s="6">
        <v>35</v>
      </c>
      <c r="B46" s="5"/>
      <c r="C46" s="4"/>
      <c r="D46" s="4"/>
      <c r="E46" s="76"/>
      <c r="F46" s="33"/>
      <c r="G46" s="33"/>
      <c r="H46" s="33"/>
      <c r="I46" s="33"/>
      <c r="J46" s="3"/>
      <c r="K46" s="2"/>
    </row>
    <row r="47" spans="1:13" ht="18" customHeight="1" x14ac:dyDescent="0.25">
      <c r="A47" s="6">
        <v>36</v>
      </c>
      <c r="B47" s="5"/>
      <c r="C47" s="4"/>
      <c r="D47" s="4"/>
      <c r="E47" s="76"/>
      <c r="F47" s="33"/>
      <c r="G47" s="33"/>
      <c r="H47" s="33"/>
      <c r="I47" s="33"/>
      <c r="J47" s="3"/>
      <c r="K47" s="2"/>
    </row>
    <row r="48" spans="1:13" ht="18" customHeight="1" x14ac:dyDescent="0.25">
      <c r="A48" s="6">
        <v>37</v>
      </c>
      <c r="B48" s="5"/>
      <c r="C48" s="4"/>
      <c r="D48" s="4"/>
      <c r="E48" s="76"/>
      <c r="F48" s="33"/>
      <c r="G48" s="33"/>
      <c r="H48" s="33"/>
      <c r="I48" s="33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76"/>
      <c r="F49" s="33"/>
      <c r="G49" s="33"/>
      <c r="H49" s="33"/>
      <c r="I49" s="33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76"/>
      <c r="F50" s="33"/>
      <c r="G50" s="33"/>
      <c r="H50" s="33"/>
      <c r="I50" s="33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84"/>
      <c r="F51" s="33"/>
      <c r="G51" s="33"/>
      <c r="H51" s="33"/>
      <c r="I51" s="33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76"/>
      <c r="F52" s="33"/>
      <c r="G52" s="33"/>
      <c r="H52" s="33"/>
      <c r="I52" s="33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84"/>
      <c r="F53" s="33"/>
      <c r="G53" s="33"/>
      <c r="H53" s="33"/>
      <c r="I53" s="33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76"/>
      <c r="F54" s="33"/>
      <c r="G54" s="33"/>
      <c r="H54" s="33"/>
      <c r="I54" s="33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76"/>
      <c r="F55" s="33"/>
      <c r="G55" s="33"/>
      <c r="H55" s="33"/>
      <c r="I55" s="33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76"/>
      <c r="F56" s="33"/>
      <c r="G56" s="33"/>
      <c r="H56" s="33"/>
      <c r="I56" s="33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76"/>
      <c r="F57" s="33"/>
      <c r="G57" s="33"/>
      <c r="H57" s="33"/>
      <c r="I57" s="33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76"/>
      <c r="F58" s="33"/>
      <c r="G58" s="33"/>
      <c r="H58" s="33"/>
      <c r="I58" s="33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84"/>
      <c r="F59" s="33"/>
      <c r="G59" s="33"/>
      <c r="H59" s="33"/>
      <c r="I59" s="33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84"/>
      <c r="F60" s="33"/>
      <c r="G60" s="33"/>
      <c r="H60" s="33"/>
      <c r="I60" s="33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84"/>
      <c r="F61" s="33"/>
      <c r="G61" s="33"/>
      <c r="H61" s="33"/>
      <c r="I61" s="33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84"/>
      <c r="F62" s="33"/>
      <c r="G62" s="33"/>
      <c r="H62" s="33"/>
      <c r="I62" s="33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84"/>
      <c r="F63" s="33"/>
      <c r="G63" s="33"/>
      <c r="H63" s="33"/>
      <c r="I63" s="33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84"/>
      <c r="F64" s="33"/>
      <c r="G64" s="33"/>
      <c r="H64" s="33"/>
      <c r="I64" s="33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84"/>
      <c r="F65" s="33"/>
      <c r="G65" s="33"/>
      <c r="H65" s="33"/>
      <c r="I65" s="33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84"/>
      <c r="F66" s="33"/>
      <c r="G66" s="33"/>
      <c r="H66" s="33"/>
      <c r="I66" s="33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84"/>
      <c r="F67" s="33"/>
      <c r="G67" s="33"/>
      <c r="H67" s="33"/>
      <c r="I67" s="33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84"/>
      <c r="F68" s="33"/>
      <c r="G68" s="33"/>
      <c r="H68" s="33"/>
      <c r="I68" s="33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84"/>
      <c r="F69" s="33"/>
      <c r="G69" s="33"/>
      <c r="H69" s="33"/>
      <c r="I69" s="33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84"/>
      <c r="F70" s="33"/>
      <c r="G70" s="33"/>
      <c r="H70" s="33"/>
      <c r="I70" s="33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84"/>
      <c r="F71" s="33"/>
      <c r="G71" s="33"/>
      <c r="H71" s="33"/>
      <c r="I71" s="33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84"/>
      <c r="F72" s="33"/>
      <c r="G72" s="33"/>
      <c r="H72" s="33"/>
      <c r="I72" s="33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84"/>
      <c r="F73" s="33"/>
      <c r="G73" s="33"/>
      <c r="H73" s="33"/>
      <c r="I73" s="33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84"/>
      <c r="F74" s="33"/>
      <c r="G74" s="33"/>
      <c r="H74" s="33"/>
      <c r="I74" s="33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84"/>
      <c r="F75" s="33"/>
      <c r="G75" s="33"/>
      <c r="H75" s="33"/>
      <c r="I75" s="33"/>
      <c r="J75" s="3"/>
      <c r="K75" s="2"/>
    </row>
  </sheetData>
  <mergeCells count="89">
    <mergeCell ref="E71:I71"/>
    <mergeCell ref="E72:I72"/>
    <mergeCell ref="E73:I73"/>
    <mergeCell ref="E74:I74"/>
    <mergeCell ref="E75:I7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51:I51"/>
    <mergeCell ref="E52:I52"/>
    <mergeCell ref="E53:I53"/>
    <mergeCell ref="E54:I54"/>
    <mergeCell ref="E55:I55"/>
    <mergeCell ref="E46:I46"/>
    <mergeCell ref="E47:I47"/>
    <mergeCell ref="E48:I48"/>
    <mergeCell ref="E49:I49"/>
    <mergeCell ref="E50:I50"/>
    <mergeCell ref="E41:I41"/>
    <mergeCell ref="E42:I42"/>
    <mergeCell ref="E43:I43"/>
    <mergeCell ref="E44:I44"/>
    <mergeCell ref="E45:I45"/>
    <mergeCell ref="E36:I36"/>
    <mergeCell ref="E37:I37"/>
    <mergeCell ref="E38:I38"/>
    <mergeCell ref="E39:I39"/>
    <mergeCell ref="A40:E40"/>
    <mergeCell ref="H40:J40"/>
    <mergeCell ref="E31:I31"/>
    <mergeCell ref="E32:H32"/>
    <mergeCell ref="E33:I33"/>
    <mergeCell ref="E34:I34"/>
    <mergeCell ref="E35:I35"/>
    <mergeCell ref="E26:I26"/>
    <mergeCell ref="E27:I27"/>
    <mergeCell ref="E28:I28"/>
    <mergeCell ref="E29:I29"/>
    <mergeCell ref="E30:I30"/>
    <mergeCell ref="E21:I21"/>
    <mergeCell ref="E22:I22"/>
    <mergeCell ref="E23:I23"/>
    <mergeCell ref="E24:I24"/>
    <mergeCell ref="E25:I25"/>
    <mergeCell ref="E16:I16"/>
    <mergeCell ref="E17:I17"/>
    <mergeCell ref="E18:I18"/>
    <mergeCell ref="E19:I19"/>
    <mergeCell ref="E20:I20"/>
    <mergeCell ref="J11:K11"/>
    <mergeCell ref="E12:I12"/>
    <mergeCell ref="E13:I13"/>
    <mergeCell ref="E14:I14"/>
    <mergeCell ref="E15:I15"/>
    <mergeCell ref="A9:C9"/>
    <mergeCell ref="E9:H9"/>
    <mergeCell ref="A10:C10"/>
    <mergeCell ref="E10:H10"/>
    <mergeCell ref="A11:B11"/>
    <mergeCell ref="E11:I11"/>
    <mergeCell ref="A7:C7"/>
    <mergeCell ref="E7:H7"/>
    <mergeCell ref="J7:K7"/>
    <mergeCell ref="A8:C8"/>
    <mergeCell ref="E8:H8"/>
    <mergeCell ref="J8:K8"/>
    <mergeCell ref="A3:B4"/>
    <mergeCell ref="C3:E4"/>
    <mergeCell ref="H3:H4"/>
    <mergeCell ref="I3:K4"/>
    <mergeCell ref="A5:B6"/>
    <mergeCell ref="C5:K6"/>
    <mergeCell ref="A1:B2"/>
    <mergeCell ref="C1:C2"/>
    <mergeCell ref="H1:H2"/>
    <mergeCell ref="I1:J2"/>
    <mergeCell ref="K1:K2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ignoredErrors>
    <ignoredError sqref="N10:O10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2012-10-30T17:21:41Z</dcterms:modified>
</cp:coreProperties>
</file>