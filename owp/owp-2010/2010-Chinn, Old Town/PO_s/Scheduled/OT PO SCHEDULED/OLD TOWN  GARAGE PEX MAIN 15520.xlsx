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CANOUT'!$A$1:$K$75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42" i="1" l="1"/>
  <c r="K43" i="1"/>
  <c r="K44" i="1"/>
  <c r="K45" i="1"/>
  <c r="K46" i="1"/>
  <c r="K47" i="1"/>
  <c r="K39" i="1" l="1"/>
  <c r="K38" i="1"/>
  <c r="K37" i="1"/>
  <c r="H40" i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10" i="1" l="1"/>
</calcChain>
</file>

<file path=xl/sharedStrings.xml><?xml version="1.0" encoding="utf-8"?>
<sst xmlns="http://schemas.openxmlformats.org/spreadsheetml/2006/main" count="60" uniqueCount="60">
  <si>
    <t>P.O.#</t>
  </si>
  <si>
    <t>PRICE</t>
  </si>
  <si>
    <t>PLEASE SUPPLY ITEMS LISTED BELOW</t>
  </si>
  <si>
    <t>REC`D</t>
  </si>
  <si>
    <t>REC'D</t>
  </si>
  <si>
    <t>QUANTITY</t>
  </si>
  <si>
    <t>1/1/2013 +/-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</si>
  <si>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</si>
  <si>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</si>
  <si>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</si>
  <si>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</si>
  <si>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</si>
  <si>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</si>
  <si>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</si>
  <si>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</si>
  <si>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</si>
  <si>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</si>
  <si>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</si>
  <si>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</si>
  <si>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</si>
  <si>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</si>
  <si>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</si>
  <si>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</si>
  <si>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</si>
  <si>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UPONOR AQUA PEX</t>
  </si>
  <si>
    <t>2'' 90</t>
  </si>
  <si>
    <t xml:space="preserve">2'' COUPLING </t>
  </si>
  <si>
    <t>2 X 2 X 11/2 TEE</t>
  </si>
  <si>
    <t>2 X 11/2 X 11/2 TEE</t>
  </si>
  <si>
    <t>2 X 11/2 X 11/4 TEE</t>
  </si>
  <si>
    <t>11/2 X 11/4 X 11/4 TEE</t>
  </si>
  <si>
    <t>11/2 90</t>
  </si>
  <si>
    <t>11/2 COUPLING</t>
  </si>
  <si>
    <t>11/4 90</t>
  </si>
  <si>
    <t>11/4 COUPLING</t>
  </si>
  <si>
    <t>1 X 3/4 X 3/4 TEE</t>
  </si>
  <si>
    <t>1 X 1 X 3/4 TEE</t>
  </si>
  <si>
    <t>1'' 90</t>
  </si>
  <si>
    <t>1'' COUPLING</t>
  </si>
  <si>
    <t>3/4 90</t>
  </si>
  <si>
    <t>3/4 COUPLING</t>
  </si>
  <si>
    <t>3/4 TEE</t>
  </si>
  <si>
    <t>2'' PEX X MIP</t>
  </si>
  <si>
    <t>11/2'' PEX X MIP</t>
  </si>
  <si>
    <t>11/4'' PEX X MIP</t>
  </si>
  <si>
    <t>1'' PEX X MIP</t>
  </si>
  <si>
    <t>3/4'' PEX X MIP</t>
  </si>
  <si>
    <t>11/2 SLEEVE</t>
  </si>
  <si>
    <t>11/4 SLEEVE</t>
  </si>
  <si>
    <t>1'' SLEEVE</t>
  </si>
  <si>
    <t>3/4 SLEEVE</t>
  </si>
  <si>
    <t>2'' AQUA PEX STRAIGHT LENGTH</t>
  </si>
  <si>
    <t>11/2'' AQUA PEX STRAIGHT LENGTH</t>
  </si>
  <si>
    <t>11/4'' AQUA PEX STRAIGHT LENGTH</t>
  </si>
  <si>
    <t>1'' AQUA PEX STRAIGHT LENGTH</t>
  </si>
  <si>
    <t>3/4'' AQUA PEX STRAIGHT LENGTH</t>
  </si>
  <si>
    <t>2'' SLEEVE</t>
  </si>
  <si>
    <t>GARAGE PEX MAINS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</si>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</sst>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164" fontId="0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0" t="s">
        <v>20</v>
      </c>
      <c r="B1" s="31"/>
      <c r="C1" s="32"/>
      <c r="D1" s="28"/>
      <c r="E1" s="27" t="s">
        <v>19</v>
      </c>
      <c r="F1" s="25"/>
      <c r="G1" s="25"/>
      <c r="H1" s="34"/>
      <c r="I1" s="36" t="s">
        <v>18</v>
      </c>
      <c r="J1" s="37"/>
      <c r="K1" s="40">
        <v>15520</v>
      </c>
    </row>
    <row r="2" spans="1:13" ht="18.600000000000001" customHeight="1" x14ac:dyDescent="0.25">
      <c r="A2" s="31"/>
      <c r="B2" s="31"/>
      <c r="C2" s="33"/>
      <c r="D2" s="26"/>
      <c r="E2" s="18" t="s">
        <v>57</v>
      </c>
      <c r="F2" s="25"/>
      <c r="G2" s="25"/>
      <c r="H2" s="35"/>
      <c r="I2" s="38"/>
      <c r="J2" s="39"/>
      <c r="K2" s="41"/>
    </row>
    <row r="3" spans="1:13" ht="13.95" customHeight="1" x14ac:dyDescent="0.25">
      <c r="A3" s="42" t="s">
        <v>17</v>
      </c>
      <c r="B3" s="43"/>
      <c r="C3" s="44" t="s">
        <v>59</v>
      </c>
      <c r="D3" s="31"/>
      <c r="E3" s="31"/>
      <c r="F3" s="24"/>
      <c r="G3" s="24"/>
      <c r="H3" s="45" t="s">
        <v>16</v>
      </c>
      <c r="I3" s="45">
        <v>2469110</v>
      </c>
      <c r="J3" s="31"/>
      <c r="K3" s="31"/>
    </row>
    <row r="4" spans="1:13" ht="7.95" customHeight="1" x14ac:dyDescent="0.25">
      <c r="A4" s="43"/>
      <c r="B4" s="43"/>
      <c r="C4" s="31"/>
      <c r="D4" s="31"/>
      <c r="E4" s="31"/>
      <c r="F4" s="24"/>
      <c r="G4" s="24"/>
      <c r="H4" s="31"/>
      <c r="I4" s="31"/>
      <c r="J4" s="31"/>
      <c r="K4" s="31"/>
    </row>
    <row r="5" spans="1:13" ht="16.2" customHeight="1" outlineLevel="1" x14ac:dyDescent="0.25">
      <c r="A5" s="46" t="s">
        <v>15</v>
      </c>
      <c r="B5" s="43"/>
      <c r="C5" s="47" t="s">
        <v>22</v>
      </c>
      <c r="D5" s="48"/>
      <c r="E5" s="48"/>
      <c r="F5" s="48"/>
      <c r="G5" s="48"/>
      <c r="H5" s="48"/>
      <c r="I5" s="48"/>
      <c r="J5" s="31"/>
      <c r="K5" s="31"/>
    </row>
    <row r="6" spans="1:13" ht="6" customHeight="1" outlineLevel="1" x14ac:dyDescent="0.25">
      <c r="A6" s="43"/>
      <c r="B6" s="43"/>
      <c r="C6" s="48"/>
      <c r="D6" s="48"/>
      <c r="E6" s="48"/>
      <c r="F6" s="48"/>
      <c r="G6" s="48"/>
      <c r="H6" s="48"/>
      <c r="I6" s="48"/>
      <c r="J6" s="31"/>
      <c r="K6" s="31"/>
    </row>
    <row r="7" spans="1:13" ht="10.199999999999999" customHeight="1" x14ac:dyDescent="0.25">
      <c r="A7" s="49" t="s">
        <v>14</v>
      </c>
      <c r="B7" s="49"/>
      <c r="C7" s="49"/>
      <c r="D7" s="23"/>
      <c r="E7" s="50" t="s">
        <v>13</v>
      </c>
      <c r="F7" s="51"/>
      <c r="G7" s="51"/>
      <c r="H7" s="52"/>
      <c r="I7" s="22"/>
      <c r="J7" s="53" t="s">
        <v>12</v>
      </c>
      <c r="K7" s="54"/>
    </row>
    <row r="8" spans="1:13" ht="18.600000000000001" customHeight="1" x14ac:dyDescent="0.3">
      <c r="A8" s="55"/>
      <c r="B8" s="56"/>
      <c r="C8" s="56"/>
      <c r="D8" s="17"/>
      <c r="E8" s="57" t="s">
        <v>23</v>
      </c>
      <c r="F8" s="58"/>
      <c r="G8" s="58"/>
      <c r="H8" s="59"/>
      <c r="I8" s="21"/>
      <c r="J8" s="60">
        <v>41204</v>
      </c>
      <c r="K8" s="61"/>
      <c r="M8" s="20"/>
    </row>
    <row r="9" spans="1:13" ht="10.95" customHeight="1" x14ac:dyDescent="0.25">
      <c r="A9" s="49" t="s">
        <v>11</v>
      </c>
      <c r="B9" s="49"/>
      <c r="C9" s="49"/>
      <c r="D9" s="17" t="s">
        <v>10</v>
      </c>
      <c r="E9" s="50" t="s">
        <v>9</v>
      </c>
      <c r="F9" s="58"/>
      <c r="G9" s="58"/>
      <c r="H9" s="59"/>
      <c r="I9" s="19"/>
      <c r="J9" s="18" t="s">
        <v>8</v>
      </c>
      <c r="K9" s="18" t="s">
        <v>7</v>
      </c>
    </row>
    <row r="10" spans="1:13" ht="26.4" customHeight="1" x14ac:dyDescent="0.3">
      <c r="A10" s="62" t="s">
        <v>6</v>
      </c>
      <c r="B10" s="63"/>
      <c r="C10" s="64"/>
      <c r="D10" s="17"/>
      <c r="E10" s="65" t="s">
        <v>21</v>
      </c>
      <c r="F10" s="58"/>
      <c r="G10" s="58"/>
      <c r="H10" s="59"/>
      <c r="I10" s="16"/>
      <c r="J10" s="16" t="s">
        <v>58</v>
      </c>
      <c r="K10" s="15">
        <f>SUM(K12:K39,K41:K75)</f>
        <v>6514.8950000000004</v>
      </c>
    </row>
    <row r="11" spans="1:13" x14ac:dyDescent="0.25">
      <c r="A11" s="66" t="s">
        <v>5</v>
      </c>
      <c r="B11" s="67"/>
      <c r="C11" s="14" t="s">
        <v>4</v>
      </c>
      <c r="D11" s="13" t="s">
        <v>3</v>
      </c>
      <c r="E11" s="66" t="s">
        <v>2</v>
      </c>
      <c r="F11" s="31"/>
      <c r="G11" s="31"/>
      <c r="H11" s="31"/>
      <c r="I11" s="31"/>
      <c r="J11" s="68" t="s">
        <v>1</v>
      </c>
      <c r="K11" s="69"/>
    </row>
    <row r="12" spans="1:13" ht="18" customHeight="1" x14ac:dyDescent="0.25">
      <c r="A12" s="12">
        <v>1</v>
      </c>
      <c r="B12" s="5"/>
      <c r="C12" s="4"/>
      <c r="D12" s="4"/>
      <c r="E12" s="70" t="s">
        <v>24</v>
      </c>
      <c r="F12" s="71"/>
      <c r="G12" s="71"/>
      <c r="H12" s="71"/>
      <c r="I12" s="71"/>
      <c r="J12" s="9"/>
      <c r="K12" s="8">
        <f t="shared" ref="K12:K47" si="0">B12*J12</f>
        <v>0</v>
      </c>
    </row>
    <row r="13" spans="1:13" ht="18" customHeight="1" x14ac:dyDescent="0.25">
      <c r="A13" s="12">
        <v>2</v>
      </c>
      <c r="B13" s="5">
        <v>15</v>
      </c>
      <c r="C13" s="4"/>
      <c r="D13" s="4"/>
      <c r="E13" s="72" t="s">
        <v>25</v>
      </c>
      <c r="F13" s="73"/>
      <c r="G13" s="73"/>
      <c r="H13" s="73"/>
      <c r="I13" s="73"/>
      <c r="J13" s="83">
        <v>30.550999999999998</v>
      </c>
      <c r="K13" s="8">
        <f t="shared" si="0"/>
        <v>458.26499999999999</v>
      </c>
    </row>
    <row r="14" spans="1:13" ht="18" customHeight="1" x14ac:dyDescent="0.25">
      <c r="A14" s="12">
        <v>3</v>
      </c>
      <c r="B14" s="5">
        <v>10</v>
      </c>
      <c r="C14" s="4"/>
      <c r="D14" s="4"/>
      <c r="E14" s="72" t="s">
        <v>26</v>
      </c>
      <c r="F14" s="73"/>
      <c r="G14" s="73"/>
      <c r="H14" s="73"/>
      <c r="I14" s="73"/>
      <c r="J14" s="83">
        <v>21.684000000000001</v>
      </c>
      <c r="K14" s="8">
        <f t="shared" si="0"/>
        <v>216.84</v>
      </c>
    </row>
    <row r="15" spans="1:13" ht="18" customHeight="1" x14ac:dyDescent="0.25">
      <c r="A15" s="12">
        <v>4</v>
      </c>
      <c r="B15" s="5">
        <v>3</v>
      </c>
      <c r="C15" s="4"/>
      <c r="D15" s="4"/>
      <c r="E15" s="72" t="s">
        <v>27</v>
      </c>
      <c r="F15" s="73"/>
      <c r="G15" s="73"/>
      <c r="H15" s="73"/>
      <c r="I15" s="73"/>
      <c r="J15" s="83">
        <v>36.505000000000003</v>
      </c>
      <c r="K15" s="8">
        <f t="shared" si="0"/>
        <v>109.51500000000001</v>
      </c>
    </row>
    <row r="16" spans="1:13" ht="18" customHeight="1" x14ac:dyDescent="0.25">
      <c r="A16" s="12">
        <v>5</v>
      </c>
      <c r="B16" s="5">
        <v>4</v>
      </c>
      <c r="C16" s="4"/>
      <c r="D16" s="4"/>
      <c r="E16" s="72" t="s">
        <v>28</v>
      </c>
      <c r="F16" s="73"/>
      <c r="G16" s="73"/>
      <c r="H16" s="73"/>
      <c r="I16" s="73"/>
      <c r="J16" s="83">
        <v>36.090000000000003</v>
      </c>
      <c r="K16" s="8">
        <f t="shared" si="0"/>
        <v>144.36000000000001</v>
      </c>
    </row>
    <row r="17" spans="1:11" ht="18" customHeight="1" x14ac:dyDescent="0.25">
      <c r="A17" s="12">
        <v>6</v>
      </c>
      <c r="B17" s="5">
        <v>6</v>
      </c>
      <c r="C17" s="4"/>
      <c r="D17" s="4"/>
      <c r="E17" s="72" t="s">
        <v>29</v>
      </c>
      <c r="F17" s="73"/>
      <c r="G17" s="73"/>
      <c r="H17" s="73"/>
      <c r="I17" s="73"/>
      <c r="J17" s="83">
        <v>34.984000000000002</v>
      </c>
      <c r="K17" s="8">
        <f t="shared" si="0"/>
        <v>209.904</v>
      </c>
    </row>
    <row r="18" spans="1:11" ht="18" customHeight="1" x14ac:dyDescent="0.25">
      <c r="A18" s="12">
        <v>7</v>
      </c>
      <c r="B18" s="5">
        <v>9</v>
      </c>
      <c r="C18" s="4"/>
      <c r="D18" s="4"/>
      <c r="E18" s="72" t="s">
        <v>30</v>
      </c>
      <c r="F18" s="73"/>
      <c r="G18" s="73"/>
      <c r="H18" s="73"/>
      <c r="I18" s="73"/>
      <c r="J18" s="83">
        <v>7.2830000000000004</v>
      </c>
      <c r="K18" s="8">
        <f t="shared" si="0"/>
        <v>65.546999999999997</v>
      </c>
    </row>
    <row r="19" spans="1:11" ht="18" customHeight="1" x14ac:dyDescent="0.25">
      <c r="A19" s="12">
        <v>8</v>
      </c>
      <c r="B19" s="5">
        <v>10</v>
      </c>
      <c r="C19" s="4"/>
      <c r="D19" s="4"/>
      <c r="E19" s="74" t="s">
        <v>31</v>
      </c>
      <c r="F19" s="75"/>
      <c r="G19" s="75"/>
      <c r="H19" s="75"/>
      <c r="I19" s="75"/>
      <c r="J19" s="9">
        <v>5.851</v>
      </c>
      <c r="K19" s="8">
        <f t="shared" si="0"/>
        <v>58.51</v>
      </c>
    </row>
    <row r="20" spans="1:11" ht="18" customHeight="1" x14ac:dyDescent="0.25">
      <c r="A20" s="12">
        <v>9</v>
      </c>
      <c r="B20" s="5">
        <v>5</v>
      </c>
      <c r="C20" s="4"/>
      <c r="D20" s="4"/>
      <c r="E20" s="74" t="s">
        <v>32</v>
      </c>
      <c r="F20" s="75"/>
      <c r="G20" s="75"/>
      <c r="H20" s="75"/>
      <c r="I20" s="75"/>
      <c r="J20" s="9">
        <v>3.2440000000000002</v>
      </c>
      <c r="K20" s="8">
        <f t="shared" si="0"/>
        <v>16.220000000000002</v>
      </c>
    </row>
    <row r="21" spans="1:11" ht="18" customHeight="1" x14ac:dyDescent="0.25">
      <c r="A21" s="12">
        <v>10</v>
      </c>
      <c r="B21" s="5">
        <v>60</v>
      </c>
      <c r="C21" s="4"/>
      <c r="D21" s="4"/>
      <c r="E21" s="74" t="s">
        <v>33</v>
      </c>
      <c r="F21" s="75"/>
      <c r="G21" s="75"/>
      <c r="H21" s="75"/>
      <c r="I21" s="75"/>
      <c r="J21" s="9">
        <v>4.5970000000000004</v>
      </c>
      <c r="K21" s="8">
        <f t="shared" si="0"/>
        <v>275.82000000000005</v>
      </c>
    </row>
    <row r="22" spans="1:11" ht="18" customHeight="1" x14ac:dyDescent="0.25">
      <c r="A22" s="12">
        <v>11</v>
      </c>
      <c r="B22" s="5">
        <v>15</v>
      </c>
      <c r="C22" s="4"/>
      <c r="D22" s="4"/>
      <c r="E22" s="74" t="s">
        <v>34</v>
      </c>
      <c r="F22" s="75"/>
      <c r="G22" s="75"/>
      <c r="H22" s="75"/>
      <c r="I22" s="75"/>
      <c r="J22" s="9">
        <v>3.0249999999999999</v>
      </c>
      <c r="K22" s="8">
        <f t="shared" si="0"/>
        <v>45.375</v>
      </c>
    </row>
    <row r="23" spans="1:11" ht="18" customHeight="1" x14ac:dyDescent="0.25">
      <c r="A23" s="12">
        <v>13</v>
      </c>
      <c r="B23" s="5">
        <v>1</v>
      </c>
      <c r="C23" s="4"/>
      <c r="D23" s="4"/>
      <c r="E23" s="74" t="s">
        <v>35</v>
      </c>
      <c r="F23" s="75"/>
      <c r="G23" s="75"/>
      <c r="H23" s="75"/>
      <c r="I23" s="75"/>
      <c r="J23" s="9">
        <v>1.831</v>
      </c>
      <c r="K23" s="8">
        <f t="shared" si="0"/>
        <v>1.831</v>
      </c>
    </row>
    <row r="24" spans="1:11" ht="18" customHeight="1" x14ac:dyDescent="0.25">
      <c r="A24" s="12">
        <v>14</v>
      </c>
      <c r="B24" s="5">
        <v>2</v>
      </c>
      <c r="C24" s="4"/>
      <c r="D24" s="4"/>
      <c r="E24" s="74" t="s">
        <v>36</v>
      </c>
      <c r="F24" s="75"/>
      <c r="G24" s="75"/>
      <c r="H24" s="75"/>
      <c r="I24" s="75"/>
      <c r="J24" s="9">
        <v>2.129</v>
      </c>
      <c r="K24" s="8">
        <f t="shared" si="0"/>
        <v>4.258</v>
      </c>
    </row>
    <row r="25" spans="1:11" ht="18" customHeight="1" x14ac:dyDescent="0.25">
      <c r="A25" s="12">
        <v>15</v>
      </c>
      <c r="B25" s="5">
        <v>20</v>
      </c>
      <c r="C25" s="4"/>
      <c r="D25" s="4"/>
      <c r="E25" s="74" t="s">
        <v>37</v>
      </c>
      <c r="F25" s="75"/>
      <c r="G25" s="75"/>
      <c r="H25" s="75"/>
      <c r="I25" s="75"/>
      <c r="J25" s="9">
        <v>1.851</v>
      </c>
      <c r="K25" s="8">
        <f t="shared" si="0"/>
        <v>37.019999999999996</v>
      </c>
    </row>
    <row r="26" spans="1:11" ht="18" customHeight="1" x14ac:dyDescent="0.25">
      <c r="A26" s="12">
        <v>16</v>
      </c>
      <c r="B26" s="5">
        <v>15</v>
      </c>
      <c r="C26" s="4"/>
      <c r="D26" s="4"/>
      <c r="E26" s="74" t="s">
        <v>38</v>
      </c>
      <c r="F26" s="75"/>
      <c r="G26" s="75"/>
      <c r="H26" s="75"/>
      <c r="I26" s="75"/>
      <c r="J26" s="9">
        <v>1.1539999999999999</v>
      </c>
      <c r="K26" s="8">
        <f t="shared" si="0"/>
        <v>17.309999999999999</v>
      </c>
    </row>
    <row r="27" spans="1:11" ht="18" customHeight="1" x14ac:dyDescent="0.25">
      <c r="A27" s="12">
        <v>17</v>
      </c>
      <c r="B27" s="5">
        <v>30</v>
      </c>
      <c r="C27" s="4"/>
      <c r="D27" s="4"/>
      <c r="E27" s="74" t="s">
        <v>39</v>
      </c>
      <c r="F27" s="75"/>
      <c r="G27" s="75"/>
      <c r="H27" s="75"/>
      <c r="I27" s="75"/>
      <c r="J27" s="9">
        <v>0.93500000000000005</v>
      </c>
      <c r="K27" s="8">
        <f t="shared" si="0"/>
        <v>28.05</v>
      </c>
    </row>
    <row r="28" spans="1:11" ht="18" customHeight="1" x14ac:dyDescent="0.25">
      <c r="A28" s="12">
        <v>18</v>
      </c>
      <c r="B28" s="5">
        <v>15</v>
      </c>
      <c r="C28" s="4"/>
      <c r="D28" s="4"/>
      <c r="E28" s="74" t="s">
        <v>40</v>
      </c>
      <c r="F28" s="75"/>
      <c r="G28" s="75"/>
      <c r="H28" s="75"/>
      <c r="I28" s="75"/>
      <c r="J28" s="9">
        <v>0.75600000000000001</v>
      </c>
      <c r="K28" s="8">
        <f t="shared" si="0"/>
        <v>11.34</v>
      </c>
    </row>
    <row r="29" spans="1:11" ht="18" customHeight="1" x14ac:dyDescent="0.25">
      <c r="A29" s="12">
        <v>19</v>
      </c>
      <c r="B29" s="5">
        <v>5</v>
      </c>
      <c r="C29" s="4"/>
      <c r="D29" s="4"/>
      <c r="E29" s="74" t="s">
        <v>41</v>
      </c>
      <c r="F29" s="75"/>
      <c r="G29" s="75"/>
      <c r="H29" s="75"/>
      <c r="I29" s="75"/>
      <c r="J29" s="9">
        <v>1.1739999999999999</v>
      </c>
      <c r="K29" s="8">
        <f t="shared" si="0"/>
        <v>5.8699999999999992</v>
      </c>
    </row>
    <row r="30" spans="1:11" ht="18" customHeight="1" x14ac:dyDescent="0.25">
      <c r="A30" s="12">
        <v>20</v>
      </c>
      <c r="B30" s="5">
        <v>9</v>
      </c>
      <c r="C30" s="4"/>
      <c r="D30" s="4"/>
      <c r="E30" s="74" t="s">
        <v>42</v>
      </c>
      <c r="F30" s="75"/>
      <c r="G30" s="75"/>
      <c r="H30" s="75"/>
      <c r="I30" s="75"/>
      <c r="J30" s="9">
        <v>69.191999999999993</v>
      </c>
      <c r="K30" s="8">
        <f t="shared" si="0"/>
        <v>622.72799999999995</v>
      </c>
    </row>
    <row r="31" spans="1:11" ht="18" customHeight="1" x14ac:dyDescent="0.25">
      <c r="A31" s="12">
        <v>21</v>
      </c>
      <c r="B31" s="5">
        <v>8</v>
      </c>
      <c r="C31" s="4"/>
      <c r="D31" s="4"/>
      <c r="E31" s="74" t="s">
        <v>43</v>
      </c>
      <c r="F31" s="75"/>
      <c r="G31" s="75"/>
      <c r="H31" s="75"/>
      <c r="I31" s="75"/>
      <c r="J31" s="9">
        <v>23.741</v>
      </c>
      <c r="K31" s="8">
        <f t="shared" si="0"/>
        <v>189.928</v>
      </c>
    </row>
    <row r="32" spans="1:11" ht="18" customHeight="1" x14ac:dyDescent="0.25">
      <c r="A32" s="12">
        <v>22</v>
      </c>
      <c r="B32" s="5">
        <v>3</v>
      </c>
      <c r="C32" s="4"/>
      <c r="D32" s="4"/>
      <c r="E32" s="76" t="s">
        <v>44</v>
      </c>
      <c r="F32" s="77"/>
      <c r="G32" s="77"/>
      <c r="H32" s="77"/>
      <c r="J32" s="9">
        <v>17.751000000000001</v>
      </c>
      <c r="K32" s="8">
        <f t="shared" si="0"/>
        <v>53.253</v>
      </c>
    </row>
    <row r="33" spans="1:11" ht="18" customHeight="1" x14ac:dyDescent="0.25">
      <c r="A33" s="12">
        <v>10</v>
      </c>
      <c r="B33" s="5">
        <v>2</v>
      </c>
      <c r="C33" s="4"/>
      <c r="D33" s="4"/>
      <c r="E33" s="74" t="s">
        <v>45</v>
      </c>
      <c r="F33" s="75"/>
      <c r="G33" s="75"/>
      <c r="H33" s="75"/>
      <c r="I33" s="75"/>
      <c r="J33" s="9">
        <v>7.8609999999999998</v>
      </c>
      <c r="K33" s="8">
        <f t="shared" si="0"/>
        <v>15.722</v>
      </c>
    </row>
    <row r="34" spans="1:11" ht="18" customHeight="1" x14ac:dyDescent="0.25">
      <c r="A34" s="12">
        <v>24</v>
      </c>
      <c r="B34" s="5">
        <v>4</v>
      </c>
      <c r="C34" s="4"/>
      <c r="D34" s="4"/>
      <c r="E34" s="74" t="s">
        <v>46</v>
      </c>
      <c r="F34" s="75"/>
      <c r="G34" s="75"/>
      <c r="H34" s="75"/>
      <c r="I34" s="75"/>
      <c r="J34" s="9">
        <v>3.8010000000000002</v>
      </c>
      <c r="K34" s="8">
        <f t="shared" si="0"/>
        <v>15.204000000000001</v>
      </c>
    </row>
    <row r="35" spans="1:11" ht="18" customHeight="1" x14ac:dyDescent="0.25">
      <c r="A35" s="12">
        <v>25</v>
      </c>
      <c r="B35" s="5">
        <v>100</v>
      </c>
      <c r="C35" s="4"/>
      <c r="D35" s="4"/>
      <c r="E35" s="74" t="s">
        <v>56</v>
      </c>
      <c r="F35" s="75"/>
      <c r="G35" s="75"/>
      <c r="H35" s="75"/>
      <c r="I35" s="75"/>
      <c r="J35" s="9">
        <v>1.1739999999999999</v>
      </c>
      <c r="K35" s="8">
        <f t="shared" si="0"/>
        <v>117.39999999999999</v>
      </c>
    </row>
    <row r="36" spans="1:11" ht="18" customHeight="1" x14ac:dyDescent="0.25">
      <c r="A36" s="12">
        <v>26</v>
      </c>
      <c r="B36" s="5">
        <v>50</v>
      </c>
      <c r="C36" s="4"/>
      <c r="D36" s="4"/>
      <c r="E36" s="74" t="s">
        <v>47</v>
      </c>
      <c r="F36" s="75"/>
      <c r="G36" s="75"/>
      <c r="H36" s="75"/>
      <c r="I36" s="75"/>
      <c r="J36" s="9">
        <v>0.57699999999999996</v>
      </c>
      <c r="K36" s="8">
        <f t="shared" si="0"/>
        <v>28.849999999999998</v>
      </c>
    </row>
    <row r="37" spans="1:11" ht="18" customHeight="1" x14ac:dyDescent="0.25">
      <c r="A37" s="12">
        <v>27</v>
      </c>
      <c r="B37" s="5">
        <v>150</v>
      </c>
      <c r="C37" s="4"/>
      <c r="D37" s="4"/>
      <c r="E37" s="74" t="s">
        <v>48</v>
      </c>
      <c r="F37" s="31"/>
      <c r="G37" s="31"/>
      <c r="H37" s="31"/>
      <c r="I37" s="31"/>
      <c r="J37" s="9">
        <v>0.438</v>
      </c>
      <c r="K37" s="8">
        <f t="shared" si="0"/>
        <v>65.7</v>
      </c>
    </row>
    <row r="38" spans="1:11" ht="18" customHeight="1" x14ac:dyDescent="0.25">
      <c r="A38" s="12">
        <v>28</v>
      </c>
      <c r="B38" s="5">
        <v>100</v>
      </c>
      <c r="C38" s="4"/>
      <c r="D38" s="4"/>
      <c r="E38" s="74" t="s">
        <v>49</v>
      </c>
      <c r="F38" s="31"/>
      <c r="G38" s="31"/>
      <c r="H38" s="31"/>
      <c r="I38" s="31"/>
      <c r="J38" s="9">
        <v>0.29899999999999999</v>
      </c>
      <c r="K38" s="8">
        <f t="shared" si="0"/>
        <v>29.9</v>
      </c>
    </row>
    <row r="39" spans="1:11" ht="18" customHeight="1" x14ac:dyDescent="0.25">
      <c r="A39" s="11">
        <v>29</v>
      </c>
      <c r="B39" s="5">
        <v>125</v>
      </c>
      <c r="C39" s="4"/>
      <c r="D39" s="10"/>
      <c r="E39" s="74" t="s">
        <v>50</v>
      </c>
      <c r="F39" s="31"/>
      <c r="G39" s="31"/>
      <c r="H39" s="31"/>
      <c r="I39" s="31"/>
      <c r="J39" s="9">
        <v>0.159</v>
      </c>
      <c r="K39" s="8">
        <f t="shared" si="0"/>
        <v>19.875</v>
      </c>
    </row>
    <row r="40" spans="1:11" ht="18" customHeight="1" x14ac:dyDescent="0.25">
      <c r="A40" s="78" t="s">
        <v>0</v>
      </c>
      <c r="B40" s="79"/>
      <c r="C40" s="79"/>
      <c r="D40" s="79"/>
      <c r="E40" s="79"/>
      <c r="F40" s="7"/>
      <c r="G40" s="7"/>
      <c r="H40" s="80">
        <f>SUM(K1)</f>
        <v>15520</v>
      </c>
      <c r="I40" s="81"/>
      <c r="J40" s="81"/>
      <c r="K40" s="8"/>
    </row>
    <row r="41" spans="1:11" ht="18" customHeight="1" x14ac:dyDescent="0.25">
      <c r="A41" s="6">
        <v>30</v>
      </c>
      <c r="B41" s="5"/>
      <c r="C41" s="4"/>
      <c r="D41" s="4"/>
      <c r="E41" s="82"/>
      <c r="F41" s="31"/>
      <c r="G41" s="31"/>
      <c r="H41" s="31"/>
      <c r="I41" s="31"/>
      <c r="J41" s="3"/>
      <c r="K41" s="8"/>
    </row>
    <row r="42" spans="1:11" ht="18" customHeight="1" x14ac:dyDescent="0.25">
      <c r="A42" s="6">
        <v>31</v>
      </c>
      <c r="B42" s="5">
        <v>500</v>
      </c>
      <c r="C42" s="4"/>
      <c r="D42" s="4"/>
      <c r="E42" s="74" t="s">
        <v>51</v>
      </c>
      <c r="F42" s="31"/>
      <c r="G42" s="31"/>
      <c r="H42" s="31"/>
      <c r="I42" s="31"/>
      <c r="J42" s="29">
        <v>3.7090000000000001</v>
      </c>
      <c r="K42" s="8">
        <f t="shared" si="0"/>
        <v>1854.5</v>
      </c>
    </row>
    <row r="43" spans="1:11" ht="18" customHeight="1" x14ac:dyDescent="0.25">
      <c r="A43" s="6">
        <v>32</v>
      </c>
      <c r="B43" s="5">
        <v>200</v>
      </c>
      <c r="C43" s="4"/>
      <c r="D43" s="4"/>
      <c r="E43" s="74" t="s">
        <v>52</v>
      </c>
      <c r="F43" s="31"/>
      <c r="G43" s="31"/>
      <c r="H43" s="31"/>
      <c r="I43" s="31"/>
      <c r="J43" s="29">
        <v>1.974</v>
      </c>
      <c r="K43" s="8">
        <f t="shared" si="0"/>
        <v>394.8</v>
      </c>
    </row>
    <row r="44" spans="1:11" ht="18" customHeight="1" x14ac:dyDescent="0.25">
      <c r="A44" s="6">
        <v>33</v>
      </c>
      <c r="B44" s="5">
        <v>500</v>
      </c>
      <c r="C44" s="4"/>
      <c r="D44" s="4"/>
      <c r="E44" s="74" t="s">
        <v>53</v>
      </c>
      <c r="F44" s="31"/>
      <c r="G44" s="31"/>
      <c r="H44" s="31"/>
      <c r="I44" s="31"/>
      <c r="J44" s="29">
        <v>1.6759999999999999</v>
      </c>
      <c r="K44" s="8">
        <f t="shared" si="0"/>
        <v>838</v>
      </c>
    </row>
    <row r="45" spans="1:11" ht="18" customHeight="1" x14ac:dyDescent="0.25">
      <c r="A45" s="6">
        <v>34</v>
      </c>
      <c r="B45" s="5">
        <v>400</v>
      </c>
      <c r="C45" s="4"/>
      <c r="D45" s="4"/>
      <c r="E45" s="74" t="s">
        <v>54</v>
      </c>
      <c r="F45" s="31"/>
      <c r="G45" s="31"/>
      <c r="H45" s="31"/>
      <c r="I45" s="31"/>
      <c r="J45" s="29">
        <v>0.82</v>
      </c>
      <c r="K45" s="8">
        <f t="shared" si="0"/>
        <v>328</v>
      </c>
    </row>
    <row r="46" spans="1:11" ht="18" customHeight="1" x14ac:dyDescent="0.25">
      <c r="A46" s="6">
        <v>35</v>
      </c>
      <c r="B46" s="5">
        <v>500</v>
      </c>
      <c r="C46" s="4"/>
      <c r="D46" s="4"/>
      <c r="E46" s="74" t="s">
        <v>55</v>
      </c>
      <c r="F46" s="31"/>
      <c r="G46" s="31"/>
      <c r="H46" s="31"/>
      <c r="I46" s="31"/>
      <c r="J46" s="29">
        <v>0.47</v>
      </c>
      <c r="K46" s="8">
        <f t="shared" si="0"/>
        <v>235</v>
      </c>
    </row>
    <row r="47" spans="1:11" ht="18" customHeight="1" x14ac:dyDescent="0.25">
      <c r="A47" s="6">
        <v>36</v>
      </c>
      <c r="B47" s="5"/>
      <c r="C47" s="4"/>
      <c r="D47" s="4"/>
      <c r="E47" s="74"/>
      <c r="F47" s="31"/>
      <c r="G47" s="31"/>
      <c r="H47" s="31"/>
      <c r="I47" s="31"/>
      <c r="J47" s="29"/>
      <c r="K47" s="8">
        <f t="shared" si="0"/>
        <v>0</v>
      </c>
    </row>
    <row r="48" spans="1:11" ht="18" customHeight="1" x14ac:dyDescent="0.25">
      <c r="A48" s="6">
        <v>37</v>
      </c>
      <c r="B48" s="5"/>
      <c r="C48" s="4"/>
      <c r="D48" s="4"/>
      <c r="E48" s="74"/>
      <c r="F48" s="31"/>
      <c r="G48" s="31"/>
      <c r="H48" s="31"/>
      <c r="I48" s="31"/>
      <c r="J48" s="29"/>
      <c r="K48" s="8"/>
    </row>
    <row r="49" spans="1:11" ht="18" customHeight="1" x14ac:dyDescent="0.25">
      <c r="A49" s="6">
        <v>38</v>
      </c>
      <c r="B49" s="5"/>
      <c r="C49" s="4"/>
      <c r="D49" s="4"/>
      <c r="E49" s="74"/>
      <c r="F49" s="31"/>
      <c r="G49" s="31"/>
      <c r="H49" s="31"/>
      <c r="I49" s="31"/>
      <c r="J49" s="29"/>
      <c r="K49" s="8"/>
    </row>
    <row r="50" spans="1:11" ht="18" customHeight="1" x14ac:dyDescent="0.25">
      <c r="A50" s="6">
        <v>39</v>
      </c>
      <c r="B50" s="5"/>
      <c r="C50" s="4"/>
      <c r="D50" s="4"/>
      <c r="E50" s="74"/>
      <c r="F50" s="31"/>
      <c r="G50" s="31"/>
      <c r="H50" s="31"/>
      <c r="I50" s="31"/>
      <c r="J50" s="29"/>
      <c r="K50" s="2"/>
    </row>
    <row r="51" spans="1:11" ht="18" customHeight="1" x14ac:dyDescent="0.25">
      <c r="A51" s="6">
        <v>40</v>
      </c>
      <c r="B51" s="5"/>
      <c r="C51" s="4"/>
      <c r="D51" s="4"/>
      <c r="E51" s="82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4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2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4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4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4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4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4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2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2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2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2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2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2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2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2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2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2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2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2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2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2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2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2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2"/>
      <c r="F75" s="31"/>
      <c r="G75" s="31"/>
      <c r="H75" s="31"/>
      <c r="I75" s="31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J11:K11"/>
    <mergeCell ref="E12:I12"/>
    <mergeCell ref="E13:I13"/>
    <mergeCell ref="E14:I14"/>
    <mergeCell ref="E15:I15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E19 E21 E2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2013-04-18T19:57:20Z</dcterms:modified>
</cp:coreProperties>
</file>