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Oldtown\"/>
    </mc:Choice>
  </mc:AlternateContent>
  <bookViews>
    <workbookView xWindow="90" yWindow="45" windowWidth="22845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Sheet1!$A$1:$N$41</definedName>
  </definedNames>
  <calcPr calcId="152511"/>
</workbook>
</file>

<file path=xl/calcChain.xml><?xml version="1.0" encoding="utf-8"?>
<calcChain xmlns="http://schemas.openxmlformats.org/spreadsheetml/2006/main">
  <c r="I36" i="1" l="1"/>
  <c r="I33" i="1"/>
  <c r="I30" i="1"/>
  <c r="I27" i="1"/>
  <c r="I24" i="1"/>
  <c r="I21" i="1"/>
  <c r="I18" i="1"/>
  <c r="I15" i="1"/>
  <c r="I12" i="1"/>
  <c r="I9" i="1"/>
  <c r="K36" i="1"/>
  <c r="J36" i="1"/>
  <c r="H36" i="1"/>
  <c r="G36" i="1"/>
  <c r="F36" i="1"/>
  <c r="E36" i="1"/>
  <c r="D36" i="1"/>
  <c r="D33" i="1"/>
  <c r="D30" i="1"/>
  <c r="D27" i="1"/>
  <c r="D24" i="1"/>
  <c r="D21" i="1"/>
  <c r="D18" i="1"/>
  <c r="D15" i="1"/>
  <c r="D12" i="1"/>
  <c r="E33" i="1"/>
  <c r="E30" i="1"/>
  <c r="E27" i="1"/>
  <c r="E24" i="1"/>
  <c r="E21" i="1"/>
  <c r="E18" i="1"/>
  <c r="E15" i="1"/>
  <c r="E12" i="1"/>
  <c r="F33" i="1"/>
  <c r="F30" i="1"/>
  <c r="F27" i="1"/>
  <c r="F24" i="1"/>
  <c r="F21" i="1"/>
  <c r="F18" i="1"/>
  <c r="F15" i="1"/>
  <c r="F12" i="1"/>
  <c r="F9" i="1"/>
  <c r="G33" i="1"/>
  <c r="G30" i="1"/>
  <c r="G27" i="1"/>
  <c r="G24" i="1"/>
  <c r="G21" i="1"/>
  <c r="G18" i="1"/>
  <c r="G15" i="1"/>
  <c r="G12" i="1"/>
  <c r="H33" i="1"/>
  <c r="H30" i="1"/>
  <c r="H27" i="1"/>
  <c r="H24" i="1"/>
  <c r="H21" i="1"/>
  <c r="H18" i="1"/>
  <c r="H15" i="1"/>
  <c r="H12" i="1"/>
  <c r="J33" i="1"/>
  <c r="J30" i="1"/>
  <c r="J27" i="1"/>
  <c r="J24" i="1"/>
  <c r="J21" i="1"/>
  <c r="J18" i="1"/>
  <c r="J15" i="1"/>
  <c r="J12" i="1"/>
  <c r="K33" i="1"/>
  <c r="K30" i="1"/>
  <c r="K27" i="1"/>
  <c r="K24" i="1"/>
  <c r="K21" i="1"/>
  <c r="K18" i="1"/>
  <c r="K15" i="1"/>
  <c r="K12" i="1"/>
  <c r="C36" i="1"/>
  <c r="C33" i="1"/>
  <c r="C30" i="1"/>
  <c r="C27" i="1"/>
  <c r="C24" i="1"/>
  <c r="C21" i="1"/>
  <c r="C12" i="1"/>
  <c r="C18" i="1"/>
  <c r="C15" i="1"/>
  <c r="K9" i="1"/>
  <c r="J9" i="1"/>
  <c r="H9" i="1"/>
  <c r="G9" i="1"/>
  <c r="E9" i="1"/>
  <c r="D9" i="1"/>
  <c r="C9" i="1"/>
  <c r="B36" i="1"/>
  <c r="B33" i="1"/>
  <c r="B30" i="1"/>
  <c r="B27" i="1"/>
  <c r="B24" i="1"/>
  <c r="B21" i="1"/>
  <c r="B18" i="1"/>
  <c r="L18" i="1" s="1"/>
  <c r="B15" i="1"/>
  <c r="L15" i="1" s="1"/>
  <c r="B12" i="1"/>
  <c r="B9" i="1"/>
  <c r="L12" i="1" l="1"/>
  <c r="L9" i="1"/>
  <c r="L6" i="1" s="1"/>
</calcChain>
</file>

<file path=xl/sharedStrings.xml><?xml version="1.0" encoding="utf-8"?>
<sst xmlns="http://schemas.openxmlformats.org/spreadsheetml/2006/main" count="43" uniqueCount="24">
  <si>
    <t>fixture</t>
  </si>
  <si>
    <t>WC</t>
  </si>
  <si>
    <t>ADA WC</t>
  </si>
  <si>
    <t>WC SEAT</t>
  </si>
  <si>
    <t>LAV FAUCET</t>
  </si>
  <si>
    <t>HH SHOWER</t>
  </si>
  <si>
    <t>KITCHEN SINK</t>
  </si>
  <si>
    <t>ADA KS</t>
  </si>
  <si>
    <t>KITCHEN FAUCET</t>
  </si>
  <si>
    <t>HWT</t>
  </si>
  <si>
    <t>R2 WEST</t>
  </si>
  <si>
    <t>LABOR UNIT</t>
  </si>
  <si>
    <t>CURRENT</t>
  </si>
  <si>
    <t>R2 EAST</t>
  </si>
  <si>
    <t>R3 WEST</t>
  </si>
  <si>
    <t>R3 EAST</t>
  </si>
  <si>
    <t>R4 WEST</t>
  </si>
  <si>
    <t>R4 EAST</t>
  </si>
  <si>
    <t>R5 WEST</t>
  </si>
  <si>
    <t>R5 EAST</t>
  </si>
  <si>
    <t>R6 WEST</t>
  </si>
  <si>
    <t>R6 EAST</t>
  </si>
  <si>
    <t>TOTAL</t>
  </si>
  <si>
    <t>MARCH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</si>
</sst>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44"/>
  <sheetViews>
    <sheetView tabSelected="1" view="pageBreakPreview" zoomScaleNormal="100" zoomScaleSheetLayoutView="100" workbookViewId="0">
      <selection activeCell="J19" sqref="J19"/>
    </sheetView>
  </sheetViews>
  <sheetFormatPr defaultRowHeight="15" x14ac:dyDescent="0.25"/>
  <cols>
    <col min="1" max="1" width="15.28515625" customWidth="1"/>
    <col min="2" max="2" width="9.140625" bestFit="1" customWidth="1"/>
    <col min="3" max="4" width="9" bestFit="1" customWidth="1"/>
    <col min="5" max="5" width="9.140625" bestFit="1" customWidth="1"/>
    <col min="6" max="6" width="9" bestFit="1" customWidth="1"/>
    <col min="7" max="7" width="9.140625" bestFit="1" customWidth="1"/>
    <col min="8" max="8" width="9" bestFit="1" customWidth="1"/>
    <col min="9" max="10" width="9.140625" bestFit="1" customWidth="1"/>
    <col min="11" max="11" width="9" bestFit="1" customWidth="1"/>
  </cols>
  <sheetData>
    <row r="4" spans="1:17" ht="30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11</v>
      </c>
      <c r="L4" s="3" t="s">
        <v>23</v>
      </c>
      <c r="M4" s="1"/>
      <c r="N4" s="1"/>
      <c r="O4" s="11"/>
      <c r="P4" s="12"/>
      <c r="Q4" s="12"/>
    </row>
    <row r="5" spans="1:17" x14ac:dyDescent="0.25">
      <c r="A5" s="1"/>
      <c r="B5" s="4">
        <v>142.5</v>
      </c>
      <c r="C5" s="4">
        <v>148.30000000000001</v>
      </c>
      <c r="D5" s="4">
        <v>13.3</v>
      </c>
      <c r="E5" s="4">
        <v>57.01</v>
      </c>
      <c r="F5" s="4">
        <v>141.72</v>
      </c>
      <c r="G5" s="4">
        <v>117.94</v>
      </c>
      <c r="H5" s="4">
        <v>285.57</v>
      </c>
      <c r="I5" s="4">
        <v>140.53</v>
      </c>
      <c r="J5" s="4">
        <v>302</v>
      </c>
      <c r="K5" s="4">
        <v>320</v>
      </c>
      <c r="L5" s="5" t="s">
        <v>22</v>
      </c>
      <c r="M5" s="1"/>
      <c r="N5" s="1"/>
      <c r="O5" s="11"/>
      <c r="P5" s="12"/>
      <c r="Q5" s="12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6">
        <f>SUM(L9:L36)</f>
        <v>28488.960000000003</v>
      </c>
      <c r="M6" s="1"/>
      <c r="N6" s="1"/>
      <c r="O6" s="11"/>
      <c r="P6" s="12"/>
      <c r="Q6" s="12"/>
    </row>
    <row r="7" spans="1:17" x14ac:dyDescent="0.25">
      <c r="A7" s="7" t="s">
        <v>10</v>
      </c>
      <c r="B7" s="8">
        <v>19</v>
      </c>
      <c r="C7" s="8">
        <v>1</v>
      </c>
      <c r="D7" s="8">
        <v>20</v>
      </c>
      <c r="E7" s="8">
        <v>22</v>
      </c>
      <c r="F7" s="8">
        <v>1</v>
      </c>
      <c r="G7" s="8">
        <v>16</v>
      </c>
      <c r="H7" s="8">
        <v>1</v>
      </c>
      <c r="I7" s="8">
        <v>17</v>
      </c>
      <c r="J7" s="8">
        <v>17</v>
      </c>
      <c r="K7" s="8">
        <v>17</v>
      </c>
      <c r="L7" s="5"/>
      <c r="M7" s="1"/>
      <c r="N7" s="1"/>
      <c r="O7" s="11"/>
      <c r="P7" s="12"/>
      <c r="Q7" s="12"/>
    </row>
    <row r="8" spans="1:17" x14ac:dyDescent="0.25">
      <c r="A8" s="7" t="s">
        <v>12</v>
      </c>
      <c r="B8" s="9">
        <v>19</v>
      </c>
      <c r="C8" s="9">
        <v>1</v>
      </c>
      <c r="D8" s="9">
        <v>20</v>
      </c>
      <c r="E8" s="9">
        <v>22</v>
      </c>
      <c r="F8" s="9">
        <v>1</v>
      </c>
      <c r="G8" s="9">
        <v>16</v>
      </c>
      <c r="H8" s="9">
        <v>1</v>
      </c>
      <c r="I8" s="9">
        <v>17</v>
      </c>
      <c r="J8" s="9">
        <v>17</v>
      </c>
      <c r="K8" s="9">
        <v>1</v>
      </c>
      <c r="L8" s="5"/>
      <c r="M8" s="1"/>
      <c r="N8" s="1"/>
      <c r="O8" s="11"/>
      <c r="P8" s="12"/>
      <c r="Q8" s="12"/>
    </row>
    <row r="9" spans="1:17" x14ac:dyDescent="0.25">
      <c r="A9" s="7" t="s">
        <v>22</v>
      </c>
      <c r="B9" s="10">
        <f>B8*$B$5</f>
        <v>2707.5</v>
      </c>
      <c r="C9" s="10">
        <f>C8*$C$5</f>
        <v>148.30000000000001</v>
      </c>
      <c r="D9" s="10">
        <f>D8*$D$5</f>
        <v>266</v>
      </c>
      <c r="E9" s="10">
        <f>E8*$E$5</f>
        <v>1254.22</v>
      </c>
      <c r="F9" s="10">
        <f>F8*$F$5</f>
        <v>141.72</v>
      </c>
      <c r="G9" s="10">
        <f>G8*$G$5</f>
        <v>1887.04</v>
      </c>
      <c r="H9" s="10">
        <f>H8*$H$5</f>
        <v>285.57</v>
      </c>
      <c r="I9" s="10">
        <f>I8*$I$5</f>
        <v>2389.0100000000002</v>
      </c>
      <c r="J9" s="10">
        <f>J8*$J$5</f>
        <v>5134</v>
      </c>
      <c r="K9" s="10">
        <f>K8*$K$5</f>
        <v>320</v>
      </c>
      <c r="L9" s="6">
        <f>SUM(B9:K9)</f>
        <v>14533.36</v>
      </c>
      <c r="M9" s="1"/>
      <c r="N9" s="1">
        <v>26600</v>
      </c>
      <c r="O9" s="11"/>
      <c r="P9" s="12"/>
      <c r="Q9" s="12"/>
    </row>
    <row r="10" spans="1:17" x14ac:dyDescent="0.25">
      <c r="A10" s="7" t="s">
        <v>13</v>
      </c>
      <c r="B10" s="8">
        <v>11</v>
      </c>
      <c r="C10" s="8">
        <v>1</v>
      </c>
      <c r="D10" s="8">
        <v>12</v>
      </c>
      <c r="E10" s="8">
        <v>12</v>
      </c>
      <c r="F10" s="8">
        <v>1</v>
      </c>
      <c r="G10" s="8">
        <v>11</v>
      </c>
      <c r="H10" s="8">
        <v>1</v>
      </c>
      <c r="I10" s="8">
        <v>12</v>
      </c>
      <c r="J10" s="8">
        <v>12</v>
      </c>
      <c r="K10" s="8">
        <v>12</v>
      </c>
      <c r="L10" s="5"/>
      <c r="M10" s="1"/>
      <c r="N10" s="1"/>
      <c r="O10" s="11"/>
      <c r="P10" s="12"/>
      <c r="Q10" s="12"/>
    </row>
    <row r="11" spans="1:17" x14ac:dyDescent="0.25">
      <c r="A11" s="7" t="s">
        <v>12</v>
      </c>
      <c r="B11" s="9">
        <v>11</v>
      </c>
      <c r="C11" s="9">
        <v>1</v>
      </c>
      <c r="D11" s="9">
        <v>12</v>
      </c>
      <c r="E11" s="9">
        <v>12</v>
      </c>
      <c r="F11" s="9">
        <v>1</v>
      </c>
      <c r="G11" s="9">
        <v>11</v>
      </c>
      <c r="H11" s="9">
        <v>1</v>
      </c>
      <c r="I11" s="9">
        <v>12</v>
      </c>
      <c r="J11" s="9">
        <v>12</v>
      </c>
      <c r="K11" s="9">
        <v>1</v>
      </c>
      <c r="L11" s="5"/>
      <c r="M11" s="1"/>
      <c r="N11" s="1"/>
      <c r="O11" s="11"/>
      <c r="P11" s="12"/>
      <c r="Q11" s="12"/>
    </row>
    <row r="12" spans="1:17" x14ac:dyDescent="0.25">
      <c r="A12" s="7" t="s">
        <v>22</v>
      </c>
      <c r="B12" s="10">
        <f>B11*$B$5</f>
        <v>1567.5</v>
      </c>
      <c r="C12" s="10">
        <f>C11*$C$5</f>
        <v>148.30000000000001</v>
      </c>
      <c r="D12" s="10">
        <f>D11*$D$5</f>
        <v>159.60000000000002</v>
      </c>
      <c r="E12" s="10">
        <f>E11*$E$5</f>
        <v>684.12</v>
      </c>
      <c r="F12" s="10">
        <f>F11*$F$5</f>
        <v>141.72</v>
      </c>
      <c r="G12" s="10">
        <f>G11*$G$5</f>
        <v>1297.3399999999999</v>
      </c>
      <c r="H12" s="10">
        <f>H11*$H$5</f>
        <v>285.57</v>
      </c>
      <c r="I12" s="10">
        <f>I11*$I$5</f>
        <v>1686.3600000000001</v>
      </c>
      <c r="J12" s="10">
        <f>J11*$J$5</f>
        <v>3624</v>
      </c>
      <c r="K12" s="10">
        <f>K11*$K$5</f>
        <v>320</v>
      </c>
      <c r="L12" s="6">
        <f>SUM(B12:K12)</f>
        <v>9914.51</v>
      </c>
      <c r="M12" s="1"/>
      <c r="N12" s="1">
        <v>17800</v>
      </c>
      <c r="O12" s="11"/>
      <c r="P12" s="12"/>
      <c r="Q12" s="12"/>
    </row>
    <row r="13" spans="1:17" x14ac:dyDescent="0.25">
      <c r="A13" s="7" t="s">
        <v>14</v>
      </c>
      <c r="B13" s="8">
        <v>19</v>
      </c>
      <c r="C13" s="8">
        <v>2</v>
      </c>
      <c r="D13" s="8">
        <v>21</v>
      </c>
      <c r="E13" s="8">
        <v>23</v>
      </c>
      <c r="F13" s="8">
        <v>2</v>
      </c>
      <c r="G13" s="8">
        <v>16</v>
      </c>
      <c r="H13" s="8">
        <v>2</v>
      </c>
      <c r="I13" s="8">
        <v>18</v>
      </c>
      <c r="J13" s="8">
        <v>18</v>
      </c>
      <c r="K13" s="8">
        <v>18</v>
      </c>
      <c r="L13" s="5"/>
      <c r="M13" s="1"/>
      <c r="N13" s="1"/>
      <c r="O13" s="11"/>
      <c r="P13" s="12"/>
      <c r="Q13" s="12"/>
    </row>
    <row r="14" spans="1:17" x14ac:dyDescent="0.25">
      <c r="A14" s="7" t="s">
        <v>12</v>
      </c>
      <c r="B14" s="9"/>
      <c r="C14" s="9"/>
      <c r="D14" s="9"/>
      <c r="E14" s="9"/>
      <c r="F14" s="9"/>
      <c r="G14" s="9">
        <v>16</v>
      </c>
      <c r="H14" s="9">
        <v>2</v>
      </c>
      <c r="I14" s="9"/>
      <c r="J14" s="9"/>
      <c r="K14" s="9"/>
      <c r="L14" s="5"/>
      <c r="M14" s="1"/>
      <c r="N14" s="1"/>
      <c r="O14" s="11"/>
      <c r="P14" s="12"/>
      <c r="Q14" s="12"/>
    </row>
    <row r="15" spans="1:17" x14ac:dyDescent="0.25">
      <c r="A15" s="7" t="s">
        <v>22</v>
      </c>
      <c r="B15" s="10">
        <f>B14*$B$5</f>
        <v>0</v>
      </c>
      <c r="C15" s="10">
        <f>C14*$C$5</f>
        <v>0</v>
      </c>
      <c r="D15" s="10">
        <f>D14*$D$5</f>
        <v>0</v>
      </c>
      <c r="E15" s="10">
        <f>E14*$E$5</f>
        <v>0</v>
      </c>
      <c r="F15" s="10">
        <f>F14*$F$5</f>
        <v>0</v>
      </c>
      <c r="G15" s="10">
        <f>G14*$G$5</f>
        <v>1887.04</v>
      </c>
      <c r="H15" s="10">
        <f>H14*$H$5</f>
        <v>571.14</v>
      </c>
      <c r="I15" s="10">
        <f>I14*$I$5</f>
        <v>0</v>
      </c>
      <c r="J15" s="10">
        <f>J14*$J$5</f>
        <v>0</v>
      </c>
      <c r="K15" s="10">
        <f>K14*$K$5</f>
        <v>0</v>
      </c>
      <c r="L15" s="6">
        <f>SUM(B15:K15)</f>
        <v>2458.1799999999998</v>
      </c>
      <c r="M15" s="1"/>
      <c r="N15" s="1">
        <v>26600</v>
      </c>
      <c r="O15" s="11"/>
      <c r="P15" s="12"/>
      <c r="Q15" s="12"/>
    </row>
    <row r="16" spans="1:17" x14ac:dyDescent="0.25">
      <c r="A16" s="7" t="s">
        <v>15</v>
      </c>
      <c r="B16" s="8">
        <v>11</v>
      </c>
      <c r="C16" s="8">
        <v>1</v>
      </c>
      <c r="D16" s="8">
        <v>12</v>
      </c>
      <c r="E16" s="8">
        <v>12</v>
      </c>
      <c r="F16" s="8">
        <v>1</v>
      </c>
      <c r="G16" s="8">
        <v>11</v>
      </c>
      <c r="H16" s="8">
        <v>1</v>
      </c>
      <c r="I16" s="8">
        <v>12</v>
      </c>
      <c r="J16" s="8">
        <v>12</v>
      </c>
      <c r="K16" s="8">
        <v>12</v>
      </c>
      <c r="L16" s="5"/>
      <c r="M16" s="1"/>
      <c r="N16" s="1"/>
      <c r="O16" s="11"/>
      <c r="P16" s="12"/>
      <c r="Q16" s="12"/>
    </row>
    <row r="17" spans="1:17" x14ac:dyDescent="0.25">
      <c r="A17" s="7" t="s">
        <v>12</v>
      </c>
      <c r="B17" s="9"/>
      <c r="C17" s="9"/>
      <c r="D17" s="9"/>
      <c r="E17" s="9"/>
      <c r="F17" s="9"/>
      <c r="G17" s="9">
        <v>11</v>
      </c>
      <c r="H17" s="9">
        <v>1</v>
      </c>
      <c r="I17" s="9"/>
      <c r="J17" s="9"/>
      <c r="K17" s="9"/>
      <c r="L17" s="5"/>
      <c r="M17" s="1"/>
      <c r="N17" s="1"/>
      <c r="O17" s="11"/>
      <c r="P17" s="12"/>
      <c r="Q17" s="12"/>
    </row>
    <row r="18" spans="1:17" x14ac:dyDescent="0.25">
      <c r="A18" s="7" t="s">
        <v>22</v>
      </c>
      <c r="B18" s="10">
        <f>B17*$B$5</f>
        <v>0</v>
      </c>
      <c r="C18" s="10">
        <f>C17*$C$5</f>
        <v>0</v>
      </c>
      <c r="D18" s="10">
        <f>D17*$D$5</f>
        <v>0</v>
      </c>
      <c r="E18" s="10">
        <f>E17*$E$5</f>
        <v>0</v>
      </c>
      <c r="F18" s="10">
        <f>F17*$F$5</f>
        <v>0</v>
      </c>
      <c r="G18" s="10">
        <f>G17*$G$5</f>
        <v>1297.3399999999999</v>
      </c>
      <c r="H18" s="10">
        <f>H17*$H$5</f>
        <v>285.57</v>
      </c>
      <c r="I18" s="10">
        <f>I17*$I$5</f>
        <v>0</v>
      </c>
      <c r="J18" s="10">
        <f>J17*$J$5</f>
        <v>0</v>
      </c>
      <c r="K18" s="10">
        <f>K17*$K$5</f>
        <v>0</v>
      </c>
      <c r="L18" s="6">
        <f>SUM(B18:K18)</f>
        <v>1582.9099999999999</v>
      </c>
      <c r="M18" s="1"/>
      <c r="N18" s="1">
        <v>17800</v>
      </c>
      <c r="O18" s="11"/>
      <c r="P18" s="12"/>
      <c r="Q18" s="12"/>
    </row>
    <row r="19" spans="1:17" x14ac:dyDescent="0.25">
      <c r="A19" s="7" t="s">
        <v>16</v>
      </c>
      <c r="B19" s="8">
        <v>19</v>
      </c>
      <c r="C19" s="8">
        <v>2</v>
      </c>
      <c r="D19" s="8">
        <v>21</v>
      </c>
      <c r="E19" s="8">
        <v>23</v>
      </c>
      <c r="F19" s="8">
        <v>2</v>
      </c>
      <c r="G19" s="8">
        <v>16</v>
      </c>
      <c r="H19" s="8">
        <v>2</v>
      </c>
      <c r="I19" s="8">
        <v>18</v>
      </c>
      <c r="J19" s="8">
        <v>18</v>
      </c>
      <c r="K19" s="8">
        <v>18</v>
      </c>
      <c r="L19" s="1"/>
      <c r="M19" s="1"/>
      <c r="N19" s="1"/>
      <c r="O19" s="11"/>
      <c r="P19" s="12"/>
      <c r="Q19" s="12"/>
    </row>
    <row r="20" spans="1:17" x14ac:dyDescent="0.25">
      <c r="A20" s="7" t="s">
        <v>12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1"/>
      <c r="M20" s="1"/>
      <c r="N20" s="1"/>
      <c r="O20" s="11"/>
      <c r="P20" s="12"/>
      <c r="Q20" s="12"/>
    </row>
    <row r="21" spans="1:17" x14ac:dyDescent="0.25">
      <c r="A21" s="7" t="s">
        <v>22</v>
      </c>
      <c r="B21" s="6">
        <f>B20*$B$5</f>
        <v>0</v>
      </c>
      <c r="C21" s="6">
        <f>C20*$C$5</f>
        <v>0</v>
      </c>
      <c r="D21" s="6">
        <f>D20*$D$5</f>
        <v>0</v>
      </c>
      <c r="E21" s="6">
        <f>E20*$E$5</f>
        <v>0</v>
      </c>
      <c r="F21" s="6">
        <f>F20*$F$5</f>
        <v>0</v>
      </c>
      <c r="G21" s="6">
        <f>G20*$G$5</f>
        <v>0</v>
      </c>
      <c r="H21" s="6">
        <f>H20*$H$5</f>
        <v>0</v>
      </c>
      <c r="I21" s="6">
        <f>I20*$I$5</f>
        <v>0</v>
      </c>
      <c r="J21" s="6">
        <f>J20*$J$5</f>
        <v>0</v>
      </c>
      <c r="K21" s="6">
        <f>K20*$K$5</f>
        <v>0</v>
      </c>
      <c r="L21" s="1"/>
      <c r="M21" s="1"/>
      <c r="N21" s="1">
        <v>26600</v>
      </c>
      <c r="O21" s="11"/>
      <c r="P21" s="12"/>
      <c r="Q21" s="12"/>
    </row>
    <row r="22" spans="1:17" x14ac:dyDescent="0.25">
      <c r="A22" s="7" t="s">
        <v>17</v>
      </c>
      <c r="B22" s="8">
        <v>11</v>
      </c>
      <c r="C22" s="8">
        <v>1</v>
      </c>
      <c r="D22" s="8">
        <v>12</v>
      </c>
      <c r="E22" s="8">
        <v>12</v>
      </c>
      <c r="F22" s="8">
        <v>1</v>
      </c>
      <c r="G22" s="8">
        <v>11</v>
      </c>
      <c r="H22" s="8">
        <v>1</v>
      </c>
      <c r="I22" s="8">
        <v>12</v>
      </c>
      <c r="J22" s="8">
        <v>12</v>
      </c>
      <c r="K22" s="8">
        <v>12</v>
      </c>
      <c r="L22" s="1"/>
      <c r="M22" s="1"/>
      <c r="N22" s="1"/>
      <c r="O22" s="11"/>
      <c r="P22" s="12"/>
      <c r="Q22" s="12"/>
    </row>
    <row r="23" spans="1:17" x14ac:dyDescent="0.25">
      <c r="A23" s="7" t="s">
        <v>12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1"/>
      <c r="P23" s="12"/>
      <c r="Q23" s="12"/>
    </row>
    <row r="24" spans="1:17" x14ac:dyDescent="0.25">
      <c r="A24" s="7" t="s">
        <v>22</v>
      </c>
      <c r="B24" s="6">
        <f>B23*$B$5</f>
        <v>0</v>
      </c>
      <c r="C24" s="6">
        <f>C23*$C$5</f>
        <v>0</v>
      </c>
      <c r="D24" s="6">
        <f>D23*$D$5</f>
        <v>0</v>
      </c>
      <c r="E24" s="6">
        <f>E23*$E$5</f>
        <v>0</v>
      </c>
      <c r="F24" s="6">
        <f>F23*$F$5</f>
        <v>0</v>
      </c>
      <c r="G24" s="6">
        <f>G23*$G$5</f>
        <v>0</v>
      </c>
      <c r="H24" s="6">
        <f>H23*$H$5</f>
        <v>0</v>
      </c>
      <c r="I24" s="6">
        <f>I23*$I$5</f>
        <v>0</v>
      </c>
      <c r="J24" s="6">
        <f>J23*$J$5</f>
        <v>0</v>
      </c>
      <c r="K24" s="6">
        <f>K23*$K$5</f>
        <v>0</v>
      </c>
      <c r="L24" s="1"/>
      <c r="M24" s="1"/>
      <c r="N24" s="1">
        <v>17800</v>
      </c>
      <c r="O24" s="11"/>
      <c r="P24" s="12"/>
      <c r="Q24" s="12"/>
    </row>
    <row r="25" spans="1:17" x14ac:dyDescent="0.25">
      <c r="A25" s="7" t="s">
        <v>18</v>
      </c>
      <c r="B25" s="8">
        <v>21</v>
      </c>
      <c r="C25" s="8">
        <v>0</v>
      </c>
      <c r="D25" s="8">
        <v>21</v>
      </c>
      <c r="E25" s="8">
        <v>23</v>
      </c>
      <c r="F25" s="8">
        <v>0</v>
      </c>
      <c r="G25" s="8">
        <v>18</v>
      </c>
      <c r="H25" s="8">
        <v>0</v>
      </c>
      <c r="I25" s="8">
        <v>18</v>
      </c>
      <c r="J25" s="8">
        <v>18</v>
      </c>
      <c r="K25" s="8">
        <v>18</v>
      </c>
      <c r="L25" s="1"/>
      <c r="M25" s="1"/>
      <c r="N25" s="1"/>
      <c r="O25" s="11"/>
      <c r="P25" s="12"/>
      <c r="Q25" s="12"/>
    </row>
    <row r="26" spans="1:17" x14ac:dyDescent="0.25">
      <c r="A26" s="7" t="s">
        <v>12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1"/>
      <c r="M26" s="1"/>
      <c r="N26" s="1"/>
      <c r="O26" s="11"/>
      <c r="P26" s="12"/>
      <c r="Q26" s="12"/>
    </row>
    <row r="27" spans="1:17" x14ac:dyDescent="0.25">
      <c r="A27" s="7" t="s">
        <v>22</v>
      </c>
      <c r="B27" s="6">
        <f>B26*$B$5</f>
        <v>0</v>
      </c>
      <c r="C27" s="6">
        <f>C26*$C$5</f>
        <v>0</v>
      </c>
      <c r="D27" s="6">
        <f>D26*$D$5</f>
        <v>0</v>
      </c>
      <c r="E27" s="6">
        <f>E26*$E$5</f>
        <v>0</v>
      </c>
      <c r="F27" s="6">
        <f>F26*$F$5</f>
        <v>0</v>
      </c>
      <c r="G27" s="6">
        <f>G26*$G$5</f>
        <v>0</v>
      </c>
      <c r="H27" s="6">
        <f>H26*$H$5</f>
        <v>0</v>
      </c>
      <c r="I27" s="6">
        <f>I26*$I$5</f>
        <v>0</v>
      </c>
      <c r="J27" s="6">
        <f>J26*$J$5</f>
        <v>0</v>
      </c>
      <c r="K27" s="6">
        <f>K26*$K$5</f>
        <v>0</v>
      </c>
      <c r="L27" s="1"/>
      <c r="M27" s="1"/>
      <c r="N27" s="1">
        <v>26600</v>
      </c>
      <c r="O27" s="11"/>
      <c r="P27" s="12"/>
      <c r="Q27" s="12"/>
    </row>
    <row r="28" spans="1:17" x14ac:dyDescent="0.25">
      <c r="A28" s="7" t="s">
        <v>19</v>
      </c>
      <c r="B28" s="8">
        <v>11</v>
      </c>
      <c r="C28" s="8">
        <v>1</v>
      </c>
      <c r="D28" s="8">
        <v>12</v>
      </c>
      <c r="E28" s="8">
        <v>12</v>
      </c>
      <c r="F28" s="8">
        <v>1</v>
      </c>
      <c r="G28" s="8">
        <v>11</v>
      </c>
      <c r="H28" s="8">
        <v>1</v>
      </c>
      <c r="I28" s="8">
        <v>12</v>
      </c>
      <c r="J28" s="8">
        <v>12</v>
      </c>
      <c r="K28" s="8">
        <v>12</v>
      </c>
      <c r="L28" s="1"/>
      <c r="M28" s="1"/>
      <c r="N28" s="1"/>
      <c r="O28" s="11"/>
      <c r="P28" s="12"/>
      <c r="Q28" s="12"/>
    </row>
    <row r="29" spans="1:17" x14ac:dyDescent="0.25">
      <c r="A29" s="7" t="s">
        <v>12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1"/>
      <c r="M29" s="1"/>
      <c r="N29" s="1"/>
      <c r="O29" s="11"/>
      <c r="P29" s="12"/>
      <c r="Q29" s="12"/>
    </row>
    <row r="30" spans="1:17" x14ac:dyDescent="0.25">
      <c r="A30" s="7" t="s">
        <v>22</v>
      </c>
      <c r="B30" s="6">
        <f>B29*$B$5</f>
        <v>0</v>
      </c>
      <c r="C30" s="6">
        <f>C29*$C$5</f>
        <v>0</v>
      </c>
      <c r="D30" s="6">
        <f>D29*$D$5</f>
        <v>0</v>
      </c>
      <c r="E30" s="6">
        <f>E29*$E$5</f>
        <v>0</v>
      </c>
      <c r="F30" s="6">
        <f>F29*$F$5</f>
        <v>0</v>
      </c>
      <c r="G30" s="6">
        <f>G29*$G$5</f>
        <v>0</v>
      </c>
      <c r="H30" s="6">
        <f>H29*$H$5</f>
        <v>0</v>
      </c>
      <c r="I30" s="6">
        <f>I29*$I$5</f>
        <v>0</v>
      </c>
      <c r="J30" s="6">
        <f>J29*$J$5</f>
        <v>0</v>
      </c>
      <c r="K30" s="6">
        <f>K29*$K$5</f>
        <v>0</v>
      </c>
      <c r="L30" s="1"/>
      <c r="M30" s="1"/>
      <c r="N30" s="1">
        <v>17800</v>
      </c>
      <c r="O30" s="11"/>
      <c r="P30" s="12"/>
      <c r="Q30" s="12"/>
    </row>
    <row r="31" spans="1:17" x14ac:dyDescent="0.25">
      <c r="A31" s="7" t="s">
        <v>20</v>
      </c>
      <c r="B31" s="8">
        <v>21</v>
      </c>
      <c r="C31" s="8">
        <v>0</v>
      </c>
      <c r="D31" s="8">
        <v>21</v>
      </c>
      <c r="E31" s="8">
        <v>23</v>
      </c>
      <c r="F31" s="8">
        <v>0</v>
      </c>
      <c r="G31" s="8">
        <v>18</v>
      </c>
      <c r="H31" s="8">
        <v>0</v>
      </c>
      <c r="I31" s="8">
        <v>18</v>
      </c>
      <c r="J31" s="8">
        <v>18</v>
      </c>
      <c r="K31" s="8">
        <v>18</v>
      </c>
      <c r="L31" s="1"/>
      <c r="M31" s="1"/>
      <c r="N31" s="1"/>
      <c r="O31" s="11"/>
      <c r="P31" s="12"/>
      <c r="Q31" s="12"/>
    </row>
    <row r="32" spans="1:17" x14ac:dyDescent="0.25">
      <c r="A32" s="7" t="s">
        <v>12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1"/>
      <c r="M32" s="1"/>
      <c r="N32" s="1"/>
      <c r="O32" s="11"/>
      <c r="P32" s="12"/>
      <c r="Q32" s="12"/>
    </row>
    <row r="33" spans="1:17" x14ac:dyDescent="0.25">
      <c r="A33" s="7" t="s">
        <v>22</v>
      </c>
      <c r="B33" s="6">
        <f>B32*$B$5</f>
        <v>0</v>
      </c>
      <c r="C33" s="6">
        <f>C32*$C$5</f>
        <v>0</v>
      </c>
      <c r="D33" s="6">
        <f>D32*$D$5</f>
        <v>0</v>
      </c>
      <c r="E33" s="6">
        <f>E32*$E$5</f>
        <v>0</v>
      </c>
      <c r="F33" s="6">
        <f>F32*$F$5</f>
        <v>0</v>
      </c>
      <c r="G33" s="6">
        <f>G32*$G$5</f>
        <v>0</v>
      </c>
      <c r="H33" s="6">
        <f>H32*$H$5</f>
        <v>0</v>
      </c>
      <c r="I33" s="6">
        <f>I32*$I$5</f>
        <v>0</v>
      </c>
      <c r="J33" s="6">
        <f>J32*$J$5</f>
        <v>0</v>
      </c>
      <c r="K33" s="6">
        <f>K32*$K$5</f>
        <v>0</v>
      </c>
      <c r="L33" s="1"/>
      <c r="M33" s="1"/>
      <c r="N33" s="1">
        <v>26600</v>
      </c>
      <c r="O33" s="11"/>
      <c r="P33" s="12"/>
      <c r="Q33" s="12"/>
    </row>
    <row r="34" spans="1:17" x14ac:dyDescent="0.25">
      <c r="A34" s="7" t="s">
        <v>21</v>
      </c>
      <c r="B34" s="8">
        <v>11</v>
      </c>
      <c r="C34" s="8">
        <v>1</v>
      </c>
      <c r="D34" s="8">
        <v>12</v>
      </c>
      <c r="E34" s="8">
        <v>12</v>
      </c>
      <c r="F34" s="8">
        <v>1</v>
      </c>
      <c r="G34" s="8">
        <v>11</v>
      </c>
      <c r="H34" s="8">
        <v>1</v>
      </c>
      <c r="I34" s="8">
        <v>12</v>
      </c>
      <c r="J34" s="8">
        <v>12</v>
      </c>
      <c r="K34" s="8">
        <v>12</v>
      </c>
      <c r="L34" s="1"/>
      <c r="M34" s="1"/>
      <c r="N34" s="1"/>
      <c r="O34" s="11"/>
      <c r="P34" s="12"/>
      <c r="Q34" s="12"/>
    </row>
    <row r="35" spans="1:17" x14ac:dyDescent="0.25">
      <c r="A35" s="7" t="s">
        <v>12</v>
      </c>
      <c r="B35" s="9">
        <v>0</v>
      </c>
      <c r="C35" s="9"/>
      <c r="D35" s="9"/>
      <c r="E35" s="9"/>
      <c r="F35" s="9"/>
      <c r="G35" s="9"/>
      <c r="H35" s="9"/>
      <c r="I35" s="9"/>
      <c r="J35" s="9"/>
      <c r="K35" s="9"/>
      <c r="L35" s="1"/>
      <c r="M35" s="1"/>
      <c r="N35" s="1"/>
      <c r="O35" s="11"/>
      <c r="P35" s="12"/>
      <c r="Q35" s="12"/>
    </row>
    <row r="36" spans="1:17" x14ac:dyDescent="0.25">
      <c r="A36" s="7" t="s">
        <v>22</v>
      </c>
      <c r="B36" s="6">
        <f>B35*$B$5</f>
        <v>0</v>
      </c>
      <c r="C36" s="6">
        <f>C35*$C$5</f>
        <v>0</v>
      </c>
      <c r="D36" s="6">
        <f>D35*$D$5</f>
        <v>0</v>
      </c>
      <c r="E36" s="6">
        <f>E35*$E$5</f>
        <v>0</v>
      </c>
      <c r="F36" s="6">
        <f>F35*$F$5</f>
        <v>0</v>
      </c>
      <c r="G36" s="6">
        <f>G35*$G$5</f>
        <v>0</v>
      </c>
      <c r="H36" s="6">
        <f>H35*$H$5</f>
        <v>0</v>
      </c>
      <c r="I36" s="6">
        <f>I35*$I$5</f>
        <v>0</v>
      </c>
      <c r="J36" s="6">
        <f>J35*$J$5</f>
        <v>0</v>
      </c>
      <c r="K36" s="6">
        <f>K35*$K$5</f>
        <v>0</v>
      </c>
      <c r="L36" s="1"/>
      <c r="M36" s="1"/>
      <c r="N36" s="1">
        <v>17800</v>
      </c>
      <c r="O36" s="11"/>
      <c r="P36" s="12"/>
      <c r="Q36" s="12"/>
    </row>
    <row r="37" spans="1:17" x14ac:dyDescent="0.25">
      <c r="A37" s="1"/>
      <c r="B37" s="9"/>
      <c r="C37" s="9"/>
      <c r="D37" s="9"/>
      <c r="E37" s="9"/>
      <c r="F37" s="9"/>
      <c r="G37" s="9"/>
      <c r="H37" s="9"/>
      <c r="I37" s="9"/>
      <c r="J37" s="9"/>
      <c r="K37" s="9"/>
      <c r="L37" s="1"/>
      <c r="M37" s="1"/>
      <c r="N37" s="1"/>
      <c r="O37" s="11"/>
      <c r="P37" s="12"/>
      <c r="Q37" s="12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1"/>
      <c r="P38" s="12"/>
      <c r="Q38" s="12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1"/>
      <c r="P39" s="12"/>
      <c r="Q39" s="12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1"/>
      <c r="P40" s="12"/>
      <c r="Q40" s="12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1"/>
      <c r="P41" s="12"/>
      <c r="Q41" s="12"/>
    </row>
    <row r="42" spans="1:17" x14ac:dyDescent="0.25">
      <c r="O42" s="12"/>
      <c r="P42" s="12"/>
      <c r="Q42" s="12"/>
    </row>
    <row r="43" spans="1:17" x14ac:dyDescent="0.25">
      <c r="O43" s="12"/>
      <c r="P43" s="12"/>
      <c r="Q43" s="12"/>
    </row>
    <row r="44" spans="1:17" x14ac:dyDescent="0.25">
      <c r="O44" s="12"/>
      <c r="P44" s="12"/>
      <c r="Q44" s="12"/>
    </row>
  </sheetData>
  <pageMargins left="0.7" right="0.7" top="0.75" bottom="0.75" header="0.3" footer="0.3"/>
  <pageSetup scale="82" orientation="landscape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2014-04-17T18:16:31Z</cp:lastPrinted>
  <dcterms:created xsi:type="dcterms:W3CDTF">2014-03-21T15:00:10Z</dcterms:created>
  <dcterms:modified xsi:type="dcterms:W3CDTF">2014-04-17T18:23:40Z</dcterms:modified>
</cp:coreProperties>
</file>