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Vendors" sheetId="12" state="visible" r:id="rId14"/>
    <sheet name="Change Log" sheetId="13" state="visible" r:id="rId15"/>
    <sheet name="Root Cause Analysis" sheetId="14" state="visible" r:id="rId16"/>
    <sheet name="Predictive Signals" sheetId="15" state="visible" r:id="rId17"/>
    <sheet name="Metric Registry" sheetId="16" state="visible" r:id="rId18"/>
    <sheet name="Reconciliation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<sst xmlns="http://schemas.openxmlformats.org/spreadsheetml/2006/main" count="1588" uniqueCount="705">
  <si>
    <t xml:space="preserve">Job #2050 · Compass 2100 E Madison Apartments (2100 E Madison Street, Seattle WA 98101)</t>
  </si>
  <si>
    <t xml:space="preserve">Cortex JCR v2  •  Compass (customer 2050SH)  •  2100 E Madison Street, Seattle, WA 98101  •  Owner: 12 Madison Investment LLC</t>
  </si>
  <si>
    <t xml:space="preserve">PROJECT OVERVIEW</t>
  </si>
  <si>
    <t xml:space="preserve">Project Job #</t>
  </si>
  <si>
    <t xml:space="preserve">2050</t>
  </si>
  <si>
    <t xml:space="preserve">2050 Job Detail Report.pdf (Sage Timberline, 04/03/2026)</t>
  </si>
  <si>
    <t xml:space="preserve">Project Name (Sage)</t>
  </si>
  <si>
    <t xml:space="preserve">GRE Greenlake</t>
  </si>
  <si>
    <t xml:space="preserve">Project Description</t>
  </si>
  <si>
    <t xml:space="preserve">Compass 2100 E Madison Apartments — 50-unit mixed-use mid-rise (47 Type B + 3 Type A ADA + 3 retail), Seattle Capitol Hill</t>
  </si>
  <si>
    <t xml:space="preserve">OWP Project List with Schedule - UPDATED 04-01-26.xlsx + contract</t>
  </si>
  <si>
    <t xml:space="preserve">General Contractor</t>
  </si>
  <si>
    <t xml:space="preserve">Compass</t>
  </si>
  <si>
    <t xml:space="preserve">OWP Project List with Schedule - UPDATED 04-01-26.xlsx</t>
  </si>
  <si>
    <t xml:space="preserve">Customer Code (Sage)</t>
  </si>
  <si>
    <t xml:space="preserve">2050SH</t>
  </si>
  <si>
    <t xml:space="preserve">Owner / Developer</t>
  </si>
  <si>
    <t xml:space="preserve">12 Madison Investment LLC</t>
  </si>
  <si>
    <t xml:space="preserve">GC PM</t>
  </si>
  <si>
    <t xml:space="preserve">TBD — Compass (PM per subcontract); Project Executive signatory on 12/7/2017</t>
  </si>
  <si>
    <t xml:space="preserve">2050-Shelter Holdings subcontract 220500-01 + Boren &amp; Spruce CO docs</t>
  </si>
  <si>
    <t xml:space="preserve">GC Superintendent</t>
  </si>
  <si>
    <t xml:space="preserve">Brett (per Brett 2100 Madison folder — site super pattern across multiple OWP jobs)</t>
  </si>
  <si>
    <t xml:space="preserve">GC PE</t>
  </si>
  <si>
    <t xml:space="preserve">N/A</t>
  </si>
  <si>
    <t xml:space="preserve">OWP Signatory</t>
  </si>
  <si>
    <t xml:space="preserve">Richard Donelson (OWP per Subcontract 220500-01, 12/7/2017 — 'Subcontractor Representative shall be: RICHARD DONELSON')</t>
  </si>
  <si>
    <t xml:space="preserve">Jobsite Location</t>
  </si>
  <si>
    <t xml:space="preserve">2100 E Madison Street, Seattle, WA 98101</t>
  </si>
  <si>
    <t xml:space="preserve">Insurance</t>
  </si>
  <si>
    <t xml:space="preserve">Not Wrap</t>
  </si>
  <si>
    <t xml:space="preserve">Fixture Schedule</t>
  </si>
  <si>
    <t xml:space="preserve">395 fixtures total (656 unit + 98 retail/common)</t>
  </si>
  <si>
    <t xml:space="preserve">Submittal Table of Contents + Plumbing Scope</t>
  </si>
  <si>
    <t xml:space="preserve">Architect</t>
  </si>
  <si>
    <t xml:space="preserve">TBD — per Plans folder (mixed-use project: 50 residential units + 3 retail + podium parking)</t>
  </si>
  <si>
    <t xml:space="preserve">Compass 2100 E Madison Apartments project info.pdf</t>
  </si>
  <si>
    <t xml:space="preserve">Contract Type</t>
  </si>
  <si>
    <t xml:space="preserve">Lump Sum</t>
  </si>
  <si>
    <t xml:space="preserve">Unit Count</t>
  </si>
  <si>
    <t xml:space="preserve">Submittal TOC (102 Type B + 6 Type A/ADA)</t>
  </si>
  <si>
    <t xml:space="preserve">Work Period</t>
  </si>
  <si>
    <t xml:space="preserve">2017-12 start → 2019-05 (18 months)</t>
  </si>
  <si>
    <t xml:space="preserve">JDR PR/AR dates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</si>
  <si>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</si>
  <si>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</si>
  <si>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</si>
  <si>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</si>
  <si>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Original $897,800.00 + ($20,766.00) COs (2.31%)</t>
  </si>
  <si>
    <t xml:space="preserve">46.5% margin</t>
  </si>
  <si>
    <t xml:space="preserve">53.5% of revenue</t>
  </si>
  <si>
    <t xml:space="preserve">22 workers</t>
  </si>
  <si>
    <t xml:space="preserve">SCOPE OF WORK</t>
  </si>
  <si>
    <t xml:space="preserve">Full plumbing installation per Division 22: underground, garage, rough-in, finish, gas, water main, insulation, roof drains.</t>
  </si>
  <si>
    <t xml:space="preserve">50-unit mixed-use (102 Type B + 6 Type A/ADA) at 2100 E Madison Street, Seattle, WA 98101, Mixed-use mid-rise multi-family (Type 1A podium + Type VA above) with 3 ground-floor retail spaces.</t>
  </si>
  <si>
    <t xml:space="preserve">GC: Compass (2050SH); Owner: 12 Madison Investment LLC.</t>
  </si>
  <si>
    <t xml:space="preserve">Insurance: Not Wrap (retail-adjacent residential).</t>
  </si>
  <si>
    <t xml:space="preserve">Project team: TBD — Compass (PM per subcontract); Project Executive signatory on 12/7/2017 (GC PM) · Brett (per Brett 2100 Madison folder — site super pattern across multiple OWP jobs) (GC Sup) · TBD — per Plans folder (mixed-use project: 50 residential units + 3 retail + podium parking) (Architect) · Richard Donelson (OWP per Subcontract 220500-01, 12/7/2017 — 'Subcontractor Representative shall be: RICHARD DONELSON') (OWP signatory).</t>
  </si>
  <si>
    <t xml:space="preserve">SOURCES</t>
  </si>
  <si>
    <t xml:space="preserve">Canonical financial source: 2050 Job Detail Report.pdf (Sage Timberline, 04/03/2026)</t>
  </si>
  <si>
    <t xml:space="preserve">Job totals (JDR footer): Revenue $918,566.00 / Expenses $491,756.90 / Net $426,809.10 / Retainage $45,928.30</t>
  </si>
  <si>
    <t xml:space="preserve">Source breakdown (derived): PR $249,064.10 · AP $219,925.25 · GL $22,767.55</t>
  </si>
  <si>
    <t xml:space="preserve">Contract: Lump Sum $897,800.00 → $918,566.00</t>
  </si>
  <si>
    <t xml:space="preserve">Change Orders (executed): $20,766.00 net across 8 COs (CO log in enriched meta)</t>
  </si>
  <si>
    <t xml:space="preserve">Project Team: TBD — Compass (PM per subcontract); Project Executive signatory on 12/7/2017 (PM) · Brett (per Brett 2100 Madison folder — site super pattern across multiple OWP jobs) (Sup) · TBD — per Plans folder (mixed-use project: 50 residential units + 3 retail + podium parking) · 12 Madison Investment LLC</t>
  </si>
  <si>
    <t xml:space="preserve">PROJECT TEAM (OWP Job Info)</t>
  </si>
  <si>
    <t xml:space="preserve">Role</t>
  </si>
  <si>
    <t xml:space="preserve">Status</t>
  </si>
  <si>
    <t xml:space="preserve">Name / Firm</t>
  </si>
  <si>
    <t xml:space="preserve">GC</t>
  </si>
  <si>
    <t xml:space="preserve">Extracted</t>
  </si>
  <si>
    <t xml:space="preserve">Owner</t>
  </si>
  <si>
    <t xml:space="preserve">Structural</t>
  </si>
  <si>
    <t xml:space="preserve">Acoustical</t>
  </si>
  <si>
    <t xml:space="preserve">ADA Consultant</t>
  </si>
  <si>
    <t xml:space="preserve">Interior Design</t>
  </si>
  <si>
    <t xml:space="preserve">MEP Engineer</t>
  </si>
  <si>
    <t xml:space="preserve">Budget vs Actual</t>
  </si>
  <si>
    <t xml:space="preserve">All 30 cost codes from JDR. Contract $897,800 → $918,566.</t>
  </si>
  <si>
    <t xml:space="preserve">Cost Code</t>
  </si>
  <si>
    <t xml:space="preserve">Description</t>
  </si>
  <si>
    <t xml:space="preserve">Original Budget</t>
  </si>
  <si>
    <t xml:space="preserve">Revised Budget</t>
  </si>
  <si>
    <t xml:space="preserve">Actual</t>
  </si>
  <si>
    <t xml:space="preserve">Variance</t>
  </si>
  <si>
    <t xml:space="preserve">% of Revised</t>
  </si>
  <si>
    <t xml:space="preserve">Hours</t>
  </si>
  <si>
    <t xml:space="preserve">Source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</si>
  <si>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</si>
  <si>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</si>
  <si>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</si>
  <si>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</si>
  <si>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</si>
  <si>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</si>
  <si>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</si>
  <si>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</si>
  <si>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</si>
  <si>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</si>
  <si>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</si>
  <si>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</si>
  <si>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</si>
  <si>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</si>
  <si>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</si>
  <si>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</si>
  <si>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</si>
  <si>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</si>
  <si>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</si>
  <si>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</si>
  <si>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151</t>
  </si>
  <si>
    <t xml:space="preserve">T&amp;M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</si>
  <si>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</si>
  <si>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</si>
  <si>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</si>
  <si>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</si>
  <si>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</si>
  <si>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</si>
  <si>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</si>
  <si>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</si>
  <si>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</si>
  <si>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</si>
  <si>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</si>
  <si>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</si>
  <si>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</si>
  <si>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</si>
  <si>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</si>
  <si>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</si>
  <si>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</si>
  <si>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</si>
  <si>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</si>
  <si>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</si>
  <si>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</si>
  <si>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</si>
  <si>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</si>
  <si>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</si>
  <si>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</si>
  <si>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</si>
  <si>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</si>
  <si>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</si>
  <si>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800</t>
  </si>
  <si>
    <t xml:space="preserve">Office Time</t>
  </si>
  <si>
    <t xml:space="preserve">995</t>
  </si>
  <si>
    <t xml:space="preserve">Payroll Burden</t>
  </si>
  <si>
    <t xml:space="preserve">997</t>
  </si>
  <si>
    <t xml:space="preserve">Employee Benefits</t>
  </si>
  <si>
    <t xml:space="preserve">998</t>
  </si>
  <si>
    <t xml:space="preserve">Payroll Taxes</t>
  </si>
  <si>
    <t xml:space="preserve">999</t>
  </si>
  <si>
    <t xml:space="preserve">Sales</t>
  </si>
  <si>
    <t xml:space="preserve">TOTAL</t>
  </si>
  <si>
    <t xml:space="preserve">Cost Breakdown by Category</t>
  </si>
  <si>
    <t xml:space="preserve">Direct cost composition by category from JDR cost codes</t>
  </si>
  <si>
    <t xml:space="preserve">Category</t>
  </si>
  <si>
    <t xml:space="preserve">Cost Codes</t>
  </si>
  <si>
    <t xml:space="preserve">Actual $</t>
  </si>
  <si>
    <t xml:space="preserve">% of Direct Cost</t>
  </si>
  <si>
    <t xml:space="preserve">% of Revenue</t>
  </si>
  <si>
    <t xml:space="preserve">Labor</t>
  </si>
  <si>
    <t xml:space="preserve">100,101,110,111,112,120,130,140,141,142,151</t>
  </si>
  <si>
    <t xml:space="preserve">Material</t>
  </si>
  <si>
    <t xml:space="preserve">210,211,212,220,230,240,241,242,243</t>
  </si>
  <si>
    <t xml:space="preserve">Overhead</t>
  </si>
  <si>
    <t xml:space="preserve">600,601,602,603,607</t>
  </si>
  <si>
    <t xml:space="preserve">Other</t>
  </si>
  <si>
    <t xml:space="preserve">800,997</t>
  </si>
  <si>
    <t xml:space="preserve">TOTAL DIRECT COST</t>
  </si>
  <si>
    <t xml:space="preserve">Material Purchases — AP Vendors</t>
  </si>
  <si>
    <t xml:space="preserve">Material + subcontractor spend by vendor from JDR AP records</t>
  </si>
  <si>
    <t xml:space="preserve">Vendor ID</t>
  </si>
  <si>
    <t xml:space="preserve">Vendor Name</t>
  </si>
  <si>
    <t xml:space="preserve">Total Spend</t>
  </si>
  <si>
    <t xml:space="preserve"># Transactions</t>
  </si>
  <si>
    <t xml:space="preserve">Category (inferred)</t>
  </si>
  <si>
    <t xml:space="preserve">1175FE</t>
  </si>
  <si>
    <t xml:space="preserve">Ferguson Enterprises, Inc. #3007</t>
  </si>
  <si>
    <t xml:space="preserve">Plumbing / Supplies</t>
  </si>
  <si>
    <t xml:space="preserve">1380RS</t>
  </si>
  <si>
    <t xml:space="preserve">Rosen Supply Kirkland</t>
  </si>
  <si>
    <t xml:space="preserve">5560CH</t>
  </si>
  <si>
    <t xml:space="preserve">California Hydronics Corp</t>
  </si>
  <si>
    <t xml:space="preserve">1130CS</t>
  </si>
  <si>
    <t xml:space="preserve">Consolidated Supply Co.</t>
  </si>
  <si>
    <t xml:space="preserve">1625FE</t>
  </si>
  <si>
    <t xml:space="preserve">Franklin Engineering</t>
  </si>
  <si>
    <t xml:space="preserve">Engineering (601)</t>
  </si>
  <si>
    <t xml:space="preserve">1234CO</t>
  </si>
  <si>
    <t xml:space="preserve">Capital One Credit Card</t>
  </si>
  <si>
    <t xml:space="preserve">Credit Card (mixed)</t>
  </si>
  <si>
    <t xml:space="preserve">2050FE</t>
  </si>
  <si>
    <t xml:space="preserve">Ferguson Enterprises, Inc. $Madison</t>
  </si>
  <si>
    <t xml:space="preserve">3129MR</t>
  </si>
  <si>
    <t xml:space="preserve">Mechanical Resource Services, Inc.</t>
  </si>
  <si>
    <t xml:space="preserve">Uncategorized</t>
  </si>
  <si>
    <t xml:space="preserve">2713AR</t>
  </si>
  <si>
    <t xml:space="preserve">Ahern Rentals</t>
  </si>
  <si>
    <t xml:space="preserve">1231KS</t>
  </si>
  <si>
    <t xml:space="preserve">Keller Supply Company</t>
  </si>
  <si>
    <t xml:space="preserve">2050RS</t>
  </si>
  <si>
    <t xml:space="preserve">Rosen Supply Company, Inc. $E Madison</t>
  </si>
  <si>
    <t xml:space="preserve">1609QC</t>
  </si>
  <si>
    <t xml:space="preserve">Quality Concrete Products, Inc. $32</t>
  </si>
  <si>
    <t xml:space="preserve">1504CA</t>
  </si>
  <si>
    <t xml:space="preserve">Chip Away Bathtub Repair, Inc.</t>
  </si>
  <si>
    <t xml:space="preserve">3612MS</t>
  </si>
  <si>
    <t xml:space="preserve">Mechanical Sales, Inc.</t>
  </si>
  <si>
    <t xml:space="preserve">1234BA</t>
  </si>
  <si>
    <t xml:space="preserve">Bank of America CC</t>
  </si>
  <si>
    <t xml:space="preserve">3181SC</t>
  </si>
  <si>
    <t xml:space="preserve">Scan2Core, Inc.</t>
  </si>
  <si>
    <t xml:space="preserve">7423OC</t>
  </si>
  <si>
    <t xml:space="preserve">Old Castle Infrastructure, Inc.</t>
  </si>
  <si>
    <t xml:space="preserve">5621HD</t>
  </si>
  <si>
    <t xml:space="preserve">Core &amp; Main LP $HD Supply Waterworks</t>
  </si>
  <si>
    <t xml:space="preserve">2050KS</t>
  </si>
  <si>
    <t xml:space="preserve">Keller Supply Co. $E Madison</t>
  </si>
  <si>
    <t xml:space="preserve">1641AR</t>
  </si>
  <si>
    <t xml:space="preserve">A.R. Brown Backflow Testing</t>
  </si>
  <si>
    <t xml:space="preserve">Testing subcontractor</t>
  </si>
  <si>
    <t xml:space="preserve">1799AW</t>
  </si>
  <si>
    <t xml:space="preserve">AllWest Underground, Inc.</t>
  </si>
  <si>
    <t xml:space="preserve">1288DR</t>
  </si>
  <si>
    <t xml:space="preserve">DRSi</t>
  </si>
  <si>
    <t xml:space="preserve">1421RA</t>
  </si>
  <si>
    <t xml:space="preserve">R.A. Brown Backflow Testing</t>
  </si>
  <si>
    <t xml:space="preserve">Crew &amp; Labor — Worker Roster</t>
  </si>
  <si>
    <t xml:space="preserve">All 22 unique payroll workers. OWP signatory: Richard Donelson (OWP per Subcontract 220500-01, 12/7/2017 — 'Subcontractor Representative shall be: RICHARD DONELSON').</t>
  </si>
  <si>
    <t xml:space="preserve">Worker ID</t>
  </si>
  <si>
    <t xml:space="preserve">Worker Name</t>
  </si>
  <si>
    <t xml:space="preserve">Total Hours</t>
  </si>
  <si>
    <t xml:space="preserve">Gross Pay</t>
  </si>
  <si>
    <t xml:space="preserve">Blended Wage ($/hr)</t>
  </si>
  <si>
    <t xml:space="preserve"># Work Days</t>
  </si>
  <si>
    <t xml:space="preserve">WI46</t>
  </si>
  <si>
    <t xml:space="preserve">Wilson, Garret A</t>
  </si>
  <si>
    <t xml:space="preserve">BA68</t>
  </si>
  <si>
    <t xml:space="preserve">Barbosa, Michael S</t>
  </si>
  <si>
    <t xml:space="preserve">RO10</t>
  </si>
  <si>
    <t xml:space="preserve">Rodriguez Arevalos, Christian</t>
  </si>
  <si>
    <t xml:space="preserve">ME53</t>
  </si>
  <si>
    <t xml:space="preserve">Mendoza Morales, Jesus A</t>
  </si>
  <si>
    <t xml:space="preserve">SI48</t>
  </si>
  <si>
    <t xml:space="preserve">Silva Morales, Jair J</t>
  </si>
  <si>
    <t xml:space="preserve">CA77</t>
  </si>
  <si>
    <t xml:space="preserve">Castro Hernandez, Jose A</t>
  </si>
  <si>
    <t xml:space="preserve">GU78</t>
  </si>
  <si>
    <t xml:space="preserve">Gutierrez Salas, Jose</t>
  </si>
  <si>
    <t xml:space="preserve">EL33</t>
  </si>
  <si>
    <t xml:space="preserve">Eliassen, Cory H</t>
  </si>
  <si>
    <t xml:space="preserve">SE64</t>
  </si>
  <si>
    <t xml:space="preserve">Sepulveda Gonzalez, Alfredo</t>
  </si>
  <si>
    <t xml:space="preserve">BA70</t>
  </si>
  <si>
    <t xml:space="preserve">Barnhart, Joseph N</t>
  </si>
  <si>
    <t xml:space="preserve">DO56</t>
  </si>
  <si>
    <t xml:space="preserve">Donelson, Richard T</t>
  </si>
  <si>
    <t xml:space="preserve">MA71</t>
  </si>
  <si>
    <t xml:space="preserve">Martinez Reyes, Juan C</t>
  </si>
  <si>
    <t xml:space="preserve">ST02</t>
  </si>
  <si>
    <t xml:space="preserve">Stahlschmidt, John P</t>
  </si>
  <si>
    <t xml:space="preserve">TR60</t>
  </si>
  <si>
    <t xml:space="preserve">Trower-Kelly, Fidel D</t>
  </si>
  <si>
    <t xml:space="preserve">VA98</t>
  </si>
  <si>
    <t xml:space="preserve">Vazquez Popoca, Jose N</t>
  </si>
  <si>
    <t xml:space="preserve">HU06</t>
  </si>
  <si>
    <t xml:space="preserve">Hubbard, Robert W</t>
  </si>
  <si>
    <t xml:space="preserve">GE69</t>
  </si>
  <si>
    <t xml:space="preserve">Gerard, Jeffrey S</t>
  </si>
  <si>
    <t xml:space="preserve">WE55</t>
  </si>
  <si>
    <t xml:space="preserve">Wennig, Johnathan M</t>
  </si>
  <si>
    <t xml:space="preserve">SA54</t>
  </si>
  <si>
    <t xml:space="preserve">Sanders, Allen O</t>
  </si>
  <si>
    <t xml:space="preserve">HE70</t>
  </si>
  <si>
    <t xml:space="preserve">Hernandez Gonzalez, Osbaldo</t>
  </si>
  <si>
    <t xml:space="preserve">KI55</t>
  </si>
  <si>
    <t xml:space="preserve">Kinssies, Jr, John E</t>
  </si>
  <si>
    <t xml:space="preserve">MC09</t>
  </si>
  <si>
    <t xml:space="preserve">McCabe, Thomas C</t>
  </si>
  <si>
    <t xml:space="preserve">Crew Analytics</t>
  </si>
  <si>
    <t xml:space="preserve">Team-level labor productivity, concentration, wage dispersion</t>
  </si>
  <si>
    <t xml:space="preserve">TEAM-LEVEL METRICS</t>
  </si>
  <si>
    <t xml:space="preserve">Metric</t>
  </si>
  <si>
    <t xml:space="preserve">Value</t>
  </si>
  <si>
    <t xml:space="preserve">Notes</t>
  </si>
  <si>
    <t xml:space="preserve">Total Workers</t>
  </si>
  <si>
    <t xml:space="preserve">Unique payroll IDs</t>
  </si>
  <si>
    <t xml:space="preserve">Total Labor Hours</t>
  </si>
  <si>
    <t xml:space="preserve">Sum of labor codes</t>
  </si>
  <si>
    <t xml:space="preserve">Total Gross Pay</t>
  </si>
  <si>
    <t xml:space="preserve">Blended Gross Wage ($/hr)</t>
  </si>
  <si>
    <t xml:space="preserve">Labor$/Hrs (pre-burden)</t>
  </si>
  <si>
    <t xml:space="preserve">Derived</t>
  </si>
  <si>
    <t xml:space="preserve">Top Worker Hours Share</t>
  </si>
  <si>
    <t xml:space="preserve">WI46 Wilson, Garret A (1012 hrs)</t>
  </si>
  <si>
    <t xml:space="preserve">Top 5 Workers Hours Share</t>
  </si>
  <si>
    <t xml:space="preserve">Concentration metric</t>
  </si>
  <si>
    <t xml:space="preserve">Highest Wage Rate ($/hr)</t>
  </si>
  <si>
    <t xml:space="preserve">Single-worker blended</t>
  </si>
  <si>
    <t xml:space="preserve">Lowest Wage Rate ($/hr)</t>
  </si>
  <si>
    <t xml:space="preserve">Avg Hours per Worker</t>
  </si>
  <si>
    <t xml:space="preserve">Includes short-tenure workers</t>
  </si>
  <si>
    <t xml:space="preserve">Avg Project Days per Worker</t>
  </si>
  <si>
    <t xml:space="preserve">Mean days</t>
  </si>
  <si>
    <t xml:space="preserve">Productivity Metrics</t>
  </si>
  <si>
    <t xml:space="preserve">Normalized ratios. Per-unit from 50 units (395 fixtures).</t>
  </si>
  <si>
    <t xml:space="preserve">Basis</t>
  </si>
  <si>
    <t xml:space="preserve">Source / Note</t>
  </si>
  <si>
    <t xml:space="preserve">Revenue per Labor Hour</t>
  </si>
  <si>
    <t xml:space="preserve">USD/hr</t>
  </si>
  <si>
    <t xml:space="preserve">Profit per Labor Hour</t>
  </si>
  <si>
    <t xml:space="preserve">Labor Cost per Hour (blended)</t>
  </si>
  <si>
    <t xml:space="preserve">Pre-burden</t>
  </si>
  <si>
    <t xml:space="preserve">Fully-Loaded Labor Rate ($/hr)</t>
  </si>
  <si>
    <t xml:space="preserve">Incl burden+taxes</t>
  </si>
  <si>
    <t xml:space="preserve">Burden Multiplier</t>
  </si>
  <si>
    <t xml:space="preserve">x</t>
  </si>
  <si>
    <t xml:space="preserve">Fully-loaded/blended</t>
  </si>
  <si>
    <t xml:space="preserve">Rough-in Hours (code 120)</t>
  </si>
  <si>
    <t xml:space="preserve">hrs</t>
  </si>
  <si>
    <t xml:space="preserve">Finish Hours (code 130)</t>
  </si>
  <si>
    <t xml:space="preserve">Rough-in % of Total Hours</t>
  </si>
  <si>
    <t xml:space="preserve">%</t>
  </si>
  <si>
    <t xml:space="preserve">Gross Margin</t>
  </si>
  <si>
    <t xml:space="preserve">Labor % of Revenue</t>
  </si>
  <si>
    <t xml:space="preserve">Material % of Revenue</t>
  </si>
  <si>
    <t xml:space="preserve">Direct Cost Ratio</t>
  </si>
  <si>
    <t xml:space="preserve">All exp/Rev</t>
  </si>
  <si>
    <t xml:space="preserve">Revenue per Unit (50)</t>
  </si>
  <si>
    <t xml:space="preserve">USD</t>
  </si>
  <si>
    <t xml:space="preserve">50 units</t>
  </si>
  <si>
    <t xml:space="preserve">Labor Hours per Unit</t>
  </si>
  <si>
    <t xml:space="preserve">Labor Cost per Unit</t>
  </si>
  <si>
    <t xml:space="preserve">Material Cost per Unit</t>
  </si>
  <si>
    <t xml:space="preserve">Direct Cost per Unit</t>
  </si>
  <si>
    <t xml:space="preserve">Rough-in Hours per Unit</t>
  </si>
  <si>
    <t xml:space="preserve">Revenue per Fixture</t>
  </si>
  <si>
    <t xml:space="preserve">395 fixtures</t>
  </si>
  <si>
    <t xml:space="preserve">Hours per Fixture</t>
  </si>
  <si>
    <t xml:space="preserve">PO Commitments</t>
  </si>
  <si>
    <t xml:space="preserve">Inbound contract (GC → OWP). Outbound vendor commitments — see Material tab.</t>
  </si>
  <si>
    <t xml:space="preserve">PO #</t>
  </si>
  <si>
    <t xml:space="preserve">Date</t>
  </si>
  <si>
    <t xml:space="preserve">Issuer</t>
  </si>
  <si>
    <t xml:space="preserve">Type</t>
  </si>
  <si>
    <t xml:space="preserve">Amount</t>
  </si>
  <si>
    <t xml:space="preserve">PRIME</t>
  </si>
  <si>
    <t xml:space="preserve">2017-12-07</t>
  </si>
  <si>
    <t xml:space="preserve">Lump Sum Subcontract</t>
  </si>
  <si>
    <t xml:space="preserve">Closed</t>
  </si>
  <si>
    <t xml:space="preserve">Compass 2100 E Madison Apartments plumbing (50 units, 7 stories) — per Div 22</t>
  </si>
  <si>
    <t xml:space="preserve">CO-NET</t>
  </si>
  <si>
    <t xml:space="preserve">—</t>
  </si>
  <si>
    <t xml:space="preserve">Change Orders (executed, 8 COs)</t>
  </si>
  <si>
    <t xml:space="preserve">Executed</t>
  </si>
  <si>
    <t xml:space="preserve">Net CO impact (Sage 999 rev - orig)</t>
  </si>
  <si>
    <t xml:space="preserve">TOTAL (contract + COs)</t>
  </si>
  <si>
    <t xml:space="preserve">Billing &amp; Schedule of Values</t>
  </si>
  <si>
    <t xml:space="preserve">224 invoices to Compass. Retainage $45,928.30.</t>
  </si>
  <si>
    <t xml:space="preserve">Invoice #</t>
  </si>
  <si>
    <t xml:space="preserve">Total Billed (signed)</t>
  </si>
  <si>
    <t xml:space="preserve">Retainage (signed)</t>
  </si>
  <si>
    <t xml:space="preserve"># Lines</t>
  </si>
  <si>
    <t xml:space="preserve">552</t>
  </si>
  <si>
    <t xml:space="preserve">01/18/19</t>
  </si>
  <si>
    <t xml:space="preserve">681</t>
  </si>
  <si>
    <t xml:space="preserve">03/20/19</t>
  </si>
  <si>
    <t xml:space="preserve">606</t>
  </si>
  <si>
    <t xml:space="preserve">04/19/19</t>
  </si>
  <si>
    <t xml:space="preserve">547</t>
  </si>
  <si>
    <t xml:space="preserve">04/20/18</t>
  </si>
  <si>
    <t xml:space="preserve">505</t>
  </si>
  <si>
    <t xml:space="preserve">05/18/18</t>
  </si>
  <si>
    <t xml:space="preserve">515</t>
  </si>
  <si>
    <t xml:space="preserve">05/20/19</t>
  </si>
  <si>
    <t xml:space="preserve">604</t>
  </si>
  <si>
    <t xml:space="preserve">06/19/19</t>
  </si>
  <si>
    <t xml:space="preserve">671</t>
  </si>
  <si>
    <t xml:space="preserve">06/20/18</t>
  </si>
  <si>
    <t xml:space="preserve">519</t>
  </si>
  <si>
    <t xml:space="preserve">07/20/18</t>
  </si>
  <si>
    <t xml:space="preserve">466</t>
  </si>
  <si>
    <t xml:space="preserve">09/19/18</t>
  </si>
  <si>
    <t xml:space="preserve">698</t>
  </si>
  <si>
    <t xml:space="preserve">10/19/18</t>
  </si>
  <si>
    <t xml:space="preserve">699</t>
  </si>
  <si>
    <t xml:space="preserve">521</t>
  </si>
  <si>
    <t xml:space="preserve">11/16/18</t>
  </si>
  <si>
    <t xml:space="preserve">346</t>
  </si>
  <si>
    <t xml:space="preserve">12/14/18</t>
  </si>
  <si>
    <t xml:space="preserve">777</t>
  </si>
  <si>
    <t xml:space="preserve">778</t>
  </si>
  <si>
    <t xml:space="preserve">TOTAL (signed)</t>
  </si>
  <si>
    <t xml:space="preserve">Insights &amp; Observations</t>
  </si>
  <si>
    <t xml:space="preserve">Narrative findings from JDR + GDrive CO log</t>
  </si>
  <si>
    <t xml:space="preserve">#</t>
  </si>
  <si>
    <t xml:space="preserve">Insight</t>
  </si>
  <si>
    <t xml:space="preserve">Detail</t>
  </si>
  <si>
    <t xml:space="preserve">Confidence</t>
  </si>
  <si>
    <t xml:space="preserve">MARGIN PROFILE</t>
  </si>
  <si>
    <t xml:space="preserve">Net profit $426,809.10 on $918,566.00 revenue = 46.5% gross margin.</t>
  </si>
  <si>
    <t xml:space="preserve">Verified</t>
  </si>
  <si>
    <t xml:space="preserve">CONTRACT CHANGE</t>
  </si>
  <si>
    <t xml:space="preserve">Original $897,800.00 → final $918,566.00 = $+20,766.00 net (2.31%) across 8 executed COs.</t>
  </si>
  <si>
    <t xml:space="preserve">2050 Job Detail Report.pdf (Sage Timberline, 04/03/2026) + CO log</t>
  </si>
  <si>
    <t xml:space="preserve">LABOR PROFILE</t>
  </si>
  <si>
    <t xml:space="preserve">Labor cost $163,505.50 (17.8% of rev) across 5,764 hrs and 22 workers. Blended wage $28.37/hr.</t>
  </si>
  <si>
    <t xml:space="preserve">VENDOR CONCENTRATION</t>
  </si>
  <si>
    <t xml:space="preserve">Top 5 AP vendors: ~$182,894.86 (83% of AP). Top vendor: Ferguson Enterprises, Inc. #3007 ($70,586.95).</t>
  </si>
  <si>
    <t xml:space="preserve">RETAINAGE</t>
  </si>
  <si>
    <t xml:space="preserve">Retainage $45,928.30 — outstanding as of report date.</t>
  </si>
  <si>
    <t xml:space="preserve">ROUGH-IN SHARE</t>
  </si>
  <si>
    <t xml:space="preserve">Code 120 Roughin Labor = 2,862 hrs (50% of labor hours).</t>
  </si>
  <si>
    <t xml:space="preserve">TOP COST CODE</t>
  </si>
  <si>
    <t xml:space="preserve">Largest actual cost: 230 Finish Material = $111,207.30</t>
  </si>
  <si>
    <t xml:space="preserve">WORKER CONCENTRATION</t>
  </si>
  <si>
    <t xml:space="preserve">Top worker Wilson, Garret A = 1,012 hrs (18% of total).</t>
  </si>
  <si>
    <t xml:space="preserve">INSURANCE</t>
  </si>
  <si>
    <t xml:space="preserve">Not Wrap — retail-adjacent mixed-use.</t>
  </si>
  <si>
    <t xml:space="preserve">SCOPE CONTEXT</t>
  </si>
  <si>
    <t xml:space="preserve">Compass 2100 E Madison Apartments — 50-unit mixed-use mid-rise (47 standard + 3 Type A ADA) + 3 retail + P1/P2 parking at 2100 E Madison Street, Seattle, WA 98101.</t>
  </si>
  <si>
    <t xml:space="preserve">Submittal TOC + scope doc</t>
  </si>
  <si>
    <t xml:space="preserve">Benchmark KPIs</t>
  </si>
  <si>
    <t xml:space="preserve">Normalized metrics for cross-project comparison</t>
  </si>
  <si>
    <t xml:space="preserve">KPI</t>
  </si>
  <si>
    <t xml:space="preserve">Data Name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</si>
  <si>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</si>
  <si>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</si>
  <si>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</si>
  <si>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</si>
  <si>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</si>
  <si>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</si>
  <si>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</si>
  <si>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Compass 2100 E Madison Apartments (2100 E Madison Street, Seattle WA 98101)</t>
  </si>
  <si>
    <t xml:space="preserve">general_contractor</t>
  </si>
  <si>
    <t xml:space="preserve">owner</t>
  </si>
  <si>
    <t xml:space="preserve">architect</t>
  </si>
  <si>
    <t xml:space="preserve">Location</t>
  </si>
  <si>
    <t xml:space="preserve">location</t>
  </si>
  <si>
    <t xml:space="preserve">Project Type</t>
  </si>
  <si>
    <t xml:space="preserve">project_type</t>
  </si>
  <si>
    <t xml:space="preserve">Mixed-use mid-rise: 50 residential units (47 Type B + 3 Type A ADA) + 3 ground-floor retail spaces + L1 amenity (retail ADA bathroom, trash room mop sink) + rooftop deck (dog wash, sink roughin, BBQ gas, fire-pit gas) + basement/P1 parking garage with foundation drain sump + duplex booster pump + 2 Bock OptiTherm OT-199N gas-fired condensing WHs. Post-tension deck construction with ProSet sleeves.</t>
  </si>
  <si>
    <t xml:space="preserve">Scope + Submittal TOC</t>
  </si>
  <si>
    <t xml:space="preserve">Insurance Type</t>
  </si>
  <si>
    <t xml:space="preserve">insurance</t>
  </si>
  <si>
    <t xml:space="preserve">gc_pm</t>
  </si>
  <si>
    <t xml:space="preserve">GC Sup</t>
  </si>
  <si>
    <t xml:space="preserve">gc_sup</t>
  </si>
  <si>
    <t xml:space="preserve">owp_signatory</t>
  </si>
  <si>
    <t xml:space="preserve">Contract Signed Date</t>
  </si>
  <si>
    <t xml:space="preserve">contract_signed_date</t>
  </si>
  <si>
    <t xml:space="preserve">Work Start</t>
  </si>
  <si>
    <t xml:space="preserve">start_date</t>
  </si>
  <si>
    <t xml:space="preserve">2017-12</t>
  </si>
  <si>
    <t xml:space="preserve">Work End</t>
  </si>
  <si>
    <t xml:space="preserve">end_date</t>
  </si>
  <si>
    <t xml:space="preserve">2019-05</t>
  </si>
  <si>
    <t xml:space="preserve">Duration (months)</t>
  </si>
  <si>
    <t xml:space="preserve">duration_months</t>
  </si>
  <si>
    <t xml:space="preserve">unit_count</t>
  </si>
  <si>
    <t xml:space="preserve">102 Type B + 6 Type A/ADA</t>
  </si>
  <si>
    <t xml:space="preserve">Submittal TOC</t>
  </si>
  <si>
    <t xml:space="preserve">Total Fixtures</t>
  </si>
  <si>
    <t xml:space="preserve">total_fixtures</t>
  </si>
  <si>
    <t xml:space="preserve">656 unit + 98 retail/common</t>
  </si>
  <si>
    <t xml:space="preserve">Contract Original</t>
  </si>
  <si>
    <t xml:space="preserve">contract_original</t>
  </si>
  <si>
    <t xml:space="preserve">Financial</t>
  </si>
  <si>
    <t xml:space="preserve">Contract Final</t>
  </si>
  <si>
    <t xml:space="preserve">contract_final</t>
  </si>
  <si>
    <t xml:space="preserve">Change Orders ($)</t>
  </si>
  <si>
    <t xml:space="preserve">co_net</t>
  </si>
  <si>
    <t xml:space="preserve">8 executed</t>
  </si>
  <si>
    <t xml:space="preserve">CO % of Contract</t>
  </si>
  <si>
    <t xml:space="preserve">co_pct</t>
  </si>
  <si>
    <t xml:space="preserve">Revenue</t>
  </si>
  <si>
    <t xml:space="preserve">revenue</t>
  </si>
  <si>
    <t xml:space="preserve">AR total</t>
  </si>
  <si>
    <t xml:space="preserve">Direct Cost</t>
  </si>
  <si>
    <t xml:space="preserve">direct_cost</t>
  </si>
  <si>
    <t xml:space="preserve">JDR Expenses</t>
  </si>
  <si>
    <t xml:space="preserve">Net Profit</t>
  </si>
  <si>
    <t xml:space="preserve">net_profit</t>
  </si>
  <si>
    <t xml:space="preserve">Rev - Exp</t>
  </si>
  <si>
    <t xml:space="preserve">gross_margin</t>
  </si>
  <si>
    <t xml:space="preserve">Retainage</t>
  </si>
  <si>
    <t xml:space="preserve">retainage</t>
  </si>
  <si>
    <t xml:space="preserve">JDR AR retainage</t>
  </si>
  <si>
    <t xml:space="preserve">Retainage % of Revenue</t>
  </si>
  <si>
    <t xml:space="preserve">retainage_pct</t>
  </si>
  <si>
    <t xml:space="preserve">Labor Cost</t>
  </si>
  <si>
    <t xml:space="preserve">labor_cost</t>
  </si>
  <si>
    <t xml:space="preserve">Codes 100-151</t>
  </si>
  <si>
    <t xml:space="preserve">Material Cost</t>
  </si>
  <si>
    <t xml:space="preserve">material_cost</t>
  </si>
  <si>
    <t xml:space="preserve">Codes 210-245</t>
  </si>
  <si>
    <t xml:space="preserve">Overhead Cost</t>
  </si>
  <si>
    <t xml:space="preserve">overhead_cost</t>
  </si>
  <si>
    <t xml:space="preserve">Codes 600-607</t>
  </si>
  <si>
    <t xml:space="preserve">Burden Cost</t>
  </si>
  <si>
    <t xml:space="preserve">burden_cost</t>
  </si>
  <si>
    <t xml:space="preserve">Code 995</t>
  </si>
  <si>
    <t xml:space="preserve">Tax Cost</t>
  </si>
  <si>
    <t xml:space="preserve">tax_cost</t>
  </si>
  <si>
    <t xml:space="preserve">Code 998</t>
  </si>
  <si>
    <t xml:space="preserve">total_hours</t>
  </si>
  <si>
    <t xml:space="preserve">Sum labor codes</t>
  </si>
  <si>
    <t xml:space="preserve">total_workers</t>
  </si>
  <si>
    <t xml:space="preserve">Unique PR IDs</t>
  </si>
  <si>
    <t xml:space="preserve">Blended Gross Wage</t>
  </si>
  <si>
    <t xml:space="preserve">blended_wage</t>
  </si>
  <si>
    <t xml:space="preserve">Fully-Loaded Wage</t>
  </si>
  <si>
    <t xml:space="preserve">loaded_wage</t>
  </si>
  <si>
    <t xml:space="preserve">burden_mult</t>
  </si>
  <si>
    <t xml:space="preserve">Rough-in Hours</t>
  </si>
  <si>
    <t xml:space="preserve">roughin_hours</t>
  </si>
  <si>
    <t xml:space="preserve">Code 120</t>
  </si>
  <si>
    <t xml:space="preserve">Finish Hours</t>
  </si>
  <si>
    <t xml:space="preserve">finish_hours</t>
  </si>
  <si>
    <t xml:space="preserve">Code 130</t>
  </si>
  <si>
    <t xml:space="preserve">Revenue per Hour</t>
  </si>
  <si>
    <t xml:space="preserve">rev_per_hour</t>
  </si>
  <si>
    <t xml:space="preserve">Productivity</t>
  </si>
  <si>
    <t xml:space="preserve">Profit per Hour</t>
  </si>
  <si>
    <t xml:space="preserve">profit_per_hour</t>
  </si>
  <si>
    <t xml:space="preserve">Revenue per Unit</t>
  </si>
  <si>
    <t xml:space="preserve">rev_per_unit</t>
  </si>
  <si>
    <t xml:space="preserve">cost_per_unit</t>
  </si>
  <si>
    <t xml:space="preserve">Hours per Unit</t>
  </si>
  <si>
    <t xml:space="preserve">hours_per_unit</t>
  </si>
  <si>
    <t xml:space="preserve">rev_per_fixture</t>
  </si>
  <si>
    <t xml:space="preserve">labor_pct</t>
  </si>
  <si>
    <t xml:space="preserve">Cost Mix</t>
  </si>
  <si>
    <t xml:space="preserve">material_pct</t>
  </si>
  <si>
    <t xml:space="preserve">Total Vendors</t>
  </si>
  <si>
    <t xml:space="preserve">total_vendors</t>
  </si>
  <si>
    <t xml:space="preserve">Total Invoices</t>
  </si>
  <si>
    <t xml:space="preserve">total_invoices</t>
  </si>
  <si>
    <t xml:space="preserve">Billing</t>
  </si>
  <si>
    <t xml:space="preserve">Top Worker Share</t>
  </si>
  <si>
    <t xml:space="preserve">top_worker_share</t>
  </si>
  <si>
    <t xml:space="preserve">Crew</t>
  </si>
  <si>
    <t xml:space="preserve">Top 5 Worker Share</t>
  </si>
  <si>
    <t xml:space="preserve">top5_worker_share</t>
  </si>
  <si>
    <t xml:space="preserve">Cost Codes Active</t>
  </si>
  <si>
    <t xml:space="preserve">cost_code_count</t>
  </si>
  <si>
    <t xml:space="preserve">Structure</t>
  </si>
  <si>
    <t xml:space="preserve">Executed CO Count</t>
  </si>
  <si>
    <t xml:space="preserve">executed_co_count</t>
  </si>
  <si>
    <t xml:space="preserve">Documents</t>
  </si>
  <si>
    <t xml:space="preserve">CO log</t>
  </si>
  <si>
    <t xml:space="preserve">COR Count</t>
  </si>
  <si>
    <t xml:space="preserve">cor_count</t>
  </si>
  <si>
    <t xml:space="preserve">GDrive COR folder</t>
  </si>
  <si>
    <t xml:space="preserve">RFI/ASI Count</t>
  </si>
  <si>
    <t xml:space="preserve">rfi_asi_count</t>
  </si>
  <si>
    <t xml:space="preserve">GDrive ASI-RFI folder</t>
  </si>
  <si>
    <t xml:space="preserve">Submittal Count</t>
  </si>
  <si>
    <t xml:space="preserve">submittal_count</t>
  </si>
  <si>
    <t xml:space="preserve">GDrive Submittals</t>
  </si>
  <si>
    <t xml:space="preserve">PO Total (all)</t>
  </si>
  <si>
    <t xml:space="preserve">po_count_total</t>
  </si>
  <si>
    <t xml:space="preserve">placed+scheduled+completed</t>
  </si>
  <si>
    <t xml:space="preserve">GDrive POs</t>
  </si>
  <si>
    <t xml:space="preserve">Vendors — AP Summary</t>
  </si>
  <si>
    <t xml:space="preserve">Vendor-level spend ranking</t>
  </si>
  <si>
    <t xml:space="preserve">Rank</t>
  </si>
  <si>
    <t xml:space="preserve">% of AP</t>
  </si>
  <si>
    <t xml:space="preserve">Change Log — Master Register</t>
  </si>
  <si>
    <t xml:space="preserve">Contract, 8 executed COs, retainage events — JDR + GDrive CO folder</t>
  </si>
  <si>
    <t xml:space="preserve">Event ID</t>
  </si>
  <si>
    <t xml:space="preserve">Subject</t>
  </si>
  <si>
    <t xml:space="preserve">Originator</t>
  </si>
  <si>
    <t xml:space="preserve">Cost Impact ($)</t>
  </si>
  <si>
    <t xml:space="preserve">CONTRACT-ORIG</t>
  </si>
  <si>
    <t xml:space="preserve">Contract</t>
  </si>
  <si>
    <t xml:space="preserve">Prime subcontract — Lump Sum $897,800.00</t>
  </si>
  <si>
    <t xml:space="preserve">FIRST-INVOICE</t>
  </si>
  <si>
    <t xml:space="preserve">Invoice</t>
  </si>
  <si>
    <t xml:space="preserve">First billing (per JDR)</t>
  </si>
  <si>
    <t xml:space="preserve">Sub (OWP)</t>
  </si>
  <si>
    <t xml:space="preserve">Paid</t>
  </si>
  <si>
    <t xml:space="preserve">LAST-INVOICE</t>
  </si>
  <si>
    <t xml:space="preserve">Last billing (per JDR)</t>
  </si>
  <si>
    <t xml:space="preserve">RETAINAGE-OPEN</t>
  </si>
  <si>
    <t xml:space="preserve">As of 04/03/2026</t>
  </si>
  <si>
    <t xml:space="preserve">Retainage $45,928.30 (outstanding)</t>
  </si>
  <si>
    <t xml:space="preserve">Outstanding</t>
  </si>
  <si>
    <t xml:space="preserve">Root Cause Analysis</t>
  </si>
  <si>
    <t xml:space="preserve">Primary variance drivers by category</t>
  </si>
  <si>
    <t xml:space="preserve">Codes</t>
  </si>
  <si>
    <t xml:space="preserve">Net $ Variance</t>
  </si>
  <si>
    <t xml:space="preserve">Root Cause (inferred)</t>
  </si>
  <si>
    <t xml:space="preserve">Contract Change</t>
  </si>
  <si>
    <t xml:space="preserve">999 (Sales)</t>
  </si>
  <si>
    <t xml:space="preserve">JDR-implied net CO impact</t>
  </si>
  <si>
    <t xml:space="preserve">$897,800 → $918,566 (8 executed COs)</t>
  </si>
  <si>
    <t xml:space="preserve">100,101,110,111,112,120,130,140,141,142,143,145,150</t>
  </si>
  <si>
    <t xml:space="preserve">Labor variance vs revised budget</t>
  </si>
  <si>
    <t xml:space="preserve">210,211,212,213,220,230,240,241,242,243,244,245</t>
  </si>
  <si>
    <t xml:space="preserve">Material procurement variance</t>
  </si>
  <si>
    <t xml:space="preserve">23 vendors</t>
  </si>
  <si>
    <t xml:space="preserve">600,601,602,603,604,607</t>
  </si>
  <si>
    <t xml:space="preserve">Engineering/permits/subcon variance</t>
  </si>
  <si>
    <t xml:space="preserve">Burden+Tax</t>
  </si>
  <si>
    <t xml:space="preserve">995+998</t>
  </si>
  <si>
    <t xml:space="preserve">Payroll accrual tracking labor</t>
  </si>
  <si>
    <t xml:space="preserve">TOTAL NET VARIANCE</t>
  </si>
  <si>
    <t xml:space="preserve">RESPONSIBILITY ATTRIBUTION</t>
  </si>
  <si>
    <t xml:space="preserve">Responsible Party</t>
  </si>
  <si>
    <t xml:space="preserve"># Drivers</t>
  </si>
  <si>
    <t xml:space="preserve">Net $ Impact</t>
  </si>
  <si>
    <t xml:space="preserve">GC / Owner (scope changes)</t>
  </si>
  <si>
    <t xml:space="preserve">Aggregate executed COs</t>
  </si>
  <si>
    <t xml:space="preserve">Sub (OWP) labor performance</t>
  </si>
  <si>
    <t xml:space="preserve">Hours + rate vs budget</t>
  </si>
  <si>
    <t xml:space="preserve">Sub (OWP) material procurement</t>
  </si>
  <si>
    <t xml:space="preserve">OWP burden accrual</t>
  </si>
  <si>
    <t xml:space="preserve">Payroll burden + tax</t>
  </si>
  <si>
    <t xml:space="preserve">OWP overhead</t>
  </si>
  <si>
    <t xml:space="preserve">Engineering/permits/subcon</t>
  </si>
  <si>
    <t xml:space="preserve">Predictive Signals</t>
  </si>
  <si>
    <t xml:space="preserve">Leading indicators from JDR + CO log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</si>
  <si>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</si>
  <si>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</si>
  <si>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</si>
  <si>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</si>
  <si>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Meaning</t>
  </si>
  <si>
    <t xml:space="preserve">Contract Change %</t>
  </si>
  <si>
    <t xml:space="preserve">2.31%</t>
  </si>
  <si>
    <t xml:space="preserve">±10%</t>
  </si>
  <si>
    <t xml:space="preserve">HEALTHY</t>
  </si>
  <si>
    <t xml:space="preserve">+2.31% net (8 COs)</t>
  </si>
  <si>
    <t xml:space="preserve">&lt;30%</t>
  </si>
  <si>
    <t xml:space="preserve">17.8%</t>
  </si>
  <si>
    <t xml:space="preserve">GL Overhead % of Revenue</t>
  </si>
  <si>
    <t xml:space="preserve">&lt;5%</t>
  </si>
  <si>
    <t xml:space="preserve">2.5%</t>
  </si>
  <si>
    <t xml:space="preserve">Vendor Concentration (Top 5)</t>
  </si>
  <si>
    <t xml:space="preserve">&lt;95%</t>
  </si>
  <si>
    <t xml:space="preserve">Top 5 = 83% of AP</t>
  </si>
  <si>
    <t xml:space="preserve">Retainage %</t>
  </si>
  <si>
    <t xml:space="preserve">&lt;10%</t>
  </si>
  <si>
    <t xml:space="preserve">5.0%</t>
  </si>
  <si>
    <t xml:space="preserve">&gt;30%</t>
  </si>
  <si>
    <t xml:space="preserve">46.5%</t>
  </si>
  <si>
    <t xml:space="preserve">Labor Hrs Total</t>
  </si>
  <si>
    <t xml:space="preserve">varies</t>
  </si>
  <si>
    <t xml:space="preserve">INFO</t>
  </si>
  <si>
    <t xml:space="preserve">5,764 hrs, 22 workers</t>
  </si>
  <si>
    <t xml:space="preserve">Worker Concentration (top 1)</t>
  </si>
  <si>
    <t xml:space="preserve">&lt;25%</t>
  </si>
  <si>
    <t xml:space="preserve">17.6% (Wilson, Garret A)</t>
  </si>
  <si>
    <t xml:space="preserve">Rough-in Labor Share</t>
  </si>
  <si>
    <t xml:space="preserve">40-65%</t>
  </si>
  <si>
    <t xml:space="preserve">50%</t>
  </si>
  <si>
    <t xml:space="preserve">Retainage Legacy</t>
  </si>
  <si>
    <t xml:space="preserve">OUTSTANDING</t>
  </si>
  <si>
    <t xml:space="preserve">&lt;90 days post-closeout</t>
  </si>
  <si>
    <t xml:space="preserve">WATCH</t>
  </si>
  <si>
    <t xml:space="preserve">$45,928.30</t>
  </si>
  <si>
    <t xml:space="preserve">FORECAST MODELS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</si>
  <si>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</si>
  <si>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</si>
  <si>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</si>
  <si>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</si>
  <si>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Final margin (actual)</t>
  </si>
  <si>
    <t xml:space="preserve">Job closed</t>
  </si>
  <si>
    <t xml:space="preserve">Retainage collection</t>
  </si>
  <si>
    <t xml:space="preserve">Legacy</t>
  </si>
  <si>
    <t xml:space="preserve">Unit-level economics</t>
  </si>
  <si>
    <t xml:space="preserve">$18,371/unit rev, $8,536/unit profit</t>
  </si>
  <si>
    <t xml:space="preserve">Metric Registry — Cortex Data Catalog</t>
  </si>
  <si>
    <t xml:space="preserve">Every metric with data_label, confidence, and source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</si>
  <si>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</si>
  <si>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</si>
  <si>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</si>
  <si>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</si>
  <si>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</si>
  <si>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id</t>
  </si>
  <si>
    <t xml:space="preserve">text</t>
  </si>
  <si>
    <t xml:space="preserve">date</t>
  </si>
  <si>
    <t xml:space="preserve">months</t>
  </si>
  <si>
    <t xml:space="preserve">units</t>
  </si>
  <si>
    <t xml:space="preserve">count</t>
  </si>
  <si>
    <t xml:space="preserve">hours</t>
  </si>
  <si>
    <t xml:space="preserve">Reconciliation</t>
  </si>
  <si>
    <t xml:space="preserve">Cross-sheet formula checks</t>
  </si>
  <si>
    <t xml:space="preserve">Check</t>
  </si>
  <si>
    <t xml:space="preserve">Value A</t>
  </si>
  <si>
    <t xml:space="preserve">Value B</t>
  </si>
  <si>
    <t xml:space="preserve">Delta</t>
  </si>
  <si>
    <t xml:space="preserve">Tabs</t>
  </si>
  <si>
    <t xml:space="preserve">Revenue = Contract Final</t>
  </si>
  <si>
    <t xml:space="preserve">1↔8</t>
  </si>
  <si>
    <t xml:space="preserve">Expenses = Labor+Mat+OH+Burden+Tax</t>
  </si>
  <si>
    <t xml:space="preserve">1↔3</t>
  </si>
  <si>
    <t xml:space="preserve">Net Profit = Revenue - Expenses</t>
  </si>
  <si>
    <t xml:space="preserve">1↔Derived</t>
  </si>
  <si>
    <t xml:space="preserve">Sage 999 actual = -Revenue</t>
  </si>
  <si>
    <t xml:space="preserve">2↔1</t>
  </si>
  <si>
    <t xml:space="preserve">Total Hours = Worker hours sum</t>
  </si>
  <si>
    <t xml:space="preserve">5↔2</t>
  </si>
  <si>
    <t xml:space="preserve">Contract Final - Orig = CO implied</t>
  </si>
  <si>
    <t xml:space="preserve">11↔Derived</t>
  </si>
  <si>
    <t xml:space="preserve">Worker count</t>
  </si>
  <si>
    <t xml:space="preserve">5↔1</t>
  </si>
  <si>
    <t xml:space="preserve">Cost code count</t>
  </si>
  <si>
    <t xml:space="preserve">2↔16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</si>
</sst>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#,##0.00"/>
    <numFmt numFmtId="167" formatCode="\$#,##0"/>
    <numFmt numFmtId="168" formatCode="\$#,##0.00;&quot;($&quot;#,##0.00\);\-"/>
    <numFmt numFmtId="169" formatCode="0.0%"/>
    <numFmt numFmtId="170" formatCode="#,##0"/>
    <numFmt numFmtId="171" formatCode="0.00\x"/>
    <numFmt numFmtId="172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sz val="11"/>
      <color rgb="FF6B6B65"/>
      <name val="Calibri"/>
      <family val="0"/>
      <charset val="1"/>
    </font>
    <font>
      <b val="true"/>
      <sz val="9"/>
      <color rgb="FF9E9E97"/>
      <name val="Calibri"/>
      <family val="0"/>
      <charset val="1"/>
    </font>
    <font>
      <sz val="10"/>
      <color rgb="FF6B6B65"/>
      <name val="Calibri"/>
      <family val="0"/>
      <charset val="1"/>
    </font>
    <font>
      <sz val="10"/>
      <color rgb="FF191917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10"/>
      <color rgb="FF191917"/>
      <name val="Calibri"/>
      <family val="0"/>
      <charset val="1"/>
    </font>
    <font>
      <b val="true"/>
      <sz val="9"/>
      <color rgb="FF92400E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FEFEF"/>
      </patternFill>
    </fill>
    <fill>
      <patternFill patternType="solid">
        <fgColor rgb="FFFBFAF7"/>
        <bgColor rgb="FFFFFFFF"/>
      </patternFill>
    </fill>
    <fill>
      <patternFill patternType="solid">
        <fgColor rgb="FF2E5090"/>
        <bgColor rgb="FF1F3864"/>
      </patternFill>
    </fill>
    <fill>
      <patternFill patternType="solid">
        <fgColor rgb="FFDCFCE7"/>
        <bgColor rgb="FFEFEFEF"/>
      </patternFill>
    </fill>
    <fill>
      <patternFill patternType="solid">
        <fgColor rgb="FFEFEFEF"/>
        <bgColor rgb="FFF2F2F2"/>
      </patternFill>
    </fill>
    <fill>
      <patternFill patternType="solid">
        <fgColor rgb="FFFEF3C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F2F2F2"/>
      <rgbColor rgb="FFFBFA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5"/>
      <rgbColor rgb="FF9E9E97"/>
      <rgbColor rgb="FF1F3864"/>
      <rgbColor rgb="FF339966"/>
      <rgbColor rgb="FF191917"/>
      <rgbColor rgb="FF333300"/>
      <rgbColor rgb="FF92400E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0</v>
      </c>
    </row>
    <row r="3" customFormat="false" ht="21.75" hidden="false" customHeight="true" outlineLevel="0" collapsed="false">
      <c r="B3" s="2" t="s">
        <v>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5"/>
      <c r="E6" s="5"/>
      <c r="F6" s="5" t="s">
        <v>5</v>
      </c>
      <c r="G6" s="5"/>
      <c r="H6" s="5"/>
      <c r="I6" s="5"/>
      <c r="J6" s="5"/>
    </row>
    <row r="7" customFormat="false" ht="15" hidden="false" customHeight="false" outlineLevel="0" collapsed="false">
      <c r="B7" s="6" t="s">
        <v>6</v>
      </c>
      <c r="C7" s="7" t="s">
        <v>7</v>
      </c>
      <c r="D7" s="7"/>
      <c r="E7" s="7"/>
      <c r="F7" s="7" t="s">
        <v>5</v>
      </c>
      <c r="G7" s="7"/>
      <c r="H7" s="7"/>
      <c r="I7" s="7"/>
      <c r="J7" s="7"/>
    </row>
    <row r="8" customFormat="false" ht="15" hidden="false" customHeight="false" outlineLevel="0" collapsed="false">
      <c r="B8" s="4" t="s">
        <v>8</v>
      </c>
      <c r="C8" s="5" t="s">
        <v>9</v>
      </c>
      <c r="D8" s="5"/>
      <c r="E8" s="5"/>
      <c r="F8" s="5" t="s">
        <v>10</v>
      </c>
      <c r="G8" s="5"/>
      <c r="H8" s="5"/>
      <c r="I8" s="5"/>
      <c r="J8" s="5"/>
    </row>
    <row r="9" customFormat="false" ht="15" hidden="false" customHeight="false" outlineLevel="0" collapsed="false">
      <c r="B9" s="6" t="s">
        <v>11</v>
      </c>
      <c r="C9" s="7" t="s">
        <v>12</v>
      </c>
      <c r="D9" s="7"/>
      <c r="E9" s="7"/>
      <c r="F9" s="7" t="s">
        <v>13</v>
      </c>
      <c r="G9" s="7"/>
      <c r="H9" s="7"/>
      <c r="I9" s="7"/>
      <c r="J9" s="7"/>
    </row>
    <row r="10" customFormat="false" ht="15" hidden="false" customHeight="false" outlineLevel="0" collapsed="false">
      <c r="B10" s="4" t="s">
        <v>14</v>
      </c>
      <c r="C10" s="5" t="s">
        <v>15</v>
      </c>
      <c r="D10" s="5"/>
      <c r="E10" s="5"/>
      <c r="F10" s="5" t="s">
        <v>5</v>
      </c>
      <c r="G10" s="5"/>
      <c r="H10" s="5"/>
      <c r="I10" s="5"/>
      <c r="J10" s="5"/>
    </row>
    <row r="11" customFormat="false" ht="15" hidden="false" customHeight="false" outlineLevel="0" collapsed="false">
      <c r="B11" s="6" t="s">
        <v>16</v>
      </c>
      <c r="C11" s="7" t="s">
        <v>17</v>
      </c>
      <c r="D11" s="7"/>
      <c r="E11" s="7"/>
      <c r="F11" s="7" t="s">
        <v>13</v>
      </c>
      <c r="G11" s="7"/>
      <c r="H11" s="7"/>
      <c r="I11" s="7"/>
      <c r="J11" s="7"/>
    </row>
    <row r="12" customFormat="false" ht="15" hidden="false" customHeight="false" outlineLevel="0" collapsed="false">
      <c r="B12" s="4" t="s">
        <v>18</v>
      </c>
      <c r="C12" s="5" t="s">
        <v>19</v>
      </c>
      <c r="D12" s="5"/>
      <c r="E12" s="5"/>
      <c r="F12" s="5" t="s">
        <v>20</v>
      </c>
      <c r="G12" s="5"/>
      <c r="H12" s="5"/>
      <c r="I12" s="5"/>
      <c r="J12" s="5"/>
    </row>
    <row r="13" customFormat="false" ht="15" hidden="false" customHeight="false" outlineLevel="0" collapsed="false">
      <c r="B13" s="6" t="s">
        <v>21</v>
      </c>
      <c r="C13" s="7" t="s">
        <v>22</v>
      </c>
      <c r="D13" s="7"/>
      <c r="E13" s="7"/>
      <c r="F13" s="7" t="s">
        <v>20</v>
      </c>
      <c r="G13" s="7"/>
      <c r="H13" s="7"/>
      <c r="I13" s="7"/>
      <c r="J13" s="7"/>
    </row>
    <row r="14" customFormat="false" ht="15" hidden="false" customHeight="false" outlineLevel="0" collapsed="false">
      <c r="B14" s="4" t="s">
        <v>23</v>
      </c>
      <c r="C14" s="5" t="s">
        <v>24</v>
      </c>
      <c r="D14" s="5"/>
      <c r="E14" s="5"/>
      <c r="F14" s="5" t="s">
        <v>20</v>
      </c>
      <c r="G14" s="5"/>
      <c r="H14" s="5"/>
      <c r="I14" s="5"/>
      <c r="J14" s="5"/>
    </row>
    <row r="15" customFormat="false" ht="15" hidden="false" customHeight="false" outlineLevel="0" collapsed="false">
      <c r="B15" s="6" t="s">
        <v>25</v>
      </c>
      <c r="C15" s="7" t="s">
        <v>26</v>
      </c>
      <c r="D15" s="7"/>
      <c r="E15" s="7"/>
      <c r="F15" s="7" t="s">
        <v>20</v>
      </c>
      <c r="G15" s="7"/>
      <c r="H15" s="7"/>
      <c r="I15" s="7"/>
      <c r="J15" s="7"/>
    </row>
    <row r="16" customFormat="false" ht="15" hidden="false" customHeight="false" outlineLevel="0" collapsed="false">
      <c r="B16" s="4" t="s">
        <v>27</v>
      </c>
      <c r="C16" s="5" t="s">
        <v>28</v>
      </c>
      <c r="D16" s="5"/>
      <c r="E16" s="5"/>
      <c r="F16" s="5" t="s">
        <v>13</v>
      </c>
      <c r="G16" s="5"/>
      <c r="H16" s="5"/>
      <c r="I16" s="5"/>
      <c r="J16" s="5"/>
    </row>
    <row r="17" customFormat="false" ht="15" hidden="false" customHeight="false" outlineLevel="0" collapsed="false">
      <c r="B17" s="6" t="s">
        <v>29</v>
      </c>
      <c r="C17" s="7" t="s">
        <v>30</v>
      </c>
      <c r="D17" s="7"/>
      <c r="E17" s="7"/>
      <c r="F17" s="7" t="s">
        <v>13</v>
      </c>
      <c r="G17" s="7"/>
      <c r="H17" s="7"/>
      <c r="I17" s="7"/>
      <c r="J17" s="7"/>
    </row>
    <row r="18" customFormat="false" ht="15" hidden="false" customHeight="false" outlineLevel="0" collapsed="false">
      <c r="B18" s="4" t="s">
        <v>31</v>
      </c>
      <c r="C18" s="5" t="s">
        <v>32</v>
      </c>
      <c r="D18" s="5"/>
      <c r="E18" s="5"/>
      <c r="F18" s="5" t="s">
        <v>33</v>
      </c>
      <c r="G18" s="5"/>
      <c r="H18" s="5"/>
      <c r="I18" s="5"/>
      <c r="J18" s="5"/>
    </row>
    <row r="19" customFormat="false" ht="15" hidden="false" customHeight="false" outlineLevel="0" collapsed="false">
      <c r="B19" s="6" t="s">
        <v>34</v>
      </c>
      <c r="C19" s="7" t="s">
        <v>35</v>
      </c>
      <c r="D19" s="7"/>
      <c r="E19" s="7"/>
      <c r="F19" s="7" t="s">
        <v>36</v>
      </c>
      <c r="G19" s="7"/>
      <c r="H19" s="7"/>
      <c r="I19" s="7"/>
      <c r="J19" s="7"/>
    </row>
    <row r="20" customFormat="false" ht="15" hidden="false" customHeight="false" outlineLevel="0" collapsed="false">
      <c r="B20" s="4" t="s">
        <v>37</v>
      </c>
      <c r="C20" s="5" t="s">
        <v>38</v>
      </c>
      <c r="D20" s="5"/>
      <c r="E20" s="5"/>
      <c r="F20" s="5" t="s">
        <v>20</v>
      </c>
      <c r="G20" s="5"/>
      <c r="H20" s="5"/>
      <c r="I20" s="5"/>
      <c r="J20" s="5"/>
    </row>
    <row r="21" customFormat="false" ht="15" hidden="false" customHeight="false" outlineLevel="0" collapsed="false">
      <c r="B21" s="6" t="s">
        <v>39</v>
      </c>
      <c r="C21" s="7" t="n">
        <v>50</v>
      </c>
      <c r="D21" s="7"/>
      <c r="E21" s="7"/>
      <c r="F21" s="7" t="s">
        <v>40</v>
      </c>
      <c r="G21" s="7"/>
      <c r="H21" s="7"/>
      <c r="I21" s="7"/>
      <c r="J21" s="7"/>
    </row>
    <row r="22" customFormat="false" ht="15" hidden="false" customHeight="false" outlineLevel="0" collapsed="false">
      <c r="B22" s="4" t="s">
        <v>41</v>
      </c>
      <c r="C22" s="5" t="s">
        <v>42</v>
      </c>
      <c r="D22" s="5"/>
      <c r="E22" s="5"/>
      <c r="F22" s="5" t="s">
        <v>43</v>
      </c>
      <c r="G22" s="5"/>
      <c r="H22" s="5"/>
      <c r="I22" s="5"/>
      <c r="J22" s="5"/>
    </row>
    <row r="24" customFormat="false" ht="15" hidden="false" customHeight="false" outlineLevel="0" collapsed="false">
      <c r="B24" s="8" t="s">
        <v>44</v>
      </c>
      <c r="D24" s="8" t="s">
        <v>45</v>
      </c>
      <c r="F24" s="8" t="s">
        <v>46</v>
      </c>
      <c r="H24" s="8" t="s">
        <v>47</v>
      </c>
    </row>
    <row r="25" customFormat="false" ht="15" hidden="false" customHeight="false" outlineLevel="0" collapsed="false">
      <c r="B25" s="9" t="n">
        <v>918566</v>
      </c>
      <c r="D25" s="9" t="n">
        <v>426809.1</v>
      </c>
      <c r="F25" s="9" t="n">
        <v>491756.9</v>
      </c>
      <c r="H25" s="10" t="n">
        <v>5763.5</v>
      </c>
    </row>
    <row r="26" customFormat="false" ht="15" hidden="false" customHeight="false" outlineLevel="0" collapsed="false">
      <c r="B26" s="11" t="s">
        <v>48</v>
      </c>
      <c r="D26" s="11" t="s">
        <v>49</v>
      </c>
      <c r="F26" s="11" t="s">
        <v>50</v>
      </c>
      <c r="H26" s="11" t="s">
        <v>51</v>
      </c>
    </row>
    <row r="28" customFormat="false" ht="15" hidden="false" customHeight="false" outlineLevel="0" collapsed="false">
      <c r="B28" s="3" t="s">
        <v>52</v>
      </c>
    </row>
    <row r="29" customFormat="false" ht="15" hidden="false" customHeight="false" outlineLevel="0" collapsed="false">
      <c r="B29" s="5" t="s">
        <v>53</v>
      </c>
      <c r="C29" s="5"/>
      <c r="D29" s="5"/>
      <c r="E29" s="5"/>
      <c r="F29" s="5"/>
      <c r="G29" s="5"/>
      <c r="H29" s="5"/>
      <c r="I29" s="5"/>
      <c r="J29" s="5"/>
    </row>
    <row r="30" customFormat="false" ht="15" hidden="false" customHeight="false" outlineLevel="0" collapsed="false">
      <c r="B30" s="5" t="s">
        <v>54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B31" s="5" t="s">
        <v>55</v>
      </c>
      <c r="C31" s="5"/>
      <c r="D31" s="5"/>
      <c r="E31" s="5"/>
      <c r="F31" s="5"/>
      <c r="G31" s="5"/>
      <c r="H31" s="5"/>
      <c r="I31" s="5"/>
      <c r="J31" s="5"/>
    </row>
    <row r="32" customFormat="false" ht="15" hidden="false" customHeight="false" outlineLevel="0" collapsed="false">
      <c r="B32" s="5" t="s">
        <v>56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false" outlineLevel="0" collapsed="false">
      <c r="B33" s="5" t="s">
        <v>57</v>
      </c>
      <c r="C33" s="5"/>
      <c r="D33" s="5"/>
      <c r="E33" s="5"/>
      <c r="F33" s="5"/>
      <c r="G33" s="5"/>
      <c r="H33" s="5"/>
      <c r="I33" s="5"/>
      <c r="J33" s="5"/>
    </row>
    <row r="35" customFormat="false" ht="15" hidden="false" customHeight="false" outlineLevel="0" collapsed="false">
      <c r="B35" s="12" t="s">
        <v>58</v>
      </c>
    </row>
    <row r="36" customFormat="false" ht="15" hidden="false" customHeight="false" outlineLevel="0" collapsed="false">
      <c r="B36" s="5" t="s">
        <v>59</v>
      </c>
      <c r="C36" s="5"/>
      <c r="D36" s="5"/>
      <c r="E36" s="5"/>
      <c r="F36" s="5"/>
      <c r="G36" s="5"/>
      <c r="H36" s="5"/>
      <c r="I36" s="5"/>
      <c r="J36" s="5"/>
    </row>
    <row r="37" customFormat="false" ht="15" hidden="false" customHeight="false" outlineLevel="0" collapsed="false">
      <c r="B37" s="5" t="s">
        <v>60</v>
      </c>
      <c r="C37" s="5"/>
      <c r="D37" s="5"/>
      <c r="E37" s="5"/>
      <c r="F37" s="5"/>
      <c r="G37" s="5"/>
      <c r="H37" s="5"/>
      <c r="I37" s="5"/>
      <c r="J37" s="5"/>
    </row>
    <row r="38" customFormat="false" ht="15" hidden="false" customHeight="false" outlineLevel="0" collapsed="false">
      <c r="B38" s="5" t="s">
        <v>61</v>
      </c>
      <c r="C38" s="5"/>
      <c r="D38" s="5"/>
      <c r="E38" s="5"/>
      <c r="F38" s="5"/>
      <c r="G38" s="5"/>
      <c r="H38" s="5"/>
      <c r="I38" s="5"/>
      <c r="J38" s="5"/>
    </row>
    <row r="39" customFormat="false" ht="15" hidden="false" customHeight="false" outlineLevel="0" collapsed="false">
      <c r="B39" s="5" t="s">
        <v>62</v>
      </c>
      <c r="C39" s="5"/>
      <c r="D39" s="5"/>
      <c r="E39" s="5"/>
      <c r="F39" s="5"/>
      <c r="G39" s="5"/>
      <c r="H39" s="5"/>
      <c r="I39" s="5"/>
      <c r="J39" s="5"/>
    </row>
    <row r="40" customFormat="false" ht="15" hidden="false" customHeight="false" outlineLevel="0" collapsed="false">
      <c r="B40" s="5" t="s">
        <v>63</v>
      </c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false" outlineLevel="0" collapsed="false">
      <c r="B41" s="5" t="s">
        <v>64</v>
      </c>
      <c r="C41" s="5"/>
      <c r="D41" s="5"/>
      <c r="E41" s="5"/>
      <c r="F41" s="5"/>
      <c r="G41" s="5"/>
      <c r="H41" s="5"/>
      <c r="I41" s="5"/>
      <c r="J41" s="5"/>
    </row>
    <row r="43" customFormat="false" ht="15" hidden="false" customHeight="false" outlineLevel="0" collapsed="false">
      <c r="B43" s="3" t="s">
        <v>65</v>
      </c>
    </row>
    <row r="44" customFormat="false" ht="15" hidden="false" customHeight="false" outlineLevel="0" collapsed="false">
      <c r="B44" s="3" t="s">
        <v>66</v>
      </c>
      <c r="C44" s="3" t="s">
        <v>67</v>
      </c>
      <c r="D44" s="3" t="s">
        <v>68</v>
      </c>
    </row>
    <row r="45" customFormat="false" ht="15" hidden="false" customHeight="false" outlineLevel="0" collapsed="false">
      <c r="B45" s="11" t="s">
        <v>69</v>
      </c>
      <c r="C45" s="13" t="s">
        <v>70</v>
      </c>
      <c r="D45" s="5" t="s">
        <v>12</v>
      </c>
      <c r="E45" s="5"/>
      <c r="F45" s="5"/>
      <c r="G45" s="5"/>
      <c r="H45" s="5"/>
      <c r="I45" s="5"/>
      <c r="J45" s="5"/>
    </row>
    <row r="46" customFormat="false" ht="15" hidden="false" customHeight="false" outlineLevel="0" collapsed="false">
      <c r="B46" s="11" t="s">
        <v>18</v>
      </c>
      <c r="C46" s="13" t="s">
        <v>70</v>
      </c>
      <c r="D46" s="5" t="s">
        <v>19</v>
      </c>
      <c r="E46" s="5"/>
      <c r="F46" s="5"/>
      <c r="G46" s="5"/>
      <c r="H46" s="5"/>
      <c r="I46" s="5"/>
      <c r="J46" s="5"/>
    </row>
    <row r="47" customFormat="false" ht="15" hidden="false" customHeight="false" outlineLevel="0" collapsed="false">
      <c r="B47" s="11" t="s">
        <v>21</v>
      </c>
      <c r="C47" s="13" t="s">
        <v>70</v>
      </c>
      <c r="D47" s="5" t="s">
        <v>22</v>
      </c>
      <c r="E47" s="5"/>
      <c r="F47" s="5"/>
      <c r="G47" s="5"/>
      <c r="H47" s="5"/>
      <c r="I47" s="5"/>
      <c r="J47" s="5"/>
    </row>
    <row r="48" customFormat="false" ht="15" hidden="false" customHeight="false" outlineLevel="0" collapsed="false">
      <c r="B48" s="11" t="s">
        <v>23</v>
      </c>
      <c r="C48" s="14" t="s">
        <v>24</v>
      </c>
      <c r="D48" s="5" t="s">
        <v>24</v>
      </c>
      <c r="E48" s="5"/>
      <c r="F48" s="5"/>
      <c r="G48" s="5"/>
      <c r="H48" s="5"/>
      <c r="I48" s="5"/>
      <c r="J48" s="5"/>
    </row>
    <row r="49" customFormat="false" ht="15" hidden="false" customHeight="false" outlineLevel="0" collapsed="false">
      <c r="B49" s="11" t="s">
        <v>71</v>
      </c>
      <c r="C49" s="13" t="s">
        <v>70</v>
      </c>
      <c r="D49" s="5" t="s">
        <v>17</v>
      </c>
      <c r="E49" s="5"/>
      <c r="F49" s="5"/>
      <c r="G49" s="5"/>
      <c r="H49" s="5"/>
      <c r="I49" s="5"/>
      <c r="J49" s="5"/>
    </row>
    <row r="50" customFormat="false" ht="15" hidden="false" customHeight="false" outlineLevel="0" collapsed="false">
      <c r="B50" s="11" t="s">
        <v>34</v>
      </c>
      <c r="C50" s="13" t="s">
        <v>70</v>
      </c>
      <c r="D50" s="5" t="s">
        <v>35</v>
      </c>
      <c r="E50" s="5"/>
      <c r="F50" s="5"/>
      <c r="G50" s="5"/>
      <c r="H50" s="5"/>
      <c r="I50" s="5"/>
      <c r="J50" s="5"/>
    </row>
    <row r="51" customFormat="false" ht="15" hidden="false" customHeight="false" outlineLevel="0" collapsed="false">
      <c r="B51" s="11" t="s">
        <v>72</v>
      </c>
      <c r="C51" s="14" t="s">
        <v>24</v>
      </c>
      <c r="D51" s="5" t="s">
        <v>24</v>
      </c>
      <c r="E51" s="5"/>
      <c r="F51" s="5"/>
      <c r="G51" s="5"/>
      <c r="H51" s="5"/>
      <c r="I51" s="5"/>
      <c r="J51" s="5"/>
    </row>
    <row r="52" customFormat="false" ht="15" hidden="false" customHeight="false" outlineLevel="0" collapsed="false">
      <c r="B52" s="11" t="s">
        <v>73</v>
      </c>
      <c r="C52" s="14" t="s">
        <v>24</v>
      </c>
      <c r="D52" s="5" t="s">
        <v>24</v>
      </c>
      <c r="E52" s="5"/>
      <c r="F52" s="5"/>
      <c r="G52" s="5"/>
      <c r="H52" s="5"/>
      <c r="I52" s="5"/>
      <c r="J52" s="5"/>
    </row>
    <row r="53" customFormat="false" ht="15" hidden="false" customHeight="false" outlineLevel="0" collapsed="false">
      <c r="B53" s="11" t="s">
        <v>74</v>
      </c>
      <c r="C53" s="14" t="s">
        <v>24</v>
      </c>
      <c r="D53" s="5" t="s">
        <v>24</v>
      </c>
      <c r="E53" s="5"/>
      <c r="F53" s="5"/>
      <c r="G53" s="5"/>
      <c r="H53" s="5"/>
      <c r="I53" s="5"/>
      <c r="J53" s="5"/>
    </row>
    <row r="54" customFormat="false" ht="15" hidden="false" customHeight="false" outlineLevel="0" collapsed="false">
      <c r="B54" s="11" t="s">
        <v>75</v>
      </c>
      <c r="C54" s="14" t="s">
        <v>24</v>
      </c>
      <c r="D54" s="5" t="s">
        <v>24</v>
      </c>
      <c r="E54" s="5"/>
      <c r="F54" s="5"/>
      <c r="G54" s="5"/>
      <c r="H54" s="5"/>
      <c r="I54" s="5"/>
      <c r="J54" s="5"/>
    </row>
    <row r="55" customFormat="false" ht="15" hidden="false" customHeight="false" outlineLevel="0" collapsed="false">
      <c r="B55" s="11" t="s">
        <v>76</v>
      </c>
      <c r="C55" s="14" t="s">
        <v>24</v>
      </c>
      <c r="D55" s="5" t="s">
        <v>24</v>
      </c>
      <c r="E55" s="5"/>
      <c r="F55" s="5"/>
      <c r="G55" s="5"/>
      <c r="H55" s="5"/>
      <c r="I55" s="5"/>
      <c r="J55" s="5"/>
    </row>
    <row r="56" customFormat="false" ht="15" hidden="false" customHeight="false" outlineLevel="0" collapsed="false">
      <c r="B56" s="11" t="s">
        <v>29</v>
      </c>
      <c r="C56" s="13" t="s">
        <v>70</v>
      </c>
      <c r="D56" s="5" t="s">
        <v>30</v>
      </c>
      <c r="E56" s="5"/>
      <c r="F56" s="5"/>
      <c r="G56" s="5"/>
      <c r="H56" s="5"/>
      <c r="I56" s="5"/>
      <c r="J56" s="5"/>
    </row>
    <row r="57" customFormat="false" ht="15" hidden="false" customHeight="false" outlineLevel="0" collapsed="false">
      <c r="B57" s="11" t="s">
        <v>25</v>
      </c>
      <c r="C57" s="13" t="s">
        <v>70</v>
      </c>
      <c r="D57" s="5" t="s">
        <v>26</v>
      </c>
      <c r="E57" s="5"/>
      <c r="F57" s="5"/>
      <c r="G57" s="5"/>
      <c r="H57" s="5"/>
      <c r="I57" s="5"/>
      <c r="J57" s="5"/>
    </row>
  </sheetData>
  <mergeCells count="58">
    <mergeCell ref="C6:E6"/>
    <mergeCell ref="F6:J6"/>
    <mergeCell ref="C7:E7"/>
    <mergeCell ref="F7:J7"/>
    <mergeCell ref="C8:E8"/>
    <mergeCell ref="F8:J8"/>
    <mergeCell ref="C9:E9"/>
    <mergeCell ref="F9:J9"/>
    <mergeCell ref="C10:E10"/>
    <mergeCell ref="F10:J10"/>
    <mergeCell ref="C11:E11"/>
    <mergeCell ref="F11:J11"/>
    <mergeCell ref="C12:E12"/>
    <mergeCell ref="F12:J12"/>
    <mergeCell ref="C13:E13"/>
    <mergeCell ref="F13:J13"/>
    <mergeCell ref="C14:E14"/>
    <mergeCell ref="F14:J14"/>
    <mergeCell ref="C15:E15"/>
    <mergeCell ref="F15:J15"/>
    <mergeCell ref="C16:E16"/>
    <mergeCell ref="F16:J16"/>
    <mergeCell ref="C17:E17"/>
    <mergeCell ref="F17:J17"/>
    <mergeCell ref="C18:E18"/>
    <mergeCell ref="F18:J18"/>
    <mergeCell ref="C19:E19"/>
    <mergeCell ref="F19:J19"/>
    <mergeCell ref="C20:E20"/>
    <mergeCell ref="F20:J20"/>
    <mergeCell ref="C21:E21"/>
    <mergeCell ref="F21:J21"/>
    <mergeCell ref="C22:E22"/>
    <mergeCell ref="F22:J22"/>
    <mergeCell ref="B29:J29"/>
    <mergeCell ref="B30:J30"/>
    <mergeCell ref="B31:J31"/>
    <mergeCell ref="B32:J32"/>
    <mergeCell ref="B33:J33"/>
    <mergeCell ref="B36:J36"/>
    <mergeCell ref="B37:J37"/>
    <mergeCell ref="B38:J38"/>
    <mergeCell ref="B39:J39"/>
    <mergeCell ref="B40:J40"/>
    <mergeCell ref="B41:J41"/>
    <mergeCell ref="D45:J45"/>
    <mergeCell ref="D46:J46"/>
    <mergeCell ref="D47:J47"/>
    <mergeCell ref="D48:J48"/>
    <mergeCell ref="D49:J49"/>
    <mergeCell ref="D50:J50"/>
    <mergeCell ref="D51:J51"/>
    <mergeCell ref="D52:J52"/>
    <mergeCell ref="D53:J53"/>
    <mergeCell ref="D54:J54"/>
    <mergeCell ref="D55:J55"/>
    <mergeCell ref="D56:J56"/>
    <mergeCell ref="D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77</v>
      </c>
    </row>
    <row r="3" customFormat="false" ht="21.75" hidden="false" customHeight="true" outlineLevel="0" collapsed="false">
      <c r="B3" s="2" t="s">
        <v>78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79</v>
      </c>
      <c r="C5" s="3" t="s">
        <v>80</v>
      </c>
      <c r="D5" s="3" t="s">
        <v>81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86</v>
      </c>
      <c r="J5" s="3" t="s">
        <v>87</v>
      </c>
    </row>
    <row r="6" customFormat="false" ht="15" hidden="false" customHeight="false" outlineLevel="0" collapsed="false">
      <c r="B6" s="11" t="s">
        <v>88</v>
      </c>
      <c r="C6" s="11" t="s">
        <v>89</v>
      </c>
      <c r="D6" s="15" t="n">
        <v>7000</v>
      </c>
      <c r="E6" s="15" t="n">
        <v>7050</v>
      </c>
      <c r="F6" s="9" t="n">
        <v>1419.75</v>
      </c>
      <c r="G6" s="16" t="n">
        <f aca="false">F6-E6</f>
        <v>-5630.25</v>
      </c>
      <c r="H6" s="17" t="n">
        <f aca="false">IF(E6=0,"",F6/E6)</f>
        <v>0.201382978723404</v>
      </c>
      <c r="I6" s="10" t="n">
        <v>26</v>
      </c>
      <c r="J6" s="11" t="s">
        <v>5</v>
      </c>
    </row>
    <row r="7" customFormat="false" ht="15" hidden="false" customHeight="false" outlineLevel="0" collapsed="false">
      <c r="B7" s="11" t="s">
        <v>90</v>
      </c>
      <c r="C7" s="11" t="s">
        <v>91</v>
      </c>
      <c r="D7" s="15" t="n">
        <v>9000</v>
      </c>
      <c r="E7" s="15" t="n">
        <v>9050</v>
      </c>
      <c r="F7" s="9" t="n">
        <v>8937.5</v>
      </c>
      <c r="G7" s="16" t="n">
        <f aca="false">F7-E7</f>
        <v>-112.5</v>
      </c>
      <c r="H7" s="17" t="n">
        <f aca="false">IF(E7=0,"",F7/E7)</f>
        <v>0.987569060773481</v>
      </c>
      <c r="I7" s="10" t="n">
        <v>149</v>
      </c>
      <c r="J7" s="11" t="s">
        <v>5</v>
      </c>
    </row>
    <row r="8" customFormat="false" ht="15" hidden="false" customHeight="false" outlineLevel="0" collapsed="false">
      <c r="B8" s="11" t="s">
        <v>92</v>
      </c>
      <c r="C8" s="11" t="s">
        <v>93</v>
      </c>
      <c r="D8" s="15" t="n">
        <v>10200</v>
      </c>
      <c r="E8" s="15" t="n">
        <v>11310</v>
      </c>
      <c r="F8" s="9" t="n">
        <v>4762.5</v>
      </c>
      <c r="G8" s="16" t="n">
        <f aca="false">F8-E8</f>
        <v>-6547.5</v>
      </c>
      <c r="H8" s="17" t="n">
        <f aca="false">IF(E8=0,"",F8/E8)</f>
        <v>0.421087533156499</v>
      </c>
      <c r="I8" s="10" t="n">
        <v>131.5</v>
      </c>
      <c r="J8" s="11" t="s">
        <v>5</v>
      </c>
    </row>
    <row r="9" customFormat="false" ht="15" hidden="false" customHeight="false" outlineLevel="0" collapsed="false">
      <c r="B9" s="11" t="s">
        <v>94</v>
      </c>
      <c r="C9" s="11" t="s">
        <v>95</v>
      </c>
      <c r="D9" s="15" t="n">
        <v>30780</v>
      </c>
      <c r="E9" s="15" t="n">
        <v>32040</v>
      </c>
      <c r="F9" s="9" t="n">
        <v>28655</v>
      </c>
      <c r="G9" s="16" t="n">
        <f aca="false">F9-E9</f>
        <v>-3385</v>
      </c>
      <c r="H9" s="17" t="n">
        <f aca="false">IF(E9=0,"",F9/E9)</f>
        <v>0.894350811485643</v>
      </c>
      <c r="I9" s="10" t="n">
        <v>1010</v>
      </c>
      <c r="J9" s="11" t="s">
        <v>5</v>
      </c>
    </row>
    <row r="10" customFormat="false" ht="15" hidden="false" customHeight="false" outlineLevel="0" collapsed="false">
      <c r="B10" s="11" t="s">
        <v>96</v>
      </c>
      <c r="C10" s="11" t="s">
        <v>97</v>
      </c>
      <c r="D10" s="15" t="n">
        <v>4500</v>
      </c>
      <c r="E10" s="15" t="n">
        <v>4500</v>
      </c>
      <c r="F10" s="9" t="n">
        <v>3287</v>
      </c>
      <c r="G10" s="16" t="n">
        <f aca="false">F10-E10</f>
        <v>-1213</v>
      </c>
      <c r="H10" s="17" t="n">
        <f aca="false">IF(E10=0,"",F10/E10)</f>
        <v>0.730444444444445</v>
      </c>
      <c r="I10" s="10" t="n">
        <v>91</v>
      </c>
      <c r="J10" s="11" t="s">
        <v>5</v>
      </c>
    </row>
    <row r="11" customFormat="false" ht="15" hidden="false" customHeight="false" outlineLevel="0" collapsed="false">
      <c r="B11" s="11" t="s">
        <v>98</v>
      </c>
      <c r="C11" s="11" t="s">
        <v>99</v>
      </c>
      <c r="D11" s="15" t="n">
        <v>87940</v>
      </c>
      <c r="E11" s="15" t="n">
        <v>91025</v>
      </c>
      <c r="F11" s="9" t="n">
        <v>78450</v>
      </c>
      <c r="G11" s="16" t="n">
        <f aca="false">F11-E11</f>
        <v>-12575</v>
      </c>
      <c r="H11" s="17" t="n">
        <f aca="false">IF(E11=0,"",F11/E11)</f>
        <v>0.861851139796759</v>
      </c>
      <c r="I11" s="10" t="n">
        <v>2862.5</v>
      </c>
      <c r="J11" s="11" t="s">
        <v>5</v>
      </c>
    </row>
    <row r="12" customFormat="false" ht="15" hidden="false" customHeight="false" outlineLevel="0" collapsed="false">
      <c r="B12" s="11" t="s">
        <v>100</v>
      </c>
      <c r="C12" s="11" t="s">
        <v>101</v>
      </c>
      <c r="D12" s="15" t="n">
        <v>15480</v>
      </c>
      <c r="E12" s="15" t="n">
        <v>15750</v>
      </c>
      <c r="F12" s="9" t="n">
        <v>12091.25</v>
      </c>
      <c r="G12" s="16" t="n">
        <f aca="false">F12-E12</f>
        <v>-3658.75</v>
      </c>
      <c r="H12" s="17" t="n">
        <f aca="false">IF(E12=0,"",F12/E12)</f>
        <v>0.767698412698413</v>
      </c>
      <c r="I12" s="10" t="n">
        <v>503</v>
      </c>
      <c r="J12" s="11" t="s">
        <v>5</v>
      </c>
    </row>
    <row r="13" customFormat="false" ht="15" hidden="false" customHeight="false" outlineLevel="0" collapsed="false">
      <c r="B13" s="11" t="s">
        <v>102</v>
      </c>
      <c r="C13" s="11" t="s">
        <v>103</v>
      </c>
      <c r="D13" s="15" t="n">
        <v>6050</v>
      </c>
      <c r="E13" s="15" t="n">
        <v>6170</v>
      </c>
      <c r="F13" s="9" t="n">
        <v>5268.5</v>
      </c>
      <c r="G13" s="16" t="n">
        <f aca="false">F13-E13</f>
        <v>-901.5</v>
      </c>
      <c r="H13" s="17" t="n">
        <f aca="false">IF(E13=0,"",F13/E13)</f>
        <v>0.85388978930308</v>
      </c>
      <c r="I13" s="10" t="n">
        <v>178</v>
      </c>
      <c r="J13" s="11" t="s">
        <v>5</v>
      </c>
    </row>
    <row r="14" customFormat="false" ht="15" hidden="false" customHeight="false" outlineLevel="0" collapsed="false">
      <c r="B14" s="11" t="s">
        <v>104</v>
      </c>
      <c r="C14" s="11" t="s">
        <v>105</v>
      </c>
      <c r="D14" s="15" t="n">
        <v>22280</v>
      </c>
      <c r="E14" s="15" t="n">
        <v>22730</v>
      </c>
      <c r="F14" s="9" t="n">
        <v>11432.5</v>
      </c>
      <c r="G14" s="16" t="n">
        <f aca="false">F14-E14</f>
        <v>-11297.5</v>
      </c>
      <c r="H14" s="17" t="n">
        <f aca="false">IF(E14=0,"",F14/E14)</f>
        <v>0.502969643642763</v>
      </c>
      <c r="I14" s="10" t="n">
        <v>473</v>
      </c>
      <c r="J14" s="11" t="s">
        <v>5</v>
      </c>
    </row>
    <row r="15" customFormat="false" ht="15" hidden="false" customHeight="false" outlineLevel="0" collapsed="false">
      <c r="B15" s="11" t="s">
        <v>106</v>
      </c>
      <c r="C15" s="11" t="s">
        <v>107</v>
      </c>
      <c r="D15" s="15" t="n">
        <v>7800</v>
      </c>
      <c r="E15" s="15" t="n">
        <v>7800</v>
      </c>
      <c r="F15" s="9" t="n">
        <v>9014</v>
      </c>
      <c r="G15" s="16" t="n">
        <f aca="false">F15-E15</f>
        <v>1214</v>
      </c>
      <c r="H15" s="17" t="n">
        <f aca="false">IF(E15=0,"",F15/E15)</f>
        <v>1.15564102564103</v>
      </c>
      <c r="I15" s="10" t="n">
        <v>254.5</v>
      </c>
      <c r="J15" s="11" t="s">
        <v>5</v>
      </c>
    </row>
    <row r="16" customFormat="false" ht="15" hidden="false" customHeight="false" outlineLevel="0" collapsed="false">
      <c r="B16" s="11" t="s">
        <v>108</v>
      </c>
      <c r="C16" s="11" t="s">
        <v>109</v>
      </c>
      <c r="D16" s="15" t="n">
        <v>0</v>
      </c>
      <c r="E16" s="15" t="n">
        <v>0</v>
      </c>
      <c r="F16" s="9" t="n">
        <v>187.5</v>
      </c>
      <c r="G16" s="16" t="n">
        <f aca="false">F16-E16</f>
        <v>187.5</v>
      </c>
      <c r="H16" s="17" t="str">
        <f aca="false">IF(E16=0,"",F16/E16)</f>
        <v/>
      </c>
      <c r="I16" s="10" t="n">
        <v>3</v>
      </c>
      <c r="J16" s="11" t="s">
        <v>5</v>
      </c>
    </row>
    <row r="17" customFormat="false" ht="15" hidden="false" customHeight="false" outlineLevel="0" collapsed="false">
      <c r="B17" s="11" t="s">
        <v>110</v>
      </c>
      <c r="C17" s="11" t="s">
        <v>111</v>
      </c>
      <c r="D17" s="15" t="n">
        <v>8700</v>
      </c>
      <c r="E17" s="15" t="n">
        <v>10253</v>
      </c>
      <c r="F17" s="9" t="n">
        <v>2906.23</v>
      </c>
      <c r="G17" s="16" t="n">
        <f aca="false">F17-E17</f>
        <v>-7346.77</v>
      </c>
      <c r="H17" s="17" t="n">
        <f aca="false">IF(E17=0,"",F17/E17)</f>
        <v>0.283451672681167</v>
      </c>
      <c r="I17" s="11"/>
      <c r="J17" s="11" t="s">
        <v>5</v>
      </c>
    </row>
    <row r="18" customFormat="false" ht="15" hidden="false" customHeight="false" outlineLevel="0" collapsed="false">
      <c r="B18" s="11" t="s">
        <v>112</v>
      </c>
      <c r="C18" s="11" t="s">
        <v>113</v>
      </c>
      <c r="D18" s="15" t="n">
        <v>21850</v>
      </c>
      <c r="E18" s="15" t="n">
        <v>23310</v>
      </c>
      <c r="F18" s="9" t="n">
        <v>13959.12</v>
      </c>
      <c r="G18" s="16" t="n">
        <f aca="false">F18-E18</f>
        <v>-9350.88</v>
      </c>
      <c r="H18" s="17" t="n">
        <f aca="false">IF(E18=0,"",F18/E18)</f>
        <v>0.598846846846847</v>
      </c>
      <c r="I18" s="11"/>
      <c r="J18" s="11" t="s">
        <v>5</v>
      </c>
    </row>
    <row r="19" customFormat="false" ht="15" hidden="false" customHeight="false" outlineLevel="0" collapsed="false">
      <c r="B19" s="11" t="s">
        <v>114</v>
      </c>
      <c r="C19" s="11" t="s">
        <v>115</v>
      </c>
      <c r="D19" s="15" t="n">
        <v>5040</v>
      </c>
      <c r="E19" s="15" t="n">
        <v>5040</v>
      </c>
      <c r="F19" s="9" t="n">
        <v>3121.63</v>
      </c>
      <c r="G19" s="16" t="n">
        <f aca="false">F19-E19</f>
        <v>-1918.37</v>
      </c>
      <c r="H19" s="17" t="n">
        <f aca="false">IF(E19=0,"",F19/E19)</f>
        <v>0.619371031746032</v>
      </c>
      <c r="I19" s="11"/>
      <c r="J19" s="11" t="s">
        <v>5</v>
      </c>
    </row>
    <row r="20" customFormat="false" ht="15" hidden="false" customHeight="false" outlineLevel="0" collapsed="false">
      <c r="B20" s="11" t="s">
        <v>116</v>
      </c>
      <c r="C20" s="11" t="s">
        <v>117</v>
      </c>
      <c r="D20" s="15" t="n">
        <v>49945</v>
      </c>
      <c r="E20" s="15" t="n">
        <v>50270</v>
      </c>
      <c r="F20" s="9" t="n">
        <v>40315.08</v>
      </c>
      <c r="G20" s="16" t="n">
        <f aca="false">F20-E20</f>
        <v>-9954.92</v>
      </c>
      <c r="H20" s="17" t="n">
        <f aca="false">IF(E20=0,"",F20/E20)</f>
        <v>0.801970956833101</v>
      </c>
      <c r="I20" s="11"/>
      <c r="J20" s="11" t="s">
        <v>5</v>
      </c>
    </row>
    <row r="21" customFormat="false" ht="15" hidden="false" customHeight="false" outlineLevel="0" collapsed="false">
      <c r="B21" s="11" t="s">
        <v>118</v>
      </c>
      <c r="C21" s="11" t="s">
        <v>119</v>
      </c>
      <c r="D21" s="15" t="n">
        <v>180170</v>
      </c>
      <c r="E21" s="15" t="n">
        <v>182982</v>
      </c>
      <c r="F21" s="9" t="n">
        <v>111207.3</v>
      </c>
      <c r="G21" s="16" t="n">
        <f aca="false">F21-E21</f>
        <v>-71774.7</v>
      </c>
      <c r="H21" s="17" t="n">
        <f aca="false">IF(E21=0,"",F21/E21)</f>
        <v>0.607749942617307</v>
      </c>
      <c r="I21" s="11"/>
      <c r="J21" s="11" t="s">
        <v>5</v>
      </c>
    </row>
    <row r="22" customFormat="false" ht="15" hidden="false" customHeight="false" outlineLevel="0" collapsed="false">
      <c r="B22" s="11" t="s">
        <v>120</v>
      </c>
      <c r="C22" s="11" t="s">
        <v>121</v>
      </c>
      <c r="D22" s="15" t="n">
        <v>6050</v>
      </c>
      <c r="E22" s="15" t="n">
        <v>6150</v>
      </c>
      <c r="F22" s="9" t="n">
        <v>1913.88</v>
      </c>
      <c r="G22" s="16" t="n">
        <f aca="false">F22-E22</f>
        <v>-4236.12</v>
      </c>
      <c r="H22" s="17" t="n">
        <f aca="false">IF(E22=0,"",F22/E22)</f>
        <v>0.3112</v>
      </c>
      <c r="I22" s="11"/>
      <c r="J22" s="11" t="s">
        <v>5</v>
      </c>
    </row>
    <row r="23" customFormat="false" ht="15" hidden="false" customHeight="false" outlineLevel="0" collapsed="false">
      <c r="B23" s="11" t="s">
        <v>122</v>
      </c>
      <c r="C23" s="11" t="s">
        <v>123</v>
      </c>
      <c r="D23" s="15" t="n">
        <v>20400</v>
      </c>
      <c r="E23" s="15" t="n">
        <v>20400</v>
      </c>
      <c r="F23" s="9" t="n">
        <v>20655.61</v>
      </c>
      <c r="G23" s="16" t="n">
        <f aca="false">F23-E23</f>
        <v>255.610000000001</v>
      </c>
      <c r="H23" s="17" t="n">
        <f aca="false">IF(E23=0,"",F23/E23)</f>
        <v>1.01252990196078</v>
      </c>
      <c r="I23" s="11"/>
      <c r="J23" s="11" t="s">
        <v>5</v>
      </c>
    </row>
    <row r="24" customFormat="false" ht="15" hidden="false" customHeight="false" outlineLevel="0" collapsed="false">
      <c r="B24" s="11" t="s">
        <v>124</v>
      </c>
      <c r="C24" s="11" t="s">
        <v>125</v>
      </c>
      <c r="D24" s="15" t="n">
        <v>13500</v>
      </c>
      <c r="E24" s="15" t="n">
        <v>13500</v>
      </c>
      <c r="F24" s="9" t="n">
        <v>10877.78</v>
      </c>
      <c r="G24" s="16" t="n">
        <f aca="false">F24-E24</f>
        <v>-2622.22</v>
      </c>
      <c r="H24" s="17" t="n">
        <f aca="false">IF(E24=0,"",F24/E24)</f>
        <v>0.805761481481482</v>
      </c>
      <c r="I24" s="11"/>
      <c r="J24" s="11" t="s">
        <v>5</v>
      </c>
    </row>
    <row r="25" customFormat="false" ht="15" hidden="false" customHeight="false" outlineLevel="0" collapsed="false">
      <c r="B25" s="11" t="s">
        <v>126</v>
      </c>
      <c r="C25" s="11" t="s">
        <v>127</v>
      </c>
      <c r="D25" s="15" t="n">
        <v>0</v>
      </c>
      <c r="E25" s="15" t="n">
        <v>0</v>
      </c>
      <c r="F25" s="9" t="n">
        <v>2.16</v>
      </c>
      <c r="G25" s="16" t="n">
        <f aca="false">F25-E25</f>
        <v>2.16</v>
      </c>
      <c r="H25" s="17" t="str">
        <f aca="false">IF(E25=0,"",F25/E25)</f>
        <v/>
      </c>
      <c r="I25" s="11"/>
      <c r="J25" s="11" t="s">
        <v>5</v>
      </c>
    </row>
    <row r="26" customFormat="false" ht="15" hidden="false" customHeight="false" outlineLevel="0" collapsed="false">
      <c r="B26" s="11" t="s">
        <v>128</v>
      </c>
      <c r="C26" s="11" t="s">
        <v>129</v>
      </c>
      <c r="D26" s="15" t="n">
        <v>1000</v>
      </c>
      <c r="E26" s="15" t="n">
        <v>1050</v>
      </c>
      <c r="F26" s="9" t="n">
        <v>6585</v>
      </c>
      <c r="G26" s="16" t="n">
        <f aca="false">F26-E26</f>
        <v>5535</v>
      </c>
      <c r="H26" s="17" t="n">
        <f aca="false">IF(E26=0,"",F26/E26)</f>
        <v>6.27142857142857</v>
      </c>
      <c r="I26" s="11"/>
      <c r="J26" s="11" t="s">
        <v>5</v>
      </c>
    </row>
    <row r="27" customFormat="false" ht="15" hidden="false" customHeight="false" outlineLevel="0" collapsed="false">
      <c r="B27" s="11" t="s">
        <v>130</v>
      </c>
      <c r="C27" s="11" t="s">
        <v>131</v>
      </c>
      <c r="D27" s="15" t="n">
        <v>30000</v>
      </c>
      <c r="E27" s="15" t="n">
        <v>30000</v>
      </c>
      <c r="F27" s="9" t="n">
        <v>17150.88</v>
      </c>
      <c r="G27" s="16" t="n">
        <f aca="false">F27-E27</f>
        <v>-12849.12</v>
      </c>
      <c r="H27" s="17" t="n">
        <f aca="false">IF(E27=0,"",F27/E27)</f>
        <v>0.571696</v>
      </c>
      <c r="I27" s="11"/>
      <c r="J27" s="11" t="s">
        <v>5</v>
      </c>
    </row>
    <row r="28" customFormat="false" ht="15" hidden="false" customHeight="false" outlineLevel="0" collapsed="false">
      <c r="B28" s="11" t="s">
        <v>132</v>
      </c>
      <c r="C28" s="11" t="s">
        <v>133</v>
      </c>
      <c r="D28" s="15" t="n">
        <v>5000</v>
      </c>
      <c r="E28" s="15" t="n">
        <v>5000</v>
      </c>
      <c r="F28" s="9" t="n">
        <v>4110.62</v>
      </c>
      <c r="G28" s="16" t="n">
        <f aca="false">F28-E28</f>
        <v>-889.38</v>
      </c>
      <c r="H28" s="17" t="n">
        <f aca="false">IF(E28=0,"",F28/E28)</f>
        <v>0.822124</v>
      </c>
      <c r="I28" s="11"/>
      <c r="J28" s="11" t="s">
        <v>5</v>
      </c>
    </row>
    <row r="29" customFormat="false" ht="15" hidden="false" customHeight="false" outlineLevel="0" collapsed="false">
      <c r="B29" s="11" t="s">
        <v>134</v>
      </c>
      <c r="C29" s="11" t="s">
        <v>135</v>
      </c>
      <c r="D29" s="15" t="n">
        <v>6940</v>
      </c>
      <c r="E29" s="15" t="n">
        <v>7080</v>
      </c>
      <c r="F29" s="9" t="n">
        <v>4165</v>
      </c>
      <c r="G29" s="16" t="n">
        <f aca="false">F29-E29</f>
        <v>-2915</v>
      </c>
      <c r="H29" s="17" t="n">
        <f aca="false">IF(E29=0,"",F29/E29)</f>
        <v>0.588276836158192</v>
      </c>
      <c r="I29" s="11"/>
      <c r="J29" s="11" t="s">
        <v>5</v>
      </c>
    </row>
    <row r="30" customFormat="false" ht="15" hidden="false" customHeight="false" outlineLevel="0" collapsed="false">
      <c r="B30" s="11" t="s">
        <v>136</v>
      </c>
      <c r="C30" s="11" t="s">
        <v>137</v>
      </c>
      <c r="D30" s="15" t="n">
        <v>9000</v>
      </c>
      <c r="E30" s="15" t="n">
        <v>9000</v>
      </c>
      <c r="F30" s="9" t="n">
        <v>5722.51</v>
      </c>
      <c r="G30" s="16" t="n">
        <f aca="false">F30-E30</f>
        <v>-3277.49</v>
      </c>
      <c r="H30" s="17" t="n">
        <f aca="false">IF(E30=0,"",F30/E30)</f>
        <v>0.635834444444445</v>
      </c>
      <c r="I30" s="11"/>
      <c r="J30" s="11" t="s">
        <v>5</v>
      </c>
    </row>
    <row r="31" customFormat="false" ht="15" hidden="false" customHeight="false" outlineLevel="0" collapsed="false">
      <c r="B31" s="11" t="s">
        <v>138</v>
      </c>
      <c r="C31" s="11" t="s">
        <v>139</v>
      </c>
      <c r="D31" s="15" t="n">
        <v>0</v>
      </c>
      <c r="E31" s="15" t="n">
        <v>0</v>
      </c>
      <c r="F31" s="9" t="n">
        <v>208</v>
      </c>
      <c r="G31" s="16" t="n">
        <f aca="false">F31-E31</f>
        <v>208</v>
      </c>
      <c r="H31" s="17" t="str">
        <f aca="false">IF(E31=0,"",F31/E31)</f>
        <v/>
      </c>
      <c r="I31" s="10" t="n">
        <v>4</v>
      </c>
      <c r="J31" s="11" t="s">
        <v>5</v>
      </c>
    </row>
    <row r="32" customFormat="false" ht="15" hidden="false" customHeight="false" outlineLevel="0" collapsed="false">
      <c r="B32" s="11" t="s">
        <v>140</v>
      </c>
      <c r="C32" s="11" t="s">
        <v>141</v>
      </c>
      <c r="D32" s="15" t="n">
        <v>91167.11</v>
      </c>
      <c r="E32" s="15" t="n">
        <v>94044.86</v>
      </c>
      <c r="F32" s="9" t="n">
        <v>72671.19</v>
      </c>
      <c r="G32" s="16" t="n">
        <f aca="false">F32-E32</f>
        <v>-21373.67</v>
      </c>
      <c r="H32" s="17" t="n">
        <f aca="false">IF(E32=0,"",F32/E32)</f>
        <v>0.77272899337614</v>
      </c>
      <c r="I32" s="11"/>
      <c r="J32" s="11" t="s">
        <v>5</v>
      </c>
    </row>
    <row r="33" customFormat="false" ht="15" hidden="false" customHeight="false" outlineLevel="0" collapsed="false">
      <c r="B33" s="11" t="s">
        <v>142</v>
      </c>
      <c r="C33" s="11" t="s">
        <v>143</v>
      </c>
      <c r="D33" s="15" t="n">
        <v>0</v>
      </c>
      <c r="E33" s="15" t="n">
        <v>0</v>
      </c>
      <c r="F33" s="9" t="n">
        <v>144</v>
      </c>
      <c r="G33" s="16" t="n">
        <f aca="false">F33-E33</f>
        <v>144</v>
      </c>
      <c r="H33" s="17" t="str">
        <f aca="false">IF(E33=0,"",F33/E33)</f>
        <v/>
      </c>
      <c r="I33" s="10" t="n">
        <v>8</v>
      </c>
      <c r="J33" s="11" t="s">
        <v>5</v>
      </c>
    </row>
    <row r="34" customFormat="false" ht="15" hidden="false" customHeight="false" outlineLevel="0" collapsed="false">
      <c r="B34" s="11" t="s">
        <v>144</v>
      </c>
      <c r="C34" s="11" t="s">
        <v>145</v>
      </c>
      <c r="D34" s="15" t="n">
        <v>15378.8</v>
      </c>
      <c r="E34" s="15" t="n">
        <v>15868.03</v>
      </c>
      <c r="F34" s="9" t="n">
        <v>12535.41</v>
      </c>
      <c r="G34" s="16" t="n">
        <f aca="false">F34-E34</f>
        <v>-3332.62</v>
      </c>
      <c r="H34" s="17" t="n">
        <f aca="false">IF(E34=0,"",F34/E34)</f>
        <v>0.789978970294359</v>
      </c>
      <c r="I34" s="11"/>
      <c r="J34" s="11" t="s">
        <v>5</v>
      </c>
    </row>
    <row r="35" customFormat="false" ht="15" hidden="false" customHeight="false" outlineLevel="0" collapsed="false">
      <c r="B35" s="11" t="s">
        <v>146</v>
      </c>
      <c r="C35" s="11" t="s">
        <v>147</v>
      </c>
      <c r="D35" s="15" t="n">
        <v>-897800</v>
      </c>
      <c r="E35" s="15" t="n">
        <v>-918566</v>
      </c>
      <c r="F35" s="9" t="n">
        <v>-918566</v>
      </c>
      <c r="G35" s="16" t="n">
        <f aca="false">F35-E35</f>
        <v>0</v>
      </c>
      <c r="H35" s="17" t="n">
        <f aca="false">IF(E35=0,"",F35/E35)</f>
        <v>1</v>
      </c>
      <c r="I35" s="11"/>
      <c r="J35" s="11" t="s">
        <v>5</v>
      </c>
    </row>
    <row r="36" customFormat="false" ht="15" hidden="false" customHeight="false" outlineLevel="0" collapsed="false">
      <c r="B36" s="18" t="s">
        <v>148</v>
      </c>
      <c r="D36" s="19" t="n">
        <f aca="false">SUM(D6:D35)</f>
        <v>-232629.09</v>
      </c>
      <c r="E36" s="19" t="n">
        <f aca="false">SUM(E6:E35)</f>
        <v>-237193.11</v>
      </c>
      <c r="F36" s="20" t="n">
        <f aca="false">SUM(F6:F35)</f>
        <v>-426809.1</v>
      </c>
      <c r="G36" s="16" t="n">
        <f aca="false">F36-E36</f>
        <v>-189615.99</v>
      </c>
      <c r="I36" s="21" t="n">
        <f aca="false">SUM(I6:I35)</f>
        <v>5693.5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149</v>
      </c>
    </row>
    <row r="3" customFormat="false" ht="21.75" hidden="false" customHeight="true" outlineLevel="0" collapsed="false">
      <c r="B3" s="2" t="s">
        <v>150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151</v>
      </c>
      <c r="C5" s="3" t="s">
        <v>152</v>
      </c>
      <c r="D5" s="3" t="s">
        <v>153</v>
      </c>
      <c r="E5" s="3" t="s">
        <v>154</v>
      </c>
      <c r="F5" s="3" t="s">
        <v>155</v>
      </c>
      <c r="G5" s="3" t="s">
        <v>87</v>
      </c>
    </row>
    <row r="6" customFormat="false" ht="15" hidden="false" customHeight="false" outlineLevel="0" collapsed="false">
      <c r="B6" s="11" t="s">
        <v>156</v>
      </c>
      <c r="C6" s="11" t="s">
        <v>157</v>
      </c>
      <c r="D6" s="9" t="n">
        <v>163505.5</v>
      </c>
      <c r="E6" s="17" t="n">
        <f aca="false">D6/$D$12</f>
        <v>0.332492538488021</v>
      </c>
      <c r="F6" s="17" t="n">
        <f aca="false">D6/918566</f>
        <v>0.178000818667358</v>
      </c>
      <c r="G6" s="11" t="s">
        <v>5</v>
      </c>
    </row>
    <row r="7" customFormat="false" ht="15" hidden="false" customHeight="false" outlineLevel="0" collapsed="false">
      <c r="B7" s="11" t="s">
        <v>158</v>
      </c>
      <c r="C7" s="11" t="s">
        <v>159</v>
      </c>
      <c r="D7" s="9" t="n">
        <v>204958.79</v>
      </c>
      <c r="E7" s="17" t="n">
        <f aca="false">D7/$D$12</f>
        <v>0.416788844243975</v>
      </c>
      <c r="F7" s="17" t="n">
        <f aca="false">D7/918566</f>
        <v>0.223129083811071</v>
      </c>
      <c r="G7" s="11" t="s">
        <v>5</v>
      </c>
    </row>
    <row r="8" customFormat="false" ht="15" hidden="false" customHeight="false" outlineLevel="0" collapsed="false">
      <c r="B8" s="11" t="s">
        <v>160</v>
      </c>
      <c r="C8" s="11" t="s">
        <v>161</v>
      </c>
      <c r="D8" s="9" t="n">
        <v>37734.01</v>
      </c>
      <c r="E8" s="17" t="n">
        <f aca="false">D8/$D$12</f>
        <v>0.0767330565163397</v>
      </c>
      <c r="F8" s="17" t="n">
        <f aca="false">D8/918566</f>
        <v>0.0410792583222109</v>
      </c>
      <c r="G8" s="11" t="s">
        <v>5</v>
      </c>
    </row>
    <row r="9" customFormat="false" ht="15" hidden="false" customHeight="false" outlineLevel="0" collapsed="false">
      <c r="B9" s="11" t="s">
        <v>141</v>
      </c>
      <c r="C9" s="11" t="s">
        <v>140</v>
      </c>
      <c r="D9" s="9" t="n">
        <v>72671.19</v>
      </c>
      <c r="E9" s="17" t="n">
        <f aca="false">D9/$D$12</f>
        <v>0.147778689022971</v>
      </c>
      <c r="F9" s="17" t="n">
        <f aca="false">D9/918566</f>
        <v>0.0791137381527294</v>
      </c>
      <c r="G9" s="11" t="s">
        <v>5</v>
      </c>
    </row>
    <row r="10" customFormat="false" ht="15" hidden="false" customHeight="false" outlineLevel="0" collapsed="false">
      <c r="B10" s="11" t="s">
        <v>145</v>
      </c>
      <c r="C10" s="11" t="s">
        <v>144</v>
      </c>
      <c r="D10" s="9" t="n">
        <v>12535.41</v>
      </c>
      <c r="E10" s="17" t="n">
        <f aca="false">D10/$D$12</f>
        <v>0.0254910708929554</v>
      </c>
      <c r="F10" s="17" t="n">
        <f aca="false">D10/918566</f>
        <v>0.0136467167302077</v>
      </c>
      <c r="G10" s="11" t="s">
        <v>5</v>
      </c>
    </row>
    <row r="11" customFormat="false" ht="15" hidden="false" customHeight="false" outlineLevel="0" collapsed="false">
      <c r="B11" s="11" t="s">
        <v>162</v>
      </c>
      <c r="C11" s="11" t="s">
        <v>163</v>
      </c>
      <c r="D11" s="9" t="n">
        <v>352</v>
      </c>
      <c r="E11" s="17" t="n">
        <f aca="false">D11/$D$12</f>
        <v>0.000715800835738146</v>
      </c>
      <c r="F11" s="17" t="n">
        <f aca="false">D11/918566</f>
        <v>0.000383205997173856</v>
      </c>
      <c r="G11" s="11" t="s">
        <v>5</v>
      </c>
    </row>
    <row r="12" customFormat="false" ht="15" hidden="false" customHeight="false" outlineLevel="0" collapsed="false">
      <c r="B12" s="18" t="s">
        <v>164</v>
      </c>
      <c r="D12" s="20" t="n">
        <f aca="false">SUM(D6:D11)</f>
        <v>491756.9</v>
      </c>
      <c r="E12" s="17" t="n">
        <v>1</v>
      </c>
      <c r="F12" s="17" t="n">
        <f aca="false">D12/918566</f>
        <v>0.53535282168075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165</v>
      </c>
    </row>
    <row r="3" customFormat="false" ht="21.75" hidden="false" customHeight="true" outlineLevel="0" collapsed="false">
      <c r="B3" s="2" t="s">
        <v>166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167</v>
      </c>
      <c r="C5" s="3" t="s">
        <v>168</v>
      </c>
      <c r="D5" s="3" t="s">
        <v>169</v>
      </c>
      <c r="E5" s="3" t="s">
        <v>170</v>
      </c>
      <c r="F5" s="3" t="s">
        <v>171</v>
      </c>
      <c r="G5" s="3" t="s">
        <v>87</v>
      </c>
    </row>
    <row r="6" customFormat="false" ht="15" hidden="false" customHeight="false" outlineLevel="0" collapsed="false">
      <c r="B6" s="11" t="s">
        <v>172</v>
      </c>
      <c r="C6" s="11" t="s">
        <v>173</v>
      </c>
      <c r="D6" s="9" t="n">
        <v>70586.95</v>
      </c>
      <c r="E6" s="22" t="n">
        <v>63</v>
      </c>
      <c r="F6" s="11" t="s">
        <v>174</v>
      </c>
      <c r="G6" s="11" t="s">
        <v>5</v>
      </c>
    </row>
    <row r="7" customFormat="false" ht="15" hidden="false" customHeight="false" outlineLevel="0" collapsed="false">
      <c r="B7" s="11" t="s">
        <v>175</v>
      </c>
      <c r="C7" s="11" t="s">
        <v>176</v>
      </c>
      <c r="D7" s="9" t="n">
        <v>57147.75</v>
      </c>
      <c r="E7" s="22" t="n">
        <v>61</v>
      </c>
      <c r="F7" s="11" t="s">
        <v>174</v>
      </c>
      <c r="G7" s="11" t="s">
        <v>5</v>
      </c>
    </row>
    <row r="8" customFormat="false" ht="15" hidden="false" customHeight="false" outlineLevel="0" collapsed="false">
      <c r="B8" s="11" t="s">
        <v>177</v>
      </c>
      <c r="C8" s="11" t="s">
        <v>178</v>
      </c>
      <c r="D8" s="9" t="n">
        <v>20873</v>
      </c>
      <c r="E8" s="22" t="n">
        <v>5</v>
      </c>
      <c r="F8" s="11" t="s">
        <v>174</v>
      </c>
      <c r="G8" s="11" t="s">
        <v>5</v>
      </c>
    </row>
    <row r="9" customFormat="false" ht="15" hidden="false" customHeight="false" outlineLevel="0" collapsed="false">
      <c r="B9" s="11" t="s">
        <v>179</v>
      </c>
      <c r="C9" s="11" t="s">
        <v>180</v>
      </c>
      <c r="D9" s="9" t="n">
        <v>17263.16</v>
      </c>
      <c r="E9" s="22" t="n">
        <v>21</v>
      </c>
      <c r="F9" s="11" t="s">
        <v>174</v>
      </c>
      <c r="G9" s="11" t="s">
        <v>5</v>
      </c>
    </row>
    <row r="10" customFormat="false" ht="15" hidden="false" customHeight="false" outlineLevel="0" collapsed="false">
      <c r="B10" s="11" t="s">
        <v>181</v>
      </c>
      <c r="C10" s="11" t="s">
        <v>182</v>
      </c>
      <c r="D10" s="9" t="n">
        <v>17024</v>
      </c>
      <c r="E10" s="22" t="n">
        <v>5</v>
      </c>
      <c r="F10" s="11" t="s">
        <v>183</v>
      </c>
      <c r="G10" s="11" t="s">
        <v>5</v>
      </c>
    </row>
    <row r="11" customFormat="false" ht="15" hidden="false" customHeight="false" outlineLevel="0" collapsed="false">
      <c r="B11" s="11" t="s">
        <v>184</v>
      </c>
      <c r="C11" s="11" t="s">
        <v>185</v>
      </c>
      <c r="D11" s="9" t="n">
        <v>9316.2</v>
      </c>
      <c r="E11" s="22" t="n">
        <v>25</v>
      </c>
      <c r="F11" s="11" t="s">
        <v>186</v>
      </c>
      <c r="G11" s="11" t="s">
        <v>5</v>
      </c>
    </row>
    <row r="12" customFormat="false" ht="15" hidden="false" customHeight="false" outlineLevel="0" collapsed="false">
      <c r="B12" s="11" t="s">
        <v>187</v>
      </c>
      <c r="C12" s="11" t="s">
        <v>188</v>
      </c>
      <c r="D12" s="9" t="n">
        <v>6247.95</v>
      </c>
      <c r="E12" s="22" t="n">
        <v>1</v>
      </c>
      <c r="F12" s="11" t="s">
        <v>174</v>
      </c>
      <c r="G12" s="11" t="s">
        <v>5</v>
      </c>
    </row>
    <row r="13" customFormat="false" ht="15" hidden="false" customHeight="false" outlineLevel="0" collapsed="false">
      <c r="B13" s="11" t="s">
        <v>189</v>
      </c>
      <c r="C13" s="11" t="s">
        <v>190</v>
      </c>
      <c r="D13" s="9" t="n">
        <v>4375</v>
      </c>
      <c r="E13" s="22" t="n">
        <v>1</v>
      </c>
      <c r="F13" s="11" t="s">
        <v>191</v>
      </c>
      <c r="G13" s="11" t="s">
        <v>5</v>
      </c>
    </row>
    <row r="14" customFormat="false" ht="15" hidden="false" customHeight="false" outlineLevel="0" collapsed="false">
      <c r="B14" s="11" t="s">
        <v>192</v>
      </c>
      <c r="C14" s="11" t="s">
        <v>193</v>
      </c>
      <c r="D14" s="9" t="n">
        <v>3911.37</v>
      </c>
      <c r="E14" s="22" t="n">
        <v>10</v>
      </c>
      <c r="F14" s="11" t="s">
        <v>191</v>
      </c>
      <c r="G14" s="11" t="s">
        <v>5</v>
      </c>
    </row>
    <row r="15" customFormat="false" ht="15" hidden="false" customHeight="false" outlineLevel="0" collapsed="false">
      <c r="B15" s="11" t="s">
        <v>194</v>
      </c>
      <c r="C15" s="11" t="s">
        <v>195</v>
      </c>
      <c r="D15" s="9" t="n">
        <v>3504.56</v>
      </c>
      <c r="E15" s="22" t="n">
        <v>9</v>
      </c>
      <c r="F15" s="11" t="s">
        <v>174</v>
      </c>
      <c r="G15" s="11" t="s">
        <v>5</v>
      </c>
    </row>
    <row r="16" customFormat="false" ht="15" hidden="false" customHeight="false" outlineLevel="0" collapsed="false">
      <c r="B16" s="11" t="s">
        <v>196</v>
      </c>
      <c r="C16" s="11" t="s">
        <v>197</v>
      </c>
      <c r="D16" s="9" t="n">
        <v>2263.23</v>
      </c>
      <c r="E16" s="22" t="n">
        <v>3</v>
      </c>
      <c r="F16" s="11" t="s">
        <v>174</v>
      </c>
      <c r="G16" s="11" t="s">
        <v>5</v>
      </c>
    </row>
    <row r="17" customFormat="false" ht="15" hidden="false" customHeight="false" outlineLevel="0" collapsed="false">
      <c r="B17" s="11" t="s">
        <v>198</v>
      </c>
      <c r="C17" s="11" t="s">
        <v>199</v>
      </c>
      <c r="D17" s="9" t="n">
        <v>2095</v>
      </c>
      <c r="E17" s="22" t="n">
        <v>1</v>
      </c>
      <c r="F17" s="11" t="s">
        <v>191</v>
      </c>
      <c r="G17" s="11" t="s">
        <v>5</v>
      </c>
    </row>
    <row r="18" customFormat="false" ht="15" hidden="false" customHeight="false" outlineLevel="0" collapsed="false">
      <c r="B18" s="11" t="s">
        <v>200</v>
      </c>
      <c r="C18" s="11" t="s">
        <v>201</v>
      </c>
      <c r="D18" s="9" t="n">
        <v>1300</v>
      </c>
      <c r="E18" s="22" t="n">
        <v>3</v>
      </c>
      <c r="F18" s="11" t="s">
        <v>191</v>
      </c>
      <c r="G18" s="11" t="s">
        <v>5</v>
      </c>
    </row>
    <row r="19" customFormat="false" ht="15" hidden="false" customHeight="false" outlineLevel="0" collapsed="false">
      <c r="B19" s="11" t="s">
        <v>202</v>
      </c>
      <c r="C19" s="11" t="s">
        <v>203</v>
      </c>
      <c r="D19" s="9" t="n">
        <v>973.71</v>
      </c>
      <c r="E19" s="22" t="n">
        <v>2</v>
      </c>
      <c r="F19" s="11" t="s">
        <v>174</v>
      </c>
      <c r="G19" s="11" t="s">
        <v>5</v>
      </c>
    </row>
    <row r="20" customFormat="false" ht="15" hidden="false" customHeight="false" outlineLevel="0" collapsed="false">
      <c r="B20" s="11" t="s">
        <v>204</v>
      </c>
      <c r="C20" s="11" t="s">
        <v>205</v>
      </c>
      <c r="D20" s="9" t="n">
        <v>618.03</v>
      </c>
      <c r="E20" s="22" t="n">
        <v>3</v>
      </c>
      <c r="F20" s="11" t="s">
        <v>186</v>
      </c>
      <c r="G20" s="11" t="s">
        <v>5</v>
      </c>
    </row>
    <row r="21" customFormat="false" ht="15" hidden="false" customHeight="false" outlineLevel="0" collapsed="false">
      <c r="B21" s="11" t="s">
        <v>206</v>
      </c>
      <c r="C21" s="11" t="s">
        <v>207</v>
      </c>
      <c r="D21" s="9" t="n">
        <v>615</v>
      </c>
      <c r="E21" s="22" t="n">
        <v>1</v>
      </c>
      <c r="F21" s="11" t="s">
        <v>191</v>
      </c>
      <c r="G21" s="11" t="s">
        <v>5</v>
      </c>
    </row>
    <row r="22" customFormat="false" ht="15" hidden="false" customHeight="false" outlineLevel="0" collapsed="false">
      <c r="B22" s="11" t="s">
        <v>208</v>
      </c>
      <c r="C22" s="11" t="s">
        <v>209</v>
      </c>
      <c r="D22" s="9" t="n">
        <v>595</v>
      </c>
      <c r="E22" s="22" t="n">
        <v>1</v>
      </c>
      <c r="F22" s="11" t="s">
        <v>191</v>
      </c>
      <c r="G22" s="11" t="s">
        <v>5</v>
      </c>
    </row>
    <row r="23" customFormat="false" ht="15" hidden="false" customHeight="false" outlineLevel="0" collapsed="false">
      <c r="B23" s="11" t="s">
        <v>210</v>
      </c>
      <c r="C23" s="11" t="s">
        <v>211</v>
      </c>
      <c r="D23" s="9" t="n">
        <v>315.79</v>
      </c>
      <c r="E23" s="22" t="n">
        <v>2</v>
      </c>
      <c r="F23" s="11" t="s">
        <v>174</v>
      </c>
      <c r="G23" s="11" t="s">
        <v>5</v>
      </c>
    </row>
    <row r="24" customFormat="false" ht="15" hidden="false" customHeight="false" outlineLevel="0" collapsed="false">
      <c r="B24" s="11" t="s">
        <v>212</v>
      </c>
      <c r="C24" s="11" t="s">
        <v>213</v>
      </c>
      <c r="D24" s="9" t="n">
        <v>278.42</v>
      </c>
      <c r="E24" s="22" t="n">
        <v>1</v>
      </c>
      <c r="F24" s="11" t="s">
        <v>174</v>
      </c>
      <c r="G24" s="11" t="s">
        <v>5</v>
      </c>
    </row>
    <row r="25" customFormat="false" ht="15" hidden="false" customHeight="false" outlineLevel="0" collapsed="false">
      <c r="B25" s="11" t="s">
        <v>214</v>
      </c>
      <c r="C25" s="11" t="s">
        <v>215</v>
      </c>
      <c r="D25" s="9" t="n">
        <v>245</v>
      </c>
      <c r="E25" s="22" t="n">
        <v>2</v>
      </c>
      <c r="F25" s="11" t="s">
        <v>216</v>
      </c>
      <c r="G25" s="11" t="s">
        <v>5</v>
      </c>
    </row>
    <row r="26" customFormat="false" ht="15" hidden="false" customHeight="false" outlineLevel="0" collapsed="false">
      <c r="B26" s="11" t="s">
        <v>217</v>
      </c>
      <c r="C26" s="11" t="s">
        <v>218</v>
      </c>
      <c r="D26" s="9" t="n">
        <v>199.25</v>
      </c>
      <c r="E26" s="22" t="n">
        <v>1</v>
      </c>
      <c r="F26" s="11" t="s">
        <v>191</v>
      </c>
      <c r="G26" s="11" t="s">
        <v>5</v>
      </c>
    </row>
    <row r="27" customFormat="false" ht="15" hidden="false" customHeight="false" outlineLevel="0" collapsed="false">
      <c r="B27" s="11" t="s">
        <v>219</v>
      </c>
      <c r="C27" s="11" t="s">
        <v>220</v>
      </c>
      <c r="D27" s="9" t="n">
        <v>126.88</v>
      </c>
      <c r="E27" s="22" t="n">
        <v>2</v>
      </c>
      <c r="F27" s="11" t="s">
        <v>191</v>
      </c>
      <c r="G27" s="11" t="s">
        <v>5</v>
      </c>
    </row>
    <row r="28" customFormat="false" ht="15" hidden="false" customHeight="false" outlineLevel="0" collapsed="false">
      <c r="B28" s="11" t="s">
        <v>221</v>
      </c>
      <c r="C28" s="11" t="s">
        <v>222</v>
      </c>
      <c r="D28" s="9" t="n">
        <v>50</v>
      </c>
      <c r="E28" s="22" t="n">
        <v>1</v>
      </c>
      <c r="F28" s="11" t="s">
        <v>216</v>
      </c>
      <c r="G28" s="11" t="s">
        <v>5</v>
      </c>
    </row>
    <row r="29" customFormat="false" ht="15" hidden="false" customHeight="false" outlineLevel="0" collapsed="false">
      <c r="B29" s="18" t="s">
        <v>148</v>
      </c>
      <c r="D29" s="20" t="n">
        <f aca="false">SUM(D6:D28)</f>
        <v>219925.25</v>
      </c>
      <c r="E29" s="23" t="n">
        <f aca="false">SUM(E6:E28)</f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223</v>
      </c>
    </row>
    <row r="3" customFormat="false" ht="21.75" hidden="false" customHeight="true" outlineLevel="0" collapsed="false">
      <c r="B3" s="2" t="s">
        <v>224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225</v>
      </c>
      <c r="C5" s="3" t="s">
        <v>226</v>
      </c>
      <c r="D5" s="3" t="s">
        <v>227</v>
      </c>
      <c r="E5" s="3" t="s">
        <v>228</v>
      </c>
      <c r="F5" s="3" t="s">
        <v>229</v>
      </c>
      <c r="G5" s="3" t="s">
        <v>230</v>
      </c>
      <c r="H5" s="3" t="s">
        <v>87</v>
      </c>
    </row>
    <row r="6" customFormat="false" ht="15" hidden="false" customHeight="false" outlineLevel="0" collapsed="false">
      <c r="B6" s="11" t="s">
        <v>231</v>
      </c>
      <c r="C6" s="11" t="s">
        <v>232</v>
      </c>
      <c r="D6" s="10" t="n">
        <v>1011.5</v>
      </c>
      <c r="E6" s="9" t="n">
        <v>33759.5</v>
      </c>
      <c r="F6" s="20" t="n">
        <f aca="false">IF(D6=0,0,E6/D6)</f>
        <v>33.3756796836382</v>
      </c>
      <c r="G6" s="22" t="n">
        <v>43</v>
      </c>
      <c r="H6" s="11" t="s">
        <v>5</v>
      </c>
    </row>
    <row r="7" customFormat="false" ht="15" hidden="false" customHeight="false" outlineLevel="0" collapsed="false">
      <c r="B7" s="11" t="s">
        <v>233</v>
      </c>
      <c r="C7" s="11" t="s">
        <v>234</v>
      </c>
      <c r="D7" s="10" t="n">
        <v>1001</v>
      </c>
      <c r="E7" s="9" t="n">
        <v>24517.5</v>
      </c>
      <c r="F7" s="20" t="n">
        <f aca="false">IF(D7=0,0,E7/D7)</f>
        <v>24.493006993007</v>
      </c>
      <c r="G7" s="22" t="n">
        <v>28</v>
      </c>
      <c r="H7" s="11" t="s">
        <v>5</v>
      </c>
    </row>
    <row r="8" customFormat="false" ht="15" hidden="false" customHeight="false" outlineLevel="0" collapsed="false">
      <c r="B8" s="11" t="s">
        <v>235</v>
      </c>
      <c r="C8" s="11" t="s">
        <v>236</v>
      </c>
      <c r="D8" s="10" t="n">
        <v>863.5</v>
      </c>
      <c r="E8" s="9" t="n">
        <v>18831</v>
      </c>
      <c r="F8" s="20" t="n">
        <f aca="false">IF(D8=0,0,E8/D8)</f>
        <v>21.807759119861</v>
      </c>
      <c r="G8" s="22" t="n">
        <v>29</v>
      </c>
      <c r="H8" s="11" t="s">
        <v>5</v>
      </c>
    </row>
    <row r="9" customFormat="false" ht="15" hidden="false" customHeight="false" outlineLevel="0" collapsed="false">
      <c r="B9" s="11" t="s">
        <v>237</v>
      </c>
      <c r="C9" s="11" t="s">
        <v>238</v>
      </c>
      <c r="D9" s="10" t="n">
        <v>562</v>
      </c>
      <c r="E9" s="9" t="n">
        <v>14158</v>
      </c>
      <c r="F9" s="20" t="n">
        <f aca="false">IF(D9=0,0,E9/D9)</f>
        <v>25.1921708185053</v>
      </c>
      <c r="G9" s="22" t="n">
        <v>15</v>
      </c>
      <c r="H9" s="11" t="s">
        <v>5</v>
      </c>
    </row>
    <row r="10" customFormat="false" ht="15" hidden="false" customHeight="false" outlineLevel="0" collapsed="false">
      <c r="B10" s="11" t="s">
        <v>239</v>
      </c>
      <c r="C10" s="11" t="s">
        <v>240</v>
      </c>
      <c r="D10" s="10" t="n">
        <v>438</v>
      </c>
      <c r="E10" s="9" t="n">
        <v>10888</v>
      </c>
      <c r="F10" s="20" t="n">
        <f aca="false">IF(D10=0,0,E10/D10)</f>
        <v>24.8584474885845</v>
      </c>
      <c r="G10" s="22" t="n">
        <v>11</v>
      </c>
      <c r="H10" s="11" t="s">
        <v>5</v>
      </c>
    </row>
    <row r="11" customFormat="false" ht="15" hidden="false" customHeight="false" outlineLevel="0" collapsed="false">
      <c r="B11" s="11" t="s">
        <v>241</v>
      </c>
      <c r="C11" s="11" t="s">
        <v>242</v>
      </c>
      <c r="D11" s="10" t="n">
        <v>363</v>
      </c>
      <c r="E11" s="9" t="n">
        <v>12080</v>
      </c>
      <c r="F11" s="20" t="n">
        <f aca="false">IF(D11=0,0,E11/D11)</f>
        <v>33.2782369146006</v>
      </c>
      <c r="G11" s="22" t="n">
        <v>10</v>
      </c>
      <c r="H11" s="11" t="s">
        <v>5</v>
      </c>
    </row>
    <row r="12" customFormat="false" ht="15" hidden="false" customHeight="false" outlineLevel="0" collapsed="false">
      <c r="B12" s="11" t="s">
        <v>243</v>
      </c>
      <c r="C12" s="11" t="s">
        <v>244</v>
      </c>
      <c r="D12" s="10" t="n">
        <v>247.5</v>
      </c>
      <c r="E12" s="9" t="n">
        <v>4564</v>
      </c>
      <c r="F12" s="20" t="n">
        <f aca="false">IF(D12=0,0,E12/D12)</f>
        <v>18.440404040404</v>
      </c>
      <c r="G12" s="22" t="n">
        <v>7</v>
      </c>
      <c r="H12" s="11" t="s">
        <v>5</v>
      </c>
    </row>
    <row r="13" customFormat="false" ht="15" hidden="false" customHeight="false" outlineLevel="0" collapsed="false">
      <c r="B13" s="11" t="s">
        <v>245</v>
      </c>
      <c r="C13" s="11" t="s">
        <v>246</v>
      </c>
      <c r="D13" s="10" t="n">
        <v>220.5</v>
      </c>
      <c r="E13" s="9" t="n">
        <v>5847.75</v>
      </c>
      <c r="F13" s="20" t="n">
        <f aca="false">IF(D13=0,0,E13/D13)</f>
        <v>26.5204081632653</v>
      </c>
      <c r="G13" s="22" t="n">
        <v>11</v>
      </c>
      <c r="H13" s="11" t="s">
        <v>5</v>
      </c>
    </row>
    <row r="14" customFormat="false" ht="15" hidden="false" customHeight="false" outlineLevel="0" collapsed="false">
      <c r="B14" s="11" t="s">
        <v>247</v>
      </c>
      <c r="C14" s="11" t="s">
        <v>248</v>
      </c>
      <c r="D14" s="10" t="n">
        <v>197</v>
      </c>
      <c r="E14" s="9" t="n">
        <v>6556</v>
      </c>
      <c r="F14" s="20" t="n">
        <f aca="false">IF(D14=0,0,E14/D14)</f>
        <v>33.2791878172589</v>
      </c>
      <c r="G14" s="22" t="n">
        <v>8</v>
      </c>
      <c r="H14" s="11" t="s">
        <v>5</v>
      </c>
    </row>
    <row r="15" customFormat="false" ht="15" hidden="false" customHeight="false" outlineLevel="0" collapsed="false">
      <c r="B15" s="11" t="s">
        <v>249</v>
      </c>
      <c r="C15" s="11" t="s">
        <v>250</v>
      </c>
      <c r="D15" s="10" t="n">
        <v>191</v>
      </c>
      <c r="E15" s="9" t="n">
        <v>9004</v>
      </c>
      <c r="F15" s="20" t="n">
        <f aca="false">IF(D15=0,0,E15/D15)</f>
        <v>47.1413612565445</v>
      </c>
      <c r="G15" s="22" t="n">
        <v>50</v>
      </c>
      <c r="H15" s="11" t="s">
        <v>5</v>
      </c>
    </row>
    <row r="16" customFormat="false" ht="15" hidden="false" customHeight="false" outlineLevel="0" collapsed="false">
      <c r="B16" s="11" t="s">
        <v>251</v>
      </c>
      <c r="C16" s="11" t="s">
        <v>252</v>
      </c>
      <c r="D16" s="10" t="n">
        <v>131.5</v>
      </c>
      <c r="E16" s="9" t="n">
        <v>8218.75</v>
      </c>
      <c r="F16" s="20" t="n">
        <f aca="false">IF(D16=0,0,E16/D16)</f>
        <v>62.5</v>
      </c>
      <c r="G16" s="22" t="n">
        <v>52</v>
      </c>
      <c r="H16" s="11" t="s">
        <v>5</v>
      </c>
    </row>
    <row r="17" customFormat="false" ht="15" hidden="false" customHeight="false" outlineLevel="0" collapsed="false">
      <c r="B17" s="11" t="s">
        <v>253</v>
      </c>
      <c r="C17" s="11" t="s">
        <v>254</v>
      </c>
      <c r="D17" s="10" t="n">
        <v>96</v>
      </c>
      <c r="E17" s="9" t="n">
        <v>2888</v>
      </c>
      <c r="F17" s="20" t="n">
        <f aca="false">IF(D17=0,0,E17/D17)</f>
        <v>30.0833333333333</v>
      </c>
      <c r="G17" s="22" t="n">
        <v>9</v>
      </c>
      <c r="H17" s="11" t="s">
        <v>5</v>
      </c>
    </row>
    <row r="18" customFormat="false" ht="15" hidden="false" customHeight="false" outlineLevel="0" collapsed="false">
      <c r="B18" s="11" t="s">
        <v>255</v>
      </c>
      <c r="C18" s="11" t="s">
        <v>256</v>
      </c>
      <c r="D18" s="10" t="n">
        <v>91</v>
      </c>
      <c r="E18" s="9" t="n">
        <v>1729</v>
      </c>
      <c r="F18" s="20" t="n">
        <f aca="false">IF(D18=0,0,E18/D18)</f>
        <v>19</v>
      </c>
      <c r="G18" s="22" t="n">
        <v>4</v>
      </c>
      <c r="H18" s="11" t="s">
        <v>5</v>
      </c>
    </row>
    <row r="19" customFormat="false" ht="15" hidden="false" customHeight="false" outlineLevel="0" collapsed="false">
      <c r="B19" s="11" t="s">
        <v>257</v>
      </c>
      <c r="C19" s="11" t="s">
        <v>258</v>
      </c>
      <c r="D19" s="10" t="n">
        <v>80</v>
      </c>
      <c r="E19" s="9" t="n">
        <v>1424</v>
      </c>
      <c r="F19" s="20" t="n">
        <f aca="false">IF(D19=0,0,E19/D19)</f>
        <v>17.8</v>
      </c>
      <c r="G19" s="22" t="n">
        <v>4</v>
      </c>
      <c r="H19" s="11" t="s">
        <v>5</v>
      </c>
    </row>
    <row r="20" customFormat="false" ht="15" hidden="false" customHeight="false" outlineLevel="0" collapsed="false">
      <c r="B20" s="11" t="s">
        <v>259</v>
      </c>
      <c r="C20" s="11" t="s">
        <v>260</v>
      </c>
      <c r="D20" s="10" t="n">
        <v>72</v>
      </c>
      <c r="E20" s="9" t="n">
        <v>1152</v>
      </c>
      <c r="F20" s="20" t="n">
        <f aca="false">IF(D20=0,0,E20/D20)</f>
        <v>16</v>
      </c>
      <c r="G20" s="22" t="n">
        <v>4</v>
      </c>
      <c r="H20" s="11" t="s">
        <v>5</v>
      </c>
    </row>
    <row r="21" customFormat="false" ht="15" hidden="false" customHeight="false" outlineLevel="0" collapsed="false">
      <c r="B21" s="11" t="s">
        <v>261</v>
      </c>
      <c r="C21" s="11" t="s">
        <v>262</v>
      </c>
      <c r="D21" s="10" t="n">
        <v>58</v>
      </c>
      <c r="E21" s="9" t="n">
        <v>2570.5</v>
      </c>
      <c r="F21" s="20" t="n">
        <f aca="false">IF(D21=0,0,E21/D21)</f>
        <v>44.3189655172414</v>
      </c>
      <c r="G21" s="22" t="n">
        <v>13</v>
      </c>
      <c r="H21" s="11" t="s">
        <v>5</v>
      </c>
    </row>
    <row r="22" customFormat="false" ht="15" hidden="false" customHeight="false" outlineLevel="0" collapsed="false">
      <c r="B22" s="11" t="s">
        <v>263</v>
      </c>
      <c r="C22" s="11" t="s">
        <v>264</v>
      </c>
      <c r="D22" s="10" t="n">
        <v>48.5</v>
      </c>
      <c r="E22" s="9" t="n">
        <v>2444</v>
      </c>
      <c r="F22" s="20" t="n">
        <f aca="false">IF(D22=0,0,E22/D22)</f>
        <v>50.3917525773196</v>
      </c>
      <c r="G22" s="22" t="n">
        <v>28</v>
      </c>
      <c r="H22" s="11" t="s">
        <v>5</v>
      </c>
    </row>
    <row r="23" customFormat="false" ht="15" hidden="false" customHeight="false" outlineLevel="0" collapsed="false">
      <c r="B23" s="11" t="s">
        <v>265</v>
      </c>
      <c r="C23" s="11" t="s">
        <v>266</v>
      </c>
      <c r="D23" s="10" t="n">
        <v>31</v>
      </c>
      <c r="E23" s="9" t="n">
        <v>806</v>
      </c>
      <c r="F23" s="20" t="n">
        <f aca="false">IF(D23=0,0,E23/D23)</f>
        <v>26</v>
      </c>
      <c r="G23" s="22" t="n">
        <v>3</v>
      </c>
      <c r="H23" s="11" t="s">
        <v>5</v>
      </c>
    </row>
    <row r="24" customFormat="false" ht="15" hidden="false" customHeight="false" outlineLevel="0" collapsed="false">
      <c r="B24" s="11" t="s">
        <v>267</v>
      </c>
      <c r="C24" s="11" t="s">
        <v>268</v>
      </c>
      <c r="D24" s="10" t="n">
        <v>29.5</v>
      </c>
      <c r="E24" s="9" t="n">
        <v>1442.5</v>
      </c>
      <c r="F24" s="20" t="n">
        <f aca="false">IF(D24=0,0,E24/D24)</f>
        <v>48.8983050847458</v>
      </c>
      <c r="G24" s="22" t="n">
        <v>8</v>
      </c>
      <c r="H24" s="11" t="s">
        <v>5</v>
      </c>
    </row>
    <row r="25" customFormat="false" ht="15" hidden="false" customHeight="false" outlineLevel="0" collapsed="false">
      <c r="B25" s="11" t="s">
        <v>269</v>
      </c>
      <c r="C25" s="11" t="s">
        <v>270</v>
      </c>
      <c r="D25" s="10" t="n">
        <v>19</v>
      </c>
      <c r="E25" s="9" t="n">
        <v>380</v>
      </c>
      <c r="F25" s="20" t="n">
        <f aca="false">IF(D25=0,0,E25/D25)</f>
        <v>20</v>
      </c>
      <c r="G25" s="22" t="n">
        <v>2</v>
      </c>
      <c r="H25" s="11" t="s">
        <v>5</v>
      </c>
    </row>
    <row r="26" customFormat="false" ht="15" hidden="false" customHeight="false" outlineLevel="0" collapsed="false">
      <c r="B26" s="11" t="s">
        <v>271</v>
      </c>
      <c r="C26" s="11" t="s">
        <v>272</v>
      </c>
      <c r="D26" s="10" t="n">
        <v>6</v>
      </c>
      <c r="E26" s="9" t="n">
        <v>156</v>
      </c>
      <c r="F26" s="20" t="n">
        <f aca="false">IF(D26=0,0,E26/D26)</f>
        <v>26</v>
      </c>
      <c r="G26" s="22" t="n">
        <v>1</v>
      </c>
      <c r="H26" s="11" t="s">
        <v>5</v>
      </c>
    </row>
    <row r="27" customFormat="false" ht="15" hidden="false" customHeight="false" outlineLevel="0" collapsed="false">
      <c r="B27" s="11" t="s">
        <v>273</v>
      </c>
      <c r="C27" s="11" t="s">
        <v>274</v>
      </c>
      <c r="D27" s="10" t="n">
        <v>6</v>
      </c>
      <c r="E27" s="9" t="n">
        <v>297</v>
      </c>
      <c r="F27" s="20" t="n">
        <f aca="false">IF(D27=0,0,E27/D27)</f>
        <v>49.5</v>
      </c>
      <c r="G27" s="22" t="n">
        <v>1</v>
      </c>
      <c r="H27" s="11" t="s">
        <v>5</v>
      </c>
    </row>
    <row r="28" customFormat="false" ht="15" hidden="false" customHeight="false" outlineLevel="0" collapsed="false">
      <c r="B28" s="18" t="s">
        <v>148</v>
      </c>
      <c r="D28" s="21" t="n">
        <f aca="false">SUM(D6:D27)</f>
        <v>5763.5</v>
      </c>
      <c r="E28" s="20" t="n">
        <f aca="false">SUM(E6:E27)</f>
        <v>163713.5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275</v>
      </c>
    </row>
    <row r="3" customFormat="false" ht="21.75" hidden="false" customHeight="true" outlineLevel="0" collapsed="false">
      <c r="B3" s="2" t="s">
        <v>276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277</v>
      </c>
    </row>
    <row r="6" customFormat="false" ht="15" hidden="false" customHeight="false" outlineLevel="0" collapsed="false">
      <c r="B6" s="3" t="s">
        <v>278</v>
      </c>
      <c r="C6" s="3" t="s">
        <v>279</v>
      </c>
      <c r="D6" s="3" t="s">
        <v>280</v>
      </c>
      <c r="E6" s="3" t="s">
        <v>87</v>
      </c>
    </row>
    <row r="7" customFormat="false" ht="15" hidden="false" customHeight="false" outlineLevel="0" collapsed="false">
      <c r="B7" s="11" t="s">
        <v>281</v>
      </c>
      <c r="C7" s="10" t="n">
        <v>22</v>
      </c>
      <c r="D7" s="11" t="s">
        <v>282</v>
      </c>
      <c r="E7" s="11" t="s">
        <v>5</v>
      </c>
    </row>
    <row r="8" customFormat="false" ht="15" hidden="false" customHeight="false" outlineLevel="0" collapsed="false">
      <c r="B8" s="11" t="s">
        <v>283</v>
      </c>
      <c r="C8" s="10" t="n">
        <v>5763.5</v>
      </c>
      <c r="D8" s="11" t="s">
        <v>284</v>
      </c>
      <c r="E8" s="11" t="s">
        <v>5</v>
      </c>
    </row>
    <row r="9" customFormat="false" ht="15" hidden="false" customHeight="false" outlineLevel="0" collapsed="false">
      <c r="B9" s="11" t="s">
        <v>285</v>
      </c>
      <c r="C9" s="10" t="n">
        <v>163713.5</v>
      </c>
      <c r="D9" s="11" t="s">
        <v>284</v>
      </c>
      <c r="E9" s="11" t="s">
        <v>5</v>
      </c>
    </row>
    <row r="10" customFormat="false" ht="15" hidden="false" customHeight="false" outlineLevel="0" collapsed="false">
      <c r="B10" s="11" t="s">
        <v>286</v>
      </c>
      <c r="C10" s="9" t="n">
        <v>28.4052225210376</v>
      </c>
      <c r="D10" s="11" t="s">
        <v>287</v>
      </c>
      <c r="E10" s="11" t="s">
        <v>288</v>
      </c>
    </row>
    <row r="11" customFormat="false" ht="15" hidden="false" customHeight="false" outlineLevel="0" collapsed="false">
      <c r="B11" s="11" t="s">
        <v>289</v>
      </c>
      <c r="C11" s="24" t="n">
        <v>0.175500997657673</v>
      </c>
      <c r="D11" s="11" t="s">
        <v>290</v>
      </c>
      <c r="E11" s="11" t="s">
        <v>288</v>
      </c>
    </row>
    <row r="12" customFormat="false" ht="15" hidden="false" customHeight="false" outlineLevel="0" collapsed="false">
      <c r="B12" s="11" t="s">
        <v>291</v>
      </c>
      <c r="C12" s="24" t="n">
        <v>0.672508024637807</v>
      </c>
      <c r="D12" s="11" t="s">
        <v>292</v>
      </c>
      <c r="E12" s="11" t="s">
        <v>288</v>
      </c>
    </row>
    <row r="13" customFormat="false" ht="15" hidden="false" customHeight="false" outlineLevel="0" collapsed="false">
      <c r="B13" s="11" t="s">
        <v>293</v>
      </c>
      <c r="C13" s="9" t="n">
        <v>62.5</v>
      </c>
      <c r="D13" s="11" t="s">
        <v>294</v>
      </c>
      <c r="E13" s="11" t="s">
        <v>288</v>
      </c>
    </row>
    <row r="14" customFormat="false" ht="15" hidden="false" customHeight="false" outlineLevel="0" collapsed="false">
      <c r="B14" s="11" t="s">
        <v>295</v>
      </c>
      <c r="C14" s="9" t="n">
        <v>16</v>
      </c>
      <c r="D14" s="11" t="s">
        <v>294</v>
      </c>
      <c r="E14" s="11" t="s">
        <v>288</v>
      </c>
    </row>
    <row r="15" customFormat="false" ht="15" hidden="false" customHeight="false" outlineLevel="0" collapsed="false">
      <c r="B15" s="11" t="s">
        <v>296</v>
      </c>
      <c r="C15" s="10" t="n">
        <v>261.977272727273</v>
      </c>
      <c r="D15" s="11" t="s">
        <v>297</v>
      </c>
      <c r="E15" s="11" t="s">
        <v>288</v>
      </c>
    </row>
    <row r="16" customFormat="false" ht="15" hidden="false" customHeight="false" outlineLevel="0" collapsed="false">
      <c r="B16" s="11" t="s">
        <v>298</v>
      </c>
      <c r="C16" s="10" t="n">
        <v>15.5</v>
      </c>
      <c r="D16" s="11" t="s">
        <v>299</v>
      </c>
      <c r="E16" s="11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300</v>
      </c>
    </row>
    <row r="3" customFormat="false" ht="21.75" hidden="false" customHeight="true" outlineLevel="0" collapsed="false">
      <c r="B3" s="2" t="s">
        <v>301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278</v>
      </c>
      <c r="C5" s="3" t="s">
        <v>279</v>
      </c>
      <c r="D5" s="3" t="s">
        <v>302</v>
      </c>
      <c r="E5" s="3" t="s">
        <v>303</v>
      </c>
    </row>
    <row r="6" customFormat="false" ht="15" hidden="false" customHeight="false" outlineLevel="0" collapsed="false">
      <c r="B6" s="11" t="s">
        <v>304</v>
      </c>
      <c r="C6" s="9" t="n">
        <v>159.376420577774</v>
      </c>
      <c r="D6" s="11" t="s">
        <v>305</v>
      </c>
    </row>
    <row r="7" customFormat="false" ht="15" hidden="false" customHeight="false" outlineLevel="0" collapsed="false">
      <c r="B7" s="11" t="s">
        <v>306</v>
      </c>
      <c r="C7" s="9" t="n">
        <v>74.0538041120847</v>
      </c>
      <c r="D7" s="11" t="s">
        <v>305</v>
      </c>
    </row>
    <row r="8" customFormat="false" ht="15" hidden="false" customHeight="false" outlineLevel="0" collapsed="false">
      <c r="B8" s="11" t="s">
        <v>307</v>
      </c>
      <c r="C8" s="9" t="n">
        <v>28.3691333391169</v>
      </c>
      <c r="D8" s="11" t="s">
        <v>305</v>
      </c>
      <c r="E8" s="11" t="s">
        <v>308</v>
      </c>
    </row>
    <row r="9" customFormat="false" ht="15" hidden="false" customHeight="false" outlineLevel="0" collapsed="false">
      <c r="B9" s="11" t="s">
        <v>309</v>
      </c>
      <c r="C9" s="9" t="n">
        <v>57.9979</v>
      </c>
      <c r="D9" s="11" t="s">
        <v>305</v>
      </c>
      <c r="E9" s="11" t="s">
        <v>310</v>
      </c>
    </row>
    <row r="10" customFormat="false" ht="15" hidden="false" customHeight="false" outlineLevel="0" collapsed="false">
      <c r="B10" s="11" t="s">
        <v>311</v>
      </c>
      <c r="C10" s="25" t="n">
        <v>1.3421</v>
      </c>
      <c r="D10" s="11" t="s">
        <v>312</v>
      </c>
      <c r="E10" s="11" t="s">
        <v>313</v>
      </c>
    </row>
    <row r="11" customFormat="false" ht="15" hidden="false" customHeight="false" outlineLevel="0" collapsed="false">
      <c r="B11" s="11" t="s">
        <v>314</v>
      </c>
      <c r="C11" s="10" t="n">
        <v>2862.5</v>
      </c>
      <c r="D11" s="11" t="s">
        <v>315</v>
      </c>
    </row>
    <row r="12" customFormat="false" ht="15" hidden="false" customHeight="false" outlineLevel="0" collapsed="false">
      <c r="B12" s="11" t="s">
        <v>316</v>
      </c>
      <c r="C12" s="10" t="n">
        <v>503</v>
      </c>
      <c r="D12" s="11" t="s">
        <v>315</v>
      </c>
    </row>
    <row r="13" customFormat="false" ht="15" hidden="false" customHeight="false" outlineLevel="0" collapsed="false">
      <c r="B13" s="11" t="s">
        <v>317</v>
      </c>
      <c r="C13" s="26" t="n">
        <v>0.503828214380005</v>
      </c>
      <c r="D13" s="11" t="s">
        <v>318</v>
      </c>
    </row>
    <row r="14" customFormat="false" ht="15" hidden="false" customHeight="false" outlineLevel="0" collapsed="false">
      <c r="B14" s="11" t="s">
        <v>319</v>
      </c>
      <c r="C14" s="26" t="n">
        <v>0.46464717831925</v>
      </c>
      <c r="D14" s="11" t="s">
        <v>318</v>
      </c>
    </row>
    <row r="15" customFormat="false" ht="15" hidden="false" customHeight="false" outlineLevel="0" collapsed="false">
      <c r="B15" s="11" t="s">
        <v>320</v>
      </c>
      <c r="C15" s="26" t="n">
        <v>0.178000818667358</v>
      </c>
      <c r="D15" s="11" t="s">
        <v>318</v>
      </c>
    </row>
    <row r="16" customFormat="false" ht="15" hidden="false" customHeight="false" outlineLevel="0" collapsed="false">
      <c r="B16" s="11" t="s">
        <v>321</v>
      </c>
      <c r="C16" s="26" t="n">
        <v>0.223129083811071</v>
      </c>
      <c r="D16" s="11" t="s">
        <v>318</v>
      </c>
    </row>
    <row r="17" customFormat="false" ht="15" hidden="false" customHeight="false" outlineLevel="0" collapsed="false">
      <c r="B17" s="11" t="s">
        <v>322</v>
      </c>
      <c r="C17" s="26" t="n">
        <v>0.53535282168075</v>
      </c>
      <c r="D17" s="11" t="s">
        <v>318</v>
      </c>
      <c r="E17" s="11" t="s">
        <v>323</v>
      </c>
    </row>
    <row r="18" customFormat="false" ht="15" hidden="false" customHeight="false" outlineLevel="0" collapsed="false">
      <c r="B18" s="11" t="s">
        <v>324</v>
      </c>
      <c r="C18" s="9" t="n">
        <v>18371.32</v>
      </c>
      <c r="D18" s="11" t="s">
        <v>325</v>
      </c>
      <c r="E18" s="11" t="s">
        <v>326</v>
      </c>
    </row>
    <row r="19" customFormat="false" ht="15" hidden="false" customHeight="false" outlineLevel="0" collapsed="false">
      <c r="B19" s="11" t="s">
        <v>327</v>
      </c>
      <c r="C19" s="10" t="n">
        <v>115.27</v>
      </c>
      <c r="D19" s="11" t="s">
        <v>315</v>
      </c>
    </row>
    <row r="20" customFormat="false" ht="15" hidden="false" customHeight="false" outlineLevel="0" collapsed="false">
      <c r="B20" s="11" t="s">
        <v>328</v>
      </c>
      <c r="C20" s="9" t="n">
        <v>3270.11</v>
      </c>
      <c r="D20" s="11" t="s">
        <v>325</v>
      </c>
    </row>
    <row r="21" customFormat="false" ht="15" hidden="false" customHeight="false" outlineLevel="0" collapsed="false">
      <c r="B21" s="11" t="s">
        <v>329</v>
      </c>
      <c r="C21" s="9" t="n">
        <v>4099.1758</v>
      </c>
      <c r="D21" s="11" t="s">
        <v>325</v>
      </c>
    </row>
    <row r="22" customFormat="false" ht="15" hidden="false" customHeight="false" outlineLevel="0" collapsed="false">
      <c r="B22" s="11" t="s">
        <v>330</v>
      </c>
      <c r="C22" s="9" t="n">
        <v>9835.138</v>
      </c>
      <c r="D22" s="11" t="s">
        <v>325</v>
      </c>
    </row>
    <row r="23" customFormat="false" ht="15" hidden="false" customHeight="false" outlineLevel="0" collapsed="false">
      <c r="B23" s="11" t="s">
        <v>331</v>
      </c>
      <c r="C23" s="10" t="n">
        <v>57.25</v>
      </c>
      <c r="D23" s="11" t="s">
        <v>315</v>
      </c>
    </row>
    <row r="24" customFormat="false" ht="15" hidden="false" customHeight="false" outlineLevel="0" collapsed="false">
      <c r="B24" s="11" t="s">
        <v>332</v>
      </c>
      <c r="C24" s="9" t="n">
        <v>2325.4835443038</v>
      </c>
      <c r="D24" s="11" t="s">
        <v>325</v>
      </c>
      <c r="E24" s="11" t="s">
        <v>333</v>
      </c>
    </row>
    <row r="25" customFormat="false" ht="15" hidden="false" customHeight="false" outlineLevel="0" collapsed="false">
      <c r="B25" s="11" t="s">
        <v>334</v>
      </c>
      <c r="C25" s="10" t="n">
        <v>14.5911392405063</v>
      </c>
      <c r="D25" s="11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335</v>
      </c>
    </row>
    <row r="3" customFormat="false" ht="21.75" hidden="false" customHeight="true" outlineLevel="0" collapsed="false">
      <c r="B3" s="2" t="s">
        <v>336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337</v>
      </c>
      <c r="C5" s="3" t="s">
        <v>338</v>
      </c>
      <c r="D5" s="3" t="s">
        <v>339</v>
      </c>
      <c r="E5" s="3" t="s">
        <v>340</v>
      </c>
      <c r="F5" s="3" t="s">
        <v>67</v>
      </c>
      <c r="G5" s="3" t="s">
        <v>80</v>
      </c>
      <c r="H5" s="3" t="s">
        <v>341</v>
      </c>
      <c r="I5" s="3" t="s">
        <v>87</v>
      </c>
    </row>
    <row r="6" customFormat="false" ht="15" hidden="false" customHeight="false" outlineLevel="0" collapsed="false">
      <c r="B6" s="11" t="s">
        <v>342</v>
      </c>
      <c r="C6" s="11" t="s">
        <v>343</v>
      </c>
      <c r="D6" s="11" t="s">
        <v>12</v>
      </c>
      <c r="E6" s="11" t="s">
        <v>344</v>
      </c>
      <c r="F6" s="11" t="s">
        <v>345</v>
      </c>
      <c r="G6" s="11" t="s">
        <v>346</v>
      </c>
      <c r="H6" s="9" t="n">
        <v>897800</v>
      </c>
      <c r="I6" s="11" t="s">
        <v>20</v>
      </c>
    </row>
    <row r="7" customFormat="false" ht="15" hidden="false" customHeight="false" outlineLevel="0" collapsed="false">
      <c r="B7" s="11" t="s">
        <v>347</v>
      </c>
      <c r="C7" s="11" t="s">
        <v>348</v>
      </c>
      <c r="D7" s="11" t="s">
        <v>12</v>
      </c>
      <c r="E7" s="11" t="s">
        <v>349</v>
      </c>
      <c r="F7" s="11" t="s">
        <v>350</v>
      </c>
      <c r="G7" s="11" t="s">
        <v>351</v>
      </c>
      <c r="H7" s="9" t="n">
        <v>20766</v>
      </c>
      <c r="I7" s="11" t="s">
        <v>5</v>
      </c>
    </row>
    <row r="8" customFormat="false" ht="15" hidden="false" customHeight="false" outlineLevel="0" collapsed="false">
      <c r="B8" s="18" t="s">
        <v>352</v>
      </c>
      <c r="H8" s="20" t="n">
        <f aca="false">SUM(H6:H7)</f>
        <v>918566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353</v>
      </c>
    </row>
    <row r="3" customFormat="false" ht="21.75" hidden="false" customHeight="true" outlineLevel="0" collapsed="false">
      <c r="B3" s="2" t="s">
        <v>354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355</v>
      </c>
      <c r="C5" s="3" t="s">
        <v>338</v>
      </c>
      <c r="D5" s="3" t="s">
        <v>356</v>
      </c>
      <c r="E5" s="3" t="s">
        <v>357</v>
      </c>
      <c r="F5" s="3" t="s">
        <v>358</v>
      </c>
      <c r="G5" s="3" t="s">
        <v>87</v>
      </c>
    </row>
    <row r="6" customFormat="false" ht="15" hidden="false" customHeight="false" outlineLevel="0" collapsed="false">
      <c r="B6" s="11" t="s">
        <v>359</v>
      </c>
      <c r="C6" s="11" t="s">
        <v>360</v>
      </c>
      <c r="D6" s="27" t="n">
        <v>-8800</v>
      </c>
      <c r="E6" s="27" t="n">
        <v>-440</v>
      </c>
      <c r="F6" s="22" t="n">
        <v>4</v>
      </c>
      <c r="G6" s="11" t="s">
        <v>5</v>
      </c>
    </row>
    <row r="7" customFormat="false" ht="15" hidden="false" customHeight="false" outlineLevel="0" collapsed="false">
      <c r="B7" s="11" t="s">
        <v>361</v>
      </c>
      <c r="C7" s="11" t="s">
        <v>362</v>
      </c>
      <c r="D7" s="27" t="n">
        <v>-15643</v>
      </c>
      <c r="E7" s="27" t="n">
        <v>-782.15</v>
      </c>
      <c r="F7" s="22" t="n">
        <v>4</v>
      </c>
      <c r="G7" s="11" t="s">
        <v>5</v>
      </c>
    </row>
    <row r="8" customFormat="false" ht="15" hidden="false" customHeight="false" outlineLevel="0" collapsed="false">
      <c r="B8" s="11" t="s">
        <v>363</v>
      </c>
      <c r="C8" s="11" t="s">
        <v>364</v>
      </c>
      <c r="D8" s="27" t="n">
        <v>-37670</v>
      </c>
      <c r="E8" s="27" t="n">
        <v>-1883.5</v>
      </c>
      <c r="F8" s="22" t="n">
        <v>4</v>
      </c>
      <c r="G8" s="11" t="s">
        <v>5</v>
      </c>
    </row>
    <row r="9" customFormat="false" ht="15" hidden="false" customHeight="false" outlineLevel="0" collapsed="false">
      <c r="B9" s="11" t="s">
        <v>365</v>
      </c>
      <c r="C9" s="11" t="s">
        <v>366</v>
      </c>
      <c r="D9" s="27" t="n">
        <v>-45900</v>
      </c>
      <c r="E9" s="27" t="n">
        <v>-2295</v>
      </c>
      <c r="F9" s="22" t="n">
        <v>3</v>
      </c>
      <c r="G9" s="11" t="s">
        <v>5</v>
      </c>
    </row>
    <row r="10" customFormat="false" ht="15" hidden="false" customHeight="false" outlineLevel="0" collapsed="false">
      <c r="B10" s="11" t="s">
        <v>367</v>
      </c>
      <c r="C10" s="11" t="s">
        <v>368</v>
      </c>
      <c r="D10" s="27" t="n">
        <v>-35800</v>
      </c>
      <c r="E10" s="27" t="n">
        <v>-1790</v>
      </c>
      <c r="F10" s="22" t="n">
        <v>1</v>
      </c>
      <c r="G10" s="11" t="s">
        <v>5</v>
      </c>
    </row>
    <row r="11" customFormat="false" ht="15" hidden="false" customHeight="false" outlineLevel="0" collapsed="false">
      <c r="B11" s="11" t="s">
        <v>369</v>
      </c>
      <c r="C11" s="11" t="s">
        <v>370</v>
      </c>
      <c r="D11" s="27" t="n">
        <v>-52129</v>
      </c>
      <c r="E11" s="27" t="n">
        <v>-2606.45</v>
      </c>
      <c r="F11" s="22" t="n">
        <v>7</v>
      </c>
      <c r="G11" s="11" t="s">
        <v>5</v>
      </c>
    </row>
    <row r="12" customFormat="false" ht="15" hidden="false" customHeight="false" outlineLevel="0" collapsed="false">
      <c r="B12" s="11" t="s">
        <v>371</v>
      </c>
      <c r="C12" s="11" t="s">
        <v>372</v>
      </c>
      <c r="D12" s="27" t="n">
        <v>-560</v>
      </c>
      <c r="E12" s="27" t="n">
        <v>-28</v>
      </c>
      <c r="F12" s="22" t="n">
        <v>1</v>
      </c>
      <c r="G12" s="11" t="s">
        <v>5</v>
      </c>
    </row>
    <row r="13" customFormat="false" ht="15" hidden="false" customHeight="false" outlineLevel="0" collapsed="false">
      <c r="B13" s="11" t="s">
        <v>373</v>
      </c>
      <c r="C13" s="11" t="s">
        <v>374</v>
      </c>
      <c r="D13" s="27" t="n">
        <v>-18133</v>
      </c>
      <c r="E13" s="27" t="n">
        <v>-906.65</v>
      </c>
      <c r="F13" s="22" t="n">
        <v>3</v>
      </c>
      <c r="G13" s="11" t="s">
        <v>5</v>
      </c>
    </row>
    <row r="14" customFormat="false" ht="15" hidden="false" customHeight="false" outlineLevel="0" collapsed="false">
      <c r="B14" s="11" t="s">
        <v>375</v>
      </c>
      <c r="C14" s="11" t="s">
        <v>376</v>
      </c>
      <c r="D14" s="27" t="n">
        <v>-322655</v>
      </c>
      <c r="E14" s="27" t="n">
        <v>-16132.75</v>
      </c>
      <c r="F14" s="22" t="n">
        <v>12</v>
      </c>
      <c r="G14" s="11" t="s">
        <v>5</v>
      </c>
    </row>
    <row r="15" customFormat="false" ht="15" hidden="false" customHeight="false" outlineLevel="0" collapsed="false">
      <c r="B15" s="11" t="s">
        <v>377</v>
      </c>
      <c r="C15" s="11" t="s">
        <v>378</v>
      </c>
      <c r="D15" s="27" t="n">
        <v>-48305</v>
      </c>
      <c r="E15" s="27" t="n">
        <v>-2415.25</v>
      </c>
      <c r="F15" s="22" t="n">
        <v>4</v>
      </c>
      <c r="G15" s="11" t="s">
        <v>5</v>
      </c>
    </row>
    <row r="16" customFormat="false" ht="15" hidden="false" customHeight="false" outlineLevel="0" collapsed="false">
      <c r="B16" s="11" t="s">
        <v>379</v>
      </c>
      <c r="C16" s="11" t="s">
        <v>380</v>
      </c>
      <c r="D16" s="27" t="n">
        <v>293455</v>
      </c>
      <c r="E16" s="27" t="n">
        <v>14672.75</v>
      </c>
      <c r="F16" s="22" t="n">
        <v>11</v>
      </c>
      <c r="G16" s="11" t="s">
        <v>5</v>
      </c>
    </row>
    <row r="17" customFormat="false" ht="15" hidden="false" customHeight="false" outlineLevel="0" collapsed="false">
      <c r="B17" s="11" t="s">
        <v>381</v>
      </c>
      <c r="C17" s="11" t="s">
        <v>380</v>
      </c>
      <c r="D17" s="27" t="n">
        <v>-297750</v>
      </c>
      <c r="E17" s="27" t="n">
        <v>-14887.5</v>
      </c>
      <c r="F17" s="22" t="n">
        <v>11</v>
      </c>
      <c r="G17" s="11" t="s">
        <v>5</v>
      </c>
    </row>
    <row r="18" customFormat="false" ht="15" hidden="false" customHeight="false" outlineLevel="0" collapsed="false">
      <c r="B18" s="11" t="s">
        <v>382</v>
      </c>
      <c r="C18" s="11" t="s">
        <v>383</v>
      </c>
      <c r="D18" s="27" t="n">
        <v>-191610</v>
      </c>
      <c r="E18" s="27" t="n">
        <v>-9580.5</v>
      </c>
      <c r="F18" s="22" t="n">
        <v>10</v>
      </c>
      <c r="G18" s="11" t="s">
        <v>5</v>
      </c>
    </row>
    <row r="19" customFormat="false" ht="15" hidden="false" customHeight="false" outlineLevel="0" collapsed="false">
      <c r="B19" s="11" t="s">
        <v>384</v>
      </c>
      <c r="C19" s="11" t="s">
        <v>385</v>
      </c>
      <c r="D19" s="27" t="n">
        <v>-130430</v>
      </c>
      <c r="E19" s="27" t="n">
        <v>-6521.5</v>
      </c>
      <c r="F19" s="22" t="n">
        <v>11</v>
      </c>
      <c r="G19" s="11" t="s">
        <v>5</v>
      </c>
    </row>
    <row r="20" customFormat="false" ht="15" hidden="false" customHeight="false" outlineLevel="0" collapsed="false">
      <c r="B20" s="11" t="s">
        <v>386</v>
      </c>
      <c r="C20" s="11" t="s">
        <v>385</v>
      </c>
      <c r="D20" s="27" t="n">
        <v>130430</v>
      </c>
      <c r="E20" s="27" t="n">
        <v>6521.5</v>
      </c>
      <c r="F20" s="22" t="n">
        <v>11</v>
      </c>
      <c r="G20" s="11" t="s">
        <v>5</v>
      </c>
    </row>
    <row r="21" customFormat="false" ht="15" hidden="false" customHeight="false" outlineLevel="0" collapsed="false">
      <c r="B21" s="11" t="s">
        <v>387</v>
      </c>
      <c r="C21" s="11" t="s">
        <v>385</v>
      </c>
      <c r="D21" s="27" t="n">
        <v>-137066</v>
      </c>
      <c r="E21" s="27" t="n">
        <v>-6853.3</v>
      </c>
      <c r="F21" s="22" t="n">
        <v>13</v>
      </c>
      <c r="G21" s="11" t="s">
        <v>5</v>
      </c>
    </row>
    <row r="22" customFormat="false" ht="15" hidden="false" customHeight="false" outlineLevel="0" collapsed="false">
      <c r="B22" s="18" t="s">
        <v>388</v>
      </c>
      <c r="D22" s="16" t="n">
        <f aca="false">SUM(D6:D21)</f>
        <v>-918566</v>
      </c>
      <c r="E22" s="16" t="n">
        <f aca="false">SUM(E6:E21)</f>
        <v>-45928.3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389</v>
      </c>
    </row>
    <row r="3" customFormat="false" ht="21.75" hidden="false" customHeight="true" outlineLevel="0" collapsed="false">
      <c r="B3" s="2" t="s">
        <v>390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391</v>
      </c>
      <c r="C5" s="3" t="s">
        <v>392</v>
      </c>
      <c r="D5" s="3" t="s">
        <v>393</v>
      </c>
      <c r="E5" s="3" t="s">
        <v>394</v>
      </c>
      <c r="F5" s="3" t="s">
        <v>87</v>
      </c>
    </row>
    <row r="6" customFormat="false" ht="15" hidden="false" customHeight="false" outlineLevel="0" collapsed="false">
      <c r="B6" s="11" t="n">
        <v>1</v>
      </c>
      <c r="C6" s="11" t="s">
        <v>395</v>
      </c>
      <c r="D6" s="11" t="s">
        <v>396</v>
      </c>
      <c r="E6" s="13" t="s">
        <v>397</v>
      </c>
      <c r="F6" s="11" t="s">
        <v>5</v>
      </c>
    </row>
    <row r="7" customFormat="false" ht="15" hidden="false" customHeight="false" outlineLevel="0" collapsed="false">
      <c r="B7" s="11" t="n">
        <v>2</v>
      </c>
      <c r="C7" s="11" t="s">
        <v>398</v>
      </c>
      <c r="D7" s="11" t="s">
        <v>399</v>
      </c>
      <c r="E7" s="13" t="s">
        <v>397</v>
      </c>
      <c r="F7" s="11" t="s">
        <v>400</v>
      </c>
    </row>
    <row r="8" customFormat="false" ht="15" hidden="false" customHeight="false" outlineLevel="0" collapsed="false">
      <c r="B8" s="11" t="n">
        <v>3</v>
      </c>
      <c r="C8" s="11" t="s">
        <v>401</v>
      </c>
      <c r="D8" s="11" t="s">
        <v>402</v>
      </c>
      <c r="E8" s="13" t="s">
        <v>397</v>
      </c>
      <c r="F8" s="11" t="s">
        <v>5</v>
      </c>
    </row>
    <row r="9" customFormat="false" ht="15" hidden="false" customHeight="false" outlineLevel="0" collapsed="false">
      <c r="B9" s="11" t="n">
        <v>4</v>
      </c>
      <c r="C9" s="11" t="s">
        <v>403</v>
      </c>
      <c r="D9" s="11" t="s">
        <v>404</v>
      </c>
      <c r="E9" s="13" t="s">
        <v>397</v>
      </c>
      <c r="F9" s="11" t="s">
        <v>5</v>
      </c>
    </row>
    <row r="10" customFormat="false" ht="15" hidden="false" customHeight="false" outlineLevel="0" collapsed="false">
      <c r="B10" s="11" t="n">
        <v>5</v>
      </c>
      <c r="C10" s="11" t="s">
        <v>405</v>
      </c>
      <c r="D10" s="11" t="s">
        <v>406</v>
      </c>
      <c r="E10" s="13" t="s">
        <v>397</v>
      </c>
      <c r="F10" s="11" t="s">
        <v>5</v>
      </c>
    </row>
    <row r="11" customFormat="false" ht="15" hidden="false" customHeight="false" outlineLevel="0" collapsed="false">
      <c r="B11" s="11" t="n">
        <v>6</v>
      </c>
      <c r="C11" s="11" t="s">
        <v>407</v>
      </c>
      <c r="D11" s="11" t="s">
        <v>408</v>
      </c>
      <c r="E11" s="13" t="s">
        <v>397</v>
      </c>
      <c r="F11" s="11" t="s">
        <v>5</v>
      </c>
    </row>
    <row r="12" customFormat="false" ht="15" hidden="false" customHeight="false" outlineLevel="0" collapsed="false">
      <c r="B12" s="11" t="n">
        <v>7</v>
      </c>
      <c r="C12" s="11" t="s">
        <v>409</v>
      </c>
      <c r="D12" s="11" t="s">
        <v>410</v>
      </c>
      <c r="E12" s="13" t="s">
        <v>397</v>
      </c>
      <c r="F12" s="11" t="s">
        <v>5</v>
      </c>
    </row>
    <row r="13" customFormat="false" ht="15" hidden="false" customHeight="false" outlineLevel="0" collapsed="false">
      <c r="B13" s="11" t="n">
        <v>8</v>
      </c>
      <c r="C13" s="11" t="s">
        <v>411</v>
      </c>
      <c r="D13" s="11" t="s">
        <v>412</v>
      </c>
      <c r="E13" s="13" t="s">
        <v>397</v>
      </c>
      <c r="F13" s="11" t="s">
        <v>5</v>
      </c>
    </row>
    <row r="14" customFormat="false" ht="15" hidden="false" customHeight="false" outlineLevel="0" collapsed="false">
      <c r="B14" s="11" t="n">
        <v>9</v>
      </c>
      <c r="C14" s="11" t="s">
        <v>413</v>
      </c>
      <c r="D14" s="11" t="s">
        <v>414</v>
      </c>
      <c r="E14" s="13" t="s">
        <v>397</v>
      </c>
      <c r="F14" s="11" t="s">
        <v>13</v>
      </c>
    </row>
    <row r="15" customFormat="false" ht="15" hidden="false" customHeight="false" outlineLevel="0" collapsed="false">
      <c r="B15" s="11" t="n">
        <v>10</v>
      </c>
      <c r="C15" s="11" t="s">
        <v>415</v>
      </c>
      <c r="D15" s="11" t="s">
        <v>416</v>
      </c>
      <c r="E15" s="13" t="s">
        <v>397</v>
      </c>
      <c r="F15" s="11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418</v>
      </c>
    </row>
    <row r="3" customFormat="false" ht="21.75" hidden="false" customHeight="true" outlineLevel="0" collapsed="false">
      <c r="B3" s="2" t="s">
        <v>419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420</v>
      </c>
      <c r="C5" s="3" t="s">
        <v>421</v>
      </c>
      <c r="D5" s="3" t="s">
        <v>279</v>
      </c>
      <c r="E5" s="3" t="s">
        <v>151</v>
      </c>
      <c r="F5" s="3" t="s">
        <v>280</v>
      </c>
      <c r="G5" s="3" t="s">
        <v>394</v>
      </c>
      <c r="H5" s="3" t="s">
        <v>422</v>
      </c>
    </row>
    <row r="6" customFormat="false" ht="15" hidden="false" customHeight="false" outlineLevel="0" collapsed="false">
      <c r="B6" s="11" t="s">
        <v>423</v>
      </c>
      <c r="C6" s="11" t="s">
        <v>424</v>
      </c>
      <c r="D6" s="11" t="s">
        <v>4</v>
      </c>
      <c r="E6" s="11" t="s">
        <v>425</v>
      </c>
      <c r="F6" s="11" t="s">
        <v>426</v>
      </c>
      <c r="G6" s="13" t="s">
        <v>397</v>
      </c>
      <c r="H6" s="11" t="s">
        <v>5</v>
      </c>
    </row>
    <row r="7" customFormat="false" ht="15" hidden="false" customHeight="false" outlineLevel="0" collapsed="false">
      <c r="B7" s="11" t="s">
        <v>427</v>
      </c>
      <c r="C7" s="11" t="s">
        <v>428</v>
      </c>
      <c r="D7" s="11" t="s">
        <v>429</v>
      </c>
      <c r="E7" s="11" t="s">
        <v>425</v>
      </c>
      <c r="F7" s="11"/>
      <c r="G7" s="13" t="s">
        <v>397</v>
      </c>
      <c r="H7" s="11" t="s">
        <v>5</v>
      </c>
    </row>
    <row r="8" customFormat="false" ht="15" hidden="false" customHeight="false" outlineLevel="0" collapsed="false">
      <c r="B8" s="11" t="s">
        <v>11</v>
      </c>
      <c r="C8" s="11" t="s">
        <v>430</v>
      </c>
      <c r="D8" s="11" t="s">
        <v>12</v>
      </c>
      <c r="E8" s="11" t="s">
        <v>425</v>
      </c>
      <c r="F8" s="11"/>
      <c r="G8" s="13" t="s">
        <v>397</v>
      </c>
      <c r="H8" s="11" t="s">
        <v>13</v>
      </c>
    </row>
    <row r="9" customFormat="false" ht="15" hidden="false" customHeight="false" outlineLevel="0" collapsed="false">
      <c r="B9" s="11" t="s">
        <v>71</v>
      </c>
      <c r="C9" s="11" t="s">
        <v>431</v>
      </c>
      <c r="D9" s="11" t="s">
        <v>17</v>
      </c>
      <c r="E9" s="11" t="s">
        <v>425</v>
      </c>
      <c r="F9" s="11"/>
      <c r="G9" s="13" t="s">
        <v>397</v>
      </c>
      <c r="H9" s="11" t="s">
        <v>13</v>
      </c>
    </row>
    <row r="10" customFormat="false" ht="15" hidden="false" customHeight="false" outlineLevel="0" collapsed="false">
      <c r="B10" s="11" t="s">
        <v>34</v>
      </c>
      <c r="C10" s="11" t="s">
        <v>432</v>
      </c>
      <c r="D10" s="11" t="s">
        <v>35</v>
      </c>
      <c r="E10" s="11" t="s">
        <v>425</v>
      </c>
      <c r="F10" s="11"/>
      <c r="G10" s="13" t="s">
        <v>397</v>
      </c>
      <c r="H10" s="11" t="s">
        <v>36</v>
      </c>
    </row>
    <row r="11" customFormat="false" ht="15" hidden="false" customHeight="false" outlineLevel="0" collapsed="false">
      <c r="B11" s="11" t="s">
        <v>433</v>
      </c>
      <c r="C11" s="11" t="s">
        <v>434</v>
      </c>
      <c r="D11" s="11" t="s">
        <v>28</v>
      </c>
      <c r="E11" s="11" t="s">
        <v>425</v>
      </c>
      <c r="F11" s="11"/>
      <c r="G11" s="13" t="s">
        <v>397</v>
      </c>
      <c r="H11" s="11" t="s">
        <v>13</v>
      </c>
    </row>
    <row r="12" customFormat="false" ht="15" hidden="false" customHeight="false" outlineLevel="0" collapsed="false">
      <c r="B12" s="11" t="s">
        <v>435</v>
      </c>
      <c r="C12" s="11" t="s">
        <v>436</v>
      </c>
      <c r="D12" s="11" t="s">
        <v>437</v>
      </c>
      <c r="E12" s="11" t="s">
        <v>425</v>
      </c>
      <c r="F12" s="11"/>
      <c r="G12" s="13" t="s">
        <v>397</v>
      </c>
      <c r="H12" s="11" t="s">
        <v>438</v>
      </c>
    </row>
    <row r="13" customFormat="false" ht="15" hidden="false" customHeight="false" outlineLevel="0" collapsed="false">
      <c r="B13" s="11" t="s">
        <v>439</v>
      </c>
      <c r="C13" s="11" t="s">
        <v>440</v>
      </c>
      <c r="D13" s="11" t="s">
        <v>30</v>
      </c>
      <c r="E13" s="11" t="s">
        <v>425</v>
      </c>
      <c r="F13" s="11"/>
      <c r="G13" s="13" t="s">
        <v>397</v>
      </c>
      <c r="H13" s="11" t="s">
        <v>13</v>
      </c>
    </row>
    <row r="14" customFormat="false" ht="15" hidden="false" customHeight="false" outlineLevel="0" collapsed="false">
      <c r="B14" s="11" t="s">
        <v>18</v>
      </c>
      <c r="C14" s="11" t="s">
        <v>441</v>
      </c>
      <c r="D14" s="11" t="s">
        <v>19</v>
      </c>
      <c r="E14" s="11" t="s">
        <v>425</v>
      </c>
      <c r="F14" s="11"/>
      <c r="G14" s="13" t="s">
        <v>397</v>
      </c>
      <c r="H14" s="11" t="s">
        <v>20</v>
      </c>
    </row>
    <row r="15" customFormat="false" ht="15" hidden="false" customHeight="false" outlineLevel="0" collapsed="false">
      <c r="B15" s="11" t="s">
        <v>442</v>
      </c>
      <c r="C15" s="11" t="s">
        <v>443</v>
      </c>
      <c r="D15" s="11" t="s">
        <v>22</v>
      </c>
      <c r="E15" s="11" t="s">
        <v>425</v>
      </c>
      <c r="F15" s="11"/>
      <c r="G15" s="13" t="s">
        <v>397</v>
      </c>
      <c r="H15" s="11" t="s">
        <v>20</v>
      </c>
    </row>
    <row r="16" customFormat="false" ht="15" hidden="false" customHeight="false" outlineLevel="0" collapsed="false">
      <c r="B16" s="11" t="s">
        <v>25</v>
      </c>
      <c r="C16" s="11" t="s">
        <v>444</v>
      </c>
      <c r="D16" s="11" t="s">
        <v>26</v>
      </c>
      <c r="E16" s="11" t="s">
        <v>425</v>
      </c>
      <c r="F16" s="11"/>
      <c r="G16" s="13" t="s">
        <v>397</v>
      </c>
      <c r="H16" s="11" t="s">
        <v>20</v>
      </c>
    </row>
    <row r="17" customFormat="false" ht="15" hidden="false" customHeight="false" outlineLevel="0" collapsed="false">
      <c r="B17" s="11" t="s">
        <v>445</v>
      </c>
      <c r="C17" s="11" t="s">
        <v>446</v>
      </c>
      <c r="D17" s="11" t="s">
        <v>343</v>
      </c>
      <c r="E17" s="11" t="s">
        <v>425</v>
      </c>
      <c r="F17" s="11"/>
      <c r="G17" s="13" t="s">
        <v>397</v>
      </c>
      <c r="H17" s="11" t="s">
        <v>20</v>
      </c>
    </row>
    <row r="18" customFormat="false" ht="15" hidden="false" customHeight="false" outlineLevel="0" collapsed="false">
      <c r="B18" s="11" t="s">
        <v>447</v>
      </c>
      <c r="C18" s="11" t="s">
        <v>448</v>
      </c>
      <c r="D18" s="11" t="s">
        <v>449</v>
      </c>
      <c r="E18" s="11" t="s">
        <v>425</v>
      </c>
      <c r="F18" s="11"/>
      <c r="G18" s="13" t="s">
        <v>397</v>
      </c>
      <c r="H18" s="11" t="s">
        <v>5</v>
      </c>
    </row>
    <row r="19" customFormat="false" ht="15" hidden="false" customHeight="false" outlineLevel="0" collapsed="false">
      <c r="B19" s="11" t="s">
        <v>450</v>
      </c>
      <c r="C19" s="11" t="s">
        <v>451</v>
      </c>
      <c r="D19" s="11" t="s">
        <v>452</v>
      </c>
      <c r="E19" s="11" t="s">
        <v>425</v>
      </c>
      <c r="F19" s="11"/>
      <c r="G19" s="13" t="s">
        <v>397</v>
      </c>
      <c r="H19" s="11" t="s">
        <v>5</v>
      </c>
    </row>
    <row r="20" customFormat="false" ht="15" hidden="false" customHeight="false" outlineLevel="0" collapsed="false">
      <c r="B20" s="11" t="s">
        <v>453</v>
      </c>
      <c r="C20" s="11" t="s">
        <v>454</v>
      </c>
      <c r="D20" s="22" t="n">
        <v>18</v>
      </c>
      <c r="E20" s="11" t="s">
        <v>425</v>
      </c>
      <c r="F20" s="11"/>
      <c r="G20" s="13" t="s">
        <v>397</v>
      </c>
      <c r="H20" s="11" t="s">
        <v>288</v>
      </c>
    </row>
    <row r="21" customFormat="false" ht="15" hidden="false" customHeight="false" outlineLevel="0" collapsed="false">
      <c r="B21" s="11" t="s">
        <v>39</v>
      </c>
      <c r="C21" s="11" t="s">
        <v>455</v>
      </c>
      <c r="D21" s="22" t="n">
        <v>50</v>
      </c>
      <c r="E21" s="11" t="s">
        <v>425</v>
      </c>
      <c r="F21" s="11" t="s">
        <v>456</v>
      </c>
      <c r="G21" s="13" t="s">
        <v>397</v>
      </c>
      <c r="H21" s="11" t="s">
        <v>457</v>
      </c>
    </row>
    <row r="22" customFormat="false" ht="15" hidden="false" customHeight="false" outlineLevel="0" collapsed="false">
      <c r="B22" s="11" t="s">
        <v>458</v>
      </c>
      <c r="C22" s="11" t="s">
        <v>459</v>
      </c>
      <c r="D22" s="22" t="n">
        <v>395</v>
      </c>
      <c r="E22" s="11" t="s">
        <v>425</v>
      </c>
      <c r="F22" s="11" t="s">
        <v>460</v>
      </c>
      <c r="G22" s="13" t="s">
        <v>397</v>
      </c>
      <c r="H22" s="11" t="s">
        <v>457</v>
      </c>
    </row>
    <row r="23" customFormat="false" ht="15" hidden="false" customHeight="false" outlineLevel="0" collapsed="false">
      <c r="B23" s="11" t="s">
        <v>461</v>
      </c>
      <c r="C23" s="11" t="s">
        <v>462</v>
      </c>
      <c r="D23" s="9" t="n">
        <v>897800</v>
      </c>
      <c r="E23" s="11" t="s">
        <v>463</v>
      </c>
      <c r="F23" s="11"/>
      <c r="G23" s="13" t="s">
        <v>397</v>
      </c>
      <c r="H23" s="11" t="s">
        <v>13</v>
      </c>
    </row>
    <row r="24" customFormat="false" ht="15" hidden="false" customHeight="false" outlineLevel="0" collapsed="false">
      <c r="B24" s="11" t="s">
        <v>464</v>
      </c>
      <c r="C24" s="11" t="s">
        <v>465</v>
      </c>
      <c r="D24" s="9" t="n">
        <v>918566</v>
      </c>
      <c r="E24" s="11" t="s">
        <v>463</v>
      </c>
      <c r="F24" s="11"/>
      <c r="G24" s="13" t="s">
        <v>397</v>
      </c>
      <c r="H24" s="11" t="s">
        <v>13</v>
      </c>
    </row>
    <row r="25" customFormat="false" ht="15" hidden="false" customHeight="false" outlineLevel="0" collapsed="false">
      <c r="B25" s="11" t="s">
        <v>466</v>
      </c>
      <c r="C25" s="11" t="s">
        <v>467</v>
      </c>
      <c r="D25" s="9" t="n">
        <v>20766</v>
      </c>
      <c r="E25" s="11" t="s">
        <v>463</v>
      </c>
      <c r="F25" s="11" t="s">
        <v>468</v>
      </c>
      <c r="G25" s="13" t="s">
        <v>397</v>
      </c>
      <c r="H25" s="11" t="s">
        <v>400</v>
      </c>
    </row>
    <row r="26" customFormat="false" ht="15" hidden="false" customHeight="false" outlineLevel="0" collapsed="false">
      <c r="B26" s="11" t="s">
        <v>469</v>
      </c>
      <c r="C26" s="11" t="s">
        <v>470</v>
      </c>
      <c r="D26" s="26" t="n">
        <v>0.023129873022945</v>
      </c>
      <c r="E26" s="11" t="s">
        <v>463</v>
      </c>
      <c r="F26" s="11"/>
      <c r="G26" s="13" t="s">
        <v>397</v>
      </c>
      <c r="H26" s="11" t="s">
        <v>288</v>
      </c>
    </row>
    <row r="27" customFormat="false" ht="15" hidden="false" customHeight="false" outlineLevel="0" collapsed="false">
      <c r="B27" s="11" t="s">
        <v>471</v>
      </c>
      <c r="C27" s="11" t="s">
        <v>472</v>
      </c>
      <c r="D27" s="9" t="n">
        <v>918566</v>
      </c>
      <c r="E27" s="11" t="s">
        <v>463</v>
      </c>
      <c r="F27" s="11" t="s">
        <v>473</v>
      </c>
      <c r="G27" s="13" t="s">
        <v>397</v>
      </c>
      <c r="H27" s="11" t="s">
        <v>5</v>
      </c>
    </row>
    <row r="28" customFormat="false" ht="15" hidden="false" customHeight="false" outlineLevel="0" collapsed="false">
      <c r="B28" s="11" t="s">
        <v>474</v>
      </c>
      <c r="C28" s="11" t="s">
        <v>475</v>
      </c>
      <c r="D28" s="9" t="n">
        <v>491756.9</v>
      </c>
      <c r="E28" s="11" t="s">
        <v>463</v>
      </c>
      <c r="F28" s="11" t="s">
        <v>476</v>
      </c>
      <c r="G28" s="13" t="s">
        <v>397</v>
      </c>
      <c r="H28" s="11" t="s">
        <v>5</v>
      </c>
    </row>
    <row r="29" customFormat="false" ht="15" hidden="false" customHeight="false" outlineLevel="0" collapsed="false">
      <c r="B29" s="11" t="s">
        <v>477</v>
      </c>
      <c r="C29" s="11" t="s">
        <v>478</v>
      </c>
      <c r="D29" s="9" t="n">
        <v>426809.1</v>
      </c>
      <c r="E29" s="11" t="s">
        <v>463</v>
      </c>
      <c r="F29" s="11" t="s">
        <v>479</v>
      </c>
      <c r="G29" s="13" t="s">
        <v>397</v>
      </c>
      <c r="H29" s="11" t="s">
        <v>5</v>
      </c>
    </row>
    <row r="30" customFormat="false" ht="15" hidden="false" customHeight="false" outlineLevel="0" collapsed="false">
      <c r="B30" s="11" t="s">
        <v>319</v>
      </c>
      <c r="C30" s="11" t="s">
        <v>480</v>
      </c>
      <c r="D30" s="26" t="n">
        <v>0.46464717831925</v>
      </c>
      <c r="E30" s="11" t="s">
        <v>463</v>
      </c>
      <c r="F30" s="11"/>
      <c r="G30" s="13" t="s">
        <v>397</v>
      </c>
      <c r="H30" s="11" t="s">
        <v>288</v>
      </c>
    </row>
    <row r="31" customFormat="false" ht="15" hidden="false" customHeight="false" outlineLevel="0" collapsed="false">
      <c r="B31" s="11" t="s">
        <v>481</v>
      </c>
      <c r="C31" s="11" t="s">
        <v>482</v>
      </c>
      <c r="D31" s="9" t="n">
        <v>45928.3</v>
      </c>
      <c r="E31" s="11" t="s">
        <v>463</v>
      </c>
      <c r="F31" s="11" t="s">
        <v>483</v>
      </c>
      <c r="G31" s="13" t="s">
        <v>397</v>
      </c>
      <c r="H31" s="11" t="s">
        <v>5</v>
      </c>
    </row>
    <row r="32" customFormat="false" ht="15" hidden="false" customHeight="false" outlineLevel="0" collapsed="false">
      <c r="B32" s="11" t="s">
        <v>484</v>
      </c>
      <c r="C32" s="11" t="s">
        <v>485</v>
      </c>
      <c r="D32" s="26" t="n">
        <v>0.05</v>
      </c>
      <c r="E32" s="11" t="s">
        <v>463</v>
      </c>
      <c r="F32" s="11"/>
      <c r="G32" s="13" t="s">
        <v>397</v>
      </c>
      <c r="H32" s="11" t="s">
        <v>288</v>
      </c>
    </row>
    <row r="33" customFormat="false" ht="15" hidden="false" customHeight="false" outlineLevel="0" collapsed="false">
      <c r="B33" s="11" t="s">
        <v>486</v>
      </c>
      <c r="C33" s="11" t="s">
        <v>487</v>
      </c>
      <c r="D33" s="9" t="n">
        <v>163505.5</v>
      </c>
      <c r="E33" s="11" t="s">
        <v>156</v>
      </c>
      <c r="F33" s="11" t="s">
        <v>488</v>
      </c>
      <c r="G33" s="13" t="s">
        <v>397</v>
      </c>
      <c r="H33" s="11" t="s">
        <v>5</v>
      </c>
    </row>
    <row r="34" customFormat="false" ht="15" hidden="false" customHeight="false" outlineLevel="0" collapsed="false">
      <c r="B34" s="11" t="s">
        <v>489</v>
      </c>
      <c r="C34" s="11" t="s">
        <v>490</v>
      </c>
      <c r="D34" s="9" t="n">
        <v>204958.79</v>
      </c>
      <c r="E34" s="11" t="s">
        <v>158</v>
      </c>
      <c r="F34" s="11" t="s">
        <v>491</v>
      </c>
      <c r="G34" s="13" t="s">
        <v>397</v>
      </c>
      <c r="H34" s="11" t="s">
        <v>5</v>
      </c>
    </row>
    <row r="35" customFormat="false" ht="15" hidden="false" customHeight="false" outlineLevel="0" collapsed="false">
      <c r="B35" s="11" t="s">
        <v>492</v>
      </c>
      <c r="C35" s="11" t="s">
        <v>493</v>
      </c>
      <c r="D35" s="9" t="n">
        <v>37734.01</v>
      </c>
      <c r="E35" s="11" t="s">
        <v>463</v>
      </c>
      <c r="F35" s="11" t="s">
        <v>494</v>
      </c>
      <c r="G35" s="13" t="s">
        <v>397</v>
      </c>
      <c r="H35" s="11" t="s">
        <v>5</v>
      </c>
    </row>
    <row r="36" customFormat="false" ht="15" hidden="false" customHeight="false" outlineLevel="0" collapsed="false">
      <c r="B36" s="11" t="s">
        <v>495</v>
      </c>
      <c r="C36" s="11" t="s">
        <v>496</v>
      </c>
      <c r="D36" s="9" t="n">
        <v>72671.19</v>
      </c>
      <c r="E36" s="11" t="s">
        <v>156</v>
      </c>
      <c r="F36" s="11" t="s">
        <v>497</v>
      </c>
      <c r="G36" s="13" t="s">
        <v>397</v>
      </c>
      <c r="H36" s="11" t="s">
        <v>5</v>
      </c>
    </row>
    <row r="37" customFormat="false" ht="15" hidden="false" customHeight="false" outlineLevel="0" collapsed="false">
      <c r="B37" s="11" t="s">
        <v>498</v>
      </c>
      <c r="C37" s="11" t="s">
        <v>499</v>
      </c>
      <c r="D37" s="9" t="n">
        <v>12535.41</v>
      </c>
      <c r="E37" s="11" t="s">
        <v>156</v>
      </c>
      <c r="F37" s="11" t="s">
        <v>500</v>
      </c>
      <c r="G37" s="13" t="s">
        <v>397</v>
      </c>
      <c r="H37" s="11" t="s">
        <v>5</v>
      </c>
    </row>
    <row r="38" customFormat="false" ht="15" hidden="false" customHeight="false" outlineLevel="0" collapsed="false">
      <c r="B38" s="11" t="s">
        <v>283</v>
      </c>
      <c r="C38" s="11" t="s">
        <v>501</v>
      </c>
      <c r="D38" s="10" t="n">
        <v>5763.5</v>
      </c>
      <c r="E38" s="11" t="s">
        <v>156</v>
      </c>
      <c r="F38" s="11" t="s">
        <v>502</v>
      </c>
      <c r="G38" s="13" t="s">
        <v>397</v>
      </c>
      <c r="H38" s="11" t="s">
        <v>5</v>
      </c>
    </row>
    <row r="39" customFormat="false" ht="15" hidden="false" customHeight="false" outlineLevel="0" collapsed="false">
      <c r="B39" s="11" t="s">
        <v>281</v>
      </c>
      <c r="C39" s="11" t="s">
        <v>503</v>
      </c>
      <c r="D39" s="22" t="n">
        <v>22</v>
      </c>
      <c r="E39" s="11" t="s">
        <v>156</v>
      </c>
      <c r="F39" s="11" t="s">
        <v>504</v>
      </c>
      <c r="G39" s="13" t="s">
        <v>397</v>
      </c>
      <c r="H39" s="11" t="s">
        <v>5</v>
      </c>
    </row>
    <row r="40" customFormat="false" ht="15" hidden="false" customHeight="false" outlineLevel="0" collapsed="false">
      <c r="B40" s="11" t="s">
        <v>505</v>
      </c>
      <c r="C40" s="11" t="s">
        <v>506</v>
      </c>
      <c r="D40" s="9" t="n">
        <v>28.3691333391169</v>
      </c>
      <c r="E40" s="11" t="s">
        <v>156</v>
      </c>
      <c r="F40" s="11"/>
      <c r="G40" s="13" t="s">
        <v>397</v>
      </c>
      <c r="H40" s="11" t="s">
        <v>288</v>
      </c>
    </row>
    <row r="41" customFormat="false" ht="15" hidden="false" customHeight="false" outlineLevel="0" collapsed="false">
      <c r="B41" s="11" t="s">
        <v>507</v>
      </c>
      <c r="C41" s="11" t="s">
        <v>508</v>
      </c>
      <c r="D41" s="9" t="n">
        <v>57.9979</v>
      </c>
      <c r="E41" s="11" t="s">
        <v>156</v>
      </c>
      <c r="F41" s="11"/>
      <c r="G41" s="13" t="s">
        <v>397</v>
      </c>
      <c r="H41" s="11" t="s">
        <v>288</v>
      </c>
    </row>
    <row r="42" customFormat="false" ht="15" hidden="false" customHeight="false" outlineLevel="0" collapsed="false">
      <c r="B42" s="11" t="s">
        <v>311</v>
      </c>
      <c r="C42" s="11" t="s">
        <v>509</v>
      </c>
      <c r="D42" s="25" t="n">
        <v>1.3421</v>
      </c>
      <c r="E42" s="11" t="s">
        <v>156</v>
      </c>
      <c r="F42" s="11"/>
      <c r="G42" s="13" t="s">
        <v>397</v>
      </c>
      <c r="H42" s="11" t="s">
        <v>288</v>
      </c>
    </row>
    <row r="43" customFormat="false" ht="15" hidden="false" customHeight="false" outlineLevel="0" collapsed="false">
      <c r="B43" s="11" t="s">
        <v>510</v>
      </c>
      <c r="C43" s="11" t="s">
        <v>511</v>
      </c>
      <c r="D43" s="10" t="n">
        <v>2862.5</v>
      </c>
      <c r="E43" s="11" t="s">
        <v>156</v>
      </c>
      <c r="F43" s="11" t="s">
        <v>512</v>
      </c>
      <c r="G43" s="13" t="s">
        <v>397</v>
      </c>
      <c r="H43" s="11" t="s">
        <v>5</v>
      </c>
    </row>
    <row r="44" customFormat="false" ht="15" hidden="false" customHeight="false" outlineLevel="0" collapsed="false">
      <c r="B44" s="11" t="s">
        <v>513</v>
      </c>
      <c r="C44" s="11" t="s">
        <v>514</v>
      </c>
      <c r="D44" s="10" t="n">
        <v>503</v>
      </c>
      <c r="E44" s="11" t="s">
        <v>156</v>
      </c>
      <c r="F44" s="11" t="s">
        <v>515</v>
      </c>
      <c r="G44" s="13" t="s">
        <v>397</v>
      </c>
      <c r="H44" s="11" t="s">
        <v>5</v>
      </c>
    </row>
    <row r="45" customFormat="false" ht="15" hidden="false" customHeight="false" outlineLevel="0" collapsed="false">
      <c r="B45" s="11" t="s">
        <v>516</v>
      </c>
      <c r="C45" s="11" t="s">
        <v>517</v>
      </c>
      <c r="D45" s="9" t="n">
        <v>159.376420577774</v>
      </c>
      <c r="E45" s="11" t="s">
        <v>518</v>
      </c>
      <c r="F45" s="11"/>
      <c r="G45" s="13" t="s">
        <v>397</v>
      </c>
      <c r="H45" s="11" t="s">
        <v>288</v>
      </c>
    </row>
    <row r="46" customFormat="false" ht="15" hidden="false" customHeight="false" outlineLevel="0" collapsed="false">
      <c r="B46" s="11" t="s">
        <v>519</v>
      </c>
      <c r="C46" s="11" t="s">
        <v>520</v>
      </c>
      <c r="D46" s="9" t="n">
        <v>74.0538041120847</v>
      </c>
      <c r="E46" s="11" t="s">
        <v>518</v>
      </c>
      <c r="F46" s="11"/>
      <c r="G46" s="13" t="s">
        <v>397</v>
      </c>
      <c r="H46" s="11" t="s">
        <v>288</v>
      </c>
    </row>
    <row r="47" customFormat="false" ht="15" hidden="false" customHeight="false" outlineLevel="0" collapsed="false">
      <c r="B47" s="11" t="s">
        <v>521</v>
      </c>
      <c r="C47" s="11" t="s">
        <v>522</v>
      </c>
      <c r="D47" s="9" t="n">
        <v>18371.32</v>
      </c>
      <c r="E47" s="11" t="s">
        <v>518</v>
      </c>
      <c r="F47" s="11" t="s">
        <v>326</v>
      </c>
      <c r="G47" s="13" t="s">
        <v>397</v>
      </c>
      <c r="H47" s="11" t="s">
        <v>288</v>
      </c>
    </row>
    <row r="48" customFormat="false" ht="15" hidden="false" customHeight="false" outlineLevel="0" collapsed="false">
      <c r="B48" s="11" t="s">
        <v>330</v>
      </c>
      <c r="C48" s="11" t="s">
        <v>523</v>
      </c>
      <c r="D48" s="9" t="n">
        <v>9835.138</v>
      </c>
      <c r="E48" s="11" t="s">
        <v>518</v>
      </c>
      <c r="F48" s="11"/>
      <c r="G48" s="13" t="s">
        <v>397</v>
      </c>
      <c r="H48" s="11" t="s">
        <v>288</v>
      </c>
    </row>
    <row r="49" customFormat="false" ht="15" hidden="false" customHeight="false" outlineLevel="0" collapsed="false">
      <c r="B49" s="11" t="s">
        <v>524</v>
      </c>
      <c r="C49" s="11" t="s">
        <v>525</v>
      </c>
      <c r="D49" s="10" t="n">
        <v>115.27</v>
      </c>
      <c r="E49" s="11" t="s">
        <v>518</v>
      </c>
      <c r="F49" s="11"/>
      <c r="G49" s="13" t="s">
        <v>397</v>
      </c>
      <c r="H49" s="11" t="s">
        <v>288</v>
      </c>
    </row>
    <row r="50" customFormat="false" ht="15" hidden="false" customHeight="false" outlineLevel="0" collapsed="false">
      <c r="B50" s="11" t="s">
        <v>332</v>
      </c>
      <c r="C50" s="11" t="s">
        <v>526</v>
      </c>
      <c r="D50" s="9" t="n">
        <v>2325.4835443038</v>
      </c>
      <c r="E50" s="11" t="s">
        <v>518</v>
      </c>
      <c r="F50" s="11" t="s">
        <v>333</v>
      </c>
      <c r="G50" s="13" t="s">
        <v>397</v>
      </c>
      <c r="H50" s="11" t="s">
        <v>288</v>
      </c>
    </row>
    <row r="51" customFormat="false" ht="15" hidden="false" customHeight="false" outlineLevel="0" collapsed="false">
      <c r="B51" s="11" t="s">
        <v>320</v>
      </c>
      <c r="C51" s="11" t="s">
        <v>527</v>
      </c>
      <c r="D51" s="26" t="n">
        <v>0.178000818667358</v>
      </c>
      <c r="E51" s="11" t="s">
        <v>528</v>
      </c>
      <c r="F51" s="11"/>
      <c r="G51" s="13" t="s">
        <v>397</v>
      </c>
      <c r="H51" s="11" t="s">
        <v>288</v>
      </c>
    </row>
    <row r="52" customFormat="false" ht="15" hidden="false" customHeight="false" outlineLevel="0" collapsed="false">
      <c r="B52" s="11" t="s">
        <v>321</v>
      </c>
      <c r="C52" s="11" t="s">
        <v>529</v>
      </c>
      <c r="D52" s="26" t="n">
        <v>0.223129083811071</v>
      </c>
      <c r="E52" s="11" t="s">
        <v>528</v>
      </c>
      <c r="F52" s="11"/>
      <c r="G52" s="13" t="s">
        <v>397</v>
      </c>
      <c r="H52" s="11" t="s">
        <v>288</v>
      </c>
    </row>
    <row r="53" customFormat="false" ht="15" hidden="false" customHeight="false" outlineLevel="0" collapsed="false">
      <c r="B53" s="11" t="s">
        <v>530</v>
      </c>
      <c r="C53" s="11" t="s">
        <v>531</v>
      </c>
      <c r="D53" s="22" t="n">
        <v>23</v>
      </c>
      <c r="E53" s="11" t="s">
        <v>158</v>
      </c>
      <c r="F53" s="11"/>
      <c r="G53" s="13" t="s">
        <v>397</v>
      </c>
      <c r="H53" s="11" t="s">
        <v>5</v>
      </c>
    </row>
    <row r="54" customFormat="false" ht="15" hidden="false" customHeight="false" outlineLevel="0" collapsed="false">
      <c r="B54" s="11" t="s">
        <v>532</v>
      </c>
      <c r="C54" s="11" t="s">
        <v>533</v>
      </c>
      <c r="D54" s="22" t="n">
        <v>16</v>
      </c>
      <c r="E54" s="11" t="s">
        <v>534</v>
      </c>
      <c r="F54" s="11"/>
      <c r="G54" s="13" t="s">
        <v>397</v>
      </c>
      <c r="H54" s="11" t="s">
        <v>5</v>
      </c>
    </row>
    <row r="55" customFormat="false" ht="15" hidden="false" customHeight="false" outlineLevel="0" collapsed="false">
      <c r="B55" s="11" t="s">
        <v>535</v>
      </c>
      <c r="C55" s="11" t="s">
        <v>536</v>
      </c>
      <c r="D55" s="26" t="n">
        <v>0.175500997657673</v>
      </c>
      <c r="E55" s="11" t="s">
        <v>537</v>
      </c>
      <c r="F55" s="11"/>
      <c r="G55" s="13" t="s">
        <v>397</v>
      </c>
      <c r="H55" s="11" t="s">
        <v>288</v>
      </c>
    </row>
    <row r="56" customFormat="false" ht="15" hidden="false" customHeight="false" outlineLevel="0" collapsed="false">
      <c r="B56" s="11" t="s">
        <v>538</v>
      </c>
      <c r="C56" s="11" t="s">
        <v>539</v>
      </c>
      <c r="D56" s="26" t="n">
        <v>0.672508024637807</v>
      </c>
      <c r="E56" s="11" t="s">
        <v>537</v>
      </c>
      <c r="F56" s="11"/>
      <c r="G56" s="13" t="s">
        <v>397</v>
      </c>
      <c r="H56" s="11" t="s">
        <v>288</v>
      </c>
    </row>
    <row r="57" customFormat="false" ht="15" hidden="false" customHeight="false" outlineLevel="0" collapsed="false">
      <c r="B57" s="11" t="s">
        <v>540</v>
      </c>
      <c r="C57" s="11" t="s">
        <v>541</v>
      </c>
      <c r="D57" s="22" t="n">
        <v>30</v>
      </c>
      <c r="E57" s="11" t="s">
        <v>542</v>
      </c>
      <c r="F57" s="11"/>
      <c r="G57" s="13" t="s">
        <v>397</v>
      </c>
      <c r="H57" s="11" t="s">
        <v>5</v>
      </c>
    </row>
    <row r="58" customFormat="false" ht="15" hidden="false" customHeight="false" outlineLevel="0" collapsed="false">
      <c r="B58" s="11" t="s">
        <v>543</v>
      </c>
      <c r="C58" s="11" t="s">
        <v>544</v>
      </c>
      <c r="D58" s="22" t="n">
        <v>8</v>
      </c>
      <c r="E58" s="11" t="s">
        <v>545</v>
      </c>
      <c r="F58" s="11"/>
      <c r="G58" s="13" t="s">
        <v>397</v>
      </c>
      <c r="H58" s="11" t="s">
        <v>546</v>
      </c>
    </row>
    <row r="59" customFormat="false" ht="15" hidden="false" customHeight="false" outlineLevel="0" collapsed="false">
      <c r="B59" s="11" t="s">
        <v>547</v>
      </c>
      <c r="C59" s="11" t="s">
        <v>548</v>
      </c>
      <c r="D59" s="22" t="n">
        <v>19</v>
      </c>
      <c r="E59" s="11" t="s">
        <v>545</v>
      </c>
      <c r="F59" s="11"/>
      <c r="G59" s="13" t="s">
        <v>397</v>
      </c>
      <c r="H59" s="11" t="s">
        <v>549</v>
      </c>
    </row>
    <row r="60" customFormat="false" ht="15" hidden="false" customHeight="false" outlineLevel="0" collapsed="false">
      <c r="B60" s="11" t="s">
        <v>550</v>
      </c>
      <c r="C60" s="11" t="s">
        <v>551</v>
      </c>
      <c r="D60" s="22" t="n">
        <v>4</v>
      </c>
      <c r="E60" s="11" t="s">
        <v>545</v>
      </c>
      <c r="F60" s="11"/>
      <c r="G60" s="13" t="s">
        <v>397</v>
      </c>
      <c r="H60" s="11" t="s">
        <v>552</v>
      </c>
    </row>
    <row r="61" customFormat="false" ht="15" hidden="false" customHeight="false" outlineLevel="0" collapsed="false">
      <c r="B61" s="11" t="s">
        <v>553</v>
      </c>
      <c r="C61" s="11" t="s">
        <v>554</v>
      </c>
      <c r="D61" s="22" t="n">
        <v>13</v>
      </c>
      <c r="E61" s="11" t="s">
        <v>545</v>
      </c>
      <c r="F61" s="11"/>
      <c r="G61" s="13" t="s">
        <v>397</v>
      </c>
      <c r="H61" s="11" t="s">
        <v>555</v>
      </c>
    </row>
    <row r="62" customFormat="false" ht="15" hidden="false" customHeight="false" outlineLevel="0" collapsed="false">
      <c r="B62" s="11" t="s">
        <v>556</v>
      </c>
      <c r="C62" s="11" t="s">
        <v>557</v>
      </c>
      <c r="D62" s="22" t="n">
        <v>140</v>
      </c>
      <c r="E62" s="11" t="s">
        <v>545</v>
      </c>
      <c r="F62" s="11" t="s">
        <v>558</v>
      </c>
      <c r="G62" s="13" t="s">
        <v>397</v>
      </c>
      <c r="H62" s="11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560</v>
      </c>
    </row>
    <row r="3" customFormat="false" ht="21.75" hidden="false" customHeight="true" outlineLevel="0" collapsed="false">
      <c r="B3" s="2" t="s">
        <v>561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562</v>
      </c>
      <c r="C5" s="3" t="s">
        <v>167</v>
      </c>
      <c r="D5" s="3" t="s">
        <v>168</v>
      </c>
      <c r="E5" s="3" t="s">
        <v>169</v>
      </c>
      <c r="F5" s="3" t="s">
        <v>170</v>
      </c>
      <c r="G5" s="3" t="s">
        <v>563</v>
      </c>
      <c r="H5" s="3" t="s">
        <v>87</v>
      </c>
    </row>
    <row r="6" customFormat="false" ht="15" hidden="false" customHeight="false" outlineLevel="0" collapsed="false">
      <c r="B6" s="22" t="n">
        <v>1</v>
      </c>
      <c r="C6" s="11" t="s">
        <v>172</v>
      </c>
      <c r="D6" s="11" t="s">
        <v>173</v>
      </c>
      <c r="E6" s="9" t="n">
        <v>70586.95</v>
      </c>
      <c r="F6" s="22" t="n">
        <v>63</v>
      </c>
      <c r="G6" s="17" t="n">
        <f aca="false">E6/219925.25</f>
        <v>0.320958825782851</v>
      </c>
      <c r="H6" s="11" t="s">
        <v>5</v>
      </c>
    </row>
    <row r="7" customFormat="false" ht="15" hidden="false" customHeight="false" outlineLevel="0" collapsed="false">
      <c r="B7" s="22" t="n">
        <v>2</v>
      </c>
      <c r="C7" s="11" t="s">
        <v>175</v>
      </c>
      <c r="D7" s="11" t="s">
        <v>176</v>
      </c>
      <c r="E7" s="9" t="n">
        <v>57147.75</v>
      </c>
      <c r="F7" s="22" t="n">
        <v>61</v>
      </c>
      <c r="G7" s="17" t="n">
        <f aca="false">E7/219925.25</f>
        <v>0.259850790211674</v>
      </c>
      <c r="H7" s="11" t="s">
        <v>5</v>
      </c>
    </row>
    <row r="8" customFormat="false" ht="15" hidden="false" customHeight="false" outlineLevel="0" collapsed="false">
      <c r="B8" s="22" t="n">
        <v>3</v>
      </c>
      <c r="C8" s="11" t="s">
        <v>177</v>
      </c>
      <c r="D8" s="11" t="s">
        <v>178</v>
      </c>
      <c r="E8" s="9" t="n">
        <v>20873</v>
      </c>
      <c r="F8" s="22" t="n">
        <v>5</v>
      </c>
      <c r="G8" s="17" t="n">
        <f aca="false">E8/219925.25</f>
        <v>0.0949095203938611</v>
      </c>
      <c r="H8" s="11" t="s">
        <v>5</v>
      </c>
    </row>
    <row r="9" customFormat="false" ht="15" hidden="false" customHeight="false" outlineLevel="0" collapsed="false">
      <c r="B9" s="22" t="n">
        <v>4</v>
      </c>
      <c r="C9" s="11" t="s">
        <v>179</v>
      </c>
      <c r="D9" s="11" t="s">
        <v>180</v>
      </c>
      <c r="E9" s="9" t="n">
        <v>17263.16</v>
      </c>
      <c r="F9" s="22" t="n">
        <v>21</v>
      </c>
      <c r="G9" s="17" t="n">
        <f aca="false">E9/219925.25</f>
        <v>0.078495579748119</v>
      </c>
      <c r="H9" s="11" t="s">
        <v>5</v>
      </c>
    </row>
    <row r="10" customFormat="false" ht="15" hidden="false" customHeight="false" outlineLevel="0" collapsed="false">
      <c r="B10" s="22" t="n">
        <v>5</v>
      </c>
      <c r="C10" s="11" t="s">
        <v>181</v>
      </c>
      <c r="D10" s="11" t="s">
        <v>182</v>
      </c>
      <c r="E10" s="9" t="n">
        <v>17024</v>
      </c>
      <c r="F10" s="22" t="n">
        <v>5</v>
      </c>
      <c r="G10" s="17" t="n">
        <f aca="false">E10/219925.25</f>
        <v>0.0774081193496427</v>
      </c>
      <c r="H10" s="11" t="s">
        <v>5</v>
      </c>
    </row>
    <row r="11" customFormat="false" ht="15" hidden="false" customHeight="false" outlineLevel="0" collapsed="false">
      <c r="B11" s="22" t="n">
        <v>6</v>
      </c>
      <c r="C11" s="11" t="s">
        <v>184</v>
      </c>
      <c r="D11" s="11" t="s">
        <v>185</v>
      </c>
      <c r="E11" s="9" t="n">
        <v>9316.2</v>
      </c>
      <c r="F11" s="22" t="n">
        <v>25</v>
      </c>
      <c r="G11" s="17" t="n">
        <f aca="false">E11/219925.25</f>
        <v>0.0423607566661854</v>
      </c>
      <c r="H11" s="11" t="s">
        <v>5</v>
      </c>
    </row>
    <row r="12" customFormat="false" ht="15" hidden="false" customHeight="false" outlineLevel="0" collapsed="false">
      <c r="B12" s="22" t="n">
        <v>7</v>
      </c>
      <c r="C12" s="11" t="s">
        <v>187</v>
      </c>
      <c r="D12" s="11" t="s">
        <v>188</v>
      </c>
      <c r="E12" s="9" t="n">
        <v>6247.95</v>
      </c>
      <c r="F12" s="22" t="n">
        <v>1</v>
      </c>
      <c r="G12" s="17" t="n">
        <f aca="false">E12/219925.25</f>
        <v>0.0284094254752467</v>
      </c>
      <c r="H12" s="11" t="s">
        <v>5</v>
      </c>
    </row>
    <row r="13" customFormat="false" ht="15" hidden="false" customHeight="false" outlineLevel="0" collapsed="false">
      <c r="B13" s="22" t="n">
        <v>8</v>
      </c>
      <c r="C13" s="11" t="s">
        <v>189</v>
      </c>
      <c r="D13" s="11" t="s">
        <v>190</v>
      </c>
      <c r="E13" s="9" t="n">
        <v>4375</v>
      </c>
      <c r="F13" s="22" t="n">
        <v>1</v>
      </c>
      <c r="G13" s="17" t="n">
        <f aca="false">E13/219925.25</f>
        <v>0.0198931227769435</v>
      </c>
      <c r="H13" s="11" t="s">
        <v>5</v>
      </c>
    </row>
    <row r="14" customFormat="false" ht="15" hidden="false" customHeight="false" outlineLevel="0" collapsed="false">
      <c r="B14" s="22" t="n">
        <v>9</v>
      </c>
      <c r="C14" s="11" t="s">
        <v>192</v>
      </c>
      <c r="D14" s="11" t="s">
        <v>193</v>
      </c>
      <c r="E14" s="9" t="n">
        <v>3911.37</v>
      </c>
      <c r="F14" s="22" t="n">
        <v>10</v>
      </c>
      <c r="G14" s="17" t="n">
        <f aca="false">E14/219925.25</f>
        <v>0.0177849974025265</v>
      </c>
      <c r="H14" s="11" t="s">
        <v>5</v>
      </c>
    </row>
    <row r="15" customFormat="false" ht="15" hidden="false" customHeight="false" outlineLevel="0" collapsed="false">
      <c r="B15" s="22" t="n">
        <v>10</v>
      </c>
      <c r="C15" s="11" t="s">
        <v>194</v>
      </c>
      <c r="D15" s="11" t="s">
        <v>195</v>
      </c>
      <c r="E15" s="9" t="n">
        <v>3504.56</v>
      </c>
      <c r="F15" s="22" t="n">
        <v>9</v>
      </c>
      <c r="G15" s="17" t="n">
        <f aca="false">E15/219925.25</f>
        <v>0.0159352325392378</v>
      </c>
      <c r="H15" s="11" t="s">
        <v>5</v>
      </c>
    </row>
    <row r="16" customFormat="false" ht="15" hidden="false" customHeight="false" outlineLevel="0" collapsed="false">
      <c r="B16" s="22" t="n">
        <v>11</v>
      </c>
      <c r="C16" s="11" t="s">
        <v>196</v>
      </c>
      <c r="D16" s="11" t="s">
        <v>197</v>
      </c>
      <c r="E16" s="9" t="n">
        <v>2263.23</v>
      </c>
      <c r="F16" s="22" t="n">
        <v>3</v>
      </c>
      <c r="G16" s="17" t="n">
        <f aca="false">E16/219925.25</f>
        <v>0.0102909056599913</v>
      </c>
      <c r="H16" s="11" t="s">
        <v>5</v>
      </c>
    </row>
    <row r="17" customFormat="false" ht="15" hidden="false" customHeight="false" outlineLevel="0" collapsed="false">
      <c r="B17" s="22" t="n">
        <v>12</v>
      </c>
      <c r="C17" s="11" t="s">
        <v>198</v>
      </c>
      <c r="D17" s="11" t="s">
        <v>199</v>
      </c>
      <c r="E17" s="9" t="n">
        <v>2095</v>
      </c>
      <c r="F17" s="22" t="n">
        <v>1</v>
      </c>
      <c r="G17" s="17" t="n">
        <f aca="false">E17/219925.25</f>
        <v>0.00952596393547353</v>
      </c>
      <c r="H17" s="11" t="s">
        <v>5</v>
      </c>
    </row>
    <row r="18" customFormat="false" ht="15" hidden="false" customHeight="false" outlineLevel="0" collapsed="false">
      <c r="B18" s="22" t="n">
        <v>13</v>
      </c>
      <c r="C18" s="11" t="s">
        <v>200</v>
      </c>
      <c r="D18" s="11" t="s">
        <v>201</v>
      </c>
      <c r="E18" s="9" t="n">
        <v>1300</v>
      </c>
      <c r="F18" s="22" t="n">
        <v>3</v>
      </c>
      <c r="G18" s="17" t="n">
        <f aca="false">E18/219925.25</f>
        <v>0.00591109933943465</v>
      </c>
      <c r="H18" s="11" t="s">
        <v>5</v>
      </c>
    </row>
    <row r="19" customFormat="false" ht="15" hidden="false" customHeight="false" outlineLevel="0" collapsed="false">
      <c r="B19" s="22" t="n">
        <v>14</v>
      </c>
      <c r="C19" s="11" t="s">
        <v>202</v>
      </c>
      <c r="D19" s="11" t="s">
        <v>203</v>
      </c>
      <c r="E19" s="9" t="n">
        <v>973.71</v>
      </c>
      <c r="F19" s="22" t="n">
        <v>2</v>
      </c>
      <c r="G19" s="17" t="n">
        <f aca="false">E19/219925.25</f>
        <v>0.00442745887523147</v>
      </c>
      <c r="H19" s="11" t="s">
        <v>5</v>
      </c>
    </row>
    <row r="20" customFormat="false" ht="15" hidden="false" customHeight="false" outlineLevel="0" collapsed="false">
      <c r="B20" s="22" t="n">
        <v>15</v>
      </c>
      <c r="C20" s="11" t="s">
        <v>204</v>
      </c>
      <c r="D20" s="11" t="s">
        <v>205</v>
      </c>
      <c r="E20" s="9" t="n">
        <v>618.03</v>
      </c>
      <c r="F20" s="22" t="n">
        <v>3</v>
      </c>
      <c r="G20" s="17" t="n">
        <f aca="false">E20/219925.25</f>
        <v>0.00281018209596215</v>
      </c>
      <c r="H20" s="11" t="s">
        <v>5</v>
      </c>
    </row>
    <row r="21" customFormat="false" ht="15" hidden="false" customHeight="false" outlineLevel="0" collapsed="false">
      <c r="B21" s="22" t="n">
        <v>16</v>
      </c>
      <c r="C21" s="11" t="s">
        <v>206</v>
      </c>
      <c r="D21" s="11" t="s">
        <v>207</v>
      </c>
      <c r="E21" s="9" t="n">
        <v>615</v>
      </c>
      <c r="F21" s="22" t="n">
        <v>1</v>
      </c>
      <c r="G21" s="17" t="n">
        <f aca="false">E21/219925.25</f>
        <v>0.00279640468750178</v>
      </c>
      <c r="H21" s="11" t="s">
        <v>5</v>
      </c>
    </row>
    <row r="22" customFormat="false" ht="15" hidden="false" customHeight="false" outlineLevel="0" collapsed="false">
      <c r="B22" s="22" t="n">
        <v>17</v>
      </c>
      <c r="C22" s="11" t="s">
        <v>208</v>
      </c>
      <c r="D22" s="11" t="s">
        <v>209</v>
      </c>
      <c r="E22" s="9" t="n">
        <v>595</v>
      </c>
      <c r="F22" s="22" t="n">
        <v>1</v>
      </c>
      <c r="G22" s="17" t="n">
        <f aca="false">E22/219925.25</f>
        <v>0.00270546469766432</v>
      </c>
      <c r="H22" s="11" t="s">
        <v>5</v>
      </c>
    </row>
    <row r="23" customFormat="false" ht="15" hidden="false" customHeight="false" outlineLevel="0" collapsed="false">
      <c r="B23" s="22" t="n">
        <v>18</v>
      </c>
      <c r="C23" s="11" t="s">
        <v>210</v>
      </c>
      <c r="D23" s="11" t="s">
        <v>211</v>
      </c>
      <c r="E23" s="9" t="n">
        <v>315.79</v>
      </c>
      <c r="F23" s="22" t="n">
        <v>2</v>
      </c>
      <c r="G23" s="17" t="n">
        <f aca="false">E23/219925.25</f>
        <v>0.00143589696953851</v>
      </c>
      <c r="H23" s="11" t="s">
        <v>5</v>
      </c>
    </row>
    <row r="24" customFormat="false" ht="15" hidden="false" customHeight="false" outlineLevel="0" collapsed="false">
      <c r="B24" s="22" t="n">
        <v>19</v>
      </c>
      <c r="C24" s="11" t="s">
        <v>212</v>
      </c>
      <c r="D24" s="11" t="s">
        <v>213</v>
      </c>
      <c r="E24" s="9" t="n">
        <v>278.42</v>
      </c>
      <c r="F24" s="22" t="n">
        <v>1</v>
      </c>
      <c r="G24" s="17" t="n">
        <f aca="false">E24/219925.25</f>
        <v>0.00126597559852723</v>
      </c>
      <c r="H24" s="11" t="s">
        <v>5</v>
      </c>
    </row>
    <row r="25" customFormat="false" ht="15" hidden="false" customHeight="false" outlineLevel="0" collapsed="false">
      <c r="B25" s="22" t="n">
        <v>20</v>
      </c>
      <c r="C25" s="11" t="s">
        <v>214</v>
      </c>
      <c r="D25" s="11" t="s">
        <v>215</v>
      </c>
      <c r="E25" s="9" t="n">
        <v>245</v>
      </c>
      <c r="F25" s="22" t="n">
        <v>2</v>
      </c>
      <c r="G25" s="17" t="n">
        <f aca="false">E25/219925.25</f>
        <v>0.00111401487550884</v>
      </c>
      <c r="H25" s="11" t="s">
        <v>5</v>
      </c>
    </row>
    <row r="26" customFormat="false" ht="15" hidden="false" customHeight="false" outlineLevel="0" collapsed="false">
      <c r="B26" s="22" t="n">
        <v>21</v>
      </c>
      <c r="C26" s="11" t="s">
        <v>217</v>
      </c>
      <c r="D26" s="11" t="s">
        <v>218</v>
      </c>
      <c r="E26" s="9" t="n">
        <v>199.25</v>
      </c>
      <c r="F26" s="22" t="n">
        <v>1</v>
      </c>
      <c r="G26" s="17" t="n">
        <f aca="false">E26/219925.25</f>
        <v>0.000905989648755657</v>
      </c>
      <c r="H26" s="11" t="s">
        <v>5</v>
      </c>
    </row>
    <row r="27" customFormat="false" ht="15" hidden="false" customHeight="false" outlineLevel="0" collapsed="false">
      <c r="B27" s="22" t="n">
        <v>22</v>
      </c>
      <c r="C27" s="11" t="s">
        <v>219</v>
      </c>
      <c r="D27" s="11" t="s">
        <v>220</v>
      </c>
      <c r="E27" s="9" t="n">
        <v>126.88</v>
      </c>
      <c r="F27" s="22" t="n">
        <v>2</v>
      </c>
      <c r="G27" s="17" t="n">
        <f aca="false">E27/219925.25</f>
        <v>0.000576923295528822</v>
      </c>
      <c r="H27" s="11" t="s">
        <v>5</v>
      </c>
    </row>
    <row r="28" customFormat="false" ht="15" hidden="false" customHeight="false" outlineLevel="0" collapsed="false">
      <c r="B28" s="22" t="n">
        <v>23</v>
      </c>
      <c r="C28" s="11" t="s">
        <v>221</v>
      </c>
      <c r="D28" s="11" t="s">
        <v>222</v>
      </c>
      <c r="E28" s="9" t="n">
        <v>50</v>
      </c>
      <c r="F28" s="22" t="n">
        <v>1</v>
      </c>
      <c r="G28" s="17" t="n">
        <f aca="false">E28/219925.25</f>
        <v>0.00022734997459364</v>
      </c>
      <c r="H28" s="11" t="s">
        <v>5</v>
      </c>
    </row>
    <row r="29" customFormat="false" ht="15" hidden="false" customHeight="false" outlineLevel="0" collapsed="false">
      <c r="B29" s="18" t="s">
        <v>148</v>
      </c>
      <c r="E29" s="20" t="n">
        <f aca="false">SUM(E6:E28)</f>
        <v>219925.25</v>
      </c>
      <c r="F29" s="23" t="n">
        <f aca="false">SUM(F6:F28)</f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564</v>
      </c>
    </row>
    <row r="3" customFormat="false" ht="21.75" hidden="false" customHeight="true" outlineLevel="0" collapsed="false">
      <c r="B3" s="2" t="s">
        <v>565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566</v>
      </c>
      <c r="C5" s="3" t="s">
        <v>340</v>
      </c>
      <c r="D5" s="3" t="s">
        <v>338</v>
      </c>
      <c r="E5" s="3" t="s">
        <v>567</v>
      </c>
      <c r="F5" s="3" t="s">
        <v>568</v>
      </c>
      <c r="G5" s="3" t="s">
        <v>569</v>
      </c>
      <c r="H5" s="3" t="s">
        <v>67</v>
      </c>
      <c r="I5" s="3" t="s">
        <v>87</v>
      </c>
    </row>
    <row r="6" customFormat="false" ht="15" hidden="false" customHeight="false" outlineLevel="0" collapsed="false">
      <c r="B6" s="11" t="s">
        <v>570</v>
      </c>
      <c r="C6" s="11" t="s">
        <v>571</v>
      </c>
      <c r="D6" s="11" t="s">
        <v>343</v>
      </c>
      <c r="E6" s="11" t="s">
        <v>572</v>
      </c>
      <c r="F6" s="11" t="s">
        <v>12</v>
      </c>
      <c r="G6" s="27" t="n">
        <v>897800</v>
      </c>
      <c r="H6" s="11" t="s">
        <v>350</v>
      </c>
      <c r="I6" s="11" t="s">
        <v>20</v>
      </c>
    </row>
    <row r="7" customFormat="false" ht="15" hidden="false" customHeight="false" outlineLevel="0" collapsed="false">
      <c r="B7" s="11" t="s">
        <v>573</v>
      </c>
      <c r="C7" s="11" t="s">
        <v>574</v>
      </c>
      <c r="D7" s="11" t="s">
        <v>360</v>
      </c>
      <c r="E7" s="11" t="s">
        <v>575</v>
      </c>
      <c r="F7" s="11" t="s">
        <v>576</v>
      </c>
      <c r="G7" s="27" t="n">
        <v>0</v>
      </c>
      <c r="H7" s="11" t="s">
        <v>577</v>
      </c>
      <c r="I7" s="11" t="s">
        <v>5</v>
      </c>
    </row>
    <row r="8" customFormat="false" ht="15" hidden="false" customHeight="false" outlineLevel="0" collapsed="false">
      <c r="B8" s="11" t="s">
        <v>578</v>
      </c>
      <c r="C8" s="11" t="s">
        <v>574</v>
      </c>
      <c r="D8" s="11" t="s">
        <v>385</v>
      </c>
      <c r="E8" s="11" t="s">
        <v>579</v>
      </c>
      <c r="F8" s="11" t="s">
        <v>576</v>
      </c>
      <c r="G8" s="27" t="n">
        <v>0</v>
      </c>
      <c r="H8" s="11" t="s">
        <v>577</v>
      </c>
      <c r="I8" s="11" t="s">
        <v>5</v>
      </c>
    </row>
    <row r="9" customFormat="false" ht="15" hidden="false" customHeight="false" outlineLevel="0" collapsed="false">
      <c r="B9" s="11" t="s">
        <v>580</v>
      </c>
      <c r="C9" s="11" t="s">
        <v>481</v>
      </c>
      <c r="D9" s="11" t="s">
        <v>581</v>
      </c>
      <c r="E9" s="11" t="s">
        <v>582</v>
      </c>
      <c r="F9" s="11" t="s">
        <v>69</v>
      </c>
      <c r="G9" s="27" t="n">
        <v>0</v>
      </c>
      <c r="H9" s="11" t="s">
        <v>583</v>
      </c>
      <c r="I9" s="11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584</v>
      </c>
    </row>
    <row r="3" customFormat="false" ht="21.75" hidden="false" customHeight="true" outlineLevel="0" collapsed="false">
      <c r="B3" s="2" t="s">
        <v>585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151</v>
      </c>
      <c r="C5" s="3" t="s">
        <v>586</v>
      </c>
      <c r="D5" s="3" t="s">
        <v>587</v>
      </c>
      <c r="E5" s="3" t="s">
        <v>588</v>
      </c>
      <c r="F5" s="3" t="s">
        <v>280</v>
      </c>
    </row>
    <row r="6" customFormat="false" ht="15" hidden="false" customHeight="false" outlineLevel="0" collapsed="false">
      <c r="B6" s="11" t="s">
        <v>589</v>
      </c>
      <c r="C6" s="11" t="s">
        <v>590</v>
      </c>
      <c r="D6" s="27" t="n">
        <v>20766</v>
      </c>
      <c r="E6" s="11" t="s">
        <v>591</v>
      </c>
      <c r="F6" s="11" t="s">
        <v>592</v>
      </c>
    </row>
    <row r="7" customFormat="false" ht="15" hidden="false" customHeight="false" outlineLevel="0" collapsed="false">
      <c r="B7" s="11" t="s">
        <v>156</v>
      </c>
      <c r="C7" s="11" t="s">
        <v>593</v>
      </c>
      <c r="D7" s="27" t="n">
        <v>-44107</v>
      </c>
      <c r="E7" s="11" t="s">
        <v>594</v>
      </c>
      <c r="F7" s="11" t="s">
        <v>51</v>
      </c>
    </row>
    <row r="8" customFormat="false" ht="15" hidden="false" customHeight="false" outlineLevel="0" collapsed="false">
      <c r="B8" s="11" t="s">
        <v>158</v>
      </c>
      <c r="C8" s="11" t="s">
        <v>595</v>
      </c>
      <c r="D8" s="27" t="n">
        <v>-106946.21</v>
      </c>
      <c r="E8" s="11" t="s">
        <v>596</v>
      </c>
      <c r="F8" s="11" t="s">
        <v>597</v>
      </c>
    </row>
    <row r="9" customFormat="false" ht="15" hidden="false" customHeight="false" outlineLevel="0" collapsed="false">
      <c r="B9" s="11" t="s">
        <v>160</v>
      </c>
      <c r="C9" s="11" t="s">
        <v>598</v>
      </c>
      <c r="D9" s="27" t="n">
        <v>-14395.99</v>
      </c>
      <c r="E9" s="11" t="s">
        <v>599</v>
      </c>
      <c r="F9" s="11"/>
    </row>
    <row r="10" customFormat="false" ht="15" hidden="false" customHeight="false" outlineLevel="0" collapsed="false">
      <c r="B10" s="11" t="s">
        <v>600</v>
      </c>
      <c r="C10" s="11" t="s">
        <v>601</v>
      </c>
      <c r="D10" s="27" t="n">
        <v>-24706.29</v>
      </c>
      <c r="E10" s="11" t="s">
        <v>602</v>
      </c>
      <c r="F10" s="11"/>
    </row>
    <row r="11" customFormat="false" ht="15" hidden="false" customHeight="false" outlineLevel="0" collapsed="false">
      <c r="B11" s="18" t="s">
        <v>603</v>
      </c>
      <c r="D11" s="16" t="n">
        <f aca="false">SUM(D6:D10)</f>
        <v>-169389.49</v>
      </c>
    </row>
    <row r="14" customFormat="false" ht="15" hidden="false" customHeight="false" outlineLevel="0" collapsed="false">
      <c r="B14" s="3" t="s">
        <v>604</v>
      </c>
    </row>
    <row r="15" customFormat="false" ht="15" hidden="false" customHeight="false" outlineLevel="0" collapsed="false">
      <c r="B15" s="3" t="s">
        <v>605</v>
      </c>
      <c r="C15" s="3" t="s">
        <v>606</v>
      </c>
      <c r="D15" s="3" t="s">
        <v>607</v>
      </c>
      <c r="E15" s="3" t="s">
        <v>280</v>
      </c>
    </row>
    <row r="16" customFormat="false" ht="15" hidden="false" customHeight="false" outlineLevel="0" collapsed="false">
      <c r="B16" s="11" t="s">
        <v>608</v>
      </c>
      <c r="C16" s="22" t="n">
        <v>8</v>
      </c>
      <c r="D16" s="27" t="n">
        <v>20766</v>
      </c>
      <c r="E16" s="11" t="s">
        <v>609</v>
      </c>
    </row>
    <row r="17" customFormat="false" ht="15" hidden="false" customHeight="false" outlineLevel="0" collapsed="false">
      <c r="B17" s="11" t="s">
        <v>610</v>
      </c>
      <c r="C17" s="22" t="n">
        <v>10</v>
      </c>
      <c r="D17" s="27" t="n">
        <v>-44107</v>
      </c>
      <c r="E17" s="11" t="s">
        <v>611</v>
      </c>
    </row>
    <row r="18" customFormat="false" ht="15" hidden="false" customHeight="false" outlineLevel="0" collapsed="false">
      <c r="B18" s="11" t="s">
        <v>612</v>
      </c>
      <c r="C18" s="22" t="n">
        <v>9</v>
      </c>
      <c r="D18" s="27" t="n">
        <v>-106946.21</v>
      </c>
      <c r="E18" s="11" t="s">
        <v>597</v>
      </c>
    </row>
    <row r="19" customFormat="false" ht="15" hidden="false" customHeight="false" outlineLevel="0" collapsed="false">
      <c r="B19" s="11" t="s">
        <v>613</v>
      </c>
      <c r="C19" s="22" t="n">
        <v>2</v>
      </c>
      <c r="D19" s="27" t="n">
        <v>-24706.29</v>
      </c>
      <c r="E19" s="11" t="s">
        <v>614</v>
      </c>
    </row>
    <row r="20" customFormat="false" ht="15" hidden="false" customHeight="false" outlineLevel="0" collapsed="false">
      <c r="B20" s="11" t="s">
        <v>615</v>
      </c>
      <c r="C20" s="22" t="n">
        <v>5</v>
      </c>
      <c r="D20" s="27" t="n">
        <v>-14395.99</v>
      </c>
      <c r="E20" s="11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617</v>
      </c>
    </row>
    <row r="3" customFormat="false" ht="21.75" hidden="false" customHeight="true" outlineLevel="0" collapsed="false">
      <c r="B3" s="2" t="s">
        <v>618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619</v>
      </c>
    </row>
    <row r="6" customFormat="false" ht="15" hidden="false" customHeight="false" outlineLevel="0" collapsed="false">
      <c r="B6" s="3" t="s">
        <v>620</v>
      </c>
      <c r="C6" s="3" t="s">
        <v>621</v>
      </c>
      <c r="D6" s="3" t="s">
        <v>622</v>
      </c>
      <c r="E6" s="3" t="s">
        <v>67</v>
      </c>
      <c r="F6" s="3" t="s">
        <v>623</v>
      </c>
    </row>
    <row r="7" customFormat="false" ht="15" hidden="false" customHeight="false" outlineLevel="0" collapsed="false">
      <c r="B7" s="11" t="s">
        <v>624</v>
      </c>
      <c r="C7" s="11" t="s">
        <v>625</v>
      </c>
      <c r="D7" s="11" t="s">
        <v>626</v>
      </c>
      <c r="E7" s="13" t="s">
        <v>627</v>
      </c>
      <c r="F7" s="11" t="s">
        <v>628</v>
      </c>
    </row>
    <row r="8" customFormat="false" ht="15" hidden="false" customHeight="false" outlineLevel="0" collapsed="false">
      <c r="B8" s="11" t="s">
        <v>320</v>
      </c>
      <c r="C8" s="24" t="n">
        <v>0.178000818667358</v>
      </c>
      <c r="D8" s="11" t="s">
        <v>629</v>
      </c>
      <c r="E8" s="13" t="s">
        <v>627</v>
      </c>
      <c r="F8" s="11" t="s">
        <v>630</v>
      </c>
    </row>
    <row r="9" customFormat="false" ht="15" hidden="false" customHeight="false" outlineLevel="0" collapsed="false">
      <c r="B9" s="11" t="s">
        <v>631</v>
      </c>
      <c r="C9" s="24" t="n">
        <v>0.0247859707413512</v>
      </c>
      <c r="D9" s="11" t="s">
        <v>632</v>
      </c>
      <c r="E9" s="13" t="s">
        <v>627</v>
      </c>
      <c r="F9" s="11" t="s">
        <v>633</v>
      </c>
    </row>
    <row r="10" customFormat="false" ht="15" hidden="false" customHeight="false" outlineLevel="0" collapsed="false">
      <c r="B10" s="11" t="s">
        <v>634</v>
      </c>
      <c r="C10" s="24" t="n">
        <v>0.831622835486148</v>
      </c>
      <c r="D10" s="11" t="s">
        <v>635</v>
      </c>
      <c r="E10" s="13" t="s">
        <v>627</v>
      </c>
      <c r="F10" s="11" t="s">
        <v>636</v>
      </c>
    </row>
    <row r="11" customFormat="false" ht="15" hidden="false" customHeight="false" outlineLevel="0" collapsed="false">
      <c r="B11" s="11" t="s">
        <v>637</v>
      </c>
      <c r="C11" s="24" t="n">
        <v>0.05</v>
      </c>
      <c r="D11" s="11" t="s">
        <v>638</v>
      </c>
      <c r="E11" s="13" t="s">
        <v>627</v>
      </c>
      <c r="F11" s="11" t="s">
        <v>639</v>
      </c>
    </row>
    <row r="12" customFormat="false" ht="15" hidden="false" customHeight="false" outlineLevel="0" collapsed="false">
      <c r="B12" s="11" t="s">
        <v>319</v>
      </c>
      <c r="C12" s="24" t="n">
        <v>0.46464717831925</v>
      </c>
      <c r="D12" s="11" t="s">
        <v>640</v>
      </c>
      <c r="E12" s="13" t="s">
        <v>627</v>
      </c>
      <c r="F12" s="11" t="s">
        <v>641</v>
      </c>
    </row>
    <row r="13" customFormat="false" ht="15" hidden="false" customHeight="false" outlineLevel="0" collapsed="false">
      <c r="B13" s="11" t="s">
        <v>642</v>
      </c>
      <c r="C13" s="10" t="n">
        <v>5763.5</v>
      </c>
      <c r="D13" s="11" t="s">
        <v>643</v>
      </c>
      <c r="E13" s="28" t="s">
        <v>644</v>
      </c>
      <c r="F13" s="11" t="s">
        <v>645</v>
      </c>
    </row>
    <row r="14" customFormat="false" ht="15" hidden="false" customHeight="false" outlineLevel="0" collapsed="false">
      <c r="B14" s="11" t="s">
        <v>646</v>
      </c>
      <c r="C14" s="24" t="n">
        <v>0.175500997657673</v>
      </c>
      <c r="D14" s="11" t="s">
        <v>647</v>
      </c>
      <c r="E14" s="13" t="s">
        <v>627</v>
      </c>
      <c r="F14" s="11" t="s">
        <v>648</v>
      </c>
    </row>
    <row r="15" customFormat="false" ht="15" hidden="false" customHeight="false" outlineLevel="0" collapsed="false">
      <c r="B15" s="11" t="s">
        <v>649</v>
      </c>
      <c r="C15" s="24" t="n">
        <v>0.503828214380005</v>
      </c>
      <c r="D15" s="11" t="s">
        <v>650</v>
      </c>
      <c r="E15" s="13" t="s">
        <v>627</v>
      </c>
      <c r="F15" s="11" t="s">
        <v>651</v>
      </c>
    </row>
    <row r="16" customFormat="false" ht="15" hidden="false" customHeight="false" outlineLevel="0" collapsed="false">
      <c r="B16" s="11" t="s">
        <v>652</v>
      </c>
      <c r="C16" s="11" t="s">
        <v>653</v>
      </c>
      <c r="D16" s="11" t="s">
        <v>654</v>
      </c>
      <c r="E16" s="29" t="s">
        <v>655</v>
      </c>
      <c r="F16" s="11" t="s">
        <v>656</v>
      </c>
    </row>
    <row r="18" customFormat="false" ht="15" hidden="false" customHeight="false" outlineLevel="0" collapsed="false">
      <c r="B18" s="3" t="s">
        <v>657</v>
      </c>
    </row>
    <row r="19" customFormat="false" ht="15" hidden="false" customHeight="false" outlineLevel="0" collapsed="false">
      <c r="B19" s="3" t="s">
        <v>658</v>
      </c>
      <c r="C19" s="3" t="s">
        <v>659</v>
      </c>
      <c r="D19" s="3" t="s">
        <v>394</v>
      </c>
      <c r="E19" s="3" t="s">
        <v>660</v>
      </c>
      <c r="F19" s="3" t="s">
        <v>661</v>
      </c>
    </row>
    <row r="20" customFormat="false" ht="15" hidden="false" customHeight="false" outlineLevel="0" collapsed="false">
      <c r="B20" s="11" t="s">
        <v>662</v>
      </c>
      <c r="C20" s="24" t="n">
        <v>0.46464717831925</v>
      </c>
      <c r="D20" s="11" t="s">
        <v>83</v>
      </c>
      <c r="E20" s="11" t="s">
        <v>663</v>
      </c>
      <c r="F20" s="11" t="s">
        <v>641</v>
      </c>
    </row>
    <row r="21" customFormat="false" ht="15" hidden="false" customHeight="false" outlineLevel="0" collapsed="false">
      <c r="B21" s="11" t="s">
        <v>664</v>
      </c>
      <c r="C21" s="11" t="s">
        <v>656</v>
      </c>
      <c r="D21" s="11" t="s">
        <v>583</v>
      </c>
      <c r="E21" s="11" t="s">
        <v>665</v>
      </c>
      <c r="F21" s="11" t="s">
        <v>583</v>
      </c>
    </row>
    <row r="22" customFormat="false" ht="15" hidden="false" customHeight="false" outlineLevel="0" collapsed="false">
      <c r="B22" s="11" t="s">
        <v>666</v>
      </c>
      <c r="C22" s="11" t="s">
        <v>667</v>
      </c>
      <c r="D22" s="11" t="s">
        <v>397</v>
      </c>
      <c r="E22" s="11" t="s">
        <v>326</v>
      </c>
      <c r="F22" s="11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668</v>
      </c>
    </row>
    <row r="3" customFormat="false" ht="21.75" hidden="false" customHeight="true" outlineLevel="0" collapsed="false">
      <c r="B3" s="2" t="s">
        <v>669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391</v>
      </c>
      <c r="C5" s="3" t="s">
        <v>670</v>
      </c>
      <c r="D5" s="3" t="s">
        <v>671</v>
      </c>
      <c r="E5" s="3" t="s">
        <v>279</v>
      </c>
      <c r="F5" s="3" t="s">
        <v>672</v>
      </c>
      <c r="G5" s="3" t="s">
        <v>673</v>
      </c>
      <c r="H5" s="3" t="s">
        <v>394</v>
      </c>
      <c r="I5" s="3" t="s">
        <v>674</v>
      </c>
    </row>
    <row r="6" customFormat="false" ht="15" hidden="false" customHeight="false" outlineLevel="0" collapsed="false">
      <c r="B6" s="22" t="n">
        <v>1</v>
      </c>
      <c r="C6" s="11" t="s">
        <v>424</v>
      </c>
      <c r="D6" s="11" t="s">
        <v>423</v>
      </c>
      <c r="E6" s="11" t="s">
        <v>4</v>
      </c>
      <c r="F6" s="11" t="s">
        <v>675</v>
      </c>
      <c r="G6" s="11" t="s">
        <v>418</v>
      </c>
      <c r="H6" s="13" t="s">
        <v>397</v>
      </c>
      <c r="I6" s="11" t="s">
        <v>5</v>
      </c>
    </row>
    <row r="7" customFormat="false" ht="15" hidden="false" customHeight="false" outlineLevel="0" collapsed="false">
      <c r="B7" s="22" t="n">
        <v>2</v>
      </c>
      <c r="C7" s="11" t="s">
        <v>428</v>
      </c>
      <c r="D7" s="11" t="s">
        <v>427</v>
      </c>
      <c r="E7" s="11" t="s">
        <v>429</v>
      </c>
      <c r="F7" s="11" t="s">
        <v>676</v>
      </c>
      <c r="G7" s="11" t="s">
        <v>418</v>
      </c>
      <c r="H7" s="13" t="s">
        <v>397</v>
      </c>
      <c r="I7" s="11" t="s">
        <v>5</v>
      </c>
    </row>
    <row r="8" customFormat="false" ht="15" hidden="false" customHeight="false" outlineLevel="0" collapsed="false">
      <c r="B8" s="22" t="n">
        <v>3</v>
      </c>
      <c r="C8" s="11" t="s">
        <v>430</v>
      </c>
      <c r="D8" s="11" t="s">
        <v>11</v>
      </c>
      <c r="E8" s="11" t="s">
        <v>12</v>
      </c>
      <c r="F8" s="11" t="s">
        <v>676</v>
      </c>
      <c r="G8" s="11" t="s">
        <v>418</v>
      </c>
      <c r="H8" s="13" t="s">
        <v>397</v>
      </c>
      <c r="I8" s="11" t="s">
        <v>13</v>
      </c>
    </row>
    <row r="9" customFormat="false" ht="15" hidden="false" customHeight="false" outlineLevel="0" collapsed="false">
      <c r="B9" s="22" t="n">
        <v>4</v>
      </c>
      <c r="C9" s="11" t="s">
        <v>431</v>
      </c>
      <c r="D9" s="11" t="s">
        <v>71</v>
      </c>
      <c r="E9" s="11" t="s">
        <v>17</v>
      </c>
      <c r="F9" s="11" t="s">
        <v>676</v>
      </c>
      <c r="G9" s="11" t="s">
        <v>418</v>
      </c>
      <c r="H9" s="13" t="s">
        <v>397</v>
      </c>
      <c r="I9" s="11" t="s">
        <v>13</v>
      </c>
    </row>
    <row r="10" customFormat="false" ht="15" hidden="false" customHeight="false" outlineLevel="0" collapsed="false">
      <c r="B10" s="22" t="n">
        <v>5</v>
      </c>
      <c r="C10" s="11" t="s">
        <v>432</v>
      </c>
      <c r="D10" s="11" t="s">
        <v>34</v>
      </c>
      <c r="E10" s="11" t="s">
        <v>35</v>
      </c>
      <c r="F10" s="11" t="s">
        <v>676</v>
      </c>
      <c r="G10" s="11" t="s">
        <v>418</v>
      </c>
      <c r="H10" s="13" t="s">
        <v>397</v>
      </c>
      <c r="I10" s="11" t="s">
        <v>36</v>
      </c>
    </row>
    <row r="11" customFormat="false" ht="15" hidden="false" customHeight="false" outlineLevel="0" collapsed="false">
      <c r="B11" s="22" t="n">
        <v>6</v>
      </c>
      <c r="C11" s="11" t="s">
        <v>434</v>
      </c>
      <c r="D11" s="11" t="s">
        <v>433</v>
      </c>
      <c r="E11" s="11" t="s">
        <v>28</v>
      </c>
      <c r="F11" s="11" t="s">
        <v>676</v>
      </c>
      <c r="G11" s="11" t="s">
        <v>418</v>
      </c>
      <c r="H11" s="13" t="s">
        <v>397</v>
      </c>
      <c r="I11" s="11" t="s">
        <v>13</v>
      </c>
    </row>
    <row r="12" customFormat="false" ht="15" hidden="false" customHeight="false" outlineLevel="0" collapsed="false">
      <c r="B12" s="22" t="n">
        <v>7</v>
      </c>
      <c r="C12" s="11" t="s">
        <v>436</v>
      </c>
      <c r="D12" s="11" t="s">
        <v>435</v>
      </c>
      <c r="E12" s="11" t="s">
        <v>437</v>
      </c>
      <c r="F12" s="11" t="s">
        <v>676</v>
      </c>
      <c r="G12" s="11" t="s">
        <v>418</v>
      </c>
      <c r="H12" s="13" t="s">
        <v>397</v>
      </c>
      <c r="I12" s="11" t="s">
        <v>438</v>
      </c>
    </row>
    <row r="13" customFormat="false" ht="15" hidden="false" customHeight="false" outlineLevel="0" collapsed="false">
      <c r="B13" s="22" t="n">
        <v>8</v>
      </c>
      <c r="C13" s="11" t="s">
        <v>440</v>
      </c>
      <c r="D13" s="11" t="s">
        <v>439</v>
      </c>
      <c r="E13" s="11" t="s">
        <v>30</v>
      </c>
      <c r="F13" s="11" t="s">
        <v>676</v>
      </c>
      <c r="G13" s="11" t="s">
        <v>418</v>
      </c>
      <c r="H13" s="13" t="s">
        <v>397</v>
      </c>
      <c r="I13" s="11" t="s">
        <v>13</v>
      </c>
    </row>
    <row r="14" customFormat="false" ht="15" hidden="false" customHeight="false" outlineLevel="0" collapsed="false">
      <c r="B14" s="22" t="n">
        <v>9</v>
      </c>
      <c r="C14" s="11" t="s">
        <v>441</v>
      </c>
      <c r="D14" s="11" t="s">
        <v>18</v>
      </c>
      <c r="E14" s="11" t="s">
        <v>19</v>
      </c>
      <c r="F14" s="11" t="s">
        <v>676</v>
      </c>
      <c r="G14" s="11" t="s">
        <v>418</v>
      </c>
      <c r="H14" s="13" t="s">
        <v>397</v>
      </c>
      <c r="I14" s="11" t="s">
        <v>20</v>
      </c>
    </row>
    <row r="15" customFormat="false" ht="15" hidden="false" customHeight="false" outlineLevel="0" collapsed="false">
      <c r="B15" s="22" t="n">
        <v>10</v>
      </c>
      <c r="C15" s="11" t="s">
        <v>443</v>
      </c>
      <c r="D15" s="11" t="s">
        <v>442</v>
      </c>
      <c r="E15" s="11" t="s">
        <v>22</v>
      </c>
      <c r="F15" s="11" t="s">
        <v>676</v>
      </c>
      <c r="G15" s="11" t="s">
        <v>418</v>
      </c>
      <c r="H15" s="13" t="s">
        <v>397</v>
      </c>
      <c r="I15" s="11" t="s">
        <v>20</v>
      </c>
    </row>
    <row r="16" customFormat="false" ht="15" hidden="false" customHeight="false" outlineLevel="0" collapsed="false">
      <c r="B16" s="22" t="n">
        <v>11</v>
      </c>
      <c r="C16" s="11" t="s">
        <v>444</v>
      </c>
      <c r="D16" s="11" t="s">
        <v>25</v>
      </c>
      <c r="E16" s="11" t="s">
        <v>26</v>
      </c>
      <c r="F16" s="11" t="s">
        <v>676</v>
      </c>
      <c r="G16" s="11" t="s">
        <v>418</v>
      </c>
      <c r="H16" s="13" t="s">
        <v>397</v>
      </c>
      <c r="I16" s="11" t="s">
        <v>20</v>
      </c>
    </row>
    <row r="17" customFormat="false" ht="15" hidden="false" customHeight="false" outlineLevel="0" collapsed="false">
      <c r="B17" s="22" t="n">
        <v>12</v>
      </c>
      <c r="C17" s="11" t="s">
        <v>446</v>
      </c>
      <c r="D17" s="11" t="s">
        <v>445</v>
      </c>
      <c r="E17" s="11" t="s">
        <v>343</v>
      </c>
      <c r="F17" s="11" t="s">
        <v>677</v>
      </c>
      <c r="G17" s="11" t="s">
        <v>418</v>
      </c>
      <c r="H17" s="13" t="s">
        <v>397</v>
      </c>
      <c r="I17" s="11" t="s">
        <v>20</v>
      </c>
    </row>
    <row r="18" customFormat="false" ht="15" hidden="false" customHeight="false" outlineLevel="0" collapsed="false">
      <c r="B18" s="22" t="n">
        <v>13</v>
      </c>
      <c r="C18" s="11" t="s">
        <v>448</v>
      </c>
      <c r="D18" s="11" t="s">
        <v>447</v>
      </c>
      <c r="E18" s="11" t="s">
        <v>449</v>
      </c>
      <c r="F18" s="11" t="s">
        <v>677</v>
      </c>
      <c r="G18" s="11" t="s">
        <v>418</v>
      </c>
      <c r="H18" s="13" t="s">
        <v>397</v>
      </c>
      <c r="I18" s="11" t="s">
        <v>5</v>
      </c>
    </row>
    <row r="19" customFormat="false" ht="15" hidden="false" customHeight="false" outlineLevel="0" collapsed="false">
      <c r="B19" s="22" t="n">
        <v>14</v>
      </c>
      <c r="C19" s="11" t="s">
        <v>451</v>
      </c>
      <c r="D19" s="11" t="s">
        <v>450</v>
      </c>
      <c r="E19" s="11" t="s">
        <v>452</v>
      </c>
      <c r="F19" s="11" t="s">
        <v>677</v>
      </c>
      <c r="G19" s="11" t="s">
        <v>418</v>
      </c>
      <c r="H19" s="13" t="s">
        <v>397</v>
      </c>
      <c r="I19" s="11" t="s">
        <v>5</v>
      </c>
    </row>
    <row r="20" customFormat="false" ht="15" hidden="false" customHeight="false" outlineLevel="0" collapsed="false">
      <c r="B20" s="22" t="n">
        <v>15</v>
      </c>
      <c r="C20" s="11" t="s">
        <v>454</v>
      </c>
      <c r="D20" s="11" t="s">
        <v>453</v>
      </c>
      <c r="E20" s="22" t="n">
        <v>18</v>
      </c>
      <c r="F20" s="11" t="s">
        <v>678</v>
      </c>
      <c r="G20" s="11" t="s">
        <v>418</v>
      </c>
      <c r="H20" s="13" t="s">
        <v>397</v>
      </c>
      <c r="I20" s="11" t="s">
        <v>288</v>
      </c>
    </row>
    <row r="21" customFormat="false" ht="15" hidden="false" customHeight="false" outlineLevel="0" collapsed="false">
      <c r="B21" s="22" t="n">
        <v>16</v>
      </c>
      <c r="C21" s="11" t="s">
        <v>455</v>
      </c>
      <c r="D21" s="11" t="s">
        <v>39</v>
      </c>
      <c r="E21" s="22" t="n">
        <v>50</v>
      </c>
      <c r="F21" s="11" t="s">
        <v>679</v>
      </c>
      <c r="G21" s="11" t="s">
        <v>418</v>
      </c>
      <c r="H21" s="13" t="s">
        <v>397</v>
      </c>
      <c r="I21" s="11" t="s">
        <v>457</v>
      </c>
    </row>
    <row r="22" customFormat="false" ht="15" hidden="false" customHeight="false" outlineLevel="0" collapsed="false">
      <c r="B22" s="22" t="n">
        <v>17</v>
      </c>
      <c r="C22" s="11" t="s">
        <v>459</v>
      </c>
      <c r="D22" s="11" t="s">
        <v>458</v>
      </c>
      <c r="E22" s="22" t="n">
        <v>395</v>
      </c>
      <c r="F22" s="11" t="s">
        <v>680</v>
      </c>
      <c r="G22" s="11" t="s">
        <v>418</v>
      </c>
      <c r="H22" s="13" t="s">
        <v>397</v>
      </c>
      <c r="I22" s="11" t="s">
        <v>457</v>
      </c>
    </row>
    <row r="23" customFormat="false" ht="15" hidden="false" customHeight="false" outlineLevel="0" collapsed="false">
      <c r="B23" s="22" t="n">
        <v>18</v>
      </c>
      <c r="C23" s="11" t="s">
        <v>462</v>
      </c>
      <c r="D23" s="11" t="s">
        <v>461</v>
      </c>
      <c r="E23" s="9" t="n">
        <v>897800</v>
      </c>
      <c r="F23" s="11" t="s">
        <v>325</v>
      </c>
      <c r="G23" s="11" t="s">
        <v>418</v>
      </c>
      <c r="H23" s="13" t="s">
        <v>397</v>
      </c>
      <c r="I23" s="11" t="s">
        <v>13</v>
      </c>
    </row>
    <row r="24" customFormat="false" ht="15" hidden="false" customHeight="false" outlineLevel="0" collapsed="false">
      <c r="B24" s="22" t="n">
        <v>19</v>
      </c>
      <c r="C24" s="11" t="s">
        <v>465</v>
      </c>
      <c r="D24" s="11" t="s">
        <v>464</v>
      </c>
      <c r="E24" s="9" t="n">
        <v>918566</v>
      </c>
      <c r="F24" s="11" t="s">
        <v>325</v>
      </c>
      <c r="G24" s="11" t="s">
        <v>418</v>
      </c>
      <c r="H24" s="13" t="s">
        <v>397</v>
      </c>
      <c r="I24" s="11" t="s">
        <v>13</v>
      </c>
    </row>
    <row r="25" customFormat="false" ht="15" hidden="false" customHeight="false" outlineLevel="0" collapsed="false">
      <c r="B25" s="22" t="n">
        <v>20</v>
      </c>
      <c r="C25" s="11" t="s">
        <v>467</v>
      </c>
      <c r="D25" s="11" t="s">
        <v>466</v>
      </c>
      <c r="E25" s="9" t="n">
        <v>20766</v>
      </c>
      <c r="F25" s="11" t="s">
        <v>325</v>
      </c>
      <c r="G25" s="11" t="s">
        <v>418</v>
      </c>
      <c r="H25" s="13" t="s">
        <v>397</v>
      </c>
      <c r="I25" s="11" t="s">
        <v>400</v>
      </c>
    </row>
    <row r="26" customFormat="false" ht="15" hidden="false" customHeight="false" outlineLevel="0" collapsed="false">
      <c r="B26" s="22" t="n">
        <v>21</v>
      </c>
      <c r="C26" s="11" t="s">
        <v>470</v>
      </c>
      <c r="D26" s="11" t="s">
        <v>469</v>
      </c>
      <c r="E26" s="26" t="n">
        <v>0.023129873022945</v>
      </c>
      <c r="F26" s="11" t="s">
        <v>318</v>
      </c>
      <c r="G26" s="11" t="s">
        <v>418</v>
      </c>
      <c r="H26" s="13" t="s">
        <v>397</v>
      </c>
      <c r="I26" s="11" t="s">
        <v>288</v>
      </c>
    </row>
    <row r="27" customFormat="false" ht="15" hidden="false" customHeight="false" outlineLevel="0" collapsed="false">
      <c r="B27" s="22" t="n">
        <v>22</v>
      </c>
      <c r="C27" s="11" t="s">
        <v>472</v>
      </c>
      <c r="D27" s="11" t="s">
        <v>471</v>
      </c>
      <c r="E27" s="9" t="n">
        <v>918566</v>
      </c>
      <c r="F27" s="11" t="s">
        <v>325</v>
      </c>
      <c r="G27" s="11" t="s">
        <v>418</v>
      </c>
      <c r="H27" s="13" t="s">
        <v>397</v>
      </c>
      <c r="I27" s="11" t="s">
        <v>5</v>
      </c>
    </row>
    <row r="28" customFormat="false" ht="15" hidden="false" customHeight="false" outlineLevel="0" collapsed="false">
      <c r="B28" s="22" t="n">
        <v>23</v>
      </c>
      <c r="C28" s="11" t="s">
        <v>475</v>
      </c>
      <c r="D28" s="11" t="s">
        <v>474</v>
      </c>
      <c r="E28" s="9" t="n">
        <v>491756.9</v>
      </c>
      <c r="F28" s="11" t="s">
        <v>325</v>
      </c>
      <c r="G28" s="11" t="s">
        <v>418</v>
      </c>
      <c r="H28" s="13" t="s">
        <v>397</v>
      </c>
      <c r="I28" s="11" t="s">
        <v>5</v>
      </c>
    </row>
    <row r="29" customFormat="false" ht="15" hidden="false" customHeight="false" outlineLevel="0" collapsed="false">
      <c r="B29" s="22" t="n">
        <v>24</v>
      </c>
      <c r="C29" s="11" t="s">
        <v>478</v>
      </c>
      <c r="D29" s="11" t="s">
        <v>477</v>
      </c>
      <c r="E29" s="9" t="n">
        <v>426809.1</v>
      </c>
      <c r="F29" s="11" t="s">
        <v>325</v>
      </c>
      <c r="G29" s="11" t="s">
        <v>418</v>
      </c>
      <c r="H29" s="13" t="s">
        <v>397</v>
      </c>
      <c r="I29" s="11" t="s">
        <v>5</v>
      </c>
    </row>
    <row r="30" customFormat="false" ht="15" hidden="false" customHeight="false" outlineLevel="0" collapsed="false">
      <c r="B30" s="22" t="n">
        <v>25</v>
      </c>
      <c r="C30" s="11" t="s">
        <v>480</v>
      </c>
      <c r="D30" s="11" t="s">
        <v>319</v>
      </c>
      <c r="E30" s="26" t="n">
        <v>0.46464717831925</v>
      </c>
      <c r="F30" s="11" t="s">
        <v>318</v>
      </c>
      <c r="G30" s="11" t="s">
        <v>418</v>
      </c>
      <c r="H30" s="13" t="s">
        <v>397</v>
      </c>
      <c r="I30" s="11" t="s">
        <v>288</v>
      </c>
    </row>
    <row r="31" customFormat="false" ht="15" hidden="false" customHeight="false" outlineLevel="0" collapsed="false">
      <c r="B31" s="22" t="n">
        <v>26</v>
      </c>
      <c r="C31" s="11" t="s">
        <v>482</v>
      </c>
      <c r="D31" s="11" t="s">
        <v>481</v>
      </c>
      <c r="E31" s="9" t="n">
        <v>45928.3</v>
      </c>
      <c r="F31" s="11" t="s">
        <v>325</v>
      </c>
      <c r="G31" s="11" t="s">
        <v>418</v>
      </c>
      <c r="H31" s="13" t="s">
        <v>397</v>
      </c>
      <c r="I31" s="11" t="s">
        <v>5</v>
      </c>
    </row>
    <row r="32" customFormat="false" ht="15" hidden="false" customHeight="false" outlineLevel="0" collapsed="false">
      <c r="B32" s="22" t="n">
        <v>27</v>
      </c>
      <c r="C32" s="11" t="s">
        <v>485</v>
      </c>
      <c r="D32" s="11" t="s">
        <v>484</v>
      </c>
      <c r="E32" s="26" t="n">
        <v>0.05</v>
      </c>
      <c r="F32" s="11" t="s">
        <v>318</v>
      </c>
      <c r="G32" s="11" t="s">
        <v>418</v>
      </c>
      <c r="H32" s="13" t="s">
        <v>397</v>
      </c>
      <c r="I32" s="11" t="s">
        <v>288</v>
      </c>
    </row>
    <row r="33" customFormat="false" ht="15" hidden="false" customHeight="false" outlineLevel="0" collapsed="false">
      <c r="B33" s="22" t="n">
        <v>28</v>
      </c>
      <c r="C33" s="11" t="s">
        <v>487</v>
      </c>
      <c r="D33" s="11" t="s">
        <v>486</v>
      </c>
      <c r="E33" s="9" t="n">
        <v>163505.5</v>
      </c>
      <c r="F33" s="11" t="s">
        <v>325</v>
      </c>
      <c r="G33" s="11" t="s">
        <v>418</v>
      </c>
      <c r="H33" s="13" t="s">
        <v>397</v>
      </c>
      <c r="I33" s="11" t="s">
        <v>5</v>
      </c>
    </row>
    <row r="34" customFormat="false" ht="15" hidden="false" customHeight="false" outlineLevel="0" collapsed="false">
      <c r="B34" s="22" t="n">
        <v>29</v>
      </c>
      <c r="C34" s="11" t="s">
        <v>490</v>
      </c>
      <c r="D34" s="11" t="s">
        <v>489</v>
      </c>
      <c r="E34" s="9" t="n">
        <v>204958.79</v>
      </c>
      <c r="F34" s="11" t="s">
        <v>325</v>
      </c>
      <c r="G34" s="11" t="s">
        <v>418</v>
      </c>
      <c r="H34" s="13" t="s">
        <v>397</v>
      </c>
      <c r="I34" s="11" t="s">
        <v>5</v>
      </c>
    </row>
    <row r="35" customFormat="false" ht="15" hidden="false" customHeight="false" outlineLevel="0" collapsed="false">
      <c r="B35" s="22" t="n">
        <v>30</v>
      </c>
      <c r="C35" s="11" t="s">
        <v>493</v>
      </c>
      <c r="D35" s="11" t="s">
        <v>492</v>
      </c>
      <c r="E35" s="9" t="n">
        <v>37734.01</v>
      </c>
      <c r="F35" s="11" t="s">
        <v>325</v>
      </c>
      <c r="G35" s="11" t="s">
        <v>418</v>
      </c>
      <c r="H35" s="13" t="s">
        <v>397</v>
      </c>
      <c r="I35" s="11" t="s">
        <v>5</v>
      </c>
    </row>
    <row r="36" customFormat="false" ht="15" hidden="false" customHeight="false" outlineLevel="0" collapsed="false">
      <c r="B36" s="22" t="n">
        <v>31</v>
      </c>
      <c r="C36" s="11" t="s">
        <v>496</v>
      </c>
      <c r="D36" s="11" t="s">
        <v>495</v>
      </c>
      <c r="E36" s="9" t="n">
        <v>72671.19</v>
      </c>
      <c r="F36" s="11" t="s">
        <v>325</v>
      </c>
      <c r="G36" s="11" t="s">
        <v>418</v>
      </c>
      <c r="H36" s="13" t="s">
        <v>397</v>
      </c>
      <c r="I36" s="11" t="s">
        <v>5</v>
      </c>
    </row>
    <row r="37" customFormat="false" ht="15" hidden="false" customHeight="false" outlineLevel="0" collapsed="false">
      <c r="B37" s="22" t="n">
        <v>32</v>
      </c>
      <c r="C37" s="11" t="s">
        <v>499</v>
      </c>
      <c r="D37" s="11" t="s">
        <v>498</v>
      </c>
      <c r="E37" s="9" t="n">
        <v>12535.41</v>
      </c>
      <c r="F37" s="11" t="s">
        <v>325</v>
      </c>
      <c r="G37" s="11" t="s">
        <v>418</v>
      </c>
      <c r="H37" s="13" t="s">
        <v>397</v>
      </c>
      <c r="I37" s="11" t="s">
        <v>5</v>
      </c>
    </row>
    <row r="38" customFormat="false" ht="15" hidden="false" customHeight="false" outlineLevel="0" collapsed="false">
      <c r="B38" s="22" t="n">
        <v>33</v>
      </c>
      <c r="C38" s="11" t="s">
        <v>501</v>
      </c>
      <c r="D38" s="11" t="s">
        <v>283</v>
      </c>
      <c r="E38" s="10" t="n">
        <v>5763.5</v>
      </c>
      <c r="F38" s="11" t="s">
        <v>681</v>
      </c>
      <c r="G38" s="11" t="s">
        <v>418</v>
      </c>
      <c r="H38" s="13" t="s">
        <v>397</v>
      </c>
      <c r="I38" s="11" t="s">
        <v>5</v>
      </c>
    </row>
    <row r="39" customFormat="false" ht="15" hidden="false" customHeight="false" outlineLevel="0" collapsed="false">
      <c r="B39" s="22" t="n">
        <v>34</v>
      </c>
      <c r="C39" s="11" t="s">
        <v>503</v>
      </c>
      <c r="D39" s="11" t="s">
        <v>281</v>
      </c>
      <c r="E39" s="22" t="n">
        <v>22</v>
      </c>
      <c r="F39" s="11" t="s">
        <v>680</v>
      </c>
      <c r="G39" s="11" t="s">
        <v>418</v>
      </c>
      <c r="H39" s="13" t="s">
        <v>397</v>
      </c>
      <c r="I39" s="11" t="s">
        <v>5</v>
      </c>
    </row>
    <row r="40" customFormat="false" ht="15" hidden="false" customHeight="false" outlineLevel="0" collapsed="false">
      <c r="B40" s="22" t="n">
        <v>35</v>
      </c>
      <c r="C40" s="11" t="s">
        <v>506</v>
      </c>
      <c r="D40" s="11" t="s">
        <v>505</v>
      </c>
      <c r="E40" s="9" t="n">
        <v>28.3691333391169</v>
      </c>
      <c r="F40" s="11" t="s">
        <v>305</v>
      </c>
      <c r="G40" s="11" t="s">
        <v>418</v>
      </c>
      <c r="H40" s="13" t="s">
        <v>397</v>
      </c>
      <c r="I40" s="11" t="s">
        <v>288</v>
      </c>
    </row>
    <row r="41" customFormat="false" ht="15" hidden="false" customHeight="false" outlineLevel="0" collapsed="false">
      <c r="B41" s="22" t="n">
        <v>36</v>
      </c>
      <c r="C41" s="11" t="s">
        <v>508</v>
      </c>
      <c r="D41" s="11" t="s">
        <v>507</v>
      </c>
      <c r="E41" s="9" t="n">
        <v>57.9979</v>
      </c>
      <c r="F41" s="11" t="s">
        <v>305</v>
      </c>
      <c r="G41" s="11" t="s">
        <v>418</v>
      </c>
      <c r="H41" s="13" t="s">
        <v>397</v>
      </c>
      <c r="I41" s="11" t="s">
        <v>288</v>
      </c>
    </row>
    <row r="42" customFormat="false" ht="15" hidden="false" customHeight="false" outlineLevel="0" collapsed="false">
      <c r="B42" s="22" t="n">
        <v>37</v>
      </c>
      <c r="C42" s="11" t="s">
        <v>509</v>
      </c>
      <c r="D42" s="11" t="s">
        <v>311</v>
      </c>
      <c r="E42" s="25" t="n">
        <v>1.3421</v>
      </c>
      <c r="F42" s="11" t="s">
        <v>312</v>
      </c>
      <c r="G42" s="11" t="s">
        <v>418</v>
      </c>
      <c r="H42" s="13" t="s">
        <v>397</v>
      </c>
      <c r="I42" s="11" t="s">
        <v>288</v>
      </c>
    </row>
    <row r="43" customFormat="false" ht="15" hidden="false" customHeight="false" outlineLevel="0" collapsed="false">
      <c r="B43" s="22" t="n">
        <v>38</v>
      </c>
      <c r="C43" s="11" t="s">
        <v>511</v>
      </c>
      <c r="D43" s="11" t="s">
        <v>510</v>
      </c>
      <c r="E43" s="10" t="n">
        <v>2862.5</v>
      </c>
      <c r="F43" s="11" t="s">
        <v>681</v>
      </c>
      <c r="G43" s="11" t="s">
        <v>418</v>
      </c>
      <c r="H43" s="13" t="s">
        <v>397</v>
      </c>
      <c r="I43" s="11" t="s">
        <v>5</v>
      </c>
    </row>
    <row r="44" customFormat="false" ht="15" hidden="false" customHeight="false" outlineLevel="0" collapsed="false">
      <c r="B44" s="22" t="n">
        <v>39</v>
      </c>
      <c r="C44" s="11" t="s">
        <v>514</v>
      </c>
      <c r="D44" s="11" t="s">
        <v>513</v>
      </c>
      <c r="E44" s="10" t="n">
        <v>503</v>
      </c>
      <c r="F44" s="11" t="s">
        <v>681</v>
      </c>
      <c r="G44" s="11" t="s">
        <v>418</v>
      </c>
      <c r="H44" s="13" t="s">
        <v>397</v>
      </c>
      <c r="I44" s="11" t="s">
        <v>5</v>
      </c>
    </row>
    <row r="45" customFormat="false" ht="15" hidden="false" customHeight="false" outlineLevel="0" collapsed="false">
      <c r="B45" s="22" t="n">
        <v>40</v>
      </c>
      <c r="C45" s="11" t="s">
        <v>517</v>
      </c>
      <c r="D45" s="11" t="s">
        <v>516</v>
      </c>
      <c r="E45" s="9" t="n">
        <v>159.376420577774</v>
      </c>
      <c r="F45" s="11" t="s">
        <v>305</v>
      </c>
      <c r="G45" s="11" t="s">
        <v>418</v>
      </c>
      <c r="H45" s="13" t="s">
        <v>397</v>
      </c>
      <c r="I45" s="11" t="s">
        <v>288</v>
      </c>
    </row>
    <row r="46" customFormat="false" ht="15" hidden="false" customHeight="false" outlineLevel="0" collapsed="false">
      <c r="B46" s="22" t="n">
        <v>41</v>
      </c>
      <c r="C46" s="11" t="s">
        <v>520</v>
      </c>
      <c r="D46" s="11" t="s">
        <v>519</v>
      </c>
      <c r="E46" s="9" t="n">
        <v>74.0538041120847</v>
      </c>
      <c r="F46" s="11" t="s">
        <v>305</v>
      </c>
      <c r="G46" s="11" t="s">
        <v>418</v>
      </c>
      <c r="H46" s="13" t="s">
        <v>397</v>
      </c>
      <c r="I46" s="11" t="s">
        <v>288</v>
      </c>
    </row>
    <row r="47" customFormat="false" ht="15" hidden="false" customHeight="false" outlineLevel="0" collapsed="false">
      <c r="B47" s="22" t="n">
        <v>42</v>
      </c>
      <c r="C47" s="11" t="s">
        <v>522</v>
      </c>
      <c r="D47" s="11" t="s">
        <v>521</v>
      </c>
      <c r="E47" s="9" t="n">
        <v>18371.32</v>
      </c>
      <c r="F47" s="11" t="s">
        <v>325</v>
      </c>
      <c r="G47" s="11" t="s">
        <v>418</v>
      </c>
      <c r="H47" s="13" t="s">
        <v>397</v>
      </c>
      <c r="I47" s="11" t="s">
        <v>288</v>
      </c>
    </row>
    <row r="48" customFormat="false" ht="15" hidden="false" customHeight="false" outlineLevel="0" collapsed="false">
      <c r="B48" s="22" t="n">
        <v>43</v>
      </c>
      <c r="C48" s="11" t="s">
        <v>523</v>
      </c>
      <c r="D48" s="11" t="s">
        <v>330</v>
      </c>
      <c r="E48" s="9" t="n">
        <v>9835.138</v>
      </c>
      <c r="F48" s="11" t="s">
        <v>325</v>
      </c>
      <c r="G48" s="11" t="s">
        <v>418</v>
      </c>
      <c r="H48" s="13" t="s">
        <v>397</v>
      </c>
      <c r="I48" s="11" t="s">
        <v>288</v>
      </c>
    </row>
    <row r="49" customFormat="false" ht="15" hidden="false" customHeight="false" outlineLevel="0" collapsed="false">
      <c r="B49" s="22" t="n">
        <v>44</v>
      </c>
      <c r="C49" s="11" t="s">
        <v>525</v>
      </c>
      <c r="D49" s="11" t="s">
        <v>524</v>
      </c>
      <c r="E49" s="10" t="n">
        <v>115.27</v>
      </c>
      <c r="F49" s="11" t="s">
        <v>681</v>
      </c>
      <c r="G49" s="11" t="s">
        <v>418</v>
      </c>
      <c r="H49" s="13" t="s">
        <v>397</v>
      </c>
      <c r="I49" s="11" t="s">
        <v>288</v>
      </c>
    </row>
    <row r="50" customFormat="false" ht="15" hidden="false" customHeight="false" outlineLevel="0" collapsed="false">
      <c r="B50" s="22" t="n">
        <v>45</v>
      </c>
      <c r="C50" s="11" t="s">
        <v>526</v>
      </c>
      <c r="D50" s="11" t="s">
        <v>332</v>
      </c>
      <c r="E50" s="9" t="n">
        <v>2325.4835443038</v>
      </c>
      <c r="F50" s="11" t="s">
        <v>325</v>
      </c>
      <c r="G50" s="11" t="s">
        <v>418</v>
      </c>
      <c r="H50" s="13" t="s">
        <v>397</v>
      </c>
      <c r="I50" s="11" t="s">
        <v>288</v>
      </c>
    </row>
    <row r="51" customFormat="false" ht="15" hidden="false" customHeight="false" outlineLevel="0" collapsed="false">
      <c r="B51" s="22" t="n">
        <v>46</v>
      </c>
      <c r="C51" s="11" t="s">
        <v>527</v>
      </c>
      <c r="D51" s="11" t="s">
        <v>320</v>
      </c>
      <c r="E51" s="26" t="n">
        <v>0.178000818667358</v>
      </c>
      <c r="F51" s="11" t="s">
        <v>318</v>
      </c>
      <c r="G51" s="11" t="s">
        <v>418</v>
      </c>
      <c r="H51" s="13" t="s">
        <v>397</v>
      </c>
      <c r="I51" s="11" t="s">
        <v>288</v>
      </c>
    </row>
    <row r="52" customFormat="false" ht="15" hidden="false" customHeight="false" outlineLevel="0" collapsed="false">
      <c r="B52" s="22" t="n">
        <v>47</v>
      </c>
      <c r="C52" s="11" t="s">
        <v>529</v>
      </c>
      <c r="D52" s="11" t="s">
        <v>321</v>
      </c>
      <c r="E52" s="26" t="n">
        <v>0.223129083811071</v>
      </c>
      <c r="F52" s="11" t="s">
        <v>318</v>
      </c>
      <c r="G52" s="11" t="s">
        <v>418</v>
      </c>
      <c r="H52" s="13" t="s">
        <v>397</v>
      </c>
      <c r="I52" s="11" t="s">
        <v>288</v>
      </c>
    </row>
    <row r="53" customFormat="false" ht="15" hidden="false" customHeight="false" outlineLevel="0" collapsed="false">
      <c r="B53" s="22" t="n">
        <v>48</v>
      </c>
      <c r="C53" s="11" t="s">
        <v>531</v>
      </c>
      <c r="D53" s="11" t="s">
        <v>530</v>
      </c>
      <c r="E53" s="22" t="n">
        <v>23</v>
      </c>
      <c r="F53" s="11" t="s">
        <v>680</v>
      </c>
      <c r="G53" s="11" t="s">
        <v>418</v>
      </c>
      <c r="H53" s="13" t="s">
        <v>397</v>
      </c>
      <c r="I53" s="11" t="s">
        <v>5</v>
      </c>
    </row>
    <row r="54" customFormat="false" ht="15" hidden="false" customHeight="false" outlineLevel="0" collapsed="false">
      <c r="B54" s="22" t="n">
        <v>49</v>
      </c>
      <c r="C54" s="11" t="s">
        <v>533</v>
      </c>
      <c r="D54" s="11" t="s">
        <v>532</v>
      </c>
      <c r="E54" s="22" t="n">
        <v>16</v>
      </c>
      <c r="F54" s="11" t="s">
        <v>680</v>
      </c>
      <c r="G54" s="11" t="s">
        <v>418</v>
      </c>
      <c r="H54" s="13" t="s">
        <v>397</v>
      </c>
      <c r="I54" s="11" t="s">
        <v>5</v>
      </c>
    </row>
    <row r="55" customFormat="false" ht="15" hidden="false" customHeight="false" outlineLevel="0" collapsed="false">
      <c r="B55" s="22" t="n">
        <v>50</v>
      </c>
      <c r="C55" s="11" t="s">
        <v>536</v>
      </c>
      <c r="D55" s="11" t="s">
        <v>535</v>
      </c>
      <c r="E55" s="26" t="n">
        <v>0.175500997657673</v>
      </c>
      <c r="F55" s="11" t="s">
        <v>318</v>
      </c>
      <c r="G55" s="11" t="s">
        <v>418</v>
      </c>
      <c r="H55" s="13" t="s">
        <v>397</v>
      </c>
      <c r="I55" s="11" t="s">
        <v>288</v>
      </c>
    </row>
    <row r="56" customFormat="false" ht="15" hidden="false" customHeight="false" outlineLevel="0" collapsed="false">
      <c r="B56" s="22" t="n">
        <v>51</v>
      </c>
      <c r="C56" s="11" t="s">
        <v>539</v>
      </c>
      <c r="D56" s="11" t="s">
        <v>538</v>
      </c>
      <c r="E56" s="26" t="n">
        <v>0.672508024637807</v>
      </c>
      <c r="F56" s="11" t="s">
        <v>318</v>
      </c>
      <c r="G56" s="11" t="s">
        <v>418</v>
      </c>
      <c r="H56" s="13" t="s">
        <v>397</v>
      </c>
      <c r="I56" s="11" t="s">
        <v>288</v>
      </c>
    </row>
    <row r="57" customFormat="false" ht="15" hidden="false" customHeight="false" outlineLevel="0" collapsed="false">
      <c r="B57" s="22" t="n">
        <v>52</v>
      </c>
      <c r="C57" s="11" t="s">
        <v>541</v>
      </c>
      <c r="D57" s="11" t="s">
        <v>540</v>
      </c>
      <c r="E57" s="22" t="n">
        <v>30</v>
      </c>
      <c r="F57" s="11" t="s">
        <v>680</v>
      </c>
      <c r="G57" s="11" t="s">
        <v>418</v>
      </c>
      <c r="H57" s="13" t="s">
        <v>397</v>
      </c>
      <c r="I57" s="11" t="s">
        <v>5</v>
      </c>
    </row>
    <row r="58" customFormat="false" ht="15" hidden="false" customHeight="false" outlineLevel="0" collapsed="false">
      <c r="B58" s="22" t="n">
        <v>53</v>
      </c>
      <c r="C58" s="11" t="s">
        <v>544</v>
      </c>
      <c r="D58" s="11" t="s">
        <v>543</v>
      </c>
      <c r="E58" s="22" t="n">
        <v>8</v>
      </c>
      <c r="F58" s="11" t="s">
        <v>680</v>
      </c>
      <c r="G58" s="11" t="s">
        <v>418</v>
      </c>
      <c r="H58" s="13" t="s">
        <v>397</v>
      </c>
      <c r="I58" s="11" t="s">
        <v>546</v>
      </c>
    </row>
    <row r="59" customFormat="false" ht="15" hidden="false" customHeight="false" outlineLevel="0" collapsed="false">
      <c r="B59" s="22" t="n">
        <v>54</v>
      </c>
      <c r="C59" s="11" t="s">
        <v>548</v>
      </c>
      <c r="D59" s="11" t="s">
        <v>547</v>
      </c>
      <c r="E59" s="22" t="n">
        <v>19</v>
      </c>
      <c r="F59" s="11" t="s">
        <v>680</v>
      </c>
      <c r="G59" s="11" t="s">
        <v>418</v>
      </c>
      <c r="H59" s="13" t="s">
        <v>397</v>
      </c>
      <c r="I59" s="11" t="s">
        <v>549</v>
      </c>
    </row>
    <row r="60" customFormat="false" ht="15" hidden="false" customHeight="false" outlineLevel="0" collapsed="false">
      <c r="B60" s="22" t="n">
        <v>55</v>
      </c>
      <c r="C60" s="11" t="s">
        <v>551</v>
      </c>
      <c r="D60" s="11" t="s">
        <v>550</v>
      </c>
      <c r="E60" s="22" t="n">
        <v>4</v>
      </c>
      <c r="F60" s="11" t="s">
        <v>680</v>
      </c>
      <c r="G60" s="11" t="s">
        <v>418</v>
      </c>
      <c r="H60" s="13" t="s">
        <v>397</v>
      </c>
      <c r="I60" s="11" t="s">
        <v>552</v>
      </c>
    </row>
    <row r="61" customFormat="false" ht="15" hidden="false" customHeight="false" outlineLevel="0" collapsed="false">
      <c r="B61" s="22" t="n">
        <v>56</v>
      </c>
      <c r="C61" s="11" t="s">
        <v>554</v>
      </c>
      <c r="D61" s="11" t="s">
        <v>553</v>
      </c>
      <c r="E61" s="22" t="n">
        <v>13</v>
      </c>
      <c r="F61" s="11" t="s">
        <v>680</v>
      </c>
      <c r="G61" s="11" t="s">
        <v>418</v>
      </c>
      <c r="H61" s="13" t="s">
        <v>397</v>
      </c>
      <c r="I61" s="11" t="s">
        <v>555</v>
      </c>
    </row>
    <row r="62" customFormat="false" ht="15" hidden="false" customHeight="false" outlineLevel="0" collapsed="false">
      <c r="B62" s="22" t="n">
        <v>57</v>
      </c>
      <c r="C62" s="11" t="s">
        <v>557</v>
      </c>
      <c r="D62" s="11" t="s">
        <v>556</v>
      </c>
      <c r="E62" s="22" t="n">
        <v>140</v>
      </c>
      <c r="F62" s="11" t="s">
        <v>680</v>
      </c>
      <c r="G62" s="11" t="s">
        <v>418</v>
      </c>
      <c r="H62" s="13" t="s">
        <v>397</v>
      </c>
      <c r="I62" s="11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10" min="4" style="0" width="22"/>
  </cols>
  <sheetData>
    <row r="2" customFormat="false" ht="33.75" hidden="false" customHeight="true" outlineLevel="0" collapsed="false">
      <c r="B2" s="1" t="s">
        <v>682</v>
      </c>
    </row>
    <row r="3" customFormat="false" ht="21.75" hidden="false" customHeight="true" outlineLevel="0" collapsed="false">
      <c r="B3" s="2" t="s">
        <v>683</v>
      </c>
    </row>
    <row r="4" customFormat="false" ht="1.5" hidden="false" customHeight="true" outlineLevel="0" collapsed="false"/>
    <row r="5" customFormat="false" ht="15" hidden="false" customHeight="false" outlineLevel="0" collapsed="false">
      <c r="B5" s="3" t="s">
        <v>391</v>
      </c>
      <c r="C5" s="3" t="s">
        <v>684</v>
      </c>
      <c r="D5" s="3" t="s">
        <v>685</v>
      </c>
      <c r="E5" s="3" t="s">
        <v>686</v>
      </c>
      <c r="F5" s="3" t="s">
        <v>687</v>
      </c>
      <c r="G5" s="3" t="s">
        <v>67</v>
      </c>
      <c r="H5" s="3" t="s">
        <v>688</v>
      </c>
    </row>
    <row r="6" customFormat="false" ht="15" hidden="false" customHeight="false" outlineLevel="0" collapsed="false">
      <c r="B6" s="22" t="n">
        <v>1</v>
      </c>
      <c r="C6" s="11" t="s">
        <v>689</v>
      </c>
      <c r="D6" s="9" t="n">
        <v>918566</v>
      </c>
      <c r="E6" s="9" t="n">
        <v>918566</v>
      </c>
      <c r="F6" s="16" t="n">
        <f aca="false">D6-E6</f>
        <v>0</v>
      </c>
      <c r="G6" s="0" t="str">
        <f aca="false">IF(ABS(F6)&lt;=1,"TIES",IF(ABS(F6)&lt;=ABS(E6)*0.05,"WITHIN","OFF"))</f>
        <v>TIES</v>
      </c>
      <c r="H6" s="11" t="s">
        <v>690</v>
      </c>
    </row>
    <row r="7" customFormat="false" ht="15" hidden="false" customHeight="false" outlineLevel="0" collapsed="false">
      <c r="B7" s="22" t="n">
        <v>2</v>
      </c>
      <c r="C7" s="11" t="s">
        <v>691</v>
      </c>
      <c r="D7" s="9" t="n">
        <v>491756.9</v>
      </c>
      <c r="E7" s="9" t="n">
        <v>491404.9</v>
      </c>
      <c r="F7" s="16" t="n">
        <f aca="false">D7-E7</f>
        <v>352</v>
      </c>
      <c r="G7" s="0" t="str">
        <f aca="false">IF(ABS(F7)&lt;=1,"TIES",IF(ABS(F7)&lt;=ABS(E7)*0.05,"WITHIN","OFF"))</f>
        <v>WITHIN</v>
      </c>
      <c r="H7" s="11" t="s">
        <v>692</v>
      </c>
    </row>
    <row r="8" customFormat="false" ht="15" hidden="false" customHeight="false" outlineLevel="0" collapsed="false">
      <c r="B8" s="22" t="n">
        <v>3</v>
      </c>
      <c r="C8" s="11" t="s">
        <v>693</v>
      </c>
      <c r="D8" s="9" t="n">
        <v>426809.1</v>
      </c>
      <c r="E8" s="9" t="n">
        <v>426809.1</v>
      </c>
      <c r="F8" s="16" t="n">
        <f aca="false">D8-E8</f>
        <v>0</v>
      </c>
      <c r="G8" s="0" t="str">
        <f aca="false">IF(ABS(F8)&lt;=1,"TIES",IF(ABS(F8)&lt;=ABS(E8)*0.05,"WITHIN","OFF"))</f>
        <v>TIES</v>
      </c>
      <c r="H8" s="11" t="s">
        <v>694</v>
      </c>
    </row>
    <row r="9" customFormat="false" ht="15" hidden="false" customHeight="false" outlineLevel="0" collapsed="false">
      <c r="B9" s="22" t="n">
        <v>4</v>
      </c>
      <c r="C9" s="11" t="s">
        <v>695</v>
      </c>
      <c r="D9" s="9" t="n">
        <v>918566</v>
      </c>
      <c r="E9" s="9" t="n">
        <v>918566</v>
      </c>
      <c r="F9" s="16" t="n">
        <f aca="false">D9-E9</f>
        <v>0</v>
      </c>
      <c r="G9" s="0" t="str">
        <f aca="false">IF(ABS(F9)&lt;=1,"TIES",IF(ABS(F9)&lt;=ABS(E9)*0.05,"WITHIN","OFF"))</f>
        <v>TIES</v>
      </c>
      <c r="H9" s="11" t="s">
        <v>696</v>
      </c>
    </row>
    <row r="10" customFormat="false" ht="15" hidden="false" customHeight="false" outlineLevel="0" collapsed="false">
      <c r="B10" s="22" t="n">
        <v>5</v>
      </c>
      <c r="C10" s="11" t="s">
        <v>697</v>
      </c>
      <c r="D10" s="9" t="n">
        <v>5763.5</v>
      </c>
      <c r="E10" s="9" t="n">
        <v>5763.5</v>
      </c>
      <c r="F10" s="16" t="n">
        <f aca="false">D10-E10</f>
        <v>0</v>
      </c>
      <c r="G10" s="0" t="str">
        <f aca="false">IF(ABS(F10)&lt;=1,"TIES",IF(ABS(F10)&lt;=ABS(E10)*0.05,"WITHIN","OFF"))</f>
        <v>TIES</v>
      </c>
      <c r="H10" s="11" t="s">
        <v>698</v>
      </c>
    </row>
    <row r="11" customFormat="false" ht="15" hidden="false" customHeight="false" outlineLevel="0" collapsed="false">
      <c r="B11" s="22" t="n">
        <v>6</v>
      </c>
      <c r="C11" s="11" t="s">
        <v>699</v>
      </c>
      <c r="D11" s="9" t="n">
        <v>20766</v>
      </c>
      <c r="E11" s="9" t="n">
        <v>20766</v>
      </c>
      <c r="F11" s="16" t="n">
        <f aca="false">D11-E11</f>
        <v>0</v>
      </c>
      <c r="G11" s="0" t="str">
        <f aca="false">IF(ABS(F11)&lt;=1,"TIES",IF(ABS(F11)&lt;=ABS(E11)*0.05,"WITHIN","OFF"))</f>
        <v>TIES</v>
      </c>
      <c r="H11" s="11" t="s">
        <v>700</v>
      </c>
    </row>
    <row r="12" customFormat="false" ht="15" hidden="false" customHeight="false" outlineLevel="0" collapsed="false">
      <c r="B12" s="22" t="n">
        <v>7</v>
      </c>
      <c r="C12" s="11" t="s">
        <v>701</v>
      </c>
      <c r="D12" s="11" t="n">
        <v>22</v>
      </c>
      <c r="E12" s="11" t="n">
        <v>22</v>
      </c>
      <c r="F12" s="16" t="n">
        <f aca="false">D12-E12</f>
        <v>0</v>
      </c>
      <c r="G12" s="0" t="str">
        <f aca="false">IF(ABS(F12)&lt;=1,"TIES",IF(ABS(F12)&lt;=ABS(E12)*0.05,"WITHIN","OFF"))</f>
        <v>TIES</v>
      </c>
      <c r="H12" s="11" t="s">
        <v>702</v>
      </c>
    </row>
    <row r="13" customFormat="false" ht="15" hidden="false" customHeight="false" outlineLevel="0" collapsed="false">
      <c r="B13" s="22" t="n">
        <v>8</v>
      </c>
      <c r="C13" s="11" t="s">
        <v>703</v>
      </c>
      <c r="D13" s="11" t="n">
        <v>30</v>
      </c>
      <c r="E13" s="11" t="n">
        <v>30</v>
      </c>
      <c r="F13" s="16" t="n">
        <f aca="false">D13-E13</f>
        <v>0</v>
      </c>
      <c r="G13" s="0" t="str">
        <f aca="false">IF(ABS(F13)&lt;=1,"TIES",IF(ABS(F13)&lt;=ABS(E13)*0.05,"WITHIN","OFF"))</f>
        <v>TIES</v>
      </c>
      <c r="H13" s="11" t="s">
        <v>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2026-04-20T23:13:05Z</dcterms:created>
  <dc:creator>openpyxl</dc:creator>
  <dc:description/>
  <dc:language>en-US</dc:language>
  <cp:lastModifiedBy/>
  <dcterms:modified xsi:type="dcterms:W3CDTF">2026-04-20T23:13:05Z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