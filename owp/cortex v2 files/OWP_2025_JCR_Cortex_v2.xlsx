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8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#2025 · Exxel Pacific Cora Apts — The Cora Apartments</t>
        </is>
      </c>
    </row>
    <row r="3">
      <c r="B3" s="2" t="inlineStr">
        <is>
          <t>Cortex JCR Cortex v2  •  Exxel Pacific, Inc. (customer 2025EP)  •  19 W Harrison St, Seattle WA 98109  •  Owner: 19 W HARRISON LLC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2025</t>
        </is>
      </c>
      <c r="D6" s="6" t="n"/>
      <c r="E6" s="7" t="n"/>
      <c r="F6" s="8" t="inlineStr">
        <is>
          <t>2025 Job Detail Report.pdf (Sage Timberline, 04/03/2026, 126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Exxel Pacific Cora Apts</t>
        </is>
      </c>
      <c r="D7" s="6" t="n"/>
      <c r="E7" s="7" t="n"/>
      <c r="F7" s="8" t="inlineStr">
        <is>
          <t>2025 Job Detail Report.pdf (Sage Timberline, 04/03/2026, 126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The Cora Apartments — 19 W Harrison St, Seattle</t>
        </is>
      </c>
      <c r="D8" s="6" t="n"/>
      <c r="E8" s="7" t="n"/>
      <c r="F8" s="8" t="inlineStr">
        <is>
          <t>L1 220000 One Way Plumbing Fully Executed Subcontract ocr_d.pdf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Exxel Pacific, Inc.</t>
        </is>
      </c>
      <c r="D9" s="6" t="n"/>
      <c r="E9" s="7" t="n"/>
      <c r="F9" s="8" t="inlineStr">
        <is>
          <t>L1 220000 One Way Plumbing Fully Executed Subcontract ocr_d.pdf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2025EP</t>
        </is>
      </c>
      <c r="D10" s="6" t="n"/>
      <c r="E10" s="7" t="n"/>
      <c r="F10" s="8" t="inlineStr">
        <is>
          <t>2025 Job Detail Report.pdf (Sage Timberline, 04/03/2026, 126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19 W HARRISON LLC</t>
        </is>
      </c>
      <c r="D11" s="6" t="n"/>
      <c r="E11" s="7" t="n"/>
      <c r="F11" s="8" t="inlineStr">
        <is>
          <t>L1 220000 One Way Plumbing Fully Executed Subcontract ocr_d.pdf</t>
        </is>
      </c>
      <c r="G11" s="6" t="n"/>
      <c r="H11" s="6" t="n"/>
      <c r="I11" s="6" t="n"/>
      <c r="J11" s="7" t="n"/>
    </row>
    <row r="12">
      <c r="B12" s="4" t="inlineStr">
        <is>
          <t>Jobsite Location</t>
        </is>
      </c>
      <c r="C12" s="5" t="inlineStr">
        <is>
          <t>19 W Harrison St, Seattle, WA 98109</t>
        </is>
      </c>
      <c r="D12" s="6" t="n"/>
      <c r="E12" s="7" t="n"/>
      <c r="F12" s="8" t="inlineStr">
        <is>
          <t>L1 220000 One Way Plumbing Fully Executed Subcontract ocr_d.pdf</t>
        </is>
      </c>
      <c r="G12" s="6" t="n"/>
      <c r="H12" s="6" t="n"/>
      <c r="I12" s="6" t="n"/>
      <c r="J12" s="7" t="n"/>
    </row>
    <row r="13">
      <c r="B13" s="4" t="inlineStr">
        <is>
          <t>Contract / PO Document</t>
        </is>
      </c>
      <c r="C13" s="5" t="inlineStr">
        <is>
          <t>L1 220000 One Way Plumbing Fully Executed Subcontract ocr_d.pdf</t>
        </is>
      </c>
      <c r="D13" s="6" t="n"/>
      <c r="E13" s="7" t="n"/>
      <c r="F13" s="8" t="inlineStr">
        <is>
          <t>Fully executed subcontract (L1 220000, Lump Sum)</t>
        </is>
      </c>
      <c r="G13" s="6" t="n"/>
      <c r="H13" s="6" t="n"/>
      <c r="I13" s="6" t="n"/>
      <c r="J13" s="7" t="n"/>
    </row>
    <row r="14">
      <c r="B14" s="4" t="inlineStr">
        <is>
          <t>Plans / Specifications</t>
        </is>
      </c>
      <c r="C14" s="5" t="inlineStr">
        <is>
          <t>19 W Harrison plumbing narrative.pdf (Div 22 plumbing narrative) + P-tag fixture schedule + proposal drawings</t>
        </is>
      </c>
      <c r="D14" s="6" t="n"/>
      <c r="E14" s="7" t="n"/>
      <c r="F14" s="8" t="inlineStr">
        <is>
          <t>Folder scan</t>
        </is>
      </c>
      <c r="G14" s="6" t="n"/>
      <c r="H14" s="6" t="n"/>
      <c r="I14" s="6" t="n"/>
      <c r="J14" s="7" t="n"/>
    </row>
    <row r="15">
      <c r="B15" s="4" t="inlineStr">
        <is>
          <t>Fixture Schedule</t>
        </is>
      </c>
      <c r="C15" s="5" t="inlineStr">
        <is>
          <t>19 W Harrison working copy of P-tag list  front page detail.xlsx (22 fixture tags WC-1…HB1 + 16 equipment tags + gas loads + connection schedule)</t>
        </is>
      </c>
      <c r="D15" s="6" t="n"/>
      <c r="E15" s="7" t="n"/>
      <c r="F15" s="8" t="inlineStr">
        <is>
          <t>5-sheet workbook</t>
        </is>
      </c>
      <c r="G15" s="6" t="n"/>
      <c r="H15" s="6" t="n"/>
      <c r="I15" s="6" t="n"/>
      <c r="J15" s="7" t="n"/>
    </row>
    <row r="16">
      <c r="B16" s="4" t="inlineStr">
        <is>
          <t>Bid Proposal</t>
        </is>
      </c>
      <c r="C16" s="5" t="inlineStr">
        <is>
          <t>Exxel 19 West Harrison Apartment proposal September 1 2015.pdf</t>
        </is>
      </c>
      <c r="D16" s="6" t="n"/>
      <c r="E16" s="7" t="n"/>
      <c r="F16" s="8" t="inlineStr">
        <is>
          <t>9/1/2015, detailed fixture quantities and alternates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L1 220000 One Way Plumbing Fully Executed Subcontract ocr_d.pdf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03/11/2016 – 08/18/2017 (~17 months, per PR/AR dates)</t>
        </is>
      </c>
      <c r="D18" s="6" t="n"/>
      <c r="E18" s="7" t="n"/>
      <c r="F18" s="8" t="inlineStr">
        <is>
          <t>2025 Job Detail Report.pdf (Sage Timberline, 04/03/2026, 126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n">
        <v>1924</v>
      </c>
      <c r="D19" s="6" t="n"/>
      <c r="E19" s="7" t="n"/>
      <c r="F19" s="8" t="inlineStr">
        <is>
          <t>File inventory across owp-2025/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1208338</v>
      </c>
      <c r="D22" s="9" t="n">
        <v>461403.69</v>
      </c>
      <c r="F22" s="9" t="n">
        <v>746934.3100000001</v>
      </c>
      <c r="H22" s="10" t="n">
        <v>11486.5</v>
      </c>
    </row>
    <row r="23">
      <c r="B23" s="11" t="inlineStr">
        <is>
          <t>Original $1,179,300.00 + $29,038.00 COs (+2.46%)</t>
        </is>
      </c>
      <c r="D23" s="11" t="inlineStr">
        <is>
          <t>38.2% margin</t>
        </is>
      </c>
      <c r="F23" s="11" t="inlineStr">
        <is>
          <t>61.8% of revenue</t>
        </is>
      </c>
      <c r="H23" s="11" t="inlineStr">
        <is>
          <t>36 workers</t>
        </is>
      </c>
    </row>
    <row r="26">
      <c r="B26" s="3" t="inlineStr">
        <is>
          <t>SCOPE OF WORK (from contract + proposal + P-tag)</t>
        </is>
      </c>
    </row>
    <row r="27">
      <c r="B27" s="5" t="inlineStr">
        <is>
          <t>Full plumbing: underground, rough-in, finish, gas piping, water main, insulation, mech room, warranty.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Bid proposal itemizes: 83 Gerber std WC + 9 Toto ADA WC (= 92 unit WCs, + 2 amenity), 92 Toto lavs (+ 2 amenity),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67 Aquatic tub/shower combos + 25 Fiberfab shower stalls (= 92 bathing), 67 Lenova + 8 Elkay ADA kitchen sinks (+ 1 bar sink + 1 mop sink),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75 dishwasher rough-ins, 75 washer rough-ins, 8 hose bibs, 2 AO Smith BTH500 water heaters, 1 MSI duplex booster pump, 2 sump pumps,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1 sand/oil basin, 3 garage floor drains, 5 trench drains, 4 area drains, 17 roof drains.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Unit count ≈ 92 apartments (implied from 92 WC sets; 9 ADA Type A units).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Spec compliance: Seattle Building Code 2012 + UPC 2012 with WA state amendments.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2025 Job Detail Report.pdf (Sage Timberline, 04/03/2026, 126 pages)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$1,208,338.00 / Expenses $746,934.31 / Net $461,403.69 / Retainage $60,416.90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breakdown: GL $38,463.57 · AP $271,893.26 · PR $436,577.48 · AR $1,208,338.00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L1 220000 One Way Plumbing Fully Executed Subcontract ocr_d.pdf (Lump Sum $1,179,300.00)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Proposal: Exxel 19 West Harrison Apartment proposal September 1 2015.pdf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Fixture schedule: 19 W Harrison working copy of P-tag list  front page detail.xlsx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8" t="inlineStr">
        <is>
          <t>Plumbing narrative: 19 W Harrison plumbing narrative.pdf</t>
        </is>
      </c>
      <c r="C43" s="6" t="n"/>
      <c r="D43" s="6" t="n"/>
      <c r="E43" s="6" t="n"/>
      <c r="F43" s="6" t="n"/>
      <c r="G43" s="6" t="n"/>
      <c r="H43" s="6" t="n"/>
      <c r="I43" s="6" t="n"/>
      <c r="J43" s="7" t="n"/>
    </row>
    <row r="44">
      <c r="B44" s="8" t="inlineStr">
        <is>
          <t>Change Orders: 6 COs in Change Orders/CO_s/ folder (CO#01-06)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8" t="inlineStr">
        <is>
          <t>RFIs: 18 + 1 ASI in ASI-RFI/; 12 additional in DROPBOX FILES FROM GUYS TABLETS/ASI-RFI/RFI_s/</t>
        </is>
      </c>
      <c r="C45" s="6" t="n"/>
      <c r="D45" s="6" t="n"/>
      <c r="E45" s="6" t="n"/>
      <c r="F45" s="6" t="n"/>
      <c r="G45" s="6" t="n"/>
      <c r="H45" s="6" t="n"/>
      <c r="I45" s="6" t="n"/>
      <c r="J45" s="7" t="n"/>
    </row>
    <row r="46">
      <c r="B46" s="8" t="inlineStr">
        <is>
          <t>Submittals: 19 fixture + 10 material + 1 UG/garage submittals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8" t="inlineStr">
        <is>
          <t>Permits: 6 permits (backflow, boiler x2, gas, plumbing, temp gas)</t>
        </is>
      </c>
      <c r="C47" s="6" t="n"/>
      <c r="D47" s="6" t="n"/>
      <c r="E47" s="6" t="n"/>
      <c r="F47" s="6" t="n"/>
      <c r="G47" s="6" t="n"/>
      <c r="H47" s="6" t="n"/>
      <c r="I47" s="6" t="n"/>
      <c r="J47" s="7" t="n"/>
    </row>
    <row r="48">
      <c r="B48" s="8" t="inlineStr">
        <is>
          <t>POs: 82 total (7 placed, 19 scheduled, 56 completed)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</sheetData>
  <mergeCells count="49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44:J44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45:J45"/>
    <mergeCell ref="B32:J32"/>
    <mergeCell ref="C18:E18"/>
    <mergeCell ref="B41:J41"/>
    <mergeCell ref="F13:J13"/>
    <mergeCell ref="C15:E15"/>
    <mergeCell ref="B47:J47"/>
    <mergeCell ref="C6:E6"/>
    <mergeCell ref="F9:J9"/>
    <mergeCell ref="B3:J3"/>
    <mergeCell ref="C14:E14"/>
    <mergeCell ref="B46:J46"/>
    <mergeCell ref="B31:J31"/>
    <mergeCell ref="B27:J27"/>
    <mergeCell ref="B48:J48"/>
    <mergeCell ref="B43:J43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27 cost codes from JDR. Contract $1,179,300 → $1,208,338 (COs +$29,038.00).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7875</v>
      </c>
      <c r="E6" s="15" t="n">
        <v>8157</v>
      </c>
      <c r="F6" s="15" t="n">
        <v>4337</v>
      </c>
      <c r="G6" s="15">
        <f>F6-E6</f>
        <v/>
      </c>
      <c r="H6" s="16">
        <f>IF(E6=0,"",F6/E6)</f>
        <v/>
      </c>
      <c r="I6" s="17" t="n">
        <v>95</v>
      </c>
      <c r="J6" s="8" t="inlineStr">
        <is>
          <t>2025 Job Detail Report.pdf (Sage Timberline, 04/03/2026, 126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11250</v>
      </c>
      <c r="E7" s="15" t="n">
        <v>11820</v>
      </c>
      <c r="F7" s="15" t="n">
        <v>11865</v>
      </c>
      <c r="G7" s="15">
        <f>F7-E7</f>
        <v/>
      </c>
      <c r="H7" s="16">
        <f>IF(E7=0,"",F7/E7)</f>
        <v/>
      </c>
      <c r="I7" s="17" t="n">
        <v>255</v>
      </c>
      <c r="J7" s="8" t="inlineStr">
        <is>
          <t>2025 Job Detail Report.pdf (Sage Timberline, 04/03/2026, 126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12250</v>
      </c>
      <c r="E8" s="15" t="n">
        <v>13447.5</v>
      </c>
      <c r="F8" s="15" t="n">
        <v>6790.5</v>
      </c>
      <c r="G8" s="15">
        <f>F8-E8</f>
        <v/>
      </c>
      <c r="H8" s="16">
        <f>IF(E8=0,"",F8/E8)</f>
        <v/>
      </c>
      <c r="I8" s="17" t="n">
        <v>211</v>
      </c>
      <c r="J8" s="8" t="inlineStr">
        <is>
          <t>2025 Job Detail Report.pdf (Sage Timberline, 04/03/2026, 126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34540</v>
      </c>
      <c r="E9" s="15" t="n">
        <v>35841</v>
      </c>
      <c r="F9" s="15" t="n">
        <v>41214</v>
      </c>
      <c r="G9" s="15">
        <f>F9-E9</f>
        <v/>
      </c>
      <c r="H9" s="16">
        <f>IF(E9=0,"",F9/E9)</f>
        <v/>
      </c>
      <c r="I9" s="17" t="n">
        <v>1617</v>
      </c>
      <c r="J9" s="8" t="inlineStr">
        <is>
          <t>2025 Job Detail Report.pdf (Sage Timberline, 04/03/2026, 126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6950</v>
      </c>
      <c r="E10" s="15" t="n">
        <v>6950</v>
      </c>
      <c r="F10" s="15" t="n">
        <v>8821</v>
      </c>
      <c r="G10" s="15">
        <f>F10-E10</f>
        <v/>
      </c>
      <c r="H10" s="16">
        <f>IF(E10=0,"",F10/E10)</f>
        <v/>
      </c>
      <c r="I10" s="17" t="n">
        <v>278.5</v>
      </c>
      <c r="J10" s="8" t="inlineStr">
        <is>
          <t>2025 Job Detail Report.pdf (Sage Timberline, 04/03/2026, 126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125395</v>
      </c>
      <c r="E11" s="15" t="n">
        <v>127266</v>
      </c>
      <c r="F11" s="15" t="n">
        <v>150592</v>
      </c>
      <c r="G11" s="15">
        <f>F11-E11</f>
        <v/>
      </c>
      <c r="H11" s="16">
        <f>IF(E11=0,"",F11/E11)</f>
        <v/>
      </c>
      <c r="I11" s="17" t="n">
        <v>6350</v>
      </c>
      <c r="J11" s="8" t="inlineStr">
        <is>
          <t>2025 Job Detail Report.pdf (Sage Timberline, 04/03/2026, 126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24190</v>
      </c>
      <c r="E12" s="15" t="n">
        <v>24692</v>
      </c>
      <c r="F12" s="15" t="n">
        <v>23808</v>
      </c>
      <c r="G12" s="15">
        <f>F12-E12</f>
        <v/>
      </c>
      <c r="H12" s="16">
        <f>IF(E12=0,"",F12/E12)</f>
        <v/>
      </c>
      <c r="I12" s="17" t="n">
        <v>1069</v>
      </c>
      <c r="J12" s="8" t="inlineStr">
        <is>
          <t>2025 Job Detail Report.pdf (Sage Timberline, 04/03/2026, 126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5500</v>
      </c>
      <c r="E13" s="15" t="n">
        <v>5986</v>
      </c>
      <c r="F13" s="15" t="n">
        <v>5854</v>
      </c>
      <c r="G13" s="15">
        <f>F13-E13</f>
        <v/>
      </c>
      <c r="H13" s="16">
        <f>IF(E13=0,"",F13/E13)</f>
        <v/>
      </c>
      <c r="I13" s="17" t="n">
        <v>195.5</v>
      </c>
      <c r="J13" s="8" t="inlineStr">
        <is>
          <t>2025 Job Detail Report.pdf (Sage Timberline, 04/03/2026, 126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34110</v>
      </c>
      <c r="E14" s="15" t="n">
        <v>34596</v>
      </c>
      <c r="F14" s="15" t="n">
        <v>20707</v>
      </c>
      <c r="G14" s="15">
        <f>F14-E14</f>
        <v/>
      </c>
      <c r="H14" s="16">
        <f>IF(E14=0,"",F14/E14)</f>
        <v/>
      </c>
      <c r="I14" s="17" t="n">
        <v>921</v>
      </c>
      <c r="J14" s="8" t="inlineStr">
        <is>
          <t>2025 Job Detail Report.pdf (Sage Timberline, 04/03/2026, 126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6900</v>
      </c>
      <c r="E15" s="15" t="n">
        <v>6900</v>
      </c>
      <c r="F15" s="15" t="n">
        <v>13230</v>
      </c>
      <c r="G15" s="15">
        <f>F15-E15</f>
        <v/>
      </c>
      <c r="H15" s="16">
        <f>IF(E15=0,"",F15/E15)</f>
        <v/>
      </c>
      <c r="I15" s="17" t="n">
        <v>494.5</v>
      </c>
      <c r="J15" s="8" t="inlineStr">
        <is>
          <t>2025 Job Detail Report.pdf (Sage Timberline, 04/03/2026, 126 pages)</t>
        </is>
      </c>
    </row>
    <row r="16">
      <c r="B16" s="14" t="inlineStr">
        <is>
          <t>150</t>
        </is>
      </c>
      <c r="C16" s="5" t="inlineStr">
        <is>
          <t>Warranty Labor</t>
        </is>
      </c>
      <c r="D16" s="15" t="n">
        <v>0</v>
      </c>
      <c r="E16" s="15" t="n">
        <v>0</v>
      </c>
      <c r="F16" s="15" t="n">
        <v>80</v>
      </c>
      <c r="G16" s="15">
        <f>F16-E16</f>
        <v/>
      </c>
      <c r="H16" s="16">
        <f>IF(E16=0,"",F16/E16)</f>
        <v/>
      </c>
      <c r="I16" s="17" t="n">
        <v>2</v>
      </c>
      <c r="J16" s="8" t="inlineStr">
        <is>
          <t>2025 Job Detail Report.pdf (Sage Timberline, 04/03/2026, 126 pages)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23000</v>
      </c>
      <c r="E17" s="15" t="n">
        <v>27199</v>
      </c>
      <c r="F17" s="15" t="n">
        <v>12323.48</v>
      </c>
      <c r="G17" s="15">
        <f>F17-E17</f>
        <v/>
      </c>
      <c r="H17" s="16">
        <f>IF(E17=0,"",F17/E17)</f>
        <v/>
      </c>
      <c r="I17" s="17" t="inlineStr"/>
      <c r="J17" s="8" t="inlineStr">
        <is>
          <t>2025 Job Detail Report.pdf (Sage Timberline, 04/03/2026, 126 pages)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27270</v>
      </c>
      <c r="E18" s="15" t="n">
        <v>28626</v>
      </c>
      <c r="F18" s="15" t="n">
        <v>19383.8</v>
      </c>
      <c r="G18" s="15">
        <f>F18-E18</f>
        <v/>
      </c>
      <c r="H18" s="16">
        <f>IF(E18=0,"",F18/E18)</f>
        <v/>
      </c>
      <c r="I18" s="17" t="inlineStr"/>
      <c r="J18" s="8" t="inlineStr">
        <is>
          <t>2025 Job Detail Report.pdf (Sage Timberline, 04/03/2026, 126 pages)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7780</v>
      </c>
      <c r="E19" s="15" t="n">
        <v>7780</v>
      </c>
      <c r="F19" s="15" t="n">
        <v>4759.86</v>
      </c>
      <c r="G19" s="15">
        <f>F19-E19</f>
        <v/>
      </c>
      <c r="H19" s="16">
        <f>IF(E19=0,"",F19/E19)</f>
        <v/>
      </c>
      <c r="I19" s="17" t="inlineStr"/>
      <c r="J19" s="8" t="inlineStr">
        <is>
          <t>2025 Job Detail Report.pdf (Sage Timberline, 04/03/2026, 126 pages)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76655</v>
      </c>
      <c r="E20" s="15" t="n">
        <v>77101</v>
      </c>
      <c r="F20" s="15" t="n">
        <v>58515.95</v>
      </c>
      <c r="G20" s="15">
        <f>F20-E20</f>
        <v/>
      </c>
      <c r="H20" s="16">
        <f>IF(E20=0,"",F20/E20)</f>
        <v/>
      </c>
      <c r="I20" s="17" t="inlineStr"/>
      <c r="J20" s="8" t="inlineStr">
        <is>
          <t>2025 Job Detail Report.pdf (Sage Timberline, 04/03/2026, 126 pages)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105200</v>
      </c>
      <c r="E21" s="15" t="n">
        <v>104606.5</v>
      </c>
      <c r="F21" s="15" t="n">
        <v>110946.04</v>
      </c>
      <c r="G21" s="15">
        <f>F21-E21</f>
        <v/>
      </c>
      <c r="H21" s="16">
        <f>IF(E21=0,"",F21/E21)</f>
        <v/>
      </c>
      <c r="I21" s="17" t="inlineStr"/>
      <c r="J21" s="8" t="inlineStr">
        <is>
          <t>2025 Job Detail Report.pdf (Sage Timberline, 04/03/2026, 126 pages)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5500</v>
      </c>
      <c r="E22" s="15" t="n">
        <v>6088</v>
      </c>
      <c r="F22" s="15" t="n">
        <v>1507.91</v>
      </c>
      <c r="G22" s="15">
        <f>F22-E22</f>
        <v/>
      </c>
      <c r="H22" s="16">
        <f>IF(E22=0,"",F22/E22)</f>
        <v/>
      </c>
      <c r="I22" s="17" t="inlineStr"/>
      <c r="J22" s="8" t="inlineStr">
        <is>
          <t>2025 Job Detail Report.pdf (Sage Timberline, 04/03/2026, 126 pages)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42330</v>
      </c>
      <c r="E23" s="15" t="n">
        <v>42330</v>
      </c>
      <c r="F23" s="15" t="n">
        <v>19584.74</v>
      </c>
      <c r="G23" s="15">
        <f>F23-E23</f>
        <v/>
      </c>
      <c r="H23" s="16">
        <f>IF(E23=0,"",F23/E23)</f>
        <v/>
      </c>
      <c r="I23" s="17" t="inlineStr"/>
      <c r="J23" s="8" t="inlineStr">
        <is>
          <t>2025 Job Detail Report.pdf (Sage Timberline, 04/03/2026, 126 pages)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82200</v>
      </c>
      <c r="E24" s="15" t="n">
        <v>82926</v>
      </c>
      <c r="F24" s="15" t="n">
        <v>36585.89</v>
      </c>
      <c r="G24" s="15">
        <f>F24-E24</f>
        <v/>
      </c>
      <c r="H24" s="16">
        <f>IF(E24=0,"",F24/E24)</f>
        <v/>
      </c>
      <c r="I24" s="17" t="inlineStr"/>
      <c r="J24" s="8" t="inlineStr">
        <is>
          <t>2025 Job Detail Report.pdf (Sage Timberline, 04/03/2026, 126 pages)</t>
        </is>
      </c>
    </row>
    <row r="25">
      <c r="B25" s="14" t="inlineStr">
        <is>
          <t>600</t>
        </is>
      </c>
      <c r="C25" s="5" t="inlineStr">
        <is>
          <t>Subcontractor</t>
        </is>
      </c>
      <c r="D25" s="15" t="n">
        <v>2000</v>
      </c>
      <c r="E25" s="15" t="n">
        <v>2594.5</v>
      </c>
      <c r="F25" s="15" t="n">
        <v>4506.25</v>
      </c>
      <c r="G25" s="15">
        <f>F25-E25</f>
        <v/>
      </c>
      <c r="H25" s="16">
        <f>IF(E25=0,"",F25/E25)</f>
        <v/>
      </c>
      <c r="I25" s="17" t="inlineStr"/>
      <c r="J25" s="8" t="inlineStr">
        <is>
          <t>2025 Job Detail Report.pdf (Sage Timberline, 04/03/2026, 126 pages)</t>
        </is>
      </c>
    </row>
    <row r="26">
      <c r="B26" s="14" t="inlineStr">
        <is>
          <t>601</t>
        </is>
      </c>
      <c r="C26" s="5" t="inlineStr">
        <is>
          <t>Engineering/Plans</t>
        </is>
      </c>
      <c r="D26" s="15" t="n">
        <v>30000</v>
      </c>
      <c r="E26" s="15" t="n">
        <v>30000</v>
      </c>
      <c r="F26" s="15" t="n">
        <v>27969.5</v>
      </c>
      <c r="G26" s="15">
        <f>F26-E26</f>
        <v/>
      </c>
      <c r="H26" s="16">
        <f>IF(E26=0,"",F26/E26)</f>
        <v/>
      </c>
      <c r="I26" s="17" t="inlineStr"/>
      <c r="J26" s="8" t="inlineStr">
        <is>
          <t>2025 Job Detail Report.pdf (Sage Timberline, 04/03/2026, 126 pages)</t>
        </is>
      </c>
    </row>
    <row r="27">
      <c r="B27" s="14" t="inlineStr">
        <is>
          <t>602</t>
        </is>
      </c>
      <c r="C27" s="5" t="inlineStr">
        <is>
          <t>Rental Equipment</t>
        </is>
      </c>
      <c r="D27" s="15" t="n">
        <v>5000</v>
      </c>
      <c r="E27" s="15" t="n">
        <v>5000</v>
      </c>
      <c r="F27" s="15" t="n">
        <v>1302.4</v>
      </c>
      <c r="G27" s="15">
        <f>F27-E27</f>
        <v/>
      </c>
      <c r="H27" s="16">
        <f>IF(E27=0,"",F27/E27)</f>
        <v/>
      </c>
      <c r="I27" s="17" t="inlineStr"/>
      <c r="J27" s="8" t="inlineStr">
        <is>
          <t>2025 Job Detail Report.pdf (Sage Timberline, 04/03/2026, 126 pages)</t>
        </is>
      </c>
    </row>
    <row r="28">
      <c r="B28" s="14" t="inlineStr">
        <is>
          <t>603</t>
        </is>
      </c>
      <c r="C28" s="5" t="inlineStr">
        <is>
          <t>Permits &amp; Licenses</t>
        </is>
      </c>
      <c r="D28" s="15" t="n">
        <v>6830</v>
      </c>
      <c r="E28" s="15" t="n">
        <v>6970</v>
      </c>
      <c r="F28" s="15" t="n">
        <v>5334</v>
      </c>
      <c r="G28" s="15">
        <f>F28-E28</f>
        <v/>
      </c>
      <c r="H28" s="16">
        <f>IF(E28=0,"",F28/E28)</f>
        <v/>
      </c>
      <c r="I28" s="17" t="inlineStr"/>
      <c r="J28" s="8" t="inlineStr">
        <is>
          <t>2025 Job Detail Report.pdf (Sage Timberline, 04/03/2026, 126 pages)</t>
        </is>
      </c>
    </row>
    <row r="29">
      <c r="B29" s="14" t="inlineStr">
        <is>
          <t>607</t>
        </is>
      </c>
      <c r="C29" s="5" t="inlineStr">
        <is>
          <t>Other Expenses</t>
        </is>
      </c>
      <c r="D29" s="15" t="n">
        <v>10000</v>
      </c>
      <c r="E29" s="15" t="n">
        <v>10000</v>
      </c>
      <c r="F29" s="15" t="n">
        <v>7637.01</v>
      </c>
      <c r="G29" s="15">
        <f>F29-E29</f>
        <v/>
      </c>
      <c r="H29" s="16">
        <f>IF(E29=0,"",F29/E29)</f>
        <v/>
      </c>
      <c r="I29" s="17" t="inlineStr"/>
      <c r="J29" s="8" t="inlineStr">
        <is>
          <t>2025 Job Detail Report.pdf (Sage Timberline, 04/03/2026, 126 pages)</t>
        </is>
      </c>
    </row>
    <row r="30">
      <c r="B30" s="14" t="inlineStr">
        <is>
          <t>995</t>
        </is>
      </c>
      <c r="C30" s="5" t="inlineStr">
        <is>
          <t>Payroll Burden</t>
        </is>
      </c>
      <c r="D30" s="15" t="n">
        <v>116594.16</v>
      </c>
      <c r="E30" s="15" t="n">
        <v>119607.14</v>
      </c>
      <c r="F30" s="15" t="n">
        <v>127300.38</v>
      </c>
      <c r="G30" s="15">
        <f>F30-E30</f>
        <v/>
      </c>
      <c r="H30" s="16">
        <f>IF(E30=0,"",F30/E30)</f>
        <v/>
      </c>
      <c r="I30" s="17" t="inlineStr"/>
      <c r="J30" s="8" t="inlineStr">
        <is>
          <t>2025 Job Detail Report.pdf (Sage Timberline, 04/03/2026, 126 pages)</t>
        </is>
      </c>
    </row>
    <row r="31">
      <c r="B31" s="14" t="inlineStr">
        <is>
          <t>998</t>
        </is>
      </c>
      <c r="C31" s="5" t="inlineStr">
        <is>
          <t>Payroll Taxes</t>
        </is>
      </c>
      <c r="D31" s="15" t="n">
        <v>20575.44</v>
      </c>
      <c r="E31" s="15" t="n">
        <v>21087.65</v>
      </c>
      <c r="F31" s="15" t="n">
        <v>21978.6</v>
      </c>
      <c r="G31" s="15">
        <f>F31-E31</f>
        <v/>
      </c>
      <c r="H31" s="16">
        <f>IF(E31=0,"",F31/E31)</f>
        <v/>
      </c>
      <c r="I31" s="17" t="inlineStr"/>
      <c r="J31" s="8" t="inlineStr">
        <is>
          <t>2025 Job Detail Report.pdf (Sage Timberline, 04/03/2026, 126 pages)</t>
        </is>
      </c>
    </row>
    <row r="32">
      <c r="B32" s="14" t="inlineStr">
        <is>
          <t>999</t>
        </is>
      </c>
      <c r="C32" s="5" t="inlineStr">
        <is>
          <t>Sales</t>
        </is>
      </c>
      <c r="D32" s="15" t="n">
        <v>-1179300</v>
      </c>
      <c r="E32" s="15" t="n">
        <v>-1208338</v>
      </c>
      <c r="F32" s="15" t="n">
        <v>-1208338</v>
      </c>
      <c r="G32" s="15">
        <f>F32-E32</f>
        <v/>
      </c>
      <c r="H32" s="16">
        <f>IF(E32=0,"",F32/E32)</f>
        <v/>
      </c>
      <c r="I32" s="17" t="inlineStr"/>
      <c r="J32" s="8" t="inlineStr">
        <is>
          <t>2025 Job Detail Report.pdf (Sage Timberline, 04/03/2026, 126 pages)</t>
        </is>
      </c>
    </row>
    <row r="33">
      <c r="B33" s="18" t="inlineStr">
        <is>
          <t>TOTAL</t>
        </is>
      </c>
      <c r="D33" s="19">
        <f>SUM(D6:D32)</f>
        <v/>
      </c>
      <c r="E33" s="19">
        <f>SUM(E6:E32)</f>
        <v/>
      </c>
      <c r="F33" s="19">
        <f>SUM(F6:F32)</f>
        <v/>
      </c>
      <c r="G33" s="19">
        <f>F33-E33</f>
        <v/>
      </c>
      <c r="I33" s="10">
        <f>SUM(I6:I32)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</t>
        </is>
      </c>
      <c r="D6" s="20" t="n">
        <v>287218.5</v>
      </c>
      <c r="E6" s="16">
        <f>D6/$D$11</f>
        <v/>
      </c>
      <c r="F6" s="16">
        <f>D6/1208338.0</f>
        <v/>
      </c>
      <c r="G6" s="8" t="inlineStr">
        <is>
          <t>2025 Job Detail Report.pdf (Sage Timberline, 04/03/2026, 126 pages)</t>
        </is>
      </c>
    </row>
    <row r="7">
      <c r="B7" s="4" t="inlineStr">
        <is>
          <t>Material</t>
        </is>
      </c>
      <c r="C7" s="14" t="inlineStr">
        <is>
          <t>210,211,212,220,230,240,241,242</t>
        </is>
      </c>
      <c r="D7" s="20" t="n">
        <v>263607.67</v>
      </c>
      <c r="E7" s="16">
        <f>D7/$D$11</f>
        <v/>
      </c>
      <c r="F7" s="16">
        <f>D7/1208338.0</f>
        <v/>
      </c>
      <c r="G7" s="8" t="inlineStr">
        <is>
          <t>2025 Job Detail Report.pdf (Sage Timberline, 04/03/2026, 126 pages)</t>
        </is>
      </c>
    </row>
    <row r="8">
      <c r="B8" s="4" t="inlineStr">
        <is>
          <t>Subcontractor + Engineering + Permits + Other</t>
        </is>
      </c>
      <c r="C8" s="14" t="inlineStr">
        <is>
          <t>600,601,602,603,607</t>
        </is>
      </c>
      <c r="D8" s="20" t="n">
        <v>46749.16</v>
      </c>
      <c r="E8" s="16">
        <f>D8/$D$11</f>
        <v/>
      </c>
      <c r="F8" s="16">
        <f>D8/1208338.0</f>
        <v/>
      </c>
      <c r="G8" s="8" t="inlineStr">
        <is>
          <t>2025 Job Detail Report.pdf (Sage Timberline, 04/03/2026, 126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127300.38</v>
      </c>
      <c r="E9" s="16">
        <f>D9/$D$11</f>
        <v/>
      </c>
      <c r="F9" s="16">
        <f>D9/1208338.0</f>
        <v/>
      </c>
      <c r="G9" s="8" t="inlineStr">
        <is>
          <t>2025 Job Detail Report.pdf (Sage Timberline, 04/03/2026, 126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21978.6</v>
      </c>
      <c r="E10" s="16">
        <f>D10/$D$11</f>
        <v/>
      </c>
      <c r="F10" s="16">
        <f>D10/1208338.0</f>
        <v/>
      </c>
      <c r="G10" s="8" t="inlineStr">
        <is>
          <t>2025 Job Detail Report.pdf (Sage Timberline, 04/03/2026, 126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D11/1208338.0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2025KS</t>
        </is>
      </c>
      <c r="C6" s="5" t="inlineStr">
        <is>
          <t>Keller Supply Company $Cora</t>
        </is>
      </c>
      <c r="D6" s="15" t="n">
        <v>78491.13000000002</v>
      </c>
      <c r="E6" s="14" t="n">
        <v>57</v>
      </c>
      <c r="F6" s="14" t="inlineStr">
        <is>
          <t>Plumbing / Supplies</t>
        </is>
      </c>
      <c r="G6" s="8" t="inlineStr">
        <is>
          <t>2025 Job Detail Report.pdf (Sage Timberline, 04/03/2026, 126 pages)</t>
        </is>
      </c>
    </row>
    <row r="7">
      <c r="B7" s="14" t="inlineStr">
        <is>
          <t>2025RS</t>
        </is>
      </c>
      <c r="C7" s="5" t="inlineStr">
        <is>
          <t>Rosen Supply Company, Inc. $Cora</t>
        </is>
      </c>
      <c r="D7" s="15" t="n">
        <v>69093.76999999997</v>
      </c>
      <c r="E7" s="14" t="n">
        <v>70</v>
      </c>
      <c r="F7" s="14" t="inlineStr">
        <is>
          <t>Plumbing / Supplies</t>
        </is>
      </c>
      <c r="G7" s="8" t="inlineStr">
        <is>
          <t>2025 Job Detail Report.pdf (Sage Timberline, 04/03/2026, 126 pages)</t>
        </is>
      </c>
    </row>
    <row r="8">
      <c r="B8" s="14" t="inlineStr">
        <is>
          <t>2025CS</t>
        </is>
      </c>
      <c r="C8" s="5" t="inlineStr">
        <is>
          <t>Consolidated Supply Co. $Cora</t>
        </is>
      </c>
      <c r="D8" s="15" t="n">
        <v>63856.09</v>
      </c>
      <c r="E8" s="14" t="n">
        <v>42</v>
      </c>
      <c r="F8" s="14" t="inlineStr">
        <is>
          <t>Plumbing / Supplies</t>
        </is>
      </c>
      <c r="G8" s="8" t="inlineStr">
        <is>
          <t>2025 Job Detail Report.pdf (Sage Timberline, 04/03/2026, 126 pages)</t>
        </is>
      </c>
    </row>
    <row r="9">
      <c r="B9" s="14" t="inlineStr">
        <is>
          <t>1625FE</t>
        </is>
      </c>
      <c r="C9" s="5" t="inlineStr">
        <is>
          <t>Franklin Engineering</t>
        </is>
      </c>
      <c r="D9" s="15" t="n">
        <v>27969.5</v>
      </c>
      <c r="E9" s="14" t="n">
        <v>9</v>
      </c>
      <c r="F9" s="14" t="inlineStr">
        <is>
          <t>Engineering (601)</t>
        </is>
      </c>
      <c r="G9" s="8" t="inlineStr">
        <is>
          <t>2025 Job Detail Report.pdf (Sage Timberline, 04/03/2026, 126 pages)</t>
        </is>
      </c>
    </row>
    <row r="10">
      <c r="B10" s="14" t="inlineStr">
        <is>
          <t>3612MS</t>
        </is>
      </c>
      <c r="C10" s="5" t="inlineStr">
        <is>
          <t>Mechanical Sales, Inc.</t>
        </is>
      </c>
      <c r="D10" s="15" t="n">
        <v>19566.99</v>
      </c>
      <c r="E10" s="14" t="n">
        <v>4</v>
      </c>
      <c r="F10" s="14" t="inlineStr">
        <is>
          <t>Plumbing / Supplies</t>
        </is>
      </c>
      <c r="G10" s="8" t="inlineStr">
        <is>
          <t>2025 Job Detail Report.pdf (Sage Timberline, 04/03/2026, 126 pages)</t>
        </is>
      </c>
    </row>
    <row r="11">
      <c r="B11" s="14" t="inlineStr">
        <is>
          <t>1609QC</t>
        </is>
      </c>
      <c r="C11" s="5" t="inlineStr">
        <is>
          <t>Quality Concrete Products, Inc. $32</t>
        </is>
      </c>
      <c r="D11" s="15" t="n">
        <v>6513</v>
      </c>
      <c r="E11" s="14" t="n">
        <v>2</v>
      </c>
      <c r="F11" s="14" t="inlineStr">
        <is>
          <t>Uncategorized</t>
        </is>
      </c>
      <c r="G11" s="8" t="inlineStr">
        <is>
          <t>2025 Job Detail Report.pdf (Sage Timberline, 04/03/2026, 126 pages)</t>
        </is>
      </c>
    </row>
    <row r="12">
      <c r="B12" s="14" t="inlineStr">
        <is>
          <t>1234CO</t>
        </is>
      </c>
      <c r="C12" s="5" t="inlineStr">
        <is>
          <t>Capital One Credit Card</t>
        </is>
      </c>
      <c r="D12" s="15" t="n">
        <v>4616.5</v>
      </c>
      <c r="E12" s="14" t="n">
        <v>42</v>
      </c>
      <c r="F12" s="14" t="inlineStr">
        <is>
          <t>Credit Card (mixed)</t>
        </is>
      </c>
      <c r="G12" s="8" t="inlineStr">
        <is>
          <t>2025 Job Detail Report.pdf (Sage Timberline, 04/03/2026, 126 pages)</t>
        </is>
      </c>
    </row>
    <row r="13">
      <c r="B13" s="14" t="inlineStr">
        <is>
          <t>1234BA</t>
        </is>
      </c>
      <c r="C13" s="5" t="inlineStr">
        <is>
          <t>Bank of America CC</t>
        </is>
      </c>
      <c r="D13" s="15" t="n">
        <v>4562</v>
      </c>
      <c r="E13" s="14" t="n">
        <v>4</v>
      </c>
      <c r="F13" s="14" t="inlineStr">
        <is>
          <t>Credit Card (mixed)</t>
        </is>
      </c>
      <c r="G13" s="8" t="inlineStr">
        <is>
          <t>2025 Job Detail Report.pdf (Sage Timberline, 04/03/2026, 126 pages)</t>
        </is>
      </c>
    </row>
    <row r="14">
      <c r="B14" s="14" t="inlineStr">
        <is>
          <t>1234CI</t>
        </is>
      </c>
      <c r="C14" s="5" t="inlineStr">
        <is>
          <t>Citibank Credit Card</t>
        </is>
      </c>
      <c r="D14" s="15" t="n">
        <v>3238</v>
      </c>
      <c r="E14" s="14" t="n">
        <v>10</v>
      </c>
      <c r="F14" s="14" t="inlineStr">
        <is>
          <t>Credit Card (mixed)</t>
        </is>
      </c>
      <c r="G14" s="8" t="inlineStr">
        <is>
          <t>2025 Job Detail Report.pdf (Sage Timberline, 04/03/2026, 126 pages)</t>
        </is>
      </c>
    </row>
    <row r="15">
      <c r="B15" s="14" t="inlineStr">
        <is>
          <t>2025FE</t>
        </is>
      </c>
      <c r="C15" s="5" t="inlineStr">
        <is>
          <t>Ferguson Enterprises, Inc. $Cora</t>
        </is>
      </c>
      <c r="D15" s="15" t="n">
        <v>2587.09</v>
      </c>
      <c r="E15" s="14" t="n">
        <v>8</v>
      </c>
      <c r="F15" s="14" t="inlineStr">
        <is>
          <t>Plumbing / Supplies</t>
        </is>
      </c>
      <c r="G15" s="8" t="inlineStr">
        <is>
          <t>2025 Job Detail Report.pdf (Sage Timberline, 04/03/2026, 126 pages)</t>
        </is>
      </c>
    </row>
    <row r="16">
      <c r="B16" s="14" t="inlineStr">
        <is>
          <t>5919PW</t>
        </is>
      </c>
      <c r="C16" s="5" t="inlineStr">
        <is>
          <t>Patchworks, Inc.</t>
        </is>
      </c>
      <c r="D16" s="15" t="n">
        <v>2156.25</v>
      </c>
      <c r="E16" s="14" t="n">
        <v>2</v>
      </c>
      <c r="F16" s="14" t="inlineStr">
        <is>
          <t>Uncategorized</t>
        </is>
      </c>
      <c r="G16" s="8" t="inlineStr">
        <is>
          <t>2025 Job Detail Report.pdf (Sage Timberline, 04/03/2026, 126 pages)</t>
        </is>
      </c>
    </row>
    <row r="17">
      <c r="B17" s="14" t="inlineStr">
        <is>
          <t>3181SC</t>
        </is>
      </c>
      <c r="C17" s="5" t="inlineStr">
        <is>
          <t>Scan2Core, Inc.</t>
        </is>
      </c>
      <c r="D17" s="15" t="n">
        <v>1800</v>
      </c>
      <c r="E17" s="14" t="n">
        <v>3</v>
      </c>
      <c r="F17" s="14" t="inlineStr">
        <is>
          <t>Uncategorized</t>
        </is>
      </c>
      <c r="G17" s="8" t="inlineStr">
        <is>
          <t>2025 Job Detail Report.pdf (Sage Timberline, 04/03/2026, 126 pages)</t>
        </is>
      </c>
    </row>
    <row r="18">
      <c r="B18" s="14" t="inlineStr">
        <is>
          <t>7200UR</t>
        </is>
      </c>
      <c r="C18" s="5" t="inlineStr">
        <is>
          <t>United Rentals, Inc.</t>
        </is>
      </c>
      <c r="D18" s="15" t="n">
        <v>1103.34</v>
      </c>
      <c r="E18" s="14" t="n">
        <v>2</v>
      </c>
      <c r="F18" s="14" t="inlineStr">
        <is>
          <t>Uncategorized</t>
        </is>
      </c>
      <c r="G18" s="8" t="inlineStr">
        <is>
          <t>2025 Job Detail Report.pdf (Sage Timberline, 04/03/2026, 126 pages)</t>
        </is>
      </c>
    </row>
    <row r="19">
      <c r="B19" s="14" t="inlineStr">
        <is>
          <t>5621HD</t>
        </is>
      </c>
      <c r="C19" s="5" t="inlineStr">
        <is>
          <t>Core &amp; Main LP $HD Supply Waterworks</t>
        </is>
      </c>
      <c r="D19" s="15" t="n">
        <v>780</v>
      </c>
      <c r="E19" s="14" t="n">
        <v>2</v>
      </c>
      <c r="F19" s="14" t="inlineStr">
        <is>
          <t>Plumbing / Supplies</t>
        </is>
      </c>
      <c r="G19" s="8" t="inlineStr">
        <is>
          <t>2025 Job Detail Report.pdf (Sage Timberline, 04/03/2026, 126 pages)</t>
        </is>
      </c>
    </row>
    <row r="20">
      <c r="B20" s="14" t="inlineStr">
        <is>
          <t>8068MI</t>
        </is>
      </c>
      <c r="C20" s="5" t="inlineStr">
        <is>
          <t>Kele, Inc $ MI Controls</t>
        </is>
      </c>
      <c r="D20" s="15" t="n">
        <v>408.52</v>
      </c>
      <c r="E20" s="14" t="n">
        <v>1</v>
      </c>
      <c r="F20" s="14" t="inlineStr">
        <is>
          <t>Uncategorized</t>
        </is>
      </c>
      <c r="G20" s="8" t="inlineStr">
        <is>
          <t>2025 Job Detail Report.pdf (Sage Timberline, 04/03/2026, 126 pages)</t>
        </is>
      </c>
    </row>
    <row r="21">
      <c r="B21" s="14" t="inlineStr">
        <is>
          <t>4320MC</t>
        </is>
      </c>
      <c r="C21" s="5" t="inlineStr">
        <is>
          <t>MAD Concrete Cutting &amp; Coring, Inc.</t>
        </is>
      </c>
      <c r="D21" s="15" t="n">
        <v>350</v>
      </c>
      <c r="E21" s="14" t="n">
        <v>1</v>
      </c>
      <c r="F21" s="14" t="inlineStr">
        <is>
          <t>Uncategorized</t>
        </is>
      </c>
      <c r="G21" s="8" t="inlineStr">
        <is>
          <t>2025 Job Detail Report.pdf (Sage Timberline, 04/03/2026, 126 pages)</t>
        </is>
      </c>
    </row>
    <row r="22">
      <c r="B22" s="14" t="inlineStr">
        <is>
          <t>2132MH</t>
        </is>
      </c>
      <c r="C22" s="5" t="inlineStr">
        <is>
          <t>Manor Hardware &amp; Construction Supply</t>
        </is>
      </c>
      <c r="D22" s="15" t="n">
        <v>305.76</v>
      </c>
      <c r="E22" s="14" t="n">
        <v>1</v>
      </c>
      <c r="F22" s="14" t="inlineStr">
        <is>
          <t>Plumbing / Supplies</t>
        </is>
      </c>
      <c r="G22" s="8" t="inlineStr">
        <is>
          <t>2025 Job Detail Report.pdf (Sage Timberline, 04/03/2026, 126 pages)</t>
        </is>
      </c>
    </row>
    <row r="23">
      <c r="B23" s="14" t="inlineStr">
        <is>
          <t>2028KS</t>
        </is>
      </c>
      <c r="C23" s="5" t="inlineStr">
        <is>
          <t>Keller Supply Company $Reserve@Lynnwood</t>
        </is>
      </c>
      <c r="D23" s="15" t="n">
        <v>225.92</v>
      </c>
      <c r="E23" s="14" t="n">
        <v>1</v>
      </c>
      <c r="F23" s="14" t="inlineStr">
        <is>
          <t>Plumbing / Supplies</t>
        </is>
      </c>
      <c r="G23" s="8" t="inlineStr">
        <is>
          <t>2025 Job Detail Report.pdf (Sage Timberline, 04/03/2026, 126 pages)</t>
        </is>
      </c>
    </row>
    <row r="24">
      <c r="B24" s="14" t="inlineStr">
        <is>
          <t>1421RA</t>
        </is>
      </c>
      <c r="C24" s="5" t="inlineStr">
        <is>
          <t>R.A. Brown Backflow Testing</t>
        </is>
      </c>
      <c r="D24" s="15" t="n">
        <v>200</v>
      </c>
      <c r="E24" s="14" t="n">
        <v>1</v>
      </c>
      <c r="F24" s="14" t="inlineStr">
        <is>
          <t>Testing subcontractor</t>
        </is>
      </c>
      <c r="G24" s="8" t="inlineStr">
        <is>
          <t>2025 Job Detail Report.pdf (Sage Timberline, 04/03/2026, 126 pages)</t>
        </is>
      </c>
    </row>
    <row r="25">
      <c r="B25" s="14" t="inlineStr">
        <is>
          <t>1799AW</t>
        </is>
      </c>
      <c r="C25" s="5" t="inlineStr">
        <is>
          <t>AllWest Underground, Inc.</t>
        </is>
      </c>
      <c r="D25" s="15" t="n">
        <v>199.06</v>
      </c>
      <c r="E25" s="14" t="n">
        <v>1</v>
      </c>
      <c r="F25" s="14" t="inlineStr">
        <is>
          <t>Uncategorized</t>
        </is>
      </c>
      <c r="G25" s="8" t="inlineStr">
        <is>
          <t>2025 Job Detail Report.pdf (Sage Timberline, 04/03/2026, 126 pages)</t>
        </is>
      </c>
    </row>
    <row r="26">
      <c r="B26" s="14" t="inlineStr">
        <is>
          <t>1231KS</t>
        </is>
      </c>
      <c r="C26" s="5" t="inlineStr">
        <is>
          <t>Keller Supply Company</t>
        </is>
      </c>
      <c r="D26" s="15" t="n">
        <v>82.5</v>
      </c>
      <c r="E26" s="14" t="n">
        <v>1</v>
      </c>
      <c r="F26" s="14" t="inlineStr">
        <is>
          <t>Plumbing / Supplies</t>
        </is>
      </c>
      <c r="G26" s="8" t="inlineStr">
        <is>
          <t>2025 Job Detail Report.pdf (Sage Timberline, 04/03/2026, 126 pages)</t>
        </is>
      </c>
    </row>
    <row r="27">
      <c r="B27" s="14" t="inlineStr">
        <is>
          <t>1380RS</t>
        </is>
      </c>
      <c r="C27" s="5" t="inlineStr">
        <is>
          <t>Rosen Supply Kirkland</t>
        </is>
      </c>
      <c r="D27" s="15" t="n">
        <v>63.66</v>
      </c>
      <c r="E27" s="14" t="n">
        <v>1</v>
      </c>
      <c r="F27" s="14" t="inlineStr">
        <is>
          <t>Plumbing / Supplies</t>
        </is>
      </c>
      <c r="G27" s="8" t="inlineStr">
        <is>
          <t>2025 Job Detail Report.pdf (Sage Timberline, 04/03/2026, 126 pages)</t>
        </is>
      </c>
    </row>
    <row r="28">
      <c r="B28" s="14" t="inlineStr">
        <is>
          <t>1978FC</t>
        </is>
      </c>
      <c r="C28" s="5" t="inlineStr">
        <is>
          <t>Fastenal Company</t>
        </is>
      </c>
      <c r="D28" s="15" t="n">
        <v>49.7</v>
      </c>
      <c r="E28" s="14" t="n">
        <v>1</v>
      </c>
      <c r="F28" s="14" t="inlineStr">
        <is>
          <t>Uncategorized</t>
        </is>
      </c>
      <c r="G28" s="8" t="inlineStr">
        <is>
          <t>2025 Job Detail Report.pdf (Sage Timberline, 04/03/2026, 126 pages)</t>
        </is>
      </c>
    </row>
    <row r="29">
      <c r="B29" s="14" t="inlineStr">
        <is>
          <t>1175FE</t>
        </is>
      </c>
      <c r="C29" s="5" t="inlineStr">
        <is>
          <t>Ferguson Enterprises, Inc. #3007</t>
        </is>
      </c>
      <c r="D29" s="15" t="n">
        <v>-878.4399999999987</v>
      </c>
      <c r="E29" s="14" t="n">
        <v>7</v>
      </c>
      <c r="F29" s="14" t="inlineStr">
        <is>
          <t>Plumbing / Supplies</t>
        </is>
      </c>
      <c r="G29" s="8" t="inlineStr">
        <is>
          <t>2025 Job Detail Report.pdf (Sage Timberline, 04/03/2026, 126 pages)</t>
        </is>
      </c>
    </row>
    <row r="30">
      <c r="B30" s="14" t="inlineStr">
        <is>
          <t>2027FE</t>
        </is>
      </c>
      <c r="C30" s="5" t="inlineStr">
        <is>
          <t>Ferguson Enterprises, Inc. $550 Broadway</t>
        </is>
      </c>
      <c r="D30" s="15" t="n">
        <v>-15447.08</v>
      </c>
      <c r="E30" s="14" t="n">
        <v>1</v>
      </c>
      <c r="F30" s="14" t="inlineStr">
        <is>
          <t>Plumbing / Supplies</t>
        </is>
      </c>
      <c r="G30" s="8" t="inlineStr">
        <is>
          <t>2025 Job Detail Report.pdf (Sage Timberline, 04/03/2026, 126 pages)</t>
        </is>
      </c>
    </row>
    <row r="31">
      <c r="B31" s="18" t="inlineStr">
        <is>
          <t>TOTAL</t>
        </is>
      </c>
      <c r="D31" s="21">
        <f>SUM(D6:D30)</f>
        <v/>
      </c>
      <c r="E31" s="23">
        <f>SUM(E6:E30)</f>
        <v/>
      </c>
    </row>
    <row r="33">
      <c r="B33" s="24" t="inlineStr">
        <is>
          <t>NOTE: AP total per JDR footer = $271,893.26. Vendor sum above approximates this. Submittals folder (Submittals/) contains 19 fixture + 10 material + 1 UG submittal documenting approved products. POs folder shows 82 POs (7 placed, 19 scheduled, 56 completed).</t>
        </is>
      </c>
      <c r="C33" s="6" t="n"/>
      <c r="D33" s="6" t="n"/>
      <c r="E33" s="6" t="n"/>
      <c r="F33" s="6" t="n"/>
      <c r="G33" s="7" t="n"/>
    </row>
  </sheetData>
  <mergeCells count="3">
    <mergeCell ref="B3:J3"/>
    <mergeCell ref="B33:G3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36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MC09</t>
        </is>
      </c>
      <c r="C6" s="5" t="inlineStr">
        <is>
          <t>McCabe, Thomas C</t>
        </is>
      </c>
      <c r="D6" s="17" t="n">
        <v>1103.5</v>
      </c>
      <c r="E6" s="20" t="n">
        <v>29285</v>
      </c>
      <c r="F6" s="20">
        <f>IF(D6=0,0,E6/D6)</f>
        <v/>
      </c>
      <c r="G6" s="14" t="n">
        <v>36</v>
      </c>
      <c r="H6" s="8" t="inlineStr">
        <is>
          <t>2025 Job Detail Report.pdf (Sage Timberline, 04/03/2026, 126 pages)</t>
        </is>
      </c>
    </row>
    <row r="7">
      <c r="B7" s="14" t="inlineStr">
        <is>
          <t>WA35</t>
        </is>
      </c>
      <c r="C7" s="5" t="inlineStr">
        <is>
          <t>Waites, Thaddeus Z</t>
        </is>
      </c>
      <c r="D7" s="17" t="n">
        <v>1098</v>
      </c>
      <c r="E7" s="20" t="n">
        <v>41340</v>
      </c>
      <c r="F7" s="20">
        <f>IF(D7=0,0,E7/D7)</f>
        <v/>
      </c>
      <c r="G7" s="14" t="n">
        <v>37</v>
      </c>
      <c r="H7" s="8" t="inlineStr">
        <is>
          <t>2025 Job Detail Report.pdf (Sage Timberline, 04/03/2026, 126 pages)</t>
        </is>
      </c>
    </row>
    <row r="8">
      <c r="B8" s="14" t="inlineStr">
        <is>
          <t>EL33</t>
        </is>
      </c>
      <c r="C8" s="5" t="inlineStr">
        <is>
          <t>Eliassen, Cory H</t>
        </is>
      </c>
      <c r="D8" s="17" t="n">
        <v>984</v>
      </c>
      <c r="E8" s="20" t="n">
        <v>16432</v>
      </c>
      <c r="F8" s="20">
        <f>IF(D8=0,0,E8/D8)</f>
        <v/>
      </c>
      <c r="G8" s="14" t="n">
        <v>29</v>
      </c>
      <c r="H8" s="8" t="inlineStr">
        <is>
          <t>2025 Job Detail Report.pdf (Sage Timberline, 04/03/2026, 126 pages)</t>
        </is>
      </c>
    </row>
    <row r="9">
      <c r="B9" s="14" t="inlineStr">
        <is>
          <t>SA54</t>
        </is>
      </c>
      <c r="C9" s="5" t="inlineStr">
        <is>
          <t>Sanders, Allen O</t>
        </is>
      </c>
      <c r="D9" s="17" t="n">
        <v>810</v>
      </c>
      <c r="E9" s="20" t="n">
        <v>31580</v>
      </c>
      <c r="F9" s="20">
        <f>IF(D9=0,0,E9/D9)</f>
        <v/>
      </c>
      <c r="G9" s="14" t="n">
        <v>31</v>
      </c>
      <c r="H9" s="8" t="inlineStr">
        <is>
          <t>2025 Job Detail Report.pdf (Sage Timberline, 04/03/2026, 126 pages)</t>
        </is>
      </c>
    </row>
    <row r="10">
      <c r="B10" s="14" t="inlineStr">
        <is>
          <t>CA77</t>
        </is>
      </c>
      <c r="C10" s="5" t="inlineStr">
        <is>
          <t>Castro Hernandez, Jose A</t>
        </is>
      </c>
      <c r="D10" s="17" t="n">
        <v>805</v>
      </c>
      <c r="E10" s="20" t="n">
        <v>18143</v>
      </c>
      <c r="F10" s="20">
        <f>IF(D10=0,0,E10/D10)</f>
        <v/>
      </c>
      <c r="G10" s="14" t="n">
        <v>21</v>
      </c>
      <c r="H10" s="8" t="inlineStr">
        <is>
          <t>2025 Job Detail Report.pdf (Sage Timberline, 04/03/2026, 126 pages)</t>
        </is>
      </c>
    </row>
    <row r="11">
      <c r="B11" s="14" t="inlineStr">
        <is>
          <t>HE70</t>
        </is>
      </c>
      <c r="C11" s="5" t="inlineStr">
        <is>
          <t>Hernandez Gonzalez, Osbaldo</t>
        </is>
      </c>
      <c r="D11" s="17" t="n">
        <v>797</v>
      </c>
      <c r="E11" s="20" t="n">
        <v>11158</v>
      </c>
      <c r="F11" s="20">
        <f>IF(D11=0,0,E11/D11)</f>
        <v/>
      </c>
      <c r="G11" s="14" t="n">
        <v>21</v>
      </c>
      <c r="H11" s="8" t="inlineStr">
        <is>
          <t>2025 Job Detail Report.pdf (Sage Timberline, 04/03/2026, 126 pages)</t>
        </is>
      </c>
    </row>
    <row r="12">
      <c r="B12" s="14" t="inlineStr">
        <is>
          <t>TA96</t>
        </is>
      </c>
      <c r="C12" s="5" t="inlineStr">
        <is>
          <t>Taylor, Evan R</t>
        </is>
      </c>
      <c r="D12" s="17" t="n">
        <v>685</v>
      </c>
      <c r="E12" s="20" t="n">
        <v>12045</v>
      </c>
      <c r="F12" s="20">
        <f>IF(D12=0,0,E12/D12)</f>
        <v/>
      </c>
      <c r="G12" s="14" t="n">
        <v>20</v>
      </c>
      <c r="H12" s="8" t="inlineStr">
        <is>
          <t>2025 Job Detail Report.pdf (Sage Timberline, 04/03/2026, 126 pages)</t>
        </is>
      </c>
    </row>
    <row r="13">
      <c r="B13" s="14" t="inlineStr">
        <is>
          <t>RO12</t>
        </is>
      </c>
      <c r="C13" s="5" t="inlineStr">
        <is>
          <t>Rodriguez Rodriguez, Aminadab N</t>
        </is>
      </c>
      <c r="D13" s="17" t="n">
        <v>540</v>
      </c>
      <c r="E13" s="20" t="n">
        <v>10844</v>
      </c>
      <c r="F13" s="20">
        <f>IF(D13=0,0,E13/D13)</f>
        <v/>
      </c>
      <c r="G13" s="14" t="n">
        <v>15</v>
      </c>
      <c r="H13" s="8" t="inlineStr">
        <is>
          <t>2025 Job Detail Report.pdf (Sage Timberline, 04/03/2026, 126 pages)</t>
        </is>
      </c>
    </row>
    <row r="14">
      <c r="B14" s="14" t="inlineStr">
        <is>
          <t>RO75</t>
        </is>
      </c>
      <c r="C14" s="5" t="inlineStr">
        <is>
          <t>Ross, Kelli M</t>
        </is>
      </c>
      <c r="D14" s="17" t="n">
        <v>488</v>
      </c>
      <c r="E14" s="20" t="n">
        <v>17336</v>
      </c>
      <c r="F14" s="20">
        <f>IF(D14=0,0,E14/D14)</f>
        <v/>
      </c>
      <c r="G14" s="14" t="n">
        <v>14</v>
      </c>
      <c r="H14" s="8" t="inlineStr">
        <is>
          <t>2025 Job Detail Report.pdf (Sage Timberline, 04/03/2026, 126 pages)</t>
        </is>
      </c>
    </row>
    <row r="15">
      <c r="B15" s="14" t="inlineStr">
        <is>
          <t>GO56</t>
        </is>
      </c>
      <c r="C15" s="5" t="inlineStr">
        <is>
          <t>Gonzalez Hernandez, Josue</t>
        </is>
      </c>
      <c r="D15" s="17" t="n">
        <v>472</v>
      </c>
      <c r="E15" s="20" t="n">
        <v>10680</v>
      </c>
      <c r="F15" s="20">
        <f>IF(D15=0,0,E15/D15)</f>
        <v/>
      </c>
      <c r="G15" s="14" t="n">
        <v>14</v>
      </c>
      <c r="H15" s="8" t="inlineStr">
        <is>
          <t>2025 Job Detail Report.pdf (Sage Timberline, 04/03/2026, 126 pages)</t>
        </is>
      </c>
    </row>
    <row r="16">
      <c r="B16" s="14" t="inlineStr">
        <is>
          <t>LI49</t>
        </is>
      </c>
      <c r="C16" s="5" t="inlineStr">
        <is>
          <t>Lima Romero, Melvin A</t>
        </is>
      </c>
      <c r="D16" s="17" t="n">
        <v>410</v>
      </c>
      <c r="E16" s="20" t="n">
        <v>11224</v>
      </c>
      <c r="F16" s="20">
        <f>IF(D16=0,0,E16/D16)</f>
        <v/>
      </c>
      <c r="G16" s="14" t="n">
        <v>12</v>
      </c>
      <c r="H16" s="8" t="inlineStr">
        <is>
          <t>2025 Job Detail Report.pdf (Sage Timberline, 04/03/2026, 126 pages)</t>
        </is>
      </c>
    </row>
    <row r="17">
      <c r="B17" s="14" t="inlineStr">
        <is>
          <t>CR87</t>
        </is>
      </c>
      <c r="C17" s="5" t="inlineStr">
        <is>
          <t>Cruz Reyes, Jose</t>
        </is>
      </c>
      <c r="D17" s="17" t="n">
        <v>360</v>
      </c>
      <c r="E17" s="20" t="n">
        <v>6512</v>
      </c>
      <c r="F17" s="20">
        <f>IF(D17=0,0,E17/D17)</f>
        <v/>
      </c>
      <c r="G17" s="14" t="n">
        <v>11</v>
      </c>
      <c r="H17" s="8" t="inlineStr">
        <is>
          <t>2025 Job Detail Report.pdf (Sage Timberline, 04/03/2026, 126 pages)</t>
        </is>
      </c>
    </row>
    <row r="18">
      <c r="B18" s="14" t="inlineStr">
        <is>
          <t>RE96</t>
        </is>
      </c>
      <c r="C18" s="5" t="inlineStr">
        <is>
          <t>Reyes Cruz, Denis A</t>
        </is>
      </c>
      <c r="D18" s="17" t="n">
        <v>352</v>
      </c>
      <c r="E18" s="20" t="n">
        <v>6720</v>
      </c>
      <c r="F18" s="20">
        <f>IF(D18=0,0,E18/D18)</f>
        <v/>
      </c>
      <c r="G18" s="14" t="n">
        <v>11</v>
      </c>
      <c r="H18" s="8" t="inlineStr">
        <is>
          <t>2025 Job Detail Report.pdf (Sage Timberline, 04/03/2026, 126 pages)</t>
        </is>
      </c>
    </row>
    <row r="19">
      <c r="B19" s="14" t="inlineStr">
        <is>
          <t>CR79</t>
        </is>
      </c>
      <c r="C19" s="5" t="inlineStr">
        <is>
          <t>Cruz Guzman, Joel A</t>
        </is>
      </c>
      <c r="D19" s="17" t="n">
        <v>344</v>
      </c>
      <c r="E19" s="20" t="n">
        <v>5880</v>
      </c>
      <c r="F19" s="20">
        <f>IF(D19=0,0,E19/D19)</f>
        <v/>
      </c>
      <c r="G19" s="14" t="n">
        <v>11</v>
      </c>
      <c r="H19" s="8" t="inlineStr">
        <is>
          <t>2025 Job Detail Report.pdf (Sage Timberline, 04/03/2026, 126 pages)</t>
        </is>
      </c>
    </row>
    <row r="20">
      <c r="B20" s="14" t="inlineStr">
        <is>
          <t>JO31</t>
        </is>
      </c>
      <c r="C20" s="5" t="inlineStr">
        <is>
          <t>Johnson, Samuel A</t>
        </is>
      </c>
      <c r="D20" s="17" t="n">
        <v>312.5</v>
      </c>
      <c r="E20" s="20" t="n">
        <v>5000</v>
      </c>
      <c r="F20" s="20">
        <f>IF(D20=0,0,E20/D20)</f>
        <v/>
      </c>
      <c r="G20" s="14" t="n">
        <v>10</v>
      </c>
      <c r="H20" s="8" t="inlineStr">
        <is>
          <t>2025 Job Detail Report.pdf (Sage Timberline, 04/03/2026, 126 pages)</t>
        </is>
      </c>
    </row>
    <row r="21">
      <c r="B21" s="14" t="inlineStr">
        <is>
          <t>GO51</t>
        </is>
      </c>
      <c r="C21" s="5" t="inlineStr">
        <is>
          <t>Gomez Reyes, Edith N</t>
        </is>
      </c>
      <c r="D21" s="17" t="n">
        <v>245</v>
      </c>
      <c r="E21" s="20" t="n">
        <v>3675</v>
      </c>
      <c r="F21" s="20">
        <f>IF(D21=0,0,E21/D21)</f>
        <v/>
      </c>
      <c r="G21" s="14" t="n">
        <v>7</v>
      </c>
      <c r="H21" s="8" t="inlineStr">
        <is>
          <t>2025 Job Detail Report.pdf (Sage Timberline, 04/03/2026, 126 pages)</t>
        </is>
      </c>
    </row>
    <row r="22">
      <c r="B22" s="14" t="inlineStr">
        <is>
          <t>BE54</t>
        </is>
      </c>
      <c r="C22" s="5" t="inlineStr">
        <is>
          <t>Benites Portillo, Marvin E</t>
        </is>
      </c>
      <c r="D22" s="17" t="n">
        <v>240</v>
      </c>
      <c r="E22" s="20" t="n">
        <v>4336</v>
      </c>
      <c r="F22" s="20">
        <f>IF(D22=0,0,E22/D22)</f>
        <v/>
      </c>
      <c r="G22" s="14" t="n">
        <v>11</v>
      </c>
      <c r="H22" s="8" t="inlineStr">
        <is>
          <t>2025 Job Detail Report.pdf (Sage Timberline, 04/03/2026, 126 pages)</t>
        </is>
      </c>
    </row>
    <row r="23">
      <c r="B23" s="14" t="inlineStr">
        <is>
          <t>SA51</t>
        </is>
      </c>
      <c r="C23" s="5" t="inlineStr">
        <is>
          <t>Sanchez, Derli</t>
        </is>
      </c>
      <c r="D23" s="17" t="n">
        <v>216</v>
      </c>
      <c r="E23" s="20" t="n">
        <v>3240</v>
      </c>
      <c r="F23" s="20">
        <f>IF(D23=0,0,E23/D23)</f>
        <v/>
      </c>
      <c r="G23" s="14" t="n">
        <v>7</v>
      </c>
      <c r="H23" s="8" t="inlineStr">
        <is>
          <t>2025 Job Detail Report.pdf (Sage Timberline, 04/03/2026, 126 pages)</t>
        </is>
      </c>
    </row>
    <row r="24">
      <c r="B24" s="14" t="inlineStr">
        <is>
          <t>GE69</t>
        </is>
      </c>
      <c r="C24" s="5" t="inlineStr">
        <is>
          <t>Gerard, Jeffrey S</t>
        </is>
      </c>
      <c r="D24" s="17" t="n">
        <v>192</v>
      </c>
      <c r="E24" s="20" t="n">
        <v>8679</v>
      </c>
      <c r="F24" s="20">
        <f>IF(D24=0,0,E24/D24)</f>
        <v/>
      </c>
      <c r="G24" s="14" t="n">
        <v>55</v>
      </c>
      <c r="H24" s="8" t="inlineStr">
        <is>
          <t>2025 Job Detail Report.pdf (Sage Timberline, 04/03/2026, 126 pages)</t>
        </is>
      </c>
    </row>
    <row r="25">
      <c r="B25" s="14" t="inlineStr">
        <is>
          <t>AY19</t>
        </is>
      </c>
      <c r="C25" s="5" t="inlineStr">
        <is>
          <t>Ayers, Jordan L</t>
        </is>
      </c>
      <c r="D25" s="17" t="n">
        <v>159.5</v>
      </c>
      <c r="E25" s="20" t="n">
        <v>1431</v>
      </c>
      <c r="F25" s="20">
        <f>IF(D25=0,0,E25/D25)</f>
        <v/>
      </c>
      <c r="G25" s="14" t="n">
        <v>3</v>
      </c>
      <c r="H25" s="8" t="inlineStr">
        <is>
          <t>2025 Job Detail Report.pdf (Sage Timberline, 04/03/2026, 126 pages)</t>
        </is>
      </c>
    </row>
    <row r="26">
      <c r="B26" s="14" t="inlineStr">
        <is>
          <t>DO56</t>
        </is>
      </c>
      <c r="C26" s="5" t="inlineStr">
        <is>
          <t>Donelson, Richard T</t>
        </is>
      </c>
      <c r="D26" s="17" t="n">
        <v>158</v>
      </c>
      <c r="E26" s="20" t="n">
        <v>7523</v>
      </c>
      <c r="F26" s="20">
        <f>IF(D26=0,0,E26/D26)</f>
        <v/>
      </c>
      <c r="G26" s="14" t="n">
        <v>58</v>
      </c>
      <c r="H26" s="8" t="inlineStr">
        <is>
          <t>2025 Job Detail Report.pdf (Sage Timberline, 04/03/2026, 126 pages)</t>
        </is>
      </c>
    </row>
    <row r="27">
      <c r="B27" s="14" t="inlineStr">
        <is>
          <t>GA46</t>
        </is>
      </c>
      <c r="C27" s="5" t="inlineStr">
        <is>
          <t>Galdamez, Dagoberto A</t>
        </is>
      </c>
      <c r="D27" s="17" t="n">
        <v>144</v>
      </c>
      <c r="E27" s="20" t="n">
        <v>1840</v>
      </c>
      <c r="F27" s="20">
        <f>IF(D27=0,0,E27/D27)</f>
        <v/>
      </c>
      <c r="G27" s="14" t="n">
        <v>9</v>
      </c>
      <c r="H27" s="8" t="inlineStr">
        <is>
          <t>2025 Job Detail Report.pdf (Sage Timberline, 04/03/2026, 126 pages)</t>
        </is>
      </c>
    </row>
    <row r="28">
      <c r="B28" s="14" t="inlineStr">
        <is>
          <t>BR59</t>
        </is>
      </c>
      <c r="C28" s="5" t="inlineStr">
        <is>
          <t>Brown, Steven D</t>
        </is>
      </c>
      <c r="D28" s="17" t="n">
        <v>136</v>
      </c>
      <c r="E28" s="20" t="n">
        <v>896</v>
      </c>
      <c r="F28" s="20">
        <f>IF(D28=0,0,E28/D28)</f>
        <v/>
      </c>
      <c r="G28" s="14" t="n">
        <v>2</v>
      </c>
      <c r="H28" s="8" t="inlineStr">
        <is>
          <t>2025 Job Detail Report.pdf (Sage Timberline, 04/03/2026, 126 pages)</t>
        </is>
      </c>
    </row>
    <row r="29">
      <c r="B29" s="14" t="inlineStr">
        <is>
          <t>PA11</t>
        </is>
      </c>
      <c r="C29" s="5" t="inlineStr">
        <is>
          <t>Paco Leyva, Orlando</t>
        </is>
      </c>
      <c r="D29" s="17" t="n">
        <v>104</v>
      </c>
      <c r="E29" s="20" t="n">
        <v>2720</v>
      </c>
      <c r="F29" s="20">
        <f>IF(D29=0,0,E29/D29)</f>
        <v/>
      </c>
      <c r="G29" s="14" t="n">
        <v>4</v>
      </c>
      <c r="H29" s="8" t="inlineStr">
        <is>
          <t>2025 Job Detail Report.pdf (Sage Timberline, 04/03/2026, 126 pages)</t>
        </is>
      </c>
    </row>
    <row r="30">
      <c r="B30" s="14" t="inlineStr">
        <is>
          <t>RE18</t>
        </is>
      </c>
      <c r="C30" s="5" t="inlineStr">
        <is>
          <t>Reed, Reuben H</t>
        </is>
      </c>
      <c r="D30" s="17" t="n">
        <v>95.5</v>
      </c>
      <c r="E30" s="20" t="n">
        <v>3342.5</v>
      </c>
      <c r="F30" s="20">
        <f>IF(D30=0,0,E30/D30)</f>
        <v/>
      </c>
      <c r="G30" s="14" t="n">
        <v>4</v>
      </c>
      <c r="H30" s="8" t="inlineStr">
        <is>
          <t>2025 Job Detail Report.pdf (Sage Timberline, 04/03/2026, 126 pages)</t>
        </is>
      </c>
    </row>
    <row r="31">
      <c r="B31" s="14" t="inlineStr">
        <is>
          <t>CO71</t>
        </is>
      </c>
      <c r="C31" s="5" t="inlineStr">
        <is>
          <t>Cortes Mendiola, Victor H</t>
        </is>
      </c>
      <c r="D31" s="17" t="n">
        <v>88</v>
      </c>
      <c r="E31" s="20" t="n">
        <v>3096</v>
      </c>
      <c r="F31" s="20">
        <f>IF(D31=0,0,E31/D31)</f>
        <v/>
      </c>
      <c r="G31" s="14" t="n">
        <v>4</v>
      </c>
      <c r="H31" s="8" t="inlineStr">
        <is>
          <t>2025 Job Detail Report.pdf (Sage Timberline, 04/03/2026, 126 pages)</t>
        </is>
      </c>
    </row>
    <row r="32">
      <c r="B32" s="14" t="inlineStr">
        <is>
          <t>MO56</t>
        </is>
      </c>
      <c r="C32" s="5" t="inlineStr">
        <is>
          <t>Montenegro, Carlos E</t>
        </is>
      </c>
      <c r="D32" s="17" t="n">
        <v>88</v>
      </c>
      <c r="E32" s="20" t="n">
        <v>2096</v>
      </c>
      <c r="F32" s="20">
        <f>IF(D32=0,0,E32/D32)</f>
        <v/>
      </c>
      <c r="G32" s="14" t="n">
        <v>6</v>
      </c>
      <c r="H32" s="8" t="inlineStr">
        <is>
          <t>2025 Job Detail Report.pdf (Sage Timberline, 04/03/2026, 126 pages)</t>
        </is>
      </c>
    </row>
    <row r="33">
      <c r="B33" s="14" t="inlineStr">
        <is>
          <t>BA70</t>
        </is>
      </c>
      <c r="C33" s="5" t="inlineStr">
        <is>
          <t>Barnhart, Joseph N</t>
        </is>
      </c>
      <c r="D33" s="17" t="n">
        <v>79.5</v>
      </c>
      <c r="E33" s="20" t="n">
        <v>3196</v>
      </c>
      <c r="F33" s="20">
        <f>IF(D33=0,0,E33/D33)</f>
        <v/>
      </c>
      <c r="G33" s="14" t="n">
        <v>24</v>
      </c>
      <c r="H33" s="8" t="inlineStr">
        <is>
          <t>2025 Job Detail Report.pdf (Sage Timberline, 04/03/2026, 126 pages)</t>
        </is>
      </c>
    </row>
    <row r="34">
      <c r="B34" s="14" t="inlineStr">
        <is>
          <t>HU06</t>
        </is>
      </c>
      <c r="C34" s="5" t="inlineStr">
        <is>
          <t>Hubbard, Robert W</t>
        </is>
      </c>
      <c r="D34" s="17" t="n">
        <v>66</v>
      </c>
      <c r="E34" s="20" t="n">
        <v>2755.5</v>
      </c>
      <c r="F34" s="20">
        <f>IF(D34=0,0,E34/D34)</f>
        <v/>
      </c>
      <c r="G34" s="14" t="n">
        <v>16</v>
      </c>
      <c r="H34" s="8" t="inlineStr">
        <is>
          <t>2025 Job Detail Report.pdf (Sage Timberline, 04/03/2026, 126 pages)</t>
        </is>
      </c>
    </row>
    <row r="35">
      <c r="B35" s="14" t="inlineStr">
        <is>
          <t>RI87</t>
        </is>
      </c>
      <c r="C35" s="5" t="inlineStr">
        <is>
          <t>Rivera, Jorge A</t>
        </is>
      </c>
      <c r="D35" s="17" t="n">
        <v>56</v>
      </c>
      <c r="E35" s="20" t="n">
        <v>1568</v>
      </c>
      <c r="F35" s="20">
        <f>IF(D35=0,0,E35/D35)</f>
        <v/>
      </c>
      <c r="G35" s="14" t="n">
        <v>2</v>
      </c>
      <c r="H35" s="8" t="inlineStr">
        <is>
          <t>2025 Job Detail Report.pdf (Sage Timberline, 04/03/2026, 126 pages)</t>
        </is>
      </c>
    </row>
    <row r="36">
      <c r="B36" s="14" t="inlineStr">
        <is>
          <t>CO69</t>
        </is>
      </c>
      <c r="C36" s="5" t="inlineStr">
        <is>
          <t>Cornejo Orellana, Carlos E</t>
        </is>
      </c>
      <c r="D36" s="17" t="n">
        <v>48</v>
      </c>
      <c r="E36" s="20" t="n">
        <v>720</v>
      </c>
      <c r="F36" s="20">
        <f>IF(D36=0,0,E36/D36)</f>
        <v/>
      </c>
      <c r="G36" s="14" t="n">
        <v>3</v>
      </c>
      <c r="H36" s="8" t="inlineStr">
        <is>
          <t>2025 Job Detail Report.pdf (Sage Timberline, 04/03/2026, 126 pages)</t>
        </is>
      </c>
    </row>
    <row r="37">
      <c r="B37" s="14" t="inlineStr">
        <is>
          <t>GA70</t>
        </is>
      </c>
      <c r="C37" s="5" t="inlineStr">
        <is>
          <t>Garcia, Jordan X</t>
        </is>
      </c>
      <c r="D37" s="17" t="n">
        <v>43</v>
      </c>
      <c r="E37" s="20" t="n">
        <v>1032</v>
      </c>
      <c r="F37" s="20">
        <f>IF(D37=0,0,E37/D37)</f>
        <v/>
      </c>
      <c r="G37" s="14" t="n">
        <v>4</v>
      </c>
      <c r="H37" s="8" t="inlineStr">
        <is>
          <t>2025 Job Detail Report.pdf (Sage Timberline, 04/03/2026, 126 pages)</t>
        </is>
      </c>
    </row>
    <row r="38">
      <c r="B38" s="14" t="inlineStr">
        <is>
          <t>HU04</t>
        </is>
      </c>
      <c r="C38" s="5" t="inlineStr">
        <is>
          <t>Hubbard, Dustin R</t>
        </is>
      </c>
      <c r="D38" s="17" t="n">
        <v>22</v>
      </c>
      <c r="E38" s="20" t="n">
        <v>398</v>
      </c>
      <c r="F38" s="20">
        <f>IF(D38=0,0,E38/D38)</f>
        <v/>
      </c>
      <c r="G38" s="14" t="n">
        <v>6</v>
      </c>
      <c r="H38" s="8" t="inlineStr">
        <is>
          <t>2025 Job Detail Report.pdf (Sage Timberline, 04/03/2026, 126 pages)</t>
        </is>
      </c>
    </row>
    <row r="39">
      <c r="B39" s="14" t="inlineStr">
        <is>
          <t>PO71</t>
        </is>
      </c>
      <c r="C39" s="5" t="inlineStr">
        <is>
          <t>Portillo, Kevin J</t>
        </is>
      </c>
      <c r="D39" s="17" t="n">
        <v>16</v>
      </c>
      <c r="E39" s="20" t="n">
        <v>240</v>
      </c>
      <c r="F39" s="20">
        <f>IF(D39=0,0,E39/D39)</f>
        <v/>
      </c>
      <c r="G39" s="14" t="n">
        <v>1</v>
      </c>
      <c r="H39" s="8" t="inlineStr">
        <is>
          <t>2025 Job Detail Report.pdf (Sage Timberline, 04/03/2026, 126 pages)</t>
        </is>
      </c>
    </row>
    <row r="40">
      <c r="B40" s="14" t="inlineStr">
        <is>
          <t>HO14</t>
        </is>
      </c>
      <c r="C40" s="5" t="inlineStr">
        <is>
          <t>Holmes, Anthony R</t>
        </is>
      </c>
      <c r="D40" s="17" t="n">
        <v>8</v>
      </c>
      <c r="E40" s="20" t="n">
        <v>160</v>
      </c>
      <c r="F40" s="20">
        <f>IF(D40=0,0,E40/D40)</f>
        <v/>
      </c>
      <c r="G40" s="14" t="n">
        <v>1</v>
      </c>
      <c r="H40" s="8" t="inlineStr">
        <is>
          <t>2025 Job Detail Report.pdf (Sage Timberline, 04/03/2026, 126 pages)</t>
        </is>
      </c>
    </row>
    <row r="41">
      <c r="B41" s="14" t="inlineStr">
        <is>
          <t>LO58</t>
        </is>
      </c>
      <c r="C41" s="5" t="inlineStr">
        <is>
          <t>Lopez Reyes, Boris O</t>
        </is>
      </c>
      <c r="D41" s="17" t="n">
        <v>8</v>
      </c>
      <c r="E41" s="20" t="n">
        <v>120</v>
      </c>
      <c r="F41" s="20">
        <f>IF(D41=0,0,E41/D41)</f>
        <v/>
      </c>
      <c r="G41" s="14" t="n">
        <v>1</v>
      </c>
      <c r="H41" s="8" t="inlineStr">
        <is>
          <t>2025 Job Detail Report.pdf (Sage Timberline, 04/03/2026, 126 pages)</t>
        </is>
      </c>
    </row>
    <row r="42">
      <c r="B42" s="18" t="inlineStr">
        <is>
          <t>TOTAL</t>
        </is>
      </c>
      <c r="D42" s="10">
        <f>SUM(D6:D41)</f>
        <v/>
      </c>
      <c r="E42" s="9">
        <f>SUM(E6:E41)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36</v>
      </c>
      <c r="D7" s="5" t="inlineStr">
        <is>
          <t>Unique payroll IDs</t>
        </is>
      </c>
      <c r="E7" s="8" t="inlineStr">
        <is>
          <t>2025 Job Detail Report.pdf (Sage Timberline, 04/03/2026, 126 pages)</t>
        </is>
      </c>
    </row>
    <row r="8">
      <c r="B8" s="5" t="inlineStr">
        <is>
          <t>Total Labor Hours</t>
        </is>
      </c>
      <c r="C8" s="17" t="n">
        <v>11486.5</v>
      </c>
      <c r="D8" s="5" t="inlineStr">
        <is>
          <t>Sum of codes 100-142</t>
        </is>
      </c>
      <c r="E8" s="8" t="inlineStr">
        <is>
          <t>2025 Job Detail Report.pdf (Sage Timberline, 04/03/2026, 126 pages)</t>
        </is>
      </c>
    </row>
    <row r="9">
      <c r="B9" s="5" t="inlineStr">
        <is>
          <t>Total Gross Pay</t>
        </is>
      </c>
      <c r="C9" s="17" t="n">
        <v>287218.5</v>
      </c>
      <c r="D9" s="5" t="inlineStr">
        <is>
          <t>Sum of codes 100-142</t>
        </is>
      </c>
      <c r="E9" s="8" t="inlineStr">
        <is>
          <t>2025 Job Detail Report.pdf (Sage Timberline, 04/03/2026, 126 pages)</t>
        </is>
      </c>
    </row>
    <row r="10">
      <c r="B10" s="5" t="inlineStr">
        <is>
          <t>Blended Gross Wage ($/hr)</t>
        </is>
      </c>
      <c r="C10" s="20" t="n">
        <v>25.00487528838201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0.09606929874200149</v>
      </c>
      <c r="D11" s="5" t="inlineStr">
        <is>
          <t>MC09 McCabe, Thomas C (1104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0.417925390676011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47.61392405063291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6.588235294117647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319.0694444444445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14.47222222222222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bid 92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1208338.0/11486.5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461403.69/11486.5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287218.5/11486.5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(287218.5+127300.38+21978.6)/11486.5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(287218.5+127300.38+21978.6)/287218.5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6350</v>
      </c>
      <c r="D11" s="14" t="inlineStr">
        <is>
          <t>JDR</t>
        </is>
      </c>
      <c r="E11" s="8" t="inlineStr">
        <is>
          <t>6350 hrs</t>
        </is>
      </c>
    </row>
    <row r="12">
      <c r="B12" s="5" t="inlineStr">
        <is>
          <t>Finish Hours (code 130)</t>
        </is>
      </c>
      <c r="C12" s="17" t="n">
        <v>1069</v>
      </c>
      <c r="D12" s="14" t="inlineStr">
        <is>
          <t>JDR</t>
        </is>
      </c>
      <c r="E12" s="8" t="inlineStr">
        <is>
          <t>1069 hrs</t>
        </is>
      </c>
    </row>
    <row r="13">
      <c r="B13" s="5" t="inlineStr">
        <is>
          <t>Rough-in % of Total Hours</t>
        </is>
      </c>
      <c r="C13" s="16">
        <f>6350.0/11486.5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461403.69/1208338.0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287218.5/1208338.0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263607.67/1208338.0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746934.31/1208338.0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(92)</t>
        </is>
      </c>
      <c r="C18" s="20">
        <f>1208338.0/92</f>
        <v/>
      </c>
      <c r="D18" s="14" t="inlineStr">
        <is>
          <t>Formula</t>
        </is>
      </c>
      <c r="E18" s="8" t="inlineStr">
        <is>
          <t>92 units (from bid proposal)</t>
        </is>
      </c>
    </row>
    <row r="19">
      <c r="B19" s="5" t="inlineStr">
        <is>
          <t>Labor Hours per Unit</t>
        </is>
      </c>
      <c r="C19" s="17">
        <f>11486.5/92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287218.5/92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263607.67/92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746934.31/92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6350.0/92</f>
        <v/>
      </c>
      <c r="D23" s="14" t="inlineStr">
        <is>
          <t>Formula</t>
        </is>
      </c>
      <c r="E23" s="8" t="inlineStr">
        <is>
          <t>Code 120 / 92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L1 220000</t>
        </is>
      </c>
      <c r="C6" s="5" t="inlineStr">
        <is>
          <t>2015-09 (proposal 9/1/15) / subcontract executed</t>
        </is>
      </c>
      <c r="D6" s="5" t="inlineStr">
        <is>
          <t>Exxel Pacific, Inc.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The Cora Apts plumbing (19 W Harrison, Seattle) — full scope per proposal + narrative</t>
        </is>
      </c>
      <c r="H6" s="20" t="n">
        <v>1179300</v>
      </c>
      <c r="I6" s="8" t="inlineStr">
        <is>
          <t>L1 220000 One Way Plumbing Fully Executed Subcontract ocr_d.pdf</t>
        </is>
      </c>
    </row>
    <row r="7">
      <c r="B7" s="14" t="inlineStr">
        <is>
          <t>CO#01</t>
        </is>
      </c>
      <c r="C7" s="28" t="inlineStr">
        <is>
          <t>NOT FOUND</t>
        </is>
      </c>
      <c r="D7" s="5" t="inlineStr">
        <is>
          <t>Exxel Pacific, Inc.</t>
        </is>
      </c>
      <c r="E7" s="14" t="inlineStr">
        <is>
          <t>Change Order</t>
        </is>
      </c>
      <c r="F7" s="27" t="inlineStr">
        <is>
          <t>Executed</t>
        </is>
      </c>
      <c r="G7" s="5" t="inlineStr">
        <is>
          <t>Documented change order (budget transfer / credit)</t>
        </is>
      </c>
      <c r="H7" s="15" t="n">
        <v>700</v>
      </c>
      <c r="I7" s="8" t="inlineStr">
        <is>
          <t>Change Orders/CO_s/CO#01 (budget transfer)</t>
        </is>
      </c>
    </row>
    <row r="8">
      <c r="B8" s="14" t="inlineStr">
        <is>
          <t>CO#02</t>
        </is>
      </c>
      <c r="C8" s="28" t="inlineStr">
        <is>
          <t>NOT FOUND</t>
        </is>
      </c>
      <c r="D8" s="5" t="inlineStr">
        <is>
          <t>Exxel Pacific, Inc.</t>
        </is>
      </c>
      <c r="E8" s="14" t="inlineStr">
        <is>
          <t>Change Order</t>
        </is>
      </c>
      <c r="F8" s="27" t="inlineStr">
        <is>
          <t>Executed</t>
        </is>
      </c>
      <c r="G8" s="5" t="inlineStr">
        <is>
          <t>Documented change order (budget transfer / credit)</t>
        </is>
      </c>
      <c r="H8" s="15" t="n">
        <v>4390</v>
      </c>
      <c r="I8" s="8" t="inlineStr">
        <is>
          <t>Change Orders/CO_s/CO#02 (budget transfer)</t>
        </is>
      </c>
    </row>
    <row r="9">
      <c r="B9" s="14" t="inlineStr">
        <is>
          <t>CO#03</t>
        </is>
      </c>
      <c r="C9" s="28" t="inlineStr">
        <is>
          <t>NOT FOUND</t>
        </is>
      </c>
      <c r="D9" s="5" t="inlineStr">
        <is>
          <t>Exxel Pacific, Inc.</t>
        </is>
      </c>
      <c r="E9" s="14" t="inlineStr">
        <is>
          <t>Change Order</t>
        </is>
      </c>
      <c r="F9" s="27" t="inlineStr">
        <is>
          <t>Executed</t>
        </is>
      </c>
      <c r="G9" s="5" t="inlineStr">
        <is>
          <t>Documented change order (budget transfer / credit)</t>
        </is>
      </c>
      <c r="H9" s="15" t="n">
        <v>7881</v>
      </c>
      <c r="I9" s="8" t="inlineStr">
        <is>
          <t>Change Orders/CO_s/CO#03 (budget transfer)</t>
        </is>
      </c>
    </row>
    <row r="10">
      <c r="B10" s="14" t="inlineStr">
        <is>
          <t>CO#04</t>
        </is>
      </c>
      <c r="C10" s="28" t="inlineStr">
        <is>
          <t>NOT FOUND</t>
        </is>
      </c>
      <c r="D10" s="5" t="inlineStr">
        <is>
          <t>Exxel Pacific, Inc.</t>
        </is>
      </c>
      <c r="E10" s="14" t="inlineStr">
        <is>
          <t>Change Order</t>
        </is>
      </c>
      <c r="F10" s="27" t="inlineStr">
        <is>
          <t>Executed</t>
        </is>
      </c>
      <c r="G10" s="5" t="inlineStr">
        <is>
          <t>Documented change order (budget transfer / credit)</t>
        </is>
      </c>
      <c r="H10" s="15" t="n">
        <v>9017</v>
      </c>
      <c r="I10" s="8" t="inlineStr">
        <is>
          <t>Change Orders/CO_s/CO#04 (budget transfer)</t>
        </is>
      </c>
    </row>
    <row r="11">
      <c r="B11" s="14" t="inlineStr">
        <is>
          <t>CO#05</t>
        </is>
      </c>
      <c r="C11" s="28" t="inlineStr">
        <is>
          <t>NOT FOUND</t>
        </is>
      </c>
      <c r="D11" s="5" t="inlineStr">
        <is>
          <t>Exxel Pacific, Inc.</t>
        </is>
      </c>
      <c r="E11" s="14" t="inlineStr">
        <is>
          <t>Change Order</t>
        </is>
      </c>
      <c r="F11" s="27" t="inlineStr">
        <is>
          <t>Executed</t>
        </is>
      </c>
      <c r="G11" s="5" t="inlineStr">
        <is>
          <t>Documented change order (budget transfer / credit)</t>
        </is>
      </c>
      <c r="H11" s="15" t="n">
        <v>-1971</v>
      </c>
      <c r="I11" s="8" t="inlineStr">
        <is>
          <t>Change Orders/CO_s/CO#05 (credit)</t>
        </is>
      </c>
    </row>
    <row r="12">
      <c r="B12" s="14" t="inlineStr">
        <is>
          <t>CO#06</t>
        </is>
      </c>
      <c r="C12" s="28" t="inlineStr">
        <is>
          <t>NOT FOUND</t>
        </is>
      </c>
      <c r="D12" s="5" t="inlineStr">
        <is>
          <t>Exxel Pacific, Inc.</t>
        </is>
      </c>
      <c r="E12" s="14" t="inlineStr">
        <is>
          <t>Change Order</t>
        </is>
      </c>
      <c r="F12" s="27" t="inlineStr">
        <is>
          <t>Executed</t>
        </is>
      </c>
      <c r="G12" s="5" t="inlineStr">
        <is>
          <t>Documented change order (budget transfer / credit)</t>
        </is>
      </c>
      <c r="H12" s="15" t="n">
        <v>3316</v>
      </c>
      <c r="I12" s="8" t="inlineStr">
        <is>
          <t>Change Orders/CO_s/CO#06 (budget transfer)</t>
        </is>
      </c>
    </row>
    <row r="13">
      <c r="B13" s="18" t="inlineStr">
        <is>
          <t>TOTAL (contract + COs)</t>
        </is>
      </c>
      <c r="H13" s="21">
        <f>SUM(H6:H12)</f>
        <v/>
      </c>
    </row>
    <row r="15">
      <c r="B15" s="24" t="inlineStr">
        <is>
          <t>NOTE: Documented COs sum to $23,333.00; JDR-implied COs = $29,038.00 (diff $5,705.00). Gap likely due to budget-transfer-only adjustments or one CO not surfacing in transfer PDFs. Outbound POs: 82 total (7 placed, 19 scheduled, 56 completed) — see POs/ folder.</t>
        </is>
      </c>
      <c r="C15" s="6" t="n"/>
      <c r="D15" s="6" t="n"/>
      <c r="E15" s="6" t="n"/>
      <c r="F15" s="6" t="n"/>
      <c r="G15" s="6" t="n"/>
      <c r="H15" s="6" t="n"/>
      <c r="I15" s="7" t="n"/>
    </row>
  </sheetData>
  <mergeCells count="3">
    <mergeCell ref="B3:J3"/>
    <mergeCell ref="B2:J2"/>
    <mergeCell ref="B15:I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19 unique invoices to Exxel Pacific, Inc.. Retainage $60,416.90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036686</t>
        </is>
      </c>
      <c r="C6" s="14" t="inlineStr">
        <is>
          <t>02/24/16</t>
        </is>
      </c>
      <c r="D6" s="15" t="n">
        <v>-31000</v>
      </c>
      <c r="E6" s="15" t="n">
        <v>-1550</v>
      </c>
      <c r="F6" s="14" t="n">
        <v>1</v>
      </c>
      <c r="G6" s="8" t="inlineStr">
        <is>
          <t>2025 Job Detail Report.pdf (Sage Timberline, 04/03/2026, 126 pages)</t>
        </is>
      </c>
    </row>
    <row r="7">
      <c r="B7" s="14" t="inlineStr">
        <is>
          <t>036738</t>
        </is>
      </c>
      <c r="C7" s="14" t="inlineStr">
        <is>
          <t>06/17/16</t>
        </is>
      </c>
      <c r="D7" s="15" t="n">
        <v>-43900</v>
      </c>
      <c r="E7" s="15" t="n">
        <v>-2195</v>
      </c>
      <c r="F7" s="14" t="n">
        <v>1</v>
      </c>
      <c r="G7" s="8" t="inlineStr">
        <is>
          <t>2025 Job Detail Report.pdf (Sage Timberline, 04/03/2026, 126 pages)</t>
        </is>
      </c>
    </row>
    <row r="8">
      <c r="B8" s="14" t="inlineStr">
        <is>
          <t>036761</t>
        </is>
      </c>
      <c r="C8" s="14" t="inlineStr">
        <is>
          <t>07/20/16</t>
        </is>
      </c>
      <c r="D8" s="15" t="n">
        <v>-20000</v>
      </c>
      <c r="E8" s="15" t="n">
        <v>-1000</v>
      </c>
      <c r="F8" s="14" t="n">
        <v>1</v>
      </c>
      <c r="G8" s="8" t="inlineStr">
        <is>
          <t>2025 Job Detail Report.pdf (Sage Timberline, 04/03/2026, 126 pages)</t>
        </is>
      </c>
    </row>
    <row r="9">
      <c r="B9" s="14" t="inlineStr">
        <is>
          <t>036772</t>
        </is>
      </c>
      <c r="C9" s="14" t="inlineStr">
        <is>
          <t>08/19/16</t>
        </is>
      </c>
      <c r="D9" s="15" t="n">
        <v>-12000</v>
      </c>
      <c r="E9" s="15" t="n">
        <v>-600</v>
      </c>
      <c r="F9" s="14" t="n">
        <v>1</v>
      </c>
      <c r="G9" s="8" t="inlineStr">
        <is>
          <t>2025 Job Detail Report.pdf (Sage Timberline, 04/03/2026, 126 pages)</t>
        </is>
      </c>
    </row>
    <row r="10">
      <c r="B10" s="14" t="inlineStr">
        <is>
          <t>036786</t>
        </is>
      </c>
      <c r="C10" s="14" t="inlineStr">
        <is>
          <t>09/19/16</t>
        </is>
      </c>
      <c r="D10" s="15" t="n">
        <v>-29850</v>
      </c>
      <c r="E10" s="15" t="n">
        <v>-1492.5</v>
      </c>
      <c r="F10" s="14" t="n">
        <v>1</v>
      </c>
      <c r="G10" s="8" t="inlineStr">
        <is>
          <t>2025 Job Detail Report.pdf (Sage Timberline, 04/03/2026, 126 pages)</t>
        </is>
      </c>
    </row>
    <row r="11">
      <c r="B11" s="14" t="inlineStr">
        <is>
          <t>036792</t>
        </is>
      </c>
      <c r="C11" s="14" t="inlineStr">
        <is>
          <t>10/19/16</t>
        </is>
      </c>
      <c r="D11" s="15" t="n">
        <v>-19950</v>
      </c>
      <c r="E11" s="15" t="n">
        <v>-997.5</v>
      </c>
      <c r="F11" s="14" t="n">
        <v>1</v>
      </c>
      <c r="G11" s="8" t="inlineStr">
        <is>
          <t>2025 Job Detail Report.pdf (Sage Timberline, 04/03/2026, 126 pages)</t>
        </is>
      </c>
    </row>
    <row r="12">
      <c r="B12" s="14" t="inlineStr">
        <is>
          <t>036802</t>
        </is>
      </c>
      <c r="C12" s="14" t="inlineStr">
        <is>
          <t>11/15/16</t>
        </is>
      </c>
      <c r="D12" s="15" t="n">
        <v>-54500</v>
      </c>
      <c r="E12" s="15" t="n">
        <v>-2725</v>
      </c>
      <c r="F12" s="14" t="n">
        <v>1</v>
      </c>
      <c r="G12" s="8" t="inlineStr">
        <is>
          <t>2025 Job Detail Report.pdf (Sage Timberline, 04/03/2026, 126 pages)</t>
        </is>
      </c>
    </row>
    <row r="13">
      <c r="B13" s="14" t="inlineStr">
        <is>
          <t>036814</t>
        </is>
      </c>
      <c r="C13" s="14" t="inlineStr">
        <is>
          <t>12/16/16</t>
        </is>
      </c>
      <c r="D13" s="15" t="n">
        <v>-424100</v>
      </c>
      <c r="E13" s="15" t="n">
        <v>-21205</v>
      </c>
      <c r="F13" s="14" t="n">
        <v>1</v>
      </c>
      <c r="G13" s="8" t="inlineStr">
        <is>
          <t>2025 Job Detail Report.pdf (Sage Timberline, 04/03/2026, 126 pages)</t>
        </is>
      </c>
    </row>
    <row r="14">
      <c r="B14" s="14" t="inlineStr">
        <is>
          <t>036818</t>
        </is>
      </c>
      <c r="C14" s="14" t="inlineStr">
        <is>
          <t>01/20/17</t>
        </is>
      </c>
      <c r="D14" s="15" t="n">
        <v>-275875</v>
      </c>
      <c r="E14" s="15" t="n">
        <v>-13793.75</v>
      </c>
      <c r="F14" s="14" t="n">
        <v>1</v>
      </c>
      <c r="G14" s="8" t="inlineStr">
        <is>
          <t>2025 Job Detail Report.pdf (Sage Timberline, 04/03/2026, 126 pages)</t>
        </is>
      </c>
    </row>
    <row r="15">
      <c r="B15" s="14" t="inlineStr">
        <is>
          <t>036830</t>
        </is>
      </c>
      <c r="C15" s="14" t="inlineStr">
        <is>
          <t>02/20/17</t>
        </is>
      </c>
      <c r="D15" s="15" t="n">
        <v>-107775</v>
      </c>
      <c r="E15" s="15" t="n">
        <v>-5388.75</v>
      </c>
      <c r="F15" s="14" t="n">
        <v>1</v>
      </c>
      <c r="G15" s="8" t="inlineStr">
        <is>
          <t>2025 Job Detail Report.pdf (Sage Timberline, 04/03/2026, 126 pages)</t>
        </is>
      </c>
    </row>
    <row r="16">
      <c r="B16" s="14" t="inlineStr">
        <is>
          <t>036844</t>
        </is>
      </c>
      <c r="C16" s="14" t="inlineStr">
        <is>
          <t>03/17/17</t>
        </is>
      </c>
      <c r="D16" s="15" t="n">
        <v>-32925</v>
      </c>
      <c r="E16" s="15" t="n">
        <v>-1646.25</v>
      </c>
      <c r="F16" s="14" t="n">
        <v>1</v>
      </c>
      <c r="G16" s="8" t="inlineStr">
        <is>
          <t>2025 Job Detail Report.pdf (Sage Timberline, 04/03/2026, 126 pages)</t>
        </is>
      </c>
    </row>
    <row r="17">
      <c r="B17" s="14" t="inlineStr">
        <is>
          <t>036866</t>
        </is>
      </c>
      <c r="C17" s="14" t="inlineStr">
        <is>
          <t>04/21/17</t>
        </is>
      </c>
      <c r="D17" s="15" t="n">
        <v>-79869</v>
      </c>
      <c r="E17" s="15" t="n">
        <v>-3993.45</v>
      </c>
      <c r="F17" s="14" t="n">
        <v>1</v>
      </c>
      <c r="G17" s="8" t="inlineStr">
        <is>
          <t>2025 Job Detail Report.pdf (Sage Timberline, 04/03/2026, 126 pages)</t>
        </is>
      </c>
    </row>
    <row r="18">
      <c r="B18" s="14" t="inlineStr">
        <is>
          <t>036875</t>
        </is>
      </c>
      <c r="C18" s="14" t="inlineStr">
        <is>
          <t>05/19/17</t>
        </is>
      </c>
      <c r="D18" s="15" t="n">
        <v>-52282</v>
      </c>
      <c r="E18" s="15" t="n">
        <v>-2614.1</v>
      </c>
      <c r="F18" s="14" t="n">
        <v>1</v>
      </c>
      <c r="G18" s="8" t="inlineStr">
        <is>
          <t>2025 Job Detail Report.pdf (Sage Timberline, 04/03/2026, 126 pages)</t>
        </is>
      </c>
    </row>
    <row r="19">
      <c r="B19" s="14" t="inlineStr">
        <is>
          <t>036894</t>
        </is>
      </c>
      <c r="C19" s="14" t="inlineStr">
        <is>
          <t>06/19/17</t>
        </is>
      </c>
      <c r="D19" s="15" t="n">
        <v>-15291</v>
      </c>
      <c r="E19" s="15" t="n">
        <v>-764.55</v>
      </c>
      <c r="F19" s="14" t="n">
        <v>1</v>
      </c>
      <c r="G19" s="8" t="inlineStr">
        <is>
          <t>2025 Job Detail Report.pdf (Sage Timberline, 04/03/2026, 126 pages)</t>
        </is>
      </c>
    </row>
    <row r="20">
      <c r="B20" s="14" t="inlineStr">
        <is>
          <t>036907</t>
        </is>
      </c>
      <c r="C20" s="14" t="inlineStr">
        <is>
          <t>06/19/17</t>
        </is>
      </c>
      <c r="D20" s="15" t="n">
        <v>15291</v>
      </c>
      <c r="E20" s="15" t="n">
        <v>764.55</v>
      </c>
      <c r="F20" s="14" t="n">
        <v>1</v>
      </c>
      <c r="G20" s="8" t="inlineStr">
        <is>
          <t>2025 Job Detail Report.pdf (Sage Timberline, 04/03/2026, 126 pages)</t>
        </is>
      </c>
    </row>
    <row r="21">
      <c r="B21" s="14" t="inlineStr">
        <is>
          <t>036908</t>
        </is>
      </c>
      <c r="C21" s="14" t="inlineStr">
        <is>
          <t>06/19/17</t>
        </is>
      </c>
      <c r="D21" s="15" t="n">
        <v>-13791</v>
      </c>
      <c r="E21" s="15" t="n">
        <v>-689.55</v>
      </c>
      <c r="F21" s="14" t="n">
        <v>1</v>
      </c>
      <c r="G21" s="8" t="inlineStr">
        <is>
          <t>2025 Job Detail Report.pdf (Sage Timberline, 04/03/2026, 126 pages)</t>
        </is>
      </c>
    </row>
    <row r="22">
      <c r="B22" s="14" t="inlineStr">
        <is>
          <t>036917</t>
        </is>
      </c>
      <c r="C22" s="14" t="inlineStr">
        <is>
          <t>07/20/17</t>
        </is>
      </c>
      <c r="D22" s="15" t="n">
        <v>-5705</v>
      </c>
      <c r="E22" s="15" t="n">
        <v>-285.25</v>
      </c>
      <c r="F22" s="14" t="n">
        <v>1</v>
      </c>
      <c r="G22" s="8" t="inlineStr">
        <is>
          <t>2025 Job Detail Report.pdf (Sage Timberline, 04/03/2026, 126 pages)</t>
        </is>
      </c>
    </row>
    <row r="23">
      <c r="B23" s="14" t="inlineStr">
        <is>
          <t>036921</t>
        </is>
      </c>
      <c r="C23" s="14" t="inlineStr">
        <is>
          <t>07/20/17</t>
        </is>
      </c>
      <c r="D23" s="15" t="n">
        <v>-1500</v>
      </c>
      <c r="E23" s="15" t="n">
        <v>-75</v>
      </c>
      <c r="F23" s="14" t="n">
        <v>1</v>
      </c>
      <c r="G23" s="8" t="inlineStr">
        <is>
          <t>2025 Job Detail Report.pdf (Sage Timberline, 04/03/2026, 126 pages)</t>
        </is>
      </c>
    </row>
    <row r="24">
      <c r="B24" s="14" t="inlineStr">
        <is>
          <t>036937</t>
        </is>
      </c>
      <c r="C24" s="14" t="inlineStr">
        <is>
          <t>08/18/17</t>
        </is>
      </c>
      <c r="D24" s="15" t="n">
        <v>-3316</v>
      </c>
      <c r="E24" s="15" t="n">
        <v>-165.8</v>
      </c>
      <c r="F24" s="14" t="n">
        <v>1</v>
      </c>
      <c r="G24" s="8" t="inlineStr">
        <is>
          <t>2025 Job Detail Report.pdf (Sage Timberline, 04/03/2026, 126 pages)</t>
        </is>
      </c>
    </row>
    <row r="25">
      <c r="B25" s="18" t="inlineStr">
        <is>
          <t>TOTAL (signed)</t>
        </is>
      </c>
      <c r="D25" s="29">
        <f>SUM(D6:D24)</f>
        <v/>
      </c>
      <c r="E25" s="29">
        <f>SUM(E6:E24)</f>
        <v/>
      </c>
    </row>
    <row r="27">
      <c r="B27" s="24" t="inlineStr">
        <is>
          <t>NOTE: AR entries signed negative per Sage convention. Net billed = $1,208,338.00; retainage $60,416.90 outstanding on JDR dated 04/03/2026. First invoice 036686 (2/19/16); last invoice 036937 (8/18/17). Billing/billing docs/ contains SOV template. Invoice 036907 (6/19/17) reverses 036894.</t>
        </is>
      </c>
      <c r="C27" s="6" t="n"/>
      <c r="D27" s="6" t="n"/>
      <c r="E27" s="6" t="n"/>
      <c r="F27" s="6" t="n"/>
      <c r="G27" s="7" t="n"/>
    </row>
  </sheetData>
  <mergeCells count="3">
    <mergeCell ref="B27:G27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STRONG MARGIN</t>
        </is>
      </c>
      <c r="D6" s="5" t="inlineStr">
        <is>
          <t>Net profit $461,403.69 on $1,208,338.00 revenue = 38.2% gross margin. Well above typical multifamily plumbing (25-30%).</t>
        </is>
      </c>
      <c r="E6" s="27" t="inlineStr">
        <is>
          <t>Verified</t>
        </is>
      </c>
      <c r="F6" s="8" t="inlineStr">
        <is>
          <t>2025 Job Detail Report.pdf (Sage Timberline, 04/03/2026, 126 pages)</t>
        </is>
      </c>
    </row>
    <row r="7" ht="58" customHeight="1">
      <c r="B7" s="14" t="n">
        <v>2</v>
      </c>
      <c r="C7" s="4" t="inlineStr">
        <is>
          <t>LABOR-HEAVY EXECUTION</t>
        </is>
      </c>
      <c r="D7" s="5" t="inlineStr">
        <is>
          <t>Labor cost $287,218.50 (23.8% of rev) across 11,486.5 hrs and 36 workers. Rough-in (120) = 6350 hrs = 55% of labor.</t>
        </is>
      </c>
      <c r="E7" s="27" t="inlineStr">
        <is>
          <t>Verified</t>
        </is>
      </c>
      <c r="F7" s="8" t="inlineStr">
        <is>
          <t>2025 Job Detail Report.pdf (Sage Timberline, 04/03/2026, 126 pages)</t>
        </is>
      </c>
    </row>
    <row r="8" ht="58" customHeight="1">
      <c r="B8" s="14" t="n">
        <v>3</v>
      </c>
      <c r="C8" s="4" t="inlineStr">
        <is>
          <t>ROUGH-IN OVERRUN</t>
        </is>
      </c>
      <c r="D8" s="5" t="inlineStr">
        <is>
          <t>Code 120 Rough-in Labor: $150,592.00 actual vs $127,266.00 revised budget = +$23,326.00 (18.3% over). Primary variance driver.</t>
        </is>
      </c>
      <c r="E8" s="27" t="inlineStr">
        <is>
          <t>Verified</t>
        </is>
      </c>
      <c r="F8" s="8" t="inlineStr">
        <is>
          <t>2025 Job Detail Report.pdf (Sage Timberline, 04/03/2026, 126 pages)</t>
        </is>
      </c>
    </row>
    <row r="9" ht="58" customHeight="1">
      <c r="B9" s="14" t="n">
        <v>4</v>
      </c>
      <c r="C9" s="4" t="inlineStr">
        <is>
          <t>BURDEN-HEAVY</t>
        </is>
      </c>
      <c r="D9" s="5" t="inlineStr">
        <is>
          <t>Payroll Burden $127,300.38 + Taxes $21,978.60 = $149,278.98 = 52.0% of gross labor. Burden multiplier = 1.52x.</t>
        </is>
      </c>
      <c r="E9" s="27" t="inlineStr">
        <is>
          <t>Verified</t>
        </is>
      </c>
      <c r="F9" s="8" t="inlineStr">
        <is>
          <t>2025 Job Detail Report.pdf (Sage Timberline, 04/03/2026, 126 pages)</t>
        </is>
      </c>
    </row>
    <row r="10" ht="58" customHeight="1">
      <c r="B10" s="14" t="n">
        <v>5</v>
      </c>
      <c r="C10" s="4" t="inlineStr">
        <is>
          <t>TOP-WORKER CONCENTRATION</t>
        </is>
      </c>
      <c r="D10" s="5" t="inlineStr">
        <is>
          <t>McCabe, Thomas C (ID MC09) logged 1104 hrs = 9.6% of project labor. Top 5 workers = 41.8%.</t>
        </is>
      </c>
      <c r="E10" s="27" t="inlineStr">
        <is>
          <t>Verified</t>
        </is>
      </c>
      <c r="F10" s="8" t="inlineStr">
        <is>
          <t>2025 Job Detail Report.pdf (Sage Timberline, 04/03/2026, 126 pages)</t>
        </is>
      </c>
    </row>
    <row r="11" ht="58" customHeight="1">
      <c r="B11" s="14" t="n">
        <v>6</v>
      </c>
      <c r="C11" s="4" t="inlineStr">
        <is>
          <t>VENDOR CONCENTRATION</t>
        </is>
      </c>
      <c r="D11" s="5" t="inlineStr">
        <is>
          <t>Top vendor Keller Supply Company $Cora ($78,491.13). Top 3 suppliers (Keller, Rosen, Consolidated) dominate material spend.</t>
        </is>
      </c>
      <c r="E11" s="27" t="inlineStr">
        <is>
          <t>Verified</t>
        </is>
      </c>
      <c r="F11" s="8" t="inlineStr">
        <is>
          <t>2025 Job Detail Report.pdf (Sage Timberline, 04/03/2026, 126 pages)</t>
        </is>
      </c>
    </row>
    <row r="12" ht="58" customHeight="1">
      <c r="B12" s="14" t="n">
        <v>7</v>
      </c>
      <c r="C12" s="4" t="inlineStr">
        <is>
          <t>CO DISCIPLINE</t>
        </is>
      </c>
      <c r="D12" s="5" t="inlineStr">
        <is>
          <t>Original $1,179,300.00 → Final $1,208,338.00 = +$29,038.00 (2.46%). 6 COs documented totaling $23,333.00 (diff $5,705.00 — gap unresolved).</t>
        </is>
      </c>
      <c r="E12" s="30" t="inlineStr">
        <is>
          <t>Medium</t>
        </is>
      </c>
      <c r="F12" s="8" t="inlineStr">
        <is>
          <t>2025 Job Detail Report.pdf (Sage Timberline, 04/03/2026, 126 pages)</t>
        </is>
      </c>
    </row>
    <row r="13" ht="58" customHeight="1">
      <c r="B13" s="14" t="n">
        <v>8</v>
      </c>
      <c r="C13" s="4" t="inlineStr">
        <is>
          <t>RETAINAGE OUTSTANDING</t>
        </is>
      </c>
      <c r="D13" s="5" t="inlineStr">
        <is>
          <t>Retainage $60,416.90 still open on JDR dated 04/03/2026, 8+ years after last work 08/18/2017. Release or write-off pending.</t>
        </is>
      </c>
      <c r="E13" s="27" t="inlineStr">
        <is>
          <t>Verified</t>
        </is>
      </c>
      <c r="F13" s="8" t="inlineStr">
        <is>
          <t>2025 Job Detail Report.pdf (Sage Timberline, 04/03/2026, 126 pages)</t>
        </is>
      </c>
    </row>
    <row r="14" ht="58" customHeight="1">
      <c r="B14" s="14" t="n">
        <v>9</v>
      </c>
      <c r="C14" s="4" t="inlineStr">
        <is>
          <t>RICH DOC TRAIL</t>
        </is>
      </c>
      <c r="D14" s="5" t="inlineStr">
        <is>
          <t>Unlike 2026, this project has full source documentation: contract, 6 COs, 30+ RFIs, 30 submittals, 6 permits, 82 POs, bid proposal, fixture schedule, narrative spec.</t>
        </is>
      </c>
      <c r="E14" s="27" t="inlineStr">
        <is>
          <t>Verified</t>
        </is>
      </c>
      <c r="F14" s="8" t="inlineStr">
        <is>
          <t>Folder scan owp-2025/</t>
        </is>
      </c>
    </row>
    <row r="15" ht="58" customHeight="1">
      <c r="B15" s="14" t="n">
        <v>10</v>
      </c>
      <c r="C15" s="4" t="inlineStr">
        <is>
          <t>BID-LEVEL FIXTURE DETAIL</t>
        </is>
      </c>
      <c r="D15" s="5" t="inlineStr">
        <is>
          <t>Bid proposal 9/1/15 itemizes: 92 WC (83 std + 9 ADA), 92 lavs, 67 tub/showers + 25 shower stalls, 75 kitchen sinks, 75 DW/washer r.i., 8 hose bibs, 2 WH, 1 booster pump. Unit count ~92.</t>
        </is>
      </c>
      <c r="E15" s="27" t="inlineStr">
        <is>
          <t>Verified</t>
        </is>
      </c>
      <c r="F15" s="8" t="inlineStr">
        <is>
          <t>Exxel 19 West Harrison Apartment proposal September 1 2015.pdf</t>
        </is>
      </c>
    </row>
    <row r="16" ht="58" customHeight="1">
      <c r="B16" s="14" t="n">
        <v>11</v>
      </c>
      <c r="C16" s="4" t="inlineStr">
        <is>
          <t>LONG DURATION</t>
        </is>
      </c>
      <c r="D16" s="5" t="inlineStr">
        <is>
          <t>Work span 03/11/2016 – 08/18/2017 = ~17 months. Steady monthly billing cadence through GC.</t>
        </is>
      </c>
      <c r="E16" s="27" t="inlineStr">
        <is>
          <t>Verified</t>
        </is>
      </c>
      <c r="F16" s="8" t="inlineStr">
        <is>
          <t>2025 Job Detail Report.pdf (Sage Timberline, 04/03/2026, 126 pages)</t>
        </is>
      </c>
    </row>
    <row r="17" ht="58" customHeight="1">
      <c r="B17" s="14" t="n">
        <v>12</v>
      </c>
      <c r="C17" s="4" t="inlineStr">
        <is>
          <t>MATERIAL UNDER BUDGET</t>
        </is>
      </c>
      <c r="D17" s="5" t="inlineStr">
        <is>
          <t>Material codes 220/230/240/241/242 collectively under budget — favorable procurement helps drive the healthy margin.</t>
        </is>
      </c>
      <c r="E17" s="27" t="inlineStr">
        <is>
          <t>Verified</t>
        </is>
      </c>
      <c r="F17" s="8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2025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2025 Job Detail Report.pdf (Sage Timberline, 04/03/2026, 126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Exxel Pacific Cora Apts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2025 Job Detail Report.pdf (Sage Timberline, 04/03/2026, 126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The Cora Apartments @ 19 W Harrison St, Seattle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L1 220000 One Way Plumbing Fully Executed Subcontract ocr_d.pdf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Exxel Pacific, Inc.</t>
        </is>
      </c>
      <c r="E9" s="14" t="inlineStr">
        <is>
          <t>Profile</t>
        </is>
      </c>
      <c r="F9" s="5" t="inlineStr">
        <is>
          <t>Customer 2025EP</t>
        </is>
      </c>
      <c r="G9" s="27" t="inlineStr">
        <is>
          <t>Verified</t>
        </is>
      </c>
      <c r="H9" s="5" t="inlineStr">
        <is>
          <t>L1 220000 One Way Plumbing Fully Executed Subcontract ocr_d.pdf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19 W HARRISON LLC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L1 220000 One Way Plumbing Fully Executed Subcontract ocr_d.pdf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19 W Harrison St, Seattle, WA 98109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L1 220000 One Way Plumbing Fully Executed Subcontract ocr_d.pdf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Multifamily New Construction — Plumbing (~92 units)</t>
        </is>
      </c>
      <c r="E12" s="14" t="inlineStr">
        <is>
          <t>Profile</t>
        </is>
      </c>
      <c r="F12" s="5" t="inlineStr">
        <is>
          <t>Bid proposal</t>
        </is>
      </c>
      <c r="G12" s="27" t="inlineStr">
        <is>
          <t>Verified</t>
        </is>
      </c>
      <c r="H12" s="5" t="inlineStr">
        <is>
          <t>Exxel 19 West Harrison Apartment proposal September 1 2015.pdf</t>
        </is>
      </c>
    </row>
    <row r="13">
      <c r="B13" s="5" t="inlineStr">
        <is>
          <t>Work Start Date</t>
        </is>
      </c>
      <c r="C13" s="5" t="inlineStr">
        <is>
          <t>start_date</t>
        </is>
      </c>
      <c r="D13" s="14" t="inlineStr">
        <is>
          <t>2016-03-11</t>
        </is>
      </c>
      <c r="E13" s="14" t="inlineStr">
        <is>
          <t>Profile</t>
        </is>
      </c>
      <c r="F13" s="5" t="inlineStr">
        <is>
          <t>First payroll date</t>
        </is>
      </c>
      <c r="G13" s="27" t="inlineStr">
        <is>
          <t>Verified</t>
        </is>
      </c>
      <c r="H13" s="5" t="inlineStr">
        <is>
          <t>2025 Job Detail Report.pdf (Sage Timberline, 04/03/2026, 126 pages)</t>
        </is>
      </c>
    </row>
    <row r="14">
      <c r="B14" s="5" t="inlineStr">
        <is>
          <t>Work End Date</t>
        </is>
      </c>
      <c r="C14" s="5" t="inlineStr">
        <is>
          <t>end_date</t>
        </is>
      </c>
      <c r="D14" s="14" t="inlineStr">
        <is>
          <t>2017-08-18</t>
        </is>
      </c>
      <c r="E14" s="14" t="inlineStr">
        <is>
          <t>Profile</t>
        </is>
      </c>
      <c r="F14" s="5" t="inlineStr">
        <is>
          <t>Last AR posting</t>
        </is>
      </c>
      <c r="G14" s="27" t="inlineStr">
        <is>
          <t>Verified</t>
        </is>
      </c>
      <c r="H14" s="5" t="inlineStr">
        <is>
          <t>2025 Job Detail Report.pdf (Sage Timberline, 04/03/2026, 126 pages)</t>
        </is>
      </c>
    </row>
    <row r="15">
      <c r="B15" s="5" t="inlineStr">
        <is>
          <t>Duration (months)</t>
        </is>
      </c>
      <c r="C15" s="5" t="inlineStr">
        <is>
          <t>duration_months</t>
        </is>
      </c>
      <c r="D15" s="31" t="n">
        <v>17.3</v>
      </c>
      <c r="E15" s="14" t="inlineStr">
        <is>
          <t>Profile</t>
        </is>
      </c>
      <c r="F15" s="5" t="inlineStr">
        <is>
          <t>Payroll + AR span</t>
        </is>
      </c>
      <c r="G15" s="27" t="inlineStr">
        <is>
          <t>Verified</t>
        </is>
      </c>
      <c r="H15" s="5" t="inlineStr">
        <is>
          <t>Derived</t>
        </is>
      </c>
    </row>
    <row r="16">
      <c r="B16" s="5" t="inlineStr">
        <is>
          <t>Unit Count</t>
        </is>
      </c>
      <c r="C16" s="5" t="inlineStr">
        <is>
          <t>unit_count</t>
        </is>
      </c>
      <c r="D16" s="14" t="n">
        <v>92</v>
      </c>
      <c r="E16" s="14" t="inlineStr">
        <is>
          <t>Profile</t>
        </is>
      </c>
      <c r="F16" s="5" t="inlineStr">
        <is>
          <t>83 std WC + 9 ADA Type A WC = 92</t>
        </is>
      </c>
      <c r="G16" s="27" t="inlineStr">
        <is>
          <t>Verified</t>
        </is>
      </c>
      <c r="H16" s="5" t="inlineStr">
        <is>
          <t>Exxel 19 West Harrison Apartment proposal September 1 2015.pdf</t>
        </is>
      </c>
    </row>
    <row r="17">
      <c r="B17" s="5" t="inlineStr">
        <is>
          <t>ADA Type A Units</t>
        </is>
      </c>
      <c r="C17" s="5" t="inlineStr">
        <is>
          <t>ada_units</t>
        </is>
      </c>
      <c r="D17" s="14" t="n">
        <v>9</v>
      </c>
      <c r="E17" s="14" t="inlineStr">
        <is>
          <t>Profile</t>
        </is>
      </c>
      <c r="F17" s="5" t="inlineStr">
        <is>
          <t>Per bid proposal</t>
        </is>
      </c>
      <c r="G17" s="27" t="inlineStr">
        <is>
          <t>Verified</t>
        </is>
      </c>
      <c r="H17" s="5" t="inlineStr">
        <is>
          <t>Exxel 19 West Harrison Apartment proposal September 1 2015.pdf</t>
        </is>
      </c>
    </row>
    <row r="18">
      <c r="B18" s="5" t="inlineStr">
        <is>
          <t>Contract Original</t>
        </is>
      </c>
      <c r="C18" s="5" t="inlineStr">
        <is>
          <t>contract_original</t>
        </is>
      </c>
      <c r="D18" s="32" t="n">
        <v>1179300</v>
      </c>
      <c r="E18" s="14" t="inlineStr">
        <is>
          <t>Financial</t>
        </is>
      </c>
      <c r="F18" s="5" t="inlineStr">
        <is>
          <t>Subcontract Lump Sum</t>
        </is>
      </c>
      <c r="G18" s="27" t="inlineStr">
        <is>
          <t>Verified</t>
        </is>
      </c>
      <c r="H18" s="5" t="inlineStr">
        <is>
          <t>L1 220000 One Way Plumbing Fully Executed Subcontract ocr_d.pdf</t>
        </is>
      </c>
    </row>
    <row r="19">
      <c r="B19" s="5" t="inlineStr">
        <is>
          <t>Contract Final</t>
        </is>
      </c>
      <c r="C19" s="5" t="inlineStr">
        <is>
          <t>contract_final</t>
        </is>
      </c>
      <c r="D19" s="32" t="n">
        <v>1208338</v>
      </c>
      <c r="E19" s="14" t="inlineStr">
        <is>
          <t>Financial</t>
        </is>
      </c>
      <c r="F19" s="5" t="inlineStr">
        <is>
          <t>Code 999 Rev Budget = AR total</t>
        </is>
      </c>
      <c r="G19" s="27" t="inlineStr">
        <is>
          <t>Verified</t>
        </is>
      </c>
      <c r="H19" s="5" t="inlineStr">
        <is>
          <t>2025 Job Detail Report.pdf (Sage Timberline, 04/03/2026, 126 pages)</t>
        </is>
      </c>
    </row>
    <row r="20">
      <c r="B20" s="5" t="inlineStr">
        <is>
          <t>Change Orders ($, implied)</t>
        </is>
      </c>
      <c r="C20" s="5" t="inlineStr">
        <is>
          <t>change_orders_implied</t>
        </is>
      </c>
      <c r="D20" s="32" t="n">
        <v>29038</v>
      </c>
      <c r="E20" s="14" t="inlineStr">
        <is>
          <t>Financial</t>
        </is>
      </c>
      <c r="F20" s="5" t="inlineStr">
        <is>
          <t>Final - Original</t>
        </is>
      </c>
      <c r="G20" s="27" t="inlineStr">
        <is>
          <t>Verified</t>
        </is>
      </c>
      <c r="H20" s="5" t="inlineStr">
        <is>
          <t>2025 Job Detail Report.pdf (Sage Timberline, 04/03/2026, 126 pages)</t>
        </is>
      </c>
    </row>
    <row r="21">
      <c r="B21" s="5" t="inlineStr">
        <is>
          <t>Change Orders ($, documented)</t>
        </is>
      </c>
      <c r="C21" s="5" t="inlineStr">
        <is>
          <t>change_orders_documented</t>
        </is>
      </c>
      <c r="D21" s="14" t="n">
        <v>23333</v>
      </c>
      <c r="E21" s="14" t="inlineStr">
        <is>
          <t>Financial</t>
        </is>
      </c>
      <c r="F21" s="5" t="inlineStr">
        <is>
          <t>Sum of CO#01-06</t>
        </is>
      </c>
      <c r="G21" s="30" t="inlineStr">
        <is>
          <t>Medium</t>
        </is>
      </c>
      <c r="H21" s="5" t="inlineStr">
        <is>
          <t>CO folder</t>
        </is>
      </c>
    </row>
    <row r="22">
      <c r="B22" s="5" t="inlineStr">
        <is>
          <t>CO Count Documented</t>
        </is>
      </c>
      <c r="C22" s="5" t="inlineStr">
        <is>
          <t>co_count</t>
        </is>
      </c>
      <c r="D22" s="14" t="n">
        <v>6</v>
      </c>
      <c r="E22" s="14" t="inlineStr">
        <is>
          <t>Financial</t>
        </is>
      </c>
      <c r="F22" s="5" t="inlineStr">
        <is>
          <t>CO#01-06</t>
        </is>
      </c>
      <c r="G22" s="27" t="inlineStr">
        <is>
          <t>Verified</t>
        </is>
      </c>
      <c r="H22" s="5" t="inlineStr">
        <is>
          <t>CO folder</t>
        </is>
      </c>
    </row>
    <row r="23">
      <c r="B23" s="5" t="inlineStr">
        <is>
          <t>Change Order % of Contract</t>
        </is>
      </c>
      <c r="C23" s="5" t="inlineStr">
        <is>
          <t>co_pct</t>
        </is>
      </c>
      <c r="D23" s="33" t="n">
        <v>0.02462308148901891</v>
      </c>
      <c r="E23" s="14" t="inlineStr">
        <is>
          <t>Financial</t>
        </is>
      </c>
      <c r="F23" s="5" t="inlineStr"/>
      <c r="G23" s="27" t="inlineStr">
        <is>
          <t>Verified</t>
        </is>
      </c>
      <c r="H23" s="5" t="inlineStr">
        <is>
          <t>Derived</t>
        </is>
      </c>
    </row>
    <row r="24">
      <c r="B24" s="5" t="inlineStr">
        <is>
          <t>Revenue</t>
        </is>
      </c>
      <c r="C24" s="5" t="inlineStr">
        <is>
          <t>revenue</t>
        </is>
      </c>
      <c r="D24" s="32" t="n">
        <v>1208338</v>
      </c>
      <c r="E24" s="14" t="inlineStr">
        <is>
          <t>Financial</t>
        </is>
      </c>
      <c r="F24" s="5" t="inlineStr">
        <is>
          <t>AR total</t>
        </is>
      </c>
      <c r="G24" s="27" t="inlineStr">
        <is>
          <t>Verified</t>
        </is>
      </c>
      <c r="H24" s="5" t="inlineStr">
        <is>
          <t>2025 Job Detail Report.pdf (Sage Timberline, 04/03/2026, 126 pages)</t>
        </is>
      </c>
    </row>
    <row r="25">
      <c r="B25" s="5" t="inlineStr">
        <is>
          <t>Direct Cost</t>
        </is>
      </c>
      <c r="C25" s="5" t="inlineStr">
        <is>
          <t>direct_cost</t>
        </is>
      </c>
      <c r="D25" s="32" t="n">
        <v>746934.3100000001</v>
      </c>
      <c r="E25" s="14" t="inlineStr">
        <is>
          <t>Financial</t>
        </is>
      </c>
      <c r="F25" s="5" t="inlineStr">
        <is>
          <t>JDR Job Totals Expenses</t>
        </is>
      </c>
      <c r="G25" s="27" t="inlineStr">
        <is>
          <t>Verified</t>
        </is>
      </c>
      <c r="H25" s="5" t="inlineStr">
        <is>
          <t>2025 Job Detail Report.pdf (Sage Timberline, 04/03/2026, 126 pages)</t>
        </is>
      </c>
    </row>
    <row r="26">
      <c r="B26" s="5" t="inlineStr">
        <is>
          <t>Net Profit</t>
        </is>
      </c>
      <c r="C26" s="5" t="inlineStr">
        <is>
          <t>net_profit</t>
        </is>
      </c>
      <c r="D26" s="32" t="n">
        <v>461403.69</v>
      </c>
      <c r="E26" s="14" t="inlineStr">
        <is>
          <t>Financial</t>
        </is>
      </c>
      <c r="F26" s="5" t="inlineStr">
        <is>
          <t>Rev - Expenses</t>
        </is>
      </c>
      <c r="G26" s="27" t="inlineStr">
        <is>
          <t>Verified</t>
        </is>
      </c>
      <c r="H26" s="5" t="inlineStr">
        <is>
          <t>2025 Job Detail Report.pdf (Sage Timberline, 04/03/2026, 126 pages)</t>
        </is>
      </c>
    </row>
    <row r="27">
      <c r="B27" s="5" t="inlineStr">
        <is>
          <t>Gross Margin</t>
        </is>
      </c>
      <c r="C27" s="5" t="inlineStr">
        <is>
          <t>gross_margin</t>
        </is>
      </c>
      <c r="D27" s="33" t="n">
        <v>0.3818498549246983</v>
      </c>
      <c r="E27" s="14" t="inlineStr">
        <is>
          <t>Financial</t>
        </is>
      </c>
      <c r="F27" s="5" t="inlineStr"/>
      <c r="G27" s="27" t="inlineStr">
        <is>
          <t>Verified</t>
        </is>
      </c>
      <c r="H27" s="5" t="inlineStr">
        <is>
          <t>Derived</t>
        </is>
      </c>
    </row>
    <row r="28">
      <c r="B28" s="5" t="inlineStr">
        <is>
          <t>Retainage Outstanding</t>
        </is>
      </c>
      <c r="C28" s="5" t="inlineStr">
        <is>
          <t>retainage</t>
        </is>
      </c>
      <c r="D28" s="32" t="n">
        <v>60416.9</v>
      </c>
      <c r="E28" s="14" t="inlineStr">
        <is>
          <t>Financial</t>
        </is>
      </c>
      <c r="F28" s="5" t="inlineStr">
        <is>
          <t>Open per JDR</t>
        </is>
      </c>
      <c r="G28" s="27" t="inlineStr">
        <is>
          <t>Verified</t>
        </is>
      </c>
      <c r="H28" s="5" t="inlineStr">
        <is>
          <t>2025 Job Detail Report.pdf (Sage Timberline, 04/03/2026, 126 pages)</t>
        </is>
      </c>
    </row>
    <row r="29">
      <c r="B29" s="5" t="inlineStr">
        <is>
          <t>Retainage % of Revenue</t>
        </is>
      </c>
      <c r="C29" s="5" t="inlineStr">
        <is>
          <t>retainage_pct</t>
        </is>
      </c>
      <c r="D29" s="33" t="n">
        <v>0.05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Labor Cost</t>
        </is>
      </c>
      <c r="C30" s="5" t="inlineStr">
        <is>
          <t>labor_cost</t>
        </is>
      </c>
      <c r="D30" s="32" t="n">
        <v>287218.5</v>
      </c>
      <c r="E30" s="14" t="inlineStr">
        <is>
          <t>Labor</t>
        </is>
      </c>
      <c r="F30" s="5" t="inlineStr">
        <is>
          <t>Codes 100-142</t>
        </is>
      </c>
      <c r="G30" s="27" t="inlineStr">
        <is>
          <t>Verified</t>
        </is>
      </c>
      <c r="H30" s="5" t="inlineStr">
        <is>
          <t>2025 Job Detail Report.pdf (Sage Timberline, 04/03/2026, 126 pages)</t>
        </is>
      </c>
    </row>
    <row r="31">
      <c r="B31" s="5" t="inlineStr">
        <is>
          <t>Material Cost</t>
        </is>
      </c>
      <c r="C31" s="5" t="inlineStr">
        <is>
          <t>material_cost</t>
        </is>
      </c>
      <c r="D31" s="32" t="n">
        <v>263607.67</v>
      </c>
      <c r="E31" s="14" t="inlineStr">
        <is>
          <t>Material</t>
        </is>
      </c>
      <c r="F31" s="5" t="inlineStr">
        <is>
          <t>Codes 210-242</t>
        </is>
      </c>
      <c r="G31" s="27" t="inlineStr">
        <is>
          <t>Verified</t>
        </is>
      </c>
      <c r="H31" s="5" t="inlineStr">
        <is>
          <t>2025 Job Detail Report.pdf (Sage Timberline, 04/03/2026, 126 pages)</t>
        </is>
      </c>
    </row>
    <row r="32">
      <c r="B32" s="5" t="inlineStr">
        <is>
          <t>Subcontractor+OH Cost</t>
        </is>
      </c>
      <c r="C32" s="5" t="inlineStr">
        <is>
          <t>overhead_cost</t>
        </is>
      </c>
      <c r="D32" s="32" t="n">
        <v>46749.16</v>
      </c>
      <c r="E32" s="14" t="inlineStr">
        <is>
          <t>Financial</t>
        </is>
      </c>
      <c r="F32" s="5" t="inlineStr">
        <is>
          <t>Codes 600-607</t>
        </is>
      </c>
      <c r="G32" s="27" t="inlineStr">
        <is>
          <t>Verified</t>
        </is>
      </c>
      <c r="H32" s="5" t="inlineStr">
        <is>
          <t>2025 Job Detail Report.pdf (Sage Timberline, 04/03/2026, 126 pages)</t>
        </is>
      </c>
    </row>
    <row r="33">
      <c r="B33" s="5" t="inlineStr">
        <is>
          <t>Burden Cost</t>
        </is>
      </c>
      <c r="C33" s="5" t="inlineStr">
        <is>
          <t>burden_cost</t>
        </is>
      </c>
      <c r="D33" s="32" t="n">
        <v>127300.38</v>
      </c>
      <c r="E33" s="14" t="inlineStr">
        <is>
          <t>Labor</t>
        </is>
      </c>
      <c r="F33" s="5" t="inlineStr">
        <is>
          <t>Code 995</t>
        </is>
      </c>
      <c r="G33" s="27" t="inlineStr">
        <is>
          <t>Verified</t>
        </is>
      </c>
      <c r="H33" s="5" t="inlineStr">
        <is>
          <t>2025 Job Detail Report.pdf (Sage Timberline, 04/03/2026, 126 pages)</t>
        </is>
      </c>
    </row>
    <row r="34">
      <c r="B34" s="5" t="inlineStr">
        <is>
          <t>Tax Cost</t>
        </is>
      </c>
      <c r="C34" s="5" t="inlineStr">
        <is>
          <t>tax_cost</t>
        </is>
      </c>
      <c r="D34" s="32" t="n">
        <v>21978.6</v>
      </c>
      <c r="E34" s="14" t="inlineStr">
        <is>
          <t>Labor</t>
        </is>
      </c>
      <c r="F34" s="5" t="inlineStr">
        <is>
          <t>Code 998</t>
        </is>
      </c>
      <c r="G34" s="27" t="inlineStr">
        <is>
          <t>Verified</t>
        </is>
      </c>
      <c r="H34" s="5" t="inlineStr">
        <is>
          <t>2025 Job Detail Report.pdf (Sage Timberline, 04/03/2026, 126 pages)</t>
        </is>
      </c>
    </row>
    <row r="35">
      <c r="B35" s="5" t="inlineStr">
        <is>
          <t>Total Labor Hours</t>
        </is>
      </c>
      <c r="C35" s="5" t="inlineStr">
        <is>
          <t>total_hours</t>
        </is>
      </c>
      <c r="D35" s="31" t="n">
        <v>11486.5</v>
      </c>
      <c r="E35" s="14" t="inlineStr">
        <is>
          <t>Labor</t>
        </is>
      </c>
      <c r="F35" s="5" t="inlineStr">
        <is>
          <t>Sum labor codes</t>
        </is>
      </c>
      <c r="G35" s="27" t="inlineStr">
        <is>
          <t>Verified</t>
        </is>
      </c>
      <c r="H35" s="5" t="inlineStr">
        <is>
          <t>2025 Job Detail Report.pdf (Sage Timberline, 04/03/2026, 126 pages)</t>
        </is>
      </c>
    </row>
    <row r="36">
      <c r="B36" s="5" t="inlineStr">
        <is>
          <t>Total Workers</t>
        </is>
      </c>
      <c r="C36" s="5" t="inlineStr">
        <is>
          <t>total_workers</t>
        </is>
      </c>
      <c r="D36" s="14" t="n">
        <v>36</v>
      </c>
      <c r="E36" s="14" t="inlineStr">
        <is>
          <t>Labor</t>
        </is>
      </c>
      <c r="F36" s="5" t="inlineStr">
        <is>
          <t>Unique payroll IDs</t>
        </is>
      </c>
      <c r="G36" s="27" t="inlineStr">
        <is>
          <t>Verified</t>
        </is>
      </c>
      <c r="H36" s="5" t="inlineStr">
        <is>
          <t>2025 Job Detail Report.pdf (Sage Timberline, 04/03/2026, 126 pages)</t>
        </is>
      </c>
    </row>
    <row r="37">
      <c r="B37" s="5" t="inlineStr">
        <is>
          <t>Blended Gross Wage ($/hr)</t>
        </is>
      </c>
      <c r="C37" s="5" t="inlineStr">
        <is>
          <t>blended_gross_wage</t>
        </is>
      </c>
      <c r="D37" s="32" t="n">
        <v>25.00487528838201</v>
      </c>
      <c r="E37" s="14" t="inlineStr">
        <is>
          <t>Labor</t>
        </is>
      </c>
      <c r="F37" s="5" t="inlineStr">
        <is>
          <t>Pre-burden</t>
        </is>
      </c>
      <c r="G37" s="27" t="inlineStr">
        <is>
          <t>Verified</t>
        </is>
      </c>
      <c r="H37" s="5" t="inlineStr">
        <is>
          <t>Derived</t>
        </is>
      </c>
    </row>
    <row r="38">
      <c r="B38" s="5" t="inlineStr">
        <is>
          <t>Fully-Loaded Wage ($/hr)</t>
        </is>
      </c>
      <c r="C38" s="5" t="inlineStr">
        <is>
          <t>fully_loaded_wage</t>
        </is>
      </c>
      <c r="D38" s="32" t="n">
        <v>38.00091237539721</v>
      </c>
      <c r="E38" s="14" t="inlineStr">
        <is>
          <t>Labor</t>
        </is>
      </c>
      <c r="F38" s="5" t="inlineStr">
        <is>
          <t>Incl burden + tax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Burden Multiplier</t>
        </is>
      </c>
      <c r="C39" s="5" t="inlineStr">
        <is>
          <t>burden_multiplier</t>
        </is>
      </c>
      <c r="D39" s="34" t="n">
        <v>1.519740128160268</v>
      </c>
      <c r="E39" s="14" t="inlineStr">
        <is>
          <t>Labor</t>
        </is>
      </c>
      <c r="F39" s="5" t="inlineStr">
        <is>
          <t>Fully-loaded/blended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Rough-in Hours</t>
        </is>
      </c>
      <c r="C40" s="5" t="inlineStr">
        <is>
          <t>roughin_hours</t>
        </is>
      </c>
      <c r="D40" s="31" t="n">
        <v>6350</v>
      </c>
      <c r="E40" s="14" t="inlineStr">
        <is>
          <t>Labor</t>
        </is>
      </c>
      <c r="F40" s="5" t="inlineStr">
        <is>
          <t>Code 120</t>
        </is>
      </c>
      <c r="G40" s="27" t="inlineStr">
        <is>
          <t>Verified</t>
        </is>
      </c>
      <c r="H40" s="5" t="inlineStr">
        <is>
          <t>2025 Job Detail Report.pdf (Sage Timberline, 04/03/2026, 126 pages)</t>
        </is>
      </c>
    </row>
    <row r="41">
      <c r="B41" s="5" t="inlineStr">
        <is>
          <t>Finish Hours</t>
        </is>
      </c>
      <c r="C41" s="5" t="inlineStr">
        <is>
          <t>finish_hours</t>
        </is>
      </c>
      <c r="D41" s="31" t="n">
        <v>1069</v>
      </c>
      <c r="E41" s="14" t="inlineStr">
        <is>
          <t>Labor</t>
        </is>
      </c>
      <c r="F41" s="5" t="inlineStr">
        <is>
          <t>Code 130</t>
        </is>
      </c>
      <c r="G41" s="27" t="inlineStr">
        <is>
          <t>Verified</t>
        </is>
      </c>
      <c r="H41" s="5" t="inlineStr">
        <is>
          <t>2025 Job Detail Report.pdf (Sage Timberline, 04/03/2026, 126 pages)</t>
        </is>
      </c>
    </row>
    <row r="42">
      <c r="B42" s="5" t="inlineStr">
        <is>
          <t>Revenue per Hour</t>
        </is>
      </c>
      <c r="C42" s="5" t="inlineStr">
        <is>
          <t>revenue_per_hour</t>
        </is>
      </c>
      <c r="D42" s="31" t="n">
        <v>105.1963609454577</v>
      </c>
      <c r="E42" s="14" t="inlineStr">
        <is>
          <t>Productivity</t>
        </is>
      </c>
      <c r="F42" s="5" t="inlineStr"/>
      <c r="G42" s="27" t="inlineStr">
        <is>
          <t>Verified</t>
        </is>
      </c>
      <c r="H42" s="5" t="inlineStr">
        <is>
          <t>Derived</t>
        </is>
      </c>
    </row>
    <row r="43">
      <c r="B43" s="5" t="inlineStr">
        <is>
          <t>Profit per Hour</t>
        </is>
      </c>
      <c r="C43" s="5" t="inlineStr">
        <is>
          <t>profit_per_hour</t>
        </is>
      </c>
      <c r="D43" s="31" t="n">
        <v>40.16921516562922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Revenue per Unit</t>
        </is>
      </c>
      <c r="C44" s="5" t="inlineStr">
        <is>
          <t>revenue_per_unit</t>
        </is>
      </c>
      <c r="D44" s="32" t="n">
        <v>13134.10869565217</v>
      </c>
      <c r="E44" s="14" t="inlineStr">
        <is>
          <t>Productivity</t>
        </is>
      </c>
      <c r="F44" s="5" t="inlineStr">
        <is>
          <t>92 units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Direct Cost per Unit</t>
        </is>
      </c>
      <c r="C45" s="5" t="inlineStr">
        <is>
          <t>cost_per_unit</t>
        </is>
      </c>
      <c r="D45" s="32" t="n">
        <v>8118.851195652174</v>
      </c>
      <c r="E45" s="14" t="inlineStr">
        <is>
          <t>Productivity</t>
        </is>
      </c>
      <c r="F45" s="5" t="inlineStr">
        <is>
          <t>92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Labor Hours per Unit</t>
        </is>
      </c>
      <c r="C46" s="5" t="inlineStr">
        <is>
          <t>hours_per_unit</t>
        </is>
      </c>
      <c r="D46" s="31" t="n">
        <v>124.8532608695652</v>
      </c>
      <c r="E46" s="14" t="inlineStr">
        <is>
          <t>Productivity</t>
        </is>
      </c>
      <c r="F46" s="5" t="inlineStr">
        <is>
          <t>92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% of Revenue</t>
        </is>
      </c>
      <c r="C47" s="5" t="inlineStr">
        <is>
          <t>labor_pct_revenue</t>
        </is>
      </c>
      <c r="D47" s="33" t="n">
        <v>0.2376971509627273</v>
      </c>
      <c r="E47" s="14" t="inlineStr">
        <is>
          <t>Cost Mix</t>
        </is>
      </c>
      <c r="F47" s="5" t="inlineStr"/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Material % of Revenue</t>
        </is>
      </c>
      <c r="C48" s="5" t="inlineStr">
        <is>
          <t>material_pct_revenue</t>
        </is>
      </c>
      <c r="D48" s="33" t="n">
        <v>0.2181572291858735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Total Vendors (AP)</t>
        </is>
      </c>
      <c r="C49" s="5" t="inlineStr">
        <is>
          <t>total_vendors</t>
        </is>
      </c>
      <c r="D49" s="14" t="n">
        <v>25</v>
      </c>
      <c r="E49" s="14" t="inlineStr">
        <is>
          <t>Material</t>
        </is>
      </c>
      <c r="F49" s="5" t="inlineStr">
        <is>
          <t>Unique vendor IDs</t>
        </is>
      </c>
      <c r="G49" s="27" t="inlineStr">
        <is>
          <t>Verified</t>
        </is>
      </c>
      <c r="H49" s="5" t="inlineStr">
        <is>
          <t>2025 Job Detail Report.pdf (Sage Timberline, 04/03/2026, 126 pages)</t>
        </is>
      </c>
    </row>
    <row r="50">
      <c r="B50" s="5" t="inlineStr">
        <is>
          <t>Total Invoices (AR)</t>
        </is>
      </c>
      <c r="C50" s="5" t="inlineStr">
        <is>
          <t>total_invoices</t>
        </is>
      </c>
      <c r="D50" s="14" t="n">
        <v>19</v>
      </c>
      <c r="E50" s="14" t="inlineStr">
        <is>
          <t>Billing</t>
        </is>
      </c>
      <c r="F50" s="5" t="inlineStr">
        <is>
          <t>Unique invoice numbers</t>
        </is>
      </c>
      <c r="G50" s="27" t="inlineStr">
        <is>
          <t>Verified</t>
        </is>
      </c>
      <c r="H50" s="5" t="inlineStr">
        <is>
          <t>2025 Job Detail Report.pdf (Sage Timberline, 04/03/2026, 126 pages)</t>
        </is>
      </c>
    </row>
    <row r="51">
      <c r="B51" s="5" t="inlineStr">
        <is>
          <t>RFI Count (documented)</t>
        </is>
      </c>
      <c r="C51" s="5" t="inlineStr">
        <is>
          <t>rfi_count</t>
        </is>
      </c>
      <c r="D51" s="14" t="n">
        <v>30</v>
      </c>
      <c r="E51" s="14" t="inlineStr">
        <is>
          <t>Docs</t>
        </is>
      </c>
      <c r="F51" s="5" t="inlineStr">
        <is>
          <t>18 + 1 ASI primary + 12 dropbox</t>
        </is>
      </c>
      <c r="G51" s="27" t="inlineStr">
        <is>
          <t>Verified</t>
        </is>
      </c>
      <c r="H51" s="5" t="inlineStr">
        <is>
          <t>ASI-RFI + Dropbox folders</t>
        </is>
      </c>
    </row>
    <row r="52">
      <c r="B52" s="5" t="inlineStr">
        <is>
          <t>Submittal Count</t>
        </is>
      </c>
      <c r="C52" s="5" t="inlineStr">
        <is>
          <t>submittal_count</t>
        </is>
      </c>
      <c r="D52" s="14" t="n">
        <v>30</v>
      </c>
      <c r="E52" s="14" t="inlineStr">
        <is>
          <t>Docs</t>
        </is>
      </c>
      <c r="F52" s="5" t="inlineStr">
        <is>
          <t>19 fixture + 10 material + 1 UG</t>
        </is>
      </c>
      <c r="G52" s="27" t="inlineStr">
        <is>
          <t>Verified</t>
        </is>
      </c>
      <c r="H52" s="5" t="inlineStr">
        <is>
          <t>Submittals folder</t>
        </is>
      </c>
    </row>
    <row r="53">
      <c r="B53" s="5" t="inlineStr">
        <is>
          <t>Permit Count</t>
        </is>
      </c>
      <c r="C53" s="5" t="inlineStr">
        <is>
          <t>permit_count</t>
        </is>
      </c>
      <c r="D53" s="14" t="n">
        <v>6</v>
      </c>
      <c r="E53" s="14" t="inlineStr">
        <is>
          <t>Docs</t>
        </is>
      </c>
      <c r="F53" s="5" t="inlineStr">
        <is>
          <t>backflow, boiler x2, gas, plumbing, temp gas</t>
        </is>
      </c>
      <c r="G53" s="27" t="inlineStr">
        <is>
          <t>Verified</t>
        </is>
      </c>
      <c r="H53" s="5" t="inlineStr">
        <is>
          <t>Permits folder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14" t="n">
        <v>82</v>
      </c>
      <c r="E54" s="14" t="inlineStr">
        <is>
          <t>Docs</t>
        </is>
      </c>
      <c r="F54" s="5" t="inlineStr">
        <is>
          <t>7 placed + 19 scheduled + 56 completed</t>
        </is>
      </c>
      <c r="G54" s="27" t="inlineStr">
        <is>
          <t>Verified</t>
        </is>
      </c>
      <c r="H54" s="5" t="inlineStr">
        <is>
          <t>POs folder</t>
        </is>
      </c>
    </row>
    <row r="55">
      <c r="B55" s="5" t="inlineStr">
        <is>
          <t>Fixture Count (WCs)</t>
        </is>
      </c>
      <c r="C55" s="5" t="inlineStr">
        <is>
          <t>wc_count</t>
        </is>
      </c>
      <c r="D55" s="14" t="n">
        <v>94</v>
      </c>
      <c r="E55" s="14" t="inlineStr">
        <is>
          <t>Scope</t>
        </is>
      </c>
      <c r="F55" s="5" t="inlineStr">
        <is>
          <t>92 unit + 2 amenity</t>
        </is>
      </c>
      <c r="G55" s="27" t="inlineStr">
        <is>
          <t>Verified</t>
        </is>
      </c>
      <c r="H55" s="5" t="inlineStr">
        <is>
          <t>Exxel 19 West Harrison Apartment proposal September 1 2015.pdf</t>
        </is>
      </c>
    </row>
    <row r="56">
      <c r="B56" s="5" t="inlineStr">
        <is>
          <t>Fixture Count (Lavs)</t>
        </is>
      </c>
      <c r="C56" s="5" t="inlineStr">
        <is>
          <t>lav_count</t>
        </is>
      </c>
      <c r="D56" s="14" t="n">
        <v>94</v>
      </c>
      <c r="E56" s="14" t="inlineStr">
        <is>
          <t>Scope</t>
        </is>
      </c>
      <c r="F56" s="5" t="inlineStr">
        <is>
          <t>92 unit + 2 amenity</t>
        </is>
      </c>
      <c r="G56" s="27" t="inlineStr">
        <is>
          <t>Verified</t>
        </is>
      </c>
      <c r="H56" s="5" t="inlineStr">
        <is>
          <t>Exxel 19 West Harrison Apartment proposal September 1 2015.pdf</t>
        </is>
      </c>
    </row>
    <row r="57">
      <c r="B57" s="5" t="inlineStr">
        <is>
          <t>Bathing Fixtures</t>
        </is>
      </c>
      <c r="C57" s="5" t="inlineStr">
        <is>
          <t>bath_count</t>
        </is>
      </c>
      <c r="D57" s="14" t="n">
        <v>92</v>
      </c>
      <c r="E57" s="14" t="inlineStr">
        <is>
          <t>Scope</t>
        </is>
      </c>
      <c r="F57" s="5" t="inlineStr">
        <is>
          <t>67 tub/shower + 25 shower</t>
        </is>
      </c>
      <c r="G57" s="27" t="inlineStr">
        <is>
          <t>Verified</t>
        </is>
      </c>
      <c r="H57" s="5" t="inlineStr">
        <is>
          <t>Exxel 19 West Harrison Apartment proposal September 1 2015.pdf</t>
        </is>
      </c>
    </row>
    <row r="58">
      <c r="B58" s="5" t="inlineStr">
        <is>
          <t>Kitchen Sinks</t>
        </is>
      </c>
      <c r="C58" s="5" t="inlineStr">
        <is>
          <t>ks_count</t>
        </is>
      </c>
      <c r="D58" s="14" t="n">
        <v>76</v>
      </c>
      <c r="E58" s="14" t="inlineStr">
        <is>
          <t>Scope</t>
        </is>
      </c>
      <c r="F58" s="5" t="inlineStr">
        <is>
          <t>67 Lenova + 8 ADA Elkay + 1 bar</t>
        </is>
      </c>
      <c r="G58" s="27" t="inlineStr">
        <is>
          <t>Verified</t>
        </is>
      </c>
      <c r="H58" s="5" t="inlineStr">
        <is>
          <t>Exxel 19 West Harrison Apartment proposal September 1 2015.pdf</t>
        </is>
      </c>
    </row>
    <row r="59">
      <c r="B59" s="5" t="inlineStr">
        <is>
          <t>AP Spend (JDR footer)</t>
        </is>
      </c>
      <c r="C59" s="5" t="inlineStr">
        <is>
          <t>ap_total</t>
        </is>
      </c>
      <c r="D59" s="32" t="n">
        <v>271893.26</v>
      </c>
      <c r="E59" s="14" t="inlineStr">
        <is>
          <t>Material</t>
        </is>
      </c>
      <c r="F59" s="5" t="inlineStr">
        <is>
          <t>JDR footer</t>
        </is>
      </c>
      <c r="G59" s="27" t="inlineStr">
        <is>
          <t>Verified</t>
        </is>
      </c>
      <c r="H59" s="5" t="inlineStr">
        <is>
          <t>2025 Job Detail Report.pdf (Sage Timberline, 04/03/2026, 126 pages)</t>
        </is>
      </c>
    </row>
    <row r="60">
      <c r="B60" s="5" t="inlineStr">
        <is>
          <t>PR Spend (JDR footer)</t>
        </is>
      </c>
      <c r="C60" s="5" t="inlineStr">
        <is>
          <t>pr_total</t>
        </is>
      </c>
      <c r="D60" s="32" t="n">
        <v>436577.48</v>
      </c>
      <c r="E60" s="14" t="inlineStr">
        <is>
          <t>Labor</t>
        </is>
      </c>
      <c r="F60" s="5" t="inlineStr">
        <is>
          <t>JDR footer (labor+burden+tax)</t>
        </is>
      </c>
      <c r="G60" s="27" t="inlineStr">
        <is>
          <t>Verified</t>
        </is>
      </c>
      <c r="H60" s="5" t="inlineStr">
        <is>
          <t>2025 Job Detail Report.pdf (Sage Timberline, 04/03/2026, 126 pages)</t>
        </is>
      </c>
    </row>
    <row r="61">
      <c r="B61" s="5" t="inlineStr">
        <is>
          <t>GL Spend (JDR footer)</t>
        </is>
      </c>
      <c r="C61" s="5" t="inlineStr">
        <is>
          <t>gl_total</t>
        </is>
      </c>
      <c r="D61" s="32" t="n">
        <v>38463.57</v>
      </c>
      <c r="E61" s="14" t="inlineStr">
        <is>
          <t>Financial</t>
        </is>
      </c>
      <c r="F61" s="5" t="inlineStr">
        <is>
          <t>JDR footer</t>
        </is>
      </c>
      <c r="G61" s="27" t="inlineStr">
        <is>
          <t>Verified</t>
        </is>
      </c>
      <c r="H61" s="5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2025KS</t>
        </is>
      </c>
      <c r="D6" s="5" t="inlineStr">
        <is>
          <t>Keller Supply Company $Cora</t>
        </is>
      </c>
      <c r="E6" s="15" t="n">
        <v>78491.13000000002</v>
      </c>
      <c r="F6" s="14" t="n">
        <v>57</v>
      </c>
      <c r="G6" s="16">
        <f>E6/271893.26</f>
        <v/>
      </c>
      <c r="H6" s="8" t="inlineStr">
        <is>
          <t>2025 Job Detail Report.pdf (Sage Timberline, 04/03/2026, 126 pages)</t>
        </is>
      </c>
    </row>
    <row r="7">
      <c r="B7" s="14" t="n">
        <v>2</v>
      </c>
      <c r="C7" s="14" t="inlineStr">
        <is>
          <t>2025RS</t>
        </is>
      </c>
      <c r="D7" s="5" t="inlineStr">
        <is>
          <t>Rosen Supply Company, Inc. $Cora</t>
        </is>
      </c>
      <c r="E7" s="15" t="n">
        <v>69093.76999999997</v>
      </c>
      <c r="F7" s="14" t="n">
        <v>70</v>
      </c>
      <c r="G7" s="16">
        <f>E7/271893.26</f>
        <v/>
      </c>
      <c r="H7" s="8" t="inlineStr">
        <is>
          <t>2025 Job Detail Report.pdf (Sage Timberline, 04/03/2026, 126 pages)</t>
        </is>
      </c>
    </row>
    <row r="8">
      <c r="B8" s="14" t="n">
        <v>3</v>
      </c>
      <c r="C8" s="14" t="inlineStr">
        <is>
          <t>2025CS</t>
        </is>
      </c>
      <c r="D8" s="5" t="inlineStr">
        <is>
          <t>Consolidated Supply Co. $Cora</t>
        </is>
      </c>
      <c r="E8" s="15" t="n">
        <v>63856.09</v>
      </c>
      <c r="F8" s="14" t="n">
        <v>42</v>
      </c>
      <c r="G8" s="16">
        <f>E8/271893.26</f>
        <v/>
      </c>
      <c r="H8" s="8" t="inlineStr">
        <is>
          <t>2025 Job Detail Report.pdf (Sage Timberline, 04/03/2026, 126 pages)</t>
        </is>
      </c>
    </row>
    <row r="9">
      <c r="B9" s="14" t="n">
        <v>4</v>
      </c>
      <c r="C9" s="14" t="inlineStr">
        <is>
          <t>1625FE</t>
        </is>
      </c>
      <c r="D9" s="5" t="inlineStr">
        <is>
          <t>Franklin Engineering</t>
        </is>
      </c>
      <c r="E9" s="15" t="n">
        <v>27969.5</v>
      </c>
      <c r="F9" s="14" t="n">
        <v>9</v>
      </c>
      <c r="G9" s="16">
        <f>E9/271893.26</f>
        <v/>
      </c>
      <c r="H9" s="8" t="inlineStr">
        <is>
          <t>2025 Job Detail Report.pdf (Sage Timberline, 04/03/2026, 126 pages)</t>
        </is>
      </c>
    </row>
    <row r="10">
      <c r="B10" s="14" t="n">
        <v>5</v>
      </c>
      <c r="C10" s="14" t="inlineStr">
        <is>
          <t>3612MS</t>
        </is>
      </c>
      <c r="D10" s="5" t="inlineStr">
        <is>
          <t>Mechanical Sales, Inc.</t>
        </is>
      </c>
      <c r="E10" s="15" t="n">
        <v>19566.99</v>
      </c>
      <c r="F10" s="14" t="n">
        <v>4</v>
      </c>
      <c r="G10" s="16">
        <f>E10/271893.26</f>
        <v/>
      </c>
      <c r="H10" s="8" t="inlineStr">
        <is>
          <t>2025 Job Detail Report.pdf (Sage Timberline, 04/03/2026, 126 pages)</t>
        </is>
      </c>
    </row>
    <row r="11">
      <c r="B11" s="14" t="n">
        <v>6</v>
      </c>
      <c r="C11" s="14" t="inlineStr">
        <is>
          <t>1609QC</t>
        </is>
      </c>
      <c r="D11" s="5" t="inlineStr">
        <is>
          <t>Quality Concrete Products, Inc. $32</t>
        </is>
      </c>
      <c r="E11" s="15" t="n">
        <v>6513</v>
      </c>
      <c r="F11" s="14" t="n">
        <v>2</v>
      </c>
      <c r="G11" s="16">
        <f>E11/271893.26</f>
        <v/>
      </c>
      <c r="H11" s="8" t="inlineStr">
        <is>
          <t>2025 Job Detail Report.pdf (Sage Timberline, 04/03/2026, 126 pages)</t>
        </is>
      </c>
    </row>
    <row r="12">
      <c r="B12" s="14" t="n">
        <v>7</v>
      </c>
      <c r="C12" s="14" t="inlineStr">
        <is>
          <t>1234CO</t>
        </is>
      </c>
      <c r="D12" s="5" t="inlineStr">
        <is>
          <t>Capital One Credit Card</t>
        </is>
      </c>
      <c r="E12" s="15" t="n">
        <v>4616.5</v>
      </c>
      <c r="F12" s="14" t="n">
        <v>42</v>
      </c>
      <c r="G12" s="16">
        <f>E12/271893.26</f>
        <v/>
      </c>
      <c r="H12" s="8" t="inlineStr">
        <is>
          <t>2025 Job Detail Report.pdf (Sage Timberline, 04/03/2026, 126 pages)</t>
        </is>
      </c>
    </row>
    <row r="13">
      <c r="B13" s="14" t="n">
        <v>8</v>
      </c>
      <c r="C13" s="14" t="inlineStr">
        <is>
          <t>1234BA</t>
        </is>
      </c>
      <c r="D13" s="5" t="inlineStr">
        <is>
          <t>Bank of America CC</t>
        </is>
      </c>
      <c r="E13" s="15" t="n">
        <v>4562</v>
      </c>
      <c r="F13" s="14" t="n">
        <v>4</v>
      </c>
      <c r="G13" s="16">
        <f>E13/271893.26</f>
        <v/>
      </c>
      <c r="H13" s="8" t="inlineStr">
        <is>
          <t>2025 Job Detail Report.pdf (Sage Timberline, 04/03/2026, 126 pages)</t>
        </is>
      </c>
    </row>
    <row r="14">
      <c r="B14" s="14" t="n">
        <v>9</v>
      </c>
      <c r="C14" s="14" t="inlineStr">
        <is>
          <t>1234CI</t>
        </is>
      </c>
      <c r="D14" s="5" t="inlineStr">
        <is>
          <t>Citibank Credit Card</t>
        </is>
      </c>
      <c r="E14" s="15" t="n">
        <v>3238</v>
      </c>
      <c r="F14" s="14" t="n">
        <v>10</v>
      </c>
      <c r="G14" s="16">
        <f>E14/271893.26</f>
        <v/>
      </c>
      <c r="H14" s="8" t="inlineStr">
        <is>
          <t>2025 Job Detail Report.pdf (Sage Timberline, 04/03/2026, 126 pages)</t>
        </is>
      </c>
    </row>
    <row r="15">
      <c r="B15" s="14" t="n">
        <v>10</v>
      </c>
      <c r="C15" s="14" t="inlineStr">
        <is>
          <t>2025FE</t>
        </is>
      </c>
      <c r="D15" s="5" t="inlineStr">
        <is>
          <t>Ferguson Enterprises, Inc. $Cora</t>
        </is>
      </c>
      <c r="E15" s="15" t="n">
        <v>2587.09</v>
      </c>
      <c r="F15" s="14" t="n">
        <v>8</v>
      </c>
      <c r="G15" s="16">
        <f>E15/271893.26</f>
        <v/>
      </c>
      <c r="H15" s="8" t="inlineStr">
        <is>
          <t>2025 Job Detail Report.pdf (Sage Timberline, 04/03/2026, 126 pages)</t>
        </is>
      </c>
    </row>
    <row r="16">
      <c r="B16" s="14" t="n">
        <v>11</v>
      </c>
      <c r="C16" s="14" t="inlineStr">
        <is>
          <t>5919PW</t>
        </is>
      </c>
      <c r="D16" s="5" t="inlineStr">
        <is>
          <t>Patchworks, Inc.</t>
        </is>
      </c>
      <c r="E16" s="15" t="n">
        <v>2156.25</v>
      </c>
      <c r="F16" s="14" t="n">
        <v>2</v>
      </c>
      <c r="G16" s="16">
        <f>E16/271893.26</f>
        <v/>
      </c>
      <c r="H16" s="8" t="inlineStr">
        <is>
          <t>2025 Job Detail Report.pdf (Sage Timberline, 04/03/2026, 126 pages)</t>
        </is>
      </c>
    </row>
    <row r="17">
      <c r="B17" s="14" t="n">
        <v>12</v>
      </c>
      <c r="C17" s="14" t="inlineStr">
        <is>
          <t>3181SC</t>
        </is>
      </c>
      <c r="D17" s="5" t="inlineStr">
        <is>
          <t>Scan2Core, Inc.</t>
        </is>
      </c>
      <c r="E17" s="15" t="n">
        <v>1800</v>
      </c>
      <c r="F17" s="14" t="n">
        <v>3</v>
      </c>
      <c r="G17" s="16">
        <f>E17/271893.26</f>
        <v/>
      </c>
      <c r="H17" s="8" t="inlineStr">
        <is>
          <t>2025 Job Detail Report.pdf (Sage Timberline, 04/03/2026, 126 pages)</t>
        </is>
      </c>
    </row>
    <row r="18">
      <c r="B18" s="14" t="n">
        <v>13</v>
      </c>
      <c r="C18" s="14" t="inlineStr">
        <is>
          <t>7200UR</t>
        </is>
      </c>
      <c r="D18" s="5" t="inlineStr">
        <is>
          <t>United Rentals, Inc.</t>
        </is>
      </c>
      <c r="E18" s="15" t="n">
        <v>1103.34</v>
      </c>
      <c r="F18" s="14" t="n">
        <v>2</v>
      </c>
      <c r="G18" s="16">
        <f>E18/271893.26</f>
        <v/>
      </c>
      <c r="H18" s="8" t="inlineStr">
        <is>
          <t>2025 Job Detail Report.pdf (Sage Timberline, 04/03/2026, 126 pages)</t>
        </is>
      </c>
    </row>
    <row r="19">
      <c r="B19" s="14" t="n">
        <v>14</v>
      </c>
      <c r="C19" s="14" t="inlineStr">
        <is>
          <t>5621HD</t>
        </is>
      </c>
      <c r="D19" s="5" t="inlineStr">
        <is>
          <t>Core &amp; Main LP $HD Supply Waterworks</t>
        </is>
      </c>
      <c r="E19" s="15" t="n">
        <v>780</v>
      </c>
      <c r="F19" s="14" t="n">
        <v>2</v>
      </c>
      <c r="G19" s="16">
        <f>E19/271893.26</f>
        <v/>
      </c>
      <c r="H19" s="8" t="inlineStr">
        <is>
          <t>2025 Job Detail Report.pdf (Sage Timberline, 04/03/2026, 126 pages)</t>
        </is>
      </c>
    </row>
    <row r="20">
      <c r="B20" s="14" t="n">
        <v>15</v>
      </c>
      <c r="C20" s="14" t="inlineStr">
        <is>
          <t>8068MI</t>
        </is>
      </c>
      <c r="D20" s="5" t="inlineStr">
        <is>
          <t>Kele, Inc $ MI Controls</t>
        </is>
      </c>
      <c r="E20" s="15" t="n">
        <v>408.52</v>
      </c>
      <c r="F20" s="14" t="n">
        <v>1</v>
      </c>
      <c r="G20" s="16">
        <f>E20/271893.26</f>
        <v/>
      </c>
      <c r="H20" s="8" t="inlineStr">
        <is>
          <t>2025 Job Detail Report.pdf (Sage Timberline, 04/03/2026, 126 pages)</t>
        </is>
      </c>
    </row>
    <row r="21">
      <c r="B21" s="14" t="n">
        <v>16</v>
      </c>
      <c r="C21" s="14" t="inlineStr">
        <is>
          <t>4320MC</t>
        </is>
      </c>
      <c r="D21" s="5" t="inlineStr">
        <is>
          <t>MAD Concrete Cutting &amp; Coring, Inc.</t>
        </is>
      </c>
      <c r="E21" s="15" t="n">
        <v>350</v>
      </c>
      <c r="F21" s="14" t="n">
        <v>1</v>
      </c>
      <c r="G21" s="16">
        <f>E21/271893.26</f>
        <v/>
      </c>
      <c r="H21" s="8" t="inlineStr">
        <is>
          <t>2025 Job Detail Report.pdf (Sage Timberline, 04/03/2026, 126 pages)</t>
        </is>
      </c>
    </row>
    <row r="22">
      <c r="B22" s="14" t="n">
        <v>17</v>
      </c>
      <c r="C22" s="14" t="inlineStr">
        <is>
          <t>2132MH</t>
        </is>
      </c>
      <c r="D22" s="5" t="inlineStr">
        <is>
          <t>Manor Hardware &amp; Construction Supply</t>
        </is>
      </c>
      <c r="E22" s="15" t="n">
        <v>305.76</v>
      </c>
      <c r="F22" s="14" t="n">
        <v>1</v>
      </c>
      <c r="G22" s="16">
        <f>E22/271893.26</f>
        <v/>
      </c>
      <c r="H22" s="8" t="inlineStr">
        <is>
          <t>2025 Job Detail Report.pdf (Sage Timberline, 04/03/2026, 126 pages)</t>
        </is>
      </c>
    </row>
    <row r="23">
      <c r="B23" s="14" t="n">
        <v>18</v>
      </c>
      <c r="C23" s="14" t="inlineStr">
        <is>
          <t>2028KS</t>
        </is>
      </c>
      <c r="D23" s="5" t="inlineStr">
        <is>
          <t>Keller Supply Company $Reserve@Lynnwood</t>
        </is>
      </c>
      <c r="E23" s="15" t="n">
        <v>225.92</v>
      </c>
      <c r="F23" s="14" t="n">
        <v>1</v>
      </c>
      <c r="G23" s="16">
        <f>E23/271893.26</f>
        <v/>
      </c>
      <c r="H23" s="8" t="inlineStr">
        <is>
          <t>2025 Job Detail Report.pdf (Sage Timberline, 04/03/2026, 126 pages)</t>
        </is>
      </c>
    </row>
    <row r="24">
      <c r="B24" s="14" t="n">
        <v>19</v>
      </c>
      <c r="C24" s="14" t="inlineStr">
        <is>
          <t>1421RA</t>
        </is>
      </c>
      <c r="D24" s="5" t="inlineStr">
        <is>
          <t>R.A. Brown Backflow Testing</t>
        </is>
      </c>
      <c r="E24" s="15" t="n">
        <v>200</v>
      </c>
      <c r="F24" s="14" t="n">
        <v>1</v>
      </c>
      <c r="G24" s="16">
        <f>E24/271893.26</f>
        <v/>
      </c>
      <c r="H24" s="8" t="inlineStr">
        <is>
          <t>2025 Job Detail Report.pdf (Sage Timberline, 04/03/2026, 126 pages)</t>
        </is>
      </c>
    </row>
    <row r="25">
      <c r="B25" s="14" t="n">
        <v>20</v>
      </c>
      <c r="C25" s="14" t="inlineStr">
        <is>
          <t>1799AW</t>
        </is>
      </c>
      <c r="D25" s="5" t="inlineStr">
        <is>
          <t>AllWest Underground, Inc.</t>
        </is>
      </c>
      <c r="E25" s="15" t="n">
        <v>199.06</v>
      </c>
      <c r="F25" s="14" t="n">
        <v>1</v>
      </c>
      <c r="G25" s="16">
        <f>E25/271893.26</f>
        <v/>
      </c>
      <c r="H25" s="8" t="inlineStr">
        <is>
          <t>2025 Job Detail Report.pdf (Sage Timberline, 04/03/2026, 126 pages)</t>
        </is>
      </c>
    </row>
    <row r="26">
      <c r="B26" s="14" t="n">
        <v>21</v>
      </c>
      <c r="C26" s="14" t="inlineStr">
        <is>
          <t>1231KS</t>
        </is>
      </c>
      <c r="D26" s="5" t="inlineStr">
        <is>
          <t>Keller Supply Company</t>
        </is>
      </c>
      <c r="E26" s="15" t="n">
        <v>82.5</v>
      </c>
      <c r="F26" s="14" t="n">
        <v>1</v>
      </c>
      <c r="G26" s="16">
        <f>E26/271893.26</f>
        <v/>
      </c>
      <c r="H26" s="8" t="inlineStr">
        <is>
          <t>2025 Job Detail Report.pdf (Sage Timberline, 04/03/2026, 126 pages)</t>
        </is>
      </c>
    </row>
    <row r="27">
      <c r="B27" s="14" t="n">
        <v>22</v>
      </c>
      <c r="C27" s="14" t="inlineStr">
        <is>
          <t>1380RS</t>
        </is>
      </c>
      <c r="D27" s="5" t="inlineStr">
        <is>
          <t>Rosen Supply Kirkland</t>
        </is>
      </c>
      <c r="E27" s="15" t="n">
        <v>63.66</v>
      </c>
      <c r="F27" s="14" t="n">
        <v>1</v>
      </c>
      <c r="G27" s="16">
        <f>E27/271893.26</f>
        <v/>
      </c>
      <c r="H27" s="8" t="inlineStr">
        <is>
          <t>2025 Job Detail Report.pdf (Sage Timberline, 04/03/2026, 126 pages)</t>
        </is>
      </c>
    </row>
    <row r="28">
      <c r="B28" s="14" t="n">
        <v>23</v>
      </c>
      <c r="C28" s="14" t="inlineStr">
        <is>
          <t>1978FC</t>
        </is>
      </c>
      <c r="D28" s="5" t="inlineStr">
        <is>
          <t>Fastenal Company</t>
        </is>
      </c>
      <c r="E28" s="15" t="n">
        <v>49.7</v>
      </c>
      <c r="F28" s="14" t="n">
        <v>1</v>
      </c>
      <c r="G28" s="16">
        <f>E28/271893.26</f>
        <v/>
      </c>
      <c r="H28" s="8" t="inlineStr">
        <is>
          <t>2025 Job Detail Report.pdf (Sage Timberline, 04/03/2026, 126 pages)</t>
        </is>
      </c>
    </row>
    <row r="29">
      <c r="B29" s="14" t="n">
        <v>24</v>
      </c>
      <c r="C29" s="14" t="inlineStr">
        <is>
          <t>1175FE</t>
        </is>
      </c>
      <c r="D29" s="5" t="inlineStr">
        <is>
          <t>Ferguson Enterprises, Inc. #3007</t>
        </is>
      </c>
      <c r="E29" s="15" t="n">
        <v>-878.4399999999987</v>
      </c>
      <c r="F29" s="14" t="n">
        <v>7</v>
      </c>
      <c r="G29" s="16">
        <f>E29/271893.26</f>
        <v/>
      </c>
      <c r="H29" s="8" t="inlineStr">
        <is>
          <t>2025 Job Detail Report.pdf (Sage Timberline, 04/03/2026, 126 pages)</t>
        </is>
      </c>
    </row>
    <row r="30">
      <c r="B30" s="14" t="n">
        <v>25</v>
      </c>
      <c r="C30" s="14" t="inlineStr">
        <is>
          <t>2027FE</t>
        </is>
      </c>
      <c r="D30" s="5" t="inlineStr">
        <is>
          <t>Ferguson Enterprises, Inc. $550 Broadway</t>
        </is>
      </c>
      <c r="E30" s="15" t="n">
        <v>-15447.08</v>
      </c>
      <c r="F30" s="14" t="n">
        <v>1</v>
      </c>
      <c r="G30" s="16">
        <f>E30/271893.26</f>
        <v/>
      </c>
      <c r="H30" s="8" t="inlineStr">
        <is>
          <t>2025 Job Detail Report.pdf (Sage Timberline, 04/03/2026, 126 pages)</t>
        </is>
      </c>
    </row>
    <row r="31">
      <c r="B31" s="18" t="inlineStr">
        <is>
          <t>TOTAL</t>
        </is>
      </c>
      <c r="E31" s="9">
        <f>SUM(E6:E30)</f>
        <v/>
      </c>
      <c r="F31" s="23">
        <f>SUM(F6:F30)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2015-09 (proposal) / 2016-03 (work start)</t>
        </is>
      </c>
      <c r="E6" s="5" t="inlineStr">
        <is>
          <t>Prime subcontract — Lump Sum $1,179,300.00</t>
        </is>
      </c>
      <c r="F6" s="5" t="inlineStr">
        <is>
          <t>Exxel Pacific, Inc.</t>
        </is>
      </c>
      <c r="G6" s="15" t="n">
        <v>1179300</v>
      </c>
      <c r="H6" s="14" t="inlineStr">
        <is>
          <t>Executed</t>
        </is>
      </c>
      <c r="I6" s="8" t="inlineStr">
        <is>
          <t>L1 220000 One Way Plumbing Fully Executed Subcontract ocr_d.pdf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28" t="inlineStr">
        <is>
          <t>NOT FOUND</t>
        </is>
      </c>
      <c r="E7" s="5" t="inlineStr">
        <is>
          <t>Change Order #1 — budget transfer</t>
        </is>
      </c>
      <c r="F7" s="5" t="inlineStr">
        <is>
          <t>Exxel Pacific, Inc.</t>
        </is>
      </c>
      <c r="G7" s="15" t="n">
        <v>700</v>
      </c>
      <c r="H7" s="14" t="inlineStr">
        <is>
          <t>Executed</t>
        </is>
      </c>
      <c r="I7" s="8" t="inlineStr">
        <is>
          <t>CO_s/CO#01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28" t="inlineStr">
        <is>
          <t>NOT FOUND</t>
        </is>
      </c>
      <c r="E8" s="5" t="inlineStr">
        <is>
          <t>Change Order #2 — budget transfer</t>
        </is>
      </c>
      <c r="F8" s="5" t="inlineStr">
        <is>
          <t>Exxel Pacific, Inc.</t>
        </is>
      </c>
      <c r="G8" s="15" t="n">
        <v>4390</v>
      </c>
      <c r="H8" s="14" t="inlineStr">
        <is>
          <t>Executed</t>
        </is>
      </c>
      <c r="I8" s="8" t="inlineStr">
        <is>
          <t>CO_s/CO#02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28" t="inlineStr">
        <is>
          <t>NOT FOUND</t>
        </is>
      </c>
      <c r="E9" s="5" t="inlineStr">
        <is>
          <t>Change Order #3 — budget transfer</t>
        </is>
      </c>
      <c r="F9" s="5" t="inlineStr">
        <is>
          <t>Exxel Pacific, Inc.</t>
        </is>
      </c>
      <c r="G9" s="15" t="n">
        <v>7881</v>
      </c>
      <c r="H9" s="14" t="inlineStr">
        <is>
          <t>Executed</t>
        </is>
      </c>
      <c r="I9" s="8" t="inlineStr">
        <is>
          <t>CO_s/CO#03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28" t="inlineStr">
        <is>
          <t>NOT FOUND</t>
        </is>
      </c>
      <c r="E10" s="5" t="inlineStr">
        <is>
          <t>Change Order #4 — budget transfer</t>
        </is>
      </c>
      <c r="F10" s="5" t="inlineStr">
        <is>
          <t>Exxel Pacific, Inc.</t>
        </is>
      </c>
      <c r="G10" s="15" t="n">
        <v>9017</v>
      </c>
      <c r="H10" s="14" t="inlineStr">
        <is>
          <t>Executed</t>
        </is>
      </c>
      <c r="I10" s="8" t="inlineStr">
        <is>
          <t>CO_s/CO#04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28" t="inlineStr">
        <is>
          <t>NOT FOUND</t>
        </is>
      </c>
      <c r="E11" s="5" t="inlineStr">
        <is>
          <t>Change Order #5 — credit</t>
        </is>
      </c>
      <c r="F11" s="5" t="inlineStr">
        <is>
          <t>Exxel Pacific, Inc.</t>
        </is>
      </c>
      <c r="G11" s="15" t="n">
        <v>-1971</v>
      </c>
      <c r="H11" s="14" t="inlineStr">
        <is>
          <t>Executed</t>
        </is>
      </c>
      <c r="I11" s="8" t="inlineStr">
        <is>
          <t>CO_s/CO#05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28" t="inlineStr">
        <is>
          <t>NOT FOUND</t>
        </is>
      </c>
      <c r="E12" s="5" t="inlineStr">
        <is>
          <t>Change Order #6 — budget transfer</t>
        </is>
      </c>
      <c r="F12" s="5" t="inlineStr">
        <is>
          <t>Exxel Pacific, Inc.</t>
        </is>
      </c>
      <c r="G12" s="15" t="n">
        <v>3316</v>
      </c>
      <c r="H12" s="14" t="inlineStr">
        <is>
          <t>Executed</t>
        </is>
      </c>
      <c r="I12" s="8" t="inlineStr">
        <is>
          <t>CO_s/CO#06</t>
        </is>
      </c>
    </row>
    <row r="13">
      <c r="B13" s="14" t="inlineStr">
        <is>
          <t>CO-GAP</t>
        </is>
      </c>
      <c r="C13" s="14" t="inlineStr">
        <is>
          <t>Implied CO gap</t>
        </is>
      </c>
      <c r="D13" s="28" t="inlineStr">
        <is>
          <t>NOT FOUND</t>
        </is>
      </c>
      <c r="E13" s="5" t="inlineStr">
        <is>
          <t>Budget-delta vs documented COs = $5,705.00 (unreconciled)</t>
        </is>
      </c>
      <c r="F13" s="5" t="inlineStr">
        <is>
          <t>—</t>
        </is>
      </c>
      <c r="G13" s="15" t="n">
        <v>5705</v>
      </c>
      <c r="H13" s="14" t="inlineStr">
        <is>
          <t>Unreconciled</t>
        </is>
      </c>
      <c r="I13" s="8" t="inlineStr">
        <is>
          <t>2025 Job Detail Report.pdf (Sage Timberline, 04/03/2026, 126 pages)</t>
        </is>
      </c>
    </row>
    <row r="14">
      <c r="B14" s="14" t="inlineStr">
        <is>
          <t>RFI-PRIMARY</t>
        </is>
      </c>
      <c r="C14" s="14" t="inlineStr">
        <is>
          <t>RFI batch</t>
        </is>
      </c>
      <c r="D14" s="28" t="inlineStr">
        <is>
          <t>NOT FOUND</t>
        </is>
      </c>
      <c r="E14" s="5" t="inlineStr">
        <is>
          <t>18 RFIs + 1 ASI (primary ASI-RFI folder)</t>
        </is>
      </c>
      <c r="F14" s="5" t="inlineStr">
        <is>
          <t>Sub (OWP) / GC</t>
        </is>
      </c>
      <c r="G14" s="15" t="n">
        <v>0</v>
      </c>
      <c r="H14" s="14" t="inlineStr">
        <is>
          <t>Resolved</t>
        </is>
      </c>
      <c r="I14" s="8" t="inlineStr">
        <is>
          <t>ASI-RFI/</t>
        </is>
      </c>
    </row>
    <row r="15">
      <c r="B15" s="14" t="inlineStr">
        <is>
          <t>RFI-DROPBOX</t>
        </is>
      </c>
      <c r="C15" s="14" t="inlineStr">
        <is>
          <t>RFI batch</t>
        </is>
      </c>
      <c r="D15" s="28" t="inlineStr">
        <is>
          <t>NOT FOUND</t>
        </is>
      </c>
      <c r="E15" s="5" t="inlineStr">
        <is>
          <t>12 additional RFIs from field tablets</t>
        </is>
      </c>
      <c r="F15" s="5" t="inlineStr">
        <is>
          <t>Sub (OWP)</t>
        </is>
      </c>
      <c r="G15" s="15" t="n">
        <v>0</v>
      </c>
      <c r="H15" s="14" t="inlineStr">
        <is>
          <t>Resolved</t>
        </is>
      </c>
      <c r="I15" s="8" t="inlineStr">
        <is>
          <t>DROPBOX FILES FROM GUYS TABLETS/ASI-RFI/RFI_s/</t>
        </is>
      </c>
    </row>
    <row r="16">
      <c r="B16" s="14" t="inlineStr">
        <is>
          <t>SUB-FIXTURE</t>
        </is>
      </c>
      <c r="C16" s="14" t="inlineStr">
        <is>
          <t>Submittal batch</t>
        </is>
      </c>
      <c r="D16" s="28" t="inlineStr">
        <is>
          <t>NOT FOUND</t>
        </is>
      </c>
      <c r="E16" s="5" t="inlineStr">
        <is>
          <t>19 fixture submittals (WC, lav, tub/shower, sinks, etc.)</t>
        </is>
      </c>
      <c r="F16" s="5" t="inlineStr">
        <is>
          <t>Sub (OWP)</t>
        </is>
      </c>
      <c r="G16" s="15" t="n">
        <v>0</v>
      </c>
      <c r="H16" s="14" t="inlineStr">
        <is>
          <t>Approved</t>
        </is>
      </c>
      <c r="I16" s="8" t="inlineStr">
        <is>
          <t>Submittals/Fixtures/</t>
        </is>
      </c>
    </row>
    <row r="17">
      <c r="B17" s="14" t="inlineStr">
        <is>
          <t>SUB-MATERIAL</t>
        </is>
      </c>
      <c r="C17" s="14" t="inlineStr">
        <is>
          <t>Submittal batch</t>
        </is>
      </c>
      <c r="D17" s="28" t="inlineStr">
        <is>
          <t>NOT FOUND</t>
        </is>
      </c>
      <c r="E17" s="5" t="inlineStr">
        <is>
          <t>10 material submittals (pipe, valves, insulation, etc.)</t>
        </is>
      </c>
      <c r="F17" s="5" t="inlineStr">
        <is>
          <t>Sub (OWP)</t>
        </is>
      </c>
      <c r="G17" s="15" t="n">
        <v>0</v>
      </c>
      <c r="H17" s="14" t="inlineStr">
        <is>
          <t>Approved</t>
        </is>
      </c>
      <c r="I17" s="8" t="inlineStr">
        <is>
          <t>Submittals/Material/</t>
        </is>
      </c>
    </row>
    <row r="18">
      <c r="B18" s="14" t="inlineStr">
        <is>
          <t>SUB-UG</t>
        </is>
      </c>
      <c r="C18" s="14" t="inlineStr">
        <is>
          <t>Submittal</t>
        </is>
      </c>
      <c r="D18" s="28" t="inlineStr">
        <is>
          <t>NOT FOUND</t>
        </is>
      </c>
      <c r="E18" s="5" t="inlineStr">
        <is>
          <t>UG/garage submittal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Submittals/UG/</t>
        </is>
      </c>
    </row>
    <row r="19">
      <c r="B19" s="14" t="inlineStr">
        <is>
          <t>PERMIT-PLUMBING</t>
        </is>
      </c>
      <c r="C19" s="14" t="inlineStr">
        <is>
          <t>Permit</t>
        </is>
      </c>
      <c r="D19" s="28" t="inlineStr">
        <is>
          <t>NOT FOUND</t>
        </is>
      </c>
      <c r="E19" s="5" t="inlineStr">
        <is>
          <t>Plumbing permit</t>
        </is>
      </c>
      <c r="F19" s="5" t="inlineStr">
        <is>
          <t>Jurisdiction (Seattle)</t>
        </is>
      </c>
      <c r="G19" s="15" t="n">
        <v>0</v>
      </c>
      <c r="H19" s="14" t="inlineStr">
        <is>
          <t>Issued</t>
        </is>
      </c>
      <c r="I19" s="8" t="inlineStr">
        <is>
          <t>Permits/</t>
        </is>
      </c>
    </row>
    <row r="20">
      <c r="B20" s="14" t="inlineStr">
        <is>
          <t>PERMIT-BACKFLOW</t>
        </is>
      </c>
      <c r="C20" s="14" t="inlineStr">
        <is>
          <t>Permit</t>
        </is>
      </c>
      <c r="D20" s="28" t="inlineStr">
        <is>
          <t>NOT FOUND</t>
        </is>
      </c>
      <c r="E20" s="5" t="inlineStr">
        <is>
          <t>Backflow permit</t>
        </is>
      </c>
      <c r="F20" s="5" t="inlineStr">
        <is>
          <t>Jurisdiction (Seattle)</t>
        </is>
      </c>
      <c r="G20" s="15" t="n">
        <v>0</v>
      </c>
      <c r="H20" s="14" t="inlineStr">
        <is>
          <t>Issued</t>
        </is>
      </c>
      <c r="I20" s="8" t="inlineStr">
        <is>
          <t>Permits/</t>
        </is>
      </c>
    </row>
    <row r="21">
      <c r="B21" s="14" t="inlineStr">
        <is>
          <t>PERMIT-BOILER-1</t>
        </is>
      </c>
      <c r="C21" s="14" t="inlineStr">
        <is>
          <t>Permit</t>
        </is>
      </c>
      <c r="D21" s="28" t="inlineStr">
        <is>
          <t>NOT FOUND</t>
        </is>
      </c>
      <c r="E21" s="5" t="inlineStr">
        <is>
          <t>Boiler permit (1 of 2)</t>
        </is>
      </c>
      <c r="F21" s="5" t="inlineStr">
        <is>
          <t>Jurisdiction (Seattle)</t>
        </is>
      </c>
      <c r="G21" s="15" t="n">
        <v>0</v>
      </c>
      <c r="H21" s="14" t="inlineStr">
        <is>
          <t>Issued</t>
        </is>
      </c>
      <c r="I21" s="8" t="inlineStr">
        <is>
          <t>Permits/</t>
        </is>
      </c>
    </row>
    <row r="22">
      <c r="B22" s="14" t="inlineStr">
        <is>
          <t>PERMIT-BOILER-2</t>
        </is>
      </c>
      <c r="C22" s="14" t="inlineStr">
        <is>
          <t>Permit</t>
        </is>
      </c>
      <c r="D22" s="28" t="inlineStr">
        <is>
          <t>NOT FOUND</t>
        </is>
      </c>
      <c r="E22" s="5" t="inlineStr">
        <is>
          <t>Boiler permit (2 of 2)</t>
        </is>
      </c>
      <c r="F22" s="5" t="inlineStr">
        <is>
          <t>Jurisdiction (Seattle)</t>
        </is>
      </c>
      <c r="G22" s="15" t="n">
        <v>0</v>
      </c>
      <c r="H22" s="14" t="inlineStr">
        <is>
          <t>Issued</t>
        </is>
      </c>
      <c r="I22" s="8" t="inlineStr">
        <is>
          <t>Permits/</t>
        </is>
      </c>
    </row>
    <row r="23">
      <c r="B23" s="14" t="inlineStr">
        <is>
          <t>PERMIT-GAS</t>
        </is>
      </c>
      <c r="C23" s="14" t="inlineStr">
        <is>
          <t>Permit</t>
        </is>
      </c>
      <c r="D23" s="28" t="inlineStr">
        <is>
          <t>NOT FOUND</t>
        </is>
      </c>
      <c r="E23" s="5" t="inlineStr">
        <is>
          <t>Gas permit</t>
        </is>
      </c>
      <c r="F23" s="5" t="inlineStr">
        <is>
          <t>Jurisdiction (Seattle)</t>
        </is>
      </c>
      <c r="G23" s="15" t="n">
        <v>0</v>
      </c>
      <c r="H23" s="14" t="inlineStr">
        <is>
          <t>Issued</t>
        </is>
      </c>
      <c r="I23" s="8" t="inlineStr">
        <is>
          <t>Permits/</t>
        </is>
      </c>
    </row>
    <row r="24">
      <c r="B24" s="14" t="inlineStr">
        <is>
          <t>PERMIT-TEMPGAS</t>
        </is>
      </c>
      <c r="C24" s="14" t="inlineStr">
        <is>
          <t>Permit</t>
        </is>
      </c>
      <c r="D24" s="28" t="inlineStr">
        <is>
          <t>NOT FOUND</t>
        </is>
      </c>
      <c r="E24" s="5" t="inlineStr">
        <is>
          <t>Temporary gas permit</t>
        </is>
      </c>
      <c r="F24" s="5" t="inlineStr">
        <is>
          <t>Jurisdiction (Seattle)</t>
        </is>
      </c>
      <c r="G24" s="15" t="n">
        <v>0</v>
      </c>
      <c r="H24" s="14" t="inlineStr">
        <is>
          <t>Issued</t>
        </is>
      </c>
      <c r="I24" s="8" t="inlineStr">
        <is>
          <t>Permits/</t>
        </is>
      </c>
    </row>
    <row r="25">
      <c r="B25" s="14" t="inlineStr">
        <is>
          <t>PO-COMPLETED</t>
        </is>
      </c>
      <c r="C25" s="14" t="inlineStr">
        <is>
          <t>PO batch</t>
        </is>
      </c>
      <c r="D25" s="28" t="inlineStr">
        <is>
          <t>NOT FOUND</t>
        </is>
      </c>
      <c r="E25" s="5" t="inlineStr">
        <is>
          <t>56 completed POs</t>
        </is>
      </c>
      <c r="F25" s="5" t="inlineStr">
        <is>
          <t>Sub (OWP)</t>
        </is>
      </c>
      <c r="G25" s="15" t="n">
        <v>0</v>
      </c>
      <c r="H25" s="14" t="inlineStr">
        <is>
          <t>Complete</t>
        </is>
      </c>
      <c r="I25" s="8" t="inlineStr">
        <is>
          <t>POs/Completed/</t>
        </is>
      </c>
    </row>
    <row r="26">
      <c r="B26" s="14" t="inlineStr">
        <is>
          <t>PO-PLACED</t>
        </is>
      </c>
      <c r="C26" s="14" t="inlineStr">
        <is>
          <t>PO batch</t>
        </is>
      </c>
      <c r="D26" s="28" t="inlineStr">
        <is>
          <t>NOT FOUND</t>
        </is>
      </c>
      <c r="E26" s="5" t="inlineStr">
        <is>
          <t>7 placed POs</t>
        </is>
      </c>
      <c r="F26" s="5" t="inlineStr">
        <is>
          <t>Sub (OWP)</t>
        </is>
      </c>
      <c r="G26" s="15" t="n">
        <v>0</v>
      </c>
      <c r="H26" s="14" t="inlineStr">
        <is>
          <t>Placed</t>
        </is>
      </c>
      <c r="I26" s="8" t="inlineStr">
        <is>
          <t>POs/Placed/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28" t="inlineStr">
        <is>
          <t>NOT FOUND</t>
        </is>
      </c>
      <c r="E27" s="5" t="inlineStr">
        <is>
          <t>19 scheduled POs</t>
        </is>
      </c>
      <c r="F27" s="5" t="inlineStr">
        <is>
          <t>Sub (OWP)</t>
        </is>
      </c>
      <c r="G27" s="15" t="n">
        <v>0</v>
      </c>
      <c r="H27" s="14" t="inlineStr">
        <is>
          <t>Scheduled</t>
        </is>
      </c>
      <c r="I27" s="8" t="inlineStr">
        <is>
          <t>POs/Scheduled/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02/19/2016</t>
        </is>
      </c>
      <c r="E28" s="5" t="inlineStr">
        <is>
          <t>First billing #036686 ($31,000)</t>
        </is>
      </c>
      <c r="F28" s="5" t="inlineStr">
        <is>
          <t>Sub (OWP)</t>
        </is>
      </c>
      <c r="G28" s="15" t="n">
        <v>31000</v>
      </c>
      <c r="H28" s="14" t="inlineStr">
        <is>
          <t>Paid</t>
        </is>
      </c>
      <c r="I28" s="8" t="inlineStr">
        <is>
          <t>2025 Job Detail Report.pdf (Sage Timberline, 04/03/2026, 126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08/18/2017</t>
        </is>
      </c>
      <c r="E29" s="5" t="inlineStr">
        <is>
          <t>Last billing #036937 ($3,316 — closeout/punchlist)</t>
        </is>
      </c>
      <c r="F29" s="5" t="inlineStr">
        <is>
          <t>Sub (OWP)</t>
        </is>
      </c>
      <c r="G29" s="15" t="n">
        <v>3316</v>
      </c>
      <c r="H29" s="14" t="inlineStr">
        <is>
          <t>Paid</t>
        </is>
      </c>
      <c r="I29" s="8" t="inlineStr">
        <is>
          <t>2025 Job Detail Report.pdf (Sage Timberline, 04/03/2026, 126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14" t="inlineStr">
        <is>
          <t>As of 04/03/2026</t>
        </is>
      </c>
      <c r="E30" s="5" t="inlineStr">
        <is>
          <t>Retainage $60,416.90 outstanding 8+ years post-closeout</t>
        </is>
      </c>
      <c r="F30" s="5" t="inlineStr">
        <is>
          <t>GC</t>
        </is>
      </c>
      <c r="G30" s="15" t="n">
        <v>0</v>
      </c>
      <c r="H30" s="14" t="inlineStr">
        <is>
          <t>Outstanding</t>
        </is>
      </c>
      <c r="I30" s="8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4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Variance drivers — primary: rough-in labor overrun offset by material savings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Rough-in labor overrun</t>
        </is>
      </c>
      <c r="C7" s="5" t="inlineStr">
        <is>
          <t>120 Rough-in Labor</t>
        </is>
      </c>
      <c r="D7" s="15" t="n">
        <v>23326</v>
      </c>
      <c r="E7" s="5" t="inlineStr">
        <is>
          <t>Field productivity below estimate; scope churn via RFIs</t>
        </is>
      </c>
      <c r="F7" s="8" t="inlineStr">
        <is>
          <t>$23,326 over — 30+ RFIs suggest coordination issues</t>
        </is>
      </c>
    </row>
    <row r="8">
      <c r="B8" s="5" t="inlineStr">
        <is>
          <t>Other labor under-runs</t>
        </is>
      </c>
      <c r="C8" s="5" t="inlineStr">
        <is>
          <t>100 Sup, 101 Takeoff, 110 UG, 130 Finish, 140 Gas, 141-142</t>
        </is>
      </c>
      <c r="D8" s="15" t="n">
        <v>-19007</v>
      </c>
      <c r="E8" s="5" t="inlineStr">
        <is>
          <t>Savings / efficiency</t>
        </is>
      </c>
      <c r="F8" s="8" t="inlineStr">
        <is>
          <t>Offsetting gains</t>
        </is>
      </c>
    </row>
    <row r="9">
      <c r="B9" s="5" t="inlineStr">
        <is>
          <t>Garage / Canout labor</t>
        </is>
      </c>
      <c r="C9" s="5" t="inlineStr">
        <is>
          <t>111, 112</t>
        </is>
      </c>
      <c r="D9" s="15" t="n">
        <v>7244</v>
      </c>
      <c r="E9" s="5" t="inlineStr">
        <is>
          <t>Smaller crew stages</t>
        </is>
      </c>
      <c r="F9" s="8" t="inlineStr"/>
    </row>
    <row r="10">
      <c r="B10" s="5" t="inlineStr">
        <is>
          <t>Material savings</t>
        </is>
      </c>
      <c r="C10" s="5" t="inlineStr">
        <is>
          <t>220/230/240/241/242</t>
        </is>
      </c>
      <c r="D10" s="15" t="n">
        <v>-85910.97</v>
      </c>
      <c r="E10" s="5" t="inlineStr">
        <is>
          <t>Favorable procurement</t>
        </is>
      </c>
      <c r="F10" s="8" t="inlineStr">
        <is>
          <t>Primary profit driver</t>
        </is>
      </c>
    </row>
    <row r="11">
      <c r="B11" s="5" t="inlineStr">
        <is>
          <t>Rough-in material</t>
        </is>
      </c>
      <c r="C11" s="5" t="inlineStr">
        <is>
          <t>210,211,212</t>
        </is>
      </c>
      <c r="D11" s="15" t="n">
        <v>-27137.86</v>
      </c>
      <c r="E11" s="5" t="inlineStr">
        <is>
          <t>Mixed performance</t>
        </is>
      </c>
      <c r="F11" s="8" t="inlineStr"/>
    </row>
    <row r="12">
      <c r="B12" s="5" t="inlineStr">
        <is>
          <t>Burden / Tax accrual</t>
        </is>
      </c>
      <c r="C12" s="5" t="inlineStr">
        <is>
          <t>995, 998</t>
        </is>
      </c>
      <c r="D12" s="15" t="n">
        <v>8584.190000000002</v>
      </c>
      <c r="E12" s="5" t="inlineStr">
        <is>
          <t>Rate volatility</t>
        </is>
      </c>
      <c r="F12" s="8" t="inlineStr">
        <is>
          <t>OWP internal</t>
        </is>
      </c>
    </row>
    <row r="13">
      <c r="B13" s="5" t="inlineStr">
        <is>
          <t>Support codes</t>
        </is>
      </c>
      <c r="C13" s="5" t="inlineStr">
        <is>
          <t>600,601,602,603,607</t>
        </is>
      </c>
      <c r="D13" s="15" t="n">
        <v>-7815.34</v>
      </c>
      <c r="E13" s="5" t="inlineStr">
        <is>
          <t>Under-utilization of support budget</t>
        </is>
      </c>
      <c r="F13" s="8" t="inlineStr">
        <is>
          <t>Savings</t>
        </is>
      </c>
    </row>
    <row r="14">
      <c r="B14" s="18" t="inlineStr">
        <is>
          <t>TOTAL NET VARIANCE (Rev Budget vs Actual)</t>
        </is>
      </c>
      <c r="D14" s="19">
        <f>SUM(D7:D13)</f>
        <v/>
      </c>
    </row>
    <row r="17">
      <c r="B17" s="3" t="inlineStr">
        <is>
          <t>RESPONSIBILITY ATTRIBUTION</t>
        </is>
      </c>
    </row>
    <row r="18">
      <c r="B18" s="13" t="inlineStr">
        <is>
          <t>Responsible Party</t>
        </is>
      </c>
      <c r="C18" s="13" t="inlineStr">
        <is>
          <t># Drivers</t>
        </is>
      </c>
      <c r="D18" s="13" t="inlineStr">
        <is>
          <t>Net $ Impact</t>
        </is>
      </c>
      <c r="E18" s="13" t="inlineStr">
        <is>
          <t>Notes</t>
        </is>
      </c>
    </row>
    <row r="19">
      <c r="B19" s="5" t="inlineStr">
        <is>
          <t>Sub (OWP) — rough-in productivity</t>
        </is>
      </c>
      <c r="C19" s="14" t="n">
        <v>1</v>
      </c>
      <c r="D19" s="15" t="n">
        <v>23326</v>
      </c>
      <c r="E19" s="5" t="inlineStr">
        <is>
          <t>$23,326 overrun in code 120</t>
        </is>
      </c>
    </row>
    <row r="20">
      <c r="B20" s="5" t="inlineStr">
        <is>
          <t>Sub (OWP) — procurement savings</t>
        </is>
      </c>
      <c r="C20" s="14" t="n">
        <v>5</v>
      </c>
      <c r="D20" s="15" t="n">
        <v>-85910.97</v>
      </c>
      <c r="E20" s="5" t="inlineStr">
        <is>
          <t>Material came in well under</t>
        </is>
      </c>
    </row>
    <row r="21">
      <c r="B21" s="5" t="inlineStr">
        <is>
          <t>Sub (OWP) — estimating discipline</t>
        </is>
      </c>
      <c r="C21" s="14" t="n">
        <v>6</v>
      </c>
      <c r="D21" s="15" t="n">
        <v>-25337</v>
      </c>
      <c r="E21" s="5" t="inlineStr">
        <is>
          <t>Labor codes under budget</t>
        </is>
      </c>
    </row>
    <row r="22">
      <c r="B22" s="5" t="inlineStr">
        <is>
          <t>Designer / GC (RFI churn)</t>
        </is>
      </c>
      <c r="C22" s="14" t="n">
        <v>30</v>
      </c>
      <c r="D22" s="15" t="n">
        <v>0</v>
      </c>
      <c r="E22" s="5" t="inlineStr">
        <is>
          <t>30+ RFIs logged — coordination cost absorbed in 120 labor</t>
        </is>
      </c>
    </row>
    <row r="23">
      <c r="B23" s="5" t="inlineStr">
        <is>
          <t>Burden rate — OWP internal</t>
        </is>
      </c>
      <c r="C23" s="14" t="n">
        <v>2</v>
      </c>
      <c r="D23" s="15" t="n">
        <v>8584.190000000002</v>
      </c>
      <c r="E23" s="5" t="inlineStr">
        <is>
          <t>Accrual volatility</t>
        </is>
      </c>
    </row>
    <row r="24">
      <c r="B24" s="5" t="inlineStr">
        <is>
          <t>Support codes — OWP</t>
        </is>
      </c>
      <c r="C24" s="14" t="n">
        <v>5</v>
      </c>
      <c r="D24" s="15" t="n">
        <v>-7815.34</v>
      </c>
      <c r="E24" s="5" t="inlineStr">
        <is>
          <t>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RFI Count</t>
        </is>
      </c>
      <c r="C7" s="14" t="n">
        <v>30</v>
      </c>
      <c r="D7" s="14" t="inlineStr">
        <is>
          <t>&lt;50</t>
        </is>
      </c>
      <c r="E7" s="27" t="inlineStr">
        <is>
          <t>HEALTHY</t>
        </is>
      </c>
      <c r="F7" s="5" t="inlineStr">
        <is>
          <t>18 + 12 RFIs logged</t>
        </is>
      </c>
    </row>
    <row r="8">
      <c r="B8" s="5" t="inlineStr">
        <is>
          <t>Submittal Count</t>
        </is>
      </c>
      <c r="C8" s="14" t="n">
        <v>30</v>
      </c>
      <c r="D8" s="14" t="inlineStr">
        <is>
          <t>varies</t>
        </is>
      </c>
      <c r="E8" s="35" t="inlineStr">
        <is>
          <t>INFO</t>
        </is>
      </c>
      <c r="F8" s="5" t="inlineStr">
        <is>
          <t>19 fixture + 10 material + 1 UG</t>
        </is>
      </c>
    </row>
    <row r="9">
      <c r="B9" s="5" t="inlineStr">
        <is>
          <t>ASI Count</t>
        </is>
      </c>
      <c r="C9" s="14" t="n">
        <v>1</v>
      </c>
      <c r="D9" s="14" t="inlineStr">
        <is>
          <t>&lt;5</t>
        </is>
      </c>
      <c r="E9" s="27" t="inlineStr">
        <is>
          <t>HEALTHY</t>
        </is>
      </c>
      <c r="F9" s="5" t="inlineStr">
        <is>
          <t>Single ASI — minimal design disruption</t>
        </is>
      </c>
    </row>
    <row r="10">
      <c r="B10" s="5" t="inlineStr">
        <is>
          <t>Change Order Document Count</t>
        </is>
      </c>
      <c r="C10" s="14" t="n">
        <v>6</v>
      </c>
      <c r="D10" s="14" t="inlineStr">
        <is>
          <t>&lt;10</t>
        </is>
      </c>
      <c r="E10" s="27" t="inlineStr">
        <is>
          <t>HEALTHY</t>
        </is>
      </c>
      <c r="F10" s="5" t="inlineStr">
        <is>
          <t>6 COs documented</t>
        </is>
      </c>
    </row>
    <row r="11">
      <c r="B11" s="5" t="inlineStr">
        <is>
          <t>Contract Growth %</t>
        </is>
      </c>
      <c r="C11" s="14" t="inlineStr">
        <is>
          <t>2.46%</t>
        </is>
      </c>
      <c r="D11" s="14" t="inlineStr">
        <is>
          <t>&lt;5%</t>
        </is>
      </c>
      <c r="E11" s="27" t="inlineStr">
        <is>
          <t>HEALTHY</t>
        </is>
      </c>
      <c r="F11" s="5" t="inlineStr">
        <is>
          <t>Low growth</t>
        </is>
      </c>
    </row>
    <row r="12">
      <c r="B12" s="5" t="inlineStr">
        <is>
          <t>CO Reconciliation Gap</t>
        </is>
      </c>
      <c r="C12" s="14" t="inlineStr">
        <is>
          <t>$5,705</t>
        </is>
      </c>
      <c r="D12" s="14" t="inlineStr">
        <is>
          <t>$0</t>
        </is>
      </c>
      <c r="E12" s="30" t="inlineStr">
        <is>
          <t>ELEVATED</t>
        </is>
      </c>
      <c r="F12" s="5" t="inlineStr">
        <is>
          <t>Doc vs JDR gap not reconciled</t>
        </is>
      </c>
    </row>
    <row r="13">
      <c r="B13" s="5" t="inlineStr">
        <is>
          <t>Labor Hrs vs Budget</t>
        </is>
      </c>
      <c r="C13" s="14">
        <f>11486.5</f>
        <v/>
      </c>
      <c r="D13" s="14" t="inlineStr">
        <is>
          <t>varies</t>
        </is>
      </c>
      <c r="E13" s="35" t="inlineStr">
        <is>
          <t>INFO</t>
        </is>
      </c>
      <c r="F13" s="5" t="inlineStr">
        <is>
          <t>11,486 hrs</t>
        </is>
      </c>
    </row>
    <row r="14">
      <c r="B14" s="5" t="inlineStr">
        <is>
          <t>Labor Cost % of Revenue</t>
        </is>
      </c>
      <c r="C14" s="36" t="n">
        <v>0.2376971509627273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23.8%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30" t="inlineStr">
        <is>
          <t>ELEVATED</t>
        </is>
      </c>
      <c r="F15" s="5" t="inlineStr">
        <is>
          <t>$60,417 open 8+ years</t>
        </is>
      </c>
    </row>
    <row r="16">
      <c r="B16" s="5" t="inlineStr">
        <is>
          <t>Worker Concentration (top 1)</t>
        </is>
      </c>
      <c r="C16" s="36" t="n">
        <v>0.09606929874200149</v>
      </c>
      <c r="D16" s="14" t="inlineStr">
        <is>
          <t>&lt;25%</t>
        </is>
      </c>
      <c r="E16" s="27" t="inlineStr">
        <is>
          <t>HEALTHY</t>
        </is>
      </c>
      <c r="F16" s="5" t="inlineStr">
        <is>
          <t>9.6% from single worker</t>
        </is>
      </c>
    </row>
    <row r="17">
      <c r="B17" s="5" t="inlineStr">
        <is>
          <t>Rough-in Labor Share</t>
        </is>
      </c>
      <c r="C17" s="36" t="n">
        <v>0.552822879031907</v>
      </c>
      <c r="D17" s="14" t="inlineStr">
        <is>
          <t>40-65%</t>
        </is>
      </c>
      <c r="E17" s="27" t="inlineStr">
        <is>
          <t>HEALTHY</t>
        </is>
      </c>
      <c r="F17" s="5" t="inlineStr">
        <is>
          <t>55% on rough-in</t>
        </is>
      </c>
    </row>
    <row r="18">
      <c r="B18" s="5" t="inlineStr">
        <is>
          <t>Rough-in Budget Variance</t>
        </is>
      </c>
      <c r="C18" s="36" t="n">
        <v>0.1832854022284035</v>
      </c>
      <c r="D18" s="14" t="inlineStr">
        <is>
          <t>±10%</t>
        </is>
      </c>
      <c r="E18" s="30" t="inlineStr">
        <is>
          <t>ELEVATED</t>
        </is>
      </c>
      <c r="F18" s="5" t="inlineStr">
        <is>
          <t>18.3% over</t>
        </is>
      </c>
    </row>
    <row r="19">
      <c r="B19" s="5" t="inlineStr">
        <is>
          <t>Permits Obtained</t>
        </is>
      </c>
      <c r="C19" s="14" t="n">
        <v>6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6 permits on file</t>
        </is>
      </c>
    </row>
    <row r="20">
      <c r="B20" s="5" t="inlineStr">
        <is>
          <t>Document Completeness</t>
        </is>
      </c>
      <c r="C20" s="14" t="inlineStr">
        <is>
          <t>HIGH</t>
        </is>
      </c>
      <c r="D20" s="14" t="inlineStr">
        <is>
          <t>Full CO/RFI/Submittal trail</t>
        </is>
      </c>
      <c r="E20" s="27" t="inlineStr">
        <is>
          <t>HEALTHY</t>
        </is>
      </c>
      <c r="F20" s="5" t="inlineStr">
        <is>
          <t>Contract, COs, RFIs, Submittals, Permits, POs, proposal all present</t>
        </is>
      </c>
    </row>
    <row r="23">
      <c r="B23" s="3" t="inlineStr">
        <is>
          <t>FORECAST MODELS</t>
        </is>
      </c>
    </row>
    <row r="24">
      <c r="B24" s="13" t="inlineStr">
        <is>
          <t>Forecast</t>
        </is>
      </c>
      <c r="C24" s="13" t="inlineStr">
        <is>
          <t>Current Estimate</t>
        </is>
      </c>
      <c r="D24" s="13" t="inlineStr">
        <is>
          <t>Confidence</t>
        </is>
      </c>
      <c r="E24" s="13" t="inlineStr">
        <is>
          <t>Driver</t>
        </is>
      </c>
      <c r="F24" s="13" t="inlineStr">
        <is>
          <t>Model Note</t>
        </is>
      </c>
    </row>
    <row r="25">
      <c r="B25" s="5" t="inlineStr">
        <is>
          <t>Final margin (actual)</t>
        </is>
      </c>
      <c r="C25" s="36" t="n">
        <v>0.3818498549246983</v>
      </c>
      <c r="D25" s="14" t="inlineStr">
        <is>
          <t>Actual</t>
        </is>
      </c>
      <c r="E25" s="14" t="inlineStr">
        <is>
          <t>Job closed</t>
        </is>
      </c>
      <c r="F25" s="5" t="inlineStr">
        <is>
          <t>38.2% — strong</t>
        </is>
      </c>
    </row>
    <row r="26">
      <c r="B26" s="5" t="inlineStr">
        <is>
          <t>Retainage collection probability</t>
        </is>
      </c>
      <c r="C26" s="14" t="inlineStr">
        <is>
          <t>MEDIUM (stale)</t>
        </is>
      </c>
      <c r="D26" s="14" t="inlineStr">
        <is>
          <t>Qualitative</t>
        </is>
      </c>
      <c r="E26" s="14" t="inlineStr">
        <is>
          <t>8+ years outstanding</t>
        </is>
      </c>
      <c r="F26" s="5" t="inlineStr">
        <is>
          <t>May require AR write-off or dispute</t>
        </is>
      </c>
    </row>
    <row r="27">
      <c r="B27" s="5" t="inlineStr">
        <is>
          <t>Composite risk score (0-100)</t>
        </is>
      </c>
      <c r="C27" s="14" t="n">
        <v>25</v>
      </c>
      <c r="D27" s="14" t="inlineStr">
        <is>
          <t>Low</t>
        </is>
      </c>
      <c r="E27" s="14" t="inlineStr">
        <is>
          <t>Stale retainage + small CO gap; otherwise clean</t>
        </is>
      </c>
      <c r="F27" s="5" t="inlineStr">
        <is>
          <t>Financials strong; docs strong</t>
        </is>
      </c>
    </row>
    <row r="28">
      <c r="B28" s="5" t="inlineStr">
        <is>
          <t>Would re-bid margin target</t>
        </is>
      </c>
      <c r="C28" s="14" t="inlineStr">
        <is>
          <t>≥38%</t>
        </is>
      </c>
      <c r="D28" s="14" t="inlineStr">
        <is>
          <t>Derived</t>
        </is>
      </c>
      <c r="E28" s="14" t="inlineStr">
        <is>
          <t>Historical close</t>
        </is>
      </c>
      <c r="F28" s="5" t="inlineStr">
        <is>
          <t>Assumes similar scope; tighten 120 rough-in labor estimating</t>
        </is>
      </c>
    </row>
    <row r="29">
      <c r="B29" s="5" t="inlineStr">
        <is>
          <t>Unit-level economics</t>
        </is>
      </c>
      <c r="C29" s="14" t="inlineStr">
        <is>
          <t>$13,134/unit rev, $5,015/unit profit</t>
        </is>
      </c>
      <c r="D29" s="14" t="inlineStr">
        <is>
          <t>Verified</t>
        </is>
      </c>
      <c r="E29" s="14" t="inlineStr">
        <is>
          <t>92 units from bid</t>
        </is>
      </c>
      <c r="F29" s="5" t="inlineStr">
        <is>
          <t>Benchmark for future multifamily bids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2025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2025 Job Detail Report.pdf (Sage Timberline, 04/03/2026, 126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Exxel Pacific Cora Apts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2025 Job Detail Report.pdf (Sage Timberline, 04/03/2026, 126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The Cora Apts @ 19 W Harrison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L1 220000 One Way Plumbing Fully Executed Subcontract ocr_d.pdf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Exxel Pacific, Inc.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L1 220000 One Way Plumbing Fully Executed Subcontract ocr_d.pdf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2025EP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2025 Job Detail Report.pdf (Sage Timberline, 04/03/2026, 126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19 W HARRISON LLC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L1 220000 One Way Plumbing Fully Executed Subcontract ocr_d.pdf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19 W Harrison St, Seattle WA 98109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L1 220000 One Way Plumbing Fully Executed Subcontract ocr_d.pdf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Multifamily Plumbing (New Construction)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Exxel 19 West Harrison Apartment proposal September 1 2015.pdf</t>
        </is>
      </c>
    </row>
    <row r="14">
      <c r="B14" s="14" t="n">
        <v>9</v>
      </c>
      <c r="C14" s="5" t="inlineStr">
        <is>
          <t>start_date</t>
        </is>
      </c>
      <c r="D14" s="5" t="inlineStr">
        <is>
          <t>Work Start</t>
        </is>
      </c>
      <c r="E14" s="14" t="inlineStr">
        <is>
          <t>2016-03-11</t>
        </is>
      </c>
      <c r="F14" s="14" t="inlineStr">
        <is>
          <t>date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2025 Job Detail Report.pdf (Sage Timberline, 04/03/2026, 126 pages)</t>
        </is>
      </c>
    </row>
    <row r="15">
      <c r="B15" s="14" t="n">
        <v>10</v>
      </c>
      <c r="C15" s="5" t="inlineStr">
        <is>
          <t>end_date</t>
        </is>
      </c>
      <c r="D15" s="5" t="inlineStr">
        <is>
          <t>Work End</t>
        </is>
      </c>
      <c r="E15" s="14" t="inlineStr">
        <is>
          <t>2017-08-18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2025 Job Detail Report.pdf (Sage Timberline, 04/03/2026, 126 pages)</t>
        </is>
      </c>
    </row>
    <row r="16">
      <c r="B16" s="14" t="n">
        <v>11</v>
      </c>
      <c r="C16" s="5" t="inlineStr">
        <is>
          <t>duration_months</t>
        </is>
      </c>
      <c r="D16" s="5" t="inlineStr">
        <is>
          <t>Duration (months)</t>
        </is>
      </c>
      <c r="E16" s="31" t="n">
        <v>17.3</v>
      </c>
      <c r="F16" s="14" t="inlineStr">
        <is>
          <t>months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Derived</t>
        </is>
      </c>
    </row>
    <row r="17">
      <c r="B17" s="14" t="n">
        <v>12</v>
      </c>
      <c r="C17" s="5" t="inlineStr">
        <is>
          <t>unit_count</t>
        </is>
      </c>
      <c r="D17" s="5" t="inlineStr">
        <is>
          <t>Unit Count</t>
        </is>
      </c>
      <c r="E17" s="37" t="n">
        <v>92</v>
      </c>
      <c r="F17" s="14" t="inlineStr">
        <is>
          <t>units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Exxel 19 West Harrison Apartment proposal September 1 2015.pdf</t>
        </is>
      </c>
    </row>
    <row r="18">
      <c r="B18" s="14" t="n">
        <v>13</v>
      </c>
      <c r="C18" s="5" t="inlineStr">
        <is>
          <t>ada_units</t>
        </is>
      </c>
      <c r="D18" s="5" t="inlineStr">
        <is>
          <t>ADA Type A Units</t>
        </is>
      </c>
      <c r="E18" s="37" t="n">
        <v>9</v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Exxel 19 West Harrison Apartment proposal September 1 2015.pdf</t>
        </is>
      </c>
    </row>
    <row r="19">
      <c r="B19" s="14" t="n">
        <v>14</v>
      </c>
      <c r="C19" s="5" t="inlineStr">
        <is>
          <t>wc_count</t>
        </is>
      </c>
      <c r="D19" s="5" t="inlineStr">
        <is>
          <t>WC Fixture Count</t>
        </is>
      </c>
      <c r="E19" s="37" t="n">
        <v>94</v>
      </c>
      <c r="F19" s="14" t="inlineStr">
        <is>
          <t>count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Exxel 19 West Harrison Apartment proposal September 1 2015.pdf</t>
        </is>
      </c>
    </row>
    <row r="20">
      <c r="B20" s="14" t="n">
        <v>15</v>
      </c>
      <c r="C20" s="5" t="inlineStr">
        <is>
          <t>lav_count</t>
        </is>
      </c>
      <c r="D20" s="5" t="inlineStr">
        <is>
          <t>Lavatory Count</t>
        </is>
      </c>
      <c r="E20" s="37" t="n">
        <v>94</v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Exxel 19 West Harrison Apartment proposal September 1 2015.pdf</t>
        </is>
      </c>
    </row>
    <row r="21">
      <c r="B21" s="14" t="n">
        <v>16</v>
      </c>
      <c r="C21" s="5" t="inlineStr">
        <is>
          <t>bath_count</t>
        </is>
      </c>
      <c r="D21" s="5" t="inlineStr">
        <is>
          <t>Bathing Fixture Count</t>
        </is>
      </c>
      <c r="E21" s="37" t="n">
        <v>92</v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Exxel 19 West Harrison Apartment proposal September 1 2015.pdf</t>
        </is>
      </c>
    </row>
    <row r="22">
      <c r="B22" s="14" t="n">
        <v>17</v>
      </c>
      <c r="C22" s="5" t="inlineStr">
        <is>
          <t>ks_count</t>
        </is>
      </c>
      <c r="D22" s="5" t="inlineStr">
        <is>
          <t>Kitchen Sink Count</t>
        </is>
      </c>
      <c r="E22" s="37" t="n">
        <v>76</v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Exxel 19 West Harrison Apartment proposal September 1 2015.pdf</t>
        </is>
      </c>
    </row>
    <row r="23">
      <c r="B23" s="14" t="n">
        <v>18</v>
      </c>
      <c r="C23" s="5" t="inlineStr">
        <is>
          <t>contract_original</t>
        </is>
      </c>
      <c r="D23" s="5" t="inlineStr">
        <is>
          <t>Contract Original</t>
        </is>
      </c>
      <c r="E23" s="32" t="n">
        <v>1179300</v>
      </c>
      <c r="F23" s="14" t="inlineStr">
        <is>
          <t>USD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L1 220000 One Way Plumbing Fully Executed Subcontract ocr_d.pdf</t>
        </is>
      </c>
    </row>
    <row r="24">
      <c r="B24" s="14" t="n">
        <v>19</v>
      </c>
      <c r="C24" s="5" t="inlineStr">
        <is>
          <t>contract_final</t>
        </is>
      </c>
      <c r="D24" s="5" t="inlineStr">
        <is>
          <t>Contract Final</t>
        </is>
      </c>
      <c r="E24" s="32" t="n">
        <v>1208338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2025 Job Detail Report.pdf (Sage Timberline, 04/03/2026, 126 pages)</t>
        </is>
      </c>
    </row>
    <row r="25">
      <c r="B25" s="14" t="n">
        <v>20</v>
      </c>
      <c r="C25" s="5" t="inlineStr">
        <is>
          <t>change_orders_implied</t>
        </is>
      </c>
      <c r="D25" s="5" t="inlineStr">
        <is>
          <t>COs (implied)</t>
        </is>
      </c>
      <c r="E25" s="32" t="n">
        <v>29038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2025 Job Detail Report.pdf (Sage Timberline, 04/03/2026, 126 pages)</t>
        </is>
      </c>
    </row>
    <row r="26">
      <c r="B26" s="14" t="n">
        <v>21</v>
      </c>
      <c r="C26" s="5" t="inlineStr">
        <is>
          <t>change_orders_documented</t>
        </is>
      </c>
      <c r="D26" s="5" t="inlineStr">
        <is>
          <t>COs (documented)</t>
        </is>
      </c>
      <c r="E26" s="32" t="n">
        <v>23333</v>
      </c>
      <c r="F26" s="14" t="inlineStr">
        <is>
          <t>USD</t>
        </is>
      </c>
      <c r="G26" s="14" t="inlineStr">
        <is>
          <t>Benchmark KPIs</t>
        </is>
      </c>
      <c r="H26" s="30" t="inlineStr">
        <is>
          <t>Medium</t>
        </is>
      </c>
      <c r="I26" s="5" t="inlineStr">
        <is>
          <t>CO folder</t>
        </is>
      </c>
    </row>
    <row r="27">
      <c r="B27" s="14" t="n">
        <v>22</v>
      </c>
      <c r="C27" s="5" t="inlineStr">
        <is>
          <t>co_count</t>
        </is>
      </c>
      <c r="D27" s="5" t="inlineStr">
        <is>
          <t>CO Count</t>
        </is>
      </c>
      <c r="E27" s="37" t="n">
        <v>6</v>
      </c>
      <c r="F27" s="14" t="inlineStr">
        <is>
          <t>count</t>
        </is>
      </c>
      <c r="G27" s="14" t="inlineStr">
        <is>
          <t>Change Log</t>
        </is>
      </c>
      <c r="H27" s="27" t="inlineStr">
        <is>
          <t>Verified</t>
        </is>
      </c>
      <c r="I27" s="5" t="inlineStr">
        <is>
          <t>CO folder</t>
        </is>
      </c>
    </row>
    <row r="28">
      <c r="B28" s="14" t="n">
        <v>23</v>
      </c>
      <c r="C28" s="5" t="inlineStr">
        <is>
          <t>co_pct</t>
        </is>
      </c>
      <c r="D28" s="5" t="inlineStr">
        <is>
          <t>CO % of Contract</t>
        </is>
      </c>
      <c r="E28" s="33" t="n">
        <v>0.02462308148901891</v>
      </c>
      <c r="F28" s="14" t="inlineStr">
        <is>
          <t>%</t>
        </is>
      </c>
      <c r="G28" s="14" t="inlineStr">
        <is>
          <t>Benchmark KPIs</t>
        </is>
      </c>
      <c r="H28" s="27" t="inlineStr">
        <is>
          <t>Verified</t>
        </is>
      </c>
      <c r="I28" s="5" t="inlineStr">
        <is>
          <t>Derived</t>
        </is>
      </c>
    </row>
    <row r="29">
      <c r="B29" s="14" t="n">
        <v>24</v>
      </c>
      <c r="C29" s="5" t="inlineStr">
        <is>
          <t>revenue</t>
        </is>
      </c>
      <c r="D29" s="5" t="inlineStr">
        <is>
          <t>Revenue</t>
        </is>
      </c>
      <c r="E29" s="32" t="n">
        <v>1208338</v>
      </c>
      <c r="F29" s="14" t="inlineStr">
        <is>
          <t>USD</t>
        </is>
      </c>
      <c r="G29" s="14" t="inlineStr">
        <is>
          <t>Benchmark KPIs</t>
        </is>
      </c>
      <c r="H29" s="27" t="inlineStr">
        <is>
          <t>Verified</t>
        </is>
      </c>
      <c r="I29" s="5" t="inlineStr">
        <is>
          <t>2025 Job Detail Report.pdf (Sage Timberline, 04/03/2026, 126 pages)</t>
        </is>
      </c>
    </row>
    <row r="30">
      <c r="B30" s="14" t="n">
        <v>25</v>
      </c>
      <c r="C30" s="5" t="inlineStr">
        <is>
          <t>direct_cost</t>
        </is>
      </c>
      <c r="D30" s="5" t="inlineStr">
        <is>
          <t>Direct Cost</t>
        </is>
      </c>
      <c r="E30" s="32" t="n">
        <v>746934.3100000001</v>
      </c>
      <c r="F30" s="14" t="inlineStr">
        <is>
          <t>USD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2025 Job Detail Report.pdf (Sage Timberline, 04/03/2026, 126 pages)</t>
        </is>
      </c>
    </row>
    <row r="31">
      <c r="B31" s="14" t="n">
        <v>26</v>
      </c>
      <c r="C31" s="5" t="inlineStr">
        <is>
          <t>net_profit</t>
        </is>
      </c>
      <c r="D31" s="5" t="inlineStr">
        <is>
          <t>Net Profit</t>
        </is>
      </c>
      <c r="E31" s="32" t="n">
        <v>461403.69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2025 Job Detail Report.pdf (Sage Timberline, 04/03/2026, 126 pages)</t>
        </is>
      </c>
    </row>
    <row r="32">
      <c r="B32" s="14" t="n">
        <v>27</v>
      </c>
      <c r="C32" s="5" t="inlineStr">
        <is>
          <t>gross_margin</t>
        </is>
      </c>
      <c r="D32" s="5" t="inlineStr">
        <is>
          <t>Gross Margin</t>
        </is>
      </c>
      <c r="E32" s="33" t="n">
        <v>0.3818498549246983</v>
      </c>
      <c r="F32" s="14" t="inlineStr">
        <is>
          <t>%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Derived</t>
        </is>
      </c>
    </row>
    <row r="33">
      <c r="B33" s="14" t="n">
        <v>28</v>
      </c>
      <c r="C33" s="5" t="inlineStr">
        <is>
          <t>retainage</t>
        </is>
      </c>
      <c r="D33" s="5" t="inlineStr">
        <is>
          <t>Retainage Outstanding</t>
        </is>
      </c>
      <c r="E33" s="32" t="n">
        <v>60416.9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2025 Job Detail Report.pdf (Sage Timberline, 04/03/2026, 126 pages)</t>
        </is>
      </c>
    </row>
    <row r="34">
      <c r="B34" s="14" t="n">
        <v>29</v>
      </c>
      <c r="C34" s="5" t="inlineStr">
        <is>
          <t>retainage_pct</t>
        </is>
      </c>
      <c r="D34" s="5" t="inlineStr">
        <is>
          <t>Retainage % of Revenue</t>
        </is>
      </c>
      <c r="E34" s="33" t="n">
        <v>0.05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labor_cost</t>
        </is>
      </c>
      <c r="D35" s="5" t="inlineStr">
        <is>
          <t>Labor Cost</t>
        </is>
      </c>
      <c r="E35" s="32" t="n">
        <v>287218.5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2025 Job Detail Report.pdf (Sage Timberline, 04/03/2026, 126 pages)</t>
        </is>
      </c>
    </row>
    <row r="36">
      <c r="B36" s="14" t="n">
        <v>31</v>
      </c>
      <c r="C36" s="5" t="inlineStr">
        <is>
          <t>material_cost</t>
        </is>
      </c>
      <c r="D36" s="5" t="inlineStr">
        <is>
          <t>Material Cost</t>
        </is>
      </c>
      <c r="E36" s="32" t="n">
        <v>263607.67</v>
      </c>
      <c r="F36" s="14" t="inlineStr">
        <is>
          <t>USD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2025 Job Detail Report.pdf (Sage Timberline, 04/03/2026, 126 pages)</t>
        </is>
      </c>
    </row>
    <row r="37">
      <c r="B37" s="14" t="n">
        <v>32</v>
      </c>
      <c r="C37" s="5" t="inlineStr">
        <is>
          <t>overhead_cost</t>
        </is>
      </c>
      <c r="D37" s="5" t="inlineStr">
        <is>
          <t>Subcon+OH Cost</t>
        </is>
      </c>
      <c r="E37" s="32" t="n">
        <v>46749.16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2025 Job Detail Report.pdf (Sage Timberline, 04/03/2026, 126 pages)</t>
        </is>
      </c>
    </row>
    <row r="38">
      <c r="B38" s="14" t="n">
        <v>33</v>
      </c>
      <c r="C38" s="5" t="inlineStr">
        <is>
          <t>burden_cost</t>
        </is>
      </c>
      <c r="D38" s="5" t="inlineStr">
        <is>
          <t>Burden Cost</t>
        </is>
      </c>
      <c r="E38" s="32" t="n">
        <v>127300.38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2025 Job Detail Report.pdf (Sage Timberline, 04/03/2026, 126 pages)</t>
        </is>
      </c>
    </row>
    <row r="39">
      <c r="B39" s="14" t="n">
        <v>34</v>
      </c>
      <c r="C39" s="5" t="inlineStr">
        <is>
          <t>tax_cost</t>
        </is>
      </c>
      <c r="D39" s="5" t="inlineStr">
        <is>
          <t>Tax Cost</t>
        </is>
      </c>
      <c r="E39" s="32" t="n">
        <v>21978.6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2025 Job Detail Report.pdf (Sage Timberline, 04/03/2026, 126 pages)</t>
        </is>
      </c>
    </row>
    <row r="40">
      <c r="B40" s="14" t="n">
        <v>35</v>
      </c>
      <c r="C40" s="5" t="inlineStr">
        <is>
          <t>total_hours</t>
        </is>
      </c>
      <c r="D40" s="5" t="inlineStr">
        <is>
          <t>Total Labor Hours</t>
        </is>
      </c>
      <c r="E40" s="31" t="n">
        <v>11486.5</v>
      </c>
      <c r="F40" s="14" t="inlineStr">
        <is>
          <t>hours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2025 Job Detail Report.pdf (Sage Timberline, 04/03/2026, 126 pages)</t>
        </is>
      </c>
    </row>
    <row r="41">
      <c r="B41" s="14" t="n">
        <v>36</v>
      </c>
      <c r="C41" s="5" t="inlineStr">
        <is>
          <t>total_workers</t>
        </is>
      </c>
      <c r="D41" s="5" t="inlineStr">
        <is>
          <t>Total Workers</t>
        </is>
      </c>
      <c r="E41" s="37" t="n">
        <v>36</v>
      </c>
      <c r="F41" s="14" t="inlineStr">
        <is>
          <t>count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2025 Job Detail Report.pdf (Sage Timberline, 04/03/2026, 126 pages)</t>
        </is>
      </c>
    </row>
    <row r="42">
      <c r="B42" s="14" t="n">
        <v>37</v>
      </c>
      <c r="C42" s="5" t="inlineStr">
        <is>
          <t>blended_gross_wage</t>
        </is>
      </c>
      <c r="D42" s="5" t="inlineStr">
        <is>
          <t>Blended Gross Wage</t>
        </is>
      </c>
      <c r="E42" s="32" t="n">
        <v>25.00487528838201</v>
      </c>
      <c r="F42" s="14" t="inlineStr">
        <is>
          <t>USD/hr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Derived</t>
        </is>
      </c>
    </row>
    <row r="43">
      <c r="B43" s="14" t="n">
        <v>38</v>
      </c>
      <c r="C43" s="5" t="inlineStr">
        <is>
          <t>fully_loaded_wage</t>
        </is>
      </c>
      <c r="D43" s="5" t="inlineStr">
        <is>
          <t>Fully-Loaded Wage</t>
        </is>
      </c>
      <c r="E43" s="32" t="n">
        <v>38.00091237539721</v>
      </c>
      <c r="F43" s="14" t="inlineStr">
        <is>
          <t>USD/hr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Derived</t>
        </is>
      </c>
    </row>
    <row r="44">
      <c r="B44" s="14" t="n">
        <v>39</v>
      </c>
      <c r="C44" s="5" t="inlineStr">
        <is>
          <t>burden_multiplier</t>
        </is>
      </c>
      <c r="D44" s="5" t="inlineStr">
        <is>
          <t>Burden Multiplier</t>
        </is>
      </c>
      <c r="E44" s="34" t="n">
        <v>1.519740128160268</v>
      </c>
      <c r="F44" s="14" t="inlineStr">
        <is>
          <t>x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revenue_per_hour</t>
        </is>
      </c>
      <c r="D45" s="5" t="inlineStr">
        <is>
          <t>Revenue per Hour</t>
        </is>
      </c>
      <c r="E45" s="32" t="n">
        <v>105.1963609454577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profit_per_hour</t>
        </is>
      </c>
      <c r="D46" s="5" t="inlineStr">
        <is>
          <t>Profit per Hour</t>
        </is>
      </c>
      <c r="E46" s="32" t="n">
        <v>40.16921516562922</v>
      </c>
      <c r="F46" s="14" t="inlineStr">
        <is>
          <t>USD/hr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revenue_per_unit</t>
        </is>
      </c>
      <c r="D47" s="5" t="inlineStr">
        <is>
          <t>Revenue per Unit</t>
        </is>
      </c>
      <c r="E47" s="32" t="n">
        <v>13134.10869565217</v>
      </c>
      <c r="F47" s="14" t="inlineStr">
        <is>
          <t>USD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cost_per_unit</t>
        </is>
      </c>
      <c r="D48" s="5" t="inlineStr">
        <is>
          <t>Direct Cost per Unit</t>
        </is>
      </c>
      <c r="E48" s="32" t="n">
        <v>8118.851195652174</v>
      </c>
      <c r="F48" s="14" t="inlineStr">
        <is>
          <t>USD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hours_per_unit</t>
        </is>
      </c>
      <c r="D49" s="5" t="inlineStr">
        <is>
          <t>Labor Hours per Unit</t>
        </is>
      </c>
      <c r="E49" s="31" t="n">
        <v>124.8532608695652</v>
      </c>
      <c r="F49" s="14" t="inlineStr">
        <is>
          <t>hours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labor_pct_revenue</t>
        </is>
      </c>
      <c r="D50" s="5" t="inlineStr">
        <is>
          <t>Labor % of Revenue</t>
        </is>
      </c>
      <c r="E50" s="33" t="n">
        <v>0.2376971509627273</v>
      </c>
      <c r="F50" s="14" t="inlineStr">
        <is>
          <t>%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material_pct_revenue</t>
        </is>
      </c>
      <c r="D51" s="5" t="inlineStr">
        <is>
          <t>Material % of Revenue</t>
        </is>
      </c>
      <c r="E51" s="33" t="n">
        <v>0.2181572291858735</v>
      </c>
      <c r="F51" s="14" t="inlineStr">
        <is>
          <t>%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total_vendors</t>
        </is>
      </c>
      <c r="D52" s="5" t="inlineStr">
        <is>
          <t>Total Vendors (AP)</t>
        </is>
      </c>
      <c r="E52" s="37" t="n">
        <v>25</v>
      </c>
      <c r="F52" s="14" t="inlineStr">
        <is>
          <t>count</t>
        </is>
      </c>
      <c r="G52" s="14" t="inlineStr">
        <is>
          <t>Vendors</t>
        </is>
      </c>
      <c r="H52" s="27" t="inlineStr">
        <is>
          <t>Verified</t>
        </is>
      </c>
      <c r="I52" s="5" t="inlineStr">
        <is>
          <t>2025 Job Detail Report.pdf (Sage Timberline, 04/03/2026, 126 pages)</t>
        </is>
      </c>
    </row>
    <row r="53">
      <c r="B53" s="14" t="n">
        <v>48</v>
      </c>
      <c r="C53" s="5" t="inlineStr">
        <is>
          <t>total_invoices</t>
        </is>
      </c>
      <c r="D53" s="5" t="inlineStr">
        <is>
          <t>Total Invoices (AR)</t>
        </is>
      </c>
      <c r="E53" s="37" t="n">
        <v>19</v>
      </c>
      <c r="F53" s="14" t="inlineStr">
        <is>
          <t>count</t>
        </is>
      </c>
      <c r="G53" s="14" t="inlineStr">
        <is>
          <t>Billing &amp; SOV</t>
        </is>
      </c>
      <c r="H53" s="27" t="inlineStr">
        <is>
          <t>Verified</t>
        </is>
      </c>
      <c r="I53" s="5" t="inlineStr">
        <is>
          <t>2025 Job Detail Report.pdf (Sage Timberline, 04/03/2026, 126 pages)</t>
        </is>
      </c>
    </row>
    <row r="54">
      <c r="B54" s="14" t="n">
        <v>49</v>
      </c>
      <c r="C54" s="5" t="inlineStr">
        <is>
          <t>rfi_count</t>
        </is>
      </c>
      <c r="D54" s="5" t="inlineStr">
        <is>
          <t>RFI Count</t>
        </is>
      </c>
      <c r="E54" s="37" t="n">
        <v>30</v>
      </c>
      <c r="F54" s="14" t="inlineStr">
        <is>
          <t>count</t>
        </is>
      </c>
      <c r="G54" s="14" t="inlineStr">
        <is>
          <t>Change Log</t>
        </is>
      </c>
      <c r="H54" s="27" t="inlineStr">
        <is>
          <t>Verified</t>
        </is>
      </c>
      <c r="I54" s="5" t="inlineStr">
        <is>
          <t>ASI-RFI + Dropbox</t>
        </is>
      </c>
    </row>
    <row r="55">
      <c r="B55" s="14" t="n">
        <v>50</v>
      </c>
      <c r="C55" s="5" t="inlineStr">
        <is>
          <t>asi_count</t>
        </is>
      </c>
      <c r="D55" s="5" t="inlineStr">
        <is>
          <t>ASI Count</t>
        </is>
      </c>
      <c r="E55" s="37" t="n">
        <v>1</v>
      </c>
      <c r="F55" s="14" t="inlineStr">
        <is>
          <t>count</t>
        </is>
      </c>
      <c r="G55" s="14" t="inlineStr">
        <is>
          <t>Change Log</t>
        </is>
      </c>
      <c r="H55" s="27" t="inlineStr">
        <is>
          <t>Verified</t>
        </is>
      </c>
      <c r="I55" s="5" t="inlineStr">
        <is>
          <t>ASI-RFI</t>
        </is>
      </c>
    </row>
    <row r="56">
      <c r="B56" s="14" t="n">
        <v>51</v>
      </c>
      <c r="C56" s="5" t="inlineStr">
        <is>
          <t>submittal_count</t>
        </is>
      </c>
      <c r="D56" s="5" t="inlineStr">
        <is>
          <t>Submittal Count</t>
        </is>
      </c>
      <c r="E56" s="37" t="n">
        <v>30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Submittals</t>
        </is>
      </c>
    </row>
    <row r="57">
      <c r="B57" s="14" t="n">
        <v>52</v>
      </c>
      <c r="C57" s="5" t="inlineStr">
        <is>
          <t>permit_count</t>
        </is>
      </c>
      <c r="D57" s="5" t="inlineStr">
        <is>
          <t>Permit Count</t>
        </is>
      </c>
      <c r="E57" s="37" t="n">
        <v>6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Permits</t>
        </is>
      </c>
    </row>
    <row r="58">
      <c r="B58" s="14" t="n">
        <v>53</v>
      </c>
      <c r="C58" s="5" t="inlineStr">
        <is>
          <t>po_count</t>
        </is>
      </c>
      <c r="D58" s="5" t="inlineStr">
        <is>
          <t>PO Count</t>
        </is>
      </c>
      <c r="E58" s="37" t="n">
        <v>82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POs</t>
        </is>
      </c>
    </row>
    <row r="59">
      <c r="B59" s="14" t="n">
        <v>54</v>
      </c>
      <c r="C59" s="5" t="inlineStr">
        <is>
          <t>top_worker_hours_share</t>
        </is>
      </c>
      <c r="D59" s="5" t="inlineStr">
        <is>
          <t>Top Worker Hours Share</t>
        </is>
      </c>
      <c r="E59" s="33" t="n">
        <v>0.09606929874200149</v>
      </c>
      <c r="F59" s="14" t="inlineStr">
        <is>
          <t>%</t>
        </is>
      </c>
      <c r="G59" s="14" t="inlineStr">
        <is>
          <t>Crew Analytics</t>
        </is>
      </c>
      <c r="H59" s="27" t="inlineStr">
        <is>
          <t>Verified</t>
        </is>
      </c>
      <c r="I59" s="5" t="inlineStr">
        <is>
          <t>Derived</t>
        </is>
      </c>
    </row>
    <row r="60">
      <c r="B60" s="14" t="n">
        <v>55</v>
      </c>
      <c r="C60" s="5" t="inlineStr">
        <is>
          <t>top5_worker_hours_share</t>
        </is>
      </c>
      <c r="D60" s="5" t="inlineStr">
        <is>
          <t>Top 5 Worker Hours Share</t>
        </is>
      </c>
      <c r="E60" s="33" t="n">
        <v>0.417925390676011</v>
      </c>
      <c r="F60" s="14" t="inlineStr">
        <is>
          <t>%</t>
        </is>
      </c>
      <c r="G60" s="14" t="inlineStr">
        <is>
          <t>Crew Analytics</t>
        </is>
      </c>
      <c r="H60" s="27" t="inlineStr">
        <is>
          <t>Verified</t>
        </is>
      </c>
      <c r="I60" s="5" t="inlineStr">
        <is>
          <t>Derived</t>
        </is>
      </c>
    </row>
    <row r="61">
      <c r="B61" s="14" t="n">
        <v>56</v>
      </c>
      <c r="C61" s="5" t="inlineStr">
        <is>
          <t>cost_code_count</t>
        </is>
      </c>
      <c r="D61" s="5" t="inlineStr">
        <is>
          <t>Cost Codes Active</t>
        </is>
      </c>
      <c r="E61" s="37" t="n">
        <v>27</v>
      </c>
      <c r="F61" s="14" t="inlineStr">
        <is>
          <t>count</t>
        </is>
      </c>
      <c r="G61" s="14" t="inlineStr">
        <is>
          <t>Budget vs Actual</t>
        </is>
      </c>
      <c r="H61" s="27" t="inlineStr">
        <is>
          <t>Verified</t>
        </is>
      </c>
      <c r="I61" s="5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1208338</v>
      </c>
      <c r="E6" s="20" t="n">
        <v>1208338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746934.3100000001</v>
      </c>
      <c r="E7" s="20" t="n">
        <v>746854.3099999999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461403.69</v>
      </c>
      <c r="E8" s="20" t="n">
        <v>461403.6899999999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746934.3099999999</v>
      </c>
      <c r="E9" s="20" t="n">
        <v>746934.3100000001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1208338</v>
      </c>
      <c r="E10" s="20" t="n">
        <v>1208338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11486.5</v>
      </c>
      <c r="E11" s="20" t="n">
        <v>11773.5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287218.5</v>
      </c>
      <c r="E12" s="20" t="n">
        <v>287243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271893.26</v>
      </c>
      <c r="E13" s="20" t="n">
        <v>271893.26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19</v>
      </c>
      <c r="E14" s="39" t="n">
        <v>19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29038</v>
      </c>
      <c r="E15" s="20" t="n">
        <v>29038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(gap)</t>
        </is>
      </c>
      <c r="D16" s="20" t="n">
        <v>29038</v>
      </c>
      <c r="E16" s="20" t="n">
        <v>23333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8↔13</t>
        </is>
      </c>
    </row>
    <row r="17">
      <c r="B17" s="14" t="n">
        <v>12</v>
      </c>
      <c r="C17" s="5" t="inlineStr">
        <is>
          <t>Retainage outstanding</t>
        </is>
      </c>
      <c r="D17" s="20" t="n">
        <v>60416.9</v>
      </c>
      <c r="E17" s="20" t="n">
        <v>60416.9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36</v>
      </c>
      <c r="E18" s="39" t="n">
        <v>36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5↔11</t>
        </is>
      </c>
    </row>
    <row r="19">
      <c r="B19" s="14" t="n">
        <v>14</v>
      </c>
      <c r="C19" s="5" t="inlineStr">
        <is>
          <t>Cost code count</t>
        </is>
      </c>
      <c r="D19" s="39" t="n">
        <v>27</v>
      </c>
      <c r="E19" s="39" t="n">
        <v>27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#2025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2025 Job Detail Report.pdf (Sage Timberline, 04/03/2026, 126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$1,208,338.00 / Expenses $746,934.31 / Net $461,403.69 / Retainage $60,416.90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$38,463.57 · AP $271,893.26 · PR $436,577.48 · AR $1,208,338.00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L1 220000 One Way Plumbing Fully Executed Subcontract ocr_d.pdf (Lump Sum $1,179,300.00 to 19 W HARRISON LLC, 19 W Harrison)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Proposal: Exxel 19 West Harrison Apartment proposal September 1 2015.pdf (detailed fixture quantities — 92 units)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P-tag schedule: 19 W Harrison working copy of P-tag list  front page detail.xlsx (22 fixture + 16 equipment tags, gas loads, connections)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Plumbing narrative: 19 W Harrison plumbing narrative.pdf (Div 22 spec, Seattle Building Code 2012 + UPC 2012-WA)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Change Orders: 6 executed (CO#01-06, sum $23,333 documented)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RFIs: 30 total (18 + 1 ASI primary folder; 12 dropbox field tablets)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Submittals: 30 total (19 fixture + 10 material + 1 UG)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Permits: 6 total (backflow, boiler x2, gas, plumbing, temp gas)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POs: 82 total (7 placed / 19 scheduled / 56 completed)</t>
        </is>
      </c>
      <c r="C35" s="6" t="n"/>
      <c r="D35" s="6" t="n"/>
      <c r="E35" s="6" t="n"/>
      <c r="F35" s="6" t="n"/>
      <c r="G35" s="6" t="n"/>
      <c r="H35" s="7" t="n"/>
    </row>
    <row r="36">
      <c r="B36" s="8" t="inlineStr">
        <is>
          <t>Unresolved: CO gap $29,038 JDR-implied vs $23,333 documented = $5,705 delta</t>
        </is>
      </c>
      <c r="C36" s="6" t="n"/>
      <c r="D36" s="6" t="n"/>
      <c r="E36" s="6" t="n"/>
      <c r="F36" s="6" t="n"/>
      <c r="G36" s="6" t="n"/>
      <c r="H36" s="7" t="n"/>
    </row>
    <row r="37">
      <c r="B37" s="8" t="inlineStr">
        <is>
          <t>TIES = within $1  ·  WITHIN = within 5%  ·  OFF = investigate</t>
        </is>
      </c>
      <c r="C37" s="6" t="n"/>
      <c r="D37" s="6" t="n"/>
      <c r="E37" s="6" t="n"/>
      <c r="F37" s="6" t="n"/>
      <c r="G37" s="6" t="n"/>
      <c r="H37" s="7" t="n"/>
    </row>
  </sheetData>
  <mergeCells count="17">
    <mergeCell ref="B36:H36"/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37:H37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2026-04-14T14:23:35Z</dcterms:created>
  <dcterms:modified xmlns:dcterms="http://purl.org/dc/terms/" xmlns:xsi="http://www.w3.org/2001/XMLSchema-instance" xsi:type="dcterms:W3CDTF">2026-04-14T14:23:36Z</dcterms:modified>
</cp:coreProperties>
</file>