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<sst xmlns="http://schemas.openxmlformats.org/spreadsheetml/2006/main" count="1450" uniqueCount="755">
  <si>
    <t xml:space="preserve">Job #2001 · SRM 230 Broadway Apartments</t>
  </si>
  <si>
    <t xml:space="preserve">Cortex JCR Summary  •  SRM Development  •  230 Broadway, Seattle, WA 98102  •  282-unit 7-story multifamily apartments with retail and amenity spaces  •  Apr 2011 – Sep 2012 (~18 months)</t>
  </si>
  <si>
    <t xml:space="preserve">PROJECT OVERVIEW</t>
  </si>
  <si>
    <t xml:space="preserve">Project Job #</t>
  </si>
  <si>
    <t xml:space="preserve">2001</t>
  </si>
  <si>
    <t xml:space="preserve">Project Name:</t>
  </si>
  <si>
    <t xml:space="preserve">SRM 230 Broadway Apartments</t>
  </si>
  <si>
    <t xml:space="preserve">General Contractor</t>
  </si>
  <si>
    <t xml:space="preserve">SRM Development</t>
  </si>
  <si>
    <t xml:space="preserve">Location</t>
  </si>
  <si>
    <t xml:space="preserve">230 Broadway, Seattle, WA 98102</t>
  </si>
  <si>
    <t xml:space="preserve">Project Duration</t>
  </si>
  <si>
    <t xml:space="preserve">Apr 2011 – Sep 2012 (~18 months)</t>
  </si>
  <si>
    <t xml:space="preserve">Total Unique Documents</t>
  </si>
  <si>
    <t xml:space="preserve">Project folder: Contract (SRM Development + One Way Plumbing), Billing (aggregate + 18 SOVs), POs (228 scheduled), Permits (gas, boiler), Design sets, ASIs, As-builts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</si>
  <si>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</si>
  <si>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</si>
  <si>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</si>
  <si>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</si>
  <si>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$2,121,874</t>
  </si>
  <si>
    <t xml:space="preserve">$832,972</t>
  </si>
  <si>
    <t xml:space="preserve">$1,288,901</t>
  </si>
  <si>
    <t xml:space="preserve">20,280</t>
  </si>
  <si>
    <t xml:space="preserve">Original $1,850,270 + $0 COs</t>
  </si>
  <si>
    <t xml:space="preserve">39.3% margin</t>
  </si>
  <si>
    <t xml:space="preserve">60.7% of revenue</t>
  </si>
  <si>
    <t xml:space="preserve">27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</si>
  <si>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</si>
  <si>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</si>
  <si>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</si>
  <si>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</si>
  <si>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</si>
  <si>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</si>
  <si>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</si>
  <si>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</si>
  <si>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</si>
  <si>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</si>
  <si>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</si>
  <si>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</si>
  <si>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</si>
  <si>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</si>
  <si>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</si>
  <si>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Residential Units</t>
  </si>
  <si>
    <t xml:space="preserve">282</t>
  </si>
  <si>
    <t xml:space="preserve">Water Closets</t>
  </si>
  <si>
    <t xml:space="preserve">285</t>
  </si>
  <si>
    <t xml:space="preserve">Lavatories</t>
  </si>
  <si>
    <t xml:space="preserve">Kitchen Sinks</t>
  </si>
  <si>
    <t xml:space="preserve">234</t>
  </si>
  <si>
    <t xml:space="preserve">Dishwashers</t>
  </si>
  <si>
    <t xml:space="preserve">Tubs/Showers</t>
  </si>
  <si>
    <t xml:space="preserve">277</t>
  </si>
  <si>
    <t xml:space="preserve">Shower Stalls</t>
  </si>
  <si>
    <t xml:space="preserve">12</t>
  </si>
  <si>
    <t xml:space="preserve">Floor Drains</t>
  </si>
  <si>
    <t xml:space="preserve">TBD</t>
  </si>
  <si>
    <t xml:space="preserve">Roof Drains</t>
  </si>
  <si>
    <t xml:space="preserve">30</t>
  </si>
  <si>
    <t xml:space="preserve">Total Fixtures</t>
  </si>
  <si>
    <t xml:space="preserve">1315</t>
  </si>
  <si>
    <t xml:space="preserve">Fixtures / Unit</t>
  </si>
  <si>
    <t xml:space="preserve">4.66</t>
  </si>
  <si>
    <t xml:space="preserve">Floors</t>
  </si>
  <si>
    <t xml:space="preserve">7 stories + retail + amenity</t>
  </si>
  <si>
    <t xml:space="preserve">Duration</t>
  </si>
  <si>
    <t xml:space="preserve">18 mo</t>
  </si>
  <si>
    <t xml:space="preserve">SOURCES</t>
  </si>
  <si>
    <t xml:space="preserve">Job #2001 — SRM 230 Broadway Apartments  •  GC: SRM Development  •  230 Broadway, Seattle</t>
  </si>
  <si>
    <t xml:space="preserve">Canonical source: 2001 Job Detail Report.pdf (180 pages, OWP Sage Timberline export)</t>
  </si>
  <si>
    <t xml:space="preserve">Cost codes parsed: 29</t>
  </si>
  <si>
    <t xml:space="preserve">Unit count (282) from plumbing bid sheet: 270 standard units + 12 ADA units</t>
  </si>
  <si>
    <t xml:space="preserve">Fixture count (1315) from material takeoff: 285 WC + 285 lav + 234 kitchen sink + 234 DW + 265 tub + 12 shower + additional drains</t>
  </si>
  <si>
    <t xml:space="preserve">Contract: One Way Plumbing contract executed (SRM Development GC) with OWP markup</t>
  </si>
  <si>
    <t xml:space="preserve">Billing: 230 BROADWAY AGGREGATE BILLING.xls (18 pay apps Apr 2011 – Sep 2012) + 17 SOV files</t>
  </si>
  <si>
    <t xml:space="preserve">Final contract $2,121,874 (original $1,850,270 + $0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</si>
  <si>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</si>
  <si>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</si>
  <si>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</si>
  <si>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</si>
  <si>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</si>
  <si>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</si>
  <si>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</si>
  <si>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</si>
  <si>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</si>
  <si>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</si>
  <si>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</si>
  <si>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</si>
  <si>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</si>
  <si>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</si>
  <si>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</si>
  <si>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</si>
  <si>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</si>
  <si>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</si>
  <si>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</si>
  <si>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</si>
  <si>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</si>
  <si>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</si>
  <si>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</si>
  <si>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</si>
  <si>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</si>
  <si>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</si>
  <si>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</si>
  <si>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</si>
  <si>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</si>
  <si>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</si>
  <si>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</si>
  <si>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</si>
  <si>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</si>
  <si>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</si>
  <si>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</si>
  <si>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</si>
  <si>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</si>
  <si>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</si>
  <si>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</si>
  <si>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</si>
  <si>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</si>
  <si>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</si>
  <si>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</si>
  <si>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</si>
  <si>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</si>
  <si>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</si>
  <si>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</si>
  <si>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</si>
  <si>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</si>
  <si>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</si>
  <si>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</si>
  <si>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</si>
  <si>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</si>
  <si>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</si>
  <si>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</si>
  <si>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</si>
  <si>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</si>
  <si>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</si>
  <si>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</si>
  <si>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</si>
  <si>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</si>
  <si>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</si>
  <si>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</si>
  <si>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</si>
  <si>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</si>
  <si>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</si>
  <si>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</si>
  <si>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</si>
  <si>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</si>
  <si>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</si>
  <si>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</si>
  <si>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</si>
  <si>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</si>
  <si>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</si>
  <si>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</si>
  <si>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</si>
  <si>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</si>
  <si>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</si>
  <si>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$637,991 JDR material  •  16 AP vendors  •  $739,309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</si>
  <si>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</si>
  <si>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</si>
  <si>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</si>
  <si>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</si>
  <si>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</si>
  <si>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</si>
  <si>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</si>
  <si>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</si>
  <si>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</si>
  <si>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</si>
  <si>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Keller Supply Company</t>
  </si>
  <si>
    <t xml:space="preserve">Mechanical Sales, Inc.</t>
  </si>
  <si>
    <t xml:space="preserve">Franklin Engineering</t>
  </si>
  <si>
    <t xml:space="preserve">Bank of America CC</t>
  </si>
  <si>
    <t xml:space="preserve">Quality Concrete Products, Inc.</t>
  </si>
  <si>
    <t xml:space="preserve">Evergreen Concrete Cutting, Inc.</t>
  </si>
  <si>
    <t xml:space="preserve">Ferguson Enterprises, Inc. #3007</t>
  </si>
  <si>
    <t xml:space="preserve">MP Industrial</t>
  </si>
  <si>
    <t xml:space="preserve">C.M. Hoskins Company</t>
  </si>
  <si>
    <t xml:space="preserve">Herc Rentals, Inc.</t>
  </si>
  <si>
    <t xml:space="preserve">MAD Concrete Cutting &amp; Coring, Inc.</t>
  </si>
  <si>
    <t xml:space="preserve">Fastenal Company</t>
  </si>
  <si>
    <t xml:space="preserve">DRSi</t>
  </si>
  <si>
    <t xml:space="preserve">R.A. Brown Backflow Testing</t>
  </si>
  <si>
    <t xml:space="preserve">Airgas USA, LLC</t>
  </si>
  <si>
    <t xml:space="preserve">Vendor AP ties to JDR 'by Source: AP' line (739,308.90)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</si>
  <si>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</si>
  <si>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</si>
  <si>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</si>
  <si>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</si>
  <si>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</si>
  <si>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</si>
  <si>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Hubbard, Robert W</t>
  </si>
  <si>
    <t xml:space="preserve">Senior</t>
  </si>
  <si>
    <t xml:space="preserve">McCabe, Thomas C</t>
  </si>
  <si>
    <t xml:space="preserve">Apprentice</t>
  </si>
  <si>
    <t xml:space="preserve">Sepulveda Gonzalez, Alfredo</t>
  </si>
  <si>
    <t xml:space="preserve">Mid</t>
  </si>
  <si>
    <t xml:space="preserve">Barnhart, Joseph N</t>
  </si>
  <si>
    <t xml:space="preserve">Ross, Kelli M</t>
  </si>
  <si>
    <t xml:space="preserve">Hubbard, Dustin R</t>
  </si>
  <si>
    <t xml:space="preserve">Palma Vides, Hugo</t>
  </si>
  <si>
    <t xml:space="preserve">Reed, Reuben H</t>
  </si>
  <si>
    <t xml:space="preserve">Quintanilla, Esteban R</t>
  </si>
  <si>
    <t xml:space="preserve">Sanders, Allen O</t>
  </si>
  <si>
    <t xml:space="preserve">Castro Hernandez, Carlos E</t>
  </si>
  <si>
    <t xml:space="preserve">Mazil, Antonio</t>
  </si>
  <si>
    <t xml:space="preserve">Cortes Mendiola, Victor H</t>
  </si>
  <si>
    <t xml:space="preserve">Gerard, Jeffrey S</t>
  </si>
  <si>
    <t xml:space="preserve">Soto Cruz, Jovani</t>
  </si>
  <si>
    <t xml:space="preserve">Meza Fuentes, Erick A</t>
  </si>
  <si>
    <t xml:space="preserve">Veley, Nathaniel S</t>
  </si>
  <si>
    <t xml:space="preserve">Slaton, Justin T</t>
  </si>
  <si>
    <t xml:space="preserve">Bravo, Manuel D</t>
  </si>
  <si>
    <t xml:space="preserve">Paco Leyva, Orlando</t>
  </si>
  <si>
    <t xml:space="preserve">Arreola, Israel A</t>
  </si>
  <si>
    <t xml:space="preserve">Gerard, Jordan E</t>
  </si>
  <si>
    <t xml:space="preserve">Waites, Thaddeus Z</t>
  </si>
  <si>
    <t xml:space="preserve">Michelman, Joshua M</t>
  </si>
  <si>
    <t xml:space="preserve">Morelos, Silverio</t>
  </si>
  <si>
    <t xml:space="preserve">Outson, Tyler C</t>
  </si>
  <si>
    <t xml:space="preserve">Rivera Romera, Arturo</t>
  </si>
  <si>
    <t xml:space="preserve">TOTAL (27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</si>
  <si>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</si>
  <si>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</si>
  <si>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</si>
  <si>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</si>
  <si>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</si>
  <si>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</si>
  <si>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</si>
  <si>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</si>
  <si>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</si>
  <si>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</si>
  <si>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</si>
  <si>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</si>
  <si>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</si>
  <si>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</si>
  <si>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</si>
  <si>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</si>
  <si>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</si>
  <si>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</si>
  <si>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</si>
  <si>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</si>
  <si>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</si>
  <si>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</si>
  <si>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</si>
  <si>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</si>
  <si>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</si>
  <si>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</si>
  <si>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</si>
  <si>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</si>
  <si>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</si>
  <si>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</si>
  <si>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</si>
  <si>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</si>
  <si>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</si>
  <si>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</si>
  <si>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</si>
  <si>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</si>
  <si>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</si>
  <si>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</si>
  <si>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</si>
  <si>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</si>
  <si>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</si>
  <si>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</si>
  <si>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</si>
  <si>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</si>
  <si>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</si>
  <si>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</si>
  <si>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</si>
  <si>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</si>
  <si>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</si>
  <si>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</si>
  <si>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</si>
  <si>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</si>
  <si>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</si>
  <si>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</si>
  <si>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</si>
  <si>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</si>
  <si>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</si>
  <si>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</si>
  <si>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</si>
  <si>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0 unique POs  •  PO amounts not dollar-parsed from individual PDFs  •  JDR material $637,991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</si>
  <si>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</si>
  <si>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</si>
  <si>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</si>
  <si>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</si>
  <si>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</si>
  <si>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</si>
  <si>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B. COMMITMENTS BY VENDOR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</si>
  <si>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</si>
  <si>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</si>
  <si>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</si>
  <si>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</si>
  <si>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</si>
  <si>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</si>
  <si>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</si>
  <si>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18 pay applications  •  Apr 2011 – Sep 2012  •  $2,121,874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</si>
  <si>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</si>
  <si>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</si>
  <si>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</si>
  <si>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</si>
  <si>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</si>
  <si>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</si>
  <si>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</si>
  <si>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</si>
  <si>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</si>
  <si>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</si>
  <si>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</si>
  <si>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</si>
  <si>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</si>
  <si>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</si>
  <si>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2011-04-25</t>
  </si>
  <si>
    <t xml:space="preserve">2011-05-25</t>
  </si>
  <si>
    <t xml:space="preserve">2011-06-25</t>
  </si>
  <si>
    <t xml:space="preserve">2011-07-25</t>
  </si>
  <si>
    <t xml:space="preserve">2011-08-25</t>
  </si>
  <si>
    <t xml:space="preserve">2011-09-25</t>
  </si>
  <si>
    <t xml:space="preserve">2011-10-25</t>
  </si>
  <si>
    <t xml:space="preserve">2011-11-22</t>
  </si>
  <si>
    <t xml:space="preserve">2011-12-20</t>
  </si>
  <si>
    <t xml:space="preserve">2012-01-20</t>
  </si>
  <si>
    <t xml:space="preserve">2012-02-20</t>
  </si>
  <si>
    <t xml:space="preserve">2012-03-22</t>
  </si>
  <si>
    <t xml:space="preserve">2012-04-24</t>
  </si>
  <si>
    <t xml:space="preserve">2012-05-25</t>
  </si>
  <si>
    <t xml:space="preserve">2012-06-25</t>
  </si>
  <si>
    <t xml:space="preserve">2012-07-25</t>
  </si>
  <si>
    <t xml:space="preserve">2012-08-25</t>
  </si>
  <si>
    <t xml:space="preserve">2012-09-25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</si>
  <si>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</si>
  <si>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</si>
  <si>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</si>
  <si>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</si>
  <si>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</si>
  <si>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</si>
  <si>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#2001 SRM 230 Broadway Apartments</t>
  </si>
  <si>
    <t xml:space="preserve">Narrative observations distilled from the full JDR analysis</t>
  </si>
  <si>
    <t xml:space="preserve">MARGIN PROFILE</t>
  </si>
  <si>
    <t xml:space="preserve">Net profit of $832,972 on $2,121,874 revenue = 39.3% gross margin. Direct cost $1,288,901 absorbs 60.7% of revenue.</t>
  </si>
  <si>
    <t xml:space="preserve">VENDOR CONCENTRATION</t>
  </si>
  <si>
    <t xml:space="preserve">Ferguson Enterprises, Inc. alone = $343,362 (46% of all AP) across 210 invoices. Total 16 AP vendors, $739,309 total AP spend.</t>
  </si>
  <si>
    <t xml:space="preserve">CREW PROFILE</t>
  </si>
  <si>
    <t xml:space="preserve">27 workers for 20,280 hours = 751 avg hrs/worker. Top 3 workers logged 5,766 hrs combined (28% of all labor).</t>
  </si>
  <si>
    <t xml:space="preserve">ROUGHIN DOMINANCE</t>
  </si>
  <si>
    <t xml:space="preserve">Code 120 Roughin Labor = 10,500 hrs (52% of all labor) and $218,574 actual. Code 230 Finish Material = $327,741 — 25% of total direct cost.</t>
  </si>
  <si>
    <t xml:space="preserve">BUDGET DELIVERY</t>
  </si>
  <si>
    <t xml:space="preserve">Revised budget was $1,326,283; actual direct cost $1,288,901 → $37,382 variance (2.8% under revised budget).</t>
  </si>
  <si>
    <t xml:space="preserve">CONTRACT GROWTH</t>
  </si>
  <si>
    <t xml:space="preserve">Contract grew from $1,850,270 to $2,121,874 — net +$271,604 (14.7%). Retainage of $96,889 (5%) withheld until closeout.</t>
  </si>
  <si>
    <t xml:space="preserve">BURDEN RATIO</t>
  </si>
  <si>
    <t xml:space="preserve">Burden codes 995 + 998 = $218,066 on $425,501 labor base = 51.2%. In line with OWP's typical 48–50% labor burden.</t>
  </si>
  <si>
    <t xml:space="preserve">PROJECT SCALE</t>
  </si>
  <si>
    <t xml:space="preserve">282 units · 1315 fixtures · 18 months. Revenue/unit $7,524, hours/unit 71.9, profit/unit $2,954.</t>
  </si>
  <si>
    <t xml:space="preserve">PRODUCTIVITY</t>
  </si>
  <si>
    <t xml:space="preserve">Blended labor rate $20.98/hr. Revenue/hour $105. Profit/hour $41. 1,127 hrs/month burn rate.</t>
  </si>
  <si>
    <t xml:space="preserve">FIXTURE DENSITY</t>
  </si>
  <si>
    <t xml:space="preserve">1315 fixtures ÷ 282 units = 4.66 fixtures/unit. Material/fixture $485, labor/fixture $324.</t>
  </si>
  <si>
    <t xml:space="preserve">BIGGEST QUESTION</t>
  </si>
  <si>
    <t xml:space="preserve">How does this job's 39.3%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</si>
  <si>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</si>
  <si>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</si>
  <si>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</si>
  <si>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</si>
  <si>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</si>
  <si>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</si>
  <si>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</si>
  <si>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</si>
  <si>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</si>
  <si>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</si>
  <si>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</si>
  <si>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</si>
  <si>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</si>
  <si>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</si>
  <si>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</si>
  <si>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</si>
  <si>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</si>
  <si>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</si>
  <si>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282-unit 7-story multifamily apartments with retail and amenity spaces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</si>
  <si>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</si>
  <si>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</si>
  <si>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</si>
  <si>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</si>
  <si>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</si>
  <si>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</si>
  <si>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</si>
  <si>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</si>
  <si>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</si>
  <si>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</si>
  <si>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</si>
  <si>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</si>
  <si>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</si>
  <si>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</si>
  <si>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</si>
  <si>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</si>
  <si>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</si>
  <si>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</si>
  <si>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</si>
  <si>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</si>
  <si>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</si>
  <si>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</si>
  <si>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</si>
  <si>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</si>
  <si>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</si>
  <si>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</si>
  <si>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</si>
  <si>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</si>
  <si>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</si>
  <si>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</si>
  <si>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</si>
  <si>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</si>
  <si>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</si>
  <si>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</si>
  <si>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</si>
  <si>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</si>
  <si>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</si>
  <si>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</si>
  <si>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</si>
  <si>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</si>
  <si>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</si>
  <si>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</si>
  <si>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</si>
  <si>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</si>
  <si>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</si>
  <si>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</si>
  <si>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</si>
  <si>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</si>
  <si>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</si>
  <si>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</si>
  <si>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</si>
  <si>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</si>
  <si>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</si>
  <si>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</si>
  <si>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</si>
  <si>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</si>
  <si>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</si>
  <si>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</si>
  <si>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</si>
  <si>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</si>
  <si>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</si>
  <si>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</si>
  <si>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</si>
  <si>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</si>
  <si>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</si>
  <si>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</si>
  <si>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</si>
  <si>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</si>
  <si>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</si>
  <si>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</si>
  <si>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</si>
  <si>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</si>
  <si>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</si>
  <si>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</si>
  <si>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</si>
  <si>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</si>
  <si>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</si>
  <si>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</si>
  <si>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</si>
  <si>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</si>
  <si>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</si>
  <si>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</si>
  <si>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</si>
  <si>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</si>
  <si>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</si>
  <si>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</si>
  <si>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</si>
  <si>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</si>
  <si>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</si>
  <si>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</si>
  <si>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</si>
  <si>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</si>
  <si>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</si>
  <si>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</si>
  <si>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</si>
  <si>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</si>
  <si>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</si>
  <si>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</si>
  <si>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</si>
  <si>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</si>
  <si>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</si>
  <si>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</si>
  <si>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</si>
  <si>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</si>
  <si>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(13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</si>
  <si>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</si>
  <si>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</si>
  <si>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</si>
  <si>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</si>
  <si>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</si>
  <si>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</si>
  <si>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</si>
  <si>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ASI-023</t>
  </si>
  <si>
    <t xml:space="preserve">ASI</t>
  </si>
  <si>
    <t xml:space="preserve">2012-01-26</t>
  </si>
  <si>
    <t xml:space="preserve">Fireplace ventilation — intake/exhaust vent locations + steel fireplace surround (L1/P1 lobbies)</t>
  </si>
  <si>
    <t xml:space="preserve">Runberg Architecture (Frances Nelson)</t>
  </si>
  <si>
    <t xml:space="preserve">AS-68A,B</t>
  </si>
  <si>
    <t xml:space="preserve">No-cost directive</t>
  </si>
  <si>
    <t xml:space="preserve">2001-SRM-230 BROADWAY/2001 230Broadway/ASI _23 - fireplace ventilation B230.pdf</t>
  </si>
  <si>
    <t xml:space="preserve">ASI-024</t>
  </si>
  <si>
    <t xml:space="preserve">2012-01-31</t>
  </si>
  <si>
    <t xml:space="preserve">Deck partitions + column removal at L3 &amp; L4</t>
  </si>
  <si>
    <t xml:space="preserve">AS-72A-E</t>
  </si>
  <si>
    <t xml:space="preserve">2001-SRM-230 BROADWAY/2001 230Broadway/ASI _24 - L3&amp;L4deck partitions B230.pdf</t>
  </si>
  <si>
    <t xml:space="preserve">ASI-027</t>
  </si>
  <si>
    <t xml:space="preserve">2012-02-02</t>
  </si>
  <si>
    <t xml:space="preserve">Roof deck redesign — framing coordination + gas fixture layout (Owner-requested)</t>
  </si>
  <si>
    <t xml:space="preserve">Runberg Architecture (Michele Wang)</t>
  </si>
  <si>
    <t xml:space="preserve">AS-74; ASI-029,030,033</t>
  </si>
  <si>
    <t xml:space="preserve">2001-SRM-230 BROADWAY/2001 230Broadway/ASI _27 - Roof Deck Redesign - framing info onlyB230.pdf</t>
  </si>
  <si>
    <t xml:space="preserve">ASI-029</t>
  </si>
  <si>
    <t xml:space="preserve">2012-02-15</t>
  </si>
  <si>
    <t xml:space="preserve">Dog run details on roof deck — fencing, drainage, irrigation, waterproofing</t>
  </si>
  <si>
    <t xml:space="preserve">AS-77a-d, WPS-03</t>
  </si>
  <si>
    <t xml:space="preserve">2001-SRM-230 BROADWAY/2001 230Broadway/ASI _29 - Dog run details.pdf</t>
  </si>
  <si>
    <t xml:space="preserve">ASI-030</t>
  </si>
  <si>
    <t xml:space="preserve">2012-02-13</t>
  </si>
  <si>
    <t xml:space="preserve">Paver layout changes for VE options on roof deck</t>
  </si>
  <si>
    <t xml:space="preserve">L1.0/L1.01</t>
  </si>
  <si>
    <t xml:space="preserve">No-cost / VE</t>
  </si>
  <si>
    <t xml:space="preserve">2001-SRM-230 BROADWAY/2001 230Broadway/ASI _30 - Pavers VE.pdf</t>
  </si>
  <si>
    <t xml:space="preserve">ASI-031</t>
  </si>
  <si>
    <t xml:space="preserve">West trash room coiling door width increase to 15 ft (P165)</t>
  </si>
  <si>
    <t xml:space="preserve">AS-78</t>
  </si>
  <si>
    <t xml:space="preserve">2001-SRM-230 BROADWAY/2001 230Broadway/ASI _31 - enlarge west trash room door.pdf</t>
  </si>
  <si>
    <t xml:space="preserve">ASI-033</t>
  </si>
  <si>
    <t xml:space="preserve">Roof deck planting layout changes (Owner)</t>
  </si>
  <si>
    <t xml:space="preserve">L2.1; ASI-027,029</t>
  </si>
  <si>
    <t xml:space="preserve">2001-SRM-230 BROADWAY/2001 230Broadway/ASI _33 - Roof Deck PLANTING.pdf</t>
  </si>
  <si>
    <t xml:space="preserve">CO-004</t>
  </si>
  <si>
    <t xml:space="preserve">CO</t>
  </si>
  <si>
    <t xml:space="preserve">2012-01-25</t>
  </si>
  <si>
    <t xml:space="preserve">CO #4 referenced in Pay App #10 (cost embedded in binary .xls)</t>
  </si>
  <si>
    <t xml:space="preserve">SRM</t>
  </si>
  <si>
    <t xml:space="preserve">Billed</t>
  </si>
  <si>
    <t xml:space="preserve">2001-SRM-230 BROADWAY/SRM-230 BROADWAY/230 B Billing/230 Broadway OWP #10 1-25-12 co4.xls</t>
  </si>
  <si>
    <t xml:space="preserve">CO-007</t>
  </si>
  <si>
    <t xml:space="preserve">CO #7 referenced in Pay App #16 (cost embedded in binary .xls)</t>
  </si>
  <si>
    <t xml:space="preserve">2001-SRM-230 BROADWAY/SRM-230 BROADWAY/230 B Billing/230 Broadway OWP #16 7-25-12 co7.xls</t>
  </si>
  <si>
    <t xml:space="preserve">CO-008</t>
  </si>
  <si>
    <t xml:space="preserve">CO #8 referenced in Pay App #17 (cost embedded in binary .xls)</t>
  </si>
  <si>
    <t xml:space="preserve">2001-SRM-230 BROADWAY/SRM-230 BROADWAY/230 B Billing/230 Broadway OWP #17 8-25-12 co8.xls</t>
  </si>
  <si>
    <t xml:space="preserve">DOC-GAP-CO-LOG</t>
  </si>
  <si>
    <t xml:space="preserve">Memo</t>
  </si>
  <si>
    <t xml:space="preserve">2012</t>
  </si>
  <si>
    <t xml:space="preserve">GAP: No master CO register with detailed cost/schedule impact. CO4/7/8 only referenced in pay-app filenames; amounts embedded in legacy .xls files.</t>
  </si>
  <si>
    <t xml:space="preserve">OWP</t>
  </si>
  <si>
    <t xml:space="preserve">Open</t>
  </si>
  <si>
    <t xml:space="preserve">2001-SRM-230 BROADWAY/SRM-230 BROADWAY/230 B Billing/</t>
  </si>
  <si>
    <t xml:space="preserve">DOC-GAP-RFI</t>
  </si>
  <si>
    <t xml:space="preserve">GAP: No standalone RFI log or submittal register found in directory; cycle metrics not computable.</t>
  </si>
  <si>
    <t xml:space="preserve">2001-SRM-230 BROADWAY/ (no RFI folder)</t>
  </si>
  <si>
    <t xml:space="preserve">DOC-GAP-CONTRACT</t>
  </si>
  <si>
    <t xml:space="preserve">GAP: Original vs final contract values embedded only in binary Excel files (SRM 230 contract price summary.xls, AGGREGATE_BILLING.xls); not in discoverable log.</t>
  </si>
  <si>
    <t xml:space="preserve">2001-SRM-230 BROADWAY/SRM-230 BROADWAY/230 B Billing/230 BROADWAY AGGREGATE BILLING.xls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</si>
  <si>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</si>
  <si>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</si>
  <si>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</si>
  <si>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</si>
  <si>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</si>
  <si>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</si>
  <si>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</si>
  <si>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</si>
  <si>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</si>
  <si>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</si>
  <si>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Design clarification</t>
  </si>
  <si>
    <t xml:space="preserve">Fireplace ventilation — intake/exhaust vent locations + stee</t>
  </si>
  <si>
    <t xml:space="preserve">Owner directive</t>
  </si>
  <si>
    <t xml:space="preserve">Owner/GC</t>
  </si>
  <si>
    <t xml:space="preserve">Roof deck redesign — framing coordination + gas fixture layo</t>
  </si>
  <si>
    <t xml:space="preserve">Field condition</t>
  </si>
  <si>
    <t xml:space="preserve">Mixed</t>
  </si>
  <si>
    <t xml:space="preserve">Combined/multi-cause</t>
  </si>
  <si>
    <t xml:space="preserve">CO #4 referenced in Pay App #10 (cost embedded in binary .xl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</si>
  <si>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</si>
  <si>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</si>
  <si>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</si>
  <si>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</si>
  <si>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NEUTRAL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</si>
  <si>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</si>
  <si>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</si>
  <si>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</si>
  <si>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</si>
  <si>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</si>
  <si>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</si>
  <si>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</si>
  <si>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</si>
  <si>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</si>
  <si>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</si>
  <si>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</si>
  <si>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</si>
  <si>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</si>
  <si>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</si>
  <si>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</si>
  <si>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</si>
  <si>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</si>
  <si>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</si>
  <si>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</si>
  <si>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</si>
  <si>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</si>
  <si>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</si>
  <si>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ELEVATED</t>
  </si>
  <si>
    <t xml:space="preserve">High ASI = owner scope churn</t>
  </si>
  <si>
    <t xml:space="preserve">Backcharge Count</t>
  </si>
  <si>
    <t xml:space="preserve">&lt;3</t>
  </si>
  <si>
    <t xml:space="preserve">HEALTHY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</si>
  <si>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</si>
  <si>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</si>
  <si>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</si>
  <si>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</si>
  <si>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</si>
  <si>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</si>
  <si>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</si>
  <si>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</si>
  <si>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</si>
  <si>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</si>
  <si>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</si>
  <si>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</si>
  <si>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</si>
  <si>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</si>
  <si>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</si>
  <si>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</si>
  <si>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</si>
  <si>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</si>
  <si>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</si>
  <si>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</si>
  <si>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</si>
  <si>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</si>
  <si>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</si>
  <si>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</si>
  <si>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</si>
  <si>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</si>
  <si>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+ 7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</si>
  <si>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</si>
  <si>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</si>
  <si>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</si>
  <si>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</si>
  <si>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</si>
  <si>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</si>
  <si>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</si>
  <si>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</si>
  <si>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</si>
  <si>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</si>
  <si>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</si>
  <si>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</si>
  <si>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</si>
  <si>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</si>
  <si>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</si>
  <si>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</si>
  <si>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</si>
  <si>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</si>
  <si>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</si>
  <si>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</si>
  <si>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</si>
  <si>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</si>
  <si>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</si>
  <si>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</si>
  <si>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</si>
  <si>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</si>
  <si>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</si>
  <si>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</si>
  <si>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</si>
  <si>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</si>
  <si>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</si>
  <si>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</si>
  <si>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</si>
  <si>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</si>
  <si>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</si>
  <si>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</si>
  <si>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</si>
  <si>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</si>
  <si>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</si>
  <si>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</si>
  <si>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</si>
  <si>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</si>
  <si>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</si>
  <si>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</si>
  <si>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</si>
  <si>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</si>
  <si>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</si>
  <si>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</si>
  <si>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</si>
  <si>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</si>
  <si>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Low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</si>
  <si>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</si>
  <si>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</si>
  <si>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</si>
  <si>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</si>
  <si>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</si>
  <si>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</si>
  <si>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</si>
  <si>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</si>
  <si>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</si>
  <si>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</si>
  <si>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</si>
  <si>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</si>
  <si>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</si>
  <si>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</si>
  <si>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</si>
  <si>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</si>
  <si>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</si>
  <si>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</si>
  <si>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</si>
  <si>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</si>
  <si>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</si>
  <si>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</si>
  <si>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</si>
  <si>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</si>
  <si>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</si>
  <si>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</si>
  <si>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</si>
  <si>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</si>
  <si>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</si>
  <si>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(10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</si>
  <si>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</si>
  <si>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</si>
  <si>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</si>
  <si>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</si>
  <si>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</si>
  <si>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</si>
  <si>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</si>
  <si>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</si>
  <si>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</si>
  <si>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</si>
  <si>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</si>
  <si>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</si>
  <si>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</si>
  <si>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</si>
  <si>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</si>
  <si>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</si>
  <si>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</si>
  <si>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</si>
  <si>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</si>
  <si>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</si>
  <si>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</si>
  <si>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</si>
  <si>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</si>
  <si>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</si>
  <si>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</si>
  <si>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</si>
  <si>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</si>
  <si>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#2001 — Cortex v2 17-tab layout</t>
  </si>
  <si>
    <t xml:space="preserve">12 analytical tabs + Change Log + Root Cause Analysis + Predictive Signals + Metric Registry + Reconciliation</t>
  </si>
  <si>
    <t xml:space="preserve">Canonical source: 2001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</si>
  <si>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</si>
  <si>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</si>
  <si>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</si>
  <si>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</si>
  <si>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</si>
  <si>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#2001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</si>
  <si>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</si>
  <si>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</si>
  <si>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</si>
  <si>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</si>
  <si>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</si>
  <si>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</si>
  <si>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2001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</si>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</sst>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FE6E6"/>
      </patternFill>
    </fill>
    <fill>
      <patternFill patternType="solid">
        <fgColor rgb="FFFFE6E6"/>
        <bgColor rgb="FFF2F2F2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396328</v>
      </c>
      <c r="D20" s="11" t="n">
        <v>425500.68</v>
      </c>
      <c r="E20" s="11" t="n">
        <f aca="false">C20-D20</f>
        <v>-29172.68</v>
      </c>
      <c r="F20" s="12" t="n">
        <f aca="false">IF(C20=0,0,D20/C20)</f>
        <v>1.07360741607961</v>
      </c>
      <c r="G20" s="12" t="n">
        <f aca="false">IF($D$24=0,0,D20/$D$24)</f>
        <v>0.330126682090709</v>
      </c>
    </row>
    <row r="21" customFormat="false" ht="15" hidden="false" customHeight="true" outlineLevel="0" collapsed="false">
      <c r="B21" s="5" t="s">
        <v>35</v>
      </c>
      <c r="C21" s="11" t="n">
        <v>717142</v>
      </c>
      <c r="D21" s="11" t="n">
        <v>637990.88</v>
      </c>
      <c r="E21" s="11" t="n">
        <f aca="false">C21-D21</f>
        <v>79151.12</v>
      </c>
      <c r="F21" s="12" t="n">
        <f aca="false">IF(C21=0,0,D21/C21)</f>
        <v>0.889629780434001</v>
      </c>
      <c r="G21" s="12" t="n">
        <f aca="false">IF($D$24=0,0,D21/$D$24)</f>
        <v>0.494988192306841</v>
      </c>
    </row>
    <row r="22" customFormat="false" ht="15" hidden="false" customHeight="true" outlineLevel="0" collapsed="false">
      <c r="B22" s="5" t="s">
        <v>36</v>
      </c>
      <c r="C22" s="11" t="n">
        <v>11000</v>
      </c>
      <c r="D22" s="11" t="n">
        <v>7343.82</v>
      </c>
      <c r="E22" s="11" t="n">
        <f aca="false">C22-D22</f>
        <v>3656.18</v>
      </c>
      <c r="F22" s="12" t="n">
        <f aca="false">IF(C22=0,0,D22/C22)</f>
        <v>0.66762</v>
      </c>
      <c r="G22" s="12" t="n">
        <f aca="false">IF($D$24=0,0,D22/$D$24)</f>
        <v>0.00569773691189257</v>
      </c>
    </row>
    <row r="23" customFormat="false" ht="15" hidden="false" customHeight="true" outlineLevel="0" collapsed="false">
      <c r="B23" s="5" t="s">
        <v>37</v>
      </c>
      <c r="C23" s="11" t="n">
        <v>201813.34</v>
      </c>
      <c r="D23" s="11" t="n">
        <v>218065.83</v>
      </c>
      <c r="E23" s="11" t="n">
        <f aca="false">C23-D23</f>
        <v>-16252.49</v>
      </c>
      <c r="F23" s="12" t="n">
        <f aca="false">IF(C23=0,0,D23/C23)</f>
        <v>1.08053228790525</v>
      </c>
      <c r="G23" s="12" t="n">
        <f aca="false">IF($D$24=0,0,D23/$D$24)</f>
        <v>0.169187388690558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1326283.34</v>
      </c>
      <c r="D24" s="13" t="n">
        <f aca="false">SUM(D20:D23)</f>
        <v>1288901.21</v>
      </c>
      <c r="E24" s="13" t="n">
        <f aca="false">C24-D24</f>
        <v>37382.1300000001</v>
      </c>
      <c r="F24" s="14" t="n">
        <f aca="false">IF(C24=0,0,D24/C24)</f>
        <v>0.971814371128269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45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48</v>
      </c>
      <c r="F30" s="5" t="s">
        <v>50</v>
      </c>
      <c r="G30" s="6" t="s">
        <v>51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55</v>
      </c>
      <c r="F31" s="5" t="s">
        <v>56</v>
      </c>
      <c r="G31" s="6" t="s">
        <v>57</v>
      </c>
    </row>
    <row r="32" customFormat="false" ht="15" hidden="false" customHeight="true" outlineLevel="0" collapsed="false">
      <c r="B32" s="5" t="s">
        <v>58</v>
      </c>
      <c r="C32" s="6" t="s">
        <v>59</v>
      </c>
      <c r="D32" s="5" t="s">
        <v>60</v>
      </c>
      <c r="E32" s="6" t="s">
        <v>61</v>
      </c>
      <c r="F32" s="5" t="s">
        <v>62</v>
      </c>
      <c r="G32" s="6" t="s">
        <v>63</v>
      </c>
    </row>
    <row r="33" customFormat="false" ht="15" hidden="false" customHeight="true" outlineLevel="0" collapsed="false">
      <c r="B33" s="5" t="s">
        <v>64</v>
      </c>
      <c r="C33" s="6" t="s">
        <v>65</v>
      </c>
    </row>
    <row r="36" customFormat="false" ht="15" hidden="false" customHeight="true" outlineLevel="0" collapsed="false">
      <c r="B36" s="4" t="s">
        <v>66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</row>
  </sheetData>
  <mergeCells count="14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76</v>
      </c>
      <c r="C4" s="10" t="s">
        <v>77</v>
      </c>
      <c r="D4" s="10" t="s">
        <v>78</v>
      </c>
      <c r="E4" s="10" t="s">
        <v>79</v>
      </c>
      <c r="F4" s="10" t="s">
        <v>30</v>
      </c>
      <c r="G4" s="10" t="s">
        <v>31</v>
      </c>
      <c r="H4" s="10" t="s">
        <v>80</v>
      </c>
    </row>
    <row r="5" customFormat="false" ht="15" hidden="false" customHeight="true" outlineLevel="0" collapsed="false">
      <c r="B5" s="4" t="s">
        <v>81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82</v>
      </c>
      <c r="C6" s="5" t="s">
        <v>83</v>
      </c>
      <c r="D6" s="11" t="n">
        <v>33300</v>
      </c>
      <c r="E6" s="11" t="n">
        <v>33300</v>
      </c>
      <c r="F6" s="11" t="n">
        <v>21823.68</v>
      </c>
      <c r="G6" s="11" t="n">
        <f aca="false">E6-F6</f>
        <v>11476.32</v>
      </c>
      <c r="H6" s="12" t="n">
        <f aca="false">IF(E6=0,0,F6/E6)</f>
        <v>0.655365765765766</v>
      </c>
    </row>
    <row r="7" customFormat="false" ht="15" hidden="false" customHeight="true" outlineLevel="0" collapsed="false">
      <c r="B7" s="5" t="s">
        <v>84</v>
      </c>
      <c r="C7" s="5" t="s">
        <v>85</v>
      </c>
      <c r="D7" s="11" t="n">
        <v>11000</v>
      </c>
      <c r="E7" s="11" t="n">
        <v>11000</v>
      </c>
      <c r="F7" s="11" t="n">
        <v>4198.3</v>
      </c>
      <c r="G7" s="11" t="n">
        <f aca="false">E7-F7</f>
        <v>6801.7</v>
      </c>
      <c r="H7" s="12" t="n">
        <f aca="false">IF(E7=0,0,F7/E7)</f>
        <v>0.381663636363636</v>
      </c>
    </row>
    <row r="8" customFormat="false" ht="15" hidden="false" customHeight="true" outlineLevel="0" collapsed="false">
      <c r="B8" s="5" t="s">
        <v>86</v>
      </c>
      <c r="C8" s="5" t="s">
        <v>87</v>
      </c>
      <c r="D8" s="11" t="n">
        <v>11000</v>
      </c>
      <c r="E8" s="11" t="n">
        <v>11000</v>
      </c>
      <c r="F8" s="11" t="n">
        <v>1227.8</v>
      </c>
      <c r="G8" s="11" t="n">
        <f aca="false">E8-F8</f>
        <v>9772.2</v>
      </c>
      <c r="H8" s="12" t="n">
        <f aca="false">IF(E8=0,0,F8/E8)</f>
        <v>0.111618181818182</v>
      </c>
    </row>
    <row r="9" customFormat="false" ht="15" hidden="false" customHeight="true" outlineLevel="0" collapsed="false">
      <c r="B9" s="5" t="s">
        <v>88</v>
      </c>
      <c r="C9" s="5" t="s">
        <v>89</v>
      </c>
      <c r="D9" s="11" t="n">
        <v>6500</v>
      </c>
      <c r="E9" s="11" t="n">
        <v>6500</v>
      </c>
      <c r="F9" s="11" t="n">
        <v>5128.27</v>
      </c>
      <c r="G9" s="11" t="n">
        <f aca="false">E9-F9</f>
        <v>1371.73</v>
      </c>
      <c r="H9" s="12" t="n">
        <f aca="false">IF(E9=0,0,F9/E9)</f>
        <v>0.788964615384616</v>
      </c>
    </row>
    <row r="10" customFormat="false" ht="15" hidden="false" customHeight="true" outlineLevel="0" collapsed="false">
      <c r="B10" s="5" t="s">
        <v>90</v>
      </c>
      <c r="C10" s="5" t="s">
        <v>91</v>
      </c>
      <c r="D10" s="11" t="n">
        <v>37860</v>
      </c>
      <c r="E10" s="11" t="n">
        <v>37860</v>
      </c>
      <c r="F10" s="11" t="n">
        <v>51832.47</v>
      </c>
      <c r="G10" s="11" t="n">
        <f aca="false">E10-F10</f>
        <v>-13972.47</v>
      </c>
      <c r="H10" s="12" t="n">
        <f aca="false">IF(E10=0,0,F10/E10)</f>
        <v>1.36905625990491</v>
      </c>
    </row>
    <row r="11" customFormat="false" ht="15" hidden="false" customHeight="true" outlineLevel="0" collapsed="false">
      <c r="B11" s="5" t="s">
        <v>92</v>
      </c>
      <c r="C11" s="5" t="s">
        <v>93</v>
      </c>
      <c r="D11" s="11" t="n">
        <v>12751</v>
      </c>
      <c r="E11" s="11" t="n">
        <v>12751</v>
      </c>
      <c r="F11" s="11" t="n">
        <v>9995.05</v>
      </c>
      <c r="G11" s="11" t="n">
        <f aca="false">E11-F11</f>
        <v>2755.95</v>
      </c>
      <c r="H11" s="12" t="n">
        <f aca="false">IF(E11=0,0,F11/E11)</f>
        <v>0.78386401066583</v>
      </c>
    </row>
    <row r="12" customFormat="false" ht="15" hidden="false" customHeight="true" outlineLevel="0" collapsed="false">
      <c r="B12" s="5" t="s">
        <v>94</v>
      </c>
      <c r="C12" s="5" t="s">
        <v>95</v>
      </c>
      <c r="D12" s="11" t="n">
        <v>9000</v>
      </c>
      <c r="E12" s="11" t="n">
        <v>9000</v>
      </c>
      <c r="F12" s="11" t="n">
        <v>3190.16</v>
      </c>
      <c r="G12" s="11" t="n">
        <f aca="false">E12-F12</f>
        <v>5809.84</v>
      </c>
      <c r="H12" s="12" t="n">
        <f aca="false">IF(E12=0,0,F12/E12)</f>
        <v>0.354462222222222</v>
      </c>
    </row>
    <row r="13" customFormat="false" ht="15" hidden="false" customHeight="true" outlineLevel="0" collapsed="false">
      <c r="B13" s="5" t="s">
        <v>96</v>
      </c>
      <c r="C13" s="5" t="s">
        <v>97</v>
      </c>
      <c r="D13" s="11" t="n">
        <v>185705</v>
      </c>
      <c r="E13" s="11" t="n">
        <v>185705</v>
      </c>
      <c r="F13" s="11" t="n">
        <v>218574.15</v>
      </c>
      <c r="G13" s="11" t="n">
        <f aca="false">E13-F13</f>
        <v>-32869.15</v>
      </c>
      <c r="H13" s="12" t="n">
        <f aca="false">IF(E13=0,0,F13/E13)</f>
        <v>1.17699658059826</v>
      </c>
    </row>
    <row r="14" customFormat="false" ht="15" hidden="false" customHeight="true" outlineLevel="0" collapsed="false">
      <c r="B14" s="5" t="s">
        <v>98</v>
      </c>
      <c r="C14" s="5" t="s">
        <v>99</v>
      </c>
      <c r="D14" s="11" t="n">
        <v>37212</v>
      </c>
      <c r="E14" s="11" t="n">
        <v>37212</v>
      </c>
      <c r="F14" s="11" t="n">
        <v>46024.72</v>
      </c>
      <c r="G14" s="11" t="n">
        <f aca="false">E14-F14</f>
        <v>-8812.72</v>
      </c>
      <c r="H14" s="12" t="n">
        <f aca="false">IF(E14=0,0,F14/E14)</f>
        <v>1.23682468021068</v>
      </c>
    </row>
    <row r="15" customFormat="false" ht="15" hidden="false" customHeight="true" outlineLevel="0" collapsed="false">
      <c r="B15" s="5" t="s">
        <v>100</v>
      </c>
      <c r="C15" s="5" t="s">
        <v>101</v>
      </c>
      <c r="D15" s="11" t="n">
        <v>9450</v>
      </c>
      <c r="E15" s="11" t="n">
        <v>9450</v>
      </c>
      <c r="F15" s="11" t="n">
        <v>14211.67</v>
      </c>
      <c r="G15" s="11" t="n">
        <f aca="false">E15-F15</f>
        <v>-4761.67</v>
      </c>
      <c r="H15" s="12" t="n">
        <f aca="false">IF(E15=0,0,F15/E15)</f>
        <v>1.50388042328042</v>
      </c>
    </row>
    <row r="16" customFormat="false" ht="15" hidden="false" customHeight="true" outlineLevel="0" collapsed="false">
      <c r="B16" s="5" t="s">
        <v>102</v>
      </c>
      <c r="C16" s="5" t="s">
        <v>103</v>
      </c>
      <c r="D16" s="11" t="n">
        <v>36300</v>
      </c>
      <c r="E16" s="11" t="n">
        <v>36300</v>
      </c>
      <c r="F16" s="11" t="n">
        <v>36651.38</v>
      </c>
      <c r="G16" s="11" t="n">
        <f aca="false">E16-F16</f>
        <v>-351.379999999997</v>
      </c>
      <c r="H16" s="12" t="n">
        <f aca="false">IF(E16=0,0,F16/E16)</f>
        <v>1.00967988980716</v>
      </c>
    </row>
    <row r="17" customFormat="false" ht="15" hidden="false" customHeight="true" outlineLevel="0" collapsed="false">
      <c r="B17" s="5" t="s">
        <v>104</v>
      </c>
      <c r="C17" s="5" t="s">
        <v>105</v>
      </c>
      <c r="D17" s="11" t="n">
        <v>6250</v>
      </c>
      <c r="E17" s="11" t="n">
        <v>6250</v>
      </c>
      <c r="F17" s="11" t="n">
        <v>12626.53</v>
      </c>
      <c r="G17" s="11" t="n">
        <f aca="false">E17-F17</f>
        <v>-6376.53</v>
      </c>
      <c r="H17" s="12" t="n">
        <f aca="false">IF(E17=0,0,F17/E17)</f>
        <v>2.0202448</v>
      </c>
    </row>
    <row r="18" customFormat="false" ht="15" hidden="false" customHeight="true" outlineLevel="0" collapsed="false">
      <c r="B18" s="5" t="s">
        <v>106</v>
      </c>
      <c r="C18" s="5" t="s">
        <v>107</v>
      </c>
      <c r="D18" s="11" t="n">
        <v>0</v>
      </c>
      <c r="E18" s="11" t="n">
        <v>0</v>
      </c>
      <c r="F18" s="11" t="n">
        <v>16.5</v>
      </c>
      <c r="G18" s="11" t="n">
        <f aca="false">E18-F18</f>
        <v>-16.5</v>
      </c>
      <c r="H18" s="12" t="n">
        <f aca="false">IF(E18=0,0,F18/E18)</f>
        <v>0</v>
      </c>
    </row>
    <row r="19" customFormat="false" ht="15" hidden="false" customHeight="true" outlineLevel="0" collapsed="false">
      <c r="B19" s="4" t="s">
        <v>108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5" t="s">
        <v>109</v>
      </c>
      <c r="C20" s="5" t="s">
        <v>110</v>
      </c>
      <c r="D20" s="11" t="n">
        <v>34350</v>
      </c>
      <c r="E20" s="11" t="n">
        <v>34350</v>
      </c>
      <c r="F20" s="11" t="n">
        <v>10684.8</v>
      </c>
      <c r="G20" s="11" t="n">
        <f aca="false">E20-F20</f>
        <v>23665.2</v>
      </c>
      <c r="H20" s="12" t="n">
        <f aca="false">IF(E20=0,0,F20/E20)</f>
        <v>0.311056768558952</v>
      </c>
    </row>
    <row r="21" customFormat="false" ht="15" hidden="false" customHeight="true" outlineLevel="0" collapsed="false">
      <c r="B21" s="5" t="s">
        <v>111</v>
      </c>
      <c r="C21" s="5" t="s">
        <v>112</v>
      </c>
      <c r="D21" s="11" t="n">
        <v>5400</v>
      </c>
      <c r="E21" s="11" t="n">
        <v>5400</v>
      </c>
      <c r="F21" s="11" t="n">
        <v>6150.1</v>
      </c>
      <c r="G21" s="11" t="n">
        <f aca="false">E21-F21</f>
        <v>-750.1</v>
      </c>
      <c r="H21" s="12" t="n">
        <f aca="false">IF(E21=0,0,F21/E21)</f>
        <v>1.13890740740741</v>
      </c>
    </row>
    <row r="22" customFormat="false" ht="15" hidden="false" customHeight="true" outlineLevel="0" collapsed="false">
      <c r="B22" s="5" t="s">
        <v>113</v>
      </c>
      <c r="C22" s="5" t="s">
        <v>114</v>
      </c>
      <c r="D22" s="11" t="n">
        <v>35055</v>
      </c>
      <c r="E22" s="11" t="n">
        <v>35055</v>
      </c>
      <c r="F22" s="11" t="n">
        <v>36037.82</v>
      </c>
      <c r="G22" s="11" t="n">
        <f aca="false">E22-F22</f>
        <v>-982.82</v>
      </c>
      <c r="H22" s="12" t="n">
        <f aca="false">IF(E22=0,0,F22/E22)</f>
        <v>1.02803651404935</v>
      </c>
    </row>
    <row r="23" customFormat="false" ht="15" hidden="false" customHeight="true" outlineLevel="0" collapsed="false">
      <c r="B23" s="5" t="s">
        <v>115</v>
      </c>
      <c r="C23" s="5" t="s">
        <v>116</v>
      </c>
      <c r="D23" s="11" t="n">
        <v>19308</v>
      </c>
      <c r="E23" s="11" t="n">
        <v>19308</v>
      </c>
      <c r="F23" s="11" t="n">
        <v>16844.65</v>
      </c>
      <c r="G23" s="11" t="n">
        <f aca="false">E23-F23</f>
        <v>2463.35</v>
      </c>
      <c r="H23" s="12" t="n">
        <f aca="false">IF(E23=0,0,F23/E23)</f>
        <v>0.872418168634763</v>
      </c>
    </row>
    <row r="24" customFormat="false" ht="15" hidden="false" customHeight="true" outlineLevel="0" collapsed="false">
      <c r="B24" s="5" t="s">
        <v>117</v>
      </c>
      <c r="C24" s="5" t="s">
        <v>118</v>
      </c>
      <c r="D24" s="11" t="n">
        <v>10000</v>
      </c>
      <c r="E24" s="11" t="n">
        <v>10000</v>
      </c>
      <c r="F24" s="11" t="n">
        <v>3564.14</v>
      </c>
      <c r="G24" s="11" t="n">
        <f aca="false">E24-F24</f>
        <v>6435.86</v>
      </c>
      <c r="H24" s="12" t="n">
        <f aca="false">IF(E24=0,0,F24/E24)</f>
        <v>0.356414</v>
      </c>
    </row>
    <row r="25" customFormat="false" ht="15" hidden="false" customHeight="true" outlineLevel="0" collapsed="false">
      <c r="B25" s="5" t="s">
        <v>119</v>
      </c>
      <c r="C25" s="5" t="s">
        <v>120</v>
      </c>
      <c r="D25" s="11" t="n">
        <v>197530</v>
      </c>
      <c r="E25" s="11" t="n">
        <v>197530</v>
      </c>
      <c r="F25" s="11" t="n">
        <v>148282.22</v>
      </c>
      <c r="G25" s="11" t="n">
        <f aca="false">E25-F25</f>
        <v>49247.78</v>
      </c>
      <c r="H25" s="12" t="n">
        <f aca="false">IF(E25=0,0,F25/E25)</f>
        <v>0.750682022983851</v>
      </c>
    </row>
    <row r="26" customFormat="false" ht="15" hidden="false" customHeight="true" outlineLevel="0" collapsed="false">
      <c r="B26" s="5" t="s">
        <v>121</v>
      </c>
      <c r="C26" s="5" t="s">
        <v>122</v>
      </c>
      <c r="D26" s="11" t="n">
        <v>372749</v>
      </c>
      <c r="E26" s="11" t="n">
        <v>372749</v>
      </c>
      <c r="F26" s="11" t="n">
        <v>327741.23</v>
      </c>
      <c r="G26" s="11" t="n">
        <f aca="false">E26-F26</f>
        <v>45007.77</v>
      </c>
      <c r="H26" s="12" t="n">
        <f aca="false">IF(E26=0,0,F26/E26)</f>
        <v>0.879254484921489</v>
      </c>
    </row>
    <row r="27" customFormat="false" ht="15" hidden="false" customHeight="true" outlineLevel="0" collapsed="false">
      <c r="B27" s="5" t="s">
        <v>123</v>
      </c>
      <c r="C27" s="5" t="s">
        <v>124</v>
      </c>
      <c r="D27" s="11" t="n">
        <v>7500</v>
      </c>
      <c r="E27" s="11" t="n">
        <v>7500</v>
      </c>
      <c r="F27" s="11" t="n">
        <v>10163.67</v>
      </c>
      <c r="G27" s="11" t="n">
        <f aca="false">E27-F27</f>
        <v>-2663.67</v>
      </c>
      <c r="H27" s="12" t="n">
        <f aca="false">IF(E27=0,0,F27/E27)</f>
        <v>1.355156</v>
      </c>
    </row>
    <row r="28" customFormat="false" ht="15" hidden="false" customHeight="true" outlineLevel="0" collapsed="false">
      <c r="B28" s="5" t="s">
        <v>125</v>
      </c>
      <c r="C28" s="5" t="s">
        <v>126</v>
      </c>
      <c r="D28" s="11" t="n">
        <v>30250</v>
      </c>
      <c r="E28" s="11" t="n">
        <v>30250</v>
      </c>
      <c r="F28" s="11" t="n">
        <v>75553.36</v>
      </c>
      <c r="G28" s="11" t="n">
        <f aca="false">E28-F28</f>
        <v>-45303.36</v>
      </c>
      <c r="H28" s="12" t="n">
        <f aca="false">IF(E28=0,0,F28/E28)</f>
        <v>2.49763173553719</v>
      </c>
    </row>
    <row r="29" customFormat="false" ht="15" hidden="false" customHeight="true" outlineLevel="0" collapsed="false">
      <c r="B29" s="5" t="s">
        <v>127</v>
      </c>
      <c r="C29" s="5" t="s">
        <v>128</v>
      </c>
      <c r="D29" s="11" t="n">
        <v>5000</v>
      </c>
      <c r="E29" s="11" t="n">
        <v>5000</v>
      </c>
      <c r="F29" s="11" t="n">
        <v>2968.89</v>
      </c>
      <c r="G29" s="11" t="n">
        <f aca="false">E29-F29</f>
        <v>2031.11</v>
      </c>
      <c r="H29" s="12" t="n">
        <f aca="false">IF(E29=0,0,F29/E29)</f>
        <v>0.593778</v>
      </c>
    </row>
    <row r="30" customFormat="false" ht="15" hidden="false" customHeight="true" outlineLevel="0" collapsed="false">
      <c r="B30" s="4" t="s">
        <v>129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130</v>
      </c>
      <c r="C31" s="5" t="s">
        <v>131</v>
      </c>
      <c r="D31" s="11" t="n">
        <v>5500</v>
      </c>
      <c r="E31" s="11" t="n">
        <v>5500</v>
      </c>
      <c r="F31" s="11" t="n">
        <v>5407</v>
      </c>
      <c r="G31" s="11" t="n">
        <f aca="false">E31-F31</f>
        <v>93</v>
      </c>
      <c r="H31" s="12" t="n">
        <f aca="false">IF(E31=0,0,F31/E31)</f>
        <v>0.983090909090909</v>
      </c>
    </row>
    <row r="32" customFormat="false" ht="15" hidden="false" customHeight="true" outlineLevel="0" collapsed="false">
      <c r="B32" s="5" t="s">
        <v>132</v>
      </c>
      <c r="C32" s="5" t="s">
        <v>133</v>
      </c>
      <c r="D32" s="11" t="n">
        <v>5500</v>
      </c>
      <c r="E32" s="11" t="n">
        <v>5500</v>
      </c>
      <c r="F32" s="11" t="n">
        <v>1835.26</v>
      </c>
      <c r="G32" s="11" t="n">
        <f aca="false">E32-F32</f>
        <v>3664.74</v>
      </c>
      <c r="H32" s="12" t="n">
        <f aca="false">IF(E32=0,0,F32/E32)</f>
        <v>0.333683636363636</v>
      </c>
    </row>
    <row r="33" customFormat="false" ht="15" hidden="false" customHeight="true" outlineLevel="0" collapsed="false">
      <c r="B33" s="5" t="s">
        <v>134</v>
      </c>
      <c r="C33" s="5" t="s">
        <v>135</v>
      </c>
      <c r="D33" s="11" t="n">
        <v>0</v>
      </c>
      <c r="E33" s="11" t="n">
        <v>0</v>
      </c>
      <c r="F33" s="11" t="n">
        <v>101.56</v>
      </c>
      <c r="G33" s="11" t="n">
        <f aca="false">E33-F33</f>
        <v>-101.56</v>
      </c>
      <c r="H33" s="12" t="n">
        <f aca="false">IF(E33=0,0,F33/E33)</f>
        <v>0</v>
      </c>
    </row>
    <row r="34" customFormat="false" ht="15" hidden="false" customHeight="true" outlineLevel="0" collapsed="false">
      <c r="B34" s="4" t="s">
        <v>136</v>
      </c>
      <c r="C34" s="4"/>
      <c r="D34" s="4"/>
      <c r="E34" s="4"/>
      <c r="F34" s="4"/>
      <c r="G34" s="4"/>
      <c r="H34" s="4"/>
    </row>
    <row r="35" customFormat="false" ht="15" hidden="false" customHeight="true" outlineLevel="0" collapsed="false">
      <c r="B35" s="5" t="s">
        <v>137</v>
      </c>
      <c r="C35" s="5" t="s">
        <v>138</v>
      </c>
      <c r="D35" s="11" t="n">
        <v>170039.6</v>
      </c>
      <c r="E35" s="11" t="n">
        <v>170039.6</v>
      </c>
      <c r="F35" s="11" t="n">
        <v>183056.2</v>
      </c>
      <c r="G35" s="11" t="n">
        <f aca="false">E35-F35</f>
        <v>-13016.6</v>
      </c>
      <c r="H35" s="12" t="n">
        <f aca="false">IF(E35=0,0,F35/E35)</f>
        <v>1.07655040355305</v>
      </c>
    </row>
    <row r="36" customFormat="false" ht="15" hidden="false" customHeight="true" outlineLevel="0" collapsed="false">
      <c r="B36" s="5" t="s">
        <v>139</v>
      </c>
      <c r="C36" s="5" t="s">
        <v>140</v>
      </c>
      <c r="D36" s="11" t="n">
        <v>31773.74</v>
      </c>
      <c r="E36" s="11" t="n">
        <v>31773.74</v>
      </c>
      <c r="F36" s="11" t="n">
        <v>35009.63</v>
      </c>
      <c r="G36" s="11" t="n">
        <f aca="false">E36-F36</f>
        <v>-3235.89</v>
      </c>
      <c r="H36" s="12" t="n">
        <f aca="false">IF(E36=0,0,F36/E36)</f>
        <v>1.10184164659244</v>
      </c>
    </row>
    <row r="37" customFormat="false" ht="15" hidden="false" customHeight="true" outlineLevel="0" collapsed="false">
      <c r="B37" s="6" t="s">
        <v>38</v>
      </c>
      <c r="C37" s="6" t="s">
        <v>141</v>
      </c>
      <c r="D37" s="13" t="n">
        <v>1326283.34</v>
      </c>
      <c r="E37" s="13" t="n">
        <v>1326283.34</v>
      </c>
      <c r="F37" s="13" t="n">
        <v>1288901.21</v>
      </c>
      <c r="G37" s="13" t="n">
        <f aca="false">E37-F37</f>
        <v>37382.1300000001</v>
      </c>
      <c r="H37" s="14" t="n">
        <f aca="false">IF(E37=0,0,F37/E37)</f>
        <v>0.971814371128269</v>
      </c>
    </row>
    <row r="40" customFormat="false" ht="15" hidden="false" customHeight="true" outlineLevel="0" collapsed="false">
      <c r="B40" s="4" t="s">
        <v>66</v>
      </c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69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70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71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72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73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74</v>
      </c>
      <c r="C48" s="3"/>
      <c r="D48" s="3"/>
      <c r="E48" s="3"/>
      <c r="F48" s="3"/>
      <c r="G48" s="3"/>
      <c r="H48" s="3"/>
    </row>
  </sheetData>
  <mergeCells count="14">
    <mergeCell ref="B2:H2"/>
    <mergeCell ref="B5:H5"/>
    <mergeCell ref="B19:H19"/>
    <mergeCell ref="B30:H30"/>
    <mergeCell ref="B34:H34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143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144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145</v>
      </c>
    </row>
    <row r="6" customFormat="false" ht="15" hidden="false" customHeight="true" outlineLevel="0" collapsed="false">
      <c r="B6" s="5" t="s">
        <v>34</v>
      </c>
      <c r="C6" s="15" t="n">
        <v>13</v>
      </c>
      <c r="D6" s="11" t="n">
        <v>396328</v>
      </c>
      <c r="E6" s="11" t="n">
        <v>425500.68</v>
      </c>
      <c r="F6" s="11" t="n">
        <f aca="false">D6-E6</f>
        <v>-29172.68</v>
      </c>
      <c r="G6" s="12" t="n">
        <f aca="false">IF(D6=0,0,E6/D6)</f>
        <v>1.07360741607961</v>
      </c>
      <c r="H6" s="12" t="n">
        <f aca="false">IF(1288901.21=0,0,E6/1288901.21)</f>
        <v>0.330126682090709</v>
      </c>
      <c r="I6" s="11" t="n">
        <f aca="false">IF(282=0,0,E6/282)</f>
        <v>1508.86765957447</v>
      </c>
    </row>
    <row r="7" customFormat="false" ht="15" hidden="false" customHeight="true" outlineLevel="0" collapsed="false">
      <c r="B7" s="5" t="s">
        <v>35</v>
      </c>
      <c r="C7" s="15" t="n">
        <v>10</v>
      </c>
      <c r="D7" s="11" t="n">
        <v>717142</v>
      </c>
      <c r="E7" s="11" t="n">
        <v>637990.88</v>
      </c>
      <c r="F7" s="11" t="n">
        <f aca="false">D7-E7</f>
        <v>79151.12</v>
      </c>
      <c r="G7" s="12" t="n">
        <f aca="false">IF(D7=0,0,E7/D7)</f>
        <v>0.889629780434001</v>
      </c>
      <c r="H7" s="12" t="n">
        <f aca="false">IF(1288901.21=0,0,E7/1288901.21)</f>
        <v>0.494988192306841</v>
      </c>
      <c r="I7" s="11" t="n">
        <f aca="false">IF(282=0,0,E7/282)</f>
        <v>2262.3790070922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11000</v>
      </c>
      <c r="E8" s="11" t="n">
        <v>7343.82</v>
      </c>
      <c r="F8" s="11" t="n">
        <f aca="false">D8-E8</f>
        <v>3656.18</v>
      </c>
      <c r="G8" s="12" t="n">
        <f aca="false">IF(D8=0,0,E8/D8)</f>
        <v>0.66762</v>
      </c>
      <c r="H8" s="12" t="n">
        <f aca="false">IF(1288901.21=0,0,E8/1288901.21)</f>
        <v>0.00569773691189257</v>
      </c>
      <c r="I8" s="11" t="n">
        <f aca="false">IF(282=0,0,E8/282)</f>
        <v>26.041914893617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201813.34</v>
      </c>
      <c r="E9" s="11" t="n">
        <v>218065.83</v>
      </c>
      <c r="F9" s="11" t="n">
        <f aca="false">D9-E9</f>
        <v>-16252.49</v>
      </c>
      <c r="G9" s="12" t="n">
        <f aca="false">IF(D9=0,0,E9/D9)</f>
        <v>1.08053228790525</v>
      </c>
      <c r="H9" s="12" t="n">
        <f aca="false">IF(1288901.21=0,0,E9/1288901.21)</f>
        <v>0.169187388690558</v>
      </c>
      <c r="I9" s="11" t="n">
        <f aca="false">IF(282=0,0,E9/282)</f>
        <v>773.283085106383</v>
      </c>
    </row>
    <row r="12" customFormat="false" ht="15" hidden="false" customHeight="true" outlineLevel="0" collapsed="false">
      <c r="B12" s="4" t="s">
        <v>146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76</v>
      </c>
      <c r="C13" s="10" t="s">
        <v>77</v>
      </c>
      <c r="D13" s="10" t="s">
        <v>79</v>
      </c>
      <c r="E13" s="10" t="s">
        <v>30</v>
      </c>
      <c r="F13" s="10" t="s">
        <v>147</v>
      </c>
      <c r="G13" s="10" t="s">
        <v>148</v>
      </c>
    </row>
    <row r="14" customFormat="false" ht="15" hidden="false" customHeight="true" outlineLevel="0" collapsed="false">
      <c r="B14" s="5" t="s">
        <v>125</v>
      </c>
      <c r="C14" s="5" t="s">
        <v>126</v>
      </c>
      <c r="D14" s="11" t="n">
        <v>30250</v>
      </c>
      <c r="E14" s="11" t="n">
        <v>75553.36</v>
      </c>
      <c r="F14" s="11" t="n">
        <f aca="false">E14-D14</f>
        <v>45303.36</v>
      </c>
      <c r="G14" s="12" t="n">
        <f aca="false">IF(D14=0,0,F14/D14)</f>
        <v>1.49763173553719</v>
      </c>
    </row>
    <row r="15" customFormat="false" ht="15" hidden="false" customHeight="true" outlineLevel="0" collapsed="false">
      <c r="B15" s="5" t="s">
        <v>96</v>
      </c>
      <c r="C15" s="5" t="s">
        <v>97</v>
      </c>
      <c r="D15" s="11" t="n">
        <v>185705</v>
      </c>
      <c r="E15" s="11" t="n">
        <v>218574.15</v>
      </c>
      <c r="F15" s="11" t="n">
        <f aca="false">E15-D15</f>
        <v>32869.15</v>
      </c>
      <c r="G15" s="12" t="n">
        <f aca="false">IF(D15=0,0,F15/D15)</f>
        <v>0.176996580598261</v>
      </c>
    </row>
    <row r="16" customFormat="false" ht="15" hidden="false" customHeight="true" outlineLevel="0" collapsed="false">
      <c r="B16" s="5" t="s">
        <v>90</v>
      </c>
      <c r="C16" s="5" t="s">
        <v>91</v>
      </c>
      <c r="D16" s="11" t="n">
        <v>37860</v>
      </c>
      <c r="E16" s="11" t="n">
        <v>51832.47</v>
      </c>
      <c r="F16" s="11" t="n">
        <f aca="false">E16-D16</f>
        <v>13972.47</v>
      </c>
      <c r="G16" s="12" t="n">
        <f aca="false">IF(D16=0,0,F16/D16)</f>
        <v>0.369056259904913</v>
      </c>
    </row>
    <row r="17" customFormat="false" ht="15" hidden="false" customHeight="true" outlineLevel="0" collapsed="false">
      <c r="B17" s="5" t="s">
        <v>137</v>
      </c>
      <c r="C17" s="5" t="s">
        <v>138</v>
      </c>
      <c r="D17" s="11" t="n">
        <v>170039.6</v>
      </c>
      <c r="E17" s="11" t="n">
        <v>183056.2</v>
      </c>
      <c r="F17" s="11" t="n">
        <f aca="false">E17-D17</f>
        <v>13016.6</v>
      </c>
      <c r="G17" s="12" t="n">
        <f aca="false">IF(D17=0,0,F17/D17)</f>
        <v>0.0765504035530547</v>
      </c>
    </row>
    <row r="18" customFormat="false" ht="15" hidden="false" customHeight="true" outlineLevel="0" collapsed="false">
      <c r="B18" s="5" t="s">
        <v>98</v>
      </c>
      <c r="C18" s="5" t="s">
        <v>99</v>
      </c>
      <c r="D18" s="11" t="n">
        <v>37212</v>
      </c>
      <c r="E18" s="11" t="n">
        <v>46024.72</v>
      </c>
      <c r="F18" s="11" t="n">
        <f aca="false">E18-D18</f>
        <v>8812.72</v>
      </c>
      <c r="G18" s="12" t="n">
        <f aca="false">IF(D18=0,0,F18/D18)</f>
        <v>0.236824680210685</v>
      </c>
    </row>
    <row r="19" customFormat="false" ht="15" hidden="false" customHeight="true" outlineLevel="0" collapsed="false">
      <c r="B19" s="5" t="s">
        <v>104</v>
      </c>
      <c r="C19" s="5" t="s">
        <v>105</v>
      </c>
      <c r="D19" s="11" t="n">
        <v>6250</v>
      </c>
      <c r="E19" s="11" t="n">
        <v>12626.53</v>
      </c>
      <c r="F19" s="11" t="n">
        <f aca="false">E19-D19</f>
        <v>6376.53</v>
      </c>
      <c r="G19" s="12" t="n">
        <f aca="false">IF(D19=0,0,F19/D19)</f>
        <v>1.0202448</v>
      </c>
    </row>
    <row r="20" customFormat="false" ht="15" hidden="false" customHeight="true" outlineLevel="0" collapsed="false">
      <c r="B20" s="5" t="s">
        <v>100</v>
      </c>
      <c r="C20" s="5" t="s">
        <v>101</v>
      </c>
      <c r="D20" s="11" t="n">
        <v>9450</v>
      </c>
      <c r="E20" s="11" t="n">
        <v>14211.67</v>
      </c>
      <c r="F20" s="11" t="n">
        <f aca="false">E20-D20</f>
        <v>4761.67</v>
      </c>
      <c r="G20" s="12" t="n">
        <f aca="false">IF(D20=0,0,F20/D20)</f>
        <v>0.503880423280423</v>
      </c>
    </row>
    <row r="21" customFormat="false" ht="15" hidden="false" customHeight="true" outlineLevel="0" collapsed="false">
      <c r="B21" s="5" t="s">
        <v>139</v>
      </c>
      <c r="C21" s="5" t="s">
        <v>140</v>
      </c>
      <c r="D21" s="11" t="n">
        <v>31773.74</v>
      </c>
      <c r="E21" s="11" t="n">
        <v>35009.63</v>
      </c>
      <c r="F21" s="11" t="n">
        <f aca="false">E21-D21</f>
        <v>3235.89</v>
      </c>
      <c r="G21" s="12" t="n">
        <f aca="false">IF(D21=0,0,F21/D21)</f>
        <v>0.101841646592438</v>
      </c>
    </row>
    <row r="22" customFormat="false" ht="15" hidden="false" customHeight="true" outlineLevel="0" collapsed="false">
      <c r="B22" s="5" t="s">
        <v>123</v>
      </c>
      <c r="C22" s="5" t="s">
        <v>124</v>
      </c>
      <c r="D22" s="11" t="n">
        <v>7500</v>
      </c>
      <c r="E22" s="11" t="n">
        <v>10163.67</v>
      </c>
      <c r="F22" s="11" t="n">
        <f aca="false">E22-D22</f>
        <v>2663.67</v>
      </c>
      <c r="G22" s="12" t="n">
        <f aca="false">IF(D22=0,0,F22/D22)</f>
        <v>0.355156</v>
      </c>
    </row>
    <row r="23" customFormat="false" ht="15" hidden="false" customHeight="true" outlineLevel="0" collapsed="false">
      <c r="B23" s="5" t="s">
        <v>113</v>
      </c>
      <c r="C23" s="5" t="s">
        <v>114</v>
      </c>
      <c r="D23" s="11" t="n">
        <v>35055</v>
      </c>
      <c r="E23" s="11" t="n">
        <v>36037.82</v>
      </c>
      <c r="F23" s="11" t="n">
        <f aca="false">E23-D23</f>
        <v>982.82</v>
      </c>
      <c r="G23" s="12" t="n">
        <f aca="false">IF(D23=0,0,F23/D23)</f>
        <v>0.028036514049351</v>
      </c>
    </row>
    <row r="26" customFormat="false" ht="15" hidden="false" customHeight="true" outlineLevel="0" collapsed="false">
      <c r="B26" s="4" t="s">
        <v>149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76</v>
      </c>
      <c r="C27" s="10" t="s">
        <v>77</v>
      </c>
      <c r="D27" s="10" t="s">
        <v>79</v>
      </c>
      <c r="E27" s="10" t="s">
        <v>30</v>
      </c>
      <c r="F27" s="10" t="s">
        <v>150</v>
      </c>
      <c r="G27" s="10" t="s">
        <v>151</v>
      </c>
    </row>
    <row r="28" customFormat="false" ht="15" hidden="false" customHeight="true" outlineLevel="0" collapsed="false">
      <c r="B28" s="5" t="s">
        <v>119</v>
      </c>
      <c r="C28" s="5" t="s">
        <v>120</v>
      </c>
      <c r="D28" s="11" t="n">
        <v>197530</v>
      </c>
      <c r="E28" s="11" t="n">
        <v>148282.22</v>
      </c>
      <c r="F28" s="11" t="n">
        <f aca="false">D28-E28</f>
        <v>49247.78</v>
      </c>
      <c r="G28" s="12" t="n">
        <f aca="false">IF(D28=0,0,F28/D28)</f>
        <v>0.249317977016149</v>
      </c>
    </row>
    <row r="29" customFormat="false" ht="15" hidden="false" customHeight="true" outlineLevel="0" collapsed="false">
      <c r="B29" s="5" t="s">
        <v>121</v>
      </c>
      <c r="C29" s="5" t="s">
        <v>122</v>
      </c>
      <c r="D29" s="11" t="n">
        <v>372749</v>
      </c>
      <c r="E29" s="11" t="n">
        <v>327741.23</v>
      </c>
      <c r="F29" s="11" t="n">
        <f aca="false">D29-E29</f>
        <v>45007.77</v>
      </c>
      <c r="G29" s="12" t="n">
        <f aca="false">IF(D29=0,0,F29/D29)</f>
        <v>0.120745515078511</v>
      </c>
    </row>
    <row r="30" customFormat="false" ht="15" hidden="false" customHeight="true" outlineLevel="0" collapsed="false">
      <c r="B30" s="5" t="s">
        <v>109</v>
      </c>
      <c r="C30" s="5" t="s">
        <v>110</v>
      </c>
      <c r="D30" s="11" t="n">
        <v>34350</v>
      </c>
      <c r="E30" s="11" t="n">
        <v>10684.8</v>
      </c>
      <c r="F30" s="11" t="n">
        <f aca="false">D30-E30</f>
        <v>23665.2</v>
      </c>
      <c r="G30" s="12" t="n">
        <f aca="false">IF(D30=0,0,F30/D30)</f>
        <v>0.688943231441048</v>
      </c>
    </row>
    <row r="31" customFormat="false" ht="15" hidden="false" customHeight="true" outlineLevel="0" collapsed="false">
      <c r="B31" s="5" t="s">
        <v>82</v>
      </c>
      <c r="C31" s="5" t="s">
        <v>83</v>
      </c>
      <c r="D31" s="11" t="n">
        <v>33300</v>
      </c>
      <c r="E31" s="11" t="n">
        <v>21823.68</v>
      </c>
      <c r="F31" s="11" t="n">
        <f aca="false">D31-E31</f>
        <v>11476.32</v>
      </c>
      <c r="G31" s="12" t="n">
        <f aca="false">IF(D31=0,0,F31/D31)</f>
        <v>0.344634234234234</v>
      </c>
    </row>
    <row r="32" customFormat="false" ht="15" hidden="false" customHeight="true" outlineLevel="0" collapsed="false">
      <c r="B32" s="5" t="s">
        <v>86</v>
      </c>
      <c r="C32" s="5" t="s">
        <v>87</v>
      </c>
      <c r="D32" s="11" t="n">
        <v>11000</v>
      </c>
      <c r="E32" s="11" t="n">
        <v>1227.8</v>
      </c>
      <c r="F32" s="11" t="n">
        <f aca="false">D32-E32</f>
        <v>9772.2</v>
      </c>
      <c r="G32" s="12" t="n">
        <f aca="false">IF(D32=0,0,F32/D32)</f>
        <v>0.888381818181818</v>
      </c>
    </row>
    <row r="33" customFormat="false" ht="15" hidden="false" customHeight="true" outlineLevel="0" collapsed="false">
      <c r="B33" s="5" t="s">
        <v>84</v>
      </c>
      <c r="C33" s="5" t="s">
        <v>85</v>
      </c>
      <c r="D33" s="11" t="n">
        <v>11000</v>
      </c>
      <c r="E33" s="11" t="n">
        <v>4198.3</v>
      </c>
      <c r="F33" s="11" t="n">
        <f aca="false">D33-E33</f>
        <v>6801.7</v>
      </c>
      <c r="G33" s="12" t="n">
        <f aca="false">IF(D33=0,0,F33/D33)</f>
        <v>0.618336363636364</v>
      </c>
    </row>
    <row r="34" customFormat="false" ht="15" hidden="false" customHeight="true" outlineLevel="0" collapsed="false">
      <c r="B34" s="5" t="s">
        <v>117</v>
      </c>
      <c r="C34" s="5" t="s">
        <v>118</v>
      </c>
      <c r="D34" s="11" t="n">
        <v>10000</v>
      </c>
      <c r="E34" s="11" t="n">
        <v>3564.14</v>
      </c>
      <c r="F34" s="11" t="n">
        <f aca="false">D34-E34</f>
        <v>6435.86</v>
      </c>
      <c r="G34" s="12" t="n">
        <f aca="false">IF(D34=0,0,F34/D34)</f>
        <v>0.643586</v>
      </c>
    </row>
    <row r="35" customFormat="false" ht="15" hidden="false" customHeight="true" outlineLevel="0" collapsed="false">
      <c r="B35" s="5" t="s">
        <v>94</v>
      </c>
      <c r="C35" s="5" t="s">
        <v>95</v>
      </c>
      <c r="D35" s="11" t="n">
        <v>9000</v>
      </c>
      <c r="E35" s="11" t="n">
        <v>3190.16</v>
      </c>
      <c r="F35" s="11" t="n">
        <f aca="false">D35-E35</f>
        <v>5809.84</v>
      </c>
      <c r="G35" s="12" t="n">
        <f aca="false">IF(D35=0,0,F35/D35)</f>
        <v>0.645537777777778</v>
      </c>
    </row>
    <row r="36" customFormat="false" ht="15" hidden="false" customHeight="true" outlineLevel="0" collapsed="false">
      <c r="B36" s="5" t="s">
        <v>132</v>
      </c>
      <c r="C36" s="5" t="s">
        <v>133</v>
      </c>
      <c r="D36" s="11" t="n">
        <v>5500</v>
      </c>
      <c r="E36" s="11" t="n">
        <v>1835.26</v>
      </c>
      <c r="F36" s="11" t="n">
        <f aca="false">D36-E36</f>
        <v>3664.74</v>
      </c>
      <c r="G36" s="12" t="n">
        <f aca="false">IF(D36=0,0,F36/D36)</f>
        <v>0.666316363636364</v>
      </c>
    </row>
    <row r="37" customFormat="false" ht="15" hidden="false" customHeight="true" outlineLevel="0" collapsed="false">
      <c r="B37" s="5" t="s">
        <v>92</v>
      </c>
      <c r="C37" s="5" t="s">
        <v>93</v>
      </c>
      <c r="D37" s="11" t="n">
        <v>12751</v>
      </c>
      <c r="E37" s="11" t="n">
        <v>9995.05</v>
      </c>
      <c r="F37" s="11" t="n">
        <f aca="false">D37-E37</f>
        <v>2755.95</v>
      </c>
      <c r="G37" s="12" t="n">
        <f aca="false">IF(D37=0,0,F37/D37)</f>
        <v>0.21613598933417</v>
      </c>
    </row>
    <row r="40" customFormat="false" ht="15" hidden="false" customHeight="true" outlineLevel="0" collapsed="false">
      <c r="B40" s="4" t="s">
        <v>66</v>
      </c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69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70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71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72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73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74</v>
      </c>
      <c r="C48" s="3"/>
      <c r="D48" s="3"/>
      <c r="E48" s="3"/>
      <c r="F48" s="3"/>
      <c r="G48" s="3"/>
      <c r="H48" s="3"/>
      <c r="I48" s="3"/>
    </row>
  </sheetData>
  <mergeCells count="13">
    <mergeCell ref="B2:I2"/>
    <mergeCell ref="B4:I4"/>
    <mergeCell ref="B12:I12"/>
    <mergeCell ref="B26:I26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152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153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154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76</v>
      </c>
      <c r="C6" s="10" t="s">
        <v>77</v>
      </c>
      <c r="D6" s="10" t="s">
        <v>79</v>
      </c>
      <c r="E6" s="10" t="s">
        <v>30</v>
      </c>
      <c r="F6" s="10" t="s">
        <v>31</v>
      </c>
      <c r="G6" s="10" t="s">
        <v>80</v>
      </c>
      <c r="H6" s="10" t="s">
        <v>155</v>
      </c>
      <c r="I6" s="10" t="s">
        <v>145</v>
      </c>
    </row>
    <row r="7" customFormat="false" ht="15" hidden="false" customHeight="true" outlineLevel="0" collapsed="false">
      <c r="B7" s="5" t="s">
        <v>109</v>
      </c>
      <c r="C7" s="5" t="s">
        <v>110</v>
      </c>
      <c r="D7" s="11" t="n">
        <v>34350</v>
      </c>
      <c r="E7" s="11" t="n">
        <v>10684.8</v>
      </c>
      <c r="F7" s="11" t="n">
        <f aca="false">D7-E7</f>
        <v>23665.2</v>
      </c>
      <c r="G7" s="12" t="n">
        <f aca="false">IF(D7=0,0,E7/D7)</f>
        <v>0.311056768558952</v>
      </c>
      <c r="H7" s="12" t="n">
        <f aca="false">IF(637990.88=0,0,E7/637990.88)</f>
        <v>0.0167475748242671</v>
      </c>
      <c r="I7" s="11" t="n">
        <f aca="false">IF(282=0,0,E7/282)</f>
        <v>37.8893617021277</v>
      </c>
    </row>
    <row r="8" customFormat="false" ht="15" hidden="false" customHeight="true" outlineLevel="0" collapsed="false">
      <c r="B8" s="5" t="s">
        <v>111</v>
      </c>
      <c r="C8" s="5" t="s">
        <v>112</v>
      </c>
      <c r="D8" s="11" t="n">
        <v>5400</v>
      </c>
      <c r="E8" s="11" t="n">
        <v>6150.1</v>
      </c>
      <c r="F8" s="11" t="n">
        <f aca="false">D8-E8</f>
        <v>-750.1</v>
      </c>
      <c r="G8" s="12" t="n">
        <f aca="false">IF(D8=0,0,E8/D8)</f>
        <v>1.13890740740741</v>
      </c>
      <c r="H8" s="12" t="n">
        <f aca="false">IF(637990.88=0,0,E8/637990.88)</f>
        <v>0.00963979297008133</v>
      </c>
      <c r="I8" s="11" t="n">
        <f aca="false">IF(282=0,0,E8/282)</f>
        <v>21.808865248227</v>
      </c>
    </row>
    <row r="9" customFormat="false" ht="15" hidden="false" customHeight="true" outlineLevel="0" collapsed="false">
      <c r="B9" s="5" t="s">
        <v>113</v>
      </c>
      <c r="C9" s="5" t="s">
        <v>114</v>
      </c>
      <c r="D9" s="11" t="n">
        <v>35055</v>
      </c>
      <c r="E9" s="11" t="n">
        <v>36037.82</v>
      </c>
      <c r="F9" s="11" t="n">
        <f aca="false">D9-E9</f>
        <v>-982.82</v>
      </c>
      <c r="G9" s="12" t="n">
        <f aca="false">IF(D9=0,0,E9/D9)</f>
        <v>1.02803651404935</v>
      </c>
      <c r="H9" s="12" t="n">
        <f aca="false">IF(637990.88=0,0,E9/637990.88)</f>
        <v>0.0564864187400296</v>
      </c>
      <c r="I9" s="11" t="n">
        <f aca="false">IF(282=0,0,E9/282)</f>
        <v>127.793687943262</v>
      </c>
    </row>
    <row r="10" customFormat="false" ht="15" hidden="false" customHeight="true" outlineLevel="0" collapsed="false">
      <c r="B10" s="5" t="s">
        <v>115</v>
      </c>
      <c r="C10" s="5" t="s">
        <v>116</v>
      </c>
      <c r="D10" s="11" t="n">
        <v>19308</v>
      </c>
      <c r="E10" s="11" t="n">
        <v>16844.65</v>
      </c>
      <c r="F10" s="11" t="n">
        <f aca="false">D10-E10</f>
        <v>2463.35</v>
      </c>
      <c r="G10" s="12" t="n">
        <f aca="false">IF(D10=0,0,E10/D10)</f>
        <v>0.872418168634763</v>
      </c>
      <c r="H10" s="12" t="n">
        <f aca="false">IF(637990.88=0,0,E10/637990.88)</f>
        <v>0.026402650144466</v>
      </c>
      <c r="I10" s="11" t="n">
        <f aca="false">IF(282=0,0,E10/282)</f>
        <v>59.7328014184397</v>
      </c>
    </row>
    <row r="11" customFormat="false" ht="15" hidden="false" customHeight="true" outlineLevel="0" collapsed="false">
      <c r="B11" s="5" t="s">
        <v>117</v>
      </c>
      <c r="C11" s="5" t="s">
        <v>118</v>
      </c>
      <c r="D11" s="11" t="n">
        <v>10000</v>
      </c>
      <c r="E11" s="11" t="n">
        <v>3564.14</v>
      </c>
      <c r="F11" s="11" t="n">
        <f aca="false">D11-E11</f>
        <v>6435.86</v>
      </c>
      <c r="G11" s="12" t="n">
        <f aca="false">IF(D11=0,0,E11/D11)</f>
        <v>0.356414</v>
      </c>
      <c r="H11" s="12" t="n">
        <f aca="false">IF(637990.88=0,0,E11/637990.88)</f>
        <v>0.00558650618955556</v>
      </c>
      <c r="I11" s="11" t="n">
        <f aca="false">IF(282=0,0,E11/282)</f>
        <v>12.6387943262411</v>
      </c>
    </row>
    <row r="12" customFormat="false" ht="15" hidden="false" customHeight="true" outlineLevel="0" collapsed="false">
      <c r="B12" s="5" t="s">
        <v>119</v>
      </c>
      <c r="C12" s="5" t="s">
        <v>120</v>
      </c>
      <c r="D12" s="11" t="n">
        <v>197530</v>
      </c>
      <c r="E12" s="11" t="n">
        <v>148282.22</v>
      </c>
      <c r="F12" s="11" t="n">
        <f aca="false">D12-E12</f>
        <v>49247.78</v>
      </c>
      <c r="G12" s="12" t="n">
        <f aca="false">IF(D12=0,0,E12/D12)</f>
        <v>0.750682022983851</v>
      </c>
      <c r="H12" s="12" t="n">
        <f aca="false">IF(637990.88=0,0,E12/637990.88)</f>
        <v>0.232420595103178</v>
      </c>
      <c r="I12" s="11" t="n">
        <f aca="false">IF(282=0,0,E12/282)</f>
        <v>525.823475177305</v>
      </c>
    </row>
    <row r="13" customFormat="false" ht="15" hidden="false" customHeight="true" outlineLevel="0" collapsed="false">
      <c r="B13" s="5" t="s">
        <v>121</v>
      </c>
      <c r="C13" s="5" t="s">
        <v>122</v>
      </c>
      <c r="D13" s="11" t="n">
        <v>372749</v>
      </c>
      <c r="E13" s="11" t="n">
        <v>327741.23</v>
      </c>
      <c r="F13" s="11" t="n">
        <f aca="false">D13-E13</f>
        <v>45007.77</v>
      </c>
      <c r="G13" s="12" t="n">
        <f aca="false">IF(D13=0,0,E13/D13)</f>
        <v>0.879254484921489</v>
      </c>
      <c r="H13" s="12" t="n">
        <f aca="false">IF(637990.88=0,0,E13/637990.88)</f>
        <v>0.513708330752314</v>
      </c>
      <c r="I13" s="11" t="n">
        <f aca="false">IF(282=0,0,E13/282)</f>
        <v>1162.20294326241</v>
      </c>
    </row>
    <row r="14" customFormat="false" ht="15" hidden="false" customHeight="true" outlineLevel="0" collapsed="false">
      <c r="B14" s="5" t="s">
        <v>123</v>
      </c>
      <c r="C14" s="5" t="s">
        <v>124</v>
      </c>
      <c r="D14" s="11" t="n">
        <v>7500</v>
      </c>
      <c r="E14" s="11" t="n">
        <v>10163.67</v>
      </c>
      <c r="F14" s="11" t="n">
        <f aca="false">D14-E14</f>
        <v>-2663.67</v>
      </c>
      <c r="G14" s="12" t="n">
        <f aca="false">IF(D14=0,0,E14/D14)</f>
        <v>1.355156</v>
      </c>
      <c r="H14" s="12" t="n">
        <f aca="false">IF(637990.88=0,0,E14/637990.88)</f>
        <v>0.0159307449661349</v>
      </c>
      <c r="I14" s="11" t="n">
        <f aca="false">IF(282=0,0,E14/282)</f>
        <v>36.0413829787234</v>
      </c>
    </row>
    <row r="15" customFormat="false" ht="15" hidden="false" customHeight="true" outlineLevel="0" collapsed="false">
      <c r="B15" s="5" t="s">
        <v>125</v>
      </c>
      <c r="C15" s="5" t="s">
        <v>126</v>
      </c>
      <c r="D15" s="11" t="n">
        <v>30250</v>
      </c>
      <c r="E15" s="11" t="n">
        <v>75553.36</v>
      </c>
      <c r="F15" s="11" t="n">
        <f aca="false">D15-E15</f>
        <v>-45303.36</v>
      </c>
      <c r="G15" s="12" t="n">
        <f aca="false">IF(D15=0,0,E15/D15)</f>
        <v>2.49763173553719</v>
      </c>
      <c r="H15" s="12" t="n">
        <f aca="false">IF(637990.88=0,0,E15/637990.88)</f>
        <v>0.118423887187854</v>
      </c>
      <c r="I15" s="11" t="n">
        <f aca="false">IF(282=0,0,E15/282)</f>
        <v>267.919716312057</v>
      </c>
    </row>
    <row r="16" customFormat="false" ht="15" hidden="false" customHeight="true" outlineLevel="0" collapsed="false">
      <c r="B16" s="5" t="s">
        <v>127</v>
      </c>
      <c r="C16" s="5" t="s">
        <v>128</v>
      </c>
      <c r="D16" s="11" t="n">
        <v>5000</v>
      </c>
      <c r="E16" s="11" t="n">
        <v>2968.89</v>
      </c>
      <c r="F16" s="11" t="n">
        <f aca="false">D16-E16</f>
        <v>2031.11</v>
      </c>
      <c r="G16" s="12" t="n">
        <f aca="false">IF(D16=0,0,E16/D16)</f>
        <v>0.593778</v>
      </c>
      <c r="H16" s="12" t="n">
        <f aca="false">IF(637990.88=0,0,E16/637990.88)</f>
        <v>0.00465349912211911</v>
      </c>
      <c r="I16" s="11" t="n">
        <f aca="false">IF(282=0,0,E16/282)</f>
        <v>10.5279787234043</v>
      </c>
    </row>
    <row r="17" customFormat="false" ht="15" hidden="false" customHeight="true" outlineLevel="0" collapsed="false">
      <c r="B17" s="6" t="s">
        <v>38</v>
      </c>
      <c r="C17" s="6" t="s">
        <v>156</v>
      </c>
      <c r="D17" s="13" t="n">
        <f aca="false">SUM(D7:D16)</f>
        <v>717142</v>
      </c>
      <c r="E17" s="13" t="n">
        <f aca="false">SUM(E7:E16)</f>
        <v>637990.88</v>
      </c>
      <c r="F17" s="13" t="n">
        <f aca="false">D17-E17</f>
        <v>79151.12</v>
      </c>
      <c r="G17" s="14" t="n">
        <f aca="false">IF(D17=0,0,E17/D17)</f>
        <v>0.889629780434001</v>
      </c>
      <c r="H17" s="14" t="n">
        <v>1</v>
      </c>
      <c r="I17" s="13" t="n">
        <f aca="false">IF(282=0,0,E17/282)</f>
        <v>2262.3790070922</v>
      </c>
    </row>
    <row r="20" customFormat="false" ht="15" hidden="false" customHeight="true" outlineLevel="0" collapsed="false">
      <c r="B20" s="4" t="s">
        <v>157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B21" s="10" t="s">
        <v>158</v>
      </c>
      <c r="C21" s="10" t="s">
        <v>159</v>
      </c>
      <c r="D21" s="10" t="s">
        <v>160</v>
      </c>
      <c r="E21" s="10" t="s">
        <v>161</v>
      </c>
      <c r="F21" s="10"/>
      <c r="G21" s="10"/>
      <c r="H21" s="10"/>
      <c r="I21" s="10" t="s">
        <v>162</v>
      </c>
    </row>
    <row r="22" customFormat="false" ht="15" hidden="false" customHeight="true" outlineLevel="0" collapsed="false">
      <c r="B22" s="5" t="s">
        <v>163</v>
      </c>
      <c r="C22" s="15" t="n">
        <v>210</v>
      </c>
      <c r="D22" s="11" t="n">
        <v>343362.11</v>
      </c>
      <c r="E22" s="12" t="n">
        <f aca="false">IF(739308.9=0,0,D22/739308.9)</f>
        <v>0.464436597476373</v>
      </c>
      <c r="I22" s="11" t="n">
        <f aca="false">IF(C22=0,0,D22/C22)</f>
        <v>1635.05766666667</v>
      </c>
    </row>
    <row r="23" customFormat="false" ht="15" hidden="false" customHeight="true" outlineLevel="0" collapsed="false">
      <c r="B23" s="5" t="s">
        <v>164</v>
      </c>
      <c r="C23" s="15" t="n">
        <v>161</v>
      </c>
      <c r="D23" s="11" t="n">
        <v>261501.21</v>
      </c>
      <c r="E23" s="12" t="n">
        <f aca="false">IF(739308.9=0,0,D23/739308.9)</f>
        <v>0.353710350301477</v>
      </c>
      <c r="I23" s="11" t="n">
        <f aca="false">IF(C23=0,0,D23/C23)</f>
        <v>1624.23111801242</v>
      </c>
    </row>
    <row r="24" customFormat="false" ht="15" hidden="false" customHeight="true" outlineLevel="0" collapsed="false">
      <c r="B24" s="5" t="s">
        <v>165</v>
      </c>
      <c r="C24" s="15" t="n">
        <v>7</v>
      </c>
      <c r="D24" s="11" t="n">
        <v>72801.65</v>
      </c>
      <c r="E24" s="12" t="n">
        <f aca="false">IF(739308.9=0,0,D24/739308.9)</f>
        <v>0.0984725735075014</v>
      </c>
      <c r="I24" s="11" t="n">
        <f aca="false">IF(C24=0,0,D24/C24)</f>
        <v>10400.2357142857</v>
      </c>
    </row>
    <row r="25" customFormat="false" ht="15" hidden="false" customHeight="true" outlineLevel="0" collapsed="false">
      <c r="B25" s="5" t="s">
        <v>166</v>
      </c>
      <c r="C25" s="15" t="n">
        <v>5</v>
      </c>
      <c r="D25" s="11" t="n">
        <v>21978.91</v>
      </c>
      <c r="E25" s="12" t="n">
        <f aca="false">IF(739308.9=0,0,D25/739308.9)</f>
        <v>0.0297289941998534</v>
      </c>
      <c r="I25" s="11" t="n">
        <f aca="false">IF(C25=0,0,D25/C25)</f>
        <v>4395.782</v>
      </c>
    </row>
    <row r="26" customFormat="false" ht="15" hidden="false" customHeight="true" outlineLevel="0" collapsed="false">
      <c r="B26" s="5" t="s">
        <v>167</v>
      </c>
      <c r="C26" s="15" t="n">
        <v>5</v>
      </c>
      <c r="D26" s="11" t="n">
        <v>15099.99</v>
      </c>
      <c r="E26" s="12" t="n">
        <f aca="false">IF(739308.9=0,0,D26/739308.9)</f>
        <v>0.0204244666877404</v>
      </c>
      <c r="I26" s="11" t="n">
        <f aca="false">IF(C26=0,0,D26/C26)</f>
        <v>3019.998</v>
      </c>
    </row>
    <row r="27" customFormat="false" ht="15" hidden="false" customHeight="true" outlineLevel="0" collapsed="false">
      <c r="B27" s="5" t="s">
        <v>168</v>
      </c>
      <c r="C27" s="15" t="n">
        <v>2</v>
      </c>
      <c r="D27" s="11" t="n">
        <v>7788</v>
      </c>
      <c r="E27" s="12" t="n">
        <f aca="false">IF(739308.9=0,0,D27/739308.9)</f>
        <v>0.010534162377864</v>
      </c>
      <c r="I27" s="11" t="n">
        <f aca="false">IF(C27=0,0,D27/C27)</f>
        <v>3894</v>
      </c>
    </row>
    <row r="28" customFormat="false" ht="15" hidden="false" customHeight="true" outlineLevel="0" collapsed="false">
      <c r="B28" s="5" t="s">
        <v>169</v>
      </c>
      <c r="C28" s="15" t="n">
        <v>7</v>
      </c>
      <c r="D28" s="11" t="n">
        <v>4140</v>
      </c>
      <c r="E28" s="12" t="n">
        <f aca="false">IF(739308.9=0,0,D28/739308.9)</f>
        <v>0.00559982437652245</v>
      </c>
      <c r="I28" s="11" t="n">
        <f aca="false">IF(C28=0,0,D28/C28)</f>
        <v>591.428571428571</v>
      </c>
    </row>
    <row r="29" customFormat="false" ht="15" hidden="false" customHeight="true" outlineLevel="0" collapsed="false">
      <c r="B29" s="5" t="s">
        <v>170</v>
      </c>
      <c r="C29" s="15" t="n">
        <v>7</v>
      </c>
      <c r="D29" s="11" t="n">
        <v>4097.84</v>
      </c>
      <c r="E29" s="12" t="n">
        <f aca="false">IF(739308.9=0,0,D29/739308.9)</f>
        <v>0.00554279814567362</v>
      </c>
      <c r="I29" s="11" t="n">
        <f aca="false">IF(C29=0,0,D29/C29)</f>
        <v>585.405714285714</v>
      </c>
    </row>
    <row r="30" customFormat="false" ht="15" hidden="false" customHeight="true" outlineLevel="0" collapsed="false">
      <c r="B30" s="5" t="s">
        <v>171</v>
      </c>
      <c r="C30" s="15" t="n">
        <v>3</v>
      </c>
      <c r="D30" s="11" t="n">
        <v>2339.19</v>
      </c>
      <c r="E30" s="12" t="n">
        <f aca="false">IF(739308.9=0,0,D30/739308.9)</f>
        <v>0.00316402250804772</v>
      </c>
      <c r="I30" s="11" t="n">
        <f aca="false">IF(C30=0,0,D30/C30)</f>
        <v>779.73</v>
      </c>
    </row>
    <row r="31" customFormat="false" ht="15" hidden="false" customHeight="true" outlineLevel="0" collapsed="false">
      <c r="B31" s="5" t="s">
        <v>172</v>
      </c>
      <c r="C31" s="15" t="n">
        <v>8</v>
      </c>
      <c r="D31" s="11" t="n">
        <v>2018.25</v>
      </c>
      <c r="E31" s="12" t="n">
        <f aca="false">IF(739308.9=0,0,D31/739308.9)</f>
        <v>0.0027299143835547</v>
      </c>
      <c r="I31" s="11" t="n">
        <f aca="false">IF(C31=0,0,D31/C31)</f>
        <v>252.28125</v>
      </c>
    </row>
    <row r="32" customFormat="false" ht="15" hidden="false" customHeight="true" outlineLevel="0" collapsed="false">
      <c r="B32" s="5" t="s">
        <v>173</v>
      </c>
      <c r="C32" s="15" t="n">
        <v>6</v>
      </c>
      <c r="D32" s="11" t="n">
        <v>1835.26</v>
      </c>
      <c r="E32" s="12" t="n">
        <f aca="false">IF(739308.9=0,0,D32/739308.9)</f>
        <v>0.00248239944088324</v>
      </c>
      <c r="I32" s="11" t="n">
        <f aca="false">IF(C32=0,0,D32/C32)</f>
        <v>305.876666666667</v>
      </c>
    </row>
    <row r="33" customFormat="false" ht="15" hidden="false" customHeight="true" outlineLevel="0" collapsed="false">
      <c r="B33" s="5" t="s">
        <v>174</v>
      </c>
      <c r="C33" s="15" t="n">
        <v>3</v>
      </c>
      <c r="D33" s="11" t="n">
        <v>1040</v>
      </c>
      <c r="E33" s="12" t="n">
        <f aca="false">IF(739308.9=0,0,D33/739308.9)</f>
        <v>0.00140671916704912</v>
      </c>
      <c r="I33" s="11" t="n">
        <f aca="false">IF(C33=0,0,D33/C33)</f>
        <v>346.666666666667</v>
      </c>
    </row>
    <row r="34" customFormat="false" ht="15" hidden="false" customHeight="true" outlineLevel="0" collapsed="false">
      <c r="B34" s="5" t="s">
        <v>175</v>
      </c>
      <c r="C34" s="15" t="n">
        <v>3</v>
      </c>
      <c r="D34" s="11" t="n">
        <v>520.48</v>
      </c>
      <c r="E34" s="12" t="n">
        <f aca="false">IF(739308.9=0,0,D34/739308.9)</f>
        <v>0.000704008838524736</v>
      </c>
      <c r="I34" s="11" t="n">
        <f aca="false">IF(C34=0,0,D34/C34)</f>
        <v>173.493333333333</v>
      </c>
    </row>
    <row r="35" customFormat="false" ht="15" hidden="false" customHeight="true" outlineLevel="0" collapsed="false">
      <c r="B35" s="5" t="s">
        <v>176</v>
      </c>
      <c r="C35" s="15" t="n">
        <v>4</v>
      </c>
      <c r="D35" s="11" t="n">
        <v>468.55</v>
      </c>
      <c r="E35" s="12" t="n">
        <f aca="false">IF(739308.9=0,0,D35/739308.9)</f>
        <v>0.000633767563193139</v>
      </c>
      <c r="I35" s="11" t="n">
        <f aca="false">IF(C35=0,0,D35/C35)</f>
        <v>117.1375</v>
      </c>
    </row>
    <row r="36" customFormat="false" ht="15" hidden="false" customHeight="true" outlineLevel="0" collapsed="false">
      <c r="B36" s="5" t="s">
        <v>177</v>
      </c>
      <c r="C36" s="15" t="n">
        <v>1</v>
      </c>
      <c r="D36" s="11" t="n">
        <v>227</v>
      </c>
      <c r="E36" s="12" t="n">
        <f aca="false">IF(739308.9=0,0,D36/739308.9)</f>
        <v>0.000307043510500144</v>
      </c>
      <c r="I36" s="11" t="n">
        <f aca="false">IF(C36=0,0,D36/C36)</f>
        <v>227</v>
      </c>
    </row>
    <row r="37" customFormat="false" ht="15" hidden="false" customHeight="true" outlineLevel="0" collapsed="false">
      <c r="B37" s="5" t="s">
        <v>178</v>
      </c>
      <c r="C37" s="15" t="n">
        <v>1</v>
      </c>
      <c r="D37" s="11" t="n">
        <v>90.46</v>
      </c>
      <c r="E37" s="12" t="n">
        <f aca="false">IF(739308.9=0,0,D37/739308.9)</f>
        <v>0.000122357515241599</v>
      </c>
      <c r="I37" s="11" t="n">
        <f aca="false">IF(C37=0,0,D37/C37)</f>
        <v>90.46</v>
      </c>
    </row>
    <row r="38" customFormat="false" ht="15" hidden="false" customHeight="true" outlineLevel="0" collapsed="false">
      <c r="B38" s="6" t="s">
        <v>38</v>
      </c>
      <c r="C38" s="16" t="n">
        <f aca="false">SUM(C22:C37)</f>
        <v>433</v>
      </c>
      <c r="D38" s="13" t="n">
        <f aca="false">SUM(D22:D37)</f>
        <v>739308.9</v>
      </c>
      <c r="E38" s="14" t="n">
        <v>1</v>
      </c>
    </row>
    <row r="41" customFormat="false" ht="15" hidden="false" customHeight="true" outlineLevel="0" collapsed="false">
      <c r="B41" s="4" t="s">
        <v>66</v>
      </c>
      <c r="C41" s="4"/>
      <c r="D41" s="4"/>
      <c r="E41" s="4"/>
      <c r="F41" s="4"/>
      <c r="G41" s="4"/>
      <c r="H41" s="4"/>
      <c r="I41" s="4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71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72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73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74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179</v>
      </c>
      <c r="C50" s="3"/>
      <c r="D50" s="3"/>
      <c r="E50" s="3"/>
      <c r="F50" s="3"/>
      <c r="G50" s="3"/>
      <c r="H50" s="3"/>
      <c r="I50" s="3"/>
    </row>
  </sheetData>
  <mergeCells count="14">
    <mergeCell ref="B2:I2"/>
    <mergeCell ref="B3:I3"/>
    <mergeCell ref="B5:I5"/>
    <mergeCell ref="B20:I2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180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181</v>
      </c>
      <c r="C4" s="10" t="s">
        <v>182</v>
      </c>
      <c r="D4" s="10" t="s">
        <v>183</v>
      </c>
      <c r="E4" s="10" t="s">
        <v>184</v>
      </c>
      <c r="F4" s="10" t="s">
        <v>185</v>
      </c>
    </row>
    <row r="5" customFormat="false" ht="15" hidden="false" customHeight="true" outlineLevel="0" collapsed="false">
      <c r="B5" s="5" t="s">
        <v>186</v>
      </c>
      <c r="C5" s="17" t="n">
        <v>2221</v>
      </c>
      <c r="D5" s="11" t="n">
        <v>69758.1</v>
      </c>
      <c r="E5" s="18" t="n">
        <f aca="false">IF(C5=0,0,D5/C5)</f>
        <v>31.4084196307969</v>
      </c>
      <c r="F5" s="5" t="s">
        <v>187</v>
      </c>
    </row>
    <row r="6" customFormat="false" ht="15" hidden="false" customHeight="true" outlineLevel="0" collapsed="false">
      <c r="B6" s="5" t="s">
        <v>188</v>
      </c>
      <c r="C6" s="17" t="n">
        <v>1824.5</v>
      </c>
      <c r="D6" s="11" t="n">
        <v>23718.5</v>
      </c>
      <c r="E6" s="18" t="n">
        <f aca="false">IF(C6=0,0,D6/C6)</f>
        <v>13</v>
      </c>
      <c r="F6" s="5" t="s">
        <v>189</v>
      </c>
    </row>
    <row r="7" customFormat="false" ht="15" hidden="false" customHeight="true" outlineLevel="0" collapsed="false">
      <c r="B7" s="5" t="s">
        <v>190</v>
      </c>
      <c r="C7" s="17" t="n">
        <v>1720.5</v>
      </c>
      <c r="D7" s="11" t="n">
        <v>37851</v>
      </c>
      <c r="E7" s="18" t="n">
        <f aca="false">IF(C7=0,0,D7/C7)</f>
        <v>22</v>
      </c>
      <c r="F7" s="5" t="s">
        <v>191</v>
      </c>
    </row>
    <row r="8" customFormat="false" ht="15" hidden="false" customHeight="true" outlineLevel="0" collapsed="false">
      <c r="B8" s="5" t="s">
        <v>192</v>
      </c>
      <c r="C8" s="17" t="n">
        <v>1558</v>
      </c>
      <c r="D8" s="11" t="n">
        <v>38797.2</v>
      </c>
      <c r="E8" s="18" t="n">
        <f aca="false">IF(C8=0,0,D8/C8)</f>
        <v>24.9019255455712</v>
      </c>
      <c r="F8" s="5" t="s">
        <v>191</v>
      </c>
    </row>
    <row r="9" customFormat="false" ht="15" hidden="false" customHeight="true" outlineLevel="0" collapsed="false">
      <c r="B9" s="5" t="s">
        <v>193</v>
      </c>
      <c r="C9" s="17" t="n">
        <v>1451</v>
      </c>
      <c r="D9" s="11" t="n">
        <v>38117.77</v>
      </c>
      <c r="E9" s="18" t="n">
        <f aca="false">IF(C9=0,0,D9/C9)</f>
        <v>26.27</v>
      </c>
      <c r="F9" s="5" t="s">
        <v>191</v>
      </c>
    </row>
    <row r="10" customFormat="false" ht="15" hidden="false" customHeight="true" outlineLevel="0" collapsed="false">
      <c r="B10" s="5" t="s">
        <v>194</v>
      </c>
      <c r="C10" s="17" t="n">
        <v>1338.5</v>
      </c>
      <c r="D10" s="11" t="n">
        <v>13479.5</v>
      </c>
      <c r="E10" s="18" t="n">
        <f aca="false">IF(C10=0,0,D10/C10)</f>
        <v>10.0706014194994</v>
      </c>
      <c r="F10" s="5" t="s">
        <v>189</v>
      </c>
    </row>
    <row r="11" customFormat="false" ht="15" hidden="false" customHeight="true" outlineLevel="0" collapsed="false">
      <c r="B11" s="5" t="s">
        <v>195</v>
      </c>
      <c r="C11" s="17" t="n">
        <v>1338</v>
      </c>
      <c r="D11" s="11" t="n">
        <v>33450</v>
      </c>
      <c r="E11" s="18" t="n">
        <f aca="false">IF(C11=0,0,D11/C11)</f>
        <v>25</v>
      </c>
      <c r="F11" s="5" t="s">
        <v>191</v>
      </c>
    </row>
    <row r="12" customFormat="false" ht="15" hidden="false" customHeight="true" outlineLevel="0" collapsed="false">
      <c r="B12" s="5" t="s">
        <v>196</v>
      </c>
      <c r="C12" s="17" t="n">
        <v>1302</v>
      </c>
      <c r="D12" s="11" t="n">
        <v>32550</v>
      </c>
      <c r="E12" s="18" t="n">
        <f aca="false">IF(C12=0,0,D12/C12)</f>
        <v>25</v>
      </c>
      <c r="F12" s="5" t="s">
        <v>191</v>
      </c>
    </row>
    <row r="13" customFormat="false" ht="15" hidden="false" customHeight="true" outlineLevel="0" collapsed="false">
      <c r="B13" s="5" t="s">
        <v>197</v>
      </c>
      <c r="C13" s="17" t="n">
        <v>1231.5</v>
      </c>
      <c r="D13" s="11" t="n">
        <v>35713.5</v>
      </c>
      <c r="E13" s="18" t="n">
        <f aca="false">IF(C13=0,0,D13/C13)</f>
        <v>29</v>
      </c>
      <c r="F13" s="5" t="s">
        <v>191</v>
      </c>
    </row>
    <row r="14" customFormat="false" ht="15" hidden="false" customHeight="true" outlineLevel="0" collapsed="false">
      <c r="B14" s="5" t="s">
        <v>198</v>
      </c>
      <c r="C14" s="17" t="n">
        <v>1170.5</v>
      </c>
      <c r="D14" s="11" t="n">
        <v>28092</v>
      </c>
      <c r="E14" s="18" t="n">
        <f aca="false">IF(C14=0,0,D14/C14)</f>
        <v>24</v>
      </c>
      <c r="F14" s="5" t="s">
        <v>191</v>
      </c>
    </row>
    <row r="15" customFormat="false" ht="15" hidden="false" customHeight="true" outlineLevel="0" collapsed="false">
      <c r="B15" s="5" t="s">
        <v>199</v>
      </c>
      <c r="C15" s="17" t="n">
        <v>1157.5</v>
      </c>
      <c r="D15" s="11" t="n">
        <v>24926</v>
      </c>
      <c r="E15" s="18" t="n">
        <f aca="false">IF(C15=0,0,D15/C15)</f>
        <v>21.5343412526998</v>
      </c>
      <c r="F15" s="5" t="s">
        <v>191</v>
      </c>
    </row>
    <row r="16" customFormat="false" ht="15" hidden="false" customHeight="true" outlineLevel="0" collapsed="false">
      <c r="B16" s="5" t="s">
        <v>200</v>
      </c>
      <c r="C16" s="17" t="n">
        <v>884.75</v>
      </c>
      <c r="D16" s="11" t="n">
        <v>10617</v>
      </c>
      <c r="E16" s="18" t="n">
        <f aca="false">IF(C16=0,0,D16/C16)</f>
        <v>12</v>
      </c>
      <c r="F16" s="5" t="s">
        <v>189</v>
      </c>
    </row>
    <row r="17" customFormat="false" ht="15" hidden="false" customHeight="true" outlineLevel="0" collapsed="false">
      <c r="B17" s="5" t="s">
        <v>201</v>
      </c>
      <c r="C17" s="17" t="n">
        <v>778.5</v>
      </c>
      <c r="D17" s="11" t="n">
        <v>14791.5</v>
      </c>
      <c r="E17" s="18" t="n">
        <f aca="false">IF(C17=0,0,D17/C17)</f>
        <v>19</v>
      </c>
      <c r="F17" s="5" t="s">
        <v>191</v>
      </c>
    </row>
    <row r="18" customFormat="false" ht="15" hidden="false" customHeight="true" outlineLevel="0" collapsed="false">
      <c r="B18" s="5" t="s">
        <v>202</v>
      </c>
      <c r="C18" s="17" t="n">
        <v>733</v>
      </c>
      <c r="D18" s="11" t="n">
        <v>23119.4</v>
      </c>
      <c r="E18" s="18" t="n">
        <f aca="false">IF(C18=0,0,D18/C18)</f>
        <v>31.5407912687585</v>
      </c>
      <c r="F18" s="5" t="s">
        <v>187</v>
      </c>
    </row>
    <row r="19" customFormat="false" ht="15" hidden="false" customHeight="true" outlineLevel="0" collapsed="false">
      <c r="B19" s="5" t="s">
        <v>203</v>
      </c>
      <c r="C19" s="17" t="n">
        <v>629</v>
      </c>
      <c r="D19" s="11" t="n">
        <v>6290</v>
      </c>
      <c r="E19" s="18" t="n">
        <f aca="false">IF(C19=0,0,D19/C19)</f>
        <v>10</v>
      </c>
      <c r="F19" s="5" t="s">
        <v>189</v>
      </c>
    </row>
    <row r="20" customFormat="false" ht="15" hidden="false" customHeight="true" outlineLevel="0" collapsed="false">
      <c r="B20" s="5" t="s">
        <v>204</v>
      </c>
      <c r="C20" s="17" t="n">
        <v>619.5</v>
      </c>
      <c r="D20" s="11" t="n">
        <v>7763.75</v>
      </c>
      <c r="E20" s="18" t="n">
        <f aca="false">IF(C20=0,0,D20/C20)</f>
        <v>12.5322841000807</v>
      </c>
      <c r="F20" s="5" t="s">
        <v>189</v>
      </c>
    </row>
    <row r="21" customFormat="false" ht="15" hidden="false" customHeight="true" outlineLevel="0" collapsed="false">
      <c r="B21" s="5" t="s">
        <v>205</v>
      </c>
      <c r="C21" s="17" t="n">
        <v>486</v>
      </c>
      <c r="D21" s="11" t="n">
        <v>9112.75</v>
      </c>
      <c r="E21" s="18" t="n">
        <f aca="false">IF(C21=0,0,D21/C21)</f>
        <v>18.7505144032922</v>
      </c>
      <c r="F21" s="5" t="s">
        <v>191</v>
      </c>
    </row>
    <row r="22" customFormat="false" ht="15" hidden="false" customHeight="true" outlineLevel="0" collapsed="false">
      <c r="B22" s="5" t="s">
        <v>206</v>
      </c>
      <c r="C22" s="17" t="n">
        <v>411</v>
      </c>
      <c r="D22" s="11" t="n">
        <v>4110</v>
      </c>
      <c r="E22" s="18" t="n">
        <f aca="false">IF(C22=0,0,D22/C22)</f>
        <v>10</v>
      </c>
      <c r="F22" s="5" t="s">
        <v>189</v>
      </c>
    </row>
    <row r="23" customFormat="false" ht="15" hidden="false" customHeight="true" outlineLevel="0" collapsed="false">
      <c r="B23" s="5" t="s">
        <v>207</v>
      </c>
      <c r="C23" s="17" t="n">
        <v>288</v>
      </c>
      <c r="D23" s="11" t="n">
        <v>2880</v>
      </c>
      <c r="E23" s="18" t="n">
        <f aca="false">IF(C23=0,0,D23/C23)</f>
        <v>10</v>
      </c>
      <c r="F23" s="5" t="s">
        <v>189</v>
      </c>
    </row>
    <row r="24" customFormat="false" ht="15" hidden="false" customHeight="true" outlineLevel="0" collapsed="false">
      <c r="B24" s="5" t="s">
        <v>208</v>
      </c>
      <c r="C24" s="17" t="n">
        <v>262</v>
      </c>
      <c r="D24" s="11" t="n">
        <v>2621.5</v>
      </c>
      <c r="E24" s="18" t="n">
        <f aca="false">IF(C24=0,0,D24/C24)</f>
        <v>10.0057251908397</v>
      </c>
      <c r="F24" s="5" t="s">
        <v>189</v>
      </c>
    </row>
    <row r="25" customFormat="false" ht="15" hidden="false" customHeight="true" outlineLevel="0" collapsed="false">
      <c r="B25" s="5" t="s">
        <v>209</v>
      </c>
      <c r="C25" s="17" t="n">
        <v>248</v>
      </c>
      <c r="D25" s="11" t="n">
        <v>2480</v>
      </c>
      <c r="E25" s="18" t="n">
        <f aca="false">IF(C25=0,0,D25/C25)</f>
        <v>10</v>
      </c>
      <c r="F25" s="5" t="s">
        <v>189</v>
      </c>
    </row>
    <row r="26" customFormat="false" ht="15" hidden="false" customHeight="true" outlineLevel="0" collapsed="false">
      <c r="B26" s="5" t="s">
        <v>210</v>
      </c>
      <c r="C26" s="17" t="n">
        <v>220.25</v>
      </c>
      <c r="D26" s="11" t="n">
        <v>2202.5</v>
      </c>
      <c r="E26" s="18" t="n">
        <f aca="false">IF(C26=0,0,D26/C26)</f>
        <v>10</v>
      </c>
      <c r="F26" s="5" t="s">
        <v>189</v>
      </c>
    </row>
    <row r="27" customFormat="false" ht="15" hidden="false" customHeight="true" outlineLevel="0" collapsed="false">
      <c r="B27" s="5" t="s">
        <v>211</v>
      </c>
      <c r="C27" s="17" t="n">
        <v>182</v>
      </c>
      <c r="D27" s="11" t="n">
        <v>4368</v>
      </c>
      <c r="E27" s="18" t="n">
        <f aca="false">IF(C27=0,0,D27/C27)</f>
        <v>24</v>
      </c>
      <c r="F27" s="5" t="s">
        <v>191</v>
      </c>
    </row>
    <row r="28" customFormat="false" ht="15" hidden="false" customHeight="true" outlineLevel="0" collapsed="false">
      <c r="B28" s="5" t="s">
        <v>212</v>
      </c>
      <c r="C28" s="17" t="n">
        <v>172.5</v>
      </c>
      <c r="D28" s="11" t="n">
        <v>1725</v>
      </c>
      <c r="E28" s="18" t="n">
        <f aca="false">IF(C28=0,0,D28/C28)</f>
        <v>10</v>
      </c>
      <c r="F28" s="5" t="s">
        <v>189</v>
      </c>
    </row>
    <row r="29" customFormat="false" ht="15" hidden="false" customHeight="true" outlineLevel="0" collapsed="false">
      <c r="B29" s="5" t="s">
        <v>213</v>
      </c>
      <c r="C29" s="17" t="n">
        <v>53</v>
      </c>
      <c r="D29" s="11" t="n">
        <v>1510.02</v>
      </c>
      <c r="E29" s="18" t="n">
        <f aca="false">IF(C29=0,0,D29/C29)</f>
        <v>28.4909433962264</v>
      </c>
      <c r="F29" s="5" t="s">
        <v>191</v>
      </c>
    </row>
    <row r="30" customFormat="false" ht="15" hidden="false" customHeight="true" outlineLevel="0" collapsed="false">
      <c r="B30" s="5" t="s">
        <v>214</v>
      </c>
      <c r="C30" s="17" t="n">
        <v>27.5</v>
      </c>
      <c r="D30" s="11" t="n">
        <v>275</v>
      </c>
      <c r="E30" s="18" t="n">
        <f aca="false">IF(C30=0,0,D30/C30)</f>
        <v>10</v>
      </c>
      <c r="F30" s="5" t="s">
        <v>189</v>
      </c>
    </row>
    <row r="31" customFormat="false" ht="15" hidden="false" customHeight="true" outlineLevel="0" collapsed="false">
      <c r="B31" s="5" t="s">
        <v>215</v>
      </c>
      <c r="C31" s="17" t="n">
        <v>8</v>
      </c>
      <c r="D31" s="11" t="n">
        <v>96</v>
      </c>
      <c r="E31" s="18" t="n">
        <f aca="false">IF(C31=0,0,D31/C31)</f>
        <v>12</v>
      </c>
      <c r="F31" s="5" t="s">
        <v>189</v>
      </c>
    </row>
    <row r="32" customFormat="false" ht="15" hidden="false" customHeight="true" outlineLevel="0" collapsed="false">
      <c r="B32" s="6" t="s">
        <v>216</v>
      </c>
      <c r="C32" s="19" t="n">
        <f aca="false">SUM(C5:C31)</f>
        <v>22316</v>
      </c>
      <c r="D32" s="13" t="n">
        <f aca="false">SUM(D5:D31)</f>
        <v>470415.99</v>
      </c>
      <c r="E32" s="20" t="n">
        <f aca="false">IF(C32=0,0,D32/C32)</f>
        <v>21.0797629503495</v>
      </c>
    </row>
    <row r="35" customFormat="false" ht="15" hidden="false" customHeight="true" outlineLevel="0" collapsed="false">
      <c r="B35" s="4" t="s">
        <v>66</v>
      </c>
      <c r="C35" s="4"/>
      <c r="D35" s="4"/>
      <c r="E35" s="4"/>
      <c r="F35" s="4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</row>
    <row r="44" customFormat="false" ht="15" hidden="false" customHeight="true" outlineLevel="0" collapsed="false">
      <c r="B44" s="3" t="s">
        <v>217</v>
      </c>
      <c r="C44" s="3"/>
      <c r="D44" s="3"/>
      <c r="E44" s="3"/>
      <c r="F44" s="3"/>
    </row>
  </sheetData>
  <mergeCells count="11">
    <mergeCell ref="B2:F2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218</v>
      </c>
      <c r="C2" s="2"/>
      <c r="D2" s="2"/>
      <c r="E2" s="2"/>
      <c r="F2" s="2"/>
    </row>
    <row r="4" customFormat="false" ht="15" hidden="false" customHeight="true" outlineLevel="0" collapsed="false">
      <c r="B4" s="4" t="s">
        <v>219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185</v>
      </c>
      <c r="C5" s="10" t="s">
        <v>220</v>
      </c>
      <c r="D5" s="10" t="s">
        <v>182</v>
      </c>
      <c r="E5" s="10" t="s">
        <v>183</v>
      </c>
      <c r="F5" s="10" t="s">
        <v>221</v>
      </c>
    </row>
    <row r="6" customFormat="false" ht="15" hidden="false" customHeight="true" outlineLevel="0" collapsed="false">
      <c r="B6" s="5" t="s">
        <v>187</v>
      </c>
      <c r="C6" s="15" t="n">
        <v>2</v>
      </c>
      <c r="D6" s="17" t="n">
        <v>2954</v>
      </c>
      <c r="E6" s="11" t="n">
        <v>92877.5</v>
      </c>
      <c r="F6" s="12" t="n">
        <f aca="false">IF(22316=0,0,D6/22316)</f>
        <v>0.13237139272271</v>
      </c>
    </row>
    <row r="7" customFormat="false" ht="15" hidden="false" customHeight="true" outlineLevel="0" collapsed="false">
      <c r="B7" s="5" t="s">
        <v>191</v>
      </c>
      <c r="C7" s="15" t="n">
        <v>12</v>
      </c>
      <c r="D7" s="17" t="n">
        <v>12428.5</v>
      </c>
      <c r="E7" s="11" t="n">
        <v>299279.74</v>
      </c>
      <c r="F7" s="12" t="n">
        <f aca="false">IF(22316=0,0,D7/22316)</f>
        <v>0.556932245922208</v>
      </c>
    </row>
    <row r="8" customFormat="false" ht="15" hidden="false" customHeight="true" outlineLevel="0" collapsed="false">
      <c r="B8" s="5" t="s">
        <v>189</v>
      </c>
      <c r="C8" s="15" t="n">
        <v>13</v>
      </c>
      <c r="D8" s="17" t="n">
        <v>6933.5</v>
      </c>
      <c r="E8" s="11" t="n">
        <v>78258.75</v>
      </c>
      <c r="F8" s="12" t="n">
        <f aca="false">IF(22316=0,0,D8/22316)</f>
        <v>0.310696361355082</v>
      </c>
    </row>
    <row r="11" customFormat="false" ht="15" hidden="false" customHeight="true" outlineLevel="0" collapsed="false">
      <c r="B11" s="4" t="s">
        <v>222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223</v>
      </c>
      <c r="C12" s="21" t="n">
        <v>21.0797629503495</v>
      </c>
      <c r="F12" s="22" t="s">
        <v>224</v>
      </c>
    </row>
    <row r="13" customFormat="false" ht="15" hidden="false" customHeight="true" outlineLevel="0" collapsed="false">
      <c r="B13" s="5" t="s">
        <v>225</v>
      </c>
      <c r="C13" s="21" t="n">
        <v>28.8387932425166</v>
      </c>
      <c r="F13" s="22" t="s">
        <v>226</v>
      </c>
    </row>
    <row r="14" customFormat="false" ht="15" hidden="false" customHeight="true" outlineLevel="0" collapsed="false">
      <c r="B14" s="5" t="s">
        <v>227</v>
      </c>
      <c r="C14" s="21" t="n">
        <v>1.36807957994795</v>
      </c>
      <c r="F14" s="22" t="s">
        <v>228</v>
      </c>
    </row>
    <row r="15" customFormat="false" ht="15" hidden="false" customHeight="true" outlineLevel="0" collapsed="false">
      <c r="B15" s="5" t="s">
        <v>229</v>
      </c>
      <c r="C15" s="21" t="n">
        <v>10</v>
      </c>
      <c r="F15" s="22" t="s">
        <v>230</v>
      </c>
    </row>
    <row r="16" customFormat="false" ht="15" hidden="false" customHeight="true" outlineLevel="0" collapsed="false">
      <c r="B16" s="5" t="s">
        <v>231</v>
      </c>
      <c r="C16" s="21" t="n">
        <v>31.5407912687585</v>
      </c>
      <c r="F16" s="22" t="s">
        <v>232</v>
      </c>
    </row>
    <row r="17" customFormat="false" ht="15" hidden="false" customHeight="true" outlineLevel="0" collapsed="false">
      <c r="B17" s="5" t="s">
        <v>233</v>
      </c>
      <c r="C17" s="21" t="n">
        <v>826.518518518519</v>
      </c>
      <c r="F17" s="22" t="s">
        <v>234</v>
      </c>
    </row>
    <row r="20" customFormat="false" ht="15" hidden="false" customHeight="true" outlineLevel="0" collapsed="false">
      <c r="B20" s="4" t="s">
        <v>66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67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68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69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70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71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72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73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74</v>
      </c>
      <c r="C28" s="3"/>
      <c r="D28" s="3"/>
      <c r="E28" s="3"/>
      <c r="F28" s="3"/>
    </row>
  </sheetData>
  <mergeCells count="12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235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236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237</v>
      </c>
      <c r="C5" s="10" t="s">
        <v>238</v>
      </c>
      <c r="D5" s="10" t="s">
        <v>182</v>
      </c>
      <c r="E5" s="10" t="s">
        <v>239</v>
      </c>
      <c r="F5" s="10" t="s">
        <v>240</v>
      </c>
    </row>
    <row r="6" customFormat="false" ht="15" hidden="false" customHeight="true" outlineLevel="0" collapsed="false">
      <c r="B6" s="5" t="s">
        <v>241</v>
      </c>
      <c r="C6" s="5" t="s">
        <v>82</v>
      </c>
      <c r="D6" s="17" t="n">
        <v>928</v>
      </c>
      <c r="E6" s="12" t="n">
        <f aca="false">IF(20279.5=0,0,D6/20279.5)</f>
        <v>0.0457604970536749</v>
      </c>
      <c r="F6" s="23" t="n">
        <f aca="false">IF(282=0,0,D6/282)</f>
        <v>3.29078014184397</v>
      </c>
    </row>
    <row r="7" customFormat="false" ht="15" hidden="false" customHeight="true" outlineLevel="0" collapsed="false">
      <c r="B7" s="5" t="s">
        <v>85</v>
      </c>
      <c r="C7" s="5" t="s">
        <v>84</v>
      </c>
      <c r="D7" s="17" t="n">
        <v>130.5</v>
      </c>
      <c r="E7" s="12" t="n">
        <f aca="false">IF(20279.5=0,0,D7/20279.5)</f>
        <v>0.00643506989817303</v>
      </c>
      <c r="F7" s="23" t="n">
        <f aca="false">IF(282=0,0,D7/282)</f>
        <v>0.462765957446809</v>
      </c>
    </row>
    <row r="8" customFormat="false" ht="15" hidden="false" customHeight="true" outlineLevel="0" collapsed="false">
      <c r="B8" s="5" t="s">
        <v>242</v>
      </c>
      <c r="C8" s="5" t="s">
        <v>86</v>
      </c>
      <c r="D8" s="17" t="n">
        <v>39</v>
      </c>
      <c r="E8" s="12" t="n">
        <f aca="false">IF(20279.5=0,0,D8/20279.5)</f>
        <v>0.00192312433738504</v>
      </c>
      <c r="F8" s="23" t="n">
        <f aca="false">IF(282=0,0,D8/282)</f>
        <v>0.138297872340426</v>
      </c>
    </row>
    <row r="9" customFormat="false" ht="15" hidden="false" customHeight="true" outlineLevel="0" collapsed="false">
      <c r="B9" s="5" t="s">
        <v>243</v>
      </c>
      <c r="C9" s="5" t="s">
        <v>88</v>
      </c>
      <c r="D9" s="17" t="n">
        <v>203</v>
      </c>
      <c r="E9" s="12" t="n">
        <f aca="false">IF(20279.5=0,0,D9/20279.5)</f>
        <v>0.0100101087304914</v>
      </c>
      <c r="F9" s="23" t="n">
        <f aca="false">IF(282=0,0,D9/282)</f>
        <v>0.719858156028369</v>
      </c>
    </row>
    <row r="10" customFormat="false" ht="15" hidden="false" customHeight="true" outlineLevel="0" collapsed="false">
      <c r="B10" s="5" t="s">
        <v>244</v>
      </c>
      <c r="C10" s="5" t="s">
        <v>90</v>
      </c>
      <c r="D10" s="17" t="n">
        <v>2258</v>
      </c>
      <c r="E10" s="12" t="n">
        <f aca="false">IF(20279.5=0,0,D10/20279.5)</f>
        <v>0.111343968046549</v>
      </c>
      <c r="F10" s="23" t="n">
        <f aca="false">IF(282=0,0,D10/282)</f>
        <v>8.00709219858156</v>
      </c>
    </row>
    <row r="11" customFormat="false" ht="15" hidden="false" customHeight="true" outlineLevel="0" collapsed="false">
      <c r="B11" s="5" t="s">
        <v>245</v>
      </c>
      <c r="C11" s="5" t="s">
        <v>92</v>
      </c>
      <c r="D11" s="17" t="n">
        <v>404</v>
      </c>
      <c r="E11" s="12" t="n">
        <f aca="false">IF(20279.5=0,0,D11/20279.5)</f>
        <v>0.0199215957000912</v>
      </c>
      <c r="F11" s="23" t="n">
        <f aca="false">IF(282=0,0,D11/282)</f>
        <v>1.43262411347518</v>
      </c>
    </row>
    <row r="12" customFormat="false" ht="15" hidden="false" customHeight="true" outlineLevel="0" collapsed="false">
      <c r="B12" s="5" t="s">
        <v>246</v>
      </c>
      <c r="C12" s="5" t="s">
        <v>94</v>
      </c>
      <c r="D12" s="17" t="n">
        <v>130.5</v>
      </c>
      <c r="E12" s="12" t="n">
        <f aca="false">IF(20279.5=0,0,D12/20279.5)</f>
        <v>0.00643506989817303</v>
      </c>
      <c r="F12" s="23" t="n">
        <f aca="false">IF(282=0,0,D12/282)</f>
        <v>0.462765957446809</v>
      </c>
    </row>
    <row r="13" customFormat="false" ht="15" hidden="false" customHeight="true" outlineLevel="0" collapsed="false">
      <c r="B13" s="5" t="s">
        <v>247</v>
      </c>
      <c r="C13" s="5" t="s">
        <v>96</v>
      </c>
      <c r="D13" s="17" t="n">
        <v>10499.75</v>
      </c>
      <c r="E13" s="12" t="n">
        <f aca="false">IF(20279.5=0,0,D13/20279.5)</f>
        <v>0.517751916960477</v>
      </c>
      <c r="F13" s="23" t="n">
        <f aca="false">IF(282=0,0,D13/282)</f>
        <v>37.2331560283688</v>
      </c>
    </row>
    <row r="14" customFormat="false" ht="15" hidden="false" customHeight="true" outlineLevel="0" collapsed="false">
      <c r="B14" s="5" t="s">
        <v>248</v>
      </c>
      <c r="C14" s="5" t="s">
        <v>98</v>
      </c>
      <c r="D14" s="17" t="n">
        <v>2361.25</v>
      </c>
      <c r="E14" s="12" t="n">
        <f aca="false">IF(20279.5=0,0,D14/20279.5)</f>
        <v>0.116435316452575</v>
      </c>
      <c r="F14" s="23" t="n">
        <f aca="false">IF(282=0,0,D14/282)</f>
        <v>8.37322695035461</v>
      </c>
    </row>
    <row r="15" customFormat="false" ht="15" hidden="false" customHeight="true" outlineLevel="0" collapsed="false">
      <c r="B15" s="5" t="s">
        <v>249</v>
      </c>
      <c r="C15" s="5" t="s">
        <v>100</v>
      </c>
      <c r="D15" s="17" t="n">
        <v>650</v>
      </c>
      <c r="E15" s="12" t="n">
        <f aca="false">IF(20279.5=0,0,D15/20279.5)</f>
        <v>0.0320520722897507</v>
      </c>
      <c r="F15" s="23" t="n">
        <f aca="false">IF(282=0,0,D15/282)</f>
        <v>2.30496453900709</v>
      </c>
    </row>
    <row r="16" customFormat="false" ht="15" hidden="false" customHeight="true" outlineLevel="0" collapsed="false">
      <c r="B16" s="5" t="s">
        <v>250</v>
      </c>
      <c r="C16" s="5" t="s">
        <v>102</v>
      </c>
      <c r="D16" s="17" t="n">
        <v>1968.5</v>
      </c>
      <c r="E16" s="12" t="n">
        <f aca="false">IF(20279.5=0,0,D16/20279.5)</f>
        <v>0.097068468157499</v>
      </c>
      <c r="F16" s="23" t="n">
        <f aca="false">IF(282=0,0,D16/282)</f>
        <v>6.98049645390071</v>
      </c>
    </row>
    <row r="17" customFormat="false" ht="15" hidden="false" customHeight="true" outlineLevel="0" collapsed="false">
      <c r="B17" s="5" t="s">
        <v>251</v>
      </c>
      <c r="C17" s="5" t="s">
        <v>104</v>
      </c>
      <c r="D17" s="17" t="n">
        <v>705.5</v>
      </c>
      <c r="E17" s="12" t="n">
        <f aca="false">IF(20279.5=0,0,D17/20279.5)</f>
        <v>0.034788826154491</v>
      </c>
      <c r="F17" s="23" t="n">
        <f aca="false">IF(282=0,0,D17/282)</f>
        <v>2.50177304964539</v>
      </c>
    </row>
    <row r="18" customFormat="false" ht="15" hidden="false" customHeight="true" outlineLevel="0" collapsed="false">
      <c r="B18" s="5" t="s">
        <v>252</v>
      </c>
      <c r="C18" s="5" t="s">
        <v>106</v>
      </c>
      <c r="D18" s="17" t="n">
        <v>1.5</v>
      </c>
      <c r="E18" s="12" t="n">
        <f aca="false">IF(20279.5=0,0,D18/20279.5)</f>
        <v>7.39663206686556E-005</v>
      </c>
      <c r="F18" s="23" t="n">
        <f aca="false">IF(282=0,0,D18/282)</f>
        <v>0.00531914893617021</v>
      </c>
    </row>
    <row r="19" customFormat="false" ht="15" hidden="false" customHeight="true" outlineLevel="0" collapsed="false">
      <c r="B19" s="6" t="s">
        <v>38</v>
      </c>
      <c r="D19" s="19" t="n">
        <f aca="false">SUM(D6:D18)</f>
        <v>20279.5</v>
      </c>
      <c r="E19" s="14" t="n">
        <v>1</v>
      </c>
      <c r="F19" s="21" t="n">
        <f aca="false">IF(282=0,0,D19/282)</f>
        <v>71.9131205673759</v>
      </c>
    </row>
    <row r="22" customFormat="false" ht="15" hidden="false" customHeight="true" outlineLevel="0" collapsed="false">
      <c r="B22" s="4" t="s">
        <v>253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10" t="s">
        <v>40</v>
      </c>
      <c r="C23" s="10" t="s">
        <v>41</v>
      </c>
      <c r="D23" s="10" t="s">
        <v>254</v>
      </c>
      <c r="E23" s="10"/>
      <c r="F23" s="10" t="s">
        <v>255</v>
      </c>
    </row>
    <row r="24" customFormat="false" ht="15" hidden="false" customHeight="true" outlineLevel="0" collapsed="false">
      <c r="B24" s="5" t="s">
        <v>240</v>
      </c>
      <c r="C24" s="24" t="n">
        <v>71.9131205673759</v>
      </c>
      <c r="D24" s="5" t="s">
        <v>256</v>
      </c>
      <c r="F24" s="22" t="s">
        <v>257</v>
      </c>
    </row>
    <row r="25" customFormat="false" ht="15" hidden="false" customHeight="true" outlineLevel="0" collapsed="false">
      <c r="B25" s="5" t="s">
        <v>258</v>
      </c>
      <c r="C25" s="24" t="n">
        <v>15.4216730038023</v>
      </c>
      <c r="D25" s="5" t="s">
        <v>256</v>
      </c>
      <c r="F25" s="22" t="s">
        <v>259</v>
      </c>
    </row>
    <row r="26" customFormat="false" ht="15" hidden="false" customHeight="true" outlineLevel="0" collapsed="false">
      <c r="B26" s="5" t="s">
        <v>260</v>
      </c>
      <c r="C26" s="24" t="n">
        <v>104.631450479548</v>
      </c>
      <c r="D26" s="5" t="s">
        <v>261</v>
      </c>
      <c r="F26" s="22" t="s">
        <v>262</v>
      </c>
    </row>
    <row r="27" customFormat="false" ht="15" hidden="false" customHeight="true" outlineLevel="0" collapsed="false">
      <c r="B27" s="5" t="s">
        <v>263</v>
      </c>
      <c r="C27" s="24" t="n">
        <v>41.0745970068296</v>
      </c>
      <c r="D27" s="5" t="s">
        <v>261</v>
      </c>
      <c r="F27" s="22" t="s">
        <v>264</v>
      </c>
    </row>
    <row r="28" customFormat="false" ht="15" hidden="false" customHeight="true" outlineLevel="0" collapsed="false">
      <c r="B28" s="5" t="s">
        <v>265</v>
      </c>
      <c r="C28" s="24" t="n">
        <v>15.6666666666667</v>
      </c>
      <c r="D28" s="5" t="s">
        <v>266</v>
      </c>
      <c r="F28" s="22" t="s">
        <v>267</v>
      </c>
    </row>
    <row r="29" customFormat="false" ht="15" hidden="false" customHeight="true" outlineLevel="0" collapsed="false">
      <c r="B29" s="5" t="s">
        <v>268</v>
      </c>
      <c r="C29" s="24" t="n">
        <v>73.0555555555556</v>
      </c>
      <c r="D29" s="5" t="s">
        <v>269</v>
      </c>
      <c r="F29" s="22" t="s">
        <v>270</v>
      </c>
    </row>
    <row r="30" customFormat="false" ht="15" hidden="false" customHeight="true" outlineLevel="0" collapsed="false">
      <c r="B30" s="5" t="s">
        <v>271</v>
      </c>
      <c r="C30" s="24" t="n">
        <v>1126.63888888889</v>
      </c>
      <c r="D30" s="5" t="s">
        <v>256</v>
      </c>
      <c r="F30" s="22" t="s">
        <v>272</v>
      </c>
    </row>
    <row r="31" customFormat="false" ht="15" hidden="false" customHeight="true" outlineLevel="0" collapsed="false">
      <c r="B31" s="5" t="s">
        <v>273</v>
      </c>
      <c r="C31" s="24" t="n">
        <v>117881.861111111</v>
      </c>
      <c r="D31" s="5" t="s">
        <v>261</v>
      </c>
      <c r="F31" s="22" t="s">
        <v>274</v>
      </c>
    </row>
    <row r="34" customFormat="false" ht="15" hidden="false" customHeight="true" outlineLevel="0" collapsed="false">
      <c r="B34" s="4" t="s">
        <v>66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67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68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69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70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71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72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73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74</v>
      </c>
      <c r="C42" s="3"/>
      <c r="D42" s="3"/>
      <c r="E42" s="3"/>
      <c r="F42" s="3"/>
      <c r="G42" s="3"/>
    </row>
  </sheetData>
  <mergeCells count="12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275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276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277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278</v>
      </c>
      <c r="C6" s="10" t="s">
        <v>279</v>
      </c>
      <c r="D6" s="10" t="s">
        <v>280</v>
      </c>
      <c r="E6" s="10" t="s">
        <v>281</v>
      </c>
      <c r="F6" s="10" t="s">
        <v>282</v>
      </c>
    </row>
    <row r="7" customFormat="false" ht="15" hidden="false" customHeight="true" outlineLevel="0" collapsed="false">
      <c r="B7" s="6" t="s">
        <v>38</v>
      </c>
      <c r="D7" s="16" t="e">
        <f aca="false">SUM(D7:D6)</f>
        <v>#VALUE!</v>
      </c>
      <c r="E7" s="14" t="n">
        <v>1</v>
      </c>
      <c r="F7" s="13" t="n">
        <v>637990.88</v>
      </c>
    </row>
    <row r="10" customFormat="false" ht="15" hidden="false" customHeight="true" outlineLevel="0" collapsed="false">
      <c r="B10" s="4" t="s">
        <v>283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B11" s="10" t="s">
        <v>158</v>
      </c>
      <c r="C11" s="10" t="s">
        <v>280</v>
      </c>
      <c r="D11" s="10" t="s">
        <v>281</v>
      </c>
    </row>
    <row r="14" customFormat="false" ht="15" hidden="false" customHeight="true" outlineLevel="0" collapsed="false">
      <c r="B14" s="4" t="s">
        <v>284</v>
      </c>
      <c r="C14" s="4"/>
      <c r="D14" s="4"/>
      <c r="E14" s="4"/>
      <c r="F14" s="4"/>
      <c r="G14" s="4"/>
    </row>
    <row r="15" customFormat="false" ht="15" hidden="false" customHeight="true" outlineLevel="0" collapsed="false">
      <c r="B15" s="5" t="s">
        <v>285</v>
      </c>
      <c r="E15" s="11" t="n">
        <v>637990.88</v>
      </c>
    </row>
    <row r="16" customFormat="false" ht="15" hidden="false" customHeight="true" outlineLevel="0" collapsed="false">
      <c r="B16" s="5" t="s">
        <v>286</v>
      </c>
      <c r="E16" s="15" t="n">
        <v>0</v>
      </c>
    </row>
    <row r="17" customFormat="false" ht="15" hidden="false" customHeight="true" outlineLevel="0" collapsed="false">
      <c r="B17" s="22" t="s">
        <v>287</v>
      </c>
    </row>
    <row r="20" customFormat="false" ht="15" hidden="false" customHeight="true" outlineLevel="0" collapsed="false">
      <c r="B20" s="4" t="s">
        <v>66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3" t="s">
        <v>67</v>
      </c>
      <c r="C21" s="3"/>
      <c r="D21" s="3"/>
      <c r="E21" s="3"/>
      <c r="F21" s="3"/>
      <c r="G21" s="3"/>
    </row>
    <row r="22" customFormat="false" ht="15" hidden="false" customHeight="true" outlineLevel="0" collapsed="false">
      <c r="B22" s="3" t="s">
        <v>68</v>
      </c>
      <c r="C22" s="3"/>
      <c r="D22" s="3"/>
      <c r="E22" s="3"/>
      <c r="F22" s="3"/>
      <c r="G22" s="3"/>
    </row>
    <row r="23" customFormat="false" ht="15" hidden="false" customHeight="true" outlineLevel="0" collapsed="false">
      <c r="B23" s="3" t="s">
        <v>69</v>
      </c>
      <c r="C23" s="3"/>
      <c r="D23" s="3"/>
      <c r="E23" s="3"/>
      <c r="F23" s="3"/>
      <c r="G23" s="3"/>
    </row>
    <row r="24" customFormat="false" ht="15" hidden="false" customHeight="true" outlineLevel="0" collapsed="false">
      <c r="B24" s="3" t="s">
        <v>70</v>
      </c>
      <c r="C24" s="3"/>
      <c r="D24" s="3"/>
      <c r="E24" s="3"/>
      <c r="F24" s="3"/>
      <c r="G24" s="3"/>
    </row>
    <row r="25" customFormat="false" ht="15" hidden="false" customHeight="true" outlineLevel="0" collapsed="false">
      <c r="B25" s="3" t="s">
        <v>71</v>
      </c>
      <c r="C25" s="3"/>
      <c r="D25" s="3"/>
      <c r="E25" s="3"/>
      <c r="F25" s="3"/>
      <c r="G25" s="3"/>
    </row>
    <row r="26" customFormat="false" ht="15" hidden="false" customHeight="true" outlineLevel="0" collapsed="false">
      <c r="B26" s="3" t="s">
        <v>72</v>
      </c>
      <c r="C26" s="3"/>
      <c r="D26" s="3"/>
      <c r="E26" s="3"/>
      <c r="F26" s="3"/>
      <c r="G26" s="3"/>
    </row>
    <row r="27" customFormat="false" ht="15" hidden="false" customHeight="true" outlineLevel="0" collapsed="false">
      <c r="B27" s="3" t="s">
        <v>73</v>
      </c>
      <c r="C27" s="3"/>
      <c r="D27" s="3"/>
      <c r="E27" s="3"/>
      <c r="F27" s="3"/>
      <c r="G27" s="3"/>
    </row>
    <row r="28" customFormat="false" ht="15" hidden="false" customHeight="true" outlineLevel="0" collapsed="false">
      <c r="B28" s="3" t="s">
        <v>74</v>
      </c>
      <c r="C28" s="3"/>
      <c r="D28" s="3"/>
      <c r="E28" s="3"/>
      <c r="F28" s="3"/>
      <c r="G28" s="3"/>
    </row>
    <row r="29" customFormat="false" ht="15" hidden="false" customHeight="true" outlineLevel="0" collapsed="false">
      <c r="B29" s="3" t="s">
        <v>288</v>
      </c>
      <c r="C29" s="3"/>
      <c r="D29" s="3"/>
      <c r="E29" s="3"/>
      <c r="F29" s="3"/>
      <c r="G29" s="3"/>
    </row>
    <row r="30" customFormat="false" ht="15" hidden="false" customHeight="true" outlineLevel="0" collapsed="false">
      <c r="B30" s="3" t="s">
        <v>289</v>
      </c>
      <c r="C30" s="3"/>
      <c r="D30" s="3"/>
      <c r="E30" s="3"/>
      <c r="F30" s="3"/>
      <c r="G30" s="3"/>
    </row>
  </sheetData>
  <mergeCells count="16">
    <mergeCell ref="B2:G2"/>
    <mergeCell ref="B3:G3"/>
    <mergeCell ref="B5:G5"/>
    <mergeCell ref="B10:G10"/>
    <mergeCell ref="B14:G1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290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291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292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293</v>
      </c>
      <c r="G6" s="11" t="n">
        <v>1850270</v>
      </c>
    </row>
    <row r="7" customFormat="false" ht="15" hidden="false" customHeight="true" outlineLevel="0" collapsed="false">
      <c r="B7" s="5" t="s">
        <v>294</v>
      </c>
      <c r="G7" s="11" t="n">
        <v>0</v>
      </c>
    </row>
    <row r="8" customFormat="false" ht="15" hidden="false" customHeight="true" outlineLevel="0" collapsed="false">
      <c r="B8" s="5" t="s">
        <v>295</v>
      </c>
      <c r="G8" s="11" t="n">
        <v>2121874</v>
      </c>
    </row>
    <row r="9" customFormat="false" ht="15" hidden="false" customHeight="true" outlineLevel="0" collapsed="false">
      <c r="B9" s="5" t="s">
        <v>296</v>
      </c>
      <c r="G9" s="11" t="n">
        <v>96889</v>
      </c>
    </row>
    <row r="10" customFormat="false" ht="15" hidden="false" customHeight="true" outlineLevel="0" collapsed="false">
      <c r="B10" s="5" t="s">
        <v>297</v>
      </c>
      <c r="G10" s="11" t="n">
        <v>2024985</v>
      </c>
    </row>
    <row r="12" customFormat="false" ht="15" hidden="false" customHeight="true" outlineLevel="0" collapsed="false">
      <c r="B12" s="4" t="s">
        <v>298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299</v>
      </c>
      <c r="C13" s="10" t="s">
        <v>300</v>
      </c>
      <c r="D13" s="10" t="s">
        <v>301</v>
      </c>
      <c r="E13" s="10" t="s">
        <v>302</v>
      </c>
      <c r="F13" s="10" t="s">
        <v>303</v>
      </c>
      <c r="G13" s="10" t="s">
        <v>304</v>
      </c>
      <c r="H13" s="10" t="s">
        <v>305</v>
      </c>
    </row>
    <row r="14" customFormat="false" ht="15" hidden="false" customHeight="true" outlineLevel="0" collapsed="false">
      <c r="B14" s="5" t="n">
        <v>1</v>
      </c>
      <c r="C14" s="5" t="s">
        <v>306</v>
      </c>
      <c r="D14" s="11" t="n">
        <v>8800</v>
      </c>
      <c r="E14" s="11" t="n">
        <v>440</v>
      </c>
      <c r="F14" s="11" t="n">
        <f aca="false">D14-E14</f>
        <v>8360</v>
      </c>
      <c r="G14" s="11" t="n">
        <v>9196</v>
      </c>
      <c r="H14" s="12" t="n">
        <f aca="false">IF(2121873.5=0,0,G14/2121873.5)</f>
        <v>0.00433390586196585</v>
      </c>
    </row>
    <row r="15" customFormat="false" ht="15" hidden="false" customHeight="true" outlineLevel="0" collapsed="false">
      <c r="B15" s="5" t="n">
        <v>2</v>
      </c>
      <c r="C15" s="5" t="s">
        <v>307</v>
      </c>
      <c r="D15" s="11" t="n">
        <v>12200</v>
      </c>
      <c r="E15" s="11" t="n">
        <v>610</v>
      </c>
      <c r="F15" s="11" t="n">
        <f aca="false">D15-E15</f>
        <v>11590</v>
      </c>
      <c r="G15" s="11" t="n">
        <v>12749</v>
      </c>
      <c r="H15" s="12" t="n">
        <f aca="false">IF(2121873.5=0,0,G15/2121873.5)</f>
        <v>0.00600836949045266</v>
      </c>
    </row>
    <row r="16" customFormat="false" ht="15" hidden="false" customHeight="true" outlineLevel="0" collapsed="false">
      <c r="B16" s="5" t="n">
        <v>3</v>
      </c>
      <c r="C16" s="5" t="s">
        <v>308</v>
      </c>
      <c r="D16" s="11" t="n">
        <v>85700</v>
      </c>
      <c r="E16" s="11" t="n">
        <v>4285</v>
      </c>
      <c r="F16" s="11" t="n">
        <f aca="false">D16-E16</f>
        <v>81415</v>
      </c>
      <c r="G16" s="11" t="n">
        <v>89556.5</v>
      </c>
      <c r="H16" s="12" t="n">
        <f aca="false">IF(2121873.5=0,0,G16/2121873.5)</f>
        <v>0.0422063332239174</v>
      </c>
    </row>
    <row r="17" customFormat="false" ht="15" hidden="false" customHeight="true" outlineLevel="0" collapsed="false">
      <c r="B17" s="5" t="n">
        <v>4</v>
      </c>
      <c r="C17" s="5" t="s">
        <v>309</v>
      </c>
      <c r="D17" s="11" t="n">
        <v>33400</v>
      </c>
      <c r="E17" s="11" t="n">
        <v>1670</v>
      </c>
      <c r="F17" s="11" t="n">
        <f aca="false">D17-E17</f>
        <v>31730</v>
      </c>
      <c r="G17" s="11" t="n">
        <v>34903</v>
      </c>
      <c r="H17" s="12" t="n">
        <f aca="false">IF(2121873.5=0,0,G17/2121873.5)</f>
        <v>0.0164491427033704</v>
      </c>
    </row>
    <row r="18" customFormat="false" ht="15" hidden="false" customHeight="true" outlineLevel="0" collapsed="false">
      <c r="B18" s="5" t="n">
        <v>5</v>
      </c>
      <c r="C18" s="5" t="s">
        <v>310</v>
      </c>
      <c r="D18" s="11" t="n">
        <v>42300</v>
      </c>
      <c r="E18" s="11" t="n">
        <v>2115</v>
      </c>
      <c r="F18" s="11" t="n">
        <f aca="false">D18-E18</f>
        <v>40185</v>
      </c>
      <c r="G18" s="11" t="n">
        <v>44203.5</v>
      </c>
      <c r="H18" s="12" t="n">
        <f aca="false">IF(2121873.5=0,0,G18/2121873.5)</f>
        <v>0.0208322974955859</v>
      </c>
    </row>
    <row r="19" customFormat="false" ht="15" hidden="false" customHeight="true" outlineLevel="0" collapsed="false">
      <c r="B19" s="5" t="n">
        <v>6</v>
      </c>
      <c r="C19" s="5" t="s">
        <v>311</v>
      </c>
      <c r="D19" s="11" t="n">
        <v>76605</v>
      </c>
      <c r="E19" s="11" t="n">
        <v>3830.25</v>
      </c>
      <c r="F19" s="11" t="n">
        <f aca="false">D19-E19</f>
        <v>72774.75</v>
      </c>
      <c r="G19" s="11" t="n">
        <v>80052.23</v>
      </c>
      <c r="H19" s="12" t="n">
        <f aca="false">IF(2121873.5=0,0,G19/2121873.5)</f>
        <v>0.0377271453741234</v>
      </c>
    </row>
    <row r="20" customFormat="false" ht="15" hidden="false" customHeight="true" outlineLevel="0" collapsed="false">
      <c r="B20" s="5" t="n">
        <v>7</v>
      </c>
      <c r="C20" s="5" t="s">
        <v>312</v>
      </c>
      <c r="D20" s="11" t="n">
        <v>72800</v>
      </c>
      <c r="E20" s="11" t="n">
        <v>3640</v>
      </c>
      <c r="F20" s="11" t="n">
        <f aca="false">D20-E20</f>
        <v>69160</v>
      </c>
      <c r="G20" s="11" t="n">
        <v>76076</v>
      </c>
      <c r="H20" s="12" t="n">
        <f aca="false">IF(2121873.5=0,0,G20/2121873.5)</f>
        <v>0.0358532212217175</v>
      </c>
    </row>
    <row r="21" customFormat="false" ht="15" hidden="false" customHeight="true" outlineLevel="0" collapsed="false">
      <c r="B21" s="5" t="n">
        <v>8</v>
      </c>
      <c r="C21" s="5" t="s">
        <v>313</v>
      </c>
      <c r="D21" s="11" t="n">
        <v>126900</v>
      </c>
      <c r="E21" s="11" t="n">
        <v>6345</v>
      </c>
      <c r="F21" s="11" t="n">
        <f aca="false">D21-E21</f>
        <v>120555</v>
      </c>
      <c r="G21" s="11" t="n">
        <v>132610.5</v>
      </c>
      <c r="H21" s="12" t="n">
        <f aca="false">IF(2121873.5=0,0,G21/2121873.5)</f>
        <v>0.0624968924867576</v>
      </c>
    </row>
    <row r="22" customFormat="false" ht="15" hidden="false" customHeight="true" outlineLevel="0" collapsed="false">
      <c r="B22" s="5" t="n">
        <v>9</v>
      </c>
      <c r="C22" s="5" t="s">
        <v>314</v>
      </c>
      <c r="D22" s="11" t="n">
        <v>190280</v>
      </c>
      <c r="E22" s="11" t="n">
        <v>9514</v>
      </c>
      <c r="F22" s="11" t="n">
        <f aca="false">D22-E22</f>
        <v>180766</v>
      </c>
      <c r="G22" s="11" t="n">
        <v>198842.6</v>
      </c>
      <c r="H22" s="12" t="n">
        <f aca="false">IF(2121873.5=0,0,G22/2121873.5)</f>
        <v>0.0937108644789616</v>
      </c>
    </row>
    <row r="23" customFormat="false" ht="15" hidden="false" customHeight="true" outlineLevel="0" collapsed="false">
      <c r="B23" s="5" t="n">
        <v>10</v>
      </c>
      <c r="C23" s="5" t="s">
        <v>315</v>
      </c>
      <c r="D23" s="11" t="n">
        <v>300190</v>
      </c>
      <c r="E23" s="11" t="n">
        <v>15009.5</v>
      </c>
      <c r="F23" s="11" t="n">
        <f aca="false">D23-E23</f>
        <v>285180.5</v>
      </c>
      <c r="G23" s="11" t="n">
        <v>313698.55</v>
      </c>
      <c r="H23" s="12" t="n">
        <f aca="false">IF(2121873.5=0,0,G23/2121873.5)</f>
        <v>0.14784036371631</v>
      </c>
    </row>
    <row r="24" customFormat="false" ht="15" hidden="false" customHeight="true" outlineLevel="0" collapsed="false">
      <c r="B24" s="5" t="n">
        <v>11</v>
      </c>
      <c r="C24" s="5" t="s">
        <v>316</v>
      </c>
      <c r="D24" s="11" t="n">
        <v>327550</v>
      </c>
      <c r="E24" s="11" t="n">
        <v>16377.5</v>
      </c>
      <c r="F24" s="11" t="n">
        <f aca="false">D24-E24</f>
        <v>311172.5</v>
      </c>
      <c r="G24" s="11" t="n">
        <v>342289.75</v>
      </c>
      <c r="H24" s="12" t="n">
        <f aca="false">IF(2121873.5=0,0,G24/2121873.5)</f>
        <v>0.161314871032604</v>
      </c>
    </row>
    <row r="25" customFormat="false" ht="15" hidden="false" customHeight="true" outlineLevel="0" collapsed="false">
      <c r="B25" s="5" t="n">
        <v>12</v>
      </c>
      <c r="C25" s="5" t="s">
        <v>317</v>
      </c>
      <c r="D25" s="11" t="n">
        <v>290890</v>
      </c>
      <c r="E25" s="11" t="n">
        <v>14544.5</v>
      </c>
      <c r="F25" s="11" t="n">
        <f aca="false">D25-E25</f>
        <v>276345.5</v>
      </c>
      <c r="G25" s="11" t="n">
        <v>303980.05</v>
      </c>
      <c r="H25" s="12" t="n">
        <f aca="false">IF(2121873.5=0,0,G25/2121873.5)</f>
        <v>0.143260213203096</v>
      </c>
    </row>
    <row r="26" customFormat="false" ht="15" hidden="false" customHeight="true" outlineLevel="0" collapsed="false">
      <c r="B26" s="5" t="n">
        <v>13</v>
      </c>
      <c r="C26" s="5" t="s">
        <v>318</v>
      </c>
      <c r="D26" s="11" t="n">
        <v>84964</v>
      </c>
      <c r="E26" s="11" t="n">
        <v>4248.2</v>
      </c>
      <c r="F26" s="11" t="n">
        <f aca="false">D26-E26</f>
        <v>80715.8</v>
      </c>
      <c r="G26" s="11" t="n">
        <v>88787.38</v>
      </c>
      <c r="H26" s="12" t="n">
        <f aca="false">IF(2121873.5=0,0,G26/2121873.5)</f>
        <v>0.0418438610972803</v>
      </c>
    </row>
    <row r="27" customFormat="false" ht="15" hidden="false" customHeight="true" outlineLevel="0" collapsed="false">
      <c r="B27" s="5" t="n">
        <v>14</v>
      </c>
      <c r="C27" s="5" t="s">
        <v>319</v>
      </c>
      <c r="D27" s="11" t="n">
        <v>66897</v>
      </c>
      <c r="E27" s="11" t="n">
        <v>3344.85</v>
      </c>
      <c r="F27" s="11" t="n">
        <f aca="false">D27-E27</f>
        <v>63552.15</v>
      </c>
      <c r="G27" s="11" t="n">
        <v>69907.37</v>
      </c>
      <c r="H27" s="12" t="n">
        <f aca="false">IF(2121873.5=0,0,G27/2121873.5)</f>
        <v>0.0329460592254911</v>
      </c>
    </row>
    <row r="28" customFormat="false" ht="15" hidden="false" customHeight="true" outlineLevel="0" collapsed="false">
      <c r="B28" s="5" t="n">
        <v>15</v>
      </c>
      <c r="C28" s="5" t="s">
        <v>320</v>
      </c>
      <c r="D28" s="11" t="n">
        <v>64100</v>
      </c>
      <c r="E28" s="11" t="n">
        <v>3205</v>
      </c>
      <c r="F28" s="11" t="n">
        <f aca="false">D28-E28</f>
        <v>60895</v>
      </c>
      <c r="G28" s="11" t="n">
        <v>66984.5</v>
      </c>
      <c r="H28" s="12" t="n">
        <f aca="false">IF(2121873.5=0,0,G28/2121873.5)</f>
        <v>0.0315685642900013</v>
      </c>
    </row>
    <row r="29" customFormat="false" ht="15" hidden="false" customHeight="true" outlineLevel="0" collapsed="false">
      <c r="B29" s="5" t="n">
        <v>16</v>
      </c>
      <c r="C29" s="5" t="s">
        <v>321</v>
      </c>
      <c r="D29" s="11" t="n">
        <v>66142</v>
      </c>
      <c r="E29" s="11" t="n">
        <v>3307.1</v>
      </c>
      <c r="F29" s="11" t="n">
        <f aca="false">D29-E29</f>
        <v>62834.9</v>
      </c>
      <c r="G29" s="11" t="n">
        <v>69118.39</v>
      </c>
      <c r="H29" s="12" t="n">
        <f aca="false">IF(2121873.5=0,0,G29/2121873.5)</f>
        <v>0.0325742274456983</v>
      </c>
    </row>
    <row r="30" customFormat="false" ht="15" hidden="false" customHeight="true" outlineLevel="0" collapsed="false">
      <c r="B30" s="5" t="n">
        <v>17</v>
      </c>
      <c r="C30" s="5" t="s">
        <v>322</v>
      </c>
      <c r="D30" s="11" t="n">
        <v>52396</v>
      </c>
      <c r="E30" s="11" t="n">
        <v>2619.8</v>
      </c>
      <c r="F30" s="11" t="n">
        <f aca="false">D30-E30</f>
        <v>49776.2</v>
      </c>
      <c r="G30" s="11" t="n">
        <v>54753.83</v>
      </c>
      <c r="H30" s="12" t="n">
        <f aca="false">IF(2121873.5=0,0,G30/2121873.5)</f>
        <v>0.025804474206403</v>
      </c>
    </row>
    <row r="31" customFormat="false" ht="15" hidden="false" customHeight="true" outlineLevel="0" collapsed="false">
      <c r="B31" s="5" t="n">
        <v>18</v>
      </c>
      <c r="C31" s="5" t="s">
        <v>323</v>
      </c>
      <c r="D31" s="11" t="n">
        <v>35670</v>
      </c>
      <c r="E31" s="11" t="n">
        <v>1783.5</v>
      </c>
      <c r="F31" s="11" t="n">
        <f aca="false">D31-E31</f>
        <v>33886.5</v>
      </c>
      <c r="G31" s="11" t="n">
        <v>37275.15</v>
      </c>
      <c r="H31" s="12" t="n">
        <f aca="false">IF(2121873.5=0,0,G31/2121873.5)</f>
        <v>0.0175670934200366</v>
      </c>
    </row>
    <row r="33" customFormat="false" ht="15" hidden="false" customHeight="true" outlineLevel="0" collapsed="false">
      <c r="B33" s="4" t="s">
        <v>324</v>
      </c>
      <c r="C33" s="4"/>
      <c r="D33" s="4"/>
      <c r="E33" s="4"/>
      <c r="F33" s="4"/>
      <c r="G33" s="4"/>
      <c r="H33" s="4"/>
    </row>
    <row r="34" customFormat="false" ht="15" hidden="false" customHeight="true" outlineLevel="0" collapsed="false">
      <c r="B34" s="10" t="s">
        <v>40</v>
      </c>
      <c r="C34" s="10" t="s">
        <v>325</v>
      </c>
      <c r="D34" s="10" t="s">
        <v>326</v>
      </c>
      <c r="E34" s="10" t="s">
        <v>327</v>
      </c>
      <c r="F34" s="10" t="s">
        <v>328</v>
      </c>
    </row>
    <row r="35" customFormat="false" ht="15" hidden="false" customHeight="true" outlineLevel="0" collapsed="false">
      <c r="B35" s="5" t="s">
        <v>295</v>
      </c>
      <c r="C35" s="11" t="n">
        <v>2121874</v>
      </c>
      <c r="D35" s="11" t="n">
        <v>2121874</v>
      </c>
      <c r="E35" s="11" t="n">
        <f aca="false">C35-D35</f>
        <v>0</v>
      </c>
      <c r="F35" s="6" t="str">
        <f aca="false">IF(ABS(E35)&lt;=1,"TIES",IF(ABS(E35)&lt;=ABS(D35)*0.05,"WITHIN","OFF"))</f>
        <v>TIES</v>
      </c>
    </row>
    <row r="36" customFormat="false" ht="15" hidden="false" customHeight="true" outlineLevel="0" collapsed="false">
      <c r="B36" s="5" t="s">
        <v>329</v>
      </c>
      <c r="C36" s="11" t="n">
        <v>96889</v>
      </c>
      <c r="D36" s="11" t="n">
        <v>96889</v>
      </c>
      <c r="E36" s="11" t="n">
        <f aca="false">C36-D36</f>
        <v>0</v>
      </c>
      <c r="F36" s="6" t="str">
        <f aca="false">IF(ABS(E36)&lt;=1,"TIES",IF(ABS(E36)&lt;=ABS(D36)*0.05,"WITHIN","OFF"))</f>
        <v>TIES</v>
      </c>
    </row>
    <row r="37" customFormat="false" ht="15" hidden="false" customHeight="true" outlineLevel="0" collapsed="false">
      <c r="B37" s="5" t="s">
        <v>141</v>
      </c>
      <c r="C37" s="11" t="n">
        <v>1288901</v>
      </c>
      <c r="D37" s="11" t="n">
        <v>1288901</v>
      </c>
      <c r="E37" s="11" t="n">
        <f aca="false">C37-D37</f>
        <v>0</v>
      </c>
      <c r="F37" s="6" t="str">
        <f aca="false">IF(ABS(E37)&lt;=1,"TIES",IF(ABS(E37)&lt;=ABS(D37)*0.05,"WITHIN","OFF"))</f>
        <v>TIES</v>
      </c>
    </row>
    <row r="41" customFormat="false" ht="15" hidden="false" customHeight="true" outlineLevel="0" collapsed="false">
      <c r="B41" s="4" t="s">
        <v>66</v>
      </c>
      <c r="C41" s="4"/>
      <c r="D41" s="4"/>
      <c r="E41" s="4"/>
      <c r="F41" s="4"/>
      <c r="G41" s="4"/>
      <c r="H41" s="4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71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72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73</v>
      </c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B49" s="3" t="s">
        <v>74</v>
      </c>
      <c r="C49" s="3"/>
      <c r="D49" s="3"/>
      <c r="E49" s="3"/>
      <c r="F49" s="3"/>
      <c r="G49" s="3"/>
      <c r="H49" s="3"/>
    </row>
  </sheetData>
  <mergeCells count="14">
    <mergeCell ref="B2:H2"/>
    <mergeCell ref="B3:H3"/>
    <mergeCell ref="B5:H5"/>
    <mergeCell ref="B12:H12"/>
    <mergeCell ref="B33:H33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330</v>
      </c>
      <c r="C2" s="2"/>
    </row>
    <row r="3" customFormat="false" ht="15" hidden="false" customHeight="true" outlineLevel="0" collapsed="false">
      <c r="B3" s="3" t="s">
        <v>331</v>
      </c>
      <c r="C3" s="3"/>
    </row>
    <row r="5" customFormat="false" ht="31.5" hidden="false" customHeight="true" outlineLevel="0" collapsed="false">
      <c r="B5" s="6" t="s">
        <v>332</v>
      </c>
      <c r="C5" s="25" t="s">
        <v>333</v>
      </c>
    </row>
    <row r="6" customFormat="false" ht="31.5" hidden="false" customHeight="true" outlineLevel="0" collapsed="false">
      <c r="B6" s="6" t="s">
        <v>334</v>
      </c>
      <c r="C6" s="25" t="s">
        <v>335</v>
      </c>
    </row>
    <row r="7" customFormat="false" ht="31.5" hidden="false" customHeight="true" outlineLevel="0" collapsed="false">
      <c r="B7" s="6" t="s">
        <v>336</v>
      </c>
      <c r="C7" s="25" t="s">
        <v>337</v>
      </c>
    </row>
    <row r="8" customFormat="false" ht="31.5" hidden="false" customHeight="true" outlineLevel="0" collapsed="false">
      <c r="B8" s="6" t="s">
        <v>338</v>
      </c>
      <c r="C8" s="25" t="s">
        <v>339</v>
      </c>
    </row>
    <row r="9" customFormat="false" ht="31.5" hidden="false" customHeight="true" outlineLevel="0" collapsed="false">
      <c r="B9" s="6" t="s">
        <v>340</v>
      </c>
      <c r="C9" s="25" t="s">
        <v>341</v>
      </c>
    </row>
    <row r="10" customFormat="false" ht="31.5" hidden="false" customHeight="true" outlineLevel="0" collapsed="false">
      <c r="B10" s="6" t="s">
        <v>342</v>
      </c>
      <c r="C10" s="25" t="s">
        <v>343</v>
      </c>
    </row>
    <row r="11" customFormat="false" ht="31.5" hidden="false" customHeight="true" outlineLevel="0" collapsed="false">
      <c r="B11" s="6" t="s">
        <v>344</v>
      </c>
      <c r="C11" s="25" t="s">
        <v>345</v>
      </c>
    </row>
    <row r="12" customFormat="false" ht="31.5" hidden="false" customHeight="true" outlineLevel="0" collapsed="false">
      <c r="B12" s="6" t="s">
        <v>346</v>
      </c>
      <c r="C12" s="25" t="s">
        <v>347</v>
      </c>
    </row>
    <row r="13" customFormat="false" ht="31.5" hidden="false" customHeight="true" outlineLevel="0" collapsed="false">
      <c r="B13" s="6" t="s">
        <v>348</v>
      </c>
      <c r="C13" s="25" t="s">
        <v>349</v>
      </c>
    </row>
    <row r="14" customFormat="false" ht="31.5" hidden="false" customHeight="true" outlineLevel="0" collapsed="false">
      <c r="B14" s="6" t="s">
        <v>350</v>
      </c>
      <c r="C14" s="25" t="s">
        <v>351</v>
      </c>
    </row>
    <row r="16" customFormat="false" ht="15" hidden="false" customHeight="true" outlineLevel="0" collapsed="false">
      <c r="B16" s="4" t="s">
        <v>352</v>
      </c>
      <c r="C16" s="4"/>
    </row>
    <row r="17" customFormat="false" ht="49.5" hidden="false" customHeight="true" outlineLevel="0" collapsed="false">
      <c r="B17" s="26" t="s">
        <v>353</v>
      </c>
      <c r="C17" s="26"/>
    </row>
    <row r="20" customFormat="false" ht="15" hidden="false" customHeight="true" outlineLevel="0" collapsed="false">
      <c r="B20" s="4" t="s">
        <v>66</v>
      </c>
      <c r="C20" s="4"/>
    </row>
    <row r="21" customFormat="false" ht="15" hidden="false" customHeight="true" outlineLevel="0" collapsed="false">
      <c r="B21" s="3" t="s">
        <v>67</v>
      </c>
      <c r="C21" s="3"/>
    </row>
    <row r="22" customFormat="false" ht="15" hidden="false" customHeight="true" outlineLevel="0" collapsed="false">
      <c r="B22" s="3" t="s">
        <v>68</v>
      </c>
      <c r="C22" s="3"/>
    </row>
    <row r="23" customFormat="false" ht="15" hidden="false" customHeight="true" outlineLevel="0" collapsed="false">
      <c r="B23" s="3" t="s">
        <v>69</v>
      </c>
      <c r="C23" s="3"/>
    </row>
    <row r="24" customFormat="false" ht="15" hidden="false" customHeight="true" outlineLevel="0" collapsed="false">
      <c r="B24" s="3" t="s">
        <v>70</v>
      </c>
      <c r="C24" s="3"/>
    </row>
    <row r="25" customFormat="false" ht="15" hidden="false" customHeight="true" outlineLevel="0" collapsed="false">
      <c r="B25" s="3" t="s">
        <v>71</v>
      </c>
      <c r="C25" s="3"/>
    </row>
    <row r="26" customFormat="false" ht="15" hidden="false" customHeight="true" outlineLevel="0" collapsed="false">
      <c r="B26" s="3" t="s">
        <v>72</v>
      </c>
      <c r="C26" s="3"/>
    </row>
    <row r="27" customFormat="false" ht="15" hidden="false" customHeight="true" outlineLevel="0" collapsed="false">
      <c r="B27" s="3" t="s">
        <v>73</v>
      </c>
      <c r="C27" s="3"/>
    </row>
    <row r="28" customFormat="false" ht="15" hidden="false" customHeight="true" outlineLevel="0" collapsed="false">
      <c r="B28" s="3" t="s">
        <v>74</v>
      </c>
      <c r="C28" s="3"/>
    </row>
  </sheetData>
  <mergeCells count="13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354</v>
      </c>
      <c r="C2" s="2"/>
      <c r="D2" s="2"/>
      <c r="E2" s="2"/>
      <c r="F2" s="2"/>
    </row>
    <row r="3" customFormat="false" ht="15" hidden="false" customHeight="true" outlineLevel="0" collapsed="false">
      <c r="B3" s="3" t="s">
        <v>355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356</v>
      </c>
      <c r="C5" s="10" t="s">
        <v>357</v>
      </c>
      <c r="D5" s="10" t="s">
        <v>41</v>
      </c>
      <c r="E5" s="10" t="s">
        <v>28</v>
      </c>
      <c r="F5" s="10" t="s">
        <v>255</v>
      </c>
      <c r="G5" s="27" t="s">
        <v>358</v>
      </c>
      <c r="H5" s="27" t="s">
        <v>359</v>
      </c>
    </row>
    <row r="6" customFormat="false" ht="15" hidden="false" customHeight="true" outlineLevel="0" collapsed="false">
      <c r="B6" s="5" t="s">
        <v>360</v>
      </c>
      <c r="C6" s="28" t="s">
        <v>361</v>
      </c>
      <c r="D6" s="6" t="s">
        <v>4</v>
      </c>
      <c r="E6" s="5" t="s">
        <v>362</v>
      </c>
      <c r="F6" s="22" t="s">
        <v>363</v>
      </c>
      <c r="G6" s="29" t="s">
        <v>364</v>
      </c>
      <c r="H6" s="30" t="s">
        <v>365</v>
      </c>
    </row>
    <row r="7" customFormat="false" ht="15" hidden="false" customHeight="true" outlineLevel="0" collapsed="false">
      <c r="B7" s="5" t="s">
        <v>366</v>
      </c>
      <c r="C7" s="28" t="s">
        <v>367</v>
      </c>
      <c r="D7" s="6" t="s">
        <v>6</v>
      </c>
      <c r="E7" s="5" t="s">
        <v>362</v>
      </c>
      <c r="G7" s="29" t="s">
        <v>364</v>
      </c>
      <c r="H7" s="30" t="s">
        <v>365</v>
      </c>
    </row>
    <row r="8" customFormat="false" ht="15" hidden="false" customHeight="true" outlineLevel="0" collapsed="false">
      <c r="B8" s="5" t="s">
        <v>7</v>
      </c>
      <c r="C8" s="28" t="s">
        <v>368</v>
      </c>
      <c r="D8" s="6" t="s">
        <v>8</v>
      </c>
      <c r="E8" s="5" t="s">
        <v>362</v>
      </c>
      <c r="G8" s="29" t="s">
        <v>364</v>
      </c>
      <c r="H8" s="30" t="s">
        <v>365</v>
      </c>
    </row>
    <row r="9" customFormat="false" ht="15" hidden="false" customHeight="true" outlineLevel="0" collapsed="false">
      <c r="B9" s="5" t="s">
        <v>9</v>
      </c>
      <c r="C9" s="28" t="s">
        <v>369</v>
      </c>
      <c r="D9" s="6" t="s">
        <v>10</v>
      </c>
      <c r="E9" s="5" t="s">
        <v>362</v>
      </c>
      <c r="G9" s="29" t="s">
        <v>364</v>
      </c>
      <c r="H9" s="30" t="s">
        <v>365</v>
      </c>
    </row>
    <row r="10" customFormat="false" ht="15" hidden="false" customHeight="true" outlineLevel="0" collapsed="false">
      <c r="B10" s="5" t="s">
        <v>370</v>
      </c>
      <c r="C10" s="28" t="s">
        <v>371</v>
      </c>
      <c r="D10" s="6" t="s">
        <v>372</v>
      </c>
      <c r="E10" s="5" t="s">
        <v>362</v>
      </c>
      <c r="G10" s="29" t="s">
        <v>364</v>
      </c>
      <c r="H10" s="30" t="s">
        <v>365</v>
      </c>
    </row>
    <row r="11" customFormat="false" ht="15" hidden="false" customHeight="true" outlineLevel="0" collapsed="false">
      <c r="B11" s="5" t="s">
        <v>373</v>
      </c>
      <c r="C11" s="28" t="s">
        <v>374</v>
      </c>
      <c r="D11" s="6" t="n">
        <v>18</v>
      </c>
      <c r="E11" s="5" t="s">
        <v>362</v>
      </c>
      <c r="F11" s="22" t="s">
        <v>12</v>
      </c>
      <c r="G11" s="29" t="s">
        <v>364</v>
      </c>
      <c r="H11" s="30" t="s">
        <v>365</v>
      </c>
    </row>
    <row r="12" customFormat="false" ht="15" hidden="false" customHeight="true" outlineLevel="0" collapsed="false">
      <c r="B12" s="5" t="s">
        <v>375</v>
      </c>
      <c r="C12" s="28" t="s">
        <v>376</v>
      </c>
      <c r="D12" s="13" t="n">
        <v>282</v>
      </c>
      <c r="E12" s="5" t="s">
        <v>362</v>
      </c>
      <c r="G12" s="29" t="s">
        <v>364</v>
      </c>
      <c r="H12" s="30" t="s">
        <v>365</v>
      </c>
    </row>
    <row r="13" customFormat="false" ht="15" hidden="false" customHeight="true" outlineLevel="0" collapsed="false">
      <c r="B13" s="5" t="s">
        <v>58</v>
      </c>
      <c r="C13" s="28" t="s">
        <v>377</v>
      </c>
      <c r="D13" s="13" t="n">
        <v>1315</v>
      </c>
      <c r="E13" s="5" t="s">
        <v>362</v>
      </c>
      <c r="G13" s="29" t="s">
        <v>364</v>
      </c>
      <c r="H13" s="30" t="s">
        <v>365</v>
      </c>
    </row>
    <row r="14" customFormat="false" ht="15" hidden="false" customHeight="true" outlineLevel="0" collapsed="false">
      <c r="B14" s="5" t="s">
        <v>378</v>
      </c>
      <c r="C14" s="28" t="s">
        <v>379</v>
      </c>
      <c r="D14" s="21" t="n">
        <v>4.66312056737589</v>
      </c>
      <c r="E14" s="5" t="s">
        <v>362</v>
      </c>
      <c r="G14" s="29" t="s">
        <v>364</v>
      </c>
      <c r="H14" s="30" t="s">
        <v>365</v>
      </c>
    </row>
    <row r="15" customFormat="false" ht="15" hidden="false" customHeight="true" outlineLevel="0" collapsed="false">
      <c r="B15" s="5" t="s">
        <v>380</v>
      </c>
      <c r="C15" s="28" t="s">
        <v>381</v>
      </c>
      <c r="D15" s="13" t="n">
        <v>1850270</v>
      </c>
      <c r="E15" s="5" t="s">
        <v>382</v>
      </c>
      <c r="G15" s="29" t="s">
        <v>364</v>
      </c>
      <c r="H15" s="30" t="s">
        <v>365</v>
      </c>
    </row>
    <row r="16" customFormat="false" ht="15" hidden="false" customHeight="true" outlineLevel="0" collapsed="false">
      <c r="B16" s="5" t="s">
        <v>383</v>
      </c>
      <c r="C16" s="28" t="s">
        <v>384</v>
      </c>
      <c r="D16" s="13" t="n">
        <v>2121873.5</v>
      </c>
      <c r="E16" s="5" t="s">
        <v>382</v>
      </c>
      <c r="F16" s="22" t="s">
        <v>385</v>
      </c>
      <c r="G16" s="29" t="s">
        <v>364</v>
      </c>
      <c r="H16" s="30" t="s">
        <v>365</v>
      </c>
    </row>
    <row r="17" customFormat="false" ht="15" hidden="false" customHeight="true" outlineLevel="0" collapsed="false">
      <c r="B17" s="5" t="s">
        <v>386</v>
      </c>
      <c r="C17" s="28" t="s">
        <v>387</v>
      </c>
      <c r="D17" s="13" t="n">
        <v>271603.5</v>
      </c>
      <c r="E17" s="5" t="s">
        <v>382</v>
      </c>
      <c r="G17" s="29" t="s">
        <v>364</v>
      </c>
      <c r="H17" s="30" t="s">
        <v>365</v>
      </c>
    </row>
    <row r="18" customFormat="false" ht="15" hidden="false" customHeight="true" outlineLevel="0" collapsed="false">
      <c r="B18" s="5" t="s">
        <v>388</v>
      </c>
      <c r="C18" s="28" t="s">
        <v>389</v>
      </c>
      <c r="D18" s="13" t="n">
        <v>2121873.5</v>
      </c>
      <c r="E18" s="5" t="s">
        <v>382</v>
      </c>
      <c r="G18" s="29" t="s">
        <v>364</v>
      </c>
      <c r="H18" s="30" t="s">
        <v>365</v>
      </c>
    </row>
    <row r="19" customFormat="false" ht="15" hidden="false" customHeight="true" outlineLevel="0" collapsed="false">
      <c r="B19" s="5" t="s">
        <v>390</v>
      </c>
      <c r="C19" s="28" t="s">
        <v>391</v>
      </c>
      <c r="D19" s="13" t="n">
        <v>832972.29</v>
      </c>
      <c r="E19" s="5" t="s">
        <v>382</v>
      </c>
      <c r="G19" s="29" t="s">
        <v>364</v>
      </c>
      <c r="H19" s="30" t="s">
        <v>365</v>
      </c>
    </row>
    <row r="20" customFormat="false" ht="15" hidden="false" customHeight="true" outlineLevel="0" collapsed="false">
      <c r="B20" s="5" t="s">
        <v>392</v>
      </c>
      <c r="C20" s="28" t="s">
        <v>393</v>
      </c>
      <c r="D20" s="21" t="n">
        <v>0.392564537895402</v>
      </c>
      <c r="E20" s="5" t="s">
        <v>382</v>
      </c>
      <c r="G20" s="29" t="s">
        <v>364</v>
      </c>
      <c r="H20" s="30" t="s">
        <v>365</v>
      </c>
    </row>
    <row r="21" customFormat="false" ht="15" hidden="false" customHeight="true" outlineLevel="0" collapsed="false">
      <c r="B21" s="5" t="s">
        <v>141</v>
      </c>
      <c r="C21" s="28" t="s">
        <v>394</v>
      </c>
      <c r="D21" s="13" t="n">
        <v>1288901.21</v>
      </c>
      <c r="E21" s="5" t="s">
        <v>382</v>
      </c>
      <c r="G21" s="29" t="s">
        <v>364</v>
      </c>
      <c r="H21" s="30" t="s">
        <v>365</v>
      </c>
    </row>
    <row r="22" customFormat="false" ht="15" hidden="false" customHeight="true" outlineLevel="0" collapsed="false">
      <c r="B22" s="5" t="s">
        <v>395</v>
      </c>
      <c r="C22" s="28" t="s">
        <v>396</v>
      </c>
      <c r="D22" s="13" t="n">
        <v>425500.68</v>
      </c>
      <c r="E22" s="5" t="s">
        <v>34</v>
      </c>
      <c r="F22" s="22" t="s">
        <v>397</v>
      </c>
      <c r="G22" s="29" t="s">
        <v>364</v>
      </c>
      <c r="H22" s="30" t="s">
        <v>365</v>
      </c>
    </row>
    <row r="23" customFormat="false" ht="15" hidden="false" customHeight="true" outlineLevel="0" collapsed="false">
      <c r="B23" s="5" t="s">
        <v>398</v>
      </c>
      <c r="C23" s="28" t="s">
        <v>399</v>
      </c>
      <c r="D23" s="13" t="n">
        <v>637990.88</v>
      </c>
      <c r="E23" s="5" t="s">
        <v>35</v>
      </c>
      <c r="F23" s="22" t="s">
        <v>400</v>
      </c>
      <c r="G23" s="29" t="s">
        <v>364</v>
      </c>
      <c r="H23" s="30" t="s">
        <v>365</v>
      </c>
    </row>
    <row r="24" customFormat="false" ht="15" hidden="false" customHeight="true" outlineLevel="0" collapsed="false">
      <c r="B24" s="5" t="s">
        <v>401</v>
      </c>
      <c r="C24" s="28" t="s">
        <v>402</v>
      </c>
      <c r="D24" s="13" t="n">
        <v>7343.82</v>
      </c>
      <c r="E24" s="5" t="s">
        <v>382</v>
      </c>
      <c r="F24" s="22" t="s">
        <v>403</v>
      </c>
      <c r="G24" s="29" t="s">
        <v>364</v>
      </c>
      <c r="H24" s="30" t="s">
        <v>365</v>
      </c>
    </row>
    <row r="25" customFormat="false" ht="15" hidden="false" customHeight="true" outlineLevel="0" collapsed="false">
      <c r="B25" s="5" t="s">
        <v>404</v>
      </c>
      <c r="C25" s="28" t="s">
        <v>405</v>
      </c>
      <c r="D25" s="13" t="n">
        <v>218065.83</v>
      </c>
      <c r="E25" s="5" t="s">
        <v>382</v>
      </c>
      <c r="F25" s="22" t="s">
        <v>406</v>
      </c>
      <c r="G25" s="29" t="s">
        <v>364</v>
      </c>
      <c r="H25" s="30" t="s">
        <v>365</v>
      </c>
    </row>
    <row r="26" customFormat="false" ht="15" hidden="false" customHeight="true" outlineLevel="0" collapsed="false">
      <c r="B26" s="5" t="s">
        <v>329</v>
      </c>
      <c r="C26" s="28" t="s">
        <v>407</v>
      </c>
      <c r="D26" s="13" t="n">
        <v>96889.2</v>
      </c>
      <c r="E26" s="5" t="s">
        <v>382</v>
      </c>
      <c r="F26" s="22" t="s">
        <v>408</v>
      </c>
      <c r="G26" s="29" t="s">
        <v>364</v>
      </c>
      <c r="H26" s="30" t="s">
        <v>365</v>
      </c>
    </row>
    <row r="27" customFormat="false" ht="15" hidden="false" customHeight="true" outlineLevel="0" collapsed="false">
      <c r="B27" s="5" t="s">
        <v>409</v>
      </c>
      <c r="C27" s="28" t="s">
        <v>410</v>
      </c>
      <c r="D27" s="13" t="n">
        <v>7524.37411347518</v>
      </c>
      <c r="E27" s="5" t="s">
        <v>382</v>
      </c>
      <c r="G27" s="29" t="s">
        <v>364</v>
      </c>
      <c r="H27" s="30" t="s">
        <v>365</v>
      </c>
    </row>
    <row r="28" customFormat="false" ht="15" hidden="false" customHeight="true" outlineLevel="0" collapsed="false">
      <c r="B28" s="5" t="s">
        <v>411</v>
      </c>
      <c r="C28" s="28" t="s">
        <v>412</v>
      </c>
      <c r="D28" s="13" t="n">
        <v>2953.80244680851</v>
      </c>
      <c r="E28" s="5" t="s">
        <v>382</v>
      </c>
      <c r="G28" s="29" t="s">
        <v>364</v>
      </c>
      <c r="H28" s="30" t="s">
        <v>365</v>
      </c>
    </row>
    <row r="29" customFormat="false" ht="15" hidden="false" customHeight="true" outlineLevel="0" collapsed="false">
      <c r="B29" s="5" t="s">
        <v>413</v>
      </c>
      <c r="C29" s="28" t="s">
        <v>414</v>
      </c>
      <c r="D29" s="13" t="n">
        <v>4570.57166666667</v>
      </c>
      <c r="E29" s="5" t="s">
        <v>382</v>
      </c>
      <c r="G29" s="29" t="s">
        <v>364</v>
      </c>
      <c r="H29" s="30" t="s">
        <v>365</v>
      </c>
    </row>
    <row r="30" customFormat="false" ht="15" hidden="false" customHeight="true" outlineLevel="0" collapsed="false">
      <c r="B30" s="5" t="s">
        <v>415</v>
      </c>
      <c r="C30" s="28" t="s">
        <v>416</v>
      </c>
      <c r="D30" s="13" t="n">
        <v>1508.86765957447</v>
      </c>
      <c r="E30" s="5" t="s">
        <v>34</v>
      </c>
      <c r="G30" s="29" t="s">
        <v>364</v>
      </c>
      <c r="H30" s="30" t="s">
        <v>365</v>
      </c>
    </row>
    <row r="31" customFormat="false" ht="15" hidden="false" customHeight="true" outlineLevel="0" collapsed="false">
      <c r="B31" s="5" t="s">
        <v>417</v>
      </c>
      <c r="C31" s="28" t="s">
        <v>418</v>
      </c>
      <c r="D31" s="13" t="n">
        <v>2262.3790070922</v>
      </c>
      <c r="E31" s="5" t="s">
        <v>35</v>
      </c>
      <c r="G31" s="29" t="s">
        <v>364</v>
      </c>
      <c r="H31" s="30" t="s">
        <v>365</v>
      </c>
    </row>
    <row r="32" customFormat="false" ht="15" hidden="false" customHeight="true" outlineLevel="0" collapsed="false">
      <c r="B32" s="5" t="s">
        <v>419</v>
      </c>
      <c r="C32" s="28" t="s">
        <v>420</v>
      </c>
      <c r="D32" s="13" t="n">
        <v>1613.59201520913</v>
      </c>
      <c r="E32" s="5" t="s">
        <v>382</v>
      </c>
      <c r="G32" s="29" t="s">
        <v>364</v>
      </c>
      <c r="H32" s="30" t="s">
        <v>365</v>
      </c>
    </row>
    <row r="33" customFormat="false" ht="15" hidden="false" customHeight="true" outlineLevel="0" collapsed="false">
      <c r="B33" s="5" t="s">
        <v>421</v>
      </c>
      <c r="C33" s="28" t="s">
        <v>422</v>
      </c>
      <c r="D33" s="13" t="n">
        <v>633.439003802281</v>
      </c>
      <c r="E33" s="5" t="s">
        <v>382</v>
      </c>
      <c r="G33" s="29" t="s">
        <v>364</v>
      </c>
      <c r="H33" s="30" t="s">
        <v>365</v>
      </c>
    </row>
    <row r="34" customFormat="false" ht="15" hidden="false" customHeight="true" outlineLevel="0" collapsed="false">
      <c r="B34" s="5" t="s">
        <v>423</v>
      </c>
      <c r="C34" s="28" t="s">
        <v>424</v>
      </c>
      <c r="D34" s="13" t="n">
        <v>980.153011406844</v>
      </c>
      <c r="E34" s="5" t="s">
        <v>382</v>
      </c>
      <c r="G34" s="29" t="s">
        <v>364</v>
      </c>
      <c r="H34" s="30" t="s">
        <v>365</v>
      </c>
    </row>
    <row r="35" customFormat="false" ht="15" hidden="false" customHeight="true" outlineLevel="0" collapsed="false">
      <c r="B35" s="5" t="s">
        <v>425</v>
      </c>
      <c r="C35" s="28" t="s">
        <v>426</v>
      </c>
      <c r="D35" s="13" t="n">
        <v>323.574661596958</v>
      </c>
      <c r="E35" s="5" t="s">
        <v>34</v>
      </c>
      <c r="G35" s="29" t="s">
        <v>364</v>
      </c>
      <c r="H35" s="30" t="s">
        <v>365</v>
      </c>
    </row>
    <row r="36" customFormat="false" ht="15" hidden="false" customHeight="true" outlineLevel="0" collapsed="false">
      <c r="B36" s="5" t="s">
        <v>427</v>
      </c>
      <c r="C36" s="28" t="s">
        <v>428</v>
      </c>
      <c r="D36" s="13" t="n">
        <v>485.16416730038</v>
      </c>
      <c r="E36" s="5" t="s">
        <v>35</v>
      </c>
      <c r="G36" s="29" t="s">
        <v>364</v>
      </c>
      <c r="H36" s="30" t="s">
        <v>365</v>
      </c>
    </row>
    <row r="37" customFormat="false" ht="15" hidden="false" customHeight="true" outlineLevel="0" collapsed="false">
      <c r="B37" s="5" t="s">
        <v>429</v>
      </c>
      <c r="C37" s="28" t="s">
        <v>430</v>
      </c>
      <c r="D37" s="13" t="n">
        <v>20279.5</v>
      </c>
      <c r="E37" s="5" t="s">
        <v>34</v>
      </c>
      <c r="F37" s="22" t="s">
        <v>431</v>
      </c>
      <c r="G37" s="29" t="s">
        <v>364</v>
      </c>
      <c r="H37" s="30" t="s">
        <v>365</v>
      </c>
    </row>
    <row r="38" customFormat="false" ht="15" hidden="false" customHeight="true" outlineLevel="0" collapsed="false">
      <c r="B38" s="5" t="s">
        <v>432</v>
      </c>
      <c r="C38" s="28" t="s">
        <v>433</v>
      </c>
      <c r="D38" s="6" t="n">
        <v>27</v>
      </c>
      <c r="E38" s="5" t="s">
        <v>34</v>
      </c>
      <c r="F38" s="22" t="s">
        <v>434</v>
      </c>
      <c r="G38" s="29" t="s">
        <v>364</v>
      </c>
      <c r="H38" s="30" t="s">
        <v>365</v>
      </c>
    </row>
    <row r="39" customFormat="false" ht="15" hidden="false" customHeight="true" outlineLevel="0" collapsed="false">
      <c r="B39" s="5" t="s">
        <v>223</v>
      </c>
      <c r="C39" s="28" t="s">
        <v>435</v>
      </c>
      <c r="D39" s="14" t="n">
        <v>23.1966266426687</v>
      </c>
      <c r="E39" s="5" t="s">
        <v>34</v>
      </c>
      <c r="F39" s="22" t="s">
        <v>436</v>
      </c>
      <c r="G39" s="29" t="s">
        <v>364</v>
      </c>
      <c r="H39" s="30" t="s">
        <v>365</v>
      </c>
    </row>
    <row r="40" customFormat="false" ht="15" hidden="false" customHeight="true" outlineLevel="0" collapsed="false">
      <c r="B40" s="5" t="s">
        <v>225</v>
      </c>
      <c r="C40" s="28" t="s">
        <v>437</v>
      </c>
      <c r="D40" s="14" t="n">
        <v>31.7348312335117</v>
      </c>
      <c r="E40" s="5" t="s">
        <v>34</v>
      </c>
      <c r="F40" s="22" t="s">
        <v>438</v>
      </c>
      <c r="G40" s="29" t="s">
        <v>364</v>
      </c>
      <c r="H40" s="30" t="s">
        <v>365</v>
      </c>
    </row>
    <row r="41" customFormat="false" ht="15" hidden="false" customHeight="true" outlineLevel="0" collapsed="false">
      <c r="B41" s="5" t="s">
        <v>227</v>
      </c>
      <c r="C41" s="28" t="s">
        <v>439</v>
      </c>
      <c r="D41" s="21" t="n">
        <v>1.36807957994795</v>
      </c>
      <c r="E41" s="5" t="s">
        <v>34</v>
      </c>
      <c r="G41" s="29" t="s">
        <v>364</v>
      </c>
      <c r="H41" s="30" t="s">
        <v>365</v>
      </c>
    </row>
    <row r="42" customFormat="false" ht="15" hidden="false" customHeight="true" outlineLevel="0" collapsed="false">
      <c r="B42" s="5" t="s">
        <v>440</v>
      </c>
      <c r="C42" s="28" t="s">
        <v>441</v>
      </c>
      <c r="D42" s="14" t="n">
        <v>71.9131205673759</v>
      </c>
      <c r="E42" s="5" t="s">
        <v>34</v>
      </c>
      <c r="F42" s="22" t="s">
        <v>442</v>
      </c>
      <c r="G42" s="29" t="s">
        <v>364</v>
      </c>
      <c r="H42" s="30" t="s">
        <v>365</v>
      </c>
    </row>
    <row r="43" customFormat="false" ht="15" hidden="false" customHeight="true" outlineLevel="0" collapsed="false">
      <c r="B43" s="5" t="s">
        <v>443</v>
      </c>
      <c r="C43" s="28" t="s">
        <v>444</v>
      </c>
      <c r="D43" s="14" t="n">
        <v>15.4216730038023</v>
      </c>
      <c r="E43" s="5" t="s">
        <v>34</v>
      </c>
      <c r="F43" s="22" t="s">
        <v>442</v>
      </c>
      <c r="G43" s="29" t="s">
        <v>364</v>
      </c>
      <c r="H43" s="30" t="s">
        <v>365</v>
      </c>
    </row>
    <row r="44" customFormat="false" ht="15" hidden="false" customHeight="true" outlineLevel="0" collapsed="false">
      <c r="B44" s="5" t="s">
        <v>445</v>
      </c>
      <c r="C44" s="28" t="s">
        <v>446</v>
      </c>
      <c r="D44" s="13" t="n">
        <v>104.631450479548</v>
      </c>
      <c r="E44" s="5" t="s">
        <v>447</v>
      </c>
      <c r="G44" s="29" t="s">
        <v>364</v>
      </c>
      <c r="H44" s="30" t="s">
        <v>365</v>
      </c>
    </row>
    <row r="45" customFormat="false" ht="15" hidden="false" customHeight="true" outlineLevel="0" collapsed="false">
      <c r="B45" s="5" t="s">
        <v>448</v>
      </c>
      <c r="C45" s="28" t="s">
        <v>449</v>
      </c>
      <c r="D45" s="14" t="n">
        <v>41.0745970068296</v>
      </c>
      <c r="E45" s="5" t="s">
        <v>447</v>
      </c>
      <c r="G45" s="29" t="s">
        <v>364</v>
      </c>
      <c r="H45" s="30" t="s">
        <v>365</v>
      </c>
    </row>
    <row r="46" customFormat="false" ht="15" hidden="false" customHeight="true" outlineLevel="0" collapsed="false">
      <c r="B46" s="5" t="s">
        <v>450</v>
      </c>
      <c r="C46" s="28" t="s">
        <v>451</v>
      </c>
      <c r="D46" s="21" t="n">
        <v>0.200530653688827</v>
      </c>
      <c r="E46" s="5" t="s">
        <v>452</v>
      </c>
      <c r="G46" s="29" t="s">
        <v>364</v>
      </c>
      <c r="H46" s="30" t="s">
        <v>365</v>
      </c>
    </row>
    <row r="47" customFormat="false" ht="15" hidden="false" customHeight="true" outlineLevel="0" collapsed="false">
      <c r="B47" s="5" t="s">
        <v>453</v>
      </c>
      <c r="C47" s="28" t="s">
        <v>454</v>
      </c>
      <c r="D47" s="21" t="n">
        <v>0.300673381330225</v>
      </c>
      <c r="E47" s="5" t="s">
        <v>452</v>
      </c>
      <c r="G47" s="29" t="s">
        <v>364</v>
      </c>
      <c r="H47" s="30" t="s">
        <v>365</v>
      </c>
    </row>
    <row r="48" customFormat="false" ht="15" hidden="false" customHeight="true" outlineLevel="0" collapsed="false">
      <c r="B48" s="5" t="s">
        <v>455</v>
      </c>
      <c r="C48" s="28" t="s">
        <v>456</v>
      </c>
      <c r="D48" s="13" t="n">
        <v>117881.861111111</v>
      </c>
      <c r="E48" s="5" t="s">
        <v>447</v>
      </c>
      <c r="G48" s="29" t="s">
        <v>364</v>
      </c>
      <c r="H48" s="30" t="s">
        <v>365</v>
      </c>
    </row>
    <row r="49" customFormat="false" ht="15" hidden="false" customHeight="true" outlineLevel="0" collapsed="false">
      <c r="B49" s="5" t="s">
        <v>457</v>
      </c>
      <c r="C49" s="28" t="s">
        <v>458</v>
      </c>
      <c r="D49" s="13" t="n">
        <v>1126.63888888889</v>
      </c>
      <c r="E49" s="5" t="s">
        <v>447</v>
      </c>
      <c r="G49" s="29" t="s">
        <v>364</v>
      </c>
      <c r="H49" s="30" t="s">
        <v>365</v>
      </c>
    </row>
    <row r="50" customFormat="false" ht="15" hidden="false" customHeight="true" outlineLevel="0" collapsed="false">
      <c r="B50" s="5" t="s">
        <v>459</v>
      </c>
      <c r="C50" s="28" t="s">
        <v>460</v>
      </c>
      <c r="D50" s="14" t="n">
        <v>15.6666666666667</v>
      </c>
      <c r="E50" s="5" t="s">
        <v>447</v>
      </c>
      <c r="G50" s="29" t="s">
        <v>364</v>
      </c>
      <c r="H50" s="30" t="s">
        <v>365</v>
      </c>
    </row>
    <row r="51" customFormat="false" ht="15" hidden="false" customHeight="true" outlineLevel="0" collapsed="false">
      <c r="B51" s="5" t="s">
        <v>461</v>
      </c>
      <c r="C51" s="28" t="s">
        <v>462</v>
      </c>
      <c r="D51" s="6" t="n">
        <v>16</v>
      </c>
      <c r="E51" s="5" t="s">
        <v>35</v>
      </c>
      <c r="F51" s="22" t="s">
        <v>463</v>
      </c>
      <c r="G51" s="29" t="s">
        <v>364</v>
      </c>
      <c r="H51" s="30" t="s">
        <v>365</v>
      </c>
    </row>
    <row r="52" customFormat="false" ht="15" hidden="false" customHeight="true" outlineLevel="0" collapsed="false">
      <c r="B52" s="5" t="s">
        <v>464</v>
      </c>
      <c r="C52" s="28" t="s">
        <v>465</v>
      </c>
      <c r="D52" s="13" t="n">
        <v>343362.11</v>
      </c>
      <c r="E52" s="5" t="s">
        <v>35</v>
      </c>
      <c r="F52" s="22" t="s">
        <v>163</v>
      </c>
      <c r="G52" s="29" t="s">
        <v>364</v>
      </c>
      <c r="H52" s="30" t="s">
        <v>365</v>
      </c>
    </row>
    <row r="53" customFormat="false" ht="15" hidden="false" customHeight="true" outlineLevel="0" collapsed="false">
      <c r="B53" s="5" t="s">
        <v>466</v>
      </c>
      <c r="C53" s="28" t="s">
        <v>467</v>
      </c>
      <c r="D53" s="21" t="n">
        <v>0.464436597476373</v>
      </c>
      <c r="E53" s="5" t="s">
        <v>35</v>
      </c>
      <c r="G53" s="29" t="s">
        <v>364</v>
      </c>
      <c r="H53" s="30" t="s">
        <v>365</v>
      </c>
    </row>
    <row r="54" customFormat="false" ht="15" hidden="false" customHeight="true" outlineLevel="0" collapsed="false">
      <c r="B54" s="5" t="s">
        <v>468</v>
      </c>
      <c r="C54" s="28" t="s">
        <v>469</v>
      </c>
      <c r="D54" s="6" t="n">
        <v>0</v>
      </c>
      <c r="E54" s="5" t="s">
        <v>35</v>
      </c>
      <c r="F54" s="22" t="s">
        <v>470</v>
      </c>
      <c r="G54" s="29" t="s">
        <v>364</v>
      </c>
      <c r="H54" s="30" t="s">
        <v>365</v>
      </c>
    </row>
    <row r="55" customFormat="false" ht="15" hidden="false" customHeight="true" outlineLevel="0" collapsed="false">
      <c r="B55" s="5" t="s">
        <v>471</v>
      </c>
      <c r="C55" s="28" t="s">
        <v>472</v>
      </c>
      <c r="D55" s="21" t="n">
        <v>0.146791279110616</v>
      </c>
      <c r="E55" s="5" t="s">
        <v>382</v>
      </c>
      <c r="G55" s="29" t="s">
        <v>364</v>
      </c>
      <c r="H55" s="30" t="s">
        <v>365</v>
      </c>
    </row>
    <row r="56" customFormat="false" ht="15" hidden="false" customHeight="true" outlineLevel="0" collapsed="false">
      <c r="B56" s="5" t="s">
        <v>473</v>
      </c>
      <c r="C56" s="28" t="s">
        <v>474</v>
      </c>
      <c r="D56" s="13" t="n">
        <v>104.631450479548</v>
      </c>
      <c r="E56" s="5" t="s">
        <v>447</v>
      </c>
      <c r="G56" s="29" t="s">
        <v>364</v>
      </c>
      <c r="H56" s="30" t="s">
        <v>365</v>
      </c>
    </row>
    <row r="60" customFormat="false" ht="15" hidden="false" customHeight="true" outlineLevel="0" collapsed="false">
      <c r="B60" s="4" t="s">
        <v>66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67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68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69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70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71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72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73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74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475</v>
      </c>
      <c r="C69" s="3"/>
      <c r="D69" s="3"/>
      <c r="E69" s="3"/>
      <c r="F69" s="3"/>
    </row>
  </sheetData>
  <mergeCells count="12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476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477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478</v>
      </c>
      <c r="C5" s="27" t="s">
        <v>479</v>
      </c>
      <c r="D5" s="27" t="s">
        <v>300</v>
      </c>
      <c r="E5" s="27" t="s">
        <v>480</v>
      </c>
      <c r="F5" s="27" t="s">
        <v>481</v>
      </c>
      <c r="G5" s="27" t="s">
        <v>482</v>
      </c>
      <c r="H5" s="27" t="s">
        <v>483</v>
      </c>
      <c r="I5" s="27" t="s">
        <v>484</v>
      </c>
      <c r="J5" s="27" t="s">
        <v>328</v>
      </c>
      <c r="K5" s="27" t="s">
        <v>359</v>
      </c>
    </row>
    <row r="6" customFormat="false" ht="23.85" hidden="false" customHeight="false" outlineLevel="0" collapsed="false">
      <c r="B6" s="33" t="s">
        <v>485</v>
      </c>
      <c r="C6" s="33" t="s">
        <v>486</v>
      </c>
      <c r="D6" s="33" t="s">
        <v>487</v>
      </c>
      <c r="E6" s="30" t="s">
        <v>488</v>
      </c>
      <c r="F6" s="33" t="s">
        <v>489</v>
      </c>
      <c r="G6" s="33" t="s">
        <v>490</v>
      </c>
      <c r="H6" s="34" t="n">
        <v>0</v>
      </c>
      <c r="I6" s="33" t="n">
        <v>0</v>
      </c>
      <c r="J6" s="33" t="s">
        <v>491</v>
      </c>
      <c r="K6" s="35" t="s">
        <v>492</v>
      </c>
    </row>
    <row r="7" customFormat="false" ht="23.85" hidden="false" customHeight="false" outlineLevel="0" collapsed="false">
      <c r="B7" s="33" t="s">
        <v>493</v>
      </c>
      <c r="C7" s="33" t="s">
        <v>486</v>
      </c>
      <c r="D7" s="33" t="s">
        <v>494</v>
      </c>
      <c r="E7" s="30" t="s">
        <v>495</v>
      </c>
      <c r="F7" s="33" t="s">
        <v>489</v>
      </c>
      <c r="G7" s="33" t="s">
        <v>496</v>
      </c>
      <c r="H7" s="34" t="n">
        <v>0</v>
      </c>
      <c r="I7" s="33" t="n">
        <v>0</v>
      </c>
      <c r="J7" s="33" t="s">
        <v>491</v>
      </c>
      <c r="K7" s="35" t="s">
        <v>497</v>
      </c>
    </row>
    <row r="8" customFormat="false" ht="23.85" hidden="false" customHeight="false" outlineLevel="0" collapsed="false">
      <c r="B8" s="33" t="s">
        <v>498</v>
      </c>
      <c r="C8" s="33" t="s">
        <v>486</v>
      </c>
      <c r="D8" s="33" t="s">
        <v>499</v>
      </c>
      <c r="E8" s="30" t="s">
        <v>500</v>
      </c>
      <c r="F8" s="33" t="s">
        <v>501</v>
      </c>
      <c r="G8" s="33" t="s">
        <v>502</v>
      </c>
      <c r="H8" s="34" t="n">
        <v>0</v>
      </c>
      <c r="I8" s="33" t="n">
        <v>0</v>
      </c>
      <c r="J8" s="33" t="s">
        <v>491</v>
      </c>
      <c r="K8" s="35" t="s">
        <v>503</v>
      </c>
    </row>
    <row r="9" customFormat="false" ht="23.85" hidden="false" customHeight="false" outlineLevel="0" collapsed="false">
      <c r="B9" s="33" t="s">
        <v>504</v>
      </c>
      <c r="C9" s="33" t="s">
        <v>486</v>
      </c>
      <c r="D9" s="33" t="s">
        <v>505</v>
      </c>
      <c r="E9" s="30" t="s">
        <v>506</v>
      </c>
      <c r="F9" s="33" t="s">
        <v>501</v>
      </c>
      <c r="G9" s="33" t="s">
        <v>507</v>
      </c>
      <c r="H9" s="34" t="n">
        <v>0</v>
      </c>
      <c r="I9" s="33" t="n">
        <v>0</v>
      </c>
      <c r="J9" s="33" t="s">
        <v>491</v>
      </c>
      <c r="K9" s="35" t="s">
        <v>508</v>
      </c>
    </row>
    <row r="10" customFormat="false" ht="23.85" hidden="false" customHeight="false" outlineLevel="0" collapsed="false">
      <c r="B10" s="33" t="s">
        <v>509</v>
      </c>
      <c r="C10" s="33" t="s">
        <v>486</v>
      </c>
      <c r="D10" s="33" t="s">
        <v>510</v>
      </c>
      <c r="E10" s="30" t="s">
        <v>511</v>
      </c>
      <c r="F10" s="33" t="s">
        <v>501</v>
      </c>
      <c r="G10" s="33" t="s">
        <v>512</v>
      </c>
      <c r="H10" s="34" t="n">
        <v>0</v>
      </c>
      <c r="I10" s="33" t="n">
        <v>0</v>
      </c>
      <c r="J10" s="33" t="s">
        <v>513</v>
      </c>
      <c r="K10" s="35" t="s">
        <v>514</v>
      </c>
    </row>
    <row r="11" customFormat="false" ht="23.85" hidden="false" customHeight="false" outlineLevel="0" collapsed="false">
      <c r="B11" s="33" t="s">
        <v>515</v>
      </c>
      <c r="C11" s="33" t="s">
        <v>486</v>
      </c>
      <c r="D11" s="33" t="s">
        <v>316</v>
      </c>
      <c r="E11" s="30" t="s">
        <v>516</v>
      </c>
      <c r="F11" s="33" t="s">
        <v>501</v>
      </c>
      <c r="G11" s="33" t="s">
        <v>517</v>
      </c>
      <c r="H11" s="34" t="n">
        <v>0</v>
      </c>
      <c r="I11" s="33" t="n">
        <v>0</v>
      </c>
      <c r="J11" s="33" t="s">
        <v>491</v>
      </c>
      <c r="K11" s="35" t="s">
        <v>518</v>
      </c>
    </row>
    <row r="12" customFormat="false" ht="23.85" hidden="false" customHeight="false" outlineLevel="0" collapsed="false">
      <c r="B12" s="33" t="s">
        <v>519</v>
      </c>
      <c r="C12" s="33" t="s">
        <v>486</v>
      </c>
      <c r="D12" s="33" t="s">
        <v>316</v>
      </c>
      <c r="E12" s="30" t="s">
        <v>520</v>
      </c>
      <c r="F12" s="33" t="s">
        <v>501</v>
      </c>
      <c r="G12" s="33" t="s">
        <v>521</v>
      </c>
      <c r="H12" s="34" t="n">
        <v>0</v>
      </c>
      <c r="I12" s="33" t="n">
        <v>0</v>
      </c>
      <c r="J12" s="33" t="s">
        <v>491</v>
      </c>
      <c r="K12" s="35" t="s">
        <v>522</v>
      </c>
    </row>
    <row r="13" customFormat="false" ht="23.85" hidden="false" customHeight="false" outlineLevel="0" collapsed="false">
      <c r="B13" s="33" t="s">
        <v>523</v>
      </c>
      <c r="C13" s="33" t="s">
        <v>524</v>
      </c>
      <c r="D13" s="33" t="s">
        <v>525</v>
      </c>
      <c r="E13" s="30" t="s">
        <v>526</v>
      </c>
      <c r="F13" s="33" t="s">
        <v>527</v>
      </c>
      <c r="G13" s="33"/>
      <c r="H13" s="34" t="n">
        <v>0</v>
      </c>
      <c r="I13" s="33" t="n">
        <v>0</v>
      </c>
      <c r="J13" s="33" t="s">
        <v>528</v>
      </c>
      <c r="K13" s="35" t="s">
        <v>529</v>
      </c>
    </row>
    <row r="14" customFormat="false" ht="23.85" hidden="false" customHeight="false" outlineLevel="0" collapsed="false">
      <c r="B14" s="33" t="s">
        <v>530</v>
      </c>
      <c r="C14" s="33" t="s">
        <v>524</v>
      </c>
      <c r="D14" s="33" t="s">
        <v>321</v>
      </c>
      <c r="E14" s="30" t="s">
        <v>531</v>
      </c>
      <c r="F14" s="33" t="s">
        <v>527</v>
      </c>
      <c r="G14" s="33"/>
      <c r="H14" s="34" t="n">
        <v>0</v>
      </c>
      <c r="I14" s="33" t="n">
        <v>0</v>
      </c>
      <c r="J14" s="33" t="s">
        <v>528</v>
      </c>
      <c r="K14" s="35" t="s">
        <v>532</v>
      </c>
    </row>
    <row r="15" customFormat="false" ht="23.85" hidden="false" customHeight="false" outlineLevel="0" collapsed="false">
      <c r="B15" s="33" t="s">
        <v>533</v>
      </c>
      <c r="C15" s="33" t="s">
        <v>524</v>
      </c>
      <c r="D15" s="33" t="s">
        <v>322</v>
      </c>
      <c r="E15" s="30" t="s">
        <v>534</v>
      </c>
      <c r="F15" s="33" t="s">
        <v>527</v>
      </c>
      <c r="G15" s="33"/>
      <c r="H15" s="34" t="n">
        <v>0</v>
      </c>
      <c r="I15" s="33" t="n">
        <v>0</v>
      </c>
      <c r="J15" s="33" t="s">
        <v>528</v>
      </c>
      <c r="K15" s="35" t="s">
        <v>535</v>
      </c>
    </row>
    <row r="16" customFormat="false" ht="35.05" hidden="false" customHeight="false" outlineLevel="0" collapsed="false">
      <c r="B16" s="33" t="s">
        <v>536</v>
      </c>
      <c r="C16" s="33" t="s">
        <v>537</v>
      </c>
      <c r="D16" s="33" t="s">
        <v>538</v>
      </c>
      <c r="E16" s="30" t="s">
        <v>539</v>
      </c>
      <c r="F16" s="33" t="s">
        <v>540</v>
      </c>
      <c r="G16" s="33"/>
      <c r="H16" s="34" t="n">
        <v>0</v>
      </c>
      <c r="I16" s="33" t="n">
        <v>0</v>
      </c>
      <c r="J16" s="33" t="s">
        <v>541</v>
      </c>
      <c r="K16" s="35" t="s">
        <v>542</v>
      </c>
    </row>
    <row r="17" customFormat="false" ht="23.85" hidden="false" customHeight="false" outlineLevel="0" collapsed="false">
      <c r="B17" s="33" t="s">
        <v>543</v>
      </c>
      <c r="C17" s="33" t="s">
        <v>537</v>
      </c>
      <c r="D17" s="33" t="s">
        <v>538</v>
      </c>
      <c r="E17" s="30" t="s">
        <v>544</v>
      </c>
      <c r="F17" s="33" t="s">
        <v>540</v>
      </c>
      <c r="G17" s="33"/>
      <c r="H17" s="34" t="n">
        <v>0</v>
      </c>
      <c r="I17" s="33" t="n">
        <v>0</v>
      </c>
      <c r="J17" s="33" t="s">
        <v>541</v>
      </c>
      <c r="K17" s="35" t="s">
        <v>545</v>
      </c>
    </row>
    <row r="18" customFormat="false" ht="46.25" hidden="false" customHeight="false" outlineLevel="0" collapsed="false">
      <c r="B18" s="33" t="s">
        <v>546</v>
      </c>
      <c r="C18" s="33" t="s">
        <v>537</v>
      </c>
      <c r="D18" s="33" t="s">
        <v>538</v>
      </c>
      <c r="E18" s="30" t="s">
        <v>547</v>
      </c>
      <c r="F18" s="33" t="s">
        <v>540</v>
      </c>
      <c r="G18" s="33"/>
      <c r="H18" s="34" t="n">
        <v>0</v>
      </c>
      <c r="I18" s="33" t="n">
        <v>0</v>
      </c>
      <c r="J18" s="33" t="s">
        <v>541</v>
      </c>
      <c r="K18" s="35" t="s">
        <v>548</v>
      </c>
    </row>
    <row r="20" customFormat="false" ht="15" hidden="false" customHeight="false" outlineLevel="0" collapsed="false">
      <c r="B20" s="36" t="s">
        <v>38</v>
      </c>
      <c r="H20" s="37" t="n">
        <f aca="false">SUM(H6:H18)</f>
        <v>0</v>
      </c>
      <c r="I20" s="36" t="n">
        <f aca="false">SUM(I6:I18)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549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550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8" t="s">
        <v>551</v>
      </c>
    </row>
    <row r="6" customFormat="false" ht="15" hidden="false" customHeight="false" outlineLevel="0" collapsed="false">
      <c r="B6" s="27" t="s">
        <v>552</v>
      </c>
      <c r="C6" s="27" t="s">
        <v>553</v>
      </c>
      <c r="D6" s="27" t="s">
        <v>554</v>
      </c>
      <c r="E6" s="27" t="s">
        <v>555</v>
      </c>
      <c r="F6" s="27" t="s">
        <v>556</v>
      </c>
      <c r="G6" s="27" t="s">
        <v>255</v>
      </c>
    </row>
    <row r="7" customFormat="false" ht="15" hidden="false" customHeight="false" outlineLevel="0" collapsed="false">
      <c r="B7" s="30" t="s">
        <v>557</v>
      </c>
      <c r="C7" s="33" t="n">
        <v>2</v>
      </c>
      <c r="D7" s="34" t="n">
        <v>0</v>
      </c>
      <c r="E7" s="39" t="n">
        <f aca="false">C7/13</f>
        <v>0.153846153846154</v>
      </c>
      <c r="F7" s="30" t="s">
        <v>558</v>
      </c>
      <c r="G7" s="30" t="s">
        <v>495</v>
      </c>
    </row>
    <row r="8" customFormat="false" ht="15" hidden="false" customHeight="false" outlineLevel="0" collapsed="false">
      <c r="B8" s="30" t="s">
        <v>559</v>
      </c>
      <c r="C8" s="33" t="n">
        <v>2</v>
      </c>
      <c r="D8" s="34" t="n">
        <v>0</v>
      </c>
      <c r="E8" s="39" t="n">
        <f aca="false">C8/13</f>
        <v>0.153846153846154</v>
      </c>
      <c r="F8" s="30" t="s">
        <v>558</v>
      </c>
      <c r="G8" s="30" t="s">
        <v>560</v>
      </c>
    </row>
    <row r="9" customFormat="false" ht="15" hidden="false" customHeight="false" outlineLevel="0" collapsed="false">
      <c r="B9" s="30" t="s">
        <v>561</v>
      </c>
      <c r="C9" s="33" t="n">
        <v>2</v>
      </c>
      <c r="D9" s="34" t="n">
        <v>0</v>
      </c>
      <c r="E9" s="39" t="n">
        <f aca="false">C9/13</f>
        <v>0.153846153846154</v>
      </c>
      <c r="F9" s="30" t="s">
        <v>562</v>
      </c>
      <c r="G9" s="30" t="s">
        <v>563</v>
      </c>
    </row>
    <row r="10" customFormat="false" ht="15" hidden="false" customHeight="false" outlineLevel="0" collapsed="false">
      <c r="B10" s="30" t="s">
        <v>564</v>
      </c>
      <c r="C10" s="33" t="n">
        <v>1</v>
      </c>
      <c r="D10" s="34" t="n">
        <v>0</v>
      </c>
      <c r="E10" s="39" t="n">
        <f aca="false">C10/13</f>
        <v>0.0769230769230769</v>
      </c>
      <c r="F10" s="30" t="s">
        <v>565</v>
      </c>
      <c r="G10" s="30" t="s">
        <v>516</v>
      </c>
    </row>
    <row r="11" customFormat="false" ht="15" hidden="false" customHeight="false" outlineLevel="0" collapsed="false">
      <c r="B11" s="30" t="s">
        <v>566</v>
      </c>
      <c r="C11" s="33" t="n">
        <v>6</v>
      </c>
      <c r="D11" s="34" t="n">
        <v>0</v>
      </c>
      <c r="E11" s="39" t="n">
        <f aca="false">C11/13</f>
        <v>0.461538461538462</v>
      </c>
      <c r="F11" s="30" t="s">
        <v>565</v>
      </c>
      <c r="G11" s="30" t="s">
        <v>567</v>
      </c>
    </row>
    <row r="12" customFormat="false" ht="15" hidden="false" customHeight="false" outlineLevel="0" collapsed="false">
      <c r="B12" s="36" t="s">
        <v>38</v>
      </c>
      <c r="C12" s="36" t="n">
        <f aca="false">SUM(C7:C11)</f>
        <v>13</v>
      </c>
      <c r="D12" s="37" t="n">
        <f aca="false">SUM(D7:D11)</f>
        <v>0</v>
      </c>
    </row>
    <row r="15" customFormat="false" ht="15" hidden="false" customHeight="false" outlineLevel="0" collapsed="false">
      <c r="B15" s="38" t="s">
        <v>568</v>
      </c>
    </row>
    <row r="16" customFormat="false" ht="15" hidden="false" customHeight="false" outlineLevel="0" collapsed="false">
      <c r="B16" s="27" t="s">
        <v>569</v>
      </c>
      <c r="C16" s="27" t="s">
        <v>553</v>
      </c>
      <c r="D16" s="27" t="s">
        <v>570</v>
      </c>
      <c r="E16" s="27" t="s">
        <v>571</v>
      </c>
    </row>
    <row r="17" customFormat="false" ht="15" hidden="false" customHeight="false" outlineLevel="0" collapsed="false">
      <c r="B17" s="30" t="s">
        <v>565</v>
      </c>
      <c r="C17" s="33" t="n">
        <v>8</v>
      </c>
      <c r="D17" s="34" t="n">
        <v>0</v>
      </c>
      <c r="E17" s="30" t="s">
        <v>572</v>
      </c>
    </row>
    <row r="18" customFormat="false" ht="15" hidden="false" customHeight="false" outlineLevel="0" collapsed="false">
      <c r="B18" s="30" t="s">
        <v>558</v>
      </c>
      <c r="C18" s="33" t="n">
        <v>3</v>
      </c>
      <c r="D18" s="34" t="n">
        <v>0</v>
      </c>
      <c r="E18" s="30" t="s">
        <v>572</v>
      </c>
    </row>
    <row r="19" customFormat="false" ht="15" hidden="false" customHeight="false" outlineLevel="0" collapsed="false">
      <c r="B19" s="30" t="s">
        <v>562</v>
      </c>
      <c r="C19" s="33" t="n">
        <v>2</v>
      </c>
      <c r="D19" s="34" t="n">
        <v>0</v>
      </c>
      <c r="E19" s="30" t="s">
        <v>572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573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574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8" t="s">
        <v>575</v>
      </c>
    </row>
    <row r="6" customFormat="false" ht="15" hidden="false" customHeight="false" outlineLevel="0" collapsed="false">
      <c r="B6" s="27" t="s">
        <v>576</v>
      </c>
      <c r="C6" s="27" t="s">
        <v>577</v>
      </c>
      <c r="D6" s="27" t="s">
        <v>578</v>
      </c>
      <c r="E6" s="27" t="s">
        <v>328</v>
      </c>
      <c r="F6" s="27" t="s">
        <v>579</v>
      </c>
    </row>
    <row r="7" customFormat="false" ht="15" hidden="false" customHeight="false" outlineLevel="0" collapsed="false">
      <c r="B7" s="30" t="s">
        <v>580</v>
      </c>
      <c r="C7" s="40" t="n">
        <v>0</v>
      </c>
      <c r="D7" s="33" t="s">
        <v>581</v>
      </c>
      <c r="E7" s="30" t="s">
        <v>582</v>
      </c>
      <c r="F7" s="30" t="s">
        <v>583</v>
      </c>
    </row>
    <row r="8" customFormat="false" ht="15" hidden="false" customHeight="false" outlineLevel="0" collapsed="false">
      <c r="B8" s="30" t="s">
        <v>584</v>
      </c>
      <c r="C8" s="33" t="s">
        <v>585</v>
      </c>
      <c r="D8" s="33" t="s">
        <v>586</v>
      </c>
      <c r="E8" s="30" t="s">
        <v>582</v>
      </c>
      <c r="F8" s="30" t="s">
        <v>587</v>
      </c>
    </row>
    <row r="9" customFormat="false" ht="15" hidden="false" customHeight="false" outlineLevel="0" collapsed="false">
      <c r="B9" s="30" t="s">
        <v>588</v>
      </c>
      <c r="C9" s="33" t="s">
        <v>589</v>
      </c>
      <c r="D9" s="33" t="s">
        <v>590</v>
      </c>
      <c r="E9" s="30" t="s">
        <v>591</v>
      </c>
      <c r="F9" s="30" t="s">
        <v>592</v>
      </c>
    </row>
    <row r="10" customFormat="false" ht="15" hidden="false" customHeight="false" outlineLevel="0" collapsed="false">
      <c r="B10" s="30" t="s">
        <v>593</v>
      </c>
      <c r="C10" s="40" t="n">
        <v>7</v>
      </c>
      <c r="D10" s="33" t="s">
        <v>594</v>
      </c>
      <c r="E10" s="41" t="s">
        <v>595</v>
      </c>
      <c r="F10" s="30" t="s">
        <v>596</v>
      </c>
    </row>
    <row r="11" customFormat="false" ht="15" hidden="false" customHeight="false" outlineLevel="0" collapsed="false">
      <c r="B11" s="30" t="s">
        <v>597</v>
      </c>
      <c r="C11" s="40" t="n">
        <v>0</v>
      </c>
      <c r="D11" s="33" t="s">
        <v>598</v>
      </c>
      <c r="E11" s="42" t="s">
        <v>599</v>
      </c>
      <c r="F11" s="30" t="s">
        <v>600</v>
      </c>
    </row>
    <row r="12" customFormat="false" ht="15" hidden="false" customHeight="false" outlineLevel="0" collapsed="false">
      <c r="B12" s="30" t="s">
        <v>601</v>
      </c>
      <c r="C12" s="40" t="n">
        <v>3</v>
      </c>
      <c r="D12" s="33" t="s">
        <v>598</v>
      </c>
      <c r="E12" s="42" t="s">
        <v>599</v>
      </c>
      <c r="F12" s="30" t="s">
        <v>602</v>
      </c>
    </row>
    <row r="13" customFormat="false" ht="15" hidden="false" customHeight="false" outlineLevel="0" collapsed="false">
      <c r="B13" s="30" t="s">
        <v>603</v>
      </c>
      <c r="C13" s="40" t="n">
        <v>0</v>
      </c>
      <c r="D13" s="33" t="s">
        <v>604</v>
      </c>
      <c r="E13" s="42" t="s">
        <v>599</v>
      </c>
      <c r="F13" s="30" t="s">
        <v>605</v>
      </c>
    </row>
    <row r="14" customFormat="false" ht="15" hidden="false" customHeight="false" outlineLevel="0" collapsed="false">
      <c r="B14" s="30" t="s">
        <v>606</v>
      </c>
      <c r="C14" s="40" t="n">
        <v>0</v>
      </c>
      <c r="D14" s="33" t="s">
        <v>607</v>
      </c>
      <c r="E14" s="42" t="s">
        <v>599</v>
      </c>
      <c r="F14" s="30" t="s">
        <v>608</v>
      </c>
    </row>
    <row r="15" customFormat="false" ht="15" hidden="false" customHeight="false" outlineLevel="0" collapsed="false">
      <c r="B15" s="30" t="s">
        <v>609</v>
      </c>
      <c r="C15" s="40" t="n">
        <v>0</v>
      </c>
      <c r="D15" s="33" t="s">
        <v>610</v>
      </c>
      <c r="E15" s="30" t="s">
        <v>572</v>
      </c>
      <c r="F15" s="30" t="s">
        <v>611</v>
      </c>
    </row>
    <row r="18" customFormat="false" ht="15" hidden="false" customHeight="false" outlineLevel="0" collapsed="false">
      <c r="B18" s="38" t="s">
        <v>612</v>
      </c>
    </row>
    <row r="19" customFormat="false" ht="15" hidden="false" customHeight="false" outlineLevel="0" collapsed="false">
      <c r="B19" s="27" t="s">
        <v>613</v>
      </c>
      <c r="C19" s="27" t="s">
        <v>614</v>
      </c>
      <c r="D19" s="27" t="s">
        <v>358</v>
      </c>
      <c r="E19" s="27" t="s">
        <v>615</v>
      </c>
      <c r="F19" s="27" t="s">
        <v>616</v>
      </c>
    </row>
    <row r="20" customFormat="false" ht="15" hidden="false" customHeight="false" outlineLevel="0" collapsed="false">
      <c r="B20" s="30" t="s">
        <v>617</v>
      </c>
      <c r="C20" s="43" t="n">
        <f aca="false">'Benchmark KPIs'!D55</f>
        <v>0.146791279110616</v>
      </c>
      <c r="D20" s="33" t="s">
        <v>30</v>
      </c>
      <c r="E20" s="30" t="s">
        <v>618</v>
      </c>
      <c r="F20" s="30" t="s">
        <v>619</v>
      </c>
    </row>
    <row r="21" customFormat="false" ht="15" hidden="false" customHeight="false" outlineLevel="0" collapsed="false">
      <c r="B21" s="30" t="s">
        <v>620</v>
      </c>
      <c r="C21" s="44" t="n">
        <f aca="false">'Benchmark KPIs'!D21</f>
        <v>1288901.21</v>
      </c>
      <c r="D21" s="33" t="s">
        <v>30</v>
      </c>
      <c r="E21" s="30" t="s">
        <v>618</v>
      </c>
      <c r="F21" s="30" t="s">
        <v>621</v>
      </c>
    </row>
    <row r="22" customFormat="false" ht="15" hidden="false" customHeight="false" outlineLevel="0" collapsed="false">
      <c r="B22" s="30" t="s">
        <v>622</v>
      </c>
      <c r="C22" s="43" t="n">
        <f aca="false">'Benchmark KPIs'!D20</f>
        <v>0.392564537895402</v>
      </c>
      <c r="D22" s="33" t="s">
        <v>30</v>
      </c>
      <c r="E22" s="30" t="s">
        <v>618</v>
      </c>
      <c r="F22" s="30" t="s">
        <v>623</v>
      </c>
    </row>
    <row r="23" customFormat="false" ht="15" hidden="false" customHeight="false" outlineLevel="0" collapsed="false">
      <c r="B23" s="30" t="s">
        <v>624</v>
      </c>
      <c r="C23" s="33" t="n">
        <v>24</v>
      </c>
      <c r="D23" s="33" t="s">
        <v>625</v>
      </c>
      <c r="E23" s="30" t="s">
        <v>626</v>
      </c>
      <c r="F23" s="30" t="s">
        <v>627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628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629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630</v>
      </c>
      <c r="C5" s="27" t="s">
        <v>631</v>
      </c>
      <c r="D5" s="27" t="s">
        <v>632</v>
      </c>
      <c r="E5" s="27" t="s">
        <v>41</v>
      </c>
      <c r="F5" s="27" t="s">
        <v>633</v>
      </c>
      <c r="G5" s="27" t="s">
        <v>634</v>
      </c>
      <c r="H5" s="27" t="s">
        <v>358</v>
      </c>
      <c r="I5" s="27" t="s">
        <v>635</v>
      </c>
      <c r="J5" s="27" t="s">
        <v>636</v>
      </c>
    </row>
    <row r="6" customFormat="false" ht="15" hidden="false" customHeight="false" outlineLevel="0" collapsed="false">
      <c r="B6" s="33" t="n">
        <v>1</v>
      </c>
      <c r="C6" s="30" t="s">
        <v>361</v>
      </c>
      <c r="D6" s="30" t="s">
        <v>360</v>
      </c>
      <c r="E6" s="33" t="str">
        <f aca="false">'Benchmark KPIs'!D6</f>
        <v>2001</v>
      </c>
      <c r="F6" s="33" t="s">
        <v>637</v>
      </c>
      <c r="G6" s="30" t="s">
        <v>354</v>
      </c>
      <c r="H6" s="29" t="s">
        <v>364</v>
      </c>
      <c r="I6" s="30" t="s">
        <v>638</v>
      </c>
      <c r="J6" s="30" t="s">
        <v>639</v>
      </c>
    </row>
    <row r="7" customFormat="false" ht="23.85" hidden="false" customHeight="false" outlineLevel="0" collapsed="false">
      <c r="B7" s="33" t="n">
        <v>2</v>
      </c>
      <c r="C7" s="30" t="s">
        <v>367</v>
      </c>
      <c r="D7" s="30" t="s">
        <v>366</v>
      </c>
      <c r="E7" s="33" t="str">
        <f aca="false">'Benchmark KPIs'!D7</f>
        <v>SRM 230 Broadway Apartments</v>
      </c>
      <c r="F7" s="33" t="s">
        <v>640</v>
      </c>
      <c r="G7" s="30" t="s">
        <v>354</v>
      </c>
      <c r="H7" s="29" t="s">
        <v>364</v>
      </c>
      <c r="I7" s="30" t="s">
        <v>641</v>
      </c>
      <c r="J7" s="30" t="s">
        <v>639</v>
      </c>
    </row>
    <row r="8" customFormat="false" ht="15" hidden="false" customHeight="false" outlineLevel="0" collapsed="false">
      <c r="B8" s="33" t="n">
        <v>3</v>
      </c>
      <c r="C8" s="30" t="s">
        <v>368</v>
      </c>
      <c r="D8" s="30" t="s">
        <v>7</v>
      </c>
      <c r="E8" s="33" t="str">
        <f aca="false">'Benchmark KPIs'!D8</f>
        <v>SRM Development</v>
      </c>
      <c r="F8" s="33" t="s">
        <v>640</v>
      </c>
      <c r="G8" s="30" t="s">
        <v>354</v>
      </c>
      <c r="H8" s="29" t="s">
        <v>364</v>
      </c>
      <c r="I8" s="30" t="s">
        <v>641</v>
      </c>
      <c r="J8" s="30" t="s">
        <v>639</v>
      </c>
    </row>
    <row r="9" customFormat="false" ht="23.85" hidden="false" customHeight="false" outlineLevel="0" collapsed="false">
      <c r="B9" s="33" t="n">
        <v>4</v>
      </c>
      <c r="C9" s="30" t="s">
        <v>369</v>
      </c>
      <c r="D9" s="30" t="s">
        <v>9</v>
      </c>
      <c r="E9" s="33" t="str">
        <f aca="false">'Benchmark KPIs'!D9</f>
        <v>230 Broadway, Seattle, WA 98102</v>
      </c>
      <c r="F9" s="33" t="s">
        <v>640</v>
      </c>
      <c r="G9" s="30" t="s">
        <v>354</v>
      </c>
      <c r="H9" s="29" t="s">
        <v>364</v>
      </c>
      <c r="I9" s="30" t="s">
        <v>642</v>
      </c>
      <c r="J9" s="30" t="s">
        <v>639</v>
      </c>
    </row>
    <row r="10" customFormat="false" ht="46.25" hidden="false" customHeight="false" outlineLevel="0" collapsed="false">
      <c r="B10" s="33" t="n">
        <v>5</v>
      </c>
      <c r="C10" s="30" t="s">
        <v>371</v>
      </c>
      <c r="D10" s="30" t="s">
        <v>370</v>
      </c>
      <c r="E10" s="33" t="str">
        <f aca="false">'Benchmark KPIs'!D10</f>
        <v>282-unit 7-story multifamily apartments with retail and amenity spaces</v>
      </c>
      <c r="F10" s="33" t="s">
        <v>640</v>
      </c>
      <c r="G10" s="30" t="s">
        <v>354</v>
      </c>
      <c r="H10" s="29" t="s">
        <v>364</v>
      </c>
      <c r="I10" s="30" t="s">
        <v>643</v>
      </c>
      <c r="J10" s="30" t="s">
        <v>639</v>
      </c>
    </row>
    <row r="11" customFormat="false" ht="15" hidden="false" customHeight="false" outlineLevel="0" collapsed="false">
      <c r="B11" s="33" t="n">
        <v>6</v>
      </c>
      <c r="C11" s="30" t="s">
        <v>374</v>
      </c>
      <c r="D11" s="30" t="s">
        <v>373</v>
      </c>
      <c r="E11" s="33" t="n">
        <f aca="false">'Benchmark KPIs'!D11</f>
        <v>18</v>
      </c>
      <c r="F11" s="33" t="s">
        <v>644</v>
      </c>
      <c r="G11" s="30" t="s">
        <v>354</v>
      </c>
      <c r="H11" s="29" t="s">
        <v>364</v>
      </c>
      <c r="I11" s="30" t="s">
        <v>645</v>
      </c>
      <c r="J11" s="30" t="s">
        <v>639</v>
      </c>
    </row>
    <row r="12" customFormat="false" ht="15" hidden="false" customHeight="false" outlineLevel="0" collapsed="false">
      <c r="B12" s="33" t="n">
        <v>7</v>
      </c>
      <c r="C12" s="30" t="s">
        <v>376</v>
      </c>
      <c r="D12" s="30" t="s">
        <v>375</v>
      </c>
      <c r="E12" s="44" t="n">
        <f aca="false">'Benchmark KPIs'!D12</f>
        <v>282</v>
      </c>
      <c r="F12" s="33" t="s">
        <v>266</v>
      </c>
      <c r="G12" s="30" t="s">
        <v>354</v>
      </c>
      <c r="H12" s="29" t="s">
        <v>364</v>
      </c>
      <c r="I12" s="30" t="s">
        <v>646</v>
      </c>
      <c r="J12" s="30" t="s">
        <v>639</v>
      </c>
    </row>
    <row r="13" customFormat="false" ht="15" hidden="false" customHeight="false" outlineLevel="0" collapsed="false">
      <c r="B13" s="33" t="n">
        <v>8</v>
      </c>
      <c r="C13" s="30" t="s">
        <v>377</v>
      </c>
      <c r="D13" s="30" t="s">
        <v>58</v>
      </c>
      <c r="E13" s="44" t="n">
        <f aca="false">'Benchmark KPIs'!D13</f>
        <v>1315</v>
      </c>
      <c r="F13" s="33" t="s">
        <v>647</v>
      </c>
      <c r="G13" s="30" t="s">
        <v>354</v>
      </c>
      <c r="H13" s="29" t="s">
        <v>364</v>
      </c>
      <c r="I13" s="30" t="s">
        <v>648</v>
      </c>
      <c r="J13" s="30" t="s">
        <v>639</v>
      </c>
    </row>
    <row r="14" customFormat="false" ht="15" hidden="false" customHeight="false" outlineLevel="0" collapsed="false">
      <c r="B14" s="33" t="n">
        <v>9</v>
      </c>
      <c r="C14" s="30" t="s">
        <v>381</v>
      </c>
      <c r="D14" s="30" t="s">
        <v>649</v>
      </c>
      <c r="E14" s="44" t="n">
        <f aca="false">'Benchmark KPIs'!D15</f>
        <v>1850270</v>
      </c>
      <c r="F14" s="33" t="s">
        <v>650</v>
      </c>
      <c r="G14" s="30" t="s">
        <v>354</v>
      </c>
      <c r="H14" s="29" t="s">
        <v>364</v>
      </c>
      <c r="I14" s="30" t="s">
        <v>651</v>
      </c>
      <c r="J14" s="30" t="s">
        <v>639</v>
      </c>
    </row>
    <row r="15" customFormat="false" ht="15" hidden="false" customHeight="false" outlineLevel="0" collapsed="false">
      <c r="B15" s="33" t="n">
        <v>10</v>
      </c>
      <c r="C15" s="30" t="s">
        <v>384</v>
      </c>
      <c r="D15" s="30" t="s">
        <v>652</v>
      </c>
      <c r="E15" s="44" t="n">
        <f aca="false">'Benchmark KPIs'!D16</f>
        <v>2121873.5</v>
      </c>
      <c r="F15" s="33" t="s">
        <v>650</v>
      </c>
      <c r="G15" s="30" t="s">
        <v>354</v>
      </c>
      <c r="H15" s="29" t="s">
        <v>364</v>
      </c>
      <c r="I15" s="30" t="s">
        <v>653</v>
      </c>
      <c r="J15" s="30" t="s">
        <v>639</v>
      </c>
    </row>
    <row r="16" customFormat="false" ht="15" hidden="false" customHeight="false" outlineLevel="0" collapsed="false">
      <c r="B16" s="33" t="n">
        <v>11</v>
      </c>
      <c r="C16" s="30" t="s">
        <v>387</v>
      </c>
      <c r="D16" s="30" t="s">
        <v>386</v>
      </c>
      <c r="E16" s="44" t="n">
        <f aca="false">'Benchmark KPIs'!D17</f>
        <v>271603.5</v>
      </c>
      <c r="F16" s="33" t="s">
        <v>650</v>
      </c>
      <c r="G16" s="30" t="s">
        <v>354</v>
      </c>
      <c r="H16" s="29" t="s">
        <v>364</v>
      </c>
      <c r="I16" s="30" t="s">
        <v>654</v>
      </c>
      <c r="J16" s="30" t="s">
        <v>639</v>
      </c>
    </row>
    <row r="17" customFormat="false" ht="15" hidden="false" customHeight="false" outlineLevel="0" collapsed="false">
      <c r="B17" s="33" t="n">
        <v>12</v>
      </c>
      <c r="C17" s="30" t="s">
        <v>389</v>
      </c>
      <c r="D17" s="30" t="s">
        <v>388</v>
      </c>
      <c r="E17" s="44" t="n">
        <f aca="false">'Benchmark KPIs'!D18</f>
        <v>2121873.5</v>
      </c>
      <c r="F17" s="33" t="s">
        <v>650</v>
      </c>
      <c r="G17" s="30" t="s">
        <v>354</v>
      </c>
      <c r="H17" s="29" t="s">
        <v>364</v>
      </c>
      <c r="I17" s="30" t="s">
        <v>655</v>
      </c>
      <c r="J17" s="30" t="s">
        <v>639</v>
      </c>
    </row>
    <row r="18" customFormat="false" ht="15" hidden="false" customHeight="false" outlineLevel="0" collapsed="false">
      <c r="B18" s="33" t="n">
        <v>13</v>
      </c>
      <c r="C18" s="30" t="s">
        <v>391</v>
      </c>
      <c r="D18" s="30" t="s">
        <v>390</v>
      </c>
      <c r="E18" s="44" t="n">
        <f aca="false">'Benchmark KPIs'!D19</f>
        <v>832972.29</v>
      </c>
      <c r="F18" s="33" t="s">
        <v>650</v>
      </c>
      <c r="G18" s="30" t="s">
        <v>354</v>
      </c>
      <c r="H18" s="29" t="s">
        <v>364</v>
      </c>
      <c r="I18" s="30" t="s">
        <v>656</v>
      </c>
      <c r="J18" s="30" t="s">
        <v>639</v>
      </c>
    </row>
    <row r="19" customFormat="false" ht="15" hidden="false" customHeight="false" outlineLevel="0" collapsed="false">
      <c r="B19" s="33" t="n">
        <v>14</v>
      </c>
      <c r="C19" s="30" t="s">
        <v>393</v>
      </c>
      <c r="D19" s="30" t="s">
        <v>657</v>
      </c>
      <c r="E19" s="43" t="n">
        <f aca="false">'Benchmark KPIs'!D20</f>
        <v>0.392564537895402</v>
      </c>
      <c r="F19" s="33" t="s">
        <v>658</v>
      </c>
      <c r="G19" s="30" t="s">
        <v>354</v>
      </c>
      <c r="H19" s="29" t="s">
        <v>364</v>
      </c>
      <c r="I19" s="30" t="s">
        <v>659</v>
      </c>
      <c r="J19" s="30" t="s">
        <v>639</v>
      </c>
    </row>
    <row r="20" customFormat="false" ht="15" hidden="false" customHeight="false" outlineLevel="0" collapsed="false">
      <c r="B20" s="33" t="n">
        <v>15</v>
      </c>
      <c r="C20" s="30" t="s">
        <v>394</v>
      </c>
      <c r="D20" s="30" t="s">
        <v>141</v>
      </c>
      <c r="E20" s="44" t="n">
        <f aca="false">'Benchmark KPIs'!D21</f>
        <v>1288901.21</v>
      </c>
      <c r="F20" s="33" t="s">
        <v>650</v>
      </c>
      <c r="G20" s="30" t="s">
        <v>354</v>
      </c>
      <c r="H20" s="29" t="s">
        <v>364</v>
      </c>
      <c r="I20" s="30" t="s">
        <v>660</v>
      </c>
      <c r="J20" s="30" t="s">
        <v>639</v>
      </c>
    </row>
    <row r="21" customFormat="false" ht="15" hidden="false" customHeight="false" outlineLevel="0" collapsed="false">
      <c r="B21" s="33" t="n">
        <v>16</v>
      </c>
      <c r="C21" s="30" t="s">
        <v>396</v>
      </c>
      <c r="D21" s="30" t="s">
        <v>395</v>
      </c>
      <c r="E21" s="44" t="n">
        <f aca="false">'Benchmark KPIs'!D22</f>
        <v>425500.68</v>
      </c>
      <c r="F21" s="33" t="s">
        <v>650</v>
      </c>
      <c r="G21" s="30" t="s">
        <v>354</v>
      </c>
      <c r="H21" s="29" t="s">
        <v>364</v>
      </c>
      <c r="I21" s="30" t="s">
        <v>661</v>
      </c>
      <c r="J21" s="30" t="s">
        <v>639</v>
      </c>
    </row>
    <row r="22" customFormat="false" ht="15" hidden="false" customHeight="false" outlineLevel="0" collapsed="false">
      <c r="B22" s="33" t="n">
        <v>17</v>
      </c>
      <c r="C22" s="30" t="s">
        <v>399</v>
      </c>
      <c r="D22" s="30" t="s">
        <v>398</v>
      </c>
      <c r="E22" s="44" t="n">
        <f aca="false">'Benchmark KPIs'!D23</f>
        <v>637990.88</v>
      </c>
      <c r="F22" s="33" t="s">
        <v>650</v>
      </c>
      <c r="G22" s="30" t="s">
        <v>354</v>
      </c>
      <c r="H22" s="29" t="s">
        <v>364</v>
      </c>
      <c r="I22" s="30" t="s">
        <v>662</v>
      </c>
      <c r="J22" s="30" t="s">
        <v>639</v>
      </c>
    </row>
    <row r="23" customFormat="false" ht="15" hidden="false" customHeight="false" outlineLevel="0" collapsed="false">
      <c r="B23" s="33" t="n">
        <v>18</v>
      </c>
      <c r="C23" s="30" t="s">
        <v>402</v>
      </c>
      <c r="D23" s="30" t="s">
        <v>401</v>
      </c>
      <c r="E23" s="44" t="n">
        <f aca="false">'Benchmark KPIs'!D24</f>
        <v>7343.82</v>
      </c>
      <c r="F23" s="33" t="s">
        <v>650</v>
      </c>
      <c r="G23" s="30" t="s">
        <v>354</v>
      </c>
      <c r="H23" s="29" t="s">
        <v>364</v>
      </c>
      <c r="I23" s="30" t="s">
        <v>663</v>
      </c>
      <c r="J23" s="30" t="s">
        <v>639</v>
      </c>
    </row>
    <row r="24" customFormat="false" ht="15" hidden="false" customHeight="false" outlineLevel="0" collapsed="false">
      <c r="B24" s="33" t="n">
        <v>19</v>
      </c>
      <c r="C24" s="30" t="s">
        <v>405</v>
      </c>
      <c r="D24" s="30" t="s">
        <v>404</v>
      </c>
      <c r="E24" s="44" t="n">
        <f aca="false">'Benchmark KPIs'!D25</f>
        <v>218065.83</v>
      </c>
      <c r="F24" s="33" t="s">
        <v>650</v>
      </c>
      <c r="G24" s="30" t="s">
        <v>354</v>
      </c>
      <c r="H24" s="29" t="s">
        <v>364</v>
      </c>
      <c r="I24" s="30" t="s">
        <v>664</v>
      </c>
      <c r="J24" s="30" t="s">
        <v>639</v>
      </c>
    </row>
    <row r="25" customFormat="false" ht="15" hidden="false" customHeight="false" outlineLevel="0" collapsed="false">
      <c r="B25" s="33" t="n">
        <v>20</v>
      </c>
      <c r="C25" s="30" t="s">
        <v>407</v>
      </c>
      <c r="D25" s="30" t="s">
        <v>329</v>
      </c>
      <c r="E25" s="44" t="n">
        <f aca="false">'Benchmark KPIs'!D26</f>
        <v>96889.2</v>
      </c>
      <c r="F25" s="33" t="s">
        <v>650</v>
      </c>
      <c r="G25" s="30" t="s">
        <v>354</v>
      </c>
      <c r="H25" s="29" t="s">
        <v>364</v>
      </c>
      <c r="I25" s="30" t="s">
        <v>665</v>
      </c>
      <c r="J25" s="30" t="s">
        <v>639</v>
      </c>
    </row>
    <row r="26" customFormat="false" ht="15" hidden="false" customHeight="false" outlineLevel="0" collapsed="false">
      <c r="B26" s="33" t="n">
        <v>21</v>
      </c>
      <c r="C26" s="30" t="s">
        <v>430</v>
      </c>
      <c r="D26" s="30" t="s">
        <v>429</v>
      </c>
      <c r="E26" s="44" t="n">
        <f aca="false">'Benchmark KPIs'!D37</f>
        <v>20279.5</v>
      </c>
      <c r="F26" s="33" t="s">
        <v>666</v>
      </c>
      <c r="G26" s="30" t="s">
        <v>354</v>
      </c>
      <c r="H26" s="29" t="s">
        <v>364</v>
      </c>
      <c r="I26" s="30" t="s">
        <v>667</v>
      </c>
      <c r="J26" s="30" t="s">
        <v>639</v>
      </c>
    </row>
    <row r="27" customFormat="false" ht="15" hidden="false" customHeight="false" outlineLevel="0" collapsed="false">
      <c r="B27" s="33" t="n">
        <v>22</v>
      </c>
      <c r="C27" s="30" t="s">
        <v>433</v>
      </c>
      <c r="D27" s="30" t="s">
        <v>432</v>
      </c>
      <c r="E27" s="33" t="n">
        <f aca="false">'Benchmark KPIs'!D38</f>
        <v>27</v>
      </c>
      <c r="F27" s="33" t="s">
        <v>647</v>
      </c>
      <c r="G27" s="30" t="s">
        <v>354</v>
      </c>
      <c r="H27" s="29" t="s">
        <v>364</v>
      </c>
      <c r="I27" s="30" t="s">
        <v>668</v>
      </c>
      <c r="J27" s="30" t="s">
        <v>639</v>
      </c>
    </row>
    <row r="28" customFormat="false" ht="15" hidden="false" customHeight="false" outlineLevel="0" collapsed="false">
      <c r="B28" s="33" t="n">
        <v>23</v>
      </c>
      <c r="C28" s="30" t="s">
        <v>435</v>
      </c>
      <c r="D28" s="30" t="s">
        <v>223</v>
      </c>
      <c r="E28" s="45" t="n">
        <f aca="false">'Benchmark KPIs'!D39</f>
        <v>23.1966266426687</v>
      </c>
      <c r="F28" s="33" t="s">
        <v>669</v>
      </c>
      <c r="G28" s="30" t="s">
        <v>354</v>
      </c>
      <c r="H28" s="29" t="s">
        <v>364</v>
      </c>
      <c r="I28" s="30" t="s">
        <v>670</v>
      </c>
      <c r="J28" s="30" t="s">
        <v>639</v>
      </c>
    </row>
    <row r="29" customFormat="false" ht="15" hidden="false" customHeight="false" outlineLevel="0" collapsed="false">
      <c r="B29" s="33" t="n">
        <v>24</v>
      </c>
      <c r="C29" s="30" t="s">
        <v>462</v>
      </c>
      <c r="D29" s="30" t="s">
        <v>461</v>
      </c>
      <c r="E29" s="33" t="n">
        <f aca="false">'Benchmark KPIs'!D51</f>
        <v>16</v>
      </c>
      <c r="F29" s="33" t="s">
        <v>647</v>
      </c>
      <c r="G29" s="30" t="s">
        <v>354</v>
      </c>
      <c r="H29" s="29" t="s">
        <v>364</v>
      </c>
      <c r="I29" s="30" t="s">
        <v>671</v>
      </c>
      <c r="J29" s="30" t="s">
        <v>639</v>
      </c>
    </row>
    <row r="30" customFormat="false" ht="15" hidden="false" customHeight="false" outlineLevel="0" collapsed="false">
      <c r="B30" s="33" t="n">
        <v>25</v>
      </c>
      <c r="C30" s="30" t="s">
        <v>469</v>
      </c>
      <c r="D30" s="30" t="s">
        <v>468</v>
      </c>
      <c r="E30" s="33" t="n">
        <f aca="false">'Benchmark KPIs'!D54</f>
        <v>0</v>
      </c>
      <c r="F30" s="33" t="s">
        <v>647</v>
      </c>
      <c r="G30" s="30" t="s">
        <v>354</v>
      </c>
      <c r="H30" s="29" t="s">
        <v>364</v>
      </c>
      <c r="I30" s="30" t="s">
        <v>672</v>
      </c>
      <c r="J30" s="30" t="s">
        <v>639</v>
      </c>
    </row>
    <row r="31" customFormat="false" ht="15" hidden="false" customHeight="false" outlineLevel="0" collapsed="false">
      <c r="B31" s="33" t="n">
        <v>26</v>
      </c>
      <c r="C31" s="30" t="s">
        <v>472</v>
      </c>
      <c r="D31" s="30" t="s">
        <v>673</v>
      </c>
      <c r="E31" s="43" t="n">
        <f aca="false">'Benchmark KPIs'!D55</f>
        <v>0.146791279110616</v>
      </c>
      <c r="F31" s="33" t="s">
        <v>658</v>
      </c>
      <c r="G31" s="30" t="s">
        <v>354</v>
      </c>
      <c r="H31" s="29" t="s">
        <v>364</v>
      </c>
      <c r="I31" s="30" t="s">
        <v>659</v>
      </c>
      <c r="J31" s="30" t="s">
        <v>639</v>
      </c>
    </row>
    <row r="32" customFormat="false" ht="15" hidden="false" customHeight="false" outlineLevel="0" collapsed="false">
      <c r="B32" s="33" t="n">
        <v>27</v>
      </c>
      <c r="C32" s="30" t="s">
        <v>674</v>
      </c>
      <c r="D32" s="30" t="s">
        <v>675</v>
      </c>
      <c r="E32" s="33" t="n">
        <v>0</v>
      </c>
      <c r="F32" s="33" t="s">
        <v>647</v>
      </c>
      <c r="G32" s="30" t="s">
        <v>676</v>
      </c>
      <c r="H32" s="46" t="s">
        <v>677</v>
      </c>
      <c r="I32" s="30" t="s">
        <v>678</v>
      </c>
      <c r="J32" s="30" t="s">
        <v>679</v>
      </c>
    </row>
    <row r="33" customFormat="false" ht="15" hidden="false" customHeight="false" outlineLevel="0" collapsed="false">
      <c r="B33" s="33" t="n">
        <v>28</v>
      </c>
      <c r="C33" s="30" t="s">
        <v>680</v>
      </c>
      <c r="D33" s="30" t="s">
        <v>681</v>
      </c>
      <c r="E33" s="33" t="n">
        <v>7</v>
      </c>
      <c r="F33" s="33" t="s">
        <v>647</v>
      </c>
      <c r="G33" s="30" t="s">
        <v>682</v>
      </c>
      <c r="H33" s="29" t="s">
        <v>364</v>
      </c>
      <c r="I33" s="30" t="s">
        <v>683</v>
      </c>
      <c r="J33" s="30" t="s">
        <v>684</v>
      </c>
    </row>
    <row r="34" customFormat="false" ht="15" hidden="false" customHeight="false" outlineLevel="0" collapsed="false">
      <c r="B34" s="33" t="n">
        <v>29</v>
      </c>
      <c r="C34" s="30" t="s">
        <v>685</v>
      </c>
      <c r="D34" s="30" t="s">
        <v>601</v>
      </c>
      <c r="E34" s="33" t="n">
        <v>3</v>
      </c>
      <c r="F34" s="33" t="s">
        <v>647</v>
      </c>
      <c r="G34" s="30" t="s">
        <v>682</v>
      </c>
      <c r="H34" s="29" t="s">
        <v>364</v>
      </c>
      <c r="I34" s="30" t="s">
        <v>686</v>
      </c>
      <c r="J34" s="30" t="s">
        <v>684</v>
      </c>
    </row>
    <row r="35" customFormat="false" ht="15" hidden="false" customHeight="false" outlineLevel="0" collapsed="false">
      <c r="B35" s="33" t="n">
        <v>30</v>
      </c>
      <c r="C35" s="30" t="s">
        <v>687</v>
      </c>
      <c r="D35" s="30" t="s">
        <v>597</v>
      </c>
      <c r="E35" s="33" t="n">
        <v>0</v>
      </c>
      <c r="F35" s="33" t="s">
        <v>647</v>
      </c>
      <c r="G35" s="30" t="s">
        <v>682</v>
      </c>
      <c r="H35" s="29" t="s">
        <v>364</v>
      </c>
      <c r="I35" s="30" t="s">
        <v>688</v>
      </c>
      <c r="J35" s="30" t="s">
        <v>684</v>
      </c>
    </row>
    <row r="36" customFormat="false" ht="15" hidden="false" customHeight="false" outlineLevel="0" collapsed="false">
      <c r="B36" s="33" t="n">
        <v>31</v>
      </c>
      <c r="C36" s="30" t="s">
        <v>689</v>
      </c>
      <c r="D36" s="30" t="s">
        <v>603</v>
      </c>
      <c r="E36" s="33" t="n">
        <v>0</v>
      </c>
      <c r="F36" s="33" t="s">
        <v>647</v>
      </c>
      <c r="G36" s="30" t="s">
        <v>682</v>
      </c>
      <c r="H36" s="29" t="s">
        <v>364</v>
      </c>
      <c r="I36" s="30" t="s">
        <v>690</v>
      </c>
      <c r="J36" s="30" t="s">
        <v>684</v>
      </c>
    </row>
    <row r="37" customFormat="false" ht="15" hidden="false" customHeight="false" outlineLevel="0" collapsed="false">
      <c r="B37" s="33" t="n">
        <v>32</v>
      </c>
      <c r="C37" s="30" t="s">
        <v>691</v>
      </c>
      <c r="D37" s="30" t="s">
        <v>692</v>
      </c>
      <c r="E37" s="33" t="n">
        <v>0</v>
      </c>
      <c r="F37" s="33" t="s">
        <v>647</v>
      </c>
      <c r="G37" s="30" t="s">
        <v>676</v>
      </c>
      <c r="H37" s="29" t="s">
        <v>364</v>
      </c>
      <c r="I37" s="30" t="s">
        <v>693</v>
      </c>
      <c r="J37" s="30" t="s">
        <v>679</v>
      </c>
    </row>
    <row r="38" customFormat="false" ht="15" hidden="false" customHeight="false" outlineLevel="0" collapsed="false">
      <c r="B38" s="33" t="n">
        <v>33</v>
      </c>
      <c r="C38" s="30" t="s">
        <v>694</v>
      </c>
      <c r="D38" s="30" t="s">
        <v>695</v>
      </c>
      <c r="E38" s="33" t="n">
        <v>13</v>
      </c>
      <c r="F38" s="33" t="s">
        <v>647</v>
      </c>
      <c r="G38" s="30" t="s">
        <v>682</v>
      </c>
      <c r="H38" s="29" t="s">
        <v>364</v>
      </c>
      <c r="I38" s="30" t="s">
        <v>696</v>
      </c>
      <c r="J38" s="30" t="s">
        <v>684</v>
      </c>
    </row>
    <row r="39" customFormat="false" ht="15" hidden="false" customHeight="false" outlineLevel="0" collapsed="false">
      <c r="B39" s="33" t="n">
        <v>34</v>
      </c>
      <c r="C39" s="30" t="s">
        <v>697</v>
      </c>
      <c r="D39" s="30" t="s">
        <v>698</v>
      </c>
      <c r="E39" s="34" t="n">
        <f aca="false">'Change Log'!H20</f>
        <v>0</v>
      </c>
      <c r="F39" s="33" t="s">
        <v>650</v>
      </c>
      <c r="G39" s="30" t="s">
        <v>682</v>
      </c>
      <c r="H39" s="29" t="s">
        <v>364</v>
      </c>
      <c r="I39" s="30" t="s">
        <v>699</v>
      </c>
      <c r="J39" s="30" t="s">
        <v>684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700</v>
      </c>
      <c r="C2" s="2"/>
      <c r="D2" s="2"/>
      <c r="E2" s="2"/>
      <c r="F2" s="2"/>
    </row>
    <row r="3" customFormat="false" ht="15" hidden="false" customHeight="false" outlineLevel="0" collapsed="false">
      <c r="B3" s="47" t="s">
        <v>701</v>
      </c>
    </row>
    <row r="4" customFormat="false" ht="15" hidden="false" customHeight="true" outlineLevel="0" collapsed="false">
      <c r="B4" s="10" t="s">
        <v>702</v>
      </c>
      <c r="C4" s="10" t="s">
        <v>703</v>
      </c>
      <c r="D4" s="10" t="s">
        <v>704</v>
      </c>
      <c r="E4" s="10" t="s">
        <v>327</v>
      </c>
      <c r="F4" s="10" t="s">
        <v>328</v>
      </c>
    </row>
    <row r="5" customFormat="false" ht="15" hidden="false" customHeight="true" outlineLevel="0" collapsed="false">
      <c r="B5" s="4" t="s">
        <v>705</v>
      </c>
      <c r="C5" s="4"/>
      <c r="D5" s="4"/>
      <c r="E5" s="4"/>
      <c r="F5" s="4"/>
    </row>
    <row r="6" customFormat="false" ht="15" hidden="false" customHeight="true" outlineLevel="0" collapsed="false">
      <c r="B6" s="5" t="s">
        <v>706</v>
      </c>
      <c r="C6" s="11" t="n">
        <v>425500.68</v>
      </c>
      <c r="D6" s="11" t="n">
        <v>425500.68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707</v>
      </c>
      <c r="C7" s="11" t="n">
        <v>637990.88</v>
      </c>
      <c r="D7" s="11" t="n">
        <v>637990.88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708</v>
      </c>
      <c r="C8" s="11" t="n">
        <v>7343.82</v>
      </c>
      <c r="D8" s="11" t="n">
        <v>7343.82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709</v>
      </c>
      <c r="C9" s="11" t="n">
        <v>218065.83</v>
      </c>
      <c r="D9" s="11" t="n">
        <v>218065.83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710</v>
      </c>
      <c r="C10" s="11" t="n">
        <v>1288901.21</v>
      </c>
      <c r="D10" s="11" t="n">
        <v>1288901.21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711</v>
      </c>
      <c r="C11" s="11" t="n">
        <v>1850270</v>
      </c>
      <c r="D11" s="11" t="n">
        <v>2121873.5</v>
      </c>
      <c r="E11" s="11" t="n">
        <f aca="false">C11-D11</f>
        <v>-271603.5</v>
      </c>
      <c r="F11" s="6" t="str">
        <f aca="false">IF(ABS(E11)&lt;=1,"TIES",IF(ABS(E11)&lt;=ABS(D11)*0.05,"WITHIN","OFF"))</f>
        <v>OFF</v>
      </c>
    </row>
    <row r="12" customFormat="false" ht="15" hidden="false" customHeight="true" outlineLevel="0" collapsed="false">
      <c r="B12" s="5" t="s">
        <v>712</v>
      </c>
      <c r="C12" s="11" t="n">
        <v>561368.79</v>
      </c>
      <c r="D12" s="11" t="n">
        <v>832972.29</v>
      </c>
      <c r="E12" s="11" t="n">
        <f aca="false">C12-D12</f>
        <v>-271603.5</v>
      </c>
      <c r="F12" s="6" t="str">
        <f aca="false">IF(ABS(E12)&lt;=1,"TIES",IF(ABS(E12)&lt;=ABS(D12)*0.05,"WITHIN","OFF"))</f>
        <v>OFF</v>
      </c>
    </row>
    <row r="14" customFormat="false" ht="15" hidden="false" customHeight="true" outlineLevel="0" collapsed="false">
      <c r="B14" s="4" t="s">
        <v>713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714</v>
      </c>
      <c r="C15" s="48" t="n">
        <v>20279.5</v>
      </c>
      <c r="D15" s="48" t="n">
        <v>20279.5</v>
      </c>
      <c r="E15" s="4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715</v>
      </c>
      <c r="C16" s="48" t="n">
        <v>22316</v>
      </c>
      <c r="D16" s="48" t="n">
        <v>20279.5</v>
      </c>
      <c r="E16" s="48" t="n">
        <f aca="false">C16-D16</f>
        <v>2036.5</v>
      </c>
      <c r="F16" s="6" t="str">
        <f aca="false">IF(ABS(E16)&lt;=5,"TIES",IF(ABS(E16)&lt;=ABS(D16)*0.05,"WITHIN","OFF"))</f>
        <v>OFF</v>
      </c>
    </row>
    <row r="18" customFormat="false" ht="15" hidden="false" customHeight="true" outlineLevel="0" collapsed="false">
      <c r="B18" s="4" t="s">
        <v>716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295</v>
      </c>
      <c r="C19" s="11" t="n">
        <v>2121874</v>
      </c>
      <c r="D19" s="11" t="n">
        <v>2121874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329</v>
      </c>
      <c r="C20" s="11" t="n">
        <v>96889</v>
      </c>
      <c r="D20" s="11" t="n">
        <v>96889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141</v>
      </c>
      <c r="C21" s="11" t="n">
        <v>1288901</v>
      </c>
      <c r="D21" s="11" t="n">
        <v>1288901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717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718</v>
      </c>
      <c r="C24" s="11" t="n">
        <v>739308.9</v>
      </c>
      <c r="D24" s="11" t="n">
        <v>739309</v>
      </c>
      <c r="E24" s="11" t="n">
        <f aca="false">C24-D24</f>
        <v>-0.0999999999767169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66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67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68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69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70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71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72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73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74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719</v>
      </c>
      <c r="C37" s="3"/>
      <c r="D37" s="3"/>
      <c r="E37" s="3"/>
      <c r="F37" s="3"/>
    </row>
    <row r="48" customFormat="false" ht="15" hidden="false" customHeight="false" outlineLevel="0" collapsed="false">
      <c r="B48" s="49" t="s">
        <v>720</v>
      </c>
      <c r="C48" s="50"/>
      <c r="D48" s="50"/>
      <c r="E48" s="50"/>
      <c r="F48" s="50"/>
      <c r="G48" s="50"/>
      <c r="H48" s="51"/>
      <c r="I48" s="51"/>
    </row>
    <row r="49" customFormat="false" ht="15" hidden="false" customHeight="false" outlineLevel="0" collapsed="false">
      <c r="B49" s="52" t="s">
        <v>721</v>
      </c>
      <c r="C49" s="52" t="n">
        <v>13</v>
      </c>
      <c r="D49" s="52" t="n">
        <f aca="false">'Root Cause Analysis'!C12</f>
        <v>13</v>
      </c>
      <c r="E49" s="52" t="n">
        <f aca="false">C49-D49</f>
        <v>0</v>
      </c>
      <c r="F49" s="52" t="str">
        <f aca="false">IF(ABS(E49)&lt;=1,"TIES",IF(ABS(E49)&lt;=ABS(D49)*0.05,"WITHIN","OFF"))</f>
        <v>TIES</v>
      </c>
      <c r="G49" s="52" t="s">
        <v>722</v>
      </c>
      <c r="H49" s="51"/>
      <c r="I49" s="51"/>
    </row>
    <row r="50" customFormat="false" ht="15" hidden="false" customHeight="false" outlineLevel="0" collapsed="false">
      <c r="B50" s="52" t="s">
        <v>609</v>
      </c>
      <c r="C50" s="53" t="n">
        <f aca="false">'Change Log'!H20</f>
        <v>0</v>
      </c>
      <c r="D50" s="53" t="n">
        <f aca="false">'Root Cause Analysis'!D12</f>
        <v>0</v>
      </c>
      <c r="E50" s="52" t="n">
        <f aca="false">C50-D50</f>
        <v>0</v>
      </c>
      <c r="F50" s="52" t="str">
        <f aca="false">IF(ABS(E50)&lt;=1,"TIES",IF(ABS(E50)&lt;=ABS(D50)*0.05,"WITHIN","OFF"))</f>
        <v>TIES</v>
      </c>
      <c r="G50" s="52" t="s">
        <v>722</v>
      </c>
      <c r="H50" s="51"/>
      <c r="I50" s="51"/>
    </row>
    <row r="51" customFormat="false" ht="15" hidden="false" customHeight="false" outlineLevel="0" collapsed="false"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B52" s="49" t="s">
        <v>723</v>
      </c>
      <c r="C52" s="50"/>
      <c r="D52" s="50"/>
      <c r="E52" s="50"/>
      <c r="F52" s="50"/>
      <c r="G52" s="50"/>
      <c r="H52" s="51"/>
      <c r="I52" s="51"/>
    </row>
    <row r="53" customFormat="false" ht="15" hidden="false" customHeight="false" outlineLevel="0" collapsed="false">
      <c r="B53" s="52" t="s">
        <v>724</v>
      </c>
      <c r="C53" s="52" t="n">
        <v>0</v>
      </c>
      <c r="D53" s="52" t="n">
        <f aca="false">COUNTIF('Change Log'!C6:C19,"Backcharge")</f>
        <v>0</v>
      </c>
      <c r="E53" s="52" t="n">
        <f aca="false">C53-D53</f>
        <v>0</v>
      </c>
      <c r="F53" s="52" t="str">
        <f aca="false">IF(ABS(E53)&lt;=1,"TIES",IF(ABS(E53)&lt;=ABS(D53)*0.05,"WITHIN","OFF"))</f>
        <v>TIES</v>
      </c>
      <c r="G53" s="52" t="s">
        <v>725</v>
      </c>
      <c r="H53" s="51"/>
      <c r="I53" s="51"/>
    </row>
    <row r="54" customFormat="false" ht="15" hidden="false" customHeight="false" outlineLevel="0" collapsed="false">
      <c r="B54" s="51"/>
      <c r="C54" s="51"/>
      <c r="D54" s="51"/>
      <c r="E54" s="51"/>
      <c r="F54" s="51"/>
      <c r="G54" s="51"/>
      <c r="H54" s="51"/>
      <c r="I54" s="51"/>
    </row>
    <row r="55" customFormat="false" ht="15" hidden="false" customHeight="false" outlineLevel="0" collapsed="false">
      <c r="B55" s="49" t="s">
        <v>726</v>
      </c>
      <c r="C55" s="50"/>
      <c r="D55" s="50"/>
      <c r="E55" s="50"/>
      <c r="F55" s="50"/>
      <c r="G55" s="50"/>
      <c r="H55" s="51"/>
      <c r="I55" s="51"/>
    </row>
    <row r="56" customFormat="false" ht="15" hidden="false" customHeight="false" outlineLevel="0" collapsed="false">
      <c r="B56" s="52" t="s">
        <v>727</v>
      </c>
      <c r="C56" s="54" t="n">
        <f aca="false">'Metric Registry'!E17</f>
        <v>2121873.5</v>
      </c>
      <c r="D56" s="54" t="n">
        <f aca="false">'Benchmark KPIs'!D18</f>
        <v>2121873.5</v>
      </c>
      <c r="E56" s="52" t="n">
        <f aca="false">C56-D56</f>
        <v>0</v>
      </c>
      <c r="F56" s="52" t="str">
        <f aca="false">IF(ABS(E56)&lt;=1,"TIES",IF(ABS(E56)&lt;=ABS(D56)*0.05,"WITHIN","OFF"))</f>
        <v>TIES</v>
      </c>
      <c r="G56" s="52" t="s">
        <v>728</v>
      </c>
      <c r="H56" s="51"/>
      <c r="I56" s="51"/>
    </row>
    <row r="57" customFormat="false" ht="15" hidden="false" customHeight="false" outlineLevel="0" collapsed="false">
      <c r="B57" s="52" t="s">
        <v>729</v>
      </c>
      <c r="C57" s="54" t="n">
        <f aca="false">'Metric Registry'!E12</f>
        <v>282</v>
      </c>
      <c r="D57" s="54" t="n">
        <f aca="false">'Benchmark KPIs'!D12</f>
        <v>282</v>
      </c>
      <c r="E57" s="52" t="n">
        <f aca="false">C57-D57</f>
        <v>0</v>
      </c>
      <c r="F57" s="52" t="str">
        <f aca="false">IF(ABS(E57)&lt;=1,"TIES",IF(ABS(E57)&lt;=ABS(D57)*0.05,"WITHIN","OFF"))</f>
        <v>TIES</v>
      </c>
      <c r="G57" s="52" t="s">
        <v>728</v>
      </c>
      <c r="H57" s="51"/>
      <c r="I57" s="51"/>
    </row>
    <row r="58" customFormat="false" ht="15" hidden="false" customHeight="false" outlineLevel="0" collapsed="false">
      <c r="B58" s="52" t="s">
        <v>730</v>
      </c>
      <c r="C58" s="54" t="n">
        <f aca="false">'Metric Registry'!E13</f>
        <v>1315</v>
      </c>
      <c r="D58" s="54" t="n">
        <f aca="false">'Benchmark KPIs'!D13</f>
        <v>1315</v>
      </c>
      <c r="E58" s="52" t="n">
        <f aca="false">C58-D58</f>
        <v>0</v>
      </c>
      <c r="F58" s="52" t="str">
        <f aca="false">IF(ABS(E58)&lt;=1,"TIES",IF(ABS(E58)&lt;=ABS(D58)*0.05,"WITHIN","OFF"))</f>
        <v>TIES</v>
      </c>
      <c r="G58" s="52" t="s">
        <v>728</v>
      </c>
      <c r="H58" s="51"/>
      <c r="I58" s="51"/>
    </row>
    <row r="59" customFormat="false" ht="15" hidden="false" customHeight="false" outlineLevel="0" collapsed="false">
      <c r="B59" s="52" t="s">
        <v>731</v>
      </c>
      <c r="C59" s="55" t="n">
        <f aca="false">'Metric Registry'!E19</f>
        <v>0.392564537895402</v>
      </c>
      <c r="D59" s="54" t="n">
        <f aca="false">'Benchmark KPIs'!D21</f>
        <v>1288901.21</v>
      </c>
      <c r="E59" s="52" t="n">
        <f aca="false">C59-D59</f>
        <v>-1288900.81743546</v>
      </c>
      <c r="F59" s="52" t="str">
        <f aca="false">IF(ABS(E59)&lt;=1,"TIES",IF(ABS(E59)&lt;=ABS(D59)*0.05,"WITHIN","OFF"))</f>
        <v>OFF</v>
      </c>
      <c r="G59" s="52" t="s">
        <v>728</v>
      </c>
      <c r="H59" s="51"/>
      <c r="I59" s="51"/>
    </row>
    <row r="60" customFormat="false" ht="15" hidden="false" customHeight="false" outlineLevel="0" collapsed="false">
      <c r="B60" s="52" t="s">
        <v>732</v>
      </c>
      <c r="C60" s="52" t="n">
        <f aca="false">'Metric Registry'!E30</f>
        <v>0</v>
      </c>
      <c r="D60" s="52" t="n">
        <f aca="false">'Benchmark KPIs'!D54</f>
        <v>0</v>
      </c>
      <c r="E60" s="52" t="n">
        <f aca="false">C60-D60</f>
        <v>0</v>
      </c>
      <c r="F60" s="52" t="str">
        <f aca="false">IF(ABS(E60)&lt;=1,"TIES",IF(ABS(E60)&lt;=ABS(D60)*0.05,"WITHIN","OFF"))</f>
        <v>TIES</v>
      </c>
      <c r="G60" s="52" t="s">
        <v>728</v>
      </c>
      <c r="H60" s="51"/>
      <c r="I60" s="51"/>
    </row>
    <row r="61" customFormat="false" ht="15" hidden="false" customHeight="false" outlineLevel="0" collapsed="false">
      <c r="B61" s="51"/>
      <c r="C61" s="51"/>
      <c r="D61" s="51"/>
      <c r="E61" s="51"/>
      <c r="F61" s="51"/>
      <c r="G61" s="51"/>
      <c r="H61" s="51"/>
      <c r="I61" s="51"/>
    </row>
    <row r="62" customFormat="false" ht="15" hidden="false" customHeight="false" outlineLevel="0" collapsed="false">
      <c r="B62" s="49" t="s">
        <v>733</v>
      </c>
      <c r="C62" s="50"/>
      <c r="D62" s="50"/>
      <c r="E62" s="50"/>
      <c r="F62" s="50"/>
      <c r="G62" s="50"/>
      <c r="H62" s="51"/>
      <c r="I62" s="51"/>
    </row>
    <row r="63" customFormat="false" ht="15" hidden="false" customHeight="false" outlineLevel="0" collapsed="false">
      <c r="B63" s="52" t="s">
        <v>694</v>
      </c>
      <c r="C63" s="52" t="n">
        <f aca="false">'Metric Registry'!E36</f>
        <v>0</v>
      </c>
      <c r="D63" s="52" t="n">
        <v>13</v>
      </c>
      <c r="E63" s="52" t="n">
        <f aca="false">C63-D63</f>
        <v>-13</v>
      </c>
      <c r="F63" s="52" t="str">
        <f aca="false">IF(ABS(E63)&lt;=1,"TIES",IF(ABS(E63)&lt;=ABS(D63)*0.05,"WITHIN","OFF"))</f>
        <v>OFF</v>
      </c>
      <c r="G63" s="52" t="s">
        <v>734</v>
      </c>
      <c r="H63" s="51"/>
      <c r="I63" s="51"/>
    </row>
    <row r="64" customFormat="false" ht="15" hidden="false" customHeight="false" outlineLevel="0" collapsed="false">
      <c r="B64" s="51"/>
      <c r="C64" s="51"/>
      <c r="D64" s="51"/>
      <c r="E64" s="51"/>
      <c r="F64" s="51"/>
      <c r="G64" s="51"/>
      <c r="H64" s="51"/>
      <c r="I64" s="51"/>
    </row>
    <row r="65" customFormat="false" ht="15" hidden="false" customHeight="false" outlineLevel="0" collapsed="false">
      <c r="B65" s="51"/>
      <c r="C65" s="51"/>
      <c r="D65" s="51"/>
      <c r="E65" s="51"/>
      <c r="F65" s="51"/>
      <c r="G65" s="51"/>
      <c r="H65" s="51"/>
      <c r="I65" s="51"/>
    </row>
    <row r="66" customFormat="false" ht="15" hidden="false" customHeight="false" outlineLevel="0" collapsed="false">
      <c r="B66" s="56" t="s">
        <v>66</v>
      </c>
      <c r="C66" s="57"/>
      <c r="D66" s="57"/>
      <c r="E66" s="57"/>
      <c r="F66" s="57"/>
      <c r="G66" s="57"/>
      <c r="H66" s="51"/>
      <c r="I66" s="51"/>
    </row>
    <row r="67" customFormat="false" ht="15" hidden="false" customHeight="false" outlineLevel="0" collapsed="false">
      <c r="B67" s="58" t="s">
        <v>735</v>
      </c>
      <c r="C67" s="51"/>
      <c r="D67" s="51"/>
      <c r="E67" s="51"/>
      <c r="F67" s="51"/>
      <c r="G67" s="51"/>
      <c r="H67" s="51"/>
      <c r="I67" s="51"/>
    </row>
    <row r="68" customFormat="false" ht="15" hidden="false" customHeight="false" outlineLevel="0" collapsed="false">
      <c r="B68" s="58" t="s">
        <v>736</v>
      </c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B69" s="58" t="s">
        <v>737</v>
      </c>
      <c r="C69" s="51"/>
      <c r="D69" s="51"/>
      <c r="E69" s="51"/>
      <c r="F69" s="51"/>
      <c r="G69" s="51"/>
      <c r="H69" s="51"/>
      <c r="I69" s="51"/>
    </row>
    <row r="70" customFormat="false" ht="15" hidden="false" customHeight="false" outlineLevel="0" collapsed="false">
      <c r="B70" s="59" t="s">
        <v>738</v>
      </c>
    </row>
    <row r="71" customFormat="false" ht="15" hidden="false" customHeight="false" outlineLevel="0" collapsed="false">
      <c r="B71" s="59" t="s">
        <v>739</v>
      </c>
    </row>
    <row r="72" customFormat="false" ht="15" hidden="false" customHeight="false" outlineLevel="0" collapsed="false">
      <c r="B72" s="59" t="s">
        <v>740</v>
      </c>
    </row>
    <row r="73" customFormat="false" ht="15" hidden="false" customHeight="false" outlineLevel="0" collapsed="false">
      <c r="B73" s="59" t="s">
        <v>741</v>
      </c>
    </row>
    <row r="74" customFormat="false" ht="15" hidden="false" customHeight="false" outlineLevel="0" collapsed="false">
      <c r="B74" s="59" t="s">
        <v>742</v>
      </c>
    </row>
  </sheetData>
  <mergeCells count="15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0" t="s">
        <v>743</v>
      </c>
      <c r="B1" s="60"/>
      <c r="C1" s="60"/>
      <c r="D1" s="60"/>
      <c r="E1" s="60"/>
      <c r="F1" s="60"/>
      <c r="G1" s="60"/>
    </row>
    <row r="3" customFormat="false" ht="15" hidden="false" customHeight="true" outlineLevel="0" collapsed="false">
      <c r="A3" s="61" t="s">
        <v>744</v>
      </c>
      <c r="B3" s="62" t="n">
        <v>16</v>
      </c>
      <c r="D3" s="61" t="s">
        <v>745</v>
      </c>
      <c r="E3" s="62" t="s">
        <v>163</v>
      </c>
    </row>
    <row r="4" customFormat="false" ht="15" hidden="false" customHeight="true" outlineLevel="0" collapsed="false">
      <c r="A4" s="61" t="s">
        <v>746</v>
      </c>
      <c r="B4" s="62" t="n">
        <v>433</v>
      </c>
      <c r="D4" s="61" t="s">
        <v>747</v>
      </c>
      <c r="E4" s="63" t="n">
        <f aca="false">677664.97/739308.9</f>
        <v>0.916619521285352</v>
      </c>
    </row>
    <row r="5" customFormat="false" ht="15" hidden="false" customHeight="true" outlineLevel="0" collapsed="false">
      <c r="A5" s="61" t="s">
        <v>748</v>
      </c>
      <c r="B5" s="64" t="n">
        <v>739308.9</v>
      </c>
      <c r="D5" s="61" t="s">
        <v>749</v>
      </c>
      <c r="E5" s="65" t="s">
        <v>750</v>
      </c>
    </row>
    <row r="6" customFormat="false" ht="15" hidden="false" customHeight="true" outlineLevel="0" collapsed="false">
      <c r="A6" s="61" t="s">
        <v>751</v>
      </c>
      <c r="B6" s="66" t="n">
        <f aca="false">B5/B4</f>
        <v>1707.41085450346</v>
      </c>
    </row>
    <row r="8" customFormat="false" ht="19.5" hidden="false" customHeight="true" outlineLevel="0" collapsed="false">
      <c r="A8" s="67" t="s">
        <v>752</v>
      </c>
      <c r="B8" s="67" t="s">
        <v>158</v>
      </c>
      <c r="C8" s="67" t="s">
        <v>753</v>
      </c>
      <c r="D8" s="67" t="s">
        <v>746</v>
      </c>
      <c r="E8" s="67" t="s">
        <v>160</v>
      </c>
      <c r="F8" s="67" t="s">
        <v>161</v>
      </c>
      <c r="G8" s="67" t="s">
        <v>754</v>
      </c>
    </row>
    <row r="9" customFormat="false" ht="15" hidden="false" customHeight="true" outlineLevel="0" collapsed="false">
      <c r="A9" s="68" t="n">
        <v>1</v>
      </c>
      <c r="B9" s="69" t="s">
        <v>163</v>
      </c>
      <c r="C9" s="68"/>
      <c r="D9" s="68" t="n">
        <v>210</v>
      </c>
      <c r="E9" s="70" t="n">
        <v>343362.11</v>
      </c>
      <c r="F9" s="71" t="n">
        <f aca="false">E9/E$25</f>
        <v>0.464436597476373</v>
      </c>
      <c r="G9" s="72" t="n">
        <f aca="false">E9/D9</f>
        <v>1635.05766666667</v>
      </c>
    </row>
    <row r="10" customFormat="false" ht="15" hidden="false" customHeight="true" outlineLevel="0" collapsed="false">
      <c r="A10" s="68" t="n">
        <v>2</v>
      </c>
      <c r="B10" s="69" t="s">
        <v>164</v>
      </c>
      <c r="C10" s="68"/>
      <c r="D10" s="68" t="n">
        <v>161</v>
      </c>
      <c r="E10" s="70" t="n">
        <v>261501.21</v>
      </c>
      <c r="F10" s="71" t="n">
        <f aca="false">E10/E$25</f>
        <v>0.353710350301477</v>
      </c>
      <c r="G10" s="72" t="n">
        <f aca="false">E10/D10</f>
        <v>1624.23111801242</v>
      </c>
    </row>
    <row r="11" customFormat="false" ht="15" hidden="false" customHeight="true" outlineLevel="0" collapsed="false">
      <c r="A11" s="68" t="n">
        <v>3</v>
      </c>
      <c r="B11" s="69" t="s">
        <v>165</v>
      </c>
      <c r="C11" s="68"/>
      <c r="D11" s="68" t="n">
        <v>7</v>
      </c>
      <c r="E11" s="70" t="n">
        <v>72801.65</v>
      </c>
      <c r="F11" s="71" t="n">
        <f aca="false">E11/E$25</f>
        <v>0.0984725735075014</v>
      </c>
      <c r="G11" s="72" t="n">
        <f aca="false">E11/D11</f>
        <v>10400.2357142857</v>
      </c>
    </row>
    <row r="12" customFormat="false" ht="15" hidden="false" customHeight="true" outlineLevel="0" collapsed="false">
      <c r="A12" s="73" t="n">
        <v>4</v>
      </c>
      <c r="B12" s="74" t="s">
        <v>166</v>
      </c>
      <c r="C12" s="73"/>
      <c r="D12" s="73" t="n">
        <v>5</v>
      </c>
      <c r="E12" s="75" t="n">
        <v>21978.91</v>
      </c>
      <c r="F12" s="76" t="n">
        <f aca="false">E12/E$25</f>
        <v>0.0297289941998534</v>
      </c>
      <c r="G12" s="77" t="n">
        <f aca="false">E12/D12</f>
        <v>4395.782</v>
      </c>
    </row>
    <row r="13" customFormat="false" ht="15" hidden="false" customHeight="true" outlineLevel="0" collapsed="false">
      <c r="A13" s="78" t="n">
        <v>5</v>
      </c>
      <c r="B13" s="79" t="s">
        <v>167</v>
      </c>
      <c r="C13" s="78"/>
      <c r="D13" s="78" t="n">
        <v>5</v>
      </c>
      <c r="E13" s="80" t="n">
        <v>15099.99</v>
      </c>
      <c r="F13" s="81" t="n">
        <f aca="false">E13/E$25</f>
        <v>0.0204244666877404</v>
      </c>
      <c r="G13" s="82" t="n">
        <f aca="false">E13/D13</f>
        <v>3019.998</v>
      </c>
    </row>
    <row r="14" customFormat="false" ht="15" hidden="false" customHeight="true" outlineLevel="0" collapsed="false">
      <c r="A14" s="73" t="n">
        <v>6</v>
      </c>
      <c r="B14" s="74" t="s">
        <v>168</v>
      </c>
      <c r="C14" s="73"/>
      <c r="D14" s="73" t="n">
        <v>2</v>
      </c>
      <c r="E14" s="75" t="n">
        <v>7788</v>
      </c>
      <c r="F14" s="76" t="n">
        <f aca="false">E14/E$25</f>
        <v>0.010534162377864</v>
      </c>
      <c r="G14" s="77" t="n">
        <f aca="false">E14/D14</f>
        <v>3894</v>
      </c>
    </row>
    <row r="15" customFormat="false" ht="15" hidden="false" customHeight="true" outlineLevel="0" collapsed="false">
      <c r="A15" s="78" t="n">
        <v>7</v>
      </c>
      <c r="B15" s="79" t="s">
        <v>169</v>
      </c>
      <c r="C15" s="78"/>
      <c r="D15" s="78" t="n">
        <v>7</v>
      </c>
      <c r="E15" s="80" t="n">
        <v>4140</v>
      </c>
      <c r="F15" s="81" t="n">
        <f aca="false">E15/E$25</f>
        <v>0.00559982437652245</v>
      </c>
      <c r="G15" s="82" t="n">
        <f aca="false">E15/D15</f>
        <v>591.428571428571</v>
      </c>
    </row>
    <row r="16" customFormat="false" ht="15" hidden="false" customHeight="true" outlineLevel="0" collapsed="false">
      <c r="A16" s="73" t="n">
        <v>8</v>
      </c>
      <c r="B16" s="74" t="s">
        <v>170</v>
      </c>
      <c r="C16" s="73"/>
      <c r="D16" s="73" t="n">
        <v>7</v>
      </c>
      <c r="E16" s="75" t="n">
        <v>4097.84</v>
      </c>
      <c r="F16" s="76" t="n">
        <f aca="false">E16/E$25</f>
        <v>0.00554279814567362</v>
      </c>
      <c r="G16" s="77" t="n">
        <f aca="false">E16/D16</f>
        <v>585.405714285714</v>
      </c>
    </row>
    <row r="17" customFormat="false" ht="15" hidden="false" customHeight="true" outlineLevel="0" collapsed="false">
      <c r="A17" s="78" t="n">
        <v>9</v>
      </c>
      <c r="B17" s="79" t="s">
        <v>171</v>
      </c>
      <c r="C17" s="78"/>
      <c r="D17" s="78" t="n">
        <v>3</v>
      </c>
      <c r="E17" s="80" t="n">
        <v>2339.19</v>
      </c>
      <c r="F17" s="81" t="n">
        <f aca="false">E17/E$25</f>
        <v>0.00316402250804772</v>
      </c>
      <c r="G17" s="82" t="n">
        <f aca="false">E17/D17</f>
        <v>779.73</v>
      </c>
    </row>
    <row r="18" customFormat="false" ht="15" hidden="false" customHeight="true" outlineLevel="0" collapsed="false">
      <c r="A18" s="73" t="n">
        <v>10</v>
      </c>
      <c r="B18" s="74" t="s">
        <v>172</v>
      </c>
      <c r="C18" s="73"/>
      <c r="D18" s="73" t="n">
        <v>8</v>
      </c>
      <c r="E18" s="75" t="n">
        <v>2018.25</v>
      </c>
      <c r="F18" s="76" t="n">
        <f aca="false">E18/E$25</f>
        <v>0.0027299143835547</v>
      </c>
      <c r="G18" s="77" t="n">
        <f aca="false">E18/D18</f>
        <v>252.28125</v>
      </c>
    </row>
    <row r="19" customFormat="false" ht="15" hidden="false" customHeight="true" outlineLevel="0" collapsed="false">
      <c r="A19" s="78" t="n">
        <v>11</v>
      </c>
      <c r="B19" s="79" t="s">
        <v>173</v>
      </c>
      <c r="C19" s="78"/>
      <c r="D19" s="78" t="n">
        <v>6</v>
      </c>
      <c r="E19" s="80" t="n">
        <v>1835.26</v>
      </c>
      <c r="F19" s="81" t="n">
        <f aca="false">E19/E$25</f>
        <v>0.00248239944088324</v>
      </c>
      <c r="G19" s="82" t="n">
        <f aca="false">E19/D19</f>
        <v>305.876666666667</v>
      </c>
    </row>
    <row r="20" customFormat="false" ht="15" hidden="false" customHeight="true" outlineLevel="0" collapsed="false">
      <c r="A20" s="73" t="n">
        <v>12</v>
      </c>
      <c r="B20" s="74" t="s">
        <v>174</v>
      </c>
      <c r="C20" s="73"/>
      <c r="D20" s="73" t="n">
        <v>3</v>
      </c>
      <c r="E20" s="75" t="n">
        <v>1040</v>
      </c>
      <c r="F20" s="76" t="n">
        <f aca="false">E20/E$25</f>
        <v>0.00140671916704912</v>
      </c>
      <c r="G20" s="77" t="n">
        <f aca="false">E20/D20</f>
        <v>346.666666666667</v>
      </c>
    </row>
    <row r="21" customFormat="false" ht="15" hidden="false" customHeight="true" outlineLevel="0" collapsed="false">
      <c r="A21" s="78" t="n">
        <v>13</v>
      </c>
      <c r="B21" s="79" t="s">
        <v>175</v>
      </c>
      <c r="C21" s="78"/>
      <c r="D21" s="78" t="n">
        <v>3</v>
      </c>
      <c r="E21" s="80" t="n">
        <v>520.48</v>
      </c>
      <c r="F21" s="81" t="n">
        <f aca="false">E21/E$25</f>
        <v>0.000704008838524736</v>
      </c>
      <c r="G21" s="82" t="n">
        <f aca="false">E21/D21</f>
        <v>173.493333333333</v>
      </c>
    </row>
    <row r="22" customFormat="false" ht="15" hidden="false" customHeight="true" outlineLevel="0" collapsed="false">
      <c r="A22" s="73" t="n">
        <v>14</v>
      </c>
      <c r="B22" s="74" t="s">
        <v>176</v>
      </c>
      <c r="C22" s="73"/>
      <c r="D22" s="73" t="n">
        <v>4</v>
      </c>
      <c r="E22" s="75" t="n">
        <v>468.55</v>
      </c>
      <c r="F22" s="76" t="n">
        <f aca="false">E22/E$25</f>
        <v>0.000633767563193139</v>
      </c>
      <c r="G22" s="77" t="n">
        <f aca="false">E22/D22</f>
        <v>117.1375</v>
      </c>
    </row>
    <row r="23" customFormat="false" ht="15" hidden="false" customHeight="true" outlineLevel="0" collapsed="false">
      <c r="A23" s="78" t="n">
        <v>15</v>
      </c>
      <c r="B23" s="79" t="s">
        <v>177</v>
      </c>
      <c r="C23" s="78"/>
      <c r="D23" s="78" t="n">
        <v>1</v>
      </c>
      <c r="E23" s="80" t="n">
        <v>227</v>
      </c>
      <c r="F23" s="81" t="n">
        <f aca="false">E23/E$25</f>
        <v>0.000307043510500144</v>
      </c>
      <c r="G23" s="82" t="n">
        <f aca="false">E23/D23</f>
        <v>227</v>
      </c>
    </row>
    <row r="24" customFormat="false" ht="15" hidden="false" customHeight="true" outlineLevel="0" collapsed="false">
      <c r="A24" s="73" t="n">
        <v>16</v>
      </c>
      <c r="B24" s="74" t="s">
        <v>178</v>
      </c>
      <c r="C24" s="73"/>
      <c r="D24" s="73" t="n">
        <v>1</v>
      </c>
      <c r="E24" s="75" t="n">
        <v>90.46</v>
      </c>
      <c r="F24" s="76" t="n">
        <f aca="false">E24/E$25</f>
        <v>0.000122357515241599</v>
      </c>
      <c r="G24" s="77" t="n">
        <f aca="false">E24/D24</f>
        <v>90.46</v>
      </c>
    </row>
    <row r="25" customFormat="false" ht="15" hidden="false" customHeight="true" outlineLevel="0" collapsed="false">
      <c r="A25" s="83"/>
      <c r="B25" s="84" t="s">
        <v>38</v>
      </c>
      <c r="C25" s="83"/>
      <c r="D25" s="85" t="n">
        <f aca="false">SUM(D9:D24)</f>
        <v>433</v>
      </c>
      <c r="E25" s="86" t="n">
        <f aca="false">SUM(E9:E24)</f>
        <v>739308.9</v>
      </c>
      <c r="F25" s="87" t="n">
        <f aca="false">SUM(F9:F24)</f>
        <v>1</v>
      </c>
      <c r="G25" s="86" t="n">
        <f aca="false">E25/D25</f>
        <v>1707.41085450346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2026-04-11T13:28:43Z</dcterms:created>
  <dc:creator>openpyxl</dc:creator>
  <dc:description/>
  <dc:language>en-US</dc:language>
  <cp:lastModifiedBy/>
  <dcterms:modified xsi:type="dcterms:W3CDTF">2026-04-13T21:09:33Z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