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Vendors" sheetId="12" state="visible" r:id="rId14"/>
    <sheet name="Change Log" sheetId="13" state="visible" r:id="rId15"/>
    <sheet name="Root Cause Analysis" sheetId="14" state="visible" r:id="rId16"/>
    <sheet name="Predictive Signals" sheetId="15" state="visible" r:id="rId17"/>
    <sheet name="Metric Registry" sheetId="16" state="visible" r:id="rId18"/>
    <sheet name="Reconciliation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<sst xmlns="http://schemas.openxmlformats.org/spreadsheetml/2006/main" count="1534" uniqueCount="806">
  <si>
    <t xml:space="preserve">Job #2010 · Chinn Old Town Mixed Use</t>
  </si>
  <si>
    <t xml:space="preserve">Cortex JCR Summary  •  Chinn Construction, LLC  •  Seattle, WA  •  165-unit mixed-use multifamily apartments + ground-floor retail  •  Sep 2012 – Sep 2014 (~24 months)</t>
  </si>
  <si>
    <t xml:space="preserve">PROJECT OVERVIEW</t>
  </si>
  <si>
    <t xml:space="preserve">Project Job #</t>
  </si>
  <si>
    <t xml:space="preserve">2010</t>
  </si>
  <si>
    <t xml:space="preserve">Project Name:</t>
  </si>
  <si>
    <t xml:space="preserve">Chinn Old Town Mixed Use</t>
  </si>
  <si>
    <t xml:space="preserve">General Contractor</t>
  </si>
  <si>
    <t xml:space="preserve">Chinn Construction, LLC</t>
  </si>
  <si>
    <t xml:space="preserve">Location</t>
  </si>
  <si>
    <t xml:space="preserve">Seattle, WA</t>
  </si>
  <si>
    <t xml:space="preserve">Project Duration</t>
  </si>
  <si>
    <t xml:space="preserve">Sep 2012 – Sep 2014 (~24 months)</t>
  </si>
  <si>
    <t xml:space="preserve">Total Unique Documents</t>
  </si>
  <si>
    <t xml:space="preserve">Old Town folder: Contract, Billing (aggregate + 19 SOVs), PO_s (73), Permits, Plans, Submittals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</si>
  <si>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</si>
  <si>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</si>
  <si>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</si>
  <si>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</si>
  <si>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$1,386,419</t>
  </si>
  <si>
    <t xml:space="preserve">$800,420</t>
  </si>
  <si>
    <t xml:space="preserve">$585,999</t>
  </si>
  <si>
    <t xml:space="preserve">9,992</t>
  </si>
  <si>
    <t xml:space="preserve">Original $1,469,800 + $-83,381 COs</t>
  </si>
  <si>
    <t xml:space="preserve">57.7% margin</t>
  </si>
  <si>
    <t xml:space="preserve">42.3% of revenue</t>
  </si>
  <si>
    <t xml:space="preserve">22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</si>
  <si>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</si>
  <si>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</si>
  <si>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</si>
  <si>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</si>
  <si>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</si>
  <si>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</si>
  <si>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</si>
  <si>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</si>
  <si>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</si>
  <si>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</si>
  <si>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</si>
  <si>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</si>
  <si>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</si>
  <si>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</si>
  <si>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</si>
  <si>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</si>
  <si>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165</t>
  </si>
  <si>
    <t xml:space="preserve">Water Closets</t>
  </si>
  <si>
    <t xml:space="preserve">Kitchen Sinks</t>
  </si>
  <si>
    <t xml:space="preserve">150</t>
  </si>
  <si>
    <t xml:space="preserve">Total Fixtures</t>
  </si>
  <si>
    <t xml:space="preserve">803</t>
  </si>
  <si>
    <t xml:space="preserve">Lavatories</t>
  </si>
  <si>
    <t xml:space="preserve">175</t>
  </si>
  <si>
    <t xml:space="preserve">Showers</t>
  </si>
  <si>
    <t xml:space="preserve">15</t>
  </si>
  <si>
    <t xml:space="preserve">Fixtures / Unit</t>
  </si>
  <si>
    <t xml:space="preserve">4.87</t>
  </si>
  <si>
    <t xml:space="preserve">Tubs</t>
  </si>
  <si>
    <t xml:space="preserve">149</t>
  </si>
  <si>
    <t xml:space="preserve">Auto Washers</t>
  </si>
  <si>
    <t xml:space="preserve">Stacks</t>
  </si>
  <si>
    <t xml:space="preserve">30</t>
  </si>
  <si>
    <t xml:space="preserve">Duration</t>
  </si>
  <si>
    <t xml:space="preserve">24 mo</t>
  </si>
  <si>
    <t xml:space="preserve">Cost Codes</t>
  </si>
  <si>
    <t xml:space="preserve">28</t>
  </si>
  <si>
    <t xml:space="preserve">SOURCES</t>
  </si>
  <si>
    <t xml:space="preserve">Job #2010 — Chinn Old Town Mixed Use  •  GC: Chinn Construction, LLC  •  Seattle, WA</t>
  </si>
  <si>
    <t xml:space="preserve">Canonical source: 2010 Job Detail Report.pdf (123 pages, OWP Sage Timberline export)</t>
  </si>
  <si>
    <t xml:space="preserve">Cost codes parsed: 28</t>
  </si>
  <si>
    <t xml:space="preserve">Unit count (165) and fixture count (803) confirmed from existing project data</t>
  </si>
  <si>
    <t xml:space="preserve">Mixed-use: 165 plumbing units, 175 lavatories (suggests 10 powder-room units) + 15 shower-only units</t>
  </si>
  <si>
    <t xml:space="preserve">Billing: OLD TOWN AGGREGATE BILLING.xlsx (18 pay apps Sep 2012 – Sep 2014)</t>
  </si>
  <si>
    <t xml:space="preserve">Final contract $1,386,419 (original $1,469,800 + $-83,381 COs)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</si>
  <si>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</si>
  <si>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</si>
  <si>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</si>
  <si>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</si>
  <si>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</si>
  <si>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</si>
  <si>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</si>
  <si>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011</t>
  </si>
  <si>
    <t xml:space="preserve">DS &amp; RD 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</si>
  <si>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</si>
  <si>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</si>
  <si>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</si>
  <si>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</si>
  <si>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</si>
  <si>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</si>
  <si>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</si>
  <si>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</si>
  <si>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</si>
  <si>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</si>
  <si>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</si>
  <si>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</si>
  <si>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</si>
  <si>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</si>
  <si>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</si>
  <si>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</si>
  <si>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</si>
  <si>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</si>
  <si>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</si>
  <si>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</si>
  <si>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145</t>
  </si>
  <si>
    <t xml:space="preserve">Tub/Shower Labor</t>
  </si>
  <si>
    <t xml:space="preserve">MATERIAL</t>
  </si>
  <si>
    <t xml:space="preserve">039</t>
  </si>
  <si>
    <t xml:space="preserve">DS &amp; RD 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</si>
  <si>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</si>
  <si>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</si>
  <si>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</si>
  <si>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</si>
  <si>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</si>
  <si>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</si>
  <si>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</si>
  <si>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</si>
  <si>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</si>
  <si>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</si>
  <si>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</si>
  <si>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</si>
  <si>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</si>
  <si>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</si>
  <si>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</si>
  <si>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</si>
  <si>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245</t>
  </si>
  <si>
    <t xml:space="preserve">Tub/Shower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</si>
  <si>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</si>
  <si>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</si>
  <si>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</si>
  <si>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</si>
  <si>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</si>
  <si>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</si>
  <si>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</si>
  <si>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</si>
  <si>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</si>
  <si>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</si>
  <si>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</si>
  <si>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</si>
  <si>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</si>
  <si>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</si>
  <si>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</si>
  <si>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</si>
  <si>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</si>
  <si>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</si>
  <si>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</si>
  <si>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</si>
  <si>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</si>
  <si>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</si>
  <si>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</si>
  <si>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</si>
  <si>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10 material cost codes  •  $282,663 JDR material  •  18 AP vendors  •  $362,722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</si>
  <si>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</si>
  <si>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</si>
  <si>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</si>
  <si>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</si>
  <si>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</si>
  <si>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</si>
  <si>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</si>
  <si>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</si>
  <si>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</si>
  <si>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Rosen Supply Company, Inc.</t>
  </si>
  <si>
    <t xml:space="preserve">Ferguson Enterprises, Inc.</t>
  </si>
  <si>
    <t xml:space="preserve">Bank of America CC</t>
  </si>
  <si>
    <t xml:space="preserve">Franklin Engineering</t>
  </si>
  <si>
    <t xml:space="preserve">Keller Supply Company</t>
  </si>
  <si>
    <t xml:space="preserve">Quality Concrete Products, Inc.</t>
  </si>
  <si>
    <t xml:space="preserve">United Rentals, Inc.</t>
  </si>
  <si>
    <t xml:space="preserve">Ferguson Enterprises, Inc. #3007</t>
  </si>
  <si>
    <t xml:space="preserve">Rosen Supply Kirkland</t>
  </si>
  <si>
    <t xml:space="preserve">Duraseal, Inc.</t>
  </si>
  <si>
    <t xml:space="preserve">DRSi</t>
  </si>
  <si>
    <t xml:space="preserve">R.A. Brown Backflow Testing</t>
  </si>
  <si>
    <t xml:space="preserve">Manor Hardware &amp; Construction Supply</t>
  </si>
  <si>
    <t xml:space="preserve">Consolidated Supply Co.</t>
  </si>
  <si>
    <t xml:space="preserve">Pacific Plumbing Supply Co., LLC</t>
  </si>
  <si>
    <t xml:space="preserve">Fastenal Company</t>
  </si>
  <si>
    <t xml:space="preserve">Kele, Inc</t>
  </si>
  <si>
    <t xml:space="preserve">C.M. Hoskins Company</t>
  </si>
  <si>
    <t xml:space="preserve">Vendor AP ties to JDR 'by Source: AP' line (362,721.85)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</si>
  <si>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</si>
  <si>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</si>
  <si>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</si>
  <si>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</si>
  <si>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</si>
  <si>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</si>
  <si>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Anderson, Richard P</t>
  </si>
  <si>
    <t xml:space="preserve">Mid</t>
  </si>
  <si>
    <t xml:space="preserve">Barnhart, Joseph N</t>
  </si>
  <si>
    <t xml:space="preserve">Hayton, Evan R</t>
  </si>
  <si>
    <t xml:space="preserve">Apprentice</t>
  </si>
  <si>
    <t xml:space="preserve">Garcia, Jordan X</t>
  </si>
  <si>
    <t xml:space="preserve">Wilson, Garret A</t>
  </si>
  <si>
    <t xml:space="preserve">Kinssies, Jr, John E</t>
  </si>
  <si>
    <t xml:space="preserve">Waites, Thaddeus Z</t>
  </si>
  <si>
    <t xml:space="preserve">Mayfield, Elijah S</t>
  </si>
  <si>
    <t xml:space="preserve">Soto Serna, Cesar E</t>
  </si>
  <si>
    <t xml:space="preserve">Gerard, Jeffrey S</t>
  </si>
  <si>
    <t xml:space="preserve">Senior</t>
  </si>
  <si>
    <t xml:space="preserve">Holmes, Anthony R</t>
  </si>
  <si>
    <t xml:space="preserve">Nabbefeld, Maxwell B</t>
  </si>
  <si>
    <t xml:space="preserve">Leone, Jared S</t>
  </si>
  <si>
    <t xml:space="preserve">Meza Fuentes, Erick A</t>
  </si>
  <si>
    <t xml:space="preserve">Salazar, Hajdar L</t>
  </si>
  <si>
    <t xml:space="preserve">Pennington, Patrick S</t>
  </si>
  <si>
    <t xml:space="preserve">McCabe, Thomas C</t>
  </si>
  <si>
    <t xml:space="preserve">Hubbard, Robert W</t>
  </si>
  <si>
    <t xml:space="preserve">Lima Romero, Melvin A</t>
  </si>
  <si>
    <t xml:space="preserve">Sanders, Allen O</t>
  </si>
  <si>
    <t xml:space="preserve">Paco Leyva, Orlando</t>
  </si>
  <si>
    <t xml:space="preserve">Arreola, Israel A</t>
  </si>
  <si>
    <t xml:space="preserve">TOTAL (22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</si>
  <si>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</si>
  <si>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</si>
  <si>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</si>
  <si>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</si>
  <si>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</si>
  <si>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</si>
  <si>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</si>
  <si>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</si>
  <si>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</si>
  <si>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</si>
  <si>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</si>
  <si>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</si>
  <si>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</si>
  <si>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</si>
  <si>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</si>
  <si>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</si>
  <si>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</si>
  <si>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</si>
  <si>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</si>
  <si>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</si>
  <si>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</si>
  <si>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</si>
  <si>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</si>
  <si>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</si>
  <si>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DS &amp; RD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</si>
  <si>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</si>
  <si>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</si>
  <si>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</si>
  <si>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</si>
  <si>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</si>
  <si>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</si>
  <si>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</si>
  <si>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</si>
  <si>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</si>
  <si>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Tub / Shower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</si>
  <si>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</si>
  <si>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</si>
  <si>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</si>
  <si>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</si>
  <si>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</si>
  <si>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</si>
  <si>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</si>
  <si>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</si>
  <si>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</si>
  <si>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</si>
  <si>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</si>
  <si>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</si>
  <si>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</si>
  <si>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</si>
  <si>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</si>
  <si>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</si>
  <si>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</si>
  <si>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</si>
  <si>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</si>
  <si>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</si>
  <si>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</si>
  <si>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</si>
  <si>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</si>
  <si>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73 unique POs  •  PO amounts not dollar-parsed from individual PDFs  •  JDR material $282,663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</si>
  <si>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</si>
  <si>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</si>
  <si>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</si>
  <si>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</si>
  <si>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</si>
  <si>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</si>
  <si>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</si>
  <si>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</si>
  <si>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</si>
  <si>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</si>
  <si>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</si>
  <si>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40</t>
  </si>
  <si>
    <t xml:space="preserve">141+241 Water Main/Ins</t>
  </si>
  <si>
    <t xml:space="preserve">41</t>
  </si>
  <si>
    <t xml:space="preserve">140+240 Gas</t>
  </si>
  <si>
    <t xml:space="preserve">OTHER</t>
  </si>
  <si>
    <t xml:space="preserve">Unclassified</t>
  </si>
  <si>
    <t xml:space="preserve">B. COMMITMENTS BY VENDOR</t>
  </si>
  <si>
    <t xml:space="preserve">ROSEN</t>
  </si>
  <si>
    <t xml:space="preserve">FEI</t>
  </si>
  <si>
    <t xml:space="preserve">CONSOLIDATED</t>
  </si>
  <si>
    <t xml:space="preserve">SIOUX CHIEF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</si>
  <si>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</si>
  <si>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</si>
  <si>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</si>
  <si>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</si>
  <si>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</si>
  <si>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</si>
  <si>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</si>
  <si>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18 pay applications  •  Sep 2012 – Sep 2014  •  $1,386,419 final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</si>
  <si>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</si>
  <si>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</si>
  <si>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</si>
  <si>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</si>
  <si>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</si>
  <si>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</si>
  <si>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</si>
  <si>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</si>
  <si>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</si>
  <si>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</si>
  <si>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</si>
  <si>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</si>
  <si>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</si>
  <si>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</si>
  <si>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2012-09-20</t>
  </si>
  <si>
    <t xml:space="preserve">2012-10-18</t>
  </si>
  <si>
    <t xml:space="preserve">2012-12-20</t>
  </si>
  <si>
    <t xml:space="preserve">2013-02-19</t>
  </si>
  <si>
    <t xml:space="preserve">2013-04-18</t>
  </si>
  <si>
    <t xml:space="preserve">2013-05-19</t>
  </si>
  <si>
    <t xml:space="preserve">2013-06-20</t>
  </si>
  <si>
    <t xml:space="preserve">2013-07-20</t>
  </si>
  <si>
    <t xml:space="preserve">2013-08-20</t>
  </si>
  <si>
    <t xml:space="preserve">2013-09-20</t>
  </si>
  <si>
    <t xml:space="preserve">2013-10-17</t>
  </si>
  <si>
    <t xml:space="preserve">2013-11-12</t>
  </si>
  <si>
    <t xml:space="preserve">2013-12-17</t>
  </si>
  <si>
    <t xml:space="preserve">2014-01-20</t>
  </si>
  <si>
    <t xml:space="preserve">2014-03-20</t>
  </si>
  <si>
    <t xml:space="preserve">2014-04-20</t>
  </si>
  <si>
    <t xml:space="preserve">2014-05-20</t>
  </si>
  <si>
    <t xml:space="preserve">2014-09-20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</si>
  <si>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</si>
  <si>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</si>
  <si>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</si>
  <si>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</si>
  <si>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</si>
  <si>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</si>
  <si>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#2010 Chinn Old Town Mixed Use</t>
  </si>
  <si>
    <t xml:space="preserve">Narrative observations distilled from the full JDR analysis</t>
  </si>
  <si>
    <t xml:space="preserve">MARGIN PROFILE</t>
  </si>
  <si>
    <t xml:space="preserve">Net profit of $800,420 on $1,386,419 revenue = 57.7% gross margin. Direct cost $585,999 absorbs 42.3% of revenue.</t>
  </si>
  <si>
    <t xml:space="preserve">VENDOR CONCENTRATION</t>
  </si>
  <si>
    <t xml:space="preserve">Rosen Supply Company, Inc. alone = $215,860 (60% of all AP) across 73 invoices. Total 18 AP vendors, $362,722 total AP spend.</t>
  </si>
  <si>
    <t xml:space="preserve">CREW PROFILE</t>
  </si>
  <si>
    <t xml:space="preserve">22 workers for 9,992 hours = 454 avg hrs/worker. Top 3 workers logged 4,734 hrs combined (47% of all labor).</t>
  </si>
  <si>
    <t xml:space="preserve">ROUGHIN DOMINANCE</t>
  </si>
  <si>
    <t xml:space="preserve">Code 120 Roughin Labor = 6,202 hrs (62% of all labor) and $114,688 actual. Code 230 Finish Material = $173,653 — 30% of total direct cost.</t>
  </si>
  <si>
    <t xml:space="preserve">BUDGET DELIVERY</t>
  </si>
  <si>
    <t xml:space="preserve">Revised budget was $977,918; actual direct cost $585,999 → $391,919 variance (40.1% under revised budget).</t>
  </si>
  <si>
    <t xml:space="preserve">CONTRACT GROWTH</t>
  </si>
  <si>
    <t xml:space="preserve">Contract grew from $1,469,800 to $1,386,419 — net +$-83,381 (-5.7%). Retainage of $69,321 (5%) withheld until closeout.</t>
  </si>
  <si>
    <t xml:space="preserve">BURDEN RATIO</t>
  </si>
  <si>
    <t xml:space="preserve">Burden codes 995 + 998 = $103,414 on $196,271 labor base = 52.7%. In line with OWP's typical 48–50% labor burden.</t>
  </si>
  <si>
    <t xml:space="preserve">PROJECT SCALE</t>
  </si>
  <si>
    <t xml:space="preserve">165 units · 803 fixtures · 24 months. Revenue/unit $8,403, hours/unit 60.6, profit/unit $4,851.</t>
  </si>
  <si>
    <t xml:space="preserve">PRODUCTIVITY</t>
  </si>
  <si>
    <t xml:space="preserve">Blended labor rate $19.64/hr. Revenue/hour $139. Profit/hour $80. 416 hrs/month burn rate.</t>
  </si>
  <si>
    <t xml:space="preserve">FIXTURE DENSITY</t>
  </si>
  <si>
    <t xml:space="preserve">803 fixtures ÷ 165 units = 4.87 fixtures/unit. Material/fixture $352, labor/fixture $244.</t>
  </si>
  <si>
    <t xml:space="preserve">BIGGEST QUESTION</t>
  </si>
  <si>
    <t xml:space="preserve">How does this job's 57.7%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</si>
  <si>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</si>
  <si>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</si>
  <si>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</si>
  <si>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</si>
  <si>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Confidence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</si>
  <si>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</si>
  <si>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</si>
  <si>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</si>
  <si>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</si>
  <si>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</si>
  <si>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Verified</t>
  </si>
  <si>
    <t xml:space="preserve">Benchmark KPIs / Metric Registry — see source tabs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</si>
  <si>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</si>
  <si>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</si>
  <si>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</si>
  <si>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</si>
  <si>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</si>
  <si>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</si>
  <si>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165-unit mixed-use multifamily apartments + ground-floor retail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</si>
  <si>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</si>
  <si>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</si>
  <si>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</si>
  <si>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</si>
  <si>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</si>
  <si>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</si>
  <si>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</si>
  <si>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</si>
  <si>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</si>
  <si>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</si>
  <si>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</si>
  <si>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</si>
  <si>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</si>
  <si>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</si>
  <si>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</si>
  <si>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</si>
  <si>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</si>
  <si>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</si>
  <si>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</si>
  <si>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</si>
  <si>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</si>
  <si>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</si>
  <si>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</si>
  <si>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</si>
  <si>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12 labor codes</t>
  </si>
  <si>
    <t xml:space="preserve">Material Cost</t>
  </si>
  <si>
    <t xml:space="preserve">material_cost</t>
  </si>
  <si>
    <t xml:space="preserve">Sum of 10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</si>
  <si>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</si>
  <si>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</si>
  <si>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</si>
  <si>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</si>
  <si>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</si>
  <si>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</si>
  <si>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</si>
  <si>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</si>
  <si>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</si>
  <si>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</si>
  <si>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</si>
  <si>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</si>
  <si>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</si>
  <si>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</si>
  <si>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</si>
  <si>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</si>
  <si>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</si>
  <si>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</si>
  <si>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</si>
  <si>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</si>
  <si>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</si>
  <si>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</si>
  <si>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</si>
  <si>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</si>
  <si>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</si>
  <si>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</si>
  <si>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</si>
  <si>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</si>
  <si>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</si>
  <si>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</si>
  <si>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</si>
  <si>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</si>
  <si>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</si>
  <si>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</si>
  <si>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</si>
  <si>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</si>
  <si>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</si>
  <si>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</si>
  <si>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</si>
  <si>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</si>
  <si>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</si>
  <si>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</si>
  <si>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</si>
  <si>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</si>
  <si>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</si>
  <si>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</si>
  <si>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</si>
  <si>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</si>
  <si>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</si>
  <si>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</si>
  <si>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</si>
  <si>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</si>
  <si>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</si>
  <si>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</si>
  <si>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</si>
  <si>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</si>
  <si>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</si>
  <si>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</si>
  <si>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</si>
  <si>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</si>
  <si>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</si>
  <si>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</si>
  <si>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</si>
  <si>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</si>
  <si>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</si>
  <si>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</si>
  <si>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</si>
  <si>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</si>
  <si>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</si>
  <si>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</si>
  <si>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</si>
  <si>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</si>
  <si>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</si>
  <si>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</si>
  <si>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</si>
  <si>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Vendor Detail — Job #2010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</si>
  <si>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</si>
  <si>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</si>
  <si>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</si>
  <si>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</si>
  <si>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</si>
  <si>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</si>
  <si>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Job Detail Report (Sage Timberline AP export)</t>
  </si>
  <si>
    <t xml:space="preserve">Avg Inv</t>
  </si>
  <si>
    <t xml:space="preserve">Rank</t>
  </si>
  <si>
    <t xml:space="preserve">Vendor Code</t>
  </si>
  <si>
    <t xml:space="preserve">Avg / Invoice</t>
  </si>
  <si>
    <t xml:space="preserve">Change Log — Master Register</t>
  </si>
  <si>
    <t xml:space="preserve">Unified change-event ledger: RFIs, ASIs, COPs, COs, Backcharges, T&amp;M (23 events)</t>
  </si>
  <si>
    <t xml:space="preserve">Event ID</t>
  </si>
  <si>
    <t xml:space="preserve">Type</t>
  </si>
  <si>
    <t xml:space="preserve">Subject</t>
  </si>
  <si>
    <t xml:space="preserve">Originator</t>
  </si>
  <si>
    <t xml:space="preserve">Linked Event(s)</t>
  </si>
  <si>
    <t xml:space="preserve">Cost Impact ($)</t>
  </si>
  <si>
    <t xml:space="preserve">Schedule (days)</t>
  </si>
  <si>
    <t xml:space="preserve">CO-003</t>
  </si>
  <si>
    <t xml:space="preserve">CO</t>
  </si>
  <si>
    <t xml:space="preserve">2013-12-12</t>
  </si>
  <si>
    <t xml:space="preserve">Change Order #3 — embedded in schedule of values</t>
  </si>
  <si>
    <t xml:space="preserve">GC (WPM)</t>
  </si>
  <si>
    <t xml:space="preserve">Active</t>
  </si>
  <si>
    <t xml:space="preserve">2010-Chinn, Old Town/Oldtown billing/Chinn Old Town schedule of values- 13 -12-12-13 co#3.xlsx</t>
  </si>
  <si>
    <t xml:space="preserve">CO-004</t>
  </si>
  <si>
    <t xml:space="preserve">Change Order #4 — embedded in schedule of values</t>
  </si>
  <si>
    <t xml:space="preserve">2010-Chinn, Old Town/Oldtown billing/Chinn Old Town schedule of values- 17 -5-20-14 co#4.xlsx</t>
  </si>
  <si>
    <t xml:space="preserve">ASI-001</t>
  </si>
  <si>
    <t xml:space="preserve">ASI</t>
  </si>
  <si>
    <t xml:space="preserve">2012-05-31</t>
  </si>
  <si>
    <t xml:space="preserve">Landscape for construction drawings</t>
  </si>
  <si>
    <t xml:space="preserve">Architect (Weber Thompson)</t>
  </si>
  <si>
    <t xml:space="preserve">Closed</t>
  </si>
  <si>
    <t xml:space="preserve">2010-Chinn, Old Town/ASI-RFI/ASI No 1 Narrative.pdf</t>
  </si>
  <si>
    <t xml:space="preserve">ASI-002</t>
  </si>
  <si>
    <t xml:space="preserve">2012-06-19</t>
  </si>
  <si>
    <t xml:space="preserve">Structural Drawings Revision 7 — transformer cable room, wall replacement 8→6, dimensions, column repositioning</t>
  </si>
  <si>
    <t xml:space="preserve">2010-Chinn, Old Town/ASI-RFI/ASI No 2 Narratives.pdf</t>
  </si>
  <si>
    <t xml:space="preserve">ASI-006</t>
  </si>
  <si>
    <t xml:space="preserve">2012-Q3</t>
  </si>
  <si>
    <t xml:space="preserve">Architectural revisions — Level L011</t>
  </si>
  <si>
    <t xml:space="preserve">2010-Chinn, Old Town/ASI-RFI/old town RFI-ASI/ASI 6 Architectural Revisions Level L011.pdf</t>
  </si>
  <si>
    <t xml:space="preserve">ASI-008</t>
  </si>
  <si>
    <t xml:space="preserve">2012-Q4</t>
  </si>
  <si>
    <t xml:space="preserve">Courtyard &amp; street level irrigation plan details</t>
  </si>
  <si>
    <t xml:space="preserve">Landscape Architect</t>
  </si>
  <si>
    <t xml:space="preserve">2010-Chinn, Old Town/ASI-RFI/old town RFI-ASI/Old Town ASI#8.pdf</t>
  </si>
  <si>
    <t xml:space="preserve">ASI-023.R1</t>
  </si>
  <si>
    <t xml:space="preserve">2013</t>
  </si>
  <si>
    <t xml:space="preserve">ASI 23 Revision 1 — resubmission</t>
  </si>
  <si>
    <t xml:space="preserve">2010-Chinn, Old Town/ASI-RFI/ASI No 23R1 Complete.pdf</t>
  </si>
  <si>
    <t xml:space="preserve">ASI-024</t>
  </si>
  <si>
    <t xml:space="preserve">ASI 24 — design clarification</t>
  </si>
  <si>
    <t xml:space="preserve">2010-Chinn, Old Town/ASI-RFI/ASI No 24 Complete.pdf</t>
  </si>
  <si>
    <t xml:space="preserve">ASI-NARR</t>
  </si>
  <si>
    <t xml:space="preserve">ID Revisions Narrative — design revisions summary</t>
  </si>
  <si>
    <t xml:space="preserve">2010-Chinn, Old Town/ASI-RFI/Narrative for ID Revisions.pdf</t>
  </si>
  <si>
    <t xml:space="preserve">RFI-004</t>
  </si>
  <si>
    <t xml:space="preserve">RFI</t>
  </si>
  <si>
    <t xml:space="preserve">2012</t>
  </si>
  <si>
    <t xml:space="preserve">PSE Transformer Relocation</t>
  </si>
  <si>
    <t xml:space="preserve">GC (OTMU)</t>
  </si>
  <si>
    <t xml:space="preserve">2010-Chinn, Old Town/ASI-RFI/old town RFI-ASI/RFI 4 PSE Transformer Relocation_Response.pdf</t>
  </si>
  <si>
    <t xml:space="preserve">RFI-016</t>
  </si>
  <si>
    <t xml:space="preserve">Oil/water separator relocation</t>
  </si>
  <si>
    <t xml:space="preserve">2010-Chinn, Old Town/ASI-RFI/old town RFI-ASI/Response - OTMU RFI #016 - oil water location relocation_.pdf</t>
  </si>
  <si>
    <t xml:space="preserve">RFI-026</t>
  </si>
  <si>
    <t xml:space="preserve">Vault room wall and footing details</t>
  </si>
  <si>
    <t xml:space="preserve">2010-Chinn, Old Town/ASI-RFI/old town RFI-ASI/RFI 026 - Response - Vault room wall and footing details.pdf</t>
  </si>
  <si>
    <t xml:space="preserve">RFI-063</t>
  </si>
  <si>
    <t xml:space="preserve">Crane blockout pourback</t>
  </si>
  <si>
    <t xml:space="preserve">2010-Chinn, Old Town/ASI-RFI/old town RFI-ASI/OTMU RFI #63 - crane blockout pourback_Response.pdf</t>
  </si>
  <si>
    <t xml:space="preserve">RFI-086</t>
  </si>
  <si>
    <t xml:space="preserve">Dog wash sleeve locations (plumbing coordination)</t>
  </si>
  <si>
    <t xml:space="preserve">2010-Chinn, Old Town/ASI-RFI/old town RFI-ASI/RFI 086 Dog Wash Sleeve Locations_WT Response.pdf</t>
  </si>
  <si>
    <t xml:space="preserve">RFI-091</t>
  </si>
  <si>
    <t xml:space="preserve">New location for backflow protection assembly</t>
  </si>
  <si>
    <t xml:space="preserve">2010-Chinn, Old Town/ASI-RFI/old town RFI-ASI/OTMU RFI 091 - New location for backflow protection assembly_Response.pdf</t>
  </si>
  <si>
    <t xml:space="preserve">RFI-092</t>
  </si>
  <si>
    <t xml:space="preserve">Water/sewer sleeves in PT slab for tenant spaces</t>
  </si>
  <si>
    <t xml:space="preserve">2010-Chinn, Old Town/ASI-RFI/old town RFI-ASI/OTMU RESPONSE RFI 092 - Watersewer sleeves in PT slab for tenant spaces.pdf</t>
  </si>
  <si>
    <t xml:space="preserve">RFI-093</t>
  </si>
  <si>
    <t xml:space="preserve">Elevation &amp; location of fixtures in stairwells</t>
  </si>
  <si>
    <t xml:space="preserve">2010-Chinn, Old Town/ASI-RFI/old town RFI-ASI/OTMU RFI 093 - Elevation and location of fixtures in stairwells_Response.pdf</t>
  </si>
  <si>
    <t xml:space="preserve">RFI-095</t>
  </si>
  <si>
    <t xml:space="preserve">Water vault pump change (equipment substitution)</t>
  </si>
  <si>
    <t xml:space="preserve">2010-Chinn, Old Town/ASI-RFI/old town RFI-ASI/OTMU RFI 095 - Water vault pump change_Response.pdf</t>
  </si>
  <si>
    <t xml:space="preserve">RFI-096</t>
  </si>
  <si>
    <t xml:space="preserve">2013-03-01</t>
  </si>
  <si>
    <t xml:space="preserve">ERRCS head end equipment location</t>
  </si>
  <si>
    <t xml:space="preserve">2010-Chinn, Old Town/ASI-RFI/old town RFI-ASI/OTMU RFI 096 - ERRCS head end equipment location-AWA WT Response-3-1-13.pdf</t>
  </si>
  <si>
    <t xml:space="preserve">RFI-099</t>
  </si>
  <si>
    <t xml:space="preserve">L01 PT pour east design changes</t>
  </si>
  <si>
    <t xml:space="preserve">2010-Chinn, Old Town/ASI-RFI/old town RFI-ASI/OTMU RESPONSE RFI 99 L01 PT pour east design changes.pdf</t>
  </si>
  <si>
    <t xml:space="preserve">RFI-104</t>
  </si>
  <si>
    <t xml:space="preserve">PT deck at grid A level LM</t>
  </si>
  <si>
    <t xml:space="preserve">2010-Chinn, Old Town/ASI-RFI/old town RFI-ASI/OTMU RFI 104 - PT deck at grid A level LM_Response1.pdf</t>
  </si>
  <si>
    <t xml:space="preserve">RFI-107</t>
  </si>
  <si>
    <t xml:space="preserve">Warning horn or light at garage exits</t>
  </si>
  <si>
    <t xml:space="preserve">2010-Chinn, Old Town/ASI-RFI/old town RFI-ASI/OTMU RFI 107 - Warning Horn or Light at Garage Exits_Response1.pdf</t>
  </si>
  <si>
    <t xml:space="preserve">RFI-115</t>
  </si>
  <si>
    <t xml:space="preserve">Water repeater</t>
  </si>
  <si>
    <t xml:space="preserve">2010-Chinn, Old Town/ASI-RFI/old town RFI-ASI/OTMU RFI 115 - Water repeater_Response.pdf</t>
  </si>
  <si>
    <t xml:space="preserve">Root Cause Analysis — Change Driver Taxonomy</t>
  </si>
  <si>
    <t xml:space="preserve">Categorized change events with responsible-party attribution — feeds bid-risk intelligence</t>
  </si>
  <si>
    <t xml:space="preserve">CATEGORY ROLLUP</t>
  </si>
  <si>
    <t xml:space="preserve">Root Cause Category</t>
  </si>
  <si>
    <t xml:space="preserve"># Events</t>
  </si>
  <si>
    <t xml:space="preserve">Net Cost Impact ($)</t>
  </si>
  <si>
    <t xml:space="preserve">% of Events</t>
  </si>
  <si>
    <t xml:space="preserve">Predominant Responsibility</t>
  </si>
  <si>
    <t xml:space="preserve">Design error</t>
  </si>
  <si>
    <t xml:space="preserve">Designer</t>
  </si>
  <si>
    <t xml:space="preserve">Structural Drawings Revision 7 — transformer cable room, wal</t>
  </si>
  <si>
    <t xml:space="preserve">Design substitution</t>
  </si>
  <si>
    <t xml:space="preserve">Owner/GC</t>
  </si>
  <si>
    <t xml:space="preserve">Design clarification</t>
  </si>
  <si>
    <t xml:space="preserve">Field condition</t>
  </si>
  <si>
    <t xml:space="preserve">Coordination conflict</t>
  </si>
  <si>
    <t xml:space="preserve">Scope gap</t>
  </si>
  <si>
    <t xml:space="preserve">Combined/multi-cause</t>
  </si>
  <si>
    <t xml:space="preserve">Mixed</t>
  </si>
  <si>
    <t xml:space="preserve">RESPONSIBILITY ATTRIBUTION</t>
  </si>
  <si>
    <t xml:space="preserve">Responsible Party</t>
  </si>
  <si>
    <t xml:space="preserve">Net $ Impact</t>
  </si>
  <si>
    <t xml:space="preserve">Bid-Risk Signal</t>
  </si>
  <si>
    <t xml:space="preserve">NEUTRAL</t>
  </si>
  <si>
    <t xml:space="preserve">Predictive Signals — Leading Indicators</t>
  </si>
  <si>
    <t xml:space="preserve">Forward-looking metrics that predict CO waves, schedule slips, and margin erosion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</si>
  <si>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</si>
  <si>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</si>
  <si>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</si>
  <si>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</si>
  <si>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Predictive Meaning</t>
  </si>
  <si>
    <t xml:space="preserve">RFI Total (closed)</t>
  </si>
  <si>
    <t xml:space="preserve">&lt;50 for mid-size</t>
  </si>
  <si>
    <t xml:space="preserve">INFO</t>
  </si>
  <si>
    <t xml:space="preserve">Volume proxy for design doc quality</t>
  </si>
  <si>
    <t xml:space="preserve">RFI Velocity (per month, derived)</t>
  </si>
  <si>
    <t xml:space="preserve">See KPIs D50</t>
  </si>
  <si>
    <t xml:space="preserve">&lt;3.0/wk</t>
  </si>
  <si>
    <t xml:space="preserve">&gt;3/wk = CO wave in 4-8 wks</t>
  </si>
  <si>
    <t xml:space="preserve">RFI Avg Cycle Time (days)</t>
  </si>
  <si>
    <t xml:space="preserve">Unknown</t>
  </si>
  <si>
    <t xml:space="preserve">&lt;14</t>
  </si>
  <si>
    <t xml:space="preserve">N/A</t>
  </si>
  <si>
    <t xml:space="preserve">&gt;30 avg signals schedule slip</t>
  </si>
  <si>
    <t xml:space="preserve">ASI / OCD Count</t>
  </si>
  <si>
    <t xml:space="preserve">&lt;5</t>
  </si>
  <si>
    <t xml:space="preserve">ELEVATED</t>
  </si>
  <si>
    <t xml:space="preserve">High ASI = owner scope churn</t>
  </si>
  <si>
    <t xml:space="preserve">Backcharge Count</t>
  </si>
  <si>
    <t xml:space="preserve">&lt;3</t>
  </si>
  <si>
    <t xml:space="preserve">HEALTHY</t>
  </si>
  <si>
    <t xml:space="preserve">BC clusters = coordination weakness</t>
  </si>
  <si>
    <t xml:space="preserve">Change Order Count</t>
  </si>
  <si>
    <t xml:space="preserve">CO count signals scope definition</t>
  </si>
  <si>
    <t xml:space="preserve">T&amp;M Event Count</t>
  </si>
  <si>
    <t xml:space="preserve">&lt;2</t>
  </si>
  <si>
    <t xml:space="preserve">T&amp;M = directed work pipeline</t>
  </si>
  <si>
    <t xml:space="preserve">Submittal resubmission count</t>
  </si>
  <si>
    <t xml:space="preserve">&lt;10</t>
  </si>
  <si>
    <t xml:space="preserve">Repeats = coord issues incubating</t>
  </si>
  <si>
    <t xml:space="preserve">Net $ Impact (all events)</t>
  </si>
  <si>
    <t xml:space="preserve">Near $0</t>
  </si>
  <si>
    <t xml:space="preserve">Net recoverable vs absorbed</t>
  </si>
  <si>
    <t xml:space="preserve">FORECAST MODELS (closed-project — actuals)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</si>
  <si>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</si>
  <si>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</si>
  <si>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</si>
  <si>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</si>
  <si>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Projected final CO % of contract</t>
  </si>
  <si>
    <t xml:space="preserve">Closed project</t>
  </si>
  <si>
    <t xml:space="preserve">CO$ / orig contract</t>
  </si>
  <si>
    <t xml:space="preserve">Projected EAC (direct cost)</t>
  </si>
  <si>
    <t xml:space="preserve">Sum of L+M+OH+Burden</t>
  </si>
  <si>
    <t xml:space="preserve">Projected final margin</t>
  </si>
  <si>
    <t xml:space="preserve">(Rev - DC) / Rev</t>
  </si>
  <si>
    <t xml:space="preserve">Composite risk score (0-100)</t>
  </si>
  <si>
    <t xml:space="preserve">Medium</t>
  </si>
  <si>
    <t xml:space="preserve">0 BCs + 7 ASI/OCDs</t>
  </si>
  <si>
    <t xml:space="preserve">Custom Cortex scoring</t>
  </si>
  <si>
    <t xml:space="preserve">Metric Registry — Cortex Data Catalog</t>
  </si>
  <si>
    <t xml:space="preserve">Every metric with data_label, confidence_level, and source_document — the machine-readable JCR index</t>
  </si>
  <si>
    <t xml:space="preserve">#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</si>
  <si>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</si>
  <si>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</si>
  <si>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</si>
  <si>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</si>
  <si>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</si>
  <si>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Formula / Derivation</t>
  </si>
  <si>
    <t xml:space="preserve">id</t>
  </si>
  <si>
    <t xml:space="preserve">JDR header</t>
  </si>
  <si>
    <t xml:space="preserve">See Benchmark KPIs tab</t>
  </si>
  <si>
    <t xml:space="preserve">text</t>
  </si>
  <si>
    <t xml:space="preserve">Contract folder</t>
  </si>
  <si>
    <t xml:space="preserve">Permit/Plans</t>
  </si>
  <si>
    <t xml:space="preserve">Plans</t>
  </si>
  <si>
    <t xml:space="preserve">months</t>
  </si>
  <si>
    <t xml:space="preserve">First-to-last invoice</t>
  </si>
  <si>
    <t xml:space="preserve">Plumbing permit + P-tag list</t>
  </si>
  <si>
    <t xml:space="preserve">count</t>
  </si>
  <si>
    <t xml:space="preserve">Permit detail</t>
  </si>
  <si>
    <t xml:space="preserve">Contract Original</t>
  </si>
  <si>
    <t xml:space="preserve">USD</t>
  </si>
  <si>
    <t xml:space="preserve">Contract SOV</t>
  </si>
  <si>
    <t xml:space="preserve">Contract Final</t>
  </si>
  <si>
    <t xml:space="preserve">Final billing SOV</t>
  </si>
  <si>
    <t xml:space="preserve">JDR revised - original</t>
  </si>
  <si>
    <t xml:space="preserve">Aggregate billing</t>
  </si>
  <si>
    <t xml:space="preserve">Revenue - Direct Cost</t>
  </si>
  <si>
    <t xml:space="preserve">Gross Margin %</t>
  </si>
  <si>
    <t xml:space="preserve">%</t>
  </si>
  <si>
    <t xml:space="preserve">Derived</t>
  </si>
  <si>
    <t xml:space="preserve">JDR cost codes</t>
  </si>
  <si>
    <t xml:space="preserve">JDR labor codes</t>
  </si>
  <si>
    <t xml:space="preserve">JDR material codes</t>
  </si>
  <si>
    <t xml:space="preserve">JDR overhead codes</t>
  </si>
  <si>
    <t xml:space="preserve">JDR burden codes</t>
  </si>
  <si>
    <t xml:space="preserve">Aggregate billing row</t>
  </si>
  <si>
    <t xml:space="preserve">hours</t>
  </si>
  <si>
    <t xml:space="preserve">JDR payroll</t>
  </si>
  <si>
    <t xml:space="preserve">JDR unique workers</t>
  </si>
  <si>
    <t xml:space="preserve">USD/hr</t>
  </si>
  <si>
    <t xml:space="preserve">Labor $ / Hours</t>
  </si>
  <si>
    <t xml:space="preserve">JDR AP unique</t>
  </si>
  <si>
    <t xml:space="preserve">PO folder count</t>
  </si>
  <si>
    <t xml:space="preserve">CO % of Original</t>
  </si>
  <si>
    <t xml:space="preserve">rfi_total_count</t>
  </si>
  <si>
    <t xml:space="preserve">RFIs Total</t>
  </si>
  <si>
    <t xml:space="preserve">Predictive Signals</t>
  </si>
  <si>
    <t xml:space="preserve">ASI-RFI folder count</t>
  </si>
  <si>
    <t xml:space="preserve">See Predictive Signals tab</t>
  </si>
  <si>
    <t xml:space="preserve">asi_ocd_count</t>
  </si>
  <si>
    <t xml:space="preserve">ASI + OCD Count</t>
  </si>
  <si>
    <t xml:space="preserve">Change Log</t>
  </si>
  <si>
    <t xml:space="preserve">ASI-RFI folder + Change Orders</t>
  </si>
  <si>
    <t xml:space="preserve">See Change Log tab</t>
  </si>
  <si>
    <t xml:space="preserve">co_count_total</t>
  </si>
  <si>
    <t xml:space="preserve">Change Orders folder</t>
  </si>
  <si>
    <t xml:space="preserve">backcharge_count</t>
  </si>
  <si>
    <t xml:space="preserve">Invoices/Backcharges</t>
  </si>
  <si>
    <t xml:space="preserve">tm_event_count</t>
  </si>
  <si>
    <t xml:space="preserve">Change Orders / JDR 038</t>
  </si>
  <si>
    <t xml:space="preserve">submittal_resub_count</t>
  </si>
  <si>
    <t xml:space="preserve">Submittal Resubmissions</t>
  </si>
  <si>
    <t xml:space="preserve">Submittals folder</t>
  </si>
  <si>
    <t xml:space="preserve">change_event_total</t>
  </si>
  <si>
    <t xml:space="preserve">Total Tracked Events</t>
  </si>
  <si>
    <t xml:space="preserve">Change Log tab</t>
  </si>
  <si>
    <t xml:space="preserve">change_net_impact</t>
  </si>
  <si>
    <t xml:space="preserve">Change Net $ Impact</t>
  </si>
  <si>
    <t xml:space="preserve">SUM H col</t>
  </si>
  <si>
    <t xml:space="preserve">Reconciliation — Cross-Tab Tie-out Proofs</t>
  </si>
  <si>
    <t xml:space="preserve">Live cross-sheet formulas verify data consistency across all 17 tabs</t>
  </si>
  <si>
    <t xml:space="preserve">Check</t>
  </si>
  <si>
    <t xml:space="preserve">Tab A</t>
  </si>
  <si>
    <t xml:space="preserve">Tab B</t>
  </si>
  <si>
    <t xml:space="preserve">Tabs</t>
  </si>
  <si>
    <t xml:space="preserve">A. OVERVIEW ↔ BENCHMARK KPIS</t>
  </si>
  <si>
    <t xml:space="preserve">Direct Cost Total</t>
  </si>
  <si>
    <t xml:space="preserve">1↔2↔11</t>
  </si>
  <si>
    <t xml:space="preserve">Contract Final Value</t>
  </si>
  <si>
    <t xml:space="preserve">JDR↔11</t>
  </si>
  <si>
    <t xml:space="preserve">B. OVERVIEW ↔ COST BREAKDOWN (Category Actuals)</t>
  </si>
  <si>
    <t xml:space="preserve">Labor Actual</t>
  </si>
  <si>
    <t xml:space="preserve">1↔3</t>
  </si>
  <si>
    <t xml:space="preserve">Material Actual</t>
  </si>
  <si>
    <t xml:space="preserve">Overhead Actual</t>
  </si>
  <si>
    <t xml:space="preserve">Burden Actual</t>
  </si>
  <si>
    <t xml:space="preserve">C. BUDGET vs ACTUAL ↔ OVERVIEW</t>
  </si>
  <si>
    <t xml:space="preserve">Actual Direct Cost</t>
  </si>
  <si>
    <t xml:space="preserve">2↔1</t>
  </si>
  <si>
    <t xml:space="preserve">Revised Budget Total</t>
  </si>
  <si>
    <t xml:space="preserve">D. MATERIAL ↔ COST BREAKDOWN ↔ KPIS</t>
  </si>
  <si>
    <t xml:space="preserve">Material Actual (Material tab)</t>
  </si>
  <si>
    <t xml:space="preserve">4↔3</t>
  </si>
  <si>
    <t xml:space="preserve">Material Actual (KPIs)</t>
  </si>
  <si>
    <t xml:space="preserve">11↔3</t>
  </si>
  <si>
    <t xml:space="preserve">E. CREW &amp; LABOR ↔ PRODUCTIVITY ↔ KPIS (Hours)</t>
  </si>
  <si>
    <t xml:space="preserve">Total Hours (Crew tab)</t>
  </si>
  <si>
    <t xml:space="preserve">5↔11</t>
  </si>
  <si>
    <t xml:space="preserve">Total Hours (Productivity tab)</t>
  </si>
  <si>
    <t xml:space="preserve">7↔11</t>
  </si>
  <si>
    <t xml:space="preserve">F. CREW ANALYTICS ↔ KPIS (Wage Statistics)</t>
  </si>
  <si>
    <t xml:space="preserve">6↔11</t>
  </si>
  <si>
    <t xml:space="preserve">G. PO COMMITMENTS ↔ KPIS</t>
  </si>
  <si>
    <t xml:space="preserve">8↔11</t>
  </si>
  <si>
    <t xml:space="preserve">H. BILLING &amp; SOV ↔ JDR</t>
  </si>
  <si>
    <t xml:space="preserve">9↔JDR</t>
  </si>
  <si>
    <t xml:space="preserve">I. VENDORS ↔ KPIS</t>
  </si>
  <si>
    <t xml:space="preserve">Vendor Count</t>
  </si>
  <si>
    <t xml:space="preserve">12↔11</t>
  </si>
  <si>
    <t xml:space="preserve">Total AP Spend</t>
  </si>
  <si>
    <t xml:space="preserve">12↔JDR</t>
  </si>
  <si>
    <t xml:space="preserve">J. INSIGHTS (Narrative Review)</t>
  </si>
  <si>
    <t xml:space="preserve">10 insight cards — narrative text verified at generation time, no formula check applicable</t>
  </si>
  <si>
    <t xml:space="preserve">K. CHANGE LOG ↔ ROOT CAUSE ANALYSIS</t>
  </si>
  <si>
    <t xml:space="preserve">Total Event Count</t>
  </si>
  <si>
    <t xml:space="preserve">13↔14</t>
  </si>
  <si>
    <t xml:space="preserve">L. PREDICTIVE SIGNALS ↔ CHANGE LOG</t>
  </si>
  <si>
    <t xml:space="preserve">Backcharge Count signal</t>
  </si>
  <si>
    <t xml:space="preserve">15↔13</t>
  </si>
  <si>
    <t xml:space="preserve">M. METRIC REGISTRY ↔ BENCHMARK KPIs</t>
  </si>
  <si>
    <t xml:space="preserve">revenue (row 17)</t>
  </si>
  <si>
    <t xml:space="preserve">16↔11</t>
  </si>
  <si>
    <t xml:space="preserve">unit_count (row 12)</t>
  </si>
  <si>
    <t xml:space="preserve">total_fixtures (row 13)</t>
  </si>
  <si>
    <t xml:space="preserve">direct_cost (row 19)</t>
  </si>
  <si>
    <t xml:space="preserve">total_pos (row 30)</t>
  </si>
  <si>
    <t xml:space="preserve">N. CHANGE LOG ↔ METRIC REGISTRY (event counts)</t>
  </si>
  <si>
    <t xml:space="preserve">16↔13</t>
  </si>
  <si>
    <t xml:space="preserve">Job #2010 — Cortex v2 17-tab layout</t>
  </si>
  <si>
    <t xml:space="preserve">12 analytical tabs + Change Log + Root Cause Analysis + Predictive Signals + Metric Registry + Reconciliation</t>
  </si>
  <si>
    <t xml:space="preserve">Canonical source: 2010 Job Detail Report.pdf (Sage Timberline export)</t>
  </si>
  <si>
    <t xml:space="preserve">Change artifacts: folders scanned — ASI-RFI, Change Orders, Submittals, Invoices (Backcharges), JDR cost codes</t>
  </si>
  <si>
    <t xml:space="preserve">Every Change Log row cites its source document path</t>
  </si>
  <si>
    <t xml:space="preserve">TIES = within $1/5hrs/exact count  •  WITHIN = within 5%  •  OFF = investigate</t>
  </si>
  <si>
    <t xml:space="preserve">Cross-sheet formulas (='Tab'!Cell) update automatically when source tabs change</t>
  </si>
  <si>
    <t xml:space="preserve">Tabs: 1-12 analytical  •  13=ChangeLog  •  14=RootCause  •  15=PredictiveSignals  •  16=MetricRegistry  •  17=Reconciliation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</si>
</sst>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\$#,##0;[RED]&quot;-$&quot;#,##0"/>
    <numFmt numFmtId="173" formatCode="0.0%"/>
    <numFmt numFmtId="174" formatCode="#,##0.0;[RED]\-#,##0.0"/>
    <numFmt numFmtId="175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2E5090"/>
        <bgColor rgb="FF1F3864"/>
      </patternFill>
    </fill>
    <fill>
      <patternFill patternType="solid">
        <fgColor rgb="FFE2EFDA"/>
        <bgColor rgb="FFE5E7EB"/>
      </patternFill>
    </fill>
    <fill>
      <patternFill patternType="solid">
        <fgColor rgb="FF1F3864"/>
        <bgColor rgb="FF1F2937"/>
      </patternFill>
    </fill>
    <fill>
      <patternFill patternType="solid">
        <fgColor rgb="FF4472C4"/>
        <bgColor rgb="FF6B72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595959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5E7EB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6" t="s">
        <v>12</v>
      </c>
    </row>
    <row r="11" customFormat="false" ht="15" hidden="false" customHeight="true" outlineLevel="0" collapsed="false">
      <c r="B11" s="5" t="s">
        <v>13</v>
      </c>
      <c r="C11" s="6" t="s">
        <v>14</v>
      </c>
    </row>
    <row r="13" customFormat="false" ht="15" hidden="false" customHeight="true" outlineLevel="0" collapsed="false">
      <c r="B13" s="7" t="s">
        <v>15</v>
      </c>
      <c r="D13" s="7" t="s">
        <v>16</v>
      </c>
      <c r="F13" s="7" t="s">
        <v>17</v>
      </c>
      <c r="H13" s="7" t="s">
        <v>18</v>
      </c>
    </row>
    <row r="14" customFormat="false" ht="17.25" hidden="false" customHeight="true" outlineLevel="0" collapsed="false">
      <c r="B14" s="8" t="s">
        <v>19</v>
      </c>
      <c r="D14" s="8" t="s">
        <v>20</v>
      </c>
      <c r="F14" s="8" t="s">
        <v>21</v>
      </c>
      <c r="H14" s="8" t="s">
        <v>22</v>
      </c>
    </row>
    <row r="15" customFormat="false" ht="15" hidden="false" customHeight="true" outlineLevel="0" collapsed="false">
      <c r="B15" s="9" t="s">
        <v>23</v>
      </c>
      <c r="D15" s="9" t="s">
        <v>24</v>
      </c>
      <c r="F15" s="9" t="s">
        <v>25</v>
      </c>
      <c r="H15" s="9" t="s">
        <v>26</v>
      </c>
    </row>
    <row r="18" customFormat="false" ht="15" hidden="false" customHeight="true" outlineLevel="0" collapsed="false">
      <c r="B18" s="4" t="s">
        <v>27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true" outlineLevel="0" collapsed="false">
      <c r="B20" s="5" t="s">
        <v>34</v>
      </c>
      <c r="C20" s="11" t="n">
        <v>303565</v>
      </c>
      <c r="D20" s="11" t="n">
        <v>196271.13</v>
      </c>
      <c r="E20" s="11" t="n">
        <f aca="false">C20-D20</f>
        <v>107293.87</v>
      </c>
      <c r="F20" s="12" t="n">
        <f aca="false">IF(C20=0,0,D20/C20)</f>
        <v>0.646553884670499</v>
      </c>
      <c r="G20" s="12" t="n">
        <f aca="false">IF($D$24=0,0,D20/$D$24)</f>
        <v>0.334934480557956</v>
      </c>
    </row>
    <row r="21" customFormat="false" ht="15" hidden="false" customHeight="true" outlineLevel="0" collapsed="false">
      <c r="B21" s="5" t="s">
        <v>35</v>
      </c>
      <c r="C21" s="11" t="n">
        <v>504680</v>
      </c>
      <c r="D21" s="11" t="n">
        <v>282662.77</v>
      </c>
      <c r="E21" s="11" t="n">
        <f aca="false">C21-D21</f>
        <v>222017.23</v>
      </c>
      <c r="F21" s="12" t="n">
        <f aca="false">IF(C21=0,0,D21/C21)</f>
        <v>0.560083161607355</v>
      </c>
      <c r="G21" s="12" t="n">
        <f aca="false">IF($D$24=0,0,D21/$D$24)</f>
        <v>0.482360844628668</v>
      </c>
    </row>
    <row r="22" customFormat="false" ht="15" hidden="false" customHeight="true" outlineLevel="0" collapsed="false">
      <c r="B22" s="5" t="s">
        <v>36</v>
      </c>
      <c r="C22" s="11" t="n">
        <v>8000</v>
      </c>
      <c r="D22" s="11" t="n">
        <v>3650.67</v>
      </c>
      <c r="E22" s="11" t="n">
        <f aca="false">C22-D22</f>
        <v>4349.33</v>
      </c>
      <c r="F22" s="12" t="n">
        <f aca="false">IF(C22=0,0,D22/C22)</f>
        <v>0.45633375</v>
      </c>
      <c r="G22" s="12" t="n">
        <f aca="false">IF($D$24=0,0,D22/$D$24)</f>
        <v>0.00622982738285816</v>
      </c>
    </row>
    <row r="23" customFormat="false" ht="15" hidden="false" customHeight="true" outlineLevel="0" collapsed="false">
      <c r="B23" s="5" t="s">
        <v>37</v>
      </c>
      <c r="C23" s="11" t="n">
        <v>161672.55</v>
      </c>
      <c r="D23" s="11" t="n">
        <v>103414.01</v>
      </c>
      <c r="E23" s="11" t="n">
        <f aca="false">C23-D23</f>
        <v>58258.54</v>
      </c>
      <c r="F23" s="12" t="n">
        <f aca="false">IF(C23=0,0,D23/C23)</f>
        <v>0.639651010638479</v>
      </c>
      <c r="G23" s="12" t="n">
        <f aca="false">IF($D$24=0,0,D23/$D$24)</f>
        <v>0.176474847430518</v>
      </c>
    </row>
    <row r="24" customFormat="false" ht="15" hidden="false" customHeight="true" outlineLevel="0" collapsed="false">
      <c r="B24" s="6" t="s">
        <v>38</v>
      </c>
      <c r="C24" s="13" t="n">
        <f aca="false">SUM(C20:C23)</f>
        <v>977917.55</v>
      </c>
      <c r="D24" s="13" t="n">
        <f aca="false">SUM(D20:D23)</f>
        <v>585998.58</v>
      </c>
      <c r="E24" s="13" t="n">
        <f aca="false">C24-D24</f>
        <v>391918.97</v>
      </c>
      <c r="F24" s="14" t="n">
        <f aca="false">IF(C24=0,0,D24/C24)</f>
        <v>0.599231070144922</v>
      </c>
      <c r="G24" s="14" t="n">
        <v>1</v>
      </c>
    </row>
    <row r="27" customFormat="false" ht="15" hidden="false" customHeight="true" outlineLevel="0" collapsed="false">
      <c r="B27" s="4" t="s">
        <v>39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6" t="s">
        <v>40</v>
      </c>
      <c r="C28" s="6" t="s">
        <v>41</v>
      </c>
      <c r="D28" s="6" t="s">
        <v>40</v>
      </c>
      <c r="E28" s="6" t="s">
        <v>41</v>
      </c>
      <c r="F28" s="6" t="s">
        <v>40</v>
      </c>
      <c r="G28" s="6" t="s">
        <v>41</v>
      </c>
    </row>
    <row r="29" customFormat="false" ht="15" hidden="false" customHeight="true" outlineLevel="0" collapsed="false">
      <c r="B29" s="5" t="s">
        <v>42</v>
      </c>
      <c r="C29" s="6" t="s">
        <v>43</v>
      </c>
      <c r="D29" s="5" t="s">
        <v>44</v>
      </c>
      <c r="E29" s="6" t="s">
        <v>43</v>
      </c>
      <c r="F29" s="5" t="s">
        <v>45</v>
      </c>
      <c r="G29" s="6" t="s">
        <v>46</v>
      </c>
    </row>
    <row r="30" customFormat="false" ht="15" hidden="false" customHeight="true" outlineLevel="0" collapsed="false">
      <c r="B30" s="5" t="s">
        <v>47</v>
      </c>
      <c r="C30" s="6" t="s">
        <v>48</v>
      </c>
      <c r="D30" s="5" t="s">
        <v>49</v>
      </c>
      <c r="E30" s="6" t="s">
        <v>50</v>
      </c>
      <c r="F30" s="5" t="s">
        <v>51</v>
      </c>
      <c r="G30" s="6" t="s">
        <v>52</v>
      </c>
    </row>
    <row r="31" customFormat="false" ht="15" hidden="false" customHeight="true" outlineLevel="0" collapsed="false">
      <c r="B31" s="5" t="s">
        <v>53</v>
      </c>
      <c r="C31" s="6" t="s">
        <v>54</v>
      </c>
      <c r="D31" s="5" t="s">
        <v>55</v>
      </c>
      <c r="E31" s="6" t="s">
        <v>56</v>
      </c>
      <c r="F31" s="5" t="s">
        <v>57</v>
      </c>
      <c r="G31" s="6" t="s">
        <v>56</v>
      </c>
    </row>
    <row r="32" customFormat="false" ht="15" hidden="false" customHeight="true" outlineLevel="0" collapsed="false">
      <c r="B32" s="5" t="s">
        <v>58</v>
      </c>
      <c r="C32" s="6" t="s">
        <v>59</v>
      </c>
      <c r="D32" s="5" t="s">
        <v>60</v>
      </c>
      <c r="E32" s="6" t="s">
        <v>61</v>
      </c>
      <c r="F32" s="5" t="s">
        <v>62</v>
      </c>
      <c r="G32" s="6" t="s">
        <v>63</v>
      </c>
    </row>
    <row r="36" customFormat="false" ht="15" hidden="false" customHeight="true" outlineLevel="0" collapsed="false">
      <c r="B36" s="4" t="s">
        <v>64</v>
      </c>
      <c r="C36" s="4"/>
      <c r="D36" s="4"/>
      <c r="E36" s="4"/>
      <c r="F36" s="4"/>
      <c r="G36" s="4"/>
    </row>
    <row r="37" customFormat="false" ht="15" hidden="false" customHeight="true" outlineLevel="0" collapsed="false">
      <c r="B37" s="3" t="s">
        <v>65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66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67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68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69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70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71</v>
      </c>
      <c r="C43" s="3"/>
      <c r="D43" s="3"/>
      <c r="E43" s="3"/>
      <c r="F43" s="3"/>
      <c r="G43" s="3"/>
    </row>
  </sheetData>
  <mergeCells count="13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  <mergeCell ref="B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8" min="4" style="1" width="14"/>
  </cols>
  <sheetData>
    <row r="2" customFormat="false" ht="19.5" hidden="false" customHeight="true" outlineLevel="0" collapsed="false">
      <c r="B2" s="2" t="s">
        <v>72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73</v>
      </c>
      <c r="C4" s="10" t="s">
        <v>74</v>
      </c>
      <c r="D4" s="10" t="s">
        <v>75</v>
      </c>
      <c r="E4" s="10" t="s">
        <v>76</v>
      </c>
      <c r="F4" s="10" t="s">
        <v>30</v>
      </c>
      <c r="G4" s="10" t="s">
        <v>31</v>
      </c>
      <c r="H4" s="10" t="s">
        <v>77</v>
      </c>
    </row>
    <row r="5" customFormat="false" ht="15" hidden="false" customHeight="true" outlineLevel="0" collapsed="false">
      <c r="B5" s="4" t="s">
        <v>78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79</v>
      </c>
      <c r="C6" s="5" t="s">
        <v>80</v>
      </c>
      <c r="D6" s="11" t="n">
        <v>7590</v>
      </c>
      <c r="E6" s="11" t="n">
        <v>7590</v>
      </c>
      <c r="F6" s="11" t="n">
        <v>2137</v>
      </c>
      <c r="G6" s="11" t="n">
        <f aca="false">E6-F6</f>
        <v>5453</v>
      </c>
      <c r="H6" s="12" t="n">
        <f aca="false">IF(E6=0,0,F6/E6)</f>
        <v>0.281554677206851</v>
      </c>
    </row>
    <row r="7" customFormat="false" ht="15" hidden="false" customHeight="true" outlineLevel="0" collapsed="false">
      <c r="B7" s="5" t="s">
        <v>81</v>
      </c>
      <c r="C7" s="5" t="s">
        <v>82</v>
      </c>
      <c r="D7" s="11" t="n">
        <v>10430</v>
      </c>
      <c r="E7" s="11" t="n">
        <v>10430</v>
      </c>
      <c r="F7" s="11" t="n">
        <v>4944</v>
      </c>
      <c r="G7" s="11" t="n">
        <f aca="false">E7-F7</f>
        <v>5486</v>
      </c>
      <c r="H7" s="12" t="n">
        <f aca="false">IF(E7=0,0,F7/E7)</f>
        <v>0.474017257909875</v>
      </c>
    </row>
    <row r="8" customFormat="false" ht="15" hidden="false" customHeight="true" outlineLevel="0" collapsed="false">
      <c r="B8" s="5" t="s">
        <v>83</v>
      </c>
      <c r="C8" s="5" t="s">
        <v>84</v>
      </c>
      <c r="D8" s="11" t="n">
        <v>7450</v>
      </c>
      <c r="E8" s="11" t="n">
        <v>7450</v>
      </c>
      <c r="F8" s="11" t="n">
        <v>4286</v>
      </c>
      <c r="G8" s="11" t="n">
        <f aca="false">E8-F8</f>
        <v>3164</v>
      </c>
      <c r="H8" s="12" t="n">
        <f aca="false">IF(E8=0,0,F8/E8)</f>
        <v>0.575302013422819</v>
      </c>
    </row>
    <row r="9" customFormat="false" ht="15" hidden="false" customHeight="true" outlineLevel="0" collapsed="false">
      <c r="B9" s="5" t="s">
        <v>85</v>
      </c>
      <c r="C9" s="5" t="s">
        <v>86</v>
      </c>
      <c r="D9" s="11" t="n">
        <v>3820</v>
      </c>
      <c r="E9" s="11" t="n">
        <v>3820</v>
      </c>
      <c r="F9" s="11" t="n">
        <v>959</v>
      </c>
      <c r="G9" s="11" t="n">
        <f aca="false">E9-F9</f>
        <v>2861</v>
      </c>
      <c r="H9" s="12" t="n">
        <f aca="false">IF(E9=0,0,F9/E9)</f>
        <v>0.251047120418848</v>
      </c>
    </row>
    <row r="10" customFormat="false" ht="15" hidden="false" customHeight="true" outlineLevel="0" collapsed="false">
      <c r="B10" s="5" t="s">
        <v>87</v>
      </c>
      <c r="C10" s="5" t="s">
        <v>88</v>
      </c>
      <c r="D10" s="11" t="n">
        <v>39100</v>
      </c>
      <c r="E10" s="11" t="n">
        <v>39100</v>
      </c>
      <c r="F10" s="11" t="n">
        <v>28821.5</v>
      </c>
      <c r="G10" s="11" t="n">
        <f aca="false">E10-F10</f>
        <v>10278.5</v>
      </c>
      <c r="H10" s="12" t="n">
        <f aca="false">IF(E10=0,0,F10/E10)</f>
        <v>0.737122762148338</v>
      </c>
    </row>
    <row r="11" customFormat="false" ht="15" hidden="false" customHeight="true" outlineLevel="0" collapsed="false">
      <c r="B11" s="5" t="s">
        <v>89</v>
      </c>
      <c r="C11" s="5" t="s">
        <v>90</v>
      </c>
      <c r="D11" s="11" t="n">
        <v>6650</v>
      </c>
      <c r="E11" s="11" t="n">
        <v>6650</v>
      </c>
      <c r="F11" s="11" t="n">
        <v>2982.25</v>
      </c>
      <c r="G11" s="11" t="n">
        <f aca="false">E11-F11</f>
        <v>3667.75</v>
      </c>
      <c r="H11" s="12" t="n">
        <f aca="false">IF(E11=0,0,F11/E11)</f>
        <v>0.448458646616541</v>
      </c>
    </row>
    <row r="12" customFormat="false" ht="15" hidden="false" customHeight="true" outlineLevel="0" collapsed="false">
      <c r="B12" s="5" t="s">
        <v>91</v>
      </c>
      <c r="C12" s="5" t="s">
        <v>92</v>
      </c>
      <c r="D12" s="11" t="n">
        <v>204925</v>
      </c>
      <c r="E12" s="11" t="n">
        <v>159525</v>
      </c>
      <c r="F12" s="11" t="n">
        <v>114688.38</v>
      </c>
      <c r="G12" s="11" t="n">
        <f aca="false">E12-F12</f>
        <v>44836.62</v>
      </c>
      <c r="H12" s="12" t="n">
        <f aca="false">IF(E12=0,0,F12/E12)</f>
        <v>0.718936718382699</v>
      </c>
    </row>
    <row r="13" customFormat="false" ht="15" hidden="false" customHeight="true" outlineLevel="0" collapsed="false">
      <c r="B13" s="5" t="s">
        <v>93</v>
      </c>
      <c r="C13" s="5" t="s">
        <v>94</v>
      </c>
      <c r="D13" s="11" t="n">
        <v>31000</v>
      </c>
      <c r="E13" s="11" t="n">
        <v>31500</v>
      </c>
      <c r="F13" s="11" t="n">
        <v>29825</v>
      </c>
      <c r="G13" s="11" t="n">
        <f aca="false">E13-F13</f>
        <v>1675</v>
      </c>
      <c r="H13" s="12" t="n">
        <f aca="false">IF(E13=0,0,F13/E13)</f>
        <v>0.946825396825397</v>
      </c>
    </row>
    <row r="14" customFormat="false" ht="15" hidden="false" customHeight="true" outlineLevel="0" collapsed="false">
      <c r="B14" s="5" t="s">
        <v>95</v>
      </c>
      <c r="C14" s="5" t="s">
        <v>96</v>
      </c>
      <c r="D14" s="11" t="n">
        <v>3600</v>
      </c>
      <c r="E14" s="11" t="n">
        <v>3600</v>
      </c>
      <c r="F14" s="11" t="n">
        <v>1712</v>
      </c>
      <c r="G14" s="11" t="n">
        <f aca="false">E14-F14</f>
        <v>1888</v>
      </c>
      <c r="H14" s="12" t="n">
        <f aca="false">IF(E14=0,0,F14/E14)</f>
        <v>0.475555555555556</v>
      </c>
    </row>
    <row r="15" customFormat="false" ht="15" hidden="false" customHeight="true" outlineLevel="0" collapsed="false">
      <c r="B15" s="5" t="s">
        <v>97</v>
      </c>
      <c r="C15" s="5" t="s">
        <v>98</v>
      </c>
      <c r="D15" s="11" t="n">
        <v>14900</v>
      </c>
      <c r="E15" s="11" t="n">
        <v>33900</v>
      </c>
      <c r="F15" s="11" t="n">
        <v>3672</v>
      </c>
      <c r="G15" s="11" t="n">
        <f aca="false">E15-F15</f>
        <v>30228</v>
      </c>
      <c r="H15" s="12" t="n">
        <f aca="false">IF(E15=0,0,F15/E15)</f>
        <v>0.108318584070796</v>
      </c>
    </row>
    <row r="16" customFormat="false" ht="15" hidden="false" customHeight="true" outlineLevel="0" collapsed="false">
      <c r="B16" s="5" t="s">
        <v>99</v>
      </c>
      <c r="C16" s="5" t="s">
        <v>100</v>
      </c>
      <c r="D16" s="11" t="n">
        <v>0</v>
      </c>
      <c r="E16" s="11" t="n">
        <v>0</v>
      </c>
      <c r="F16" s="11" t="n">
        <v>1871</v>
      </c>
      <c r="G16" s="11" t="n">
        <f aca="false">E16-F16</f>
        <v>-1871</v>
      </c>
      <c r="H16" s="12" t="n">
        <f aca="false">IF(E16=0,0,F16/E16)</f>
        <v>0</v>
      </c>
    </row>
    <row r="17" customFormat="false" ht="15" hidden="false" customHeight="true" outlineLevel="0" collapsed="false">
      <c r="B17" s="5" t="s">
        <v>101</v>
      </c>
      <c r="C17" s="5" t="s">
        <v>102</v>
      </c>
      <c r="D17" s="11" t="n">
        <v>0</v>
      </c>
      <c r="E17" s="11" t="n">
        <v>0</v>
      </c>
      <c r="F17" s="11" t="n">
        <v>373</v>
      </c>
      <c r="G17" s="11" t="n">
        <f aca="false">E17-F17</f>
        <v>-373</v>
      </c>
      <c r="H17" s="12" t="n">
        <f aca="false">IF(E17=0,0,F17/E17)</f>
        <v>0</v>
      </c>
    </row>
    <row r="18" customFormat="false" ht="15" hidden="false" customHeight="true" outlineLevel="0" collapsed="false">
      <c r="B18" s="4" t="s">
        <v>103</v>
      </c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B19" s="5" t="s">
        <v>104</v>
      </c>
      <c r="C19" s="5" t="s">
        <v>105</v>
      </c>
      <c r="D19" s="11" t="n">
        <v>11500</v>
      </c>
      <c r="E19" s="11" t="n">
        <v>11500</v>
      </c>
      <c r="F19" s="11" t="n">
        <v>1188.86</v>
      </c>
      <c r="G19" s="11" t="n">
        <f aca="false">E19-F19</f>
        <v>10311.14</v>
      </c>
      <c r="H19" s="12" t="n">
        <f aca="false">IF(E19=0,0,F19/E19)</f>
        <v>0.103379130434783</v>
      </c>
    </row>
    <row r="20" customFormat="false" ht="15" hidden="false" customHeight="true" outlineLevel="0" collapsed="false">
      <c r="B20" s="5" t="s">
        <v>106</v>
      </c>
      <c r="C20" s="5" t="s">
        <v>107</v>
      </c>
      <c r="D20" s="11" t="n">
        <v>3000</v>
      </c>
      <c r="E20" s="11" t="n">
        <v>3000</v>
      </c>
      <c r="F20" s="11" t="n">
        <v>1514.24</v>
      </c>
      <c r="G20" s="11" t="n">
        <f aca="false">E20-F20</f>
        <v>1485.76</v>
      </c>
      <c r="H20" s="12" t="n">
        <f aca="false">IF(E20=0,0,F20/E20)</f>
        <v>0.504746666666667</v>
      </c>
    </row>
    <row r="21" customFormat="false" ht="15" hidden="false" customHeight="true" outlineLevel="0" collapsed="false">
      <c r="B21" s="5" t="s">
        <v>108</v>
      </c>
      <c r="C21" s="5" t="s">
        <v>109</v>
      </c>
      <c r="D21" s="11" t="n">
        <v>63370</v>
      </c>
      <c r="E21" s="11" t="n">
        <v>63370</v>
      </c>
      <c r="F21" s="11" t="n">
        <v>11302.9</v>
      </c>
      <c r="G21" s="11" t="n">
        <f aca="false">E21-F21</f>
        <v>52067.1</v>
      </c>
      <c r="H21" s="12" t="n">
        <f aca="false">IF(E21=0,0,F21/E21)</f>
        <v>0.17836357898059</v>
      </c>
    </row>
    <row r="22" customFormat="false" ht="15" hidden="false" customHeight="true" outlineLevel="0" collapsed="false">
      <c r="B22" s="5" t="s">
        <v>110</v>
      </c>
      <c r="C22" s="5" t="s">
        <v>111</v>
      </c>
      <c r="D22" s="11" t="n">
        <v>7980</v>
      </c>
      <c r="E22" s="11" t="n">
        <v>7980</v>
      </c>
      <c r="F22" s="11" t="n">
        <v>5720.08</v>
      </c>
      <c r="G22" s="11" t="n">
        <f aca="false">E22-F22</f>
        <v>2259.92</v>
      </c>
      <c r="H22" s="12" t="n">
        <f aca="false">IF(E22=0,0,F22/E22)</f>
        <v>0.716802005012531</v>
      </c>
    </row>
    <row r="23" customFormat="false" ht="15" hidden="false" customHeight="true" outlineLevel="0" collapsed="false">
      <c r="B23" s="5" t="s">
        <v>112</v>
      </c>
      <c r="C23" s="5" t="s">
        <v>113</v>
      </c>
      <c r="D23" s="11" t="n">
        <v>204925</v>
      </c>
      <c r="E23" s="11" t="n">
        <v>130025</v>
      </c>
      <c r="F23" s="11" t="n">
        <v>66457.52</v>
      </c>
      <c r="G23" s="11" t="n">
        <f aca="false">E23-F23</f>
        <v>63567.48</v>
      </c>
      <c r="H23" s="12" t="n">
        <f aca="false">IF(E23=0,0,F23/E23)</f>
        <v>0.511113401268987</v>
      </c>
    </row>
    <row r="24" customFormat="false" ht="15" hidden="false" customHeight="true" outlineLevel="0" collapsed="false">
      <c r="B24" s="5" t="s">
        <v>114</v>
      </c>
      <c r="C24" s="5" t="s">
        <v>115</v>
      </c>
      <c r="D24" s="11" t="n">
        <v>261700</v>
      </c>
      <c r="E24" s="11" t="n">
        <v>251305</v>
      </c>
      <c r="F24" s="11" t="n">
        <v>173652.72</v>
      </c>
      <c r="G24" s="11" t="n">
        <f aca="false">E24-F24</f>
        <v>77652.28</v>
      </c>
      <c r="H24" s="12" t="n">
        <f aca="false">IF(E24=0,0,F24/E24)</f>
        <v>0.691003839955433</v>
      </c>
    </row>
    <row r="25" customFormat="false" ht="15" hidden="false" customHeight="true" outlineLevel="0" collapsed="false">
      <c r="B25" s="5" t="s">
        <v>116</v>
      </c>
      <c r="C25" s="5" t="s">
        <v>117</v>
      </c>
      <c r="D25" s="11" t="n">
        <v>3600</v>
      </c>
      <c r="E25" s="11" t="n">
        <v>3600</v>
      </c>
      <c r="F25" s="11" t="n">
        <v>1080.05</v>
      </c>
      <c r="G25" s="11" t="n">
        <f aca="false">E25-F25</f>
        <v>2519.95</v>
      </c>
      <c r="H25" s="12" t="n">
        <f aca="false">IF(E25=0,0,F25/E25)</f>
        <v>0.300013888888889</v>
      </c>
    </row>
    <row r="26" customFormat="false" ht="15" hidden="false" customHeight="true" outlineLevel="0" collapsed="false">
      <c r="B26" s="5" t="s">
        <v>118</v>
      </c>
      <c r="C26" s="5" t="s">
        <v>119</v>
      </c>
      <c r="D26" s="11" t="n">
        <v>14900</v>
      </c>
      <c r="E26" s="11" t="n">
        <v>33900</v>
      </c>
      <c r="F26" s="11" t="n">
        <v>20000.49</v>
      </c>
      <c r="G26" s="11" t="n">
        <f aca="false">E26-F26</f>
        <v>13899.51</v>
      </c>
      <c r="H26" s="12" t="n">
        <f aca="false">IF(E26=0,0,F26/E26)</f>
        <v>0.589984955752212</v>
      </c>
    </row>
    <row r="27" customFormat="false" ht="15" hidden="false" customHeight="true" outlineLevel="0" collapsed="false">
      <c r="B27" s="5" t="s">
        <v>120</v>
      </c>
      <c r="C27" s="5" t="s">
        <v>121</v>
      </c>
      <c r="D27" s="11" t="n">
        <v>0</v>
      </c>
      <c r="E27" s="11" t="n">
        <v>0</v>
      </c>
      <c r="F27" s="11" t="n">
        <v>1098.46</v>
      </c>
      <c r="G27" s="11" t="n">
        <f aca="false">E27-F27</f>
        <v>-1098.46</v>
      </c>
      <c r="H27" s="12" t="n">
        <f aca="false">IF(E27=0,0,F27/E27)</f>
        <v>0</v>
      </c>
    </row>
    <row r="28" customFormat="false" ht="15" hidden="false" customHeight="true" outlineLevel="0" collapsed="false">
      <c r="B28" s="5" t="s">
        <v>122</v>
      </c>
      <c r="C28" s="5" t="s">
        <v>123</v>
      </c>
      <c r="D28" s="11" t="n">
        <v>0</v>
      </c>
      <c r="E28" s="11" t="n">
        <v>0</v>
      </c>
      <c r="F28" s="11" t="n">
        <v>647.45</v>
      </c>
      <c r="G28" s="11" t="n">
        <f aca="false">E28-F28</f>
        <v>-647.45</v>
      </c>
      <c r="H28" s="12" t="n">
        <f aca="false">IF(E28=0,0,F28/E28)</f>
        <v>0</v>
      </c>
    </row>
    <row r="29" customFormat="false" ht="15" hidden="false" customHeight="true" outlineLevel="0" collapsed="false">
      <c r="B29" s="4" t="s">
        <v>124</v>
      </c>
      <c r="C29" s="4"/>
      <c r="D29" s="4"/>
      <c r="E29" s="4"/>
      <c r="F29" s="4"/>
      <c r="G29" s="4"/>
      <c r="H29" s="4"/>
    </row>
    <row r="30" customFormat="false" ht="15" hidden="false" customHeight="true" outlineLevel="0" collapsed="false">
      <c r="B30" s="5" t="s">
        <v>125</v>
      </c>
      <c r="C30" s="5" t="s">
        <v>126</v>
      </c>
      <c r="D30" s="11" t="n">
        <v>1000</v>
      </c>
      <c r="E30" s="11" t="n">
        <v>1000</v>
      </c>
      <c r="F30" s="11" t="n">
        <v>1212</v>
      </c>
      <c r="G30" s="11" t="n">
        <f aca="false">E30-F30</f>
        <v>-212</v>
      </c>
      <c r="H30" s="12" t="n">
        <f aca="false">IF(E30=0,0,F30/E30)</f>
        <v>1.212</v>
      </c>
    </row>
    <row r="31" customFormat="false" ht="15" hidden="false" customHeight="true" outlineLevel="0" collapsed="false">
      <c r="B31" s="5" t="s">
        <v>127</v>
      </c>
      <c r="C31" s="5" t="s">
        <v>128</v>
      </c>
      <c r="D31" s="11" t="n">
        <v>4000</v>
      </c>
      <c r="E31" s="11" t="n">
        <v>4000</v>
      </c>
      <c r="F31" s="11" t="n">
        <v>2404.21</v>
      </c>
      <c r="G31" s="11" t="n">
        <f aca="false">E31-F31</f>
        <v>1595.79</v>
      </c>
      <c r="H31" s="12" t="n">
        <f aca="false">IF(E31=0,0,F31/E31)</f>
        <v>0.6010525</v>
      </c>
    </row>
    <row r="32" customFormat="false" ht="15" hidden="false" customHeight="true" outlineLevel="0" collapsed="false">
      <c r="B32" s="5" t="s">
        <v>129</v>
      </c>
      <c r="C32" s="5" t="s">
        <v>130</v>
      </c>
      <c r="D32" s="11" t="n">
        <v>3000</v>
      </c>
      <c r="E32" s="11" t="n">
        <v>3000</v>
      </c>
      <c r="F32" s="11" t="n">
        <v>34.46</v>
      </c>
      <c r="G32" s="11" t="n">
        <f aca="false">E32-F32</f>
        <v>2965.54</v>
      </c>
      <c r="H32" s="12" t="n">
        <f aca="false">IF(E32=0,0,F32/E32)</f>
        <v>0.0114866666666667</v>
      </c>
    </row>
    <row r="33" customFormat="false" ht="15" hidden="false" customHeight="true" outlineLevel="0" collapsed="false">
      <c r="B33" s="4" t="s">
        <v>131</v>
      </c>
      <c r="C33" s="4"/>
      <c r="D33" s="4"/>
      <c r="E33" s="4"/>
      <c r="F33" s="4"/>
      <c r="G33" s="4"/>
      <c r="H33" s="4"/>
    </row>
    <row r="34" customFormat="false" ht="15" hidden="false" customHeight="true" outlineLevel="0" collapsed="false">
      <c r="B34" s="5" t="s">
        <v>132</v>
      </c>
      <c r="C34" s="5" t="s">
        <v>133</v>
      </c>
      <c r="D34" s="11" t="n">
        <v>145220.27</v>
      </c>
      <c r="E34" s="11" t="n">
        <v>137421.67</v>
      </c>
      <c r="F34" s="11" t="n">
        <v>87883.44</v>
      </c>
      <c r="G34" s="11" t="n">
        <f aca="false">E34-F34</f>
        <v>49538.23</v>
      </c>
      <c r="H34" s="12" t="n">
        <f aca="false">IF(E34=0,0,F34/E34)</f>
        <v>0.639516606078212</v>
      </c>
    </row>
    <row r="35" customFormat="false" ht="15" hidden="false" customHeight="true" outlineLevel="0" collapsed="false">
      <c r="B35" s="5" t="s">
        <v>134</v>
      </c>
      <c r="C35" s="5" t="s">
        <v>135</v>
      </c>
      <c r="D35" s="11" t="n">
        <v>26232.23</v>
      </c>
      <c r="E35" s="11" t="n">
        <v>24250.88</v>
      </c>
      <c r="F35" s="11" t="n">
        <v>15530.57</v>
      </c>
      <c r="G35" s="11" t="n">
        <f aca="false">E35-F35</f>
        <v>8720.31</v>
      </c>
      <c r="H35" s="12" t="n">
        <f aca="false">IF(E35=0,0,F35/E35)</f>
        <v>0.640412636572364</v>
      </c>
    </row>
    <row r="36" customFormat="false" ht="15" hidden="false" customHeight="true" outlineLevel="0" collapsed="false">
      <c r="B36" s="6" t="s">
        <v>38</v>
      </c>
      <c r="C36" s="6" t="s">
        <v>136</v>
      </c>
      <c r="D36" s="13" t="n">
        <v>1079892.5</v>
      </c>
      <c r="E36" s="13" t="n">
        <v>977917.55</v>
      </c>
      <c r="F36" s="13" t="n">
        <v>585998.58</v>
      </c>
      <c r="G36" s="13" t="n">
        <f aca="false">E36-F36</f>
        <v>391918.97</v>
      </c>
      <c r="H36" s="14" t="n">
        <f aca="false">IF(E36=0,0,F36/E36)</f>
        <v>0.599231070144922</v>
      </c>
    </row>
    <row r="39" customFormat="false" ht="15" hidden="false" customHeight="true" outlineLevel="0" collapsed="false">
      <c r="B39" s="4" t="s">
        <v>64</v>
      </c>
      <c r="C39" s="4"/>
      <c r="D39" s="4"/>
      <c r="E39" s="4"/>
      <c r="F39" s="4"/>
      <c r="G39" s="4"/>
      <c r="H39" s="4"/>
    </row>
    <row r="40" customFormat="false" ht="15" hidden="false" customHeight="true" outlineLevel="0" collapsed="false">
      <c r="B40" s="3" t="s">
        <v>65</v>
      </c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B41" s="3" t="s">
        <v>66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67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68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69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70</v>
      </c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B46" s="3" t="s">
        <v>71</v>
      </c>
      <c r="C46" s="3"/>
      <c r="D46" s="3"/>
      <c r="E46" s="3"/>
      <c r="F46" s="3"/>
      <c r="G46" s="3"/>
      <c r="H46" s="3"/>
    </row>
  </sheetData>
  <mergeCells count="13">
    <mergeCell ref="B2:H2"/>
    <mergeCell ref="B5:H5"/>
    <mergeCell ref="B18:H18"/>
    <mergeCell ref="B29:H29"/>
    <mergeCell ref="B33:H33"/>
    <mergeCell ref="B39:H39"/>
    <mergeCell ref="B40:H40"/>
    <mergeCell ref="B41:H41"/>
    <mergeCell ref="B42:H42"/>
    <mergeCell ref="B43:H43"/>
    <mergeCell ref="B44:H44"/>
    <mergeCell ref="B45:H45"/>
    <mergeCell ref="B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137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4" t="s">
        <v>138</v>
      </c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10" t="s">
        <v>28</v>
      </c>
      <c r="C5" s="10" t="s">
        <v>139</v>
      </c>
      <c r="D5" s="10" t="s">
        <v>29</v>
      </c>
      <c r="E5" s="10" t="s">
        <v>30</v>
      </c>
      <c r="F5" s="10" t="s">
        <v>31</v>
      </c>
      <c r="G5" s="10" t="s">
        <v>32</v>
      </c>
      <c r="H5" s="10" t="s">
        <v>33</v>
      </c>
      <c r="I5" s="10" t="s">
        <v>140</v>
      </c>
    </row>
    <row r="6" customFormat="false" ht="15" hidden="false" customHeight="true" outlineLevel="0" collapsed="false">
      <c r="B6" s="5" t="s">
        <v>34</v>
      </c>
      <c r="C6" s="15" t="n">
        <v>12</v>
      </c>
      <c r="D6" s="11" t="n">
        <v>303565</v>
      </c>
      <c r="E6" s="11" t="n">
        <v>196271.13</v>
      </c>
      <c r="F6" s="11" t="n">
        <f aca="false">D6-E6</f>
        <v>107293.87</v>
      </c>
      <c r="G6" s="12" t="n">
        <f aca="false">IF(D6=0,0,E6/D6)</f>
        <v>0.646553884670499</v>
      </c>
      <c r="H6" s="12" t="n">
        <f aca="false">IF(585998.58=0,0,E6/585998.58)</f>
        <v>0.334934480557956</v>
      </c>
      <c r="I6" s="11" t="n">
        <f aca="false">IF(165=0,0,E6/165)</f>
        <v>1189.522</v>
      </c>
    </row>
    <row r="7" customFormat="false" ht="15" hidden="false" customHeight="true" outlineLevel="0" collapsed="false">
      <c r="B7" s="5" t="s">
        <v>35</v>
      </c>
      <c r="C7" s="15" t="n">
        <v>10</v>
      </c>
      <c r="D7" s="11" t="n">
        <v>504680</v>
      </c>
      <c r="E7" s="11" t="n">
        <v>282662.77</v>
      </c>
      <c r="F7" s="11" t="n">
        <f aca="false">D7-E7</f>
        <v>222017.23</v>
      </c>
      <c r="G7" s="12" t="n">
        <f aca="false">IF(D7=0,0,E7/D7)</f>
        <v>0.560083161607355</v>
      </c>
      <c r="H7" s="12" t="n">
        <f aca="false">IF(585998.58=0,0,E7/585998.58)</f>
        <v>0.482360844628668</v>
      </c>
      <c r="I7" s="11" t="n">
        <f aca="false">IF(165=0,0,E7/165)</f>
        <v>1713.1076969697</v>
      </c>
    </row>
    <row r="8" customFormat="false" ht="15" hidden="false" customHeight="true" outlineLevel="0" collapsed="false">
      <c r="B8" s="5" t="s">
        <v>36</v>
      </c>
      <c r="C8" s="15" t="n">
        <v>3</v>
      </c>
      <c r="D8" s="11" t="n">
        <v>8000</v>
      </c>
      <c r="E8" s="11" t="n">
        <v>3650.67</v>
      </c>
      <c r="F8" s="11" t="n">
        <f aca="false">D8-E8</f>
        <v>4349.33</v>
      </c>
      <c r="G8" s="12" t="n">
        <f aca="false">IF(D8=0,0,E8/D8)</f>
        <v>0.45633375</v>
      </c>
      <c r="H8" s="12" t="n">
        <f aca="false">IF(585998.58=0,0,E8/585998.58)</f>
        <v>0.00622982738285816</v>
      </c>
      <c r="I8" s="11" t="n">
        <f aca="false">IF(165=0,0,E8/165)</f>
        <v>22.1252727272727</v>
      </c>
    </row>
    <row r="9" customFormat="false" ht="15" hidden="false" customHeight="true" outlineLevel="0" collapsed="false">
      <c r="B9" s="5" t="s">
        <v>37</v>
      </c>
      <c r="C9" s="15" t="n">
        <v>2</v>
      </c>
      <c r="D9" s="11" t="n">
        <v>161672.55</v>
      </c>
      <c r="E9" s="11" t="n">
        <v>103414.01</v>
      </c>
      <c r="F9" s="11" t="n">
        <f aca="false">D9-E9</f>
        <v>58258.54</v>
      </c>
      <c r="G9" s="12" t="n">
        <f aca="false">IF(D9=0,0,E9/D9)</f>
        <v>0.639651010638479</v>
      </c>
      <c r="H9" s="12" t="n">
        <f aca="false">IF(585998.58=0,0,E9/585998.58)</f>
        <v>0.176474847430518</v>
      </c>
      <c r="I9" s="11" t="n">
        <f aca="false">IF(165=0,0,E9/165)</f>
        <v>626.751575757576</v>
      </c>
    </row>
    <row r="12" customFormat="false" ht="15" hidden="false" customHeight="true" outlineLevel="0" collapsed="false">
      <c r="B12" s="4" t="s">
        <v>141</v>
      </c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B13" s="10" t="s">
        <v>73</v>
      </c>
      <c r="C13" s="10" t="s">
        <v>74</v>
      </c>
      <c r="D13" s="10" t="s">
        <v>76</v>
      </c>
      <c r="E13" s="10" t="s">
        <v>30</v>
      </c>
      <c r="F13" s="10" t="s">
        <v>142</v>
      </c>
      <c r="G13" s="10" t="s">
        <v>143</v>
      </c>
    </row>
    <row r="14" customFormat="false" ht="15" hidden="false" customHeight="true" outlineLevel="0" collapsed="false">
      <c r="B14" s="5" t="s">
        <v>99</v>
      </c>
      <c r="C14" s="5" t="s">
        <v>100</v>
      </c>
      <c r="D14" s="11" t="n">
        <v>0</v>
      </c>
      <c r="E14" s="11" t="n">
        <v>1871</v>
      </c>
      <c r="F14" s="11" t="n">
        <f aca="false">E14-D14</f>
        <v>1871</v>
      </c>
      <c r="G14" s="12" t="n">
        <f aca="false">IF(D14=0,0,F14/D14)</f>
        <v>0</v>
      </c>
    </row>
    <row r="15" customFormat="false" ht="15" hidden="false" customHeight="true" outlineLevel="0" collapsed="false">
      <c r="B15" s="5" t="s">
        <v>120</v>
      </c>
      <c r="C15" s="5" t="s">
        <v>121</v>
      </c>
      <c r="D15" s="11" t="n">
        <v>0</v>
      </c>
      <c r="E15" s="11" t="n">
        <v>1098.46</v>
      </c>
      <c r="F15" s="11" t="n">
        <f aca="false">E15-D15</f>
        <v>1098.46</v>
      </c>
      <c r="G15" s="12" t="n">
        <f aca="false">IF(D15=0,0,F15/D15)</f>
        <v>0</v>
      </c>
    </row>
    <row r="16" customFormat="false" ht="15" hidden="false" customHeight="true" outlineLevel="0" collapsed="false">
      <c r="B16" s="5" t="s">
        <v>122</v>
      </c>
      <c r="C16" s="5" t="s">
        <v>123</v>
      </c>
      <c r="D16" s="11" t="n">
        <v>0</v>
      </c>
      <c r="E16" s="11" t="n">
        <v>647.45</v>
      </c>
      <c r="F16" s="11" t="n">
        <f aca="false">E16-D16</f>
        <v>647.45</v>
      </c>
      <c r="G16" s="12" t="n">
        <f aca="false">IF(D16=0,0,F16/D16)</f>
        <v>0</v>
      </c>
    </row>
    <row r="17" customFormat="false" ht="15" hidden="false" customHeight="true" outlineLevel="0" collapsed="false">
      <c r="B17" s="5" t="s">
        <v>101</v>
      </c>
      <c r="C17" s="5" t="s">
        <v>102</v>
      </c>
      <c r="D17" s="11" t="n">
        <v>0</v>
      </c>
      <c r="E17" s="11" t="n">
        <v>373</v>
      </c>
      <c r="F17" s="11" t="n">
        <f aca="false">E17-D17</f>
        <v>373</v>
      </c>
      <c r="G17" s="12" t="n">
        <f aca="false">IF(D17=0,0,F17/D17)</f>
        <v>0</v>
      </c>
    </row>
    <row r="18" customFormat="false" ht="15" hidden="false" customHeight="true" outlineLevel="0" collapsed="false">
      <c r="B18" s="5" t="s">
        <v>125</v>
      </c>
      <c r="C18" s="5" t="s">
        <v>126</v>
      </c>
      <c r="D18" s="11" t="n">
        <v>1000</v>
      </c>
      <c r="E18" s="11" t="n">
        <v>1212</v>
      </c>
      <c r="F18" s="11" t="n">
        <f aca="false">E18-D18</f>
        <v>212</v>
      </c>
      <c r="G18" s="12" t="n">
        <f aca="false">IF(D18=0,0,F18/D18)</f>
        <v>0.212</v>
      </c>
    </row>
    <row r="21" customFormat="false" ht="15" hidden="false" customHeight="true" outlineLevel="0" collapsed="false">
      <c r="B21" s="4" t="s">
        <v>144</v>
      </c>
      <c r="C21" s="4"/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B22" s="10" t="s">
        <v>73</v>
      </c>
      <c r="C22" s="10" t="s">
        <v>74</v>
      </c>
      <c r="D22" s="10" t="s">
        <v>76</v>
      </c>
      <c r="E22" s="10" t="s">
        <v>30</v>
      </c>
      <c r="F22" s="10" t="s">
        <v>145</v>
      </c>
      <c r="G22" s="10" t="s">
        <v>146</v>
      </c>
    </row>
    <row r="23" customFormat="false" ht="15" hidden="false" customHeight="true" outlineLevel="0" collapsed="false">
      <c r="B23" s="5" t="s">
        <v>114</v>
      </c>
      <c r="C23" s="5" t="s">
        <v>115</v>
      </c>
      <c r="D23" s="11" t="n">
        <v>251305</v>
      </c>
      <c r="E23" s="11" t="n">
        <v>173652.72</v>
      </c>
      <c r="F23" s="11" t="n">
        <f aca="false">D23-E23</f>
        <v>77652.28</v>
      </c>
      <c r="G23" s="12" t="n">
        <f aca="false">IF(D23=0,0,F23/D23)</f>
        <v>0.308996160044567</v>
      </c>
    </row>
    <row r="24" customFormat="false" ht="15" hidden="false" customHeight="true" outlineLevel="0" collapsed="false">
      <c r="B24" s="5" t="s">
        <v>112</v>
      </c>
      <c r="C24" s="5" t="s">
        <v>113</v>
      </c>
      <c r="D24" s="11" t="n">
        <v>130025</v>
      </c>
      <c r="E24" s="11" t="n">
        <v>66457.52</v>
      </c>
      <c r="F24" s="11" t="n">
        <f aca="false">D24-E24</f>
        <v>63567.48</v>
      </c>
      <c r="G24" s="12" t="n">
        <f aca="false">IF(D24=0,0,F24/D24)</f>
        <v>0.488886598731013</v>
      </c>
    </row>
    <row r="25" customFormat="false" ht="15" hidden="false" customHeight="true" outlineLevel="0" collapsed="false">
      <c r="B25" s="5" t="s">
        <v>108</v>
      </c>
      <c r="C25" s="5" t="s">
        <v>109</v>
      </c>
      <c r="D25" s="11" t="n">
        <v>63370</v>
      </c>
      <c r="E25" s="11" t="n">
        <v>11302.9</v>
      </c>
      <c r="F25" s="11" t="n">
        <f aca="false">D25-E25</f>
        <v>52067.1</v>
      </c>
      <c r="G25" s="12" t="n">
        <f aca="false">IF(D25=0,0,F25/D25)</f>
        <v>0.82163642101941</v>
      </c>
    </row>
    <row r="26" customFormat="false" ht="15" hidden="false" customHeight="true" outlineLevel="0" collapsed="false">
      <c r="B26" s="5" t="s">
        <v>132</v>
      </c>
      <c r="C26" s="5" t="s">
        <v>133</v>
      </c>
      <c r="D26" s="11" t="n">
        <v>137421.67</v>
      </c>
      <c r="E26" s="11" t="n">
        <v>87883.44</v>
      </c>
      <c r="F26" s="11" t="n">
        <f aca="false">D26-E26</f>
        <v>49538.23</v>
      </c>
      <c r="G26" s="12" t="n">
        <f aca="false">IF(D26=0,0,F26/D26)</f>
        <v>0.360483393921788</v>
      </c>
    </row>
    <row r="27" customFormat="false" ht="15" hidden="false" customHeight="true" outlineLevel="0" collapsed="false">
      <c r="B27" s="5" t="s">
        <v>91</v>
      </c>
      <c r="C27" s="5" t="s">
        <v>92</v>
      </c>
      <c r="D27" s="11" t="n">
        <v>159525</v>
      </c>
      <c r="E27" s="11" t="n">
        <v>114688.38</v>
      </c>
      <c r="F27" s="11" t="n">
        <f aca="false">D27-E27</f>
        <v>44836.62</v>
      </c>
      <c r="G27" s="12" t="n">
        <f aca="false">IF(D27=0,0,F27/D27)</f>
        <v>0.281063281617301</v>
      </c>
    </row>
    <row r="28" customFormat="false" ht="15" hidden="false" customHeight="true" outlineLevel="0" collapsed="false">
      <c r="B28" s="5" t="s">
        <v>97</v>
      </c>
      <c r="C28" s="5" t="s">
        <v>98</v>
      </c>
      <c r="D28" s="11" t="n">
        <v>33900</v>
      </c>
      <c r="E28" s="11" t="n">
        <v>3672</v>
      </c>
      <c r="F28" s="11" t="n">
        <f aca="false">D28-E28</f>
        <v>30228</v>
      </c>
      <c r="G28" s="12" t="n">
        <f aca="false">IF(D28=0,0,F28/D28)</f>
        <v>0.891681415929204</v>
      </c>
    </row>
    <row r="29" customFormat="false" ht="15" hidden="false" customHeight="true" outlineLevel="0" collapsed="false">
      <c r="B29" s="5" t="s">
        <v>118</v>
      </c>
      <c r="C29" s="5" t="s">
        <v>119</v>
      </c>
      <c r="D29" s="11" t="n">
        <v>33900</v>
      </c>
      <c r="E29" s="11" t="n">
        <v>20000.49</v>
      </c>
      <c r="F29" s="11" t="n">
        <f aca="false">D29-E29</f>
        <v>13899.51</v>
      </c>
      <c r="G29" s="12" t="n">
        <f aca="false">IF(D29=0,0,F29/D29)</f>
        <v>0.410015044247788</v>
      </c>
    </row>
    <row r="30" customFormat="false" ht="15" hidden="false" customHeight="true" outlineLevel="0" collapsed="false">
      <c r="B30" s="5" t="s">
        <v>104</v>
      </c>
      <c r="C30" s="5" t="s">
        <v>105</v>
      </c>
      <c r="D30" s="11" t="n">
        <v>11500</v>
      </c>
      <c r="E30" s="11" t="n">
        <v>1188.86</v>
      </c>
      <c r="F30" s="11" t="n">
        <f aca="false">D30-E30</f>
        <v>10311.14</v>
      </c>
      <c r="G30" s="12" t="n">
        <f aca="false">IF(D30=0,0,F30/D30)</f>
        <v>0.896620869565217</v>
      </c>
    </row>
    <row r="31" customFormat="false" ht="15" hidden="false" customHeight="true" outlineLevel="0" collapsed="false">
      <c r="B31" s="5" t="s">
        <v>87</v>
      </c>
      <c r="C31" s="5" t="s">
        <v>88</v>
      </c>
      <c r="D31" s="11" t="n">
        <v>39100</v>
      </c>
      <c r="E31" s="11" t="n">
        <v>28821.5</v>
      </c>
      <c r="F31" s="11" t="n">
        <f aca="false">D31-E31</f>
        <v>10278.5</v>
      </c>
      <c r="G31" s="12" t="n">
        <f aca="false">IF(D31=0,0,F31/D31)</f>
        <v>0.262877237851662</v>
      </c>
    </row>
    <row r="32" customFormat="false" ht="15" hidden="false" customHeight="true" outlineLevel="0" collapsed="false">
      <c r="B32" s="5" t="s">
        <v>134</v>
      </c>
      <c r="C32" s="5" t="s">
        <v>135</v>
      </c>
      <c r="D32" s="11" t="n">
        <v>24250.88</v>
      </c>
      <c r="E32" s="11" t="n">
        <v>15530.57</v>
      </c>
      <c r="F32" s="11" t="n">
        <f aca="false">D32-E32</f>
        <v>8720.31</v>
      </c>
      <c r="G32" s="12" t="n">
        <f aca="false">IF(D32=0,0,F32/D32)</f>
        <v>0.359587363427637</v>
      </c>
    </row>
    <row r="35" customFormat="false" ht="15" hidden="false" customHeight="true" outlineLevel="0" collapsed="false">
      <c r="B35" s="4" t="s">
        <v>64</v>
      </c>
      <c r="C35" s="4"/>
      <c r="D35" s="4"/>
      <c r="E35" s="4"/>
      <c r="F35" s="4"/>
      <c r="G35" s="4"/>
      <c r="H35" s="4"/>
      <c r="I35" s="4"/>
    </row>
    <row r="36" customFormat="false" ht="15" hidden="false" customHeight="true" outlineLevel="0" collapsed="false">
      <c r="B36" s="3" t="s">
        <v>65</v>
      </c>
      <c r="C36" s="3"/>
      <c r="D36" s="3"/>
      <c r="E36" s="3"/>
      <c r="F36" s="3"/>
      <c r="G36" s="3"/>
      <c r="H36" s="3"/>
      <c r="I36" s="3"/>
    </row>
    <row r="37" customFormat="false" ht="15" hidden="false" customHeight="true" outlineLevel="0" collapsed="false">
      <c r="B37" s="3" t="s">
        <v>66</v>
      </c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B38" s="3" t="s">
        <v>67</v>
      </c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B39" s="3" t="s">
        <v>68</v>
      </c>
      <c r="C39" s="3"/>
      <c r="D39" s="3"/>
      <c r="E39" s="3"/>
      <c r="F39" s="3"/>
      <c r="G39" s="3"/>
      <c r="H39" s="3"/>
      <c r="I39" s="3"/>
    </row>
    <row r="40" customFormat="false" ht="15" hidden="false" customHeight="true" outlineLevel="0" collapsed="false">
      <c r="B40" s="3" t="s">
        <v>69</v>
      </c>
      <c r="C40" s="3"/>
      <c r="D40" s="3"/>
      <c r="E40" s="3"/>
      <c r="F40" s="3"/>
      <c r="G40" s="3"/>
      <c r="H40" s="3"/>
      <c r="I40" s="3"/>
    </row>
    <row r="41" customFormat="false" ht="15" hidden="false" customHeight="true" outlineLevel="0" collapsed="false">
      <c r="B41" s="3" t="s">
        <v>70</v>
      </c>
      <c r="C41" s="3"/>
      <c r="D41" s="3"/>
      <c r="E41" s="3"/>
      <c r="F41" s="3"/>
      <c r="G41" s="3"/>
      <c r="H41" s="3"/>
      <c r="I41" s="3"/>
    </row>
    <row r="42" customFormat="false" ht="15" hidden="false" customHeight="true" outlineLevel="0" collapsed="false">
      <c r="B42" s="3" t="s">
        <v>71</v>
      </c>
      <c r="C42" s="3"/>
      <c r="D42" s="3"/>
      <c r="E42" s="3"/>
      <c r="F42" s="3"/>
      <c r="G42" s="3"/>
      <c r="H42" s="3"/>
      <c r="I42" s="3"/>
    </row>
  </sheetData>
  <mergeCells count="12">
    <mergeCell ref="B2:I2"/>
    <mergeCell ref="B4:I4"/>
    <mergeCell ref="B12:I12"/>
    <mergeCell ref="B21:I21"/>
    <mergeCell ref="B35:I35"/>
    <mergeCell ref="B36:I36"/>
    <mergeCell ref="B37:I37"/>
    <mergeCell ref="B38:I38"/>
    <mergeCell ref="B39:I39"/>
    <mergeCell ref="B40:I40"/>
    <mergeCell ref="B41:I41"/>
    <mergeCell ref="B42:I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147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148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149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10" t="s">
        <v>73</v>
      </c>
      <c r="C6" s="10" t="s">
        <v>74</v>
      </c>
      <c r="D6" s="10" t="s">
        <v>76</v>
      </c>
      <c r="E6" s="10" t="s">
        <v>30</v>
      </c>
      <c r="F6" s="10" t="s">
        <v>31</v>
      </c>
      <c r="G6" s="10" t="s">
        <v>77</v>
      </c>
      <c r="H6" s="10" t="s">
        <v>150</v>
      </c>
      <c r="I6" s="10" t="s">
        <v>140</v>
      </c>
    </row>
    <row r="7" customFormat="false" ht="15" hidden="false" customHeight="true" outlineLevel="0" collapsed="false">
      <c r="B7" s="5" t="s">
        <v>104</v>
      </c>
      <c r="C7" s="5" t="s">
        <v>105</v>
      </c>
      <c r="D7" s="11" t="n">
        <v>11500</v>
      </c>
      <c r="E7" s="11" t="n">
        <v>1188.86</v>
      </c>
      <c r="F7" s="11" t="n">
        <f aca="false">D7-E7</f>
        <v>10311.14</v>
      </c>
      <c r="G7" s="12" t="n">
        <f aca="false">IF(D7=0,0,E7/D7)</f>
        <v>0.103379130434783</v>
      </c>
      <c r="H7" s="12" t="n">
        <f aca="false">IF(282662.77=0,0,E7/282662.77)</f>
        <v>0.0042059306218502</v>
      </c>
      <c r="I7" s="11" t="n">
        <f aca="false">IF(165=0,0,E7/165)</f>
        <v>7.20521212121212</v>
      </c>
    </row>
    <row r="8" customFormat="false" ht="15" hidden="false" customHeight="true" outlineLevel="0" collapsed="false">
      <c r="B8" s="5" t="s">
        <v>106</v>
      </c>
      <c r="C8" s="5" t="s">
        <v>107</v>
      </c>
      <c r="D8" s="11" t="n">
        <v>3000</v>
      </c>
      <c r="E8" s="11" t="n">
        <v>1514.24</v>
      </c>
      <c r="F8" s="11" t="n">
        <f aca="false">D8-E8</f>
        <v>1485.76</v>
      </c>
      <c r="G8" s="12" t="n">
        <f aca="false">IF(D8=0,0,E8/D8)</f>
        <v>0.504746666666667</v>
      </c>
      <c r="H8" s="12" t="n">
        <f aca="false">IF(282662.77=0,0,E8/282662.77)</f>
        <v>0.00535705498109992</v>
      </c>
      <c r="I8" s="11" t="n">
        <f aca="false">IF(165=0,0,E8/165)</f>
        <v>9.17721212121212</v>
      </c>
    </row>
    <row r="9" customFormat="false" ht="15" hidden="false" customHeight="true" outlineLevel="0" collapsed="false">
      <c r="B9" s="5" t="s">
        <v>108</v>
      </c>
      <c r="C9" s="5" t="s">
        <v>109</v>
      </c>
      <c r="D9" s="11" t="n">
        <v>63370</v>
      </c>
      <c r="E9" s="11" t="n">
        <v>11302.9</v>
      </c>
      <c r="F9" s="11" t="n">
        <f aca="false">D9-E9</f>
        <v>52067.1</v>
      </c>
      <c r="G9" s="12" t="n">
        <f aca="false">IF(D9=0,0,E9/D9)</f>
        <v>0.17836357898059</v>
      </c>
      <c r="H9" s="12" t="n">
        <f aca="false">IF(282662.77=0,0,E9/282662.77)</f>
        <v>0.0399872257672986</v>
      </c>
      <c r="I9" s="11" t="n">
        <f aca="false">IF(165=0,0,E9/165)</f>
        <v>68.5024242424242</v>
      </c>
    </row>
    <row r="10" customFormat="false" ht="15" hidden="false" customHeight="true" outlineLevel="0" collapsed="false">
      <c r="B10" s="5" t="s">
        <v>110</v>
      </c>
      <c r="C10" s="5" t="s">
        <v>111</v>
      </c>
      <c r="D10" s="11" t="n">
        <v>7980</v>
      </c>
      <c r="E10" s="11" t="n">
        <v>5720.08</v>
      </c>
      <c r="F10" s="11" t="n">
        <f aca="false">D10-E10</f>
        <v>2259.92</v>
      </c>
      <c r="G10" s="12" t="n">
        <f aca="false">IF(D10=0,0,E10/D10)</f>
        <v>0.716802005012531</v>
      </c>
      <c r="H10" s="12" t="n">
        <f aca="false">IF(282662.77=0,0,E10/282662.77)</f>
        <v>0.0202364110420343</v>
      </c>
      <c r="I10" s="11" t="n">
        <f aca="false">IF(165=0,0,E10/165)</f>
        <v>34.6671515151515</v>
      </c>
    </row>
    <row r="11" customFormat="false" ht="15" hidden="false" customHeight="true" outlineLevel="0" collapsed="false">
      <c r="B11" s="5" t="s">
        <v>112</v>
      </c>
      <c r="C11" s="5" t="s">
        <v>113</v>
      </c>
      <c r="D11" s="11" t="n">
        <v>130025</v>
      </c>
      <c r="E11" s="11" t="n">
        <v>66457.52</v>
      </c>
      <c r="F11" s="11" t="n">
        <f aca="false">D11-E11</f>
        <v>63567.48</v>
      </c>
      <c r="G11" s="12" t="n">
        <f aca="false">IF(D11=0,0,E11/D11)</f>
        <v>0.511113401268987</v>
      </c>
      <c r="H11" s="12" t="n">
        <f aca="false">IF(282662.77=0,0,E11/282662.77)</f>
        <v>0.235112392056442</v>
      </c>
      <c r="I11" s="11" t="n">
        <f aca="false">IF(165=0,0,E11/165)</f>
        <v>402.772848484849</v>
      </c>
    </row>
    <row r="12" customFormat="false" ht="15" hidden="false" customHeight="true" outlineLevel="0" collapsed="false">
      <c r="B12" s="5" t="s">
        <v>114</v>
      </c>
      <c r="C12" s="5" t="s">
        <v>115</v>
      </c>
      <c r="D12" s="11" t="n">
        <v>251305</v>
      </c>
      <c r="E12" s="11" t="n">
        <v>173652.72</v>
      </c>
      <c r="F12" s="11" t="n">
        <f aca="false">D12-E12</f>
        <v>77652.28</v>
      </c>
      <c r="G12" s="12" t="n">
        <f aca="false">IF(D12=0,0,E12/D12)</f>
        <v>0.691003839955433</v>
      </c>
      <c r="H12" s="12" t="n">
        <f aca="false">IF(282662.77=0,0,E12/282662.77)</f>
        <v>0.61434592182055</v>
      </c>
      <c r="I12" s="11" t="n">
        <f aca="false">IF(165=0,0,E12/165)</f>
        <v>1052.44072727273</v>
      </c>
    </row>
    <row r="13" customFormat="false" ht="15" hidden="false" customHeight="true" outlineLevel="0" collapsed="false">
      <c r="B13" s="5" t="s">
        <v>116</v>
      </c>
      <c r="C13" s="5" t="s">
        <v>117</v>
      </c>
      <c r="D13" s="11" t="n">
        <v>3600</v>
      </c>
      <c r="E13" s="11" t="n">
        <v>1080.05</v>
      </c>
      <c r="F13" s="11" t="n">
        <f aca="false">D13-E13</f>
        <v>2519.95</v>
      </c>
      <c r="G13" s="12" t="n">
        <f aca="false">IF(D13=0,0,E13/D13)</f>
        <v>0.300013888888889</v>
      </c>
      <c r="H13" s="12" t="n">
        <f aca="false">IF(282662.77=0,0,E13/282662.77)</f>
        <v>0.00382098427748373</v>
      </c>
      <c r="I13" s="11" t="n">
        <f aca="false">IF(165=0,0,E13/165)</f>
        <v>6.54575757575758</v>
      </c>
    </row>
    <row r="14" customFormat="false" ht="15" hidden="false" customHeight="true" outlineLevel="0" collapsed="false">
      <c r="B14" s="5" t="s">
        <v>118</v>
      </c>
      <c r="C14" s="5" t="s">
        <v>119</v>
      </c>
      <c r="D14" s="11" t="n">
        <v>33900</v>
      </c>
      <c r="E14" s="11" t="n">
        <v>20000.49</v>
      </c>
      <c r="F14" s="11" t="n">
        <f aca="false">D14-E14</f>
        <v>13899.51</v>
      </c>
      <c r="G14" s="12" t="n">
        <f aca="false">IF(D14=0,0,E14/D14)</f>
        <v>0.589984955752212</v>
      </c>
      <c r="H14" s="12" t="n">
        <f aca="false">IF(282662.77=0,0,E14/282662.77)</f>
        <v>0.0707574258895149</v>
      </c>
      <c r="I14" s="11" t="n">
        <f aca="false">IF(165=0,0,E14/165)</f>
        <v>121.215090909091</v>
      </c>
    </row>
    <row r="15" customFormat="false" ht="15" hidden="false" customHeight="true" outlineLevel="0" collapsed="false">
      <c r="B15" s="5" t="s">
        <v>120</v>
      </c>
      <c r="C15" s="5" t="s">
        <v>121</v>
      </c>
      <c r="D15" s="11" t="n">
        <v>0</v>
      </c>
      <c r="E15" s="11" t="n">
        <v>1098.46</v>
      </c>
      <c r="F15" s="11" t="n">
        <f aca="false">D15-E15</f>
        <v>-1098.46</v>
      </c>
      <c r="G15" s="12" t="n">
        <f aca="false">IF(D15=0,0,E15/D15)</f>
        <v>0</v>
      </c>
      <c r="H15" s="12" t="n">
        <f aca="false">IF(282662.77=0,0,E15/282662.77)</f>
        <v>0.00388611489231497</v>
      </c>
      <c r="I15" s="11" t="n">
        <f aca="false">IF(165=0,0,E15/165)</f>
        <v>6.65733333333333</v>
      </c>
    </row>
    <row r="16" customFormat="false" ht="15" hidden="false" customHeight="true" outlineLevel="0" collapsed="false">
      <c r="B16" s="5" t="s">
        <v>122</v>
      </c>
      <c r="C16" s="5" t="s">
        <v>123</v>
      </c>
      <c r="D16" s="11" t="n">
        <v>0</v>
      </c>
      <c r="E16" s="11" t="n">
        <v>647.45</v>
      </c>
      <c r="F16" s="11" t="n">
        <f aca="false">D16-E16</f>
        <v>-647.45</v>
      </c>
      <c r="G16" s="12" t="n">
        <f aca="false">IF(D16=0,0,E16/D16)</f>
        <v>0</v>
      </c>
      <c r="H16" s="12" t="n">
        <f aca="false">IF(282662.77=0,0,E16/282662.77)</f>
        <v>0.00229053865141136</v>
      </c>
      <c r="I16" s="11" t="n">
        <f aca="false">IF(165=0,0,E16/165)</f>
        <v>3.92393939393939</v>
      </c>
    </row>
    <row r="17" customFormat="false" ht="15" hidden="false" customHeight="true" outlineLevel="0" collapsed="false">
      <c r="B17" s="6" t="s">
        <v>38</v>
      </c>
      <c r="C17" s="6" t="s">
        <v>151</v>
      </c>
      <c r="D17" s="13" t="n">
        <f aca="false">SUM(D7:D16)</f>
        <v>504680</v>
      </c>
      <c r="E17" s="13" t="n">
        <f aca="false">SUM(E7:E16)</f>
        <v>282662.77</v>
      </c>
      <c r="F17" s="13" t="n">
        <f aca="false">D17-E17</f>
        <v>222017.23</v>
      </c>
      <c r="G17" s="14" t="n">
        <f aca="false">IF(D17=0,0,E17/D17)</f>
        <v>0.560083161607355</v>
      </c>
      <c r="H17" s="14" t="n">
        <v>1</v>
      </c>
      <c r="I17" s="13" t="n">
        <f aca="false">IF(165=0,0,E17/165)</f>
        <v>1713.1076969697</v>
      </c>
    </row>
    <row r="20" customFormat="false" ht="15" hidden="false" customHeight="true" outlineLevel="0" collapsed="false">
      <c r="B20" s="4" t="s">
        <v>152</v>
      </c>
      <c r="C20" s="4"/>
      <c r="D20" s="4"/>
      <c r="E20" s="4"/>
      <c r="F20" s="4"/>
      <c r="G20" s="4"/>
      <c r="H20" s="4"/>
      <c r="I20" s="4"/>
    </row>
    <row r="21" customFormat="false" ht="15" hidden="false" customHeight="true" outlineLevel="0" collapsed="false">
      <c r="B21" s="10" t="s">
        <v>153</v>
      </c>
      <c r="C21" s="10" t="s">
        <v>154</v>
      </c>
      <c r="D21" s="10" t="s">
        <v>155</v>
      </c>
      <c r="E21" s="10" t="s">
        <v>156</v>
      </c>
      <c r="F21" s="10"/>
      <c r="G21" s="10"/>
      <c r="H21" s="10"/>
      <c r="I21" s="10" t="s">
        <v>157</v>
      </c>
    </row>
    <row r="22" customFormat="false" ht="15" hidden="false" customHeight="true" outlineLevel="0" collapsed="false">
      <c r="B22" s="5" t="s">
        <v>158</v>
      </c>
      <c r="C22" s="15" t="n">
        <v>73</v>
      </c>
      <c r="D22" s="11" t="n">
        <v>215859.94</v>
      </c>
      <c r="E22" s="12" t="n">
        <f aca="false">IF(362721.85=0,0,D22/362721.85)</f>
        <v>0.595111488320872</v>
      </c>
      <c r="I22" s="11" t="n">
        <f aca="false">IF(C22=0,0,D22/C22)</f>
        <v>2956.98547945205</v>
      </c>
    </row>
    <row r="23" customFormat="false" ht="15" hidden="false" customHeight="true" outlineLevel="0" collapsed="false">
      <c r="B23" s="5" t="s">
        <v>159</v>
      </c>
      <c r="C23" s="15" t="n">
        <v>58</v>
      </c>
      <c r="D23" s="11" t="n">
        <v>84342.57</v>
      </c>
      <c r="E23" s="12" t="n">
        <f aca="false">IF(362721.85=0,0,D23/362721.85)</f>
        <v>0.232526852187151</v>
      </c>
      <c r="I23" s="11" t="n">
        <f aca="false">IF(C23=0,0,D23/C23)</f>
        <v>1454.18224137931</v>
      </c>
    </row>
    <row r="24" customFormat="false" ht="15" hidden="false" customHeight="true" outlineLevel="0" collapsed="false">
      <c r="B24" s="5" t="s">
        <v>160</v>
      </c>
      <c r="C24" s="15" t="n">
        <v>3</v>
      </c>
      <c r="D24" s="11" t="n">
        <v>30892.62</v>
      </c>
      <c r="E24" s="12" t="n">
        <f aca="false">IF(362721.85=0,0,D24/362721.85)</f>
        <v>0.0851688973244926</v>
      </c>
      <c r="I24" s="11" t="n">
        <f aca="false">IF(C24=0,0,D24/C24)</f>
        <v>10297.54</v>
      </c>
    </row>
    <row r="25" customFormat="false" ht="15" hidden="false" customHeight="true" outlineLevel="0" collapsed="false">
      <c r="B25" s="5" t="s">
        <v>161</v>
      </c>
      <c r="C25" s="15" t="n">
        <v>4</v>
      </c>
      <c r="D25" s="11" t="n">
        <v>10463</v>
      </c>
      <c r="E25" s="12" t="n">
        <f aca="false">IF(362721.85=0,0,D25/362721.85)</f>
        <v>0.0288457946495366</v>
      </c>
      <c r="I25" s="11" t="n">
        <f aca="false">IF(C25=0,0,D25/C25)</f>
        <v>2615.75</v>
      </c>
    </row>
    <row r="26" customFormat="false" ht="15" hidden="false" customHeight="true" outlineLevel="0" collapsed="false">
      <c r="B26" s="5" t="s">
        <v>162</v>
      </c>
      <c r="C26" s="15" t="n">
        <v>7</v>
      </c>
      <c r="D26" s="11" t="n">
        <v>10106.67</v>
      </c>
      <c r="E26" s="12" t="n">
        <f aca="false">IF(362721.85=0,0,D26/362721.85)</f>
        <v>0.0278634165545858</v>
      </c>
      <c r="I26" s="11" t="n">
        <f aca="false">IF(C26=0,0,D26/C26)</f>
        <v>1443.81</v>
      </c>
    </row>
    <row r="27" customFormat="false" ht="15" hidden="false" customHeight="true" outlineLevel="0" collapsed="false">
      <c r="B27" s="5" t="s">
        <v>163</v>
      </c>
      <c r="C27" s="15" t="n">
        <v>2</v>
      </c>
      <c r="D27" s="11" t="n">
        <v>2414</v>
      </c>
      <c r="E27" s="12" t="n">
        <f aca="false">IF(362721.85=0,0,D27/362721.85)</f>
        <v>0.00665523733957577</v>
      </c>
      <c r="I27" s="11" t="n">
        <f aca="false">IF(C27=0,0,D27/C27)</f>
        <v>1207</v>
      </c>
    </row>
    <row r="28" customFormat="false" ht="15" hidden="false" customHeight="true" outlineLevel="0" collapsed="false">
      <c r="B28" s="5" t="s">
        <v>164</v>
      </c>
      <c r="C28" s="15" t="n">
        <v>6</v>
      </c>
      <c r="D28" s="11" t="n">
        <v>2404.21</v>
      </c>
      <c r="E28" s="12" t="n">
        <f aca="false">IF(362721.85=0,0,D28/362721.85)</f>
        <v>0.00662824696113565</v>
      </c>
      <c r="I28" s="11" t="n">
        <f aca="false">IF(C28=0,0,D28/C28)</f>
        <v>400.701666666667</v>
      </c>
    </row>
    <row r="29" customFormat="false" ht="15" hidden="false" customHeight="true" outlineLevel="0" collapsed="false">
      <c r="B29" s="5" t="s">
        <v>165</v>
      </c>
      <c r="C29" s="15" t="n">
        <v>7</v>
      </c>
      <c r="D29" s="11" t="n">
        <v>2271.7</v>
      </c>
      <c r="E29" s="12" t="n">
        <f aca="false">IF(362721.85=0,0,D29/362721.85)</f>
        <v>0.00626292571015504</v>
      </c>
      <c r="I29" s="11" t="n">
        <f aca="false">IF(C29=0,0,D29/C29)</f>
        <v>324.528571428571</v>
      </c>
    </row>
    <row r="30" customFormat="false" ht="15" hidden="false" customHeight="true" outlineLevel="0" collapsed="false">
      <c r="B30" s="5" t="s">
        <v>166</v>
      </c>
      <c r="C30" s="15" t="n">
        <v>3</v>
      </c>
      <c r="D30" s="11" t="n">
        <v>1831.58</v>
      </c>
      <c r="E30" s="12" t="n">
        <f aca="false">IF(362721.85=0,0,D30/362721.85)</f>
        <v>0.00504954416173164</v>
      </c>
      <c r="I30" s="11" t="n">
        <f aca="false">IF(C30=0,0,D30/C30)</f>
        <v>610.526666666667</v>
      </c>
    </row>
    <row r="31" customFormat="false" ht="15" hidden="false" customHeight="true" outlineLevel="0" collapsed="false">
      <c r="B31" s="5" t="s">
        <v>167</v>
      </c>
      <c r="C31" s="15" t="n">
        <v>1</v>
      </c>
      <c r="D31" s="11" t="n">
        <v>950</v>
      </c>
      <c r="E31" s="12" t="n">
        <f aca="false">IF(362721.85=0,0,D31/362721.85)</f>
        <v>0.00261908677406669</v>
      </c>
      <c r="I31" s="11" t="n">
        <f aca="false">IF(C31=0,0,D31/C31)</f>
        <v>950</v>
      </c>
    </row>
    <row r="32" customFormat="false" ht="15" hidden="false" customHeight="true" outlineLevel="0" collapsed="false">
      <c r="B32" s="5" t="s">
        <v>168</v>
      </c>
      <c r="C32" s="15" t="n">
        <v>2</v>
      </c>
      <c r="D32" s="11" t="n">
        <v>265.36</v>
      </c>
      <c r="E32" s="12" t="n">
        <f aca="false">IF(362721.85=0,0,D32/362721.85)</f>
        <v>0.000731579859332985</v>
      </c>
      <c r="I32" s="11" t="n">
        <f aca="false">IF(C32=0,0,D32/C32)</f>
        <v>132.68</v>
      </c>
    </row>
    <row r="33" customFormat="false" ht="15" hidden="false" customHeight="true" outlineLevel="0" collapsed="false">
      <c r="B33" s="5" t="s">
        <v>169</v>
      </c>
      <c r="C33" s="15" t="n">
        <v>1</v>
      </c>
      <c r="D33" s="11" t="n">
        <v>212</v>
      </c>
      <c r="E33" s="12" t="n">
        <f aca="false">IF(362721.85=0,0,D33/362721.85)</f>
        <v>0.000584469890633829</v>
      </c>
      <c r="I33" s="11" t="n">
        <f aca="false">IF(C33=0,0,D33/C33)</f>
        <v>212</v>
      </c>
    </row>
    <row r="34" customFormat="false" ht="15" hidden="false" customHeight="true" outlineLevel="0" collapsed="false">
      <c r="B34" s="5" t="s">
        <v>170</v>
      </c>
      <c r="C34" s="15" t="n">
        <v>1</v>
      </c>
      <c r="D34" s="11" t="n">
        <v>197.5</v>
      </c>
      <c r="E34" s="12" t="n">
        <f aca="false">IF(362721.85=0,0,D34/362721.85)</f>
        <v>0.000544494355661232</v>
      </c>
      <c r="I34" s="11" t="n">
        <f aca="false">IF(C34=0,0,D34/C34)</f>
        <v>197.5</v>
      </c>
    </row>
    <row r="35" customFormat="false" ht="15" hidden="false" customHeight="true" outlineLevel="0" collapsed="false">
      <c r="B35" s="5" t="s">
        <v>171</v>
      </c>
      <c r="C35" s="15" t="n">
        <v>1</v>
      </c>
      <c r="D35" s="11" t="n">
        <v>168.54</v>
      </c>
      <c r="E35" s="12" t="n">
        <f aca="false">IF(362721.85=0,0,D35/362721.85)</f>
        <v>0.000464653563053894</v>
      </c>
      <c r="I35" s="11" t="n">
        <f aca="false">IF(C35=0,0,D35/C35)</f>
        <v>168.54</v>
      </c>
    </row>
    <row r="36" customFormat="false" ht="15" hidden="false" customHeight="true" outlineLevel="0" collapsed="false">
      <c r="B36" s="5" t="s">
        <v>172</v>
      </c>
      <c r="C36" s="15" t="n">
        <v>2</v>
      </c>
      <c r="D36" s="11" t="n">
        <v>121.4</v>
      </c>
      <c r="E36" s="12" t="n">
        <f aca="false">IF(362721.85=0,0,D36/362721.85)</f>
        <v>0.000334691720391259</v>
      </c>
      <c r="I36" s="11" t="n">
        <f aca="false">IF(C36=0,0,D36/C36)</f>
        <v>60.7</v>
      </c>
    </row>
    <row r="37" customFormat="false" ht="15" hidden="false" customHeight="true" outlineLevel="0" collapsed="false">
      <c r="B37" s="5" t="s">
        <v>173</v>
      </c>
      <c r="C37" s="15" t="n">
        <v>2</v>
      </c>
      <c r="D37" s="11" t="n">
        <v>96.67</v>
      </c>
      <c r="E37" s="12" t="n">
        <f aca="false">IF(362721.85=0,0,D37/362721.85)</f>
        <v>0.000266512756262133</v>
      </c>
      <c r="I37" s="11" t="n">
        <f aca="false">IF(C37=0,0,D37/C37)</f>
        <v>48.335</v>
      </c>
    </row>
    <row r="38" customFormat="false" ht="15" hidden="false" customHeight="true" outlineLevel="0" collapsed="false">
      <c r="B38" s="5" t="s">
        <v>174</v>
      </c>
      <c r="C38" s="15" t="n">
        <v>1</v>
      </c>
      <c r="D38" s="11" t="n">
        <v>69.69</v>
      </c>
      <c r="E38" s="12" t="n">
        <f aca="false">IF(362721.85=0,0,D38/362721.85)</f>
        <v>0.000192130691878639</v>
      </c>
      <c r="I38" s="11" t="n">
        <f aca="false">IF(C38=0,0,D38/C38)</f>
        <v>69.69</v>
      </c>
    </row>
    <row r="39" customFormat="false" ht="15" hidden="false" customHeight="true" outlineLevel="0" collapsed="false">
      <c r="B39" s="5" t="s">
        <v>175</v>
      </c>
      <c r="C39" s="15" t="n">
        <v>1</v>
      </c>
      <c r="D39" s="11" t="n">
        <v>54.4</v>
      </c>
      <c r="E39" s="12" t="n">
        <f aca="false">IF(362721.85=0,0,D39/362721.85)</f>
        <v>0.000149977179483398</v>
      </c>
      <c r="I39" s="11" t="n">
        <f aca="false">IF(C39=0,0,D39/C39)</f>
        <v>54.4</v>
      </c>
    </row>
    <row r="40" customFormat="false" ht="15" hidden="false" customHeight="true" outlineLevel="0" collapsed="false">
      <c r="B40" s="6" t="s">
        <v>38</v>
      </c>
      <c r="C40" s="16" t="n">
        <f aca="false">SUM(C22:C39)</f>
        <v>175</v>
      </c>
      <c r="D40" s="13" t="n">
        <f aca="false">SUM(D22:D39)</f>
        <v>362721.85</v>
      </c>
      <c r="E40" s="14" t="n">
        <v>1</v>
      </c>
    </row>
    <row r="43" customFormat="false" ht="15" hidden="false" customHeight="true" outlineLevel="0" collapsed="false">
      <c r="B43" s="4" t="s">
        <v>64</v>
      </c>
      <c r="C43" s="4"/>
      <c r="D43" s="4"/>
      <c r="E43" s="4"/>
      <c r="F43" s="4"/>
      <c r="G43" s="4"/>
      <c r="H43" s="4"/>
      <c r="I43" s="4"/>
    </row>
    <row r="44" customFormat="false" ht="15" hidden="false" customHeight="true" outlineLevel="0" collapsed="false">
      <c r="B44" s="3" t="s">
        <v>65</v>
      </c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B45" s="3" t="s">
        <v>66</v>
      </c>
      <c r="C45" s="3"/>
      <c r="D45" s="3"/>
      <c r="E45" s="3"/>
      <c r="F45" s="3"/>
      <c r="G45" s="3"/>
      <c r="H45" s="3"/>
      <c r="I45" s="3"/>
    </row>
    <row r="46" customFormat="false" ht="15" hidden="false" customHeight="true" outlineLevel="0" collapsed="false">
      <c r="B46" s="3" t="s">
        <v>67</v>
      </c>
      <c r="C46" s="3"/>
      <c r="D46" s="3"/>
      <c r="E46" s="3"/>
      <c r="F46" s="3"/>
      <c r="G46" s="3"/>
      <c r="H46" s="3"/>
      <c r="I46" s="3"/>
    </row>
    <row r="47" customFormat="false" ht="15" hidden="false" customHeight="true" outlineLevel="0" collapsed="false">
      <c r="B47" s="3" t="s">
        <v>68</v>
      </c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B48" s="3" t="s">
        <v>69</v>
      </c>
      <c r="C48" s="3"/>
      <c r="D48" s="3"/>
      <c r="E48" s="3"/>
      <c r="F48" s="3"/>
      <c r="G48" s="3"/>
      <c r="H48" s="3"/>
      <c r="I48" s="3"/>
    </row>
    <row r="49" customFormat="false" ht="15" hidden="false" customHeight="true" outlineLevel="0" collapsed="false">
      <c r="B49" s="3" t="s">
        <v>70</v>
      </c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B50" s="3" t="s">
        <v>71</v>
      </c>
      <c r="C50" s="3"/>
      <c r="D50" s="3"/>
      <c r="E50" s="3"/>
      <c r="F50" s="3"/>
      <c r="G50" s="3"/>
      <c r="H50" s="3"/>
      <c r="I50" s="3"/>
    </row>
    <row r="51" customFormat="false" ht="15" hidden="false" customHeight="true" outlineLevel="0" collapsed="false">
      <c r="B51" s="3" t="s">
        <v>176</v>
      </c>
      <c r="C51" s="3"/>
      <c r="D51" s="3"/>
      <c r="E51" s="3"/>
      <c r="F51" s="3"/>
      <c r="G51" s="3"/>
      <c r="H51" s="3"/>
      <c r="I51" s="3"/>
    </row>
  </sheetData>
  <mergeCells count="13">
    <mergeCell ref="B2:I2"/>
    <mergeCell ref="B3:I3"/>
    <mergeCell ref="B5:I5"/>
    <mergeCell ref="B20:I20"/>
    <mergeCell ref="B43:I43"/>
    <mergeCell ref="B44:I44"/>
    <mergeCell ref="B45:I45"/>
    <mergeCell ref="B46:I46"/>
    <mergeCell ref="B47:I47"/>
    <mergeCell ref="B48:I48"/>
    <mergeCell ref="B49:I49"/>
    <mergeCell ref="B50:I50"/>
    <mergeCell ref="B51:I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177</v>
      </c>
      <c r="C2" s="2"/>
      <c r="D2" s="2"/>
      <c r="E2" s="2"/>
      <c r="F2" s="2"/>
    </row>
    <row r="4" customFormat="false" ht="15" hidden="false" customHeight="true" outlineLevel="0" collapsed="false">
      <c r="B4" s="10" t="s">
        <v>178</v>
      </c>
      <c r="C4" s="10" t="s">
        <v>179</v>
      </c>
      <c r="D4" s="10" t="s">
        <v>180</v>
      </c>
      <c r="E4" s="10" t="s">
        <v>181</v>
      </c>
      <c r="F4" s="10" t="s">
        <v>182</v>
      </c>
    </row>
    <row r="5" customFormat="false" ht="15" hidden="false" customHeight="true" outlineLevel="0" collapsed="false">
      <c r="B5" s="5" t="s">
        <v>183</v>
      </c>
      <c r="C5" s="17" t="n">
        <v>1681</v>
      </c>
      <c r="D5" s="11" t="n">
        <v>42050</v>
      </c>
      <c r="E5" s="18" t="n">
        <f aca="false">IF(C5=0,0,D5/C5)</f>
        <v>25.0148720999405</v>
      </c>
      <c r="F5" s="5" t="s">
        <v>184</v>
      </c>
    </row>
    <row r="6" customFormat="false" ht="15" hidden="false" customHeight="true" outlineLevel="0" collapsed="false">
      <c r="B6" s="5" t="s">
        <v>185</v>
      </c>
      <c r="C6" s="17" t="n">
        <v>1588</v>
      </c>
      <c r="D6" s="11" t="n">
        <v>46498.5</v>
      </c>
      <c r="E6" s="18" t="n">
        <f aca="false">IF(C6=0,0,D6/C6)</f>
        <v>29.2811712846348</v>
      </c>
      <c r="F6" s="5" t="s">
        <v>184</v>
      </c>
    </row>
    <row r="7" customFormat="false" ht="15" hidden="false" customHeight="true" outlineLevel="0" collapsed="false">
      <c r="B7" s="5" t="s">
        <v>186</v>
      </c>
      <c r="C7" s="17" t="n">
        <v>1465</v>
      </c>
      <c r="D7" s="11" t="n">
        <v>19207</v>
      </c>
      <c r="E7" s="18" t="n">
        <f aca="false">IF(C7=0,0,D7/C7)</f>
        <v>13.1105802047782</v>
      </c>
      <c r="F7" s="5" t="s">
        <v>187</v>
      </c>
    </row>
    <row r="8" customFormat="false" ht="15" hidden="false" customHeight="true" outlineLevel="0" collapsed="false">
      <c r="B8" s="5" t="s">
        <v>188</v>
      </c>
      <c r="C8" s="17" t="n">
        <v>1192</v>
      </c>
      <c r="D8" s="11" t="n">
        <v>15781</v>
      </c>
      <c r="E8" s="18" t="n">
        <f aca="false">IF(C8=0,0,D8/C8)</f>
        <v>13.2390939597315</v>
      </c>
      <c r="F8" s="5" t="s">
        <v>187</v>
      </c>
    </row>
    <row r="9" customFormat="false" ht="15" hidden="false" customHeight="true" outlineLevel="0" collapsed="false">
      <c r="B9" s="5" t="s">
        <v>189</v>
      </c>
      <c r="C9" s="17" t="n">
        <v>833.5</v>
      </c>
      <c r="D9" s="11" t="n">
        <v>11129.5</v>
      </c>
      <c r="E9" s="18" t="n">
        <f aca="false">IF(C9=0,0,D9/C9)</f>
        <v>13.3527294541092</v>
      </c>
      <c r="F9" s="5" t="s">
        <v>187</v>
      </c>
    </row>
    <row r="10" customFormat="false" ht="15" hidden="false" customHeight="true" outlineLevel="0" collapsed="false">
      <c r="B10" s="5" t="s">
        <v>190</v>
      </c>
      <c r="C10" s="17" t="n">
        <v>727.5</v>
      </c>
      <c r="D10" s="11" t="n">
        <v>9796.5</v>
      </c>
      <c r="E10" s="18" t="n">
        <f aca="false">IF(C10=0,0,D10/C10)</f>
        <v>13.4659793814433</v>
      </c>
      <c r="F10" s="5" t="s">
        <v>187</v>
      </c>
    </row>
    <row r="11" customFormat="false" ht="15" hidden="false" customHeight="true" outlineLevel="0" collapsed="false">
      <c r="B11" s="5" t="s">
        <v>191</v>
      </c>
      <c r="C11" s="17" t="n">
        <v>680</v>
      </c>
      <c r="D11" s="11" t="n">
        <v>18200</v>
      </c>
      <c r="E11" s="18" t="n">
        <f aca="false">IF(C11=0,0,D11/C11)</f>
        <v>26.7647058823529</v>
      </c>
      <c r="F11" s="5" t="s">
        <v>184</v>
      </c>
    </row>
    <row r="12" customFormat="false" ht="15" hidden="false" customHeight="true" outlineLevel="0" collapsed="false">
      <c r="B12" s="5" t="s">
        <v>192</v>
      </c>
      <c r="C12" s="17" t="n">
        <v>366</v>
      </c>
      <c r="D12" s="11" t="n">
        <v>4758</v>
      </c>
      <c r="E12" s="18" t="n">
        <f aca="false">IF(C12=0,0,D12/C12)</f>
        <v>13</v>
      </c>
      <c r="F12" s="5" t="s">
        <v>187</v>
      </c>
    </row>
    <row r="13" customFormat="false" ht="15" hidden="false" customHeight="true" outlineLevel="0" collapsed="false">
      <c r="B13" s="5" t="s">
        <v>193</v>
      </c>
      <c r="C13" s="17" t="n">
        <v>366</v>
      </c>
      <c r="D13" s="11" t="n">
        <v>4114</v>
      </c>
      <c r="E13" s="18" t="n">
        <f aca="false">IF(C13=0,0,D13/C13)</f>
        <v>11.2404371584699</v>
      </c>
      <c r="F13" s="5" t="s">
        <v>187</v>
      </c>
    </row>
    <row r="14" customFormat="false" ht="15" hidden="false" customHeight="true" outlineLevel="0" collapsed="false">
      <c r="B14" s="5" t="s">
        <v>194</v>
      </c>
      <c r="C14" s="17" t="n">
        <v>314.5</v>
      </c>
      <c r="D14" s="11" t="n">
        <v>10992.5</v>
      </c>
      <c r="E14" s="18" t="n">
        <f aca="false">IF(C14=0,0,D14/C14)</f>
        <v>34.9523052464229</v>
      </c>
      <c r="F14" s="5" t="s">
        <v>195</v>
      </c>
    </row>
    <row r="15" customFormat="false" ht="15" hidden="false" customHeight="true" outlineLevel="0" collapsed="false">
      <c r="B15" s="5" t="s">
        <v>196</v>
      </c>
      <c r="C15" s="17" t="n">
        <v>301</v>
      </c>
      <c r="D15" s="11" t="n">
        <v>3660</v>
      </c>
      <c r="E15" s="18" t="n">
        <f aca="false">IF(C15=0,0,D15/C15)</f>
        <v>12.1594684385382</v>
      </c>
      <c r="F15" s="5" t="s">
        <v>187</v>
      </c>
    </row>
    <row r="16" customFormat="false" ht="15" hidden="false" customHeight="true" outlineLevel="0" collapsed="false">
      <c r="B16" s="5" t="s">
        <v>197</v>
      </c>
      <c r="C16" s="17" t="n">
        <v>112</v>
      </c>
      <c r="D16" s="11" t="n">
        <v>1344</v>
      </c>
      <c r="E16" s="18" t="n">
        <f aca="false">IF(C16=0,0,D16/C16)</f>
        <v>12</v>
      </c>
      <c r="F16" s="5" t="s">
        <v>187</v>
      </c>
    </row>
    <row r="17" customFormat="false" ht="15" hidden="false" customHeight="true" outlineLevel="0" collapsed="false">
      <c r="B17" s="5" t="s">
        <v>198</v>
      </c>
      <c r="C17" s="17" t="n">
        <v>91</v>
      </c>
      <c r="D17" s="11" t="n">
        <v>1092</v>
      </c>
      <c r="E17" s="18" t="n">
        <f aca="false">IF(C17=0,0,D17/C17)</f>
        <v>12</v>
      </c>
      <c r="F17" s="5" t="s">
        <v>187</v>
      </c>
    </row>
    <row r="18" customFormat="false" ht="15" hidden="false" customHeight="true" outlineLevel="0" collapsed="false">
      <c r="B18" s="5" t="s">
        <v>199</v>
      </c>
      <c r="C18" s="17" t="n">
        <v>59.5</v>
      </c>
      <c r="D18" s="11" t="n">
        <v>892.5</v>
      </c>
      <c r="E18" s="18" t="n">
        <f aca="false">IF(C18=0,0,D18/C18)</f>
        <v>15</v>
      </c>
      <c r="F18" s="5" t="s">
        <v>187</v>
      </c>
    </row>
    <row r="19" customFormat="false" ht="15" hidden="false" customHeight="true" outlineLevel="0" collapsed="false">
      <c r="B19" s="5" t="s">
        <v>200</v>
      </c>
      <c r="C19" s="17" t="n">
        <v>47</v>
      </c>
      <c r="D19" s="11" t="n">
        <v>525</v>
      </c>
      <c r="E19" s="18" t="n">
        <f aca="false">IF(C19=0,0,D19/C19)</f>
        <v>11.1702127659574</v>
      </c>
      <c r="F19" s="5" t="s">
        <v>187</v>
      </c>
    </row>
    <row r="20" customFormat="false" ht="15" hidden="false" customHeight="true" outlineLevel="0" collapsed="false">
      <c r="B20" s="5" t="s">
        <v>201</v>
      </c>
      <c r="C20" s="17" t="n">
        <v>40</v>
      </c>
      <c r="D20" s="11" t="n">
        <v>480</v>
      </c>
      <c r="E20" s="18" t="n">
        <f aca="false">IF(C20=0,0,D20/C20)</f>
        <v>12</v>
      </c>
      <c r="F20" s="5" t="s">
        <v>187</v>
      </c>
    </row>
    <row r="21" customFormat="false" ht="15" hidden="false" customHeight="true" outlineLevel="0" collapsed="false">
      <c r="B21" s="5" t="s">
        <v>202</v>
      </c>
      <c r="C21" s="17" t="n">
        <v>24</v>
      </c>
      <c r="D21" s="11" t="n">
        <v>414</v>
      </c>
      <c r="E21" s="18" t="n">
        <f aca="false">IF(C21=0,0,D21/C21)</f>
        <v>17.25</v>
      </c>
      <c r="F21" s="5" t="s">
        <v>187</v>
      </c>
    </row>
    <row r="22" customFormat="false" ht="15" hidden="false" customHeight="true" outlineLevel="0" collapsed="false">
      <c r="B22" s="5" t="s">
        <v>203</v>
      </c>
      <c r="C22" s="17" t="n">
        <v>11</v>
      </c>
      <c r="D22" s="11" t="n">
        <v>358</v>
      </c>
      <c r="E22" s="18" t="n">
        <f aca="false">IF(C22=0,0,D22/C22)</f>
        <v>32.5454545454546</v>
      </c>
      <c r="F22" s="5" t="s">
        <v>195</v>
      </c>
    </row>
    <row r="23" customFormat="false" ht="15" hidden="false" customHeight="true" outlineLevel="0" collapsed="false">
      <c r="B23" s="5" t="s">
        <v>204</v>
      </c>
      <c r="C23" s="17" t="n">
        <v>9</v>
      </c>
      <c r="D23" s="11" t="n">
        <v>153</v>
      </c>
      <c r="E23" s="18" t="n">
        <f aca="false">IF(C23=0,0,D23/C23)</f>
        <v>17</v>
      </c>
      <c r="F23" s="5" t="s">
        <v>187</v>
      </c>
    </row>
    <row r="24" customFormat="false" ht="15" hidden="false" customHeight="true" outlineLevel="0" collapsed="false">
      <c r="B24" s="5" t="s">
        <v>205</v>
      </c>
      <c r="C24" s="17" t="n">
        <v>7</v>
      </c>
      <c r="D24" s="11" t="n">
        <v>203</v>
      </c>
      <c r="E24" s="18" t="n">
        <f aca="false">IF(C24=0,0,D24/C24)</f>
        <v>29</v>
      </c>
      <c r="F24" s="5" t="s">
        <v>184</v>
      </c>
    </row>
    <row r="25" customFormat="false" ht="15" hidden="false" customHeight="true" outlineLevel="0" collapsed="false">
      <c r="B25" s="5" t="s">
        <v>206</v>
      </c>
      <c r="C25" s="17" t="n">
        <v>6.5</v>
      </c>
      <c r="D25" s="11" t="n">
        <v>87.75</v>
      </c>
      <c r="E25" s="18" t="n">
        <f aca="false">IF(C25=0,0,D25/C25)</f>
        <v>13.5</v>
      </c>
      <c r="F25" s="5" t="s">
        <v>187</v>
      </c>
    </row>
    <row r="26" customFormat="false" ht="15" hidden="false" customHeight="true" outlineLevel="0" collapsed="false">
      <c r="B26" s="5" t="s">
        <v>207</v>
      </c>
      <c r="C26" s="17" t="n">
        <v>2</v>
      </c>
      <c r="D26" s="11" t="n">
        <v>24</v>
      </c>
      <c r="E26" s="18" t="n">
        <f aca="false">IF(C26=0,0,D26/C26)</f>
        <v>12</v>
      </c>
      <c r="F26" s="5" t="s">
        <v>187</v>
      </c>
    </row>
    <row r="27" customFormat="false" ht="15" hidden="false" customHeight="true" outlineLevel="0" collapsed="false">
      <c r="B27" s="6" t="s">
        <v>208</v>
      </c>
      <c r="C27" s="19" t="n">
        <f aca="false">SUM(C5:C26)</f>
        <v>9923.5</v>
      </c>
      <c r="D27" s="13" t="n">
        <f aca="false">SUM(D5:D26)</f>
        <v>191760.25</v>
      </c>
      <c r="E27" s="20" t="n">
        <f aca="false">IF(C27=0,0,D27/C27)</f>
        <v>19.3238524714063</v>
      </c>
    </row>
    <row r="30" customFormat="false" ht="15" hidden="false" customHeight="true" outlineLevel="0" collapsed="false">
      <c r="B30" s="4" t="s">
        <v>64</v>
      </c>
      <c r="C30" s="4"/>
      <c r="D30" s="4"/>
      <c r="E30" s="4"/>
      <c r="F30" s="4"/>
    </row>
    <row r="31" customFormat="false" ht="15" hidden="false" customHeight="true" outlineLevel="0" collapsed="false">
      <c r="B31" s="3" t="s">
        <v>65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66</v>
      </c>
      <c r="C32" s="3"/>
      <c r="D32" s="3"/>
      <c r="E32" s="3"/>
      <c r="F32" s="3"/>
    </row>
    <row r="33" customFormat="false" ht="15" hidden="false" customHeight="true" outlineLevel="0" collapsed="false">
      <c r="B33" s="3" t="s">
        <v>67</v>
      </c>
      <c r="C33" s="3"/>
      <c r="D33" s="3"/>
      <c r="E33" s="3"/>
      <c r="F33" s="3"/>
    </row>
    <row r="34" customFormat="false" ht="15" hidden="false" customHeight="true" outlineLevel="0" collapsed="false">
      <c r="B34" s="3" t="s">
        <v>68</v>
      </c>
      <c r="C34" s="3"/>
      <c r="D34" s="3"/>
      <c r="E34" s="3"/>
      <c r="F34" s="3"/>
    </row>
    <row r="35" customFormat="false" ht="15" hidden="false" customHeight="true" outlineLevel="0" collapsed="false">
      <c r="B35" s="3" t="s">
        <v>69</v>
      </c>
      <c r="C35" s="3"/>
      <c r="D35" s="3"/>
      <c r="E35" s="3"/>
      <c r="F35" s="3"/>
    </row>
    <row r="36" customFormat="false" ht="15" hidden="false" customHeight="true" outlineLevel="0" collapsed="false">
      <c r="B36" s="3" t="s">
        <v>70</v>
      </c>
      <c r="C36" s="3"/>
      <c r="D36" s="3"/>
      <c r="E36" s="3"/>
      <c r="F36" s="3"/>
    </row>
    <row r="37" customFormat="false" ht="15" hidden="false" customHeight="true" outlineLevel="0" collapsed="false">
      <c r="B37" s="3" t="s">
        <v>71</v>
      </c>
      <c r="C37" s="3"/>
      <c r="D37" s="3"/>
      <c r="E37" s="3"/>
      <c r="F37" s="3"/>
    </row>
    <row r="38" customFormat="false" ht="15" hidden="false" customHeight="true" outlineLevel="0" collapsed="false">
      <c r="B38" s="3" t="s">
        <v>209</v>
      </c>
      <c r="C38" s="3"/>
      <c r="D38" s="3"/>
      <c r="E38" s="3"/>
      <c r="F38" s="3"/>
    </row>
  </sheetData>
  <mergeCells count="10">
    <mergeCell ref="B2:F2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6" min="3" style="1" width="16"/>
  </cols>
  <sheetData>
    <row r="2" customFormat="false" ht="19.5" hidden="false" customHeight="true" outlineLevel="0" collapsed="false">
      <c r="B2" s="2" t="s">
        <v>210</v>
      </c>
      <c r="C2" s="2"/>
      <c r="D2" s="2"/>
      <c r="E2" s="2"/>
      <c r="F2" s="2"/>
    </row>
    <row r="4" customFormat="false" ht="15" hidden="false" customHeight="true" outlineLevel="0" collapsed="false">
      <c r="B4" s="4" t="s">
        <v>211</v>
      </c>
      <c r="C4" s="4"/>
      <c r="D4" s="4"/>
      <c r="E4" s="4"/>
      <c r="F4" s="4"/>
    </row>
    <row r="5" customFormat="false" ht="15" hidden="false" customHeight="true" outlineLevel="0" collapsed="false">
      <c r="B5" s="10" t="s">
        <v>182</v>
      </c>
      <c r="C5" s="10" t="s">
        <v>212</v>
      </c>
      <c r="D5" s="10" t="s">
        <v>179</v>
      </c>
      <c r="E5" s="10" t="s">
        <v>180</v>
      </c>
      <c r="F5" s="10" t="s">
        <v>213</v>
      </c>
    </row>
    <row r="6" customFormat="false" ht="15" hidden="false" customHeight="true" outlineLevel="0" collapsed="false">
      <c r="B6" s="5" t="s">
        <v>195</v>
      </c>
      <c r="C6" s="15" t="n">
        <v>2</v>
      </c>
      <c r="D6" s="17" t="n">
        <v>325.5</v>
      </c>
      <c r="E6" s="11" t="n">
        <v>11350.5</v>
      </c>
      <c r="F6" s="12" t="n">
        <f aca="false">IF(9923.5=0,0,D6/9923.5)</f>
        <v>0.0328009270922558</v>
      </c>
    </row>
    <row r="7" customFormat="false" ht="15" hidden="false" customHeight="true" outlineLevel="0" collapsed="false">
      <c r="B7" s="5" t="s">
        <v>184</v>
      </c>
      <c r="C7" s="15" t="n">
        <v>4</v>
      </c>
      <c r="D7" s="17" t="n">
        <v>3956</v>
      </c>
      <c r="E7" s="11" t="n">
        <v>106951.5</v>
      </c>
      <c r="F7" s="12" t="n">
        <f aca="false">IF(9923.5=0,0,D7/9923.5)</f>
        <v>0.398649669975311</v>
      </c>
    </row>
    <row r="8" customFormat="false" ht="15" hidden="false" customHeight="true" outlineLevel="0" collapsed="false">
      <c r="B8" s="5" t="s">
        <v>187</v>
      </c>
      <c r="C8" s="15" t="n">
        <v>16</v>
      </c>
      <c r="D8" s="17" t="n">
        <v>5642</v>
      </c>
      <c r="E8" s="11" t="n">
        <v>73458.25</v>
      </c>
      <c r="F8" s="12" t="n">
        <f aca="false">IF(9923.5=0,0,D8/9923.5)</f>
        <v>0.568549402932433</v>
      </c>
    </row>
    <row r="11" customFormat="false" ht="15" hidden="false" customHeight="true" outlineLevel="0" collapsed="false">
      <c r="B11" s="4" t="s">
        <v>214</v>
      </c>
      <c r="C11" s="4"/>
      <c r="D11" s="4"/>
      <c r="E11" s="4"/>
      <c r="F11" s="4"/>
    </row>
    <row r="12" customFormat="false" ht="15" hidden="false" customHeight="true" outlineLevel="0" collapsed="false">
      <c r="B12" s="5" t="s">
        <v>215</v>
      </c>
      <c r="C12" s="21" t="n">
        <v>19.3238524714063</v>
      </c>
      <c r="F12" s="22" t="s">
        <v>216</v>
      </c>
    </row>
    <row r="13" customFormat="false" ht="15" hidden="false" customHeight="true" outlineLevel="0" collapsed="false">
      <c r="B13" s="5" t="s">
        <v>217</v>
      </c>
      <c r="C13" s="21" t="n">
        <v>30.199540484708</v>
      </c>
      <c r="F13" s="22" t="s">
        <v>218</v>
      </c>
    </row>
    <row r="14" customFormat="false" ht="15" hidden="false" customHeight="true" outlineLevel="0" collapsed="false">
      <c r="B14" s="5" t="s">
        <v>219</v>
      </c>
      <c r="C14" s="21" t="n">
        <v>1.56281158373542</v>
      </c>
      <c r="F14" s="22" t="s">
        <v>220</v>
      </c>
    </row>
    <row r="15" customFormat="false" ht="15" hidden="false" customHeight="true" outlineLevel="0" collapsed="false">
      <c r="B15" s="5" t="s">
        <v>221</v>
      </c>
      <c r="C15" s="21" t="n">
        <v>11.1702127659575</v>
      </c>
      <c r="F15" s="22" t="s">
        <v>222</v>
      </c>
    </row>
    <row r="16" customFormat="false" ht="15" hidden="false" customHeight="true" outlineLevel="0" collapsed="false">
      <c r="B16" s="5" t="s">
        <v>223</v>
      </c>
      <c r="C16" s="21" t="n">
        <v>34.9523052464229</v>
      </c>
      <c r="F16" s="22" t="s">
        <v>224</v>
      </c>
    </row>
    <row r="17" customFormat="false" ht="15" hidden="false" customHeight="true" outlineLevel="0" collapsed="false">
      <c r="B17" s="5" t="s">
        <v>225</v>
      </c>
      <c r="C17" s="21" t="n">
        <v>451.068181818182</v>
      </c>
      <c r="F17" s="22" t="s">
        <v>226</v>
      </c>
    </row>
    <row r="20" customFormat="false" ht="15" hidden="false" customHeight="true" outlineLevel="0" collapsed="false">
      <c r="B20" s="4" t="s">
        <v>64</v>
      </c>
      <c r="C20" s="4"/>
      <c r="D20" s="4"/>
      <c r="E20" s="4"/>
      <c r="F20" s="4"/>
    </row>
    <row r="21" customFormat="false" ht="15" hidden="false" customHeight="true" outlineLevel="0" collapsed="false">
      <c r="B21" s="3" t="s">
        <v>65</v>
      </c>
      <c r="C21" s="3"/>
      <c r="D21" s="3"/>
      <c r="E21" s="3"/>
      <c r="F21" s="3"/>
    </row>
    <row r="22" customFormat="false" ht="15" hidden="false" customHeight="true" outlineLevel="0" collapsed="false">
      <c r="B22" s="3" t="s">
        <v>66</v>
      </c>
      <c r="C22" s="3"/>
      <c r="D22" s="3"/>
      <c r="E22" s="3"/>
      <c r="F22" s="3"/>
    </row>
    <row r="23" customFormat="false" ht="15" hidden="false" customHeight="true" outlineLevel="0" collapsed="false">
      <c r="B23" s="3" t="s">
        <v>67</v>
      </c>
      <c r="C23" s="3"/>
      <c r="D23" s="3"/>
      <c r="E23" s="3"/>
      <c r="F23" s="3"/>
    </row>
    <row r="24" customFormat="false" ht="15" hidden="false" customHeight="true" outlineLevel="0" collapsed="false">
      <c r="B24" s="3" t="s">
        <v>68</v>
      </c>
      <c r="C24" s="3"/>
      <c r="D24" s="3"/>
      <c r="E24" s="3"/>
      <c r="F24" s="3"/>
    </row>
    <row r="25" customFormat="false" ht="15" hidden="false" customHeight="true" outlineLevel="0" collapsed="false">
      <c r="B25" s="3" t="s">
        <v>69</v>
      </c>
      <c r="C25" s="3"/>
      <c r="D25" s="3"/>
      <c r="E25" s="3"/>
      <c r="F25" s="3"/>
    </row>
    <row r="26" customFormat="false" ht="15" hidden="false" customHeight="true" outlineLevel="0" collapsed="false">
      <c r="B26" s="3" t="s">
        <v>70</v>
      </c>
      <c r="C26" s="3"/>
      <c r="D26" s="3"/>
      <c r="E26" s="3"/>
      <c r="F26" s="3"/>
    </row>
    <row r="27" customFormat="false" ht="15" hidden="false" customHeight="true" outlineLevel="0" collapsed="false">
      <c r="B27" s="3" t="s">
        <v>71</v>
      </c>
      <c r="C27" s="3"/>
      <c r="D27" s="3"/>
      <c r="E27" s="3"/>
      <c r="F27" s="3"/>
    </row>
  </sheetData>
  <mergeCells count="11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19.5" hidden="false" customHeight="true" outlineLevel="0" collapsed="false">
      <c r="B2" s="2" t="s">
        <v>227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228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10" t="s">
        <v>229</v>
      </c>
      <c r="C5" s="10" t="s">
        <v>230</v>
      </c>
      <c r="D5" s="10" t="s">
        <v>179</v>
      </c>
      <c r="E5" s="10" t="s">
        <v>231</v>
      </c>
      <c r="F5" s="10" t="s">
        <v>232</v>
      </c>
    </row>
    <row r="6" customFormat="false" ht="15" hidden="false" customHeight="true" outlineLevel="0" collapsed="false">
      <c r="B6" s="5" t="s">
        <v>233</v>
      </c>
      <c r="C6" s="5" t="s">
        <v>79</v>
      </c>
      <c r="D6" s="17" t="n">
        <v>90</v>
      </c>
      <c r="E6" s="12" t="n">
        <f aca="false">IF(9992.25=0,0,D6/9992.25)</f>
        <v>0.00900698040981761</v>
      </c>
      <c r="F6" s="23" t="n">
        <f aca="false">IF(165=0,0,D6/165)</f>
        <v>0.545454545454545</v>
      </c>
    </row>
    <row r="7" customFormat="false" ht="15" hidden="false" customHeight="true" outlineLevel="0" collapsed="false">
      <c r="B7" s="5" t="s">
        <v>82</v>
      </c>
      <c r="C7" s="5" t="s">
        <v>81</v>
      </c>
      <c r="D7" s="17" t="n">
        <v>138</v>
      </c>
      <c r="E7" s="12" t="n">
        <f aca="false">IF(9992.25=0,0,D7/9992.25)</f>
        <v>0.0138107032950537</v>
      </c>
      <c r="F7" s="23" t="n">
        <f aca="false">IF(165=0,0,D7/165)</f>
        <v>0.836363636363636</v>
      </c>
    </row>
    <row r="8" customFormat="false" ht="15" hidden="false" customHeight="true" outlineLevel="0" collapsed="false">
      <c r="B8" s="5" t="s">
        <v>234</v>
      </c>
      <c r="C8" s="5" t="s">
        <v>83</v>
      </c>
      <c r="D8" s="17" t="n">
        <v>124</v>
      </c>
      <c r="E8" s="12" t="n">
        <f aca="false">IF(9992.25=0,0,D8/9992.25)</f>
        <v>0.0124096174535265</v>
      </c>
      <c r="F8" s="23" t="n">
        <f aca="false">IF(165=0,0,D8/165)</f>
        <v>0.751515151515152</v>
      </c>
    </row>
    <row r="9" customFormat="false" ht="15" hidden="false" customHeight="true" outlineLevel="0" collapsed="false">
      <c r="B9" s="5" t="s">
        <v>235</v>
      </c>
      <c r="C9" s="5" t="s">
        <v>85</v>
      </c>
      <c r="D9" s="17" t="n">
        <v>30</v>
      </c>
      <c r="E9" s="12" t="n">
        <f aca="false">IF(9992.25=0,0,D9/9992.25)</f>
        <v>0.00300232680327254</v>
      </c>
      <c r="F9" s="23" t="n">
        <f aca="false">IF(165=0,0,D9/165)</f>
        <v>0.181818181818182</v>
      </c>
    </row>
    <row r="10" customFormat="false" ht="15" hidden="false" customHeight="true" outlineLevel="0" collapsed="false">
      <c r="B10" s="5" t="s">
        <v>236</v>
      </c>
      <c r="C10" s="5" t="s">
        <v>87</v>
      </c>
      <c r="D10" s="17" t="n">
        <v>1345</v>
      </c>
      <c r="E10" s="12" t="n">
        <f aca="false">IF(9992.25=0,0,D10/9992.25)</f>
        <v>0.134604318346719</v>
      </c>
      <c r="F10" s="23" t="n">
        <f aca="false">IF(165=0,0,D10/165)</f>
        <v>8.15151515151515</v>
      </c>
    </row>
    <row r="11" customFormat="false" ht="15" hidden="false" customHeight="true" outlineLevel="0" collapsed="false">
      <c r="B11" s="5" t="s">
        <v>237</v>
      </c>
      <c r="C11" s="5" t="s">
        <v>89</v>
      </c>
      <c r="D11" s="17" t="n">
        <v>122.5</v>
      </c>
      <c r="E11" s="12" t="n">
        <f aca="false">IF(9992.25=0,0,D11/9992.25)</f>
        <v>0.0122595011133629</v>
      </c>
      <c r="F11" s="23" t="n">
        <f aca="false">IF(165=0,0,D11/165)</f>
        <v>0.742424242424242</v>
      </c>
    </row>
    <row r="12" customFormat="false" ht="15" hidden="false" customHeight="true" outlineLevel="0" collapsed="false">
      <c r="B12" s="5" t="s">
        <v>238</v>
      </c>
      <c r="C12" s="5" t="s">
        <v>91</v>
      </c>
      <c r="D12" s="17" t="n">
        <v>6202.25</v>
      </c>
      <c r="E12" s="12" t="n">
        <f aca="false">IF(9992.25=0,0,D12/9992.25)</f>
        <v>0.62070604718657</v>
      </c>
      <c r="F12" s="23" t="n">
        <f aca="false">IF(165=0,0,D12/165)</f>
        <v>37.5893939393939</v>
      </c>
    </row>
    <row r="13" customFormat="false" ht="15" hidden="false" customHeight="true" outlineLevel="0" collapsed="false">
      <c r="B13" s="5" t="s">
        <v>239</v>
      </c>
      <c r="C13" s="5" t="s">
        <v>93</v>
      </c>
      <c r="D13" s="17" t="n">
        <v>1569</v>
      </c>
      <c r="E13" s="12" t="n">
        <f aca="false">IF(9992.25=0,0,D13/9992.25)</f>
        <v>0.157021691811154</v>
      </c>
      <c r="F13" s="23" t="n">
        <f aca="false">IF(165=0,0,D13/165)</f>
        <v>9.50909090909091</v>
      </c>
    </row>
    <row r="14" customFormat="false" ht="15" hidden="false" customHeight="true" outlineLevel="0" collapsed="false">
      <c r="B14" s="5" t="s">
        <v>240</v>
      </c>
      <c r="C14" s="5" t="s">
        <v>95</v>
      </c>
      <c r="D14" s="17" t="n">
        <v>79</v>
      </c>
      <c r="E14" s="12" t="n">
        <f aca="false">IF(9992.25=0,0,D14/9992.25)</f>
        <v>0.00790612724861768</v>
      </c>
      <c r="F14" s="23" t="n">
        <f aca="false">IF(165=0,0,D14/165)</f>
        <v>0.478787878787879</v>
      </c>
    </row>
    <row r="15" customFormat="false" ht="15" hidden="false" customHeight="true" outlineLevel="0" collapsed="false">
      <c r="B15" s="5" t="s">
        <v>241</v>
      </c>
      <c r="C15" s="5" t="s">
        <v>97</v>
      </c>
      <c r="D15" s="17" t="n">
        <v>189.5</v>
      </c>
      <c r="E15" s="12" t="n">
        <f aca="false">IF(9992.25=0,0,D15/9992.25)</f>
        <v>0.0189646976406715</v>
      </c>
      <c r="F15" s="23" t="n">
        <f aca="false">IF(165=0,0,D15/165)</f>
        <v>1.14848484848485</v>
      </c>
    </row>
    <row r="16" customFormat="false" ht="15" hidden="false" customHeight="true" outlineLevel="0" collapsed="false">
      <c r="B16" s="5" t="s">
        <v>242</v>
      </c>
      <c r="C16" s="5" t="s">
        <v>99</v>
      </c>
      <c r="D16" s="17" t="n">
        <v>89</v>
      </c>
      <c r="E16" s="12" t="n">
        <f aca="false">IF(9992.25=0,0,D16/9992.25)</f>
        <v>0.00890690284970852</v>
      </c>
      <c r="F16" s="23" t="n">
        <f aca="false">IF(165=0,0,D16/165)</f>
        <v>0.539393939393939</v>
      </c>
    </row>
    <row r="17" customFormat="false" ht="15" hidden="false" customHeight="true" outlineLevel="0" collapsed="false">
      <c r="B17" s="5" t="s">
        <v>243</v>
      </c>
      <c r="C17" s="5" t="s">
        <v>101</v>
      </c>
      <c r="D17" s="17" t="n">
        <v>14</v>
      </c>
      <c r="E17" s="12" t="n">
        <f aca="false">IF(9992.25=0,0,D17/9992.25)</f>
        <v>0.00140108584152718</v>
      </c>
      <c r="F17" s="23" t="n">
        <f aca="false">IF(165=0,0,D17/165)</f>
        <v>0.0848484848484849</v>
      </c>
    </row>
    <row r="18" customFormat="false" ht="15" hidden="false" customHeight="true" outlineLevel="0" collapsed="false">
      <c r="B18" s="6" t="s">
        <v>38</v>
      </c>
      <c r="D18" s="19" t="n">
        <f aca="false">SUM(D6:D17)</f>
        <v>9992.25</v>
      </c>
      <c r="E18" s="14" t="n">
        <v>1</v>
      </c>
      <c r="F18" s="21" t="n">
        <f aca="false">IF(165=0,0,D18/165)</f>
        <v>60.5590909090909</v>
      </c>
    </row>
    <row r="21" customFormat="false" ht="15" hidden="false" customHeight="true" outlineLevel="0" collapsed="false">
      <c r="B21" s="4" t="s">
        <v>244</v>
      </c>
      <c r="C21" s="4"/>
      <c r="D21" s="4"/>
      <c r="E21" s="4"/>
      <c r="F21" s="4"/>
      <c r="G21" s="4"/>
    </row>
    <row r="22" customFormat="false" ht="15" hidden="false" customHeight="true" outlineLevel="0" collapsed="false">
      <c r="B22" s="10" t="s">
        <v>40</v>
      </c>
      <c r="C22" s="10" t="s">
        <v>41</v>
      </c>
      <c r="D22" s="10" t="s">
        <v>245</v>
      </c>
      <c r="E22" s="10"/>
      <c r="F22" s="10" t="s">
        <v>246</v>
      </c>
    </row>
    <row r="23" customFormat="false" ht="15" hidden="false" customHeight="true" outlineLevel="0" collapsed="false">
      <c r="B23" s="5" t="s">
        <v>232</v>
      </c>
      <c r="C23" s="24" t="n">
        <v>60.5590909090909</v>
      </c>
      <c r="D23" s="5" t="s">
        <v>247</v>
      </c>
      <c r="F23" s="22" t="s">
        <v>248</v>
      </c>
    </row>
    <row r="24" customFormat="false" ht="15" hidden="false" customHeight="true" outlineLevel="0" collapsed="false">
      <c r="B24" s="5" t="s">
        <v>249</v>
      </c>
      <c r="C24" s="24" t="n">
        <v>12.4436488169365</v>
      </c>
      <c r="D24" s="5" t="s">
        <v>247</v>
      </c>
      <c r="F24" s="22" t="s">
        <v>250</v>
      </c>
    </row>
    <row r="25" customFormat="false" ht="15" hidden="false" customHeight="true" outlineLevel="0" collapsed="false">
      <c r="B25" s="5" t="s">
        <v>251</v>
      </c>
      <c r="C25" s="24" t="n">
        <v>138.749430808877</v>
      </c>
      <c r="D25" s="5" t="s">
        <v>252</v>
      </c>
      <c r="F25" s="22" t="s">
        <v>253</v>
      </c>
    </row>
    <row r="26" customFormat="false" ht="15" hidden="false" customHeight="true" outlineLevel="0" collapsed="false">
      <c r="B26" s="5" t="s">
        <v>254</v>
      </c>
      <c r="C26" s="24" t="n">
        <v>80.1041226950887</v>
      </c>
      <c r="D26" s="5" t="s">
        <v>252</v>
      </c>
      <c r="F26" s="22" t="s">
        <v>255</v>
      </c>
    </row>
    <row r="27" customFormat="false" ht="15" hidden="false" customHeight="true" outlineLevel="0" collapsed="false">
      <c r="B27" s="5" t="s">
        <v>256</v>
      </c>
      <c r="C27" s="24" t="n">
        <v>6.875</v>
      </c>
      <c r="D27" s="5" t="s">
        <v>257</v>
      </c>
      <c r="F27" s="22" t="s">
        <v>258</v>
      </c>
    </row>
    <row r="28" customFormat="false" ht="15" hidden="false" customHeight="true" outlineLevel="0" collapsed="false">
      <c r="B28" s="5" t="s">
        <v>259</v>
      </c>
      <c r="C28" s="24" t="n">
        <v>33.4583333333333</v>
      </c>
      <c r="D28" s="5" t="s">
        <v>260</v>
      </c>
      <c r="F28" s="22" t="s">
        <v>261</v>
      </c>
    </row>
    <row r="29" customFormat="false" ht="15" hidden="false" customHeight="true" outlineLevel="0" collapsed="false">
      <c r="B29" s="5" t="s">
        <v>262</v>
      </c>
      <c r="C29" s="24" t="n">
        <v>416.34375</v>
      </c>
      <c r="D29" s="5" t="s">
        <v>247</v>
      </c>
      <c r="F29" s="22" t="s">
        <v>263</v>
      </c>
    </row>
    <row r="30" customFormat="false" ht="15" hidden="false" customHeight="true" outlineLevel="0" collapsed="false">
      <c r="B30" s="5" t="s">
        <v>264</v>
      </c>
      <c r="C30" s="24" t="n">
        <v>57767.4583333333</v>
      </c>
      <c r="D30" s="5" t="s">
        <v>252</v>
      </c>
      <c r="F30" s="22" t="s">
        <v>265</v>
      </c>
    </row>
    <row r="33" customFormat="false" ht="15" hidden="false" customHeight="true" outlineLevel="0" collapsed="false">
      <c r="B33" s="4" t="s">
        <v>64</v>
      </c>
      <c r="C33" s="4"/>
      <c r="D33" s="4"/>
      <c r="E33" s="4"/>
      <c r="F33" s="4"/>
      <c r="G33" s="4"/>
    </row>
    <row r="34" customFormat="false" ht="15" hidden="false" customHeight="true" outlineLevel="0" collapsed="false">
      <c r="B34" s="3" t="s">
        <v>65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B35" s="3" t="s">
        <v>66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67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68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69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70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71</v>
      </c>
      <c r="C40" s="3"/>
      <c r="D40" s="3"/>
      <c r="E40" s="3"/>
      <c r="F40" s="3"/>
      <c r="G40" s="3"/>
    </row>
  </sheetData>
  <mergeCells count="11">
    <mergeCell ref="B2:G2"/>
    <mergeCell ref="B4:G4"/>
    <mergeCell ref="B21:G21"/>
    <mergeCell ref="B33:G33"/>
    <mergeCell ref="B34:G34"/>
    <mergeCell ref="B35:G35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7" min="4" style="1" width="14"/>
  </cols>
  <sheetData>
    <row r="2" customFormat="false" ht="19.5" hidden="false" customHeight="true" outlineLevel="0" collapsed="false">
      <c r="B2" s="2" t="s">
        <v>266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267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268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10" t="s">
        <v>269</v>
      </c>
      <c r="C6" s="10" t="s">
        <v>270</v>
      </c>
      <c r="D6" s="10" t="s">
        <v>271</v>
      </c>
      <c r="E6" s="10" t="s">
        <v>272</v>
      </c>
      <c r="F6" s="10" t="s">
        <v>273</v>
      </c>
    </row>
    <row r="7" customFormat="false" ht="15" hidden="false" customHeight="true" outlineLevel="0" collapsed="false">
      <c r="B7" s="5" t="s">
        <v>59</v>
      </c>
      <c r="C7" s="5" t="s">
        <v>274</v>
      </c>
      <c r="D7" s="15" t="n">
        <v>12</v>
      </c>
      <c r="E7" s="12" t="n">
        <f aca="false">IF(73=0,0,D7/73)</f>
        <v>0.164383561643836</v>
      </c>
    </row>
    <row r="8" customFormat="false" ht="15" hidden="false" customHeight="true" outlineLevel="0" collapsed="false">
      <c r="B8" s="5" t="s">
        <v>275</v>
      </c>
      <c r="C8" s="5" t="s">
        <v>276</v>
      </c>
      <c r="D8" s="15" t="n">
        <v>17</v>
      </c>
      <c r="E8" s="12" t="n">
        <f aca="false">IF(73=0,0,D8/73)</f>
        <v>0.232876712328767</v>
      </c>
    </row>
    <row r="9" customFormat="false" ht="15" hidden="false" customHeight="true" outlineLevel="0" collapsed="false">
      <c r="B9" s="5" t="s">
        <v>277</v>
      </c>
      <c r="C9" s="5" t="s">
        <v>278</v>
      </c>
      <c r="D9" s="15" t="n">
        <v>13</v>
      </c>
      <c r="E9" s="12" t="n">
        <f aca="false">IF(73=0,0,D9/73)</f>
        <v>0.178082191780822</v>
      </c>
    </row>
    <row r="10" customFormat="false" ht="15" hidden="false" customHeight="true" outlineLevel="0" collapsed="false">
      <c r="B10" s="5" t="s">
        <v>279</v>
      </c>
      <c r="C10" s="5" t="s">
        <v>280</v>
      </c>
      <c r="D10" s="15" t="n">
        <v>1</v>
      </c>
      <c r="E10" s="12" t="n">
        <f aca="false">IF(73=0,0,D10/73)</f>
        <v>0.0136986301369863</v>
      </c>
    </row>
    <row r="11" customFormat="false" ht="15" hidden="false" customHeight="true" outlineLevel="0" collapsed="false">
      <c r="B11" s="5" t="s">
        <v>281</v>
      </c>
      <c r="C11" s="5" t="s">
        <v>282</v>
      </c>
      <c r="D11" s="15" t="n">
        <v>3</v>
      </c>
      <c r="E11" s="12" t="n">
        <f aca="false">IF(73=0,0,D11/73)</f>
        <v>0.0410958904109589</v>
      </c>
    </row>
    <row r="12" customFormat="false" ht="15" hidden="false" customHeight="true" outlineLevel="0" collapsed="false">
      <c r="B12" s="5" t="s">
        <v>283</v>
      </c>
      <c r="C12" s="5" t="s">
        <v>284</v>
      </c>
      <c r="D12" s="15" t="n">
        <v>27</v>
      </c>
      <c r="E12" s="12" t="n">
        <f aca="false">IF(73=0,0,D12/73)</f>
        <v>0.36986301369863</v>
      </c>
    </row>
    <row r="13" customFormat="false" ht="15" hidden="false" customHeight="true" outlineLevel="0" collapsed="false">
      <c r="B13" s="6" t="s">
        <v>38</v>
      </c>
      <c r="D13" s="16" t="n">
        <f aca="false">SUM(D7:D12)</f>
        <v>73</v>
      </c>
      <c r="E13" s="14" t="n">
        <v>1</v>
      </c>
      <c r="F13" s="13" t="n">
        <v>282662.77</v>
      </c>
    </row>
    <row r="16" customFormat="false" ht="15" hidden="false" customHeight="true" outlineLevel="0" collapsed="false">
      <c r="B16" s="4" t="s">
        <v>285</v>
      </c>
      <c r="C16" s="4"/>
      <c r="D16" s="4"/>
      <c r="E16" s="4"/>
      <c r="F16" s="4"/>
      <c r="G16" s="4"/>
    </row>
    <row r="17" customFormat="false" ht="15" hidden="false" customHeight="true" outlineLevel="0" collapsed="false">
      <c r="B17" s="10" t="s">
        <v>153</v>
      </c>
      <c r="C17" s="10" t="s">
        <v>271</v>
      </c>
      <c r="D17" s="10" t="s">
        <v>272</v>
      </c>
    </row>
    <row r="18" customFormat="false" ht="15" hidden="false" customHeight="true" outlineLevel="0" collapsed="false">
      <c r="B18" s="5" t="s">
        <v>283</v>
      </c>
      <c r="C18" s="15" t="n">
        <v>60</v>
      </c>
      <c r="D18" s="12" t="n">
        <f aca="false">IF(73=0,0,C18/73)</f>
        <v>0.821917808219178</v>
      </c>
    </row>
    <row r="19" customFormat="false" ht="15" hidden="false" customHeight="true" outlineLevel="0" collapsed="false">
      <c r="B19" s="5" t="s">
        <v>286</v>
      </c>
      <c r="C19" s="15" t="n">
        <v>8</v>
      </c>
      <c r="D19" s="12" t="n">
        <f aca="false">IF(73=0,0,C19/73)</f>
        <v>0.10958904109589</v>
      </c>
    </row>
    <row r="20" customFormat="false" ht="15" hidden="false" customHeight="true" outlineLevel="0" collapsed="false">
      <c r="B20" s="5" t="s">
        <v>287</v>
      </c>
      <c r="C20" s="15" t="n">
        <v>3</v>
      </c>
      <c r="D20" s="12" t="n">
        <f aca="false">IF(73=0,0,C20/73)</f>
        <v>0.0410958904109589</v>
      </c>
    </row>
    <row r="21" customFormat="false" ht="15" hidden="false" customHeight="true" outlineLevel="0" collapsed="false">
      <c r="B21" s="5" t="s">
        <v>288</v>
      </c>
      <c r="C21" s="15" t="n">
        <v>1</v>
      </c>
      <c r="D21" s="12" t="n">
        <f aca="false">IF(73=0,0,C21/73)</f>
        <v>0.0136986301369863</v>
      </c>
    </row>
    <row r="22" customFormat="false" ht="15" hidden="false" customHeight="true" outlineLevel="0" collapsed="false">
      <c r="B22" s="5" t="s">
        <v>289</v>
      </c>
      <c r="C22" s="15" t="n">
        <v>1</v>
      </c>
      <c r="D22" s="12" t="n">
        <f aca="false">IF(73=0,0,C22/73)</f>
        <v>0.0136986301369863</v>
      </c>
    </row>
    <row r="25" customFormat="false" ht="15" hidden="false" customHeight="true" outlineLevel="0" collapsed="false">
      <c r="B25" s="4" t="s">
        <v>290</v>
      </c>
      <c r="C25" s="4"/>
      <c r="D25" s="4"/>
      <c r="E25" s="4"/>
      <c r="F25" s="4"/>
      <c r="G25" s="4"/>
    </row>
    <row r="26" customFormat="false" ht="15" hidden="false" customHeight="true" outlineLevel="0" collapsed="false">
      <c r="B26" s="5" t="s">
        <v>291</v>
      </c>
      <c r="E26" s="11" t="n">
        <v>282662.77</v>
      </c>
    </row>
    <row r="27" customFormat="false" ht="15" hidden="false" customHeight="true" outlineLevel="0" collapsed="false">
      <c r="B27" s="5" t="s">
        <v>292</v>
      </c>
      <c r="E27" s="15" t="n">
        <v>73</v>
      </c>
    </row>
    <row r="28" customFormat="false" ht="15" hidden="false" customHeight="true" outlineLevel="0" collapsed="false">
      <c r="B28" s="22" t="s">
        <v>293</v>
      </c>
    </row>
    <row r="31" customFormat="false" ht="15" hidden="false" customHeight="true" outlineLevel="0" collapsed="false">
      <c r="B31" s="4" t="s">
        <v>64</v>
      </c>
      <c r="C31" s="4"/>
      <c r="D31" s="4"/>
      <c r="E31" s="4"/>
      <c r="F31" s="4"/>
      <c r="G31" s="4"/>
    </row>
    <row r="32" customFormat="false" ht="15" hidden="false" customHeight="true" outlineLevel="0" collapsed="false">
      <c r="B32" s="3" t="s">
        <v>65</v>
      </c>
      <c r="C32" s="3"/>
      <c r="D32" s="3"/>
      <c r="E32" s="3"/>
      <c r="F32" s="3"/>
      <c r="G32" s="3"/>
    </row>
    <row r="33" customFormat="false" ht="15" hidden="false" customHeight="true" outlineLevel="0" collapsed="false">
      <c r="B33" s="3" t="s">
        <v>66</v>
      </c>
      <c r="C33" s="3"/>
      <c r="D33" s="3"/>
      <c r="E33" s="3"/>
      <c r="F33" s="3"/>
      <c r="G33" s="3"/>
    </row>
    <row r="34" customFormat="false" ht="15" hidden="false" customHeight="true" outlineLevel="0" collapsed="false">
      <c r="B34" s="3" t="s">
        <v>67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B35" s="3" t="s">
        <v>68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69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70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71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294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295</v>
      </c>
      <c r="C40" s="3"/>
      <c r="D40" s="3"/>
      <c r="E40" s="3"/>
      <c r="F40" s="3"/>
      <c r="G40" s="3"/>
    </row>
  </sheetData>
  <mergeCells count="15">
    <mergeCell ref="B2:G2"/>
    <mergeCell ref="B3:G3"/>
    <mergeCell ref="B5:G5"/>
    <mergeCell ref="B16:G16"/>
    <mergeCell ref="B25:G25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8" min="3" style="1" width="14"/>
  </cols>
  <sheetData>
    <row r="2" customFormat="false" ht="19.5" hidden="false" customHeight="true" outlineLevel="0" collapsed="false">
      <c r="B2" s="2" t="s">
        <v>296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297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298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299</v>
      </c>
      <c r="G6" s="11" t="n">
        <v>1469800</v>
      </c>
    </row>
    <row r="7" customFormat="false" ht="15" hidden="false" customHeight="true" outlineLevel="0" collapsed="false">
      <c r="B7" s="5" t="s">
        <v>300</v>
      </c>
      <c r="G7" s="11" t="n">
        <v>-83381</v>
      </c>
    </row>
    <row r="8" customFormat="false" ht="15" hidden="false" customHeight="true" outlineLevel="0" collapsed="false">
      <c r="B8" s="5" t="s">
        <v>301</v>
      </c>
      <c r="G8" s="11" t="n">
        <v>1386419</v>
      </c>
    </row>
    <row r="9" customFormat="false" ht="15" hidden="false" customHeight="true" outlineLevel="0" collapsed="false">
      <c r="B9" s="5" t="s">
        <v>302</v>
      </c>
      <c r="G9" s="11" t="n">
        <v>69321</v>
      </c>
    </row>
    <row r="10" customFormat="false" ht="15" hidden="false" customHeight="true" outlineLevel="0" collapsed="false">
      <c r="B10" s="5" t="s">
        <v>303</v>
      </c>
      <c r="G10" s="11" t="n">
        <v>1317098</v>
      </c>
    </row>
    <row r="12" customFormat="false" ht="15" hidden="false" customHeight="true" outlineLevel="0" collapsed="false">
      <c r="B12" s="4" t="s">
        <v>304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10" t="s">
        <v>305</v>
      </c>
      <c r="C13" s="10" t="s">
        <v>306</v>
      </c>
      <c r="D13" s="10" t="s">
        <v>307</v>
      </c>
      <c r="E13" s="10" t="s">
        <v>308</v>
      </c>
      <c r="F13" s="10" t="s">
        <v>309</v>
      </c>
      <c r="G13" s="10" t="s">
        <v>310</v>
      </c>
      <c r="H13" s="10" t="s">
        <v>311</v>
      </c>
    </row>
    <row r="14" customFormat="false" ht="15" hidden="false" customHeight="true" outlineLevel="0" collapsed="false">
      <c r="B14" s="5" t="n">
        <v>1</v>
      </c>
      <c r="C14" s="5" t="s">
        <v>312</v>
      </c>
      <c r="D14" s="11" t="n">
        <v>24000</v>
      </c>
      <c r="E14" s="11" t="n">
        <v>1200</v>
      </c>
      <c r="F14" s="11" t="n">
        <f aca="false">D14-E14</f>
        <v>22800</v>
      </c>
      <c r="G14" s="11" t="n">
        <v>22800</v>
      </c>
      <c r="H14" s="12" t="n">
        <f aca="false">IF(1386419=0,0,G14/1386419)</f>
        <v>0.0164452449079247</v>
      </c>
    </row>
    <row r="15" customFormat="false" ht="15" hidden="false" customHeight="true" outlineLevel="0" collapsed="false">
      <c r="B15" s="5" t="n">
        <v>2</v>
      </c>
      <c r="C15" s="5" t="s">
        <v>313</v>
      </c>
      <c r="D15" s="11" t="n">
        <v>48000</v>
      </c>
      <c r="E15" s="11" t="n">
        <v>2400</v>
      </c>
      <c r="F15" s="11" t="n">
        <f aca="false">D15-E15</f>
        <v>45600</v>
      </c>
      <c r="G15" s="11" t="n">
        <v>68400</v>
      </c>
      <c r="H15" s="12" t="n">
        <f aca="false">IF(1386419=0,0,G15/1386419)</f>
        <v>0.049335734723774</v>
      </c>
    </row>
    <row r="16" customFormat="false" ht="15" hidden="false" customHeight="true" outlineLevel="0" collapsed="false">
      <c r="B16" s="5" t="n">
        <v>3</v>
      </c>
      <c r="C16" s="5" t="s">
        <v>314</v>
      </c>
      <c r="D16" s="11" t="n">
        <v>15400</v>
      </c>
      <c r="E16" s="11" t="n">
        <v>770</v>
      </c>
      <c r="F16" s="11" t="n">
        <f aca="false">D16-E16</f>
        <v>14630</v>
      </c>
      <c r="G16" s="11" t="n">
        <v>83030</v>
      </c>
      <c r="H16" s="12" t="n">
        <f aca="false">IF(1386419=0,0,G16/1386419)</f>
        <v>0.059888100206359</v>
      </c>
    </row>
    <row r="17" customFormat="false" ht="15" hidden="false" customHeight="true" outlineLevel="0" collapsed="false">
      <c r="B17" s="5" t="n">
        <v>4</v>
      </c>
      <c r="C17" s="5" t="s">
        <v>315</v>
      </c>
      <c r="D17" s="11" t="n">
        <v>10100</v>
      </c>
      <c r="E17" s="11" t="n">
        <v>505</v>
      </c>
      <c r="F17" s="11" t="n">
        <f aca="false">D17-E17</f>
        <v>9595</v>
      </c>
      <c r="G17" s="11" t="n">
        <v>92625</v>
      </c>
      <c r="H17" s="12" t="n">
        <f aca="false">IF(1386419=0,0,G17/1386419)</f>
        <v>0.0668088074384439</v>
      </c>
    </row>
    <row r="18" customFormat="false" ht="15" hidden="false" customHeight="true" outlineLevel="0" collapsed="false">
      <c r="B18" s="5" t="n">
        <v>5</v>
      </c>
      <c r="C18" s="5" t="s">
        <v>316</v>
      </c>
      <c r="D18" s="11" t="n">
        <v>6300</v>
      </c>
      <c r="E18" s="11" t="n">
        <v>315</v>
      </c>
      <c r="F18" s="11" t="n">
        <f aca="false">D18-E18</f>
        <v>5985</v>
      </c>
      <c r="G18" s="11" t="n">
        <v>98610</v>
      </c>
      <c r="H18" s="12" t="n">
        <f aca="false">IF(1386419=0,0,G18/1386419)</f>
        <v>0.0711256842267742</v>
      </c>
    </row>
    <row r="19" customFormat="false" ht="15" hidden="false" customHeight="true" outlineLevel="0" collapsed="false">
      <c r="B19" s="5" t="n">
        <v>6</v>
      </c>
      <c r="C19" s="5" t="s">
        <v>317</v>
      </c>
      <c r="D19" s="11" t="n">
        <v>20400</v>
      </c>
      <c r="E19" s="11" t="n">
        <v>1020</v>
      </c>
      <c r="F19" s="11" t="n">
        <f aca="false">D19-E19</f>
        <v>19380</v>
      </c>
      <c r="G19" s="11" t="n">
        <v>117990</v>
      </c>
      <c r="H19" s="12" t="n">
        <f aca="false">IF(1386419=0,0,G19/1386419)</f>
        <v>0.0851041423985101</v>
      </c>
    </row>
    <row r="20" customFormat="false" ht="15" hidden="false" customHeight="true" outlineLevel="0" collapsed="false">
      <c r="B20" s="5" t="n">
        <v>7</v>
      </c>
      <c r="C20" s="5" t="s">
        <v>318</v>
      </c>
      <c r="D20" s="11" t="n">
        <v>70200</v>
      </c>
      <c r="E20" s="11" t="n">
        <v>3510</v>
      </c>
      <c r="F20" s="11" t="n">
        <f aca="false">D20-E20</f>
        <v>66690</v>
      </c>
      <c r="G20" s="11" t="n">
        <v>184680</v>
      </c>
      <c r="H20" s="12" t="n">
        <f aca="false">IF(1386419=0,0,G20/1386419)</f>
        <v>0.13320648375419</v>
      </c>
    </row>
    <row r="21" customFormat="false" ht="15" hidden="false" customHeight="true" outlineLevel="0" collapsed="false">
      <c r="B21" s="5" t="n">
        <v>8</v>
      </c>
      <c r="C21" s="5" t="s">
        <v>319</v>
      </c>
      <c r="D21" s="11" t="n">
        <v>160800</v>
      </c>
      <c r="E21" s="11" t="n">
        <v>8040</v>
      </c>
      <c r="F21" s="11" t="n">
        <f aca="false">D21-E21</f>
        <v>152760</v>
      </c>
      <c r="G21" s="11" t="n">
        <v>337440</v>
      </c>
      <c r="H21" s="12" t="n">
        <f aca="false">IF(1386419=0,0,G21/1386419)</f>
        <v>0.243389624637285</v>
      </c>
    </row>
    <row r="22" customFormat="false" ht="15" hidden="false" customHeight="true" outlineLevel="0" collapsed="false">
      <c r="B22" s="5" t="n">
        <v>9</v>
      </c>
      <c r="C22" s="5" t="s">
        <v>320</v>
      </c>
      <c r="D22" s="11" t="n">
        <v>143247</v>
      </c>
      <c r="E22" s="11" t="n">
        <v>7162.35</v>
      </c>
      <c r="F22" s="11" t="n">
        <f aca="false">D22-E22</f>
        <v>136084.65</v>
      </c>
      <c r="G22" s="11" t="n">
        <v>473524.65</v>
      </c>
      <c r="H22" s="12" t="n">
        <f aca="false">IF(1386419=0,0,G22/1386419)</f>
        <v>0.341545124525847</v>
      </c>
    </row>
    <row r="23" customFormat="false" ht="15" hidden="false" customHeight="true" outlineLevel="0" collapsed="false">
      <c r="B23" s="5" t="n">
        <v>10</v>
      </c>
      <c r="C23" s="5" t="s">
        <v>321</v>
      </c>
      <c r="D23" s="11" t="n">
        <v>292950</v>
      </c>
      <c r="E23" s="11" t="n">
        <v>14647.5</v>
      </c>
      <c r="F23" s="11" t="n">
        <f aca="false">D23-E23</f>
        <v>278302.5</v>
      </c>
      <c r="G23" s="11" t="n">
        <v>751827.15</v>
      </c>
      <c r="H23" s="12" t="n">
        <f aca="false">IF(1386419=0,0,G23/1386419)</f>
        <v>0.542279895183202</v>
      </c>
    </row>
    <row r="24" customFormat="false" ht="15" hidden="false" customHeight="true" outlineLevel="0" collapsed="false">
      <c r="B24" s="5" t="n">
        <v>11</v>
      </c>
      <c r="C24" s="5" t="s">
        <v>322</v>
      </c>
      <c r="D24" s="11" t="n">
        <v>204800</v>
      </c>
      <c r="E24" s="11" t="n">
        <v>10240</v>
      </c>
      <c r="F24" s="11" t="n">
        <f aca="false">D24-E24</f>
        <v>194560</v>
      </c>
      <c r="G24" s="11" t="n">
        <v>946387.15</v>
      </c>
      <c r="H24" s="12" t="n">
        <f aca="false">IF(1386419=0,0,G24/1386419)</f>
        <v>0.682612651730826</v>
      </c>
    </row>
    <row r="25" customFormat="false" ht="15" hidden="false" customHeight="true" outlineLevel="0" collapsed="false">
      <c r="B25" s="5" t="n">
        <v>12</v>
      </c>
      <c r="C25" s="5" t="s">
        <v>323</v>
      </c>
      <c r="D25" s="11" t="n">
        <v>40600</v>
      </c>
      <c r="E25" s="11" t="n">
        <v>2030</v>
      </c>
      <c r="F25" s="11" t="n">
        <f aca="false">D25-E25</f>
        <v>38570</v>
      </c>
      <c r="G25" s="11" t="n">
        <v>984957.15</v>
      </c>
      <c r="H25" s="12" t="n">
        <f aca="false">IF(1386419=0,0,G25/1386419)</f>
        <v>0.710432524366732</v>
      </c>
    </row>
    <row r="26" customFormat="false" ht="15" hidden="false" customHeight="true" outlineLevel="0" collapsed="false">
      <c r="B26" s="5" t="n">
        <v>13</v>
      </c>
      <c r="C26" s="5" t="s">
        <v>324</v>
      </c>
      <c r="D26" s="11" t="n">
        <v>60666</v>
      </c>
      <c r="E26" s="11" t="n">
        <v>3033.3</v>
      </c>
      <c r="F26" s="11" t="n">
        <f aca="false">D26-E26</f>
        <v>57632.7</v>
      </c>
      <c r="G26" s="11" t="n">
        <v>1042589.85</v>
      </c>
      <c r="H26" s="12" t="n">
        <f aca="false">IF(1386419=0,0,G26/1386419)</f>
        <v>0.752001992182738</v>
      </c>
    </row>
    <row r="27" customFormat="false" ht="15" hidden="false" customHeight="true" outlineLevel="0" collapsed="false">
      <c r="B27" s="5" t="n">
        <v>14</v>
      </c>
      <c r="C27" s="5" t="s">
        <v>325</v>
      </c>
      <c r="D27" s="11" t="n">
        <v>40000</v>
      </c>
      <c r="E27" s="11" t="n">
        <v>2000</v>
      </c>
      <c r="F27" s="11" t="n">
        <f aca="false">D27-E27</f>
        <v>38000</v>
      </c>
      <c r="G27" s="11" t="n">
        <v>1080589.85</v>
      </c>
      <c r="H27" s="12" t="n">
        <f aca="false">IF(1386419=0,0,G27/1386419)</f>
        <v>0.779410733695946</v>
      </c>
    </row>
    <row r="28" customFormat="false" ht="15" hidden="false" customHeight="true" outlineLevel="0" collapsed="false">
      <c r="B28" s="5" t="n">
        <v>15</v>
      </c>
      <c r="C28" s="5" t="s">
        <v>326</v>
      </c>
      <c r="D28" s="11" t="n">
        <v>45755</v>
      </c>
      <c r="E28" s="11" t="n">
        <v>2287.75</v>
      </c>
      <c r="F28" s="11" t="n">
        <f aca="false">D28-E28</f>
        <v>43467.25</v>
      </c>
      <c r="G28" s="11" t="n">
        <v>1124057.1</v>
      </c>
      <c r="H28" s="12" t="n">
        <f aca="false">IF(1386419=0,0,G28/1386419)</f>
        <v>0.810762907894367</v>
      </c>
    </row>
    <row r="29" customFormat="false" ht="15" hidden="false" customHeight="true" outlineLevel="0" collapsed="false">
      <c r="B29" s="5" t="n">
        <v>16</v>
      </c>
      <c r="C29" s="5" t="s">
        <v>327</v>
      </c>
      <c r="D29" s="11" t="n">
        <v>128977</v>
      </c>
      <c r="E29" s="11" t="n">
        <v>6448.85</v>
      </c>
      <c r="F29" s="11" t="n">
        <f aca="false">D29-E29</f>
        <v>122528.15</v>
      </c>
      <c r="G29" s="11" t="n">
        <v>1246585.25</v>
      </c>
      <c r="H29" s="12" t="n">
        <f aca="false">IF(1386419=0,0,G29/1386419)</f>
        <v>0.899140339248092</v>
      </c>
    </row>
    <row r="30" customFormat="false" ht="15" hidden="false" customHeight="true" outlineLevel="0" collapsed="false">
      <c r="B30" s="5" t="n">
        <v>17</v>
      </c>
      <c r="C30" s="5" t="s">
        <v>328</v>
      </c>
      <c r="D30" s="11" t="n">
        <v>72376</v>
      </c>
      <c r="E30" s="11" t="n">
        <v>3618.8</v>
      </c>
      <c r="F30" s="11" t="n">
        <f aca="false">D30-E30</f>
        <v>68757.2</v>
      </c>
      <c r="G30" s="11" t="n">
        <v>1315342.45</v>
      </c>
      <c r="H30" s="12" t="n">
        <f aca="false">IF(1386419=0,0,G30/1386419)</f>
        <v>0.94873371614209</v>
      </c>
    </row>
    <row r="31" customFormat="false" ht="15" hidden="false" customHeight="true" outlineLevel="0" collapsed="false">
      <c r="B31" s="5" t="n">
        <v>18</v>
      </c>
      <c r="C31" s="5" t="s">
        <v>329</v>
      </c>
      <c r="D31" s="11" t="n">
        <v>1848</v>
      </c>
      <c r="E31" s="11" t="n">
        <v>92.4</v>
      </c>
      <c r="F31" s="11" t="n">
        <f aca="false">D31-E31</f>
        <v>1755.6</v>
      </c>
      <c r="G31" s="11" t="n">
        <v>1317098.05</v>
      </c>
      <c r="H31" s="12" t="n">
        <f aca="false">IF(1386419=0,0,G31/1386419)</f>
        <v>0.95</v>
      </c>
    </row>
    <row r="33" customFormat="false" ht="15" hidden="false" customHeight="true" outlineLevel="0" collapsed="false">
      <c r="B33" s="4" t="s">
        <v>330</v>
      </c>
      <c r="C33" s="4"/>
      <c r="D33" s="4"/>
      <c r="E33" s="4"/>
      <c r="F33" s="4"/>
      <c r="G33" s="4"/>
      <c r="H33" s="4"/>
    </row>
    <row r="34" customFormat="false" ht="15" hidden="false" customHeight="true" outlineLevel="0" collapsed="false">
      <c r="B34" s="10" t="s">
        <v>40</v>
      </c>
      <c r="C34" s="10" t="s">
        <v>331</v>
      </c>
      <c r="D34" s="10" t="s">
        <v>332</v>
      </c>
      <c r="E34" s="10" t="s">
        <v>333</v>
      </c>
      <c r="F34" s="10" t="s">
        <v>334</v>
      </c>
    </row>
    <row r="35" customFormat="false" ht="15" hidden="false" customHeight="true" outlineLevel="0" collapsed="false">
      <c r="B35" s="5" t="s">
        <v>301</v>
      </c>
      <c r="C35" s="11" t="n">
        <v>1386419</v>
      </c>
      <c r="D35" s="11" t="n">
        <v>1386419</v>
      </c>
      <c r="E35" s="11" t="n">
        <f aca="false">C35-D35</f>
        <v>0</v>
      </c>
      <c r="F35" s="6" t="str">
        <f aca="false">IF(ABS(E35)&lt;=1,"TIES",IF(ABS(E35)&lt;=ABS(D35)*0.05,"WITHIN","OFF"))</f>
        <v>TIES</v>
      </c>
    </row>
    <row r="36" customFormat="false" ht="15" hidden="false" customHeight="true" outlineLevel="0" collapsed="false">
      <c r="B36" s="5" t="s">
        <v>335</v>
      </c>
      <c r="C36" s="11" t="n">
        <v>69321</v>
      </c>
      <c r="D36" s="11" t="n">
        <v>69321</v>
      </c>
      <c r="E36" s="11" t="n">
        <f aca="false">C36-D36</f>
        <v>0</v>
      </c>
      <c r="F36" s="6" t="str">
        <f aca="false">IF(ABS(E36)&lt;=1,"TIES",IF(ABS(E36)&lt;=ABS(D36)*0.05,"WITHIN","OFF"))</f>
        <v>TIES</v>
      </c>
    </row>
    <row r="37" customFormat="false" ht="15" hidden="false" customHeight="true" outlineLevel="0" collapsed="false">
      <c r="B37" s="5" t="s">
        <v>136</v>
      </c>
      <c r="C37" s="11" t="n">
        <v>585999</v>
      </c>
      <c r="D37" s="11" t="n">
        <v>585999</v>
      </c>
      <c r="E37" s="11" t="n">
        <f aca="false">C37-D37</f>
        <v>0</v>
      </c>
      <c r="F37" s="6" t="str">
        <f aca="false">IF(ABS(E37)&lt;=1,"TIES",IF(ABS(E37)&lt;=ABS(D37)*0.05,"WITHIN","OFF"))</f>
        <v>TIES</v>
      </c>
    </row>
    <row r="41" customFormat="false" ht="15" hidden="false" customHeight="true" outlineLevel="0" collapsed="false">
      <c r="B41" s="4" t="s">
        <v>64</v>
      </c>
      <c r="C41" s="4"/>
      <c r="D41" s="4"/>
      <c r="E41" s="4"/>
      <c r="F41" s="4"/>
      <c r="G41" s="4"/>
      <c r="H41" s="4"/>
    </row>
    <row r="42" customFormat="false" ht="15" hidden="false" customHeight="true" outlineLevel="0" collapsed="false">
      <c r="B42" s="3" t="s">
        <v>65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66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67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68</v>
      </c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B46" s="3" t="s">
        <v>69</v>
      </c>
      <c r="C46" s="3"/>
      <c r="D46" s="3"/>
      <c r="E46" s="3"/>
      <c r="F46" s="3"/>
      <c r="G46" s="3"/>
      <c r="H46" s="3"/>
    </row>
    <row r="47" customFormat="false" ht="15" hidden="false" customHeight="true" outlineLevel="0" collapsed="false">
      <c r="B47" s="3" t="s">
        <v>70</v>
      </c>
      <c r="C47" s="3"/>
      <c r="D47" s="3"/>
      <c r="E47" s="3"/>
      <c r="F47" s="3"/>
      <c r="G47" s="3"/>
      <c r="H47" s="3"/>
    </row>
    <row r="48" customFormat="false" ht="15" hidden="false" customHeight="true" outlineLevel="0" collapsed="false">
      <c r="B48" s="3" t="s">
        <v>71</v>
      </c>
      <c r="C48" s="3"/>
      <c r="D48" s="3"/>
      <c r="E48" s="3"/>
      <c r="F48" s="3"/>
      <c r="G48" s="3"/>
      <c r="H48" s="3"/>
    </row>
  </sheetData>
  <mergeCells count="13">
    <mergeCell ref="B2:H2"/>
    <mergeCell ref="B3:H3"/>
    <mergeCell ref="B5:H5"/>
    <mergeCell ref="B12:H12"/>
    <mergeCell ref="B33:H33"/>
    <mergeCell ref="B41:H41"/>
    <mergeCell ref="B42:H42"/>
    <mergeCell ref="B43:H43"/>
    <mergeCell ref="B44:H44"/>
    <mergeCell ref="B45:H45"/>
    <mergeCell ref="B46:H46"/>
    <mergeCell ref="B47:H47"/>
    <mergeCell ref="B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10"/>
  </cols>
  <sheetData>
    <row r="2" customFormat="false" ht="19.5" hidden="false" customHeight="true" outlineLevel="0" collapsed="false">
      <c r="B2" s="2" t="s">
        <v>336</v>
      </c>
      <c r="C2" s="2"/>
    </row>
    <row r="3" customFormat="false" ht="15" hidden="false" customHeight="true" outlineLevel="0" collapsed="false">
      <c r="B3" s="3" t="s">
        <v>337</v>
      </c>
      <c r="C3" s="3"/>
    </row>
    <row r="5" customFormat="false" ht="31.5" hidden="false" customHeight="true" outlineLevel="0" collapsed="false">
      <c r="B5" s="6" t="s">
        <v>338</v>
      </c>
      <c r="C5" s="25" t="s">
        <v>339</v>
      </c>
    </row>
    <row r="6" customFormat="false" ht="31.5" hidden="false" customHeight="true" outlineLevel="0" collapsed="false">
      <c r="B6" s="6" t="s">
        <v>340</v>
      </c>
      <c r="C6" s="25" t="s">
        <v>341</v>
      </c>
    </row>
    <row r="7" customFormat="false" ht="31.5" hidden="false" customHeight="true" outlineLevel="0" collapsed="false">
      <c r="B7" s="6" t="s">
        <v>342</v>
      </c>
      <c r="C7" s="25" t="s">
        <v>343</v>
      </c>
    </row>
    <row r="8" customFormat="false" ht="31.5" hidden="false" customHeight="true" outlineLevel="0" collapsed="false">
      <c r="B8" s="6" t="s">
        <v>344</v>
      </c>
      <c r="C8" s="25" t="s">
        <v>345</v>
      </c>
    </row>
    <row r="9" customFormat="false" ht="31.5" hidden="false" customHeight="true" outlineLevel="0" collapsed="false">
      <c r="B9" s="6" t="s">
        <v>346</v>
      </c>
      <c r="C9" s="25" t="s">
        <v>347</v>
      </c>
    </row>
    <row r="10" customFormat="false" ht="31.5" hidden="false" customHeight="true" outlineLevel="0" collapsed="false">
      <c r="B10" s="6" t="s">
        <v>348</v>
      </c>
      <c r="C10" s="25" t="s">
        <v>349</v>
      </c>
    </row>
    <row r="11" customFormat="false" ht="31.5" hidden="false" customHeight="true" outlineLevel="0" collapsed="false">
      <c r="B11" s="6" t="s">
        <v>350</v>
      </c>
      <c r="C11" s="25" t="s">
        <v>351</v>
      </c>
    </row>
    <row r="12" customFormat="false" ht="31.5" hidden="false" customHeight="true" outlineLevel="0" collapsed="false">
      <c r="B12" s="6" t="s">
        <v>352</v>
      </c>
      <c r="C12" s="25" t="s">
        <v>353</v>
      </c>
    </row>
    <row r="13" customFormat="false" ht="31.5" hidden="false" customHeight="true" outlineLevel="0" collapsed="false">
      <c r="B13" s="6" t="s">
        <v>354</v>
      </c>
      <c r="C13" s="25" t="s">
        <v>355</v>
      </c>
    </row>
    <row r="14" customFormat="false" ht="31.5" hidden="false" customHeight="true" outlineLevel="0" collapsed="false">
      <c r="B14" s="6" t="s">
        <v>356</v>
      </c>
      <c r="C14" s="25" t="s">
        <v>357</v>
      </c>
    </row>
    <row r="16" customFormat="false" ht="15" hidden="false" customHeight="true" outlineLevel="0" collapsed="false">
      <c r="B16" s="4" t="s">
        <v>358</v>
      </c>
      <c r="C16" s="4"/>
    </row>
    <row r="17" customFormat="false" ht="49.5" hidden="false" customHeight="true" outlineLevel="0" collapsed="false">
      <c r="B17" s="26" t="s">
        <v>359</v>
      </c>
      <c r="C17" s="26"/>
    </row>
    <row r="20" customFormat="false" ht="15" hidden="false" customHeight="true" outlineLevel="0" collapsed="false">
      <c r="B20" s="4" t="s">
        <v>64</v>
      </c>
      <c r="C20" s="4"/>
    </row>
    <row r="21" customFormat="false" ht="15" hidden="false" customHeight="true" outlineLevel="0" collapsed="false">
      <c r="B21" s="3" t="s">
        <v>65</v>
      </c>
      <c r="C21" s="3"/>
    </row>
    <row r="22" customFormat="false" ht="15" hidden="false" customHeight="true" outlineLevel="0" collapsed="false">
      <c r="B22" s="3" t="s">
        <v>66</v>
      </c>
      <c r="C22" s="3"/>
    </row>
    <row r="23" customFormat="false" ht="15" hidden="false" customHeight="true" outlineLevel="0" collapsed="false">
      <c r="B23" s="3" t="s">
        <v>67</v>
      </c>
      <c r="C23" s="3"/>
    </row>
    <row r="24" customFormat="false" ht="15" hidden="false" customHeight="true" outlineLevel="0" collapsed="false">
      <c r="B24" s="3" t="s">
        <v>68</v>
      </c>
      <c r="C24" s="3"/>
    </row>
    <row r="25" customFormat="false" ht="15" hidden="false" customHeight="true" outlineLevel="0" collapsed="false">
      <c r="B25" s="3" t="s">
        <v>69</v>
      </c>
      <c r="C25" s="3"/>
    </row>
    <row r="26" customFormat="false" ht="15" hidden="false" customHeight="true" outlineLevel="0" collapsed="false">
      <c r="B26" s="3" t="s">
        <v>70</v>
      </c>
      <c r="C26" s="3"/>
    </row>
    <row r="27" customFormat="false" ht="15" hidden="false" customHeight="true" outlineLevel="0" collapsed="false">
      <c r="B27" s="3" t="s">
        <v>71</v>
      </c>
      <c r="C27" s="3"/>
    </row>
  </sheetData>
  <mergeCells count="12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5"/>
    <col collapsed="false" customWidth="true" hidden="false" outlineLevel="0" max="7" min="7" style="0" width="13"/>
    <col collapsed="false" customWidth="true" hidden="false" outlineLevel="0" max="8" min="8" style="0" width="42"/>
  </cols>
  <sheetData>
    <row r="2" customFormat="false" ht="19.5" hidden="false" customHeight="true" outlineLevel="0" collapsed="false">
      <c r="B2" s="2" t="s">
        <v>360</v>
      </c>
      <c r="C2" s="2"/>
      <c r="D2" s="2"/>
      <c r="E2" s="2"/>
      <c r="F2" s="2"/>
    </row>
    <row r="3" customFormat="false" ht="15" hidden="false" customHeight="true" outlineLevel="0" collapsed="false">
      <c r="B3" s="3" t="s">
        <v>361</v>
      </c>
      <c r="C3" s="3"/>
      <c r="D3" s="3"/>
      <c r="E3" s="3"/>
      <c r="F3" s="3"/>
    </row>
    <row r="5" customFormat="false" ht="15" hidden="false" customHeight="true" outlineLevel="0" collapsed="false">
      <c r="B5" s="10" t="s">
        <v>362</v>
      </c>
      <c r="C5" s="10" t="s">
        <v>363</v>
      </c>
      <c r="D5" s="10" t="s">
        <v>41</v>
      </c>
      <c r="E5" s="10" t="s">
        <v>28</v>
      </c>
      <c r="F5" s="10" t="s">
        <v>246</v>
      </c>
      <c r="G5" s="27" t="s">
        <v>364</v>
      </c>
      <c r="H5" s="27" t="s">
        <v>365</v>
      </c>
    </row>
    <row r="6" customFormat="false" ht="15" hidden="false" customHeight="true" outlineLevel="0" collapsed="false">
      <c r="B6" s="5" t="s">
        <v>366</v>
      </c>
      <c r="C6" s="28" t="s">
        <v>367</v>
      </c>
      <c r="D6" s="6" t="s">
        <v>4</v>
      </c>
      <c r="E6" s="5" t="s">
        <v>368</v>
      </c>
      <c r="F6" s="22" t="s">
        <v>369</v>
      </c>
      <c r="G6" s="29" t="s">
        <v>370</v>
      </c>
      <c r="H6" s="30" t="s">
        <v>371</v>
      </c>
    </row>
    <row r="7" customFormat="false" ht="15" hidden="false" customHeight="true" outlineLevel="0" collapsed="false">
      <c r="B7" s="5" t="s">
        <v>372</v>
      </c>
      <c r="C7" s="28" t="s">
        <v>373</v>
      </c>
      <c r="D7" s="6" t="s">
        <v>6</v>
      </c>
      <c r="E7" s="5" t="s">
        <v>368</v>
      </c>
      <c r="G7" s="29" t="s">
        <v>370</v>
      </c>
      <c r="H7" s="30" t="s">
        <v>371</v>
      </c>
    </row>
    <row r="8" customFormat="false" ht="15" hidden="false" customHeight="true" outlineLevel="0" collapsed="false">
      <c r="B8" s="5" t="s">
        <v>7</v>
      </c>
      <c r="C8" s="28" t="s">
        <v>374</v>
      </c>
      <c r="D8" s="6" t="s">
        <v>8</v>
      </c>
      <c r="E8" s="5" t="s">
        <v>368</v>
      </c>
      <c r="G8" s="29" t="s">
        <v>370</v>
      </c>
      <c r="H8" s="30" t="s">
        <v>371</v>
      </c>
    </row>
    <row r="9" customFormat="false" ht="15" hidden="false" customHeight="true" outlineLevel="0" collapsed="false">
      <c r="B9" s="5" t="s">
        <v>9</v>
      </c>
      <c r="C9" s="28" t="s">
        <v>375</v>
      </c>
      <c r="D9" s="6" t="s">
        <v>10</v>
      </c>
      <c r="E9" s="5" t="s">
        <v>368</v>
      </c>
      <c r="G9" s="29" t="s">
        <v>370</v>
      </c>
      <c r="H9" s="30" t="s">
        <v>371</v>
      </c>
    </row>
    <row r="10" customFormat="false" ht="15" hidden="false" customHeight="true" outlineLevel="0" collapsed="false">
      <c r="B10" s="5" t="s">
        <v>376</v>
      </c>
      <c r="C10" s="28" t="s">
        <v>377</v>
      </c>
      <c r="D10" s="6" t="s">
        <v>378</v>
      </c>
      <c r="E10" s="5" t="s">
        <v>368</v>
      </c>
      <c r="G10" s="29" t="s">
        <v>370</v>
      </c>
      <c r="H10" s="30" t="s">
        <v>371</v>
      </c>
    </row>
    <row r="11" customFormat="false" ht="15" hidden="false" customHeight="true" outlineLevel="0" collapsed="false">
      <c r="B11" s="5" t="s">
        <v>379</v>
      </c>
      <c r="C11" s="28" t="s">
        <v>380</v>
      </c>
      <c r="D11" s="6" t="n">
        <v>24</v>
      </c>
      <c r="E11" s="5" t="s">
        <v>368</v>
      </c>
      <c r="F11" s="22" t="s">
        <v>12</v>
      </c>
      <c r="G11" s="29" t="s">
        <v>370</v>
      </c>
      <c r="H11" s="30" t="s">
        <v>371</v>
      </c>
    </row>
    <row r="12" customFormat="false" ht="15" hidden="false" customHeight="true" outlineLevel="0" collapsed="false">
      <c r="B12" s="5" t="s">
        <v>381</v>
      </c>
      <c r="C12" s="28" t="s">
        <v>382</v>
      </c>
      <c r="D12" s="13" t="n">
        <v>165</v>
      </c>
      <c r="E12" s="5" t="s">
        <v>368</v>
      </c>
      <c r="G12" s="29" t="s">
        <v>370</v>
      </c>
      <c r="H12" s="30" t="s">
        <v>371</v>
      </c>
    </row>
    <row r="13" customFormat="false" ht="15" hidden="false" customHeight="true" outlineLevel="0" collapsed="false">
      <c r="B13" s="5" t="s">
        <v>47</v>
      </c>
      <c r="C13" s="28" t="s">
        <v>383</v>
      </c>
      <c r="D13" s="13" t="n">
        <v>803</v>
      </c>
      <c r="E13" s="5" t="s">
        <v>368</v>
      </c>
      <c r="G13" s="29" t="s">
        <v>370</v>
      </c>
      <c r="H13" s="30" t="s">
        <v>371</v>
      </c>
    </row>
    <row r="14" customFormat="false" ht="15" hidden="false" customHeight="true" outlineLevel="0" collapsed="false">
      <c r="B14" s="5" t="s">
        <v>384</v>
      </c>
      <c r="C14" s="28" t="s">
        <v>385</v>
      </c>
      <c r="D14" s="21" t="n">
        <v>4.86666666666667</v>
      </c>
      <c r="E14" s="5" t="s">
        <v>368</v>
      </c>
      <c r="G14" s="29" t="s">
        <v>370</v>
      </c>
      <c r="H14" s="30" t="s">
        <v>371</v>
      </c>
    </row>
    <row r="15" customFormat="false" ht="15" hidden="false" customHeight="true" outlineLevel="0" collapsed="false">
      <c r="B15" s="5" t="s">
        <v>386</v>
      </c>
      <c r="C15" s="28" t="s">
        <v>387</v>
      </c>
      <c r="D15" s="13" t="n">
        <v>1469800</v>
      </c>
      <c r="E15" s="5" t="s">
        <v>388</v>
      </c>
      <c r="G15" s="29" t="s">
        <v>370</v>
      </c>
      <c r="H15" s="30" t="s">
        <v>371</v>
      </c>
    </row>
    <row r="16" customFormat="false" ht="15" hidden="false" customHeight="true" outlineLevel="0" collapsed="false">
      <c r="B16" s="5" t="s">
        <v>389</v>
      </c>
      <c r="C16" s="28" t="s">
        <v>390</v>
      </c>
      <c r="D16" s="13" t="n">
        <v>1386419</v>
      </c>
      <c r="E16" s="5" t="s">
        <v>388</v>
      </c>
      <c r="F16" s="22" t="s">
        <v>391</v>
      </c>
      <c r="G16" s="29" t="s">
        <v>370</v>
      </c>
      <c r="H16" s="30" t="s">
        <v>371</v>
      </c>
    </row>
    <row r="17" customFormat="false" ht="15" hidden="false" customHeight="true" outlineLevel="0" collapsed="false">
      <c r="B17" s="5" t="s">
        <v>392</v>
      </c>
      <c r="C17" s="28" t="s">
        <v>393</v>
      </c>
      <c r="D17" s="13" t="n">
        <v>-83381</v>
      </c>
      <c r="E17" s="5" t="s">
        <v>388</v>
      </c>
      <c r="G17" s="29" t="s">
        <v>370</v>
      </c>
      <c r="H17" s="30" t="s">
        <v>371</v>
      </c>
    </row>
    <row r="18" customFormat="false" ht="15" hidden="false" customHeight="true" outlineLevel="0" collapsed="false">
      <c r="B18" s="5" t="s">
        <v>394</v>
      </c>
      <c r="C18" s="28" t="s">
        <v>395</v>
      </c>
      <c r="D18" s="13" t="n">
        <v>1386419</v>
      </c>
      <c r="E18" s="5" t="s">
        <v>388</v>
      </c>
      <c r="G18" s="29" t="s">
        <v>370</v>
      </c>
      <c r="H18" s="30" t="s">
        <v>371</v>
      </c>
    </row>
    <row r="19" customFormat="false" ht="15" hidden="false" customHeight="true" outlineLevel="0" collapsed="false">
      <c r="B19" s="5" t="s">
        <v>396</v>
      </c>
      <c r="C19" s="28" t="s">
        <v>397</v>
      </c>
      <c r="D19" s="13" t="n">
        <v>800420.42</v>
      </c>
      <c r="E19" s="5" t="s">
        <v>388</v>
      </c>
      <c r="G19" s="29" t="s">
        <v>370</v>
      </c>
      <c r="H19" s="30" t="s">
        <v>371</v>
      </c>
    </row>
    <row r="20" customFormat="false" ht="15" hidden="false" customHeight="true" outlineLevel="0" collapsed="false">
      <c r="B20" s="5" t="s">
        <v>398</v>
      </c>
      <c r="C20" s="28" t="s">
        <v>399</v>
      </c>
      <c r="D20" s="21" t="n">
        <v>0.577329378780874</v>
      </c>
      <c r="E20" s="5" t="s">
        <v>388</v>
      </c>
      <c r="G20" s="29" t="s">
        <v>370</v>
      </c>
      <c r="H20" s="30" t="s">
        <v>371</v>
      </c>
    </row>
    <row r="21" customFormat="false" ht="15" hidden="false" customHeight="true" outlineLevel="0" collapsed="false">
      <c r="B21" s="5" t="s">
        <v>136</v>
      </c>
      <c r="C21" s="28" t="s">
        <v>400</v>
      </c>
      <c r="D21" s="13" t="n">
        <v>585998.58</v>
      </c>
      <c r="E21" s="5" t="s">
        <v>388</v>
      </c>
      <c r="G21" s="29" t="s">
        <v>370</v>
      </c>
      <c r="H21" s="30" t="s">
        <v>371</v>
      </c>
    </row>
    <row r="22" customFormat="false" ht="15" hidden="false" customHeight="true" outlineLevel="0" collapsed="false">
      <c r="B22" s="5" t="s">
        <v>401</v>
      </c>
      <c r="C22" s="28" t="s">
        <v>402</v>
      </c>
      <c r="D22" s="13" t="n">
        <v>196271.13</v>
      </c>
      <c r="E22" s="5" t="s">
        <v>34</v>
      </c>
      <c r="F22" s="22" t="s">
        <v>403</v>
      </c>
      <c r="G22" s="29" t="s">
        <v>370</v>
      </c>
      <c r="H22" s="30" t="s">
        <v>371</v>
      </c>
    </row>
    <row r="23" customFormat="false" ht="15" hidden="false" customHeight="true" outlineLevel="0" collapsed="false">
      <c r="B23" s="5" t="s">
        <v>404</v>
      </c>
      <c r="C23" s="28" t="s">
        <v>405</v>
      </c>
      <c r="D23" s="13" t="n">
        <v>282662.77</v>
      </c>
      <c r="E23" s="5" t="s">
        <v>35</v>
      </c>
      <c r="F23" s="22" t="s">
        <v>406</v>
      </c>
      <c r="G23" s="29" t="s">
        <v>370</v>
      </c>
      <c r="H23" s="30" t="s">
        <v>371</v>
      </c>
    </row>
    <row r="24" customFormat="false" ht="15" hidden="false" customHeight="true" outlineLevel="0" collapsed="false">
      <c r="B24" s="5" t="s">
        <v>407</v>
      </c>
      <c r="C24" s="28" t="s">
        <v>408</v>
      </c>
      <c r="D24" s="13" t="n">
        <v>3650.67</v>
      </c>
      <c r="E24" s="5" t="s">
        <v>388</v>
      </c>
      <c r="F24" s="22" t="s">
        <v>409</v>
      </c>
      <c r="G24" s="29" t="s">
        <v>370</v>
      </c>
      <c r="H24" s="30" t="s">
        <v>371</v>
      </c>
    </row>
    <row r="25" customFormat="false" ht="15" hidden="false" customHeight="true" outlineLevel="0" collapsed="false">
      <c r="B25" s="5" t="s">
        <v>410</v>
      </c>
      <c r="C25" s="28" t="s">
        <v>411</v>
      </c>
      <c r="D25" s="13" t="n">
        <v>103414.01</v>
      </c>
      <c r="E25" s="5" t="s">
        <v>388</v>
      </c>
      <c r="F25" s="22" t="s">
        <v>412</v>
      </c>
      <c r="G25" s="29" t="s">
        <v>370</v>
      </c>
      <c r="H25" s="30" t="s">
        <v>371</v>
      </c>
    </row>
    <row r="26" customFormat="false" ht="15" hidden="false" customHeight="true" outlineLevel="0" collapsed="false">
      <c r="B26" s="5" t="s">
        <v>335</v>
      </c>
      <c r="C26" s="28" t="s">
        <v>413</v>
      </c>
      <c r="D26" s="13" t="n">
        <v>69320.95</v>
      </c>
      <c r="E26" s="5" t="s">
        <v>388</v>
      </c>
      <c r="F26" s="22" t="s">
        <v>414</v>
      </c>
      <c r="G26" s="29" t="s">
        <v>370</v>
      </c>
      <c r="H26" s="30" t="s">
        <v>371</v>
      </c>
    </row>
    <row r="27" customFormat="false" ht="15" hidden="false" customHeight="true" outlineLevel="0" collapsed="false">
      <c r="B27" s="5" t="s">
        <v>415</v>
      </c>
      <c r="C27" s="28" t="s">
        <v>416</v>
      </c>
      <c r="D27" s="13" t="n">
        <v>8402.53939393939</v>
      </c>
      <c r="E27" s="5" t="s">
        <v>388</v>
      </c>
      <c r="G27" s="29" t="s">
        <v>370</v>
      </c>
      <c r="H27" s="30" t="s">
        <v>371</v>
      </c>
    </row>
    <row r="28" customFormat="false" ht="15" hidden="false" customHeight="true" outlineLevel="0" collapsed="false">
      <c r="B28" s="5" t="s">
        <v>417</v>
      </c>
      <c r="C28" s="28" t="s">
        <v>418</v>
      </c>
      <c r="D28" s="13" t="n">
        <v>4851.03284848485</v>
      </c>
      <c r="E28" s="5" t="s">
        <v>388</v>
      </c>
      <c r="G28" s="29" t="s">
        <v>370</v>
      </c>
      <c r="H28" s="30" t="s">
        <v>371</v>
      </c>
    </row>
    <row r="29" customFormat="false" ht="15" hidden="false" customHeight="true" outlineLevel="0" collapsed="false">
      <c r="B29" s="5" t="s">
        <v>419</v>
      </c>
      <c r="C29" s="28" t="s">
        <v>420</v>
      </c>
      <c r="D29" s="13" t="n">
        <v>3551.50654545455</v>
      </c>
      <c r="E29" s="5" t="s">
        <v>388</v>
      </c>
      <c r="G29" s="29" t="s">
        <v>370</v>
      </c>
      <c r="H29" s="30" t="s">
        <v>371</v>
      </c>
    </row>
    <row r="30" customFormat="false" ht="15" hidden="false" customHeight="true" outlineLevel="0" collapsed="false">
      <c r="B30" s="5" t="s">
        <v>421</v>
      </c>
      <c r="C30" s="28" t="s">
        <v>422</v>
      </c>
      <c r="D30" s="13" t="n">
        <v>1189.522</v>
      </c>
      <c r="E30" s="5" t="s">
        <v>34</v>
      </c>
      <c r="G30" s="29" t="s">
        <v>370</v>
      </c>
      <c r="H30" s="30" t="s">
        <v>371</v>
      </c>
    </row>
    <row r="31" customFormat="false" ht="15" hidden="false" customHeight="true" outlineLevel="0" collapsed="false">
      <c r="B31" s="5" t="s">
        <v>423</v>
      </c>
      <c r="C31" s="28" t="s">
        <v>424</v>
      </c>
      <c r="D31" s="13" t="n">
        <v>1713.1076969697</v>
      </c>
      <c r="E31" s="5" t="s">
        <v>35</v>
      </c>
      <c r="G31" s="29" t="s">
        <v>370</v>
      </c>
      <c r="H31" s="30" t="s">
        <v>371</v>
      </c>
    </row>
    <row r="32" customFormat="false" ht="15" hidden="false" customHeight="true" outlineLevel="0" collapsed="false">
      <c r="B32" s="5" t="s">
        <v>425</v>
      </c>
      <c r="C32" s="28" t="s">
        <v>426</v>
      </c>
      <c r="D32" s="13" t="n">
        <v>1726.54919053549</v>
      </c>
      <c r="E32" s="5" t="s">
        <v>388</v>
      </c>
      <c r="G32" s="29" t="s">
        <v>370</v>
      </c>
      <c r="H32" s="30" t="s">
        <v>371</v>
      </c>
    </row>
    <row r="33" customFormat="false" ht="15" hidden="false" customHeight="true" outlineLevel="0" collapsed="false">
      <c r="B33" s="5" t="s">
        <v>427</v>
      </c>
      <c r="C33" s="28" t="s">
        <v>428</v>
      </c>
      <c r="D33" s="13" t="n">
        <v>996.787571606476</v>
      </c>
      <c r="E33" s="5" t="s">
        <v>388</v>
      </c>
      <c r="G33" s="29" t="s">
        <v>370</v>
      </c>
      <c r="H33" s="30" t="s">
        <v>371</v>
      </c>
    </row>
    <row r="34" customFormat="false" ht="15" hidden="false" customHeight="true" outlineLevel="0" collapsed="false">
      <c r="B34" s="5" t="s">
        <v>429</v>
      </c>
      <c r="C34" s="28" t="s">
        <v>430</v>
      </c>
      <c r="D34" s="13" t="n">
        <v>729.761618929016</v>
      </c>
      <c r="E34" s="5" t="s">
        <v>388</v>
      </c>
      <c r="G34" s="29" t="s">
        <v>370</v>
      </c>
      <c r="H34" s="30" t="s">
        <v>371</v>
      </c>
    </row>
    <row r="35" customFormat="false" ht="15" hidden="false" customHeight="true" outlineLevel="0" collapsed="false">
      <c r="B35" s="5" t="s">
        <v>431</v>
      </c>
      <c r="C35" s="28" t="s">
        <v>432</v>
      </c>
      <c r="D35" s="13" t="n">
        <v>244.422328767123</v>
      </c>
      <c r="E35" s="5" t="s">
        <v>34</v>
      </c>
      <c r="G35" s="29" t="s">
        <v>370</v>
      </c>
      <c r="H35" s="30" t="s">
        <v>371</v>
      </c>
    </row>
    <row r="36" customFormat="false" ht="15" hidden="false" customHeight="true" outlineLevel="0" collapsed="false">
      <c r="B36" s="5" t="s">
        <v>433</v>
      </c>
      <c r="C36" s="28" t="s">
        <v>434</v>
      </c>
      <c r="D36" s="13" t="n">
        <v>352.008430884184</v>
      </c>
      <c r="E36" s="5" t="s">
        <v>35</v>
      </c>
      <c r="G36" s="29" t="s">
        <v>370</v>
      </c>
      <c r="H36" s="30" t="s">
        <v>371</v>
      </c>
    </row>
    <row r="37" customFormat="false" ht="15" hidden="false" customHeight="true" outlineLevel="0" collapsed="false">
      <c r="B37" s="5" t="s">
        <v>435</v>
      </c>
      <c r="C37" s="28" t="s">
        <v>436</v>
      </c>
      <c r="D37" s="13" t="n">
        <v>9992.25</v>
      </c>
      <c r="E37" s="5" t="s">
        <v>34</v>
      </c>
      <c r="F37" s="22" t="s">
        <v>437</v>
      </c>
      <c r="G37" s="29" t="s">
        <v>370</v>
      </c>
      <c r="H37" s="30" t="s">
        <v>371</v>
      </c>
    </row>
    <row r="38" customFormat="false" ht="15" hidden="false" customHeight="true" outlineLevel="0" collapsed="false">
      <c r="B38" s="5" t="s">
        <v>438</v>
      </c>
      <c r="C38" s="28" t="s">
        <v>439</v>
      </c>
      <c r="D38" s="6" t="n">
        <v>22</v>
      </c>
      <c r="E38" s="5" t="s">
        <v>34</v>
      </c>
      <c r="F38" s="22" t="s">
        <v>440</v>
      </c>
      <c r="G38" s="29" t="s">
        <v>370</v>
      </c>
      <c r="H38" s="30" t="s">
        <v>371</v>
      </c>
    </row>
    <row r="39" customFormat="false" ht="15" hidden="false" customHeight="true" outlineLevel="0" collapsed="false">
      <c r="B39" s="5" t="s">
        <v>215</v>
      </c>
      <c r="C39" s="28" t="s">
        <v>441</v>
      </c>
      <c r="D39" s="14" t="n">
        <v>19.1908979459081</v>
      </c>
      <c r="E39" s="5" t="s">
        <v>34</v>
      </c>
      <c r="F39" s="22" t="s">
        <v>442</v>
      </c>
      <c r="G39" s="29" t="s">
        <v>370</v>
      </c>
      <c r="H39" s="30" t="s">
        <v>371</v>
      </c>
    </row>
    <row r="40" customFormat="false" ht="15" hidden="false" customHeight="true" outlineLevel="0" collapsed="false">
      <c r="B40" s="5" t="s">
        <v>217</v>
      </c>
      <c r="C40" s="28" t="s">
        <v>443</v>
      </c>
      <c r="D40" s="14" t="n">
        <v>29.9917576121494</v>
      </c>
      <c r="E40" s="5" t="s">
        <v>34</v>
      </c>
      <c r="F40" s="22" t="s">
        <v>444</v>
      </c>
      <c r="G40" s="29" t="s">
        <v>370</v>
      </c>
      <c r="H40" s="30" t="s">
        <v>371</v>
      </c>
    </row>
    <row r="41" customFormat="false" ht="15" hidden="false" customHeight="true" outlineLevel="0" collapsed="false">
      <c r="B41" s="5" t="s">
        <v>219</v>
      </c>
      <c r="C41" s="28" t="s">
        <v>445</v>
      </c>
      <c r="D41" s="21" t="n">
        <v>1.56281158373542</v>
      </c>
      <c r="E41" s="5" t="s">
        <v>34</v>
      </c>
      <c r="G41" s="29" t="s">
        <v>370</v>
      </c>
      <c r="H41" s="30" t="s">
        <v>371</v>
      </c>
    </row>
    <row r="42" customFormat="false" ht="15" hidden="false" customHeight="true" outlineLevel="0" collapsed="false">
      <c r="B42" s="5" t="s">
        <v>446</v>
      </c>
      <c r="C42" s="28" t="s">
        <v>447</v>
      </c>
      <c r="D42" s="14" t="n">
        <v>60.5590909090909</v>
      </c>
      <c r="E42" s="5" t="s">
        <v>34</v>
      </c>
      <c r="F42" s="22" t="s">
        <v>448</v>
      </c>
      <c r="G42" s="29" t="s">
        <v>370</v>
      </c>
      <c r="H42" s="30" t="s">
        <v>371</v>
      </c>
    </row>
    <row r="43" customFormat="false" ht="15" hidden="false" customHeight="true" outlineLevel="0" collapsed="false">
      <c r="B43" s="5" t="s">
        <v>449</v>
      </c>
      <c r="C43" s="28" t="s">
        <v>450</v>
      </c>
      <c r="D43" s="14" t="n">
        <v>12.4436488169365</v>
      </c>
      <c r="E43" s="5" t="s">
        <v>34</v>
      </c>
      <c r="F43" s="22" t="s">
        <v>448</v>
      </c>
      <c r="G43" s="29" t="s">
        <v>370</v>
      </c>
      <c r="H43" s="30" t="s">
        <v>371</v>
      </c>
    </row>
    <row r="44" customFormat="false" ht="15" hidden="false" customHeight="true" outlineLevel="0" collapsed="false">
      <c r="B44" s="5" t="s">
        <v>451</v>
      </c>
      <c r="C44" s="28" t="s">
        <v>452</v>
      </c>
      <c r="D44" s="13" t="n">
        <v>138.749430808877</v>
      </c>
      <c r="E44" s="5" t="s">
        <v>453</v>
      </c>
      <c r="G44" s="29" t="s">
        <v>370</v>
      </c>
      <c r="H44" s="30" t="s">
        <v>371</v>
      </c>
    </row>
    <row r="45" customFormat="false" ht="15" hidden="false" customHeight="true" outlineLevel="0" collapsed="false">
      <c r="B45" s="5" t="s">
        <v>454</v>
      </c>
      <c r="C45" s="28" t="s">
        <v>455</v>
      </c>
      <c r="D45" s="14" t="n">
        <v>80.1041226950887</v>
      </c>
      <c r="E45" s="5" t="s">
        <v>453</v>
      </c>
      <c r="G45" s="29" t="s">
        <v>370</v>
      </c>
      <c r="H45" s="30" t="s">
        <v>371</v>
      </c>
    </row>
    <row r="46" customFormat="false" ht="15" hidden="false" customHeight="true" outlineLevel="0" collapsed="false">
      <c r="B46" s="5" t="s">
        <v>456</v>
      </c>
      <c r="C46" s="28" t="s">
        <v>457</v>
      </c>
      <c r="D46" s="21" t="n">
        <v>0.141566964965137</v>
      </c>
      <c r="E46" s="5" t="s">
        <v>458</v>
      </c>
      <c r="G46" s="29" t="s">
        <v>370</v>
      </c>
      <c r="H46" s="30" t="s">
        <v>371</v>
      </c>
    </row>
    <row r="47" customFormat="false" ht="15" hidden="false" customHeight="true" outlineLevel="0" collapsed="false">
      <c r="B47" s="5" t="s">
        <v>459</v>
      </c>
      <c r="C47" s="28" t="s">
        <v>460</v>
      </c>
      <c r="D47" s="21" t="n">
        <v>0.203879757850982</v>
      </c>
      <c r="E47" s="5" t="s">
        <v>458</v>
      </c>
      <c r="G47" s="29" t="s">
        <v>370</v>
      </c>
      <c r="H47" s="30" t="s">
        <v>371</v>
      </c>
    </row>
    <row r="48" customFormat="false" ht="15" hidden="false" customHeight="true" outlineLevel="0" collapsed="false">
      <c r="B48" s="5" t="s">
        <v>461</v>
      </c>
      <c r="C48" s="28" t="s">
        <v>462</v>
      </c>
      <c r="D48" s="13" t="n">
        <v>57767.4583333333</v>
      </c>
      <c r="E48" s="5" t="s">
        <v>453</v>
      </c>
      <c r="G48" s="29" t="s">
        <v>370</v>
      </c>
      <c r="H48" s="30" t="s">
        <v>371</v>
      </c>
    </row>
    <row r="49" customFormat="false" ht="15" hidden="false" customHeight="true" outlineLevel="0" collapsed="false">
      <c r="B49" s="5" t="s">
        <v>463</v>
      </c>
      <c r="C49" s="28" t="s">
        <v>464</v>
      </c>
      <c r="D49" s="13" t="n">
        <v>416.34375</v>
      </c>
      <c r="E49" s="5" t="s">
        <v>453</v>
      </c>
      <c r="G49" s="29" t="s">
        <v>370</v>
      </c>
      <c r="H49" s="30" t="s">
        <v>371</v>
      </c>
    </row>
    <row r="50" customFormat="false" ht="15" hidden="false" customHeight="true" outlineLevel="0" collapsed="false">
      <c r="B50" s="5" t="s">
        <v>465</v>
      </c>
      <c r="C50" s="28" t="s">
        <v>466</v>
      </c>
      <c r="D50" s="21" t="n">
        <v>6.875</v>
      </c>
      <c r="E50" s="5" t="s">
        <v>453</v>
      </c>
      <c r="G50" s="29" t="s">
        <v>370</v>
      </c>
      <c r="H50" s="30" t="s">
        <v>371</v>
      </c>
    </row>
    <row r="51" customFormat="false" ht="15" hidden="false" customHeight="true" outlineLevel="0" collapsed="false">
      <c r="B51" s="5" t="s">
        <v>467</v>
      </c>
      <c r="C51" s="28" t="s">
        <v>468</v>
      </c>
      <c r="D51" s="6" t="n">
        <v>18</v>
      </c>
      <c r="E51" s="5" t="s">
        <v>35</v>
      </c>
      <c r="F51" s="22" t="s">
        <v>469</v>
      </c>
      <c r="G51" s="29" t="s">
        <v>370</v>
      </c>
      <c r="H51" s="30" t="s">
        <v>371</v>
      </c>
    </row>
    <row r="52" customFormat="false" ht="15" hidden="false" customHeight="true" outlineLevel="0" collapsed="false">
      <c r="B52" s="5" t="s">
        <v>470</v>
      </c>
      <c r="C52" s="28" t="s">
        <v>471</v>
      </c>
      <c r="D52" s="13" t="n">
        <v>215859.94</v>
      </c>
      <c r="E52" s="5" t="s">
        <v>35</v>
      </c>
      <c r="F52" s="22" t="s">
        <v>158</v>
      </c>
      <c r="G52" s="29" t="s">
        <v>370</v>
      </c>
      <c r="H52" s="30" t="s">
        <v>371</v>
      </c>
    </row>
    <row r="53" customFormat="false" ht="15" hidden="false" customHeight="true" outlineLevel="0" collapsed="false">
      <c r="B53" s="5" t="s">
        <v>472</v>
      </c>
      <c r="C53" s="28" t="s">
        <v>473</v>
      </c>
      <c r="D53" s="21" t="n">
        <v>0.595111488320872</v>
      </c>
      <c r="E53" s="5" t="s">
        <v>35</v>
      </c>
      <c r="G53" s="29" t="s">
        <v>370</v>
      </c>
      <c r="H53" s="30" t="s">
        <v>371</v>
      </c>
    </row>
    <row r="54" customFormat="false" ht="15" hidden="false" customHeight="true" outlineLevel="0" collapsed="false">
      <c r="B54" s="5" t="s">
        <v>474</v>
      </c>
      <c r="C54" s="28" t="s">
        <v>475</v>
      </c>
      <c r="D54" s="6" t="n">
        <v>73</v>
      </c>
      <c r="E54" s="5" t="s">
        <v>35</v>
      </c>
      <c r="F54" s="22" t="s">
        <v>476</v>
      </c>
      <c r="G54" s="29" t="s">
        <v>370</v>
      </c>
      <c r="H54" s="30" t="s">
        <v>371</v>
      </c>
    </row>
    <row r="55" customFormat="false" ht="15" hidden="false" customHeight="true" outlineLevel="0" collapsed="false">
      <c r="B55" s="5" t="s">
        <v>477</v>
      </c>
      <c r="C55" s="28" t="s">
        <v>478</v>
      </c>
      <c r="D55" s="21" t="n">
        <v>-0.0567294870050347</v>
      </c>
      <c r="E55" s="5" t="s">
        <v>388</v>
      </c>
      <c r="G55" s="29" t="s">
        <v>370</v>
      </c>
      <c r="H55" s="30" t="s">
        <v>371</v>
      </c>
    </row>
    <row r="56" customFormat="false" ht="15" hidden="false" customHeight="true" outlineLevel="0" collapsed="false">
      <c r="B56" s="5" t="s">
        <v>479</v>
      </c>
      <c r="C56" s="28" t="s">
        <v>480</v>
      </c>
      <c r="D56" s="13" t="n">
        <v>138.749430808877</v>
      </c>
      <c r="E56" s="5" t="s">
        <v>453</v>
      </c>
      <c r="G56" s="29" t="s">
        <v>370</v>
      </c>
      <c r="H56" s="30" t="s">
        <v>371</v>
      </c>
    </row>
    <row r="60" customFormat="false" ht="15" hidden="false" customHeight="true" outlineLevel="0" collapsed="false">
      <c r="B60" s="4" t="s">
        <v>64</v>
      </c>
      <c r="C60" s="4"/>
      <c r="D60" s="4"/>
      <c r="E60" s="4"/>
      <c r="F60" s="4"/>
    </row>
    <row r="61" customFormat="false" ht="15" hidden="false" customHeight="true" outlineLevel="0" collapsed="false">
      <c r="B61" s="3" t="s">
        <v>65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66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67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68</v>
      </c>
      <c r="C64" s="3"/>
      <c r="D64" s="3"/>
      <c r="E64" s="3"/>
      <c r="F64" s="3"/>
    </row>
    <row r="65" customFormat="false" ht="15" hidden="false" customHeight="true" outlineLevel="0" collapsed="false">
      <c r="B65" s="3" t="s">
        <v>69</v>
      </c>
      <c r="C65" s="3"/>
      <c r="D65" s="3"/>
      <c r="E65" s="3"/>
      <c r="F65" s="3"/>
    </row>
    <row r="66" customFormat="false" ht="15" hidden="false" customHeight="true" outlineLevel="0" collapsed="false">
      <c r="B66" s="3" t="s">
        <v>70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71</v>
      </c>
      <c r="C67" s="3"/>
      <c r="D67" s="3"/>
      <c r="E67" s="3"/>
      <c r="F67" s="3"/>
    </row>
    <row r="68" customFormat="false" ht="15" hidden="false" customHeight="true" outlineLevel="0" collapsed="false">
      <c r="B68" s="3" t="s">
        <v>481</v>
      </c>
      <c r="C68" s="3"/>
      <c r="D68" s="3"/>
      <c r="E68" s="3"/>
      <c r="F68" s="3"/>
    </row>
  </sheetData>
  <mergeCells count="11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25.5" hidden="false" customHeight="true" outlineLevel="0" collapsed="false">
      <c r="A1" s="31" t="s">
        <v>482</v>
      </c>
      <c r="B1" s="31"/>
      <c r="C1" s="31"/>
      <c r="D1" s="31"/>
      <c r="E1" s="31"/>
      <c r="F1" s="31"/>
      <c r="G1" s="31"/>
    </row>
    <row r="3" customFormat="false" ht="15" hidden="false" customHeight="true" outlineLevel="0" collapsed="false">
      <c r="A3" s="6" t="s">
        <v>483</v>
      </c>
      <c r="B3" s="5" t="n">
        <v>18</v>
      </c>
      <c r="D3" s="6" t="s">
        <v>484</v>
      </c>
      <c r="E3" s="5" t="s">
        <v>158</v>
      </c>
    </row>
    <row r="4" customFormat="false" ht="15" hidden="false" customHeight="true" outlineLevel="0" collapsed="false">
      <c r="A4" s="6" t="s">
        <v>485</v>
      </c>
      <c r="B4" s="5" t="n">
        <v>175</v>
      </c>
      <c r="D4" s="6" t="s">
        <v>486</v>
      </c>
      <c r="E4" s="32" t="n">
        <f aca="false">331095.13/362721.85</f>
        <v>0.912807237832516</v>
      </c>
    </row>
    <row r="5" customFormat="false" ht="15" hidden="false" customHeight="true" outlineLevel="0" collapsed="false">
      <c r="A5" s="6" t="s">
        <v>487</v>
      </c>
      <c r="B5" s="33" t="n">
        <v>362721.85</v>
      </c>
      <c r="D5" s="6" t="s">
        <v>488</v>
      </c>
      <c r="E5" s="22" t="s">
        <v>489</v>
      </c>
    </row>
    <row r="6" customFormat="false" ht="15" hidden="false" customHeight="true" outlineLevel="0" collapsed="false">
      <c r="A6" s="6" t="s">
        <v>490</v>
      </c>
      <c r="B6" s="33" t="n">
        <f aca="false">B5/B4</f>
        <v>2072.69628571429</v>
      </c>
    </row>
    <row r="8" customFormat="false" ht="19.5" hidden="false" customHeight="true" outlineLevel="0" collapsed="false">
      <c r="A8" s="34" t="s">
        <v>491</v>
      </c>
      <c r="B8" s="34" t="s">
        <v>153</v>
      </c>
      <c r="C8" s="34" t="s">
        <v>492</v>
      </c>
      <c r="D8" s="34" t="s">
        <v>485</v>
      </c>
      <c r="E8" s="34" t="s">
        <v>155</v>
      </c>
      <c r="F8" s="34" t="s">
        <v>156</v>
      </c>
      <c r="G8" s="34" t="s">
        <v>493</v>
      </c>
    </row>
    <row r="9" customFormat="false" ht="15" hidden="false" customHeight="true" outlineLevel="0" collapsed="false">
      <c r="A9" s="35" t="n">
        <v>1</v>
      </c>
      <c r="B9" s="36" t="s">
        <v>158</v>
      </c>
      <c r="C9" s="35"/>
      <c r="D9" s="35" t="n">
        <v>73</v>
      </c>
      <c r="E9" s="37" t="n">
        <v>215859.94</v>
      </c>
      <c r="F9" s="38" t="n">
        <f aca="false">E9/E$27</f>
        <v>0.595111488320872</v>
      </c>
      <c r="G9" s="37" t="n">
        <f aca="false">IF(D9=0,0,E9/D9)</f>
        <v>2956.98547945205</v>
      </c>
    </row>
    <row r="10" customFormat="false" ht="15" hidden="false" customHeight="true" outlineLevel="0" collapsed="false">
      <c r="A10" s="35" t="n">
        <v>2</v>
      </c>
      <c r="B10" s="36" t="s">
        <v>159</v>
      </c>
      <c r="C10" s="35"/>
      <c r="D10" s="35" t="n">
        <v>58</v>
      </c>
      <c r="E10" s="37" t="n">
        <v>84342.57</v>
      </c>
      <c r="F10" s="38" t="n">
        <f aca="false">E10/E$27</f>
        <v>0.232526852187151</v>
      </c>
      <c r="G10" s="37" t="n">
        <f aca="false">IF(D10=0,0,E10/D10)</f>
        <v>1454.18224137931</v>
      </c>
    </row>
    <row r="11" customFormat="false" ht="15" hidden="false" customHeight="true" outlineLevel="0" collapsed="false">
      <c r="A11" s="35" t="n">
        <v>3</v>
      </c>
      <c r="B11" s="36" t="s">
        <v>160</v>
      </c>
      <c r="C11" s="35"/>
      <c r="D11" s="35" t="n">
        <v>3</v>
      </c>
      <c r="E11" s="37" t="n">
        <v>30892.62</v>
      </c>
      <c r="F11" s="38" t="n">
        <f aca="false">E11/E$27</f>
        <v>0.0851688973244926</v>
      </c>
      <c r="G11" s="37" t="n">
        <f aca="false">IF(D11=0,0,E11/D11)</f>
        <v>10297.54</v>
      </c>
    </row>
    <row r="12" customFormat="false" ht="15" hidden="false" customHeight="true" outlineLevel="0" collapsed="false">
      <c r="A12" s="39" t="n">
        <v>4</v>
      </c>
      <c r="B12" s="40" t="s">
        <v>161</v>
      </c>
      <c r="C12" s="39"/>
      <c r="D12" s="39" t="n">
        <v>4</v>
      </c>
      <c r="E12" s="41" t="n">
        <v>10463</v>
      </c>
      <c r="F12" s="42" t="n">
        <f aca="false">E12/E$27</f>
        <v>0.0288457946495366</v>
      </c>
      <c r="G12" s="41" t="n">
        <f aca="false">IF(D12=0,0,E12/D12)</f>
        <v>2615.75</v>
      </c>
    </row>
    <row r="13" customFormat="false" ht="15" hidden="false" customHeight="true" outlineLevel="0" collapsed="false">
      <c r="A13" s="43" t="n">
        <v>5</v>
      </c>
      <c r="B13" s="44" t="s">
        <v>162</v>
      </c>
      <c r="C13" s="43"/>
      <c r="D13" s="43" t="n">
        <v>7</v>
      </c>
      <c r="E13" s="45" t="n">
        <v>10106.67</v>
      </c>
      <c r="F13" s="46" t="n">
        <f aca="false">E13/E$27</f>
        <v>0.0278634165545858</v>
      </c>
      <c r="G13" s="45" t="n">
        <f aca="false">IF(D13=0,0,E13/D13)</f>
        <v>1443.81</v>
      </c>
    </row>
    <row r="14" customFormat="false" ht="15" hidden="false" customHeight="true" outlineLevel="0" collapsed="false">
      <c r="A14" s="39" t="n">
        <v>6</v>
      </c>
      <c r="B14" s="40" t="s">
        <v>163</v>
      </c>
      <c r="C14" s="39"/>
      <c r="D14" s="39" t="n">
        <v>2</v>
      </c>
      <c r="E14" s="41" t="n">
        <v>2414</v>
      </c>
      <c r="F14" s="42" t="n">
        <f aca="false">E14/E$27</f>
        <v>0.00665523733957577</v>
      </c>
      <c r="G14" s="41" t="n">
        <f aca="false">IF(D14=0,0,E14/D14)</f>
        <v>1207</v>
      </c>
    </row>
    <row r="15" customFormat="false" ht="15" hidden="false" customHeight="true" outlineLevel="0" collapsed="false">
      <c r="A15" s="43" t="n">
        <v>7</v>
      </c>
      <c r="B15" s="44" t="s">
        <v>164</v>
      </c>
      <c r="C15" s="43"/>
      <c r="D15" s="43" t="n">
        <v>6</v>
      </c>
      <c r="E15" s="45" t="n">
        <v>2404.21</v>
      </c>
      <c r="F15" s="46" t="n">
        <f aca="false">E15/E$27</f>
        <v>0.00662824696113565</v>
      </c>
      <c r="G15" s="45" t="n">
        <f aca="false">IF(D15=0,0,E15/D15)</f>
        <v>400.701666666667</v>
      </c>
    </row>
    <row r="16" customFormat="false" ht="15" hidden="false" customHeight="true" outlineLevel="0" collapsed="false">
      <c r="A16" s="39" t="n">
        <v>8</v>
      </c>
      <c r="B16" s="40" t="s">
        <v>165</v>
      </c>
      <c r="C16" s="39"/>
      <c r="D16" s="39" t="n">
        <v>7</v>
      </c>
      <c r="E16" s="41" t="n">
        <v>2271.7</v>
      </c>
      <c r="F16" s="42" t="n">
        <f aca="false">E16/E$27</f>
        <v>0.00626292571015504</v>
      </c>
      <c r="G16" s="41" t="n">
        <f aca="false">IF(D16=0,0,E16/D16)</f>
        <v>324.528571428571</v>
      </c>
    </row>
    <row r="17" customFormat="false" ht="15" hidden="false" customHeight="true" outlineLevel="0" collapsed="false">
      <c r="A17" s="43" t="n">
        <v>9</v>
      </c>
      <c r="B17" s="44" t="s">
        <v>166</v>
      </c>
      <c r="C17" s="43"/>
      <c r="D17" s="43" t="n">
        <v>3</v>
      </c>
      <c r="E17" s="45" t="n">
        <v>1831.58</v>
      </c>
      <c r="F17" s="46" t="n">
        <f aca="false">E17/E$27</f>
        <v>0.00504954416173164</v>
      </c>
      <c r="G17" s="45" t="n">
        <f aca="false">IF(D17=0,0,E17/D17)</f>
        <v>610.526666666667</v>
      </c>
    </row>
    <row r="18" customFormat="false" ht="15" hidden="false" customHeight="true" outlineLevel="0" collapsed="false">
      <c r="A18" s="39" t="n">
        <v>10</v>
      </c>
      <c r="B18" s="40" t="s">
        <v>167</v>
      </c>
      <c r="C18" s="39"/>
      <c r="D18" s="39" t="n">
        <v>1</v>
      </c>
      <c r="E18" s="41" t="n">
        <v>950</v>
      </c>
      <c r="F18" s="42" t="n">
        <f aca="false">E18/E$27</f>
        <v>0.00261908677406668</v>
      </c>
      <c r="G18" s="41" t="n">
        <f aca="false">IF(D18=0,0,E18/D18)</f>
        <v>950</v>
      </c>
    </row>
    <row r="19" customFormat="false" ht="15" hidden="false" customHeight="true" outlineLevel="0" collapsed="false">
      <c r="A19" s="43" t="n">
        <v>11</v>
      </c>
      <c r="B19" s="44" t="s">
        <v>168</v>
      </c>
      <c r="C19" s="43"/>
      <c r="D19" s="43" t="n">
        <v>2</v>
      </c>
      <c r="E19" s="45" t="n">
        <v>265.36</v>
      </c>
      <c r="F19" s="46" t="n">
        <f aca="false">E19/E$27</f>
        <v>0.000731579859332985</v>
      </c>
      <c r="G19" s="45" t="n">
        <f aca="false">IF(D19=0,0,E19/D19)</f>
        <v>132.68</v>
      </c>
    </row>
    <row r="20" customFormat="false" ht="15" hidden="false" customHeight="true" outlineLevel="0" collapsed="false">
      <c r="A20" s="39" t="n">
        <v>12</v>
      </c>
      <c r="B20" s="40" t="s">
        <v>169</v>
      </c>
      <c r="C20" s="39"/>
      <c r="D20" s="39" t="n">
        <v>1</v>
      </c>
      <c r="E20" s="41" t="n">
        <v>212</v>
      </c>
      <c r="F20" s="42" t="n">
        <f aca="false">E20/E$27</f>
        <v>0.000584469890633829</v>
      </c>
      <c r="G20" s="41" t="n">
        <f aca="false">IF(D20=0,0,E20/D20)</f>
        <v>212</v>
      </c>
    </row>
    <row r="21" customFormat="false" ht="15" hidden="false" customHeight="true" outlineLevel="0" collapsed="false">
      <c r="A21" s="43" t="n">
        <v>13</v>
      </c>
      <c r="B21" s="44" t="s">
        <v>170</v>
      </c>
      <c r="C21" s="43"/>
      <c r="D21" s="43" t="n">
        <v>1</v>
      </c>
      <c r="E21" s="45" t="n">
        <v>197.5</v>
      </c>
      <c r="F21" s="46" t="n">
        <f aca="false">E21/E$27</f>
        <v>0.000544494355661232</v>
      </c>
      <c r="G21" s="45" t="n">
        <f aca="false">IF(D21=0,0,E21/D21)</f>
        <v>197.5</v>
      </c>
    </row>
    <row r="22" customFormat="false" ht="15" hidden="false" customHeight="true" outlineLevel="0" collapsed="false">
      <c r="A22" s="39" t="n">
        <v>14</v>
      </c>
      <c r="B22" s="40" t="s">
        <v>171</v>
      </c>
      <c r="C22" s="39"/>
      <c r="D22" s="39" t="n">
        <v>1</v>
      </c>
      <c r="E22" s="41" t="n">
        <v>168.54</v>
      </c>
      <c r="F22" s="42" t="n">
        <f aca="false">E22/E$27</f>
        <v>0.000464653563053894</v>
      </c>
      <c r="G22" s="41" t="n">
        <f aca="false">IF(D22=0,0,E22/D22)</f>
        <v>168.54</v>
      </c>
    </row>
    <row r="23" customFormat="false" ht="15" hidden="false" customHeight="true" outlineLevel="0" collapsed="false">
      <c r="A23" s="43" t="n">
        <v>15</v>
      </c>
      <c r="B23" s="44" t="s">
        <v>172</v>
      </c>
      <c r="C23" s="43"/>
      <c r="D23" s="43" t="n">
        <v>2</v>
      </c>
      <c r="E23" s="45" t="n">
        <v>121.4</v>
      </c>
      <c r="F23" s="46" t="n">
        <f aca="false">E23/E$27</f>
        <v>0.000334691720391258</v>
      </c>
      <c r="G23" s="45" t="n">
        <f aca="false">IF(D23=0,0,E23/D23)</f>
        <v>60.7</v>
      </c>
    </row>
    <row r="24" customFormat="false" ht="15" hidden="false" customHeight="true" outlineLevel="0" collapsed="false">
      <c r="A24" s="39" t="n">
        <v>16</v>
      </c>
      <c r="B24" s="40" t="s">
        <v>173</v>
      </c>
      <c r="C24" s="39"/>
      <c r="D24" s="39" t="n">
        <v>2</v>
      </c>
      <c r="E24" s="41" t="n">
        <v>96.67</v>
      </c>
      <c r="F24" s="42" t="n">
        <f aca="false">E24/E$27</f>
        <v>0.000266512756262133</v>
      </c>
      <c r="G24" s="41" t="n">
        <f aca="false">IF(D24=0,0,E24/D24)</f>
        <v>48.335</v>
      </c>
    </row>
    <row r="25" customFormat="false" ht="15" hidden="false" customHeight="true" outlineLevel="0" collapsed="false">
      <c r="A25" s="43" t="n">
        <v>17</v>
      </c>
      <c r="B25" s="44" t="s">
        <v>174</v>
      </c>
      <c r="C25" s="43"/>
      <c r="D25" s="43" t="n">
        <v>1</v>
      </c>
      <c r="E25" s="45" t="n">
        <v>69.69</v>
      </c>
      <c r="F25" s="46" t="n">
        <f aca="false">E25/E$27</f>
        <v>0.000192130691878639</v>
      </c>
      <c r="G25" s="45" t="n">
        <f aca="false">IF(D25=0,0,E25/D25)</f>
        <v>69.69</v>
      </c>
    </row>
    <row r="26" customFormat="false" ht="15" hidden="false" customHeight="true" outlineLevel="0" collapsed="false">
      <c r="A26" s="39" t="n">
        <v>18</v>
      </c>
      <c r="B26" s="40" t="s">
        <v>175</v>
      </c>
      <c r="C26" s="39"/>
      <c r="D26" s="39" t="n">
        <v>1</v>
      </c>
      <c r="E26" s="41" t="n">
        <v>54.4</v>
      </c>
      <c r="F26" s="42" t="n">
        <f aca="false">E26/E$27</f>
        <v>0.000149977179483398</v>
      </c>
      <c r="G26" s="41" t="n">
        <f aca="false">IF(D26=0,0,E26/D26)</f>
        <v>54.4</v>
      </c>
    </row>
    <row r="27" customFormat="false" ht="15" hidden="false" customHeight="true" outlineLevel="0" collapsed="false">
      <c r="A27" s="47"/>
      <c r="B27" s="48" t="s">
        <v>38</v>
      </c>
      <c r="C27" s="47"/>
      <c r="D27" s="49" t="n">
        <f aca="false">SUM(D9:D26)</f>
        <v>175</v>
      </c>
      <c r="E27" s="50" t="n">
        <f aca="false">SUM(E9:E26)</f>
        <v>362721.85</v>
      </c>
      <c r="F27" s="51" t="n">
        <f aca="false">SUM(F9:F26)</f>
        <v>1</v>
      </c>
      <c r="G27" s="50" t="n">
        <f aca="false">IF(D27=0,0,E27/D27)</f>
        <v>2072.69628571429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45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60"/>
  </cols>
  <sheetData>
    <row r="2" customFormat="false" ht="27.75" hidden="false" customHeight="true" outlineLevel="0" collapsed="false">
      <c r="B2" s="52" t="s">
        <v>494</v>
      </c>
      <c r="C2" s="52"/>
      <c r="D2" s="52"/>
      <c r="E2" s="52"/>
      <c r="F2" s="52"/>
      <c r="G2" s="52"/>
      <c r="H2" s="52"/>
      <c r="I2" s="52"/>
      <c r="J2" s="52"/>
    </row>
    <row r="3" customFormat="false" ht="15" hidden="false" customHeight="false" outlineLevel="0" collapsed="false">
      <c r="B3" s="53" t="s">
        <v>495</v>
      </c>
      <c r="C3" s="53"/>
      <c r="D3" s="53"/>
      <c r="E3" s="53"/>
      <c r="F3" s="53"/>
      <c r="G3" s="53"/>
      <c r="H3" s="53"/>
      <c r="I3" s="53"/>
      <c r="J3" s="53"/>
    </row>
    <row r="5" customFormat="false" ht="23.85" hidden="false" customHeight="false" outlineLevel="0" collapsed="false">
      <c r="B5" s="27" t="s">
        <v>496</v>
      </c>
      <c r="C5" s="27" t="s">
        <v>497</v>
      </c>
      <c r="D5" s="27" t="s">
        <v>306</v>
      </c>
      <c r="E5" s="27" t="s">
        <v>498</v>
      </c>
      <c r="F5" s="27" t="s">
        <v>499</v>
      </c>
      <c r="G5" s="27" t="s">
        <v>500</v>
      </c>
      <c r="H5" s="27" t="s">
        <v>501</v>
      </c>
      <c r="I5" s="27" t="s">
        <v>502</v>
      </c>
      <c r="J5" s="27" t="s">
        <v>334</v>
      </c>
      <c r="K5" s="27" t="s">
        <v>365</v>
      </c>
    </row>
    <row r="6" customFormat="false" ht="19.4" hidden="false" customHeight="false" outlineLevel="0" collapsed="false">
      <c r="B6" s="54" t="s">
        <v>503</v>
      </c>
      <c r="C6" s="54" t="s">
        <v>504</v>
      </c>
      <c r="D6" s="54" t="s">
        <v>505</v>
      </c>
      <c r="E6" s="30" t="s">
        <v>506</v>
      </c>
      <c r="F6" s="54" t="s">
        <v>507</v>
      </c>
      <c r="G6" s="54"/>
      <c r="H6" s="55" t="n">
        <v>0</v>
      </c>
      <c r="I6" s="54" t="n">
        <v>0</v>
      </c>
      <c r="J6" s="54" t="s">
        <v>508</v>
      </c>
      <c r="K6" s="56" t="s">
        <v>509</v>
      </c>
    </row>
    <row r="7" customFormat="false" ht="19.4" hidden="false" customHeight="false" outlineLevel="0" collapsed="false">
      <c r="B7" s="54" t="s">
        <v>510</v>
      </c>
      <c r="C7" s="54" t="s">
        <v>504</v>
      </c>
      <c r="D7" s="54" t="s">
        <v>328</v>
      </c>
      <c r="E7" s="30" t="s">
        <v>511</v>
      </c>
      <c r="F7" s="54" t="s">
        <v>507</v>
      </c>
      <c r="G7" s="54"/>
      <c r="H7" s="55" t="n">
        <v>0</v>
      </c>
      <c r="I7" s="54" t="n">
        <v>0</v>
      </c>
      <c r="J7" s="54" t="s">
        <v>508</v>
      </c>
      <c r="K7" s="56" t="s">
        <v>512</v>
      </c>
    </row>
    <row r="8" customFormat="false" ht="23.85" hidden="false" customHeight="false" outlineLevel="0" collapsed="false">
      <c r="B8" s="54" t="s">
        <v>513</v>
      </c>
      <c r="C8" s="54" t="s">
        <v>514</v>
      </c>
      <c r="D8" s="54" t="s">
        <v>515</v>
      </c>
      <c r="E8" s="30" t="s">
        <v>516</v>
      </c>
      <c r="F8" s="54" t="s">
        <v>517</v>
      </c>
      <c r="G8" s="54"/>
      <c r="H8" s="55" t="n">
        <v>0</v>
      </c>
      <c r="I8" s="54" t="n">
        <v>0</v>
      </c>
      <c r="J8" s="54" t="s">
        <v>518</v>
      </c>
      <c r="K8" s="56" t="s">
        <v>519</v>
      </c>
    </row>
    <row r="9" customFormat="false" ht="35.05" hidden="false" customHeight="false" outlineLevel="0" collapsed="false">
      <c r="B9" s="54" t="s">
        <v>520</v>
      </c>
      <c r="C9" s="54" t="s">
        <v>514</v>
      </c>
      <c r="D9" s="54" t="s">
        <v>521</v>
      </c>
      <c r="E9" s="30" t="s">
        <v>522</v>
      </c>
      <c r="F9" s="54" t="s">
        <v>517</v>
      </c>
      <c r="G9" s="54"/>
      <c r="H9" s="55" t="n">
        <v>0</v>
      </c>
      <c r="I9" s="54" t="n">
        <v>0</v>
      </c>
      <c r="J9" s="54" t="s">
        <v>518</v>
      </c>
      <c r="K9" s="56" t="s">
        <v>523</v>
      </c>
    </row>
    <row r="10" customFormat="false" ht="23.85" hidden="false" customHeight="false" outlineLevel="0" collapsed="false">
      <c r="B10" s="54" t="s">
        <v>524</v>
      </c>
      <c r="C10" s="54" t="s">
        <v>514</v>
      </c>
      <c r="D10" s="54" t="s">
        <v>525</v>
      </c>
      <c r="E10" s="30" t="s">
        <v>526</v>
      </c>
      <c r="F10" s="54" t="s">
        <v>517</v>
      </c>
      <c r="G10" s="54"/>
      <c r="H10" s="55" t="n">
        <v>0</v>
      </c>
      <c r="I10" s="54" t="n">
        <v>0</v>
      </c>
      <c r="J10" s="54" t="s">
        <v>518</v>
      </c>
      <c r="K10" s="56" t="s">
        <v>527</v>
      </c>
    </row>
    <row r="11" customFormat="false" ht="15" hidden="false" customHeight="false" outlineLevel="0" collapsed="false">
      <c r="B11" s="54" t="s">
        <v>528</v>
      </c>
      <c r="C11" s="54" t="s">
        <v>514</v>
      </c>
      <c r="D11" s="54" t="s">
        <v>529</v>
      </c>
      <c r="E11" s="30" t="s">
        <v>530</v>
      </c>
      <c r="F11" s="54" t="s">
        <v>531</v>
      </c>
      <c r="G11" s="54"/>
      <c r="H11" s="55" t="n">
        <v>0</v>
      </c>
      <c r="I11" s="54" t="n">
        <v>0</v>
      </c>
      <c r="J11" s="54" t="s">
        <v>518</v>
      </c>
      <c r="K11" s="56" t="s">
        <v>532</v>
      </c>
    </row>
    <row r="12" customFormat="false" ht="23.85" hidden="false" customHeight="false" outlineLevel="0" collapsed="false">
      <c r="B12" s="54" t="s">
        <v>533</v>
      </c>
      <c r="C12" s="54" t="s">
        <v>514</v>
      </c>
      <c r="D12" s="54" t="s">
        <v>534</v>
      </c>
      <c r="E12" s="30" t="s">
        <v>535</v>
      </c>
      <c r="F12" s="54" t="s">
        <v>517</v>
      </c>
      <c r="G12" s="54"/>
      <c r="H12" s="55" t="n">
        <v>0</v>
      </c>
      <c r="I12" s="54" t="n">
        <v>0</v>
      </c>
      <c r="J12" s="54" t="s">
        <v>518</v>
      </c>
      <c r="K12" s="56" t="s">
        <v>536</v>
      </c>
    </row>
    <row r="13" customFormat="false" ht="23.85" hidden="false" customHeight="false" outlineLevel="0" collapsed="false">
      <c r="B13" s="54" t="s">
        <v>537</v>
      </c>
      <c r="C13" s="54" t="s">
        <v>514</v>
      </c>
      <c r="D13" s="54" t="s">
        <v>534</v>
      </c>
      <c r="E13" s="30" t="s">
        <v>538</v>
      </c>
      <c r="F13" s="54" t="s">
        <v>517</v>
      </c>
      <c r="G13" s="54"/>
      <c r="H13" s="55" t="n">
        <v>0</v>
      </c>
      <c r="I13" s="54" t="n">
        <v>0</v>
      </c>
      <c r="J13" s="54" t="s">
        <v>518</v>
      </c>
      <c r="K13" s="56" t="s">
        <v>539</v>
      </c>
    </row>
    <row r="14" customFormat="false" ht="23.85" hidden="false" customHeight="false" outlineLevel="0" collapsed="false">
      <c r="B14" s="54" t="s">
        <v>540</v>
      </c>
      <c r="C14" s="54" t="s">
        <v>514</v>
      </c>
      <c r="D14" s="54" t="s">
        <v>534</v>
      </c>
      <c r="E14" s="30" t="s">
        <v>541</v>
      </c>
      <c r="F14" s="54" t="s">
        <v>517</v>
      </c>
      <c r="G14" s="54"/>
      <c r="H14" s="55" t="n">
        <v>0</v>
      </c>
      <c r="I14" s="54" t="n">
        <v>0</v>
      </c>
      <c r="J14" s="54" t="s">
        <v>518</v>
      </c>
      <c r="K14" s="56" t="s">
        <v>542</v>
      </c>
    </row>
    <row r="15" customFormat="false" ht="19.4" hidden="false" customHeight="false" outlineLevel="0" collapsed="false">
      <c r="B15" s="54" t="s">
        <v>543</v>
      </c>
      <c r="C15" s="54" t="s">
        <v>544</v>
      </c>
      <c r="D15" s="54" t="s">
        <v>545</v>
      </c>
      <c r="E15" s="30" t="s">
        <v>546</v>
      </c>
      <c r="F15" s="54" t="s">
        <v>547</v>
      </c>
      <c r="G15" s="54"/>
      <c r="H15" s="55" t="n">
        <v>0</v>
      </c>
      <c r="I15" s="54" t="n">
        <v>0</v>
      </c>
      <c r="J15" s="54" t="s">
        <v>518</v>
      </c>
      <c r="K15" s="56" t="s">
        <v>548</v>
      </c>
    </row>
    <row r="16" customFormat="false" ht="19.4" hidden="false" customHeight="false" outlineLevel="0" collapsed="false">
      <c r="B16" s="54" t="s">
        <v>549</v>
      </c>
      <c r="C16" s="54" t="s">
        <v>544</v>
      </c>
      <c r="D16" s="54" t="s">
        <v>545</v>
      </c>
      <c r="E16" s="30" t="s">
        <v>550</v>
      </c>
      <c r="F16" s="54" t="s">
        <v>547</v>
      </c>
      <c r="G16" s="54"/>
      <c r="H16" s="55" t="n">
        <v>0</v>
      </c>
      <c r="I16" s="54" t="n">
        <v>0</v>
      </c>
      <c r="J16" s="54" t="s">
        <v>518</v>
      </c>
      <c r="K16" s="56" t="s">
        <v>551</v>
      </c>
    </row>
    <row r="17" customFormat="false" ht="19.4" hidden="false" customHeight="false" outlineLevel="0" collapsed="false">
      <c r="B17" s="54" t="s">
        <v>552</v>
      </c>
      <c r="C17" s="54" t="s">
        <v>544</v>
      </c>
      <c r="D17" s="54" t="s">
        <v>545</v>
      </c>
      <c r="E17" s="30" t="s">
        <v>553</v>
      </c>
      <c r="F17" s="54" t="s">
        <v>547</v>
      </c>
      <c r="G17" s="54"/>
      <c r="H17" s="55" t="n">
        <v>0</v>
      </c>
      <c r="I17" s="54" t="n">
        <v>0</v>
      </c>
      <c r="J17" s="54" t="s">
        <v>518</v>
      </c>
      <c r="K17" s="56" t="s">
        <v>554</v>
      </c>
    </row>
    <row r="18" customFormat="false" ht="19.4" hidden="false" customHeight="false" outlineLevel="0" collapsed="false">
      <c r="B18" s="54" t="s">
        <v>555</v>
      </c>
      <c r="C18" s="54" t="s">
        <v>544</v>
      </c>
      <c r="D18" s="54" t="s">
        <v>534</v>
      </c>
      <c r="E18" s="30" t="s">
        <v>556</v>
      </c>
      <c r="F18" s="54" t="s">
        <v>547</v>
      </c>
      <c r="G18" s="54"/>
      <c r="H18" s="55" t="n">
        <v>0</v>
      </c>
      <c r="I18" s="54" t="n">
        <v>0</v>
      </c>
      <c r="J18" s="54" t="s">
        <v>518</v>
      </c>
      <c r="K18" s="56" t="s">
        <v>557</v>
      </c>
    </row>
    <row r="19" customFormat="false" ht="19.4" hidden="false" customHeight="false" outlineLevel="0" collapsed="false">
      <c r="B19" s="54" t="s">
        <v>558</v>
      </c>
      <c r="C19" s="54" t="s">
        <v>544</v>
      </c>
      <c r="D19" s="54" t="s">
        <v>534</v>
      </c>
      <c r="E19" s="30" t="s">
        <v>559</v>
      </c>
      <c r="F19" s="54" t="s">
        <v>547</v>
      </c>
      <c r="G19" s="54"/>
      <c r="H19" s="55" t="n">
        <v>0</v>
      </c>
      <c r="I19" s="54" t="n">
        <v>0</v>
      </c>
      <c r="J19" s="54" t="s">
        <v>518</v>
      </c>
      <c r="K19" s="56" t="s">
        <v>560</v>
      </c>
    </row>
    <row r="20" customFormat="false" ht="19.4" hidden="false" customHeight="false" outlineLevel="0" collapsed="false">
      <c r="B20" s="54" t="s">
        <v>561</v>
      </c>
      <c r="C20" s="54" t="s">
        <v>544</v>
      </c>
      <c r="D20" s="54" t="s">
        <v>534</v>
      </c>
      <c r="E20" s="30" t="s">
        <v>562</v>
      </c>
      <c r="F20" s="54" t="s">
        <v>547</v>
      </c>
      <c r="G20" s="54"/>
      <c r="H20" s="55" t="n">
        <v>0</v>
      </c>
      <c r="I20" s="54" t="n">
        <v>0</v>
      </c>
      <c r="J20" s="54" t="s">
        <v>518</v>
      </c>
      <c r="K20" s="56" t="s">
        <v>563</v>
      </c>
    </row>
    <row r="21" customFormat="false" ht="19.4" hidden="false" customHeight="false" outlineLevel="0" collapsed="false">
      <c r="B21" s="54" t="s">
        <v>564</v>
      </c>
      <c r="C21" s="54" t="s">
        <v>544</v>
      </c>
      <c r="D21" s="54" t="s">
        <v>534</v>
      </c>
      <c r="E21" s="30" t="s">
        <v>565</v>
      </c>
      <c r="F21" s="54" t="s">
        <v>547</v>
      </c>
      <c r="G21" s="54"/>
      <c r="H21" s="55" t="n">
        <v>0</v>
      </c>
      <c r="I21" s="54" t="n">
        <v>0</v>
      </c>
      <c r="J21" s="54" t="s">
        <v>518</v>
      </c>
      <c r="K21" s="56" t="s">
        <v>566</v>
      </c>
    </row>
    <row r="22" customFormat="false" ht="19.4" hidden="false" customHeight="false" outlineLevel="0" collapsed="false">
      <c r="B22" s="54" t="s">
        <v>567</v>
      </c>
      <c r="C22" s="54" t="s">
        <v>544</v>
      </c>
      <c r="D22" s="54" t="s">
        <v>534</v>
      </c>
      <c r="E22" s="30" t="s">
        <v>568</v>
      </c>
      <c r="F22" s="54" t="s">
        <v>547</v>
      </c>
      <c r="G22" s="54"/>
      <c r="H22" s="55" t="n">
        <v>0</v>
      </c>
      <c r="I22" s="54" t="n">
        <v>0</v>
      </c>
      <c r="J22" s="54" t="s">
        <v>518</v>
      </c>
      <c r="K22" s="56" t="s">
        <v>569</v>
      </c>
    </row>
    <row r="23" customFormat="false" ht="19.4" hidden="false" customHeight="false" outlineLevel="0" collapsed="false">
      <c r="B23" s="54" t="s">
        <v>570</v>
      </c>
      <c r="C23" s="54" t="s">
        <v>544</v>
      </c>
      <c r="D23" s="54" t="s">
        <v>534</v>
      </c>
      <c r="E23" s="30" t="s">
        <v>571</v>
      </c>
      <c r="F23" s="54" t="s">
        <v>547</v>
      </c>
      <c r="G23" s="54"/>
      <c r="H23" s="55" t="n">
        <v>0</v>
      </c>
      <c r="I23" s="54" t="n">
        <v>0</v>
      </c>
      <c r="J23" s="54" t="s">
        <v>518</v>
      </c>
      <c r="K23" s="56" t="s">
        <v>572</v>
      </c>
    </row>
    <row r="24" customFormat="false" ht="19.4" hidden="false" customHeight="false" outlineLevel="0" collapsed="false">
      <c r="B24" s="54" t="s">
        <v>573</v>
      </c>
      <c r="C24" s="54" t="s">
        <v>544</v>
      </c>
      <c r="D24" s="54" t="s">
        <v>574</v>
      </c>
      <c r="E24" s="30" t="s">
        <v>575</v>
      </c>
      <c r="F24" s="54" t="s">
        <v>547</v>
      </c>
      <c r="G24" s="54"/>
      <c r="H24" s="55" t="n">
        <v>0</v>
      </c>
      <c r="I24" s="54" t="n">
        <v>0</v>
      </c>
      <c r="J24" s="54" t="s">
        <v>518</v>
      </c>
      <c r="K24" s="56" t="s">
        <v>576</v>
      </c>
    </row>
    <row r="25" customFormat="false" ht="19.4" hidden="false" customHeight="false" outlineLevel="0" collapsed="false">
      <c r="B25" s="54" t="s">
        <v>577</v>
      </c>
      <c r="C25" s="54" t="s">
        <v>544</v>
      </c>
      <c r="D25" s="54" t="s">
        <v>534</v>
      </c>
      <c r="E25" s="30" t="s">
        <v>578</v>
      </c>
      <c r="F25" s="54" t="s">
        <v>547</v>
      </c>
      <c r="G25" s="54"/>
      <c r="H25" s="55" t="n">
        <v>0</v>
      </c>
      <c r="I25" s="54" t="n">
        <v>0</v>
      </c>
      <c r="J25" s="54" t="s">
        <v>518</v>
      </c>
      <c r="K25" s="56" t="s">
        <v>579</v>
      </c>
    </row>
    <row r="26" customFormat="false" ht="19.4" hidden="false" customHeight="false" outlineLevel="0" collapsed="false">
      <c r="B26" s="54" t="s">
        <v>580</v>
      </c>
      <c r="C26" s="54" t="s">
        <v>544</v>
      </c>
      <c r="D26" s="54" t="s">
        <v>534</v>
      </c>
      <c r="E26" s="30" t="s">
        <v>581</v>
      </c>
      <c r="F26" s="54" t="s">
        <v>547</v>
      </c>
      <c r="G26" s="54"/>
      <c r="H26" s="55" t="n">
        <v>0</v>
      </c>
      <c r="I26" s="54" t="n">
        <v>0</v>
      </c>
      <c r="J26" s="54" t="s">
        <v>518</v>
      </c>
      <c r="K26" s="56" t="s">
        <v>582</v>
      </c>
    </row>
    <row r="27" customFormat="false" ht="19.4" hidden="false" customHeight="false" outlineLevel="0" collapsed="false">
      <c r="B27" s="54" t="s">
        <v>583</v>
      </c>
      <c r="C27" s="54" t="s">
        <v>544</v>
      </c>
      <c r="D27" s="54" t="s">
        <v>534</v>
      </c>
      <c r="E27" s="30" t="s">
        <v>584</v>
      </c>
      <c r="F27" s="54" t="s">
        <v>547</v>
      </c>
      <c r="G27" s="54"/>
      <c r="H27" s="55" t="n">
        <v>0</v>
      </c>
      <c r="I27" s="54" t="n">
        <v>0</v>
      </c>
      <c r="J27" s="54" t="s">
        <v>518</v>
      </c>
      <c r="K27" s="56" t="s">
        <v>585</v>
      </c>
    </row>
    <row r="28" customFormat="false" ht="19.4" hidden="false" customHeight="false" outlineLevel="0" collapsed="false">
      <c r="B28" s="54" t="s">
        <v>586</v>
      </c>
      <c r="C28" s="54" t="s">
        <v>544</v>
      </c>
      <c r="D28" s="54" t="s">
        <v>534</v>
      </c>
      <c r="E28" s="30" t="s">
        <v>587</v>
      </c>
      <c r="F28" s="54" t="s">
        <v>547</v>
      </c>
      <c r="G28" s="54"/>
      <c r="H28" s="55" t="n">
        <v>0</v>
      </c>
      <c r="I28" s="54" t="n">
        <v>0</v>
      </c>
      <c r="J28" s="54" t="s">
        <v>518</v>
      </c>
      <c r="K28" s="56" t="s">
        <v>588</v>
      </c>
    </row>
    <row r="30" customFormat="false" ht="15" hidden="false" customHeight="false" outlineLevel="0" collapsed="false">
      <c r="B30" s="57" t="s">
        <v>38</v>
      </c>
      <c r="H30" s="58" t="n">
        <f aca="false">SUM(H6:H28)</f>
        <v>0</v>
      </c>
      <c r="I30" s="57" t="n">
        <f aca="false">SUM(I6:I28)</f>
        <v>0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60"/>
  </cols>
  <sheetData>
    <row r="2" customFormat="false" ht="27.75" hidden="false" customHeight="true" outlineLevel="0" collapsed="false">
      <c r="B2" s="52" t="s">
        <v>589</v>
      </c>
      <c r="C2" s="52"/>
      <c r="D2" s="52"/>
      <c r="E2" s="52"/>
      <c r="F2" s="52"/>
      <c r="G2" s="52"/>
      <c r="H2" s="52"/>
      <c r="I2" s="52"/>
      <c r="J2" s="52"/>
    </row>
    <row r="3" customFormat="false" ht="15" hidden="false" customHeight="false" outlineLevel="0" collapsed="false">
      <c r="B3" s="53" t="s">
        <v>590</v>
      </c>
      <c r="C3" s="53"/>
      <c r="D3" s="53"/>
      <c r="E3" s="53"/>
      <c r="F3" s="53"/>
      <c r="G3" s="53"/>
      <c r="H3" s="53"/>
      <c r="I3" s="53"/>
      <c r="J3" s="53"/>
    </row>
    <row r="5" customFormat="false" ht="15" hidden="false" customHeight="false" outlineLevel="0" collapsed="false">
      <c r="B5" s="59" t="s">
        <v>591</v>
      </c>
    </row>
    <row r="6" customFormat="false" ht="15" hidden="false" customHeight="false" outlineLevel="0" collapsed="false">
      <c r="B6" s="27" t="s">
        <v>592</v>
      </c>
      <c r="C6" s="27" t="s">
        <v>593</v>
      </c>
      <c r="D6" s="27" t="s">
        <v>594</v>
      </c>
      <c r="E6" s="27" t="s">
        <v>595</v>
      </c>
      <c r="F6" s="27" t="s">
        <v>596</v>
      </c>
      <c r="G6" s="27" t="s">
        <v>246</v>
      </c>
    </row>
    <row r="7" customFormat="false" ht="15" hidden="false" customHeight="false" outlineLevel="0" collapsed="false">
      <c r="B7" s="30" t="s">
        <v>597</v>
      </c>
      <c r="C7" s="54" t="n">
        <v>3</v>
      </c>
      <c r="D7" s="55" t="n">
        <v>0</v>
      </c>
      <c r="E7" s="60" t="n">
        <f aca="false">C7/23</f>
        <v>0.130434782608696</v>
      </c>
      <c r="F7" s="30" t="s">
        <v>598</v>
      </c>
      <c r="G7" s="30" t="s">
        <v>599</v>
      </c>
    </row>
    <row r="8" customFormat="false" ht="15" hidden="false" customHeight="false" outlineLevel="0" collapsed="false">
      <c r="B8" s="30" t="s">
        <v>600</v>
      </c>
      <c r="C8" s="54" t="n">
        <v>1</v>
      </c>
      <c r="D8" s="55" t="n">
        <v>0</v>
      </c>
      <c r="E8" s="60" t="n">
        <f aca="false">C8/23</f>
        <v>0.0434782608695652</v>
      </c>
      <c r="F8" s="30" t="s">
        <v>601</v>
      </c>
      <c r="G8" s="30" t="s">
        <v>571</v>
      </c>
    </row>
    <row r="9" customFormat="false" ht="15" hidden="false" customHeight="false" outlineLevel="0" collapsed="false">
      <c r="B9" s="30" t="s">
        <v>602</v>
      </c>
      <c r="C9" s="54" t="n">
        <v>9</v>
      </c>
      <c r="D9" s="55" t="n">
        <v>0</v>
      </c>
      <c r="E9" s="60" t="n">
        <f aca="false">C9/23</f>
        <v>0.391304347826087</v>
      </c>
      <c r="F9" s="30" t="s">
        <v>598</v>
      </c>
      <c r="G9" s="30" t="s">
        <v>516</v>
      </c>
    </row>
    <row r="10" customFormat="false" ht="15" hidden="false" customHeight="false" outlineLevel="0" collapsed="false">
      <c r="B10" s="30" t="s">
        <v>603</v>
      </c>
      <c r="C10" s="54" t="n">
        <v>2</v>
      </c>
      <c r="D10" s="55" t="n">
        <v>0</v>
      </c>
      <c r="E10" s="60" t="n">
        <f aca="false">C10/23</f>
        <v>0.0869565217391304</v>
      </c>
      <c r="F10" s="30" t="s">
        <v>601</v>
      </c>
      <c r="G10" s="30" t="s">
        <v>550</v>
      </c>
    </row>
    <row r="11" customFormat="false" ht="15" hidden="false" customHeight="false" outlineLevel="0" collapsed="false">
      <c r="B11" s="30" t="s">
        <v>604</v>
      </c>
      <c r="C11" s="54" t="n">
        <v>5</v>
      </c>
      <c r="D11" s="55" t="n">
        <v>0</v>
      </c>
      <c r="E11" s="60" t="n">
        <f aca="false">C11/23</f>
        <v>0.217391304347826</v>
      </c>
      <c r="F11" s="30" t="s">
        <v>601</v>
      </c>
      <c r="G11" s="30" t="s">
        <v>546</v>
      </c>
    </row>
    <row r="12" customFormat="false" ht="15" hidden="false" customHeight="false" outlineLevel="0" collapsed="false">
      <c r="B12" s="30" t="s">
        <v>605</v>
      </c>
      <c r="C12" s="54" t="n">
        <v>1</v>
      </c>
      <c r="D12" s="55" t="n">
        <v>0</v>
      </c>
      <c r="E12" s="60" t="n">
        <f aca="false">C12/23</f>
        <v>0.0434782608695652</v>
      </c>
      <c r="F12" s="30" t="s">
        <v>601</v>
      </c>
      <c r="G12" s="30" t="s">
        <v>584</v>
      </c>
    </row>
    <row r="13" customFormat="false" ht="15" hidden="false" customHeight="false" outlineLevel="0" collapsed="false">
      <c r="B13" s="30" t="s">
        <v>606</v>
      </c>
      <c r="C13" s="54" t="n">
        <v>2</v>
      </c>
      <c r="D13" s="55" t="n">
        <v>0</v>
      </c>
      <c r="E13" s="60" t="n">
        <f aca="false">C13/23</f>
        <v>0.0869565217391304</v>
      </c>
      <c r="F13" s="30" t="s">
        <v>607</v>
      </c>
      <c r="G13" s="30" t="s">
        <v>506</v>
      </c>
    </row>
    <row r="14" customFormat="false" ht="15" hidden="false" customHeight="false" outlineLevel="0" collapsed="false">
      <c r="B14" s="57" t="s">
        <v>38</v>
      </c>
      <c r="C14" s="57" t="n">
        <f aca="false">SUM(C7:C13)</f>
        <v>23</v>
      </c>
      <c r="D14" s="58" t="n">
        <f aca="false">SUM(D7:D13)</f>
        <v>0</v>
      </c>
    </row>
    <row r="17" customFormat="false" ht="15" hidden="false" customHeight="false" outlineLevel="0" collapsed="false">
      <c r="B17" s="59" t="s">
        <v>608</v>
      </c>
    </row>
    <row r="18" customFormat="false" ht="15" hidden="false" customHeight="false" outlineLevel="0" collapsed="false">
      <c r="B18" s="27" t="s">
        <v>609</v>
      </c>
      <c r="C18" s="27" t="s">
        <v>593</v>
      </c>
      <c r="D18" s="27" t="s">
        <v>610</v>
      </c>
      <c r="E18" s="27" t="s">
        <v>611</v>
      </c>
    </row>
    <row r="19" customFormat="false" ht="15" hidden="false" customHeight="false" outlineLevel="0" collapsed="false">
      <c r="B19" s="30" t="s">
        <v>601</v>
      </c>
      <c r="C19" s="54" t="n">
        <v>11</v>
      </c>
      <c r="D19" s="55" t="n">
        <v>0</v>
      </c>
      <c r="E19" s="30" t="s">
        <v>612</v>
      </c>
    </row>
    <row r="20" customFormat="false" ht="15" hidden="false" customHeight="false" outlineLevel="0" collapsed="false">
      <c r="B20" s="30" t="s">
        <v>598</v>
      </c>
      <c r="C20" s="54" t="n">
        <v>9</v>
      </c>
      <c r="D20" s="55" t="n">
        <v>0</v>
      </c>
      <c r="E20" s="30" t="s">
        <v>612</v>
      </c>
    </row>
    <row r="21" customFormat="false" ht="15" hidden="false" customHeight="false" outlineLevel="0" collapsed="false">
      <c r="B21" s="30" t="s">
        <v>607</v>
      </c>
      <c r="C21" s="54" t="n">
        <v>3</v>
      </c>
      <c r="D21" s="55" t="n">
        <v>0</v>
      </c>
      <c r="E21" s="30" t="s">
        <v>612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60"/>
  </cols>
  <sheetData>
    <row r="2" customFormat="false" ht="27.75" hidden="false" customHeight="true" outlineLevel="0" collapsed="false">
      <c r="B2" s="52" t="s">
        <v>613</v>
      </c>
      <c r="C2" s="52"/>
      <c r="D2" s="52"/>
      <c r="E2" s="52"/>
      <c r="F2" s="52"/>
      <c r="G2" s="52"/>
      <c r="H2" s="52"/>
      <c r="I2" s="52"/>
      <c r="J2" s="52"/>
    </row>
    <row r="3" customFormat="false" ht="15" hidden="false" customHeight="false" outlineLevel="0" collapsed="false">
      <c r="B3" s="53" t="s">
        <v>614</v>
      </c>
      <c r="C3" s="53"/>
      <c r="D3" s="53"/>
      <c r="E3" s="53"/>
      <c r="F3" s="53"/>
      <c r="G3" s="53"/>
      <c r="H3" s="53"/>
      <c r="I3" s="53"/>
      <c r="J3" s="53"/>
    </row>
    <row r="5" customFormat="false" ht="15" hidden="false" customHeight="false" outlineLevel="0" collapsed="false">
      <c r="B5" s="59" t="s">
        <v>615</v>
      </c>
    </row>
    <row r="6" customFormat="false" ht="15" hidden="false" customHeight="false" outlineLevel="0" collapsed="false">
      <c r="B6" s="27" t="s">
        <v>616</v>
      </c>
      <c r="C6" s="27" t="s">
        <v>617</v>
      </c>
      <c r="D6" s="27" t="s">
        <v>618</v>
      </c>
      <c r="E6" s="27" t="s">
        <v>334</v>
      </c>
      <c r="F6" s="27" t="s">
        <v>619</v>
      </c>
    </row>
    <row r="7" customFormat="false" ht="15" hidden="false" customHeight="false" outlineLevel="0" collapsed="false">
      <c r="B7" s="30" t="s">
        <v>620</v>
      </c>
      <c r="C7" s="61" t="n">
        <v>14</v>
      </c>
      <c r="D7" s="54" t="s">
        <v>621</v>
      </c>
      <c r="E7" s="30" t="s">
        <v>622</v>
      </c>
      <c r="F7" s="30" t="s">
        <v>623</v>
      </c>
    </row>
    <row r="8" customFormat="false" ht="15" hidden="false" customHeight="false" outlineLevel="0" collapsed="false">
      <c r="B8" s="30" t="s">
        <v>624</v>
      </c>
      <c r="C8" s="54" t="s">
        <v>625</v>
      </c>
      <c r="D8" s="54" t="s">
        <v>626</v>
      </c>
      <c r="E8" s="30" t="s">
        <v>622</v>
      </c>
      <c r="F8" s="30" t="s">
        <v>627</v>
      </c>
    </row>
    <row r="9" customFormat="false" ht="15" hidden="false" customHeight="false" outlineLevel="0" collapsed="false">
      <c r="B9" s="30" t="s">
        <v>628</v>
      </c>
      <c r="C9" s="54" t="s">
        <v>629</v>
      </c>
      <c r="D9" s="54" t="s">
        <v>630</v>
      </c>
      <c r="E9" s="30" t="s">
        <v>631</v>
      </c>
      <c r="F9" s="30" t="s">
        <v>632</v>
      </c>
    </row>
    <row r="10" customFormat="false" ht="15" hidden="false" customHeight="false" outlineLevel="0" collapsed="false">
      <c r="B10" s="30" t="s">
        <v>633</v>
      </c>
      <c r="C10" s="61" t="n">
        <v>7</v>
      </c>
      <c r="D10" s="54" t="s">
        <v>634</v>
      </c>
      <c r="E10" s="62" t="s">
        <v>635</v>
      </c>
      <c r="F10" s="30" t="s">
        <v>636</v>
      </c>
    </row>
    <row r="11" customFormat="false" ht="15" hidden="false" customHeight="false" outlineLevel="0" collapsed="false">
      <c r="B11" s="30" t="s">
        <v>637</v>
      </c>
      <c r="C11" s="61" t="n">
        <v>0</v>
      </c>
      <c r="D11" s="54" t="s">
        <v>638</v>
      </c>
      <c r="E11" s="63" t="s">
        <v>639</v>
      </c>
      <c r="F11" s="30" t="s">
        <v>640</v>
      </c>
    </row>
    <row r="12" customFormat="false" ht="15" hidden="false" customHeight="false" outlineLevel="0" collapsed="false">
      <c r="B12" s="30" t="s">
        <v>641</v>
      </c>
      <c r="C12" s="61" t="n">
        <v>2</v>
      </c>
      <c r="D12" s="54" t="s">
        <v>638</v>
      </c>
      <c r="E12" s="63" t="s">
        <v>639</v>
      </c>
      <c r="F12" s="30" t="s">
        <v>642</v>
      </c>
    </row>
    <row r="13" customFormat="false" ht="15" hidden="false" customHeight="false" outlineLevel="0" collapsed="false">
      <c r="B13" s="30" t="s">
        <v>643</v>
      </c>
      <c r="C13" s="61" t="n">
        <v>0</v>
      </c>
      <c r="D13" s="54" t="s">
        <v>644</v>
      </c>
      <c r="E13" s="63" t="s">
        <v>639</v>
      </c>
      <c r="F13" s="30" t="s">
        <v>645</v>
      </c>
    </row>
    <row r="14" customFormat="false" ht="15" hidden="false" customHeight="false" outlineLevel="0" collapsed="false">
      <c r="B14" s="30" t="s">
        <v>646</v>
      </c>
      <c r="C14" s="61" t="n">
        <v>0</v>
      </c>
      <c r="D14" s="54" t="s">
        <v>647</v>
      </c>
      <c r="E14" s="63" t="s">
        <v>639</v>
      </c>
      <c r="F14" s="30" t="s">
        <v>648</v>
      </c>
    </row>
    <row r="15" customFormat="false" ht="15" hidden="false" customHeight="false" outlineLevel="0" collapsed="false">
      <c r="B15" s="30" t="s">
        <v>649</v>
      </c>
      <c r="C15" s="61" t="n">
        <v>0</v>
      </c>
      <c r="D15" s="54" t="s">
        <v>650</v>
      </c>
      <c r="E15" s="30" t="s">
        <v>612</v>
      </c>
      <c r="F15" s="30" t="s">
        <v>651</v>
      </c>
    </row>
    <row r="18" customFormat="false" ht="15" hidden="false" customHeight="false" outlineLevel="0" collapsed="false">
      <c r="B18" s="59" t="s">
        <v>652</v>
      </c>
    </row>
    <row r="19" customFormat="false" ht="15" hidden="false" customHeight="false" outlineLevel="0" collapsed="false">
      <c r="B19" s="27" t="s">
        <v>653</v>
      </c>
      <c r="C19" s="27" t="s">
        <v>654</v>
      </c>
      <c r="D19" s="27" t="s">
        <v>364</v>
      </c>
      <c r="E19" s="27" t="s">
        <v>655</v>
      </c>
      <c r="F19" s="27" t="s">
        <v>656</v>
      </c>
    </row>
    <row r="20" customFormat="false" ht="15" hidden="false" customHeight="false" outlineLevel="0" collapsed="false">
      <c r="B20" s="30" t="s">
        <v>657</v>
      </c>
      <c r="C20" s="64" t="n">
        <f aca="false">'Benchmark KPIs'!D55</f>
        <v>-0.0567294870050347</v>
      </c>
      <c r="D20" s="54" t="s">
        <v>30</v>
      </c>
      <c r="E20" s="30" t="s">
        <v>658</v>
      </c>
      <c r="F20" s="30" t="s">
        <v>659</v>
      </c>
    </row>
    <row r="21" customFormat="false" ht="15" hidden="false" customHeight="false" outlineLevel="0" collapsed="false">
      <c r="B21" s="30" t="s">
        <v>660</v>
      </c>
      <c r="C21" s="65" t="n">
        <f aca="false">'Benchmark KPIs'!D21</f>
        <v>585998.58</v>
      </c>
      <c r="D21" s="54" t="s">
        <v>30</v>
      </c>
      <c r="E21" s="30" t="s">
        <v>658</v>
      </c>
      <c r="F21" s="30" t="s">
        <v>661</v>
      </c>
    </row>
    <row r="22" customFormat="false" ht="15" hidden="false" customHeight="false" outlineLevel="0" collapsed="false">
      <c r="B22" s="30" t="s">
        <v>662</v>
      </c>
      <c r="C22" s="64" t="n">
        <f aca="false">'Benchmark KPIs'!D20</f>
        <v>0.577329378780874</v>
      </c>
      <c r="D22" s="54" t="s">
        <v>30</v>
      </c>
      <c r="E22" s="30" t="s">
        <v>658</v>
      </c>
      <c r="F22" s="30" t="s">
        <v>663</v>
      </c>
    </row>
    <row r="23" customFormat="false" ht="15" hidden="false" customHeight="false" outlineLevel="0" collapsed="false">
      <c r="B23" s="30" t="s">
        <v>664</v>
      </c>
      <c r="C23" s="54" t="n">
        <v>24</v>
      </c>
      <c r="D23" s="54" t="s">
        <v>665</v>
      </c>
      <c r="E23" s="30" t="s">
        <v>666</v>
      </c>
      <c r="F23" s="30" t="s">
        <v>667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5"/>
    <col collapsed="false" customWidth="true" hidden="false" outlineLevel="0" max="4" min="3" style="0" width="2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36"/>
    <col collapsed="false" customWidth="true" hidden="false" outlineLevel="0" max="10" min="10" style="0" width="26"/>
  </cols>
  <sheetData>
    <row r="2" customFormat="false" ht="27.75" hidden="false" customHeight="true" outlineLevel="0" collapsed="false">
      <c r="B2" s="52" t="s">
        <v>668</v>
      </c>
      <c r="C2" s="52"/>
      <c r="D2" s="52"/>
      <c r="E2" s="52"/>
      <c r="F2" s="52"/>
      <c r="G2" s="52"/>
      <c r="H2" s="52"/>
      <c r="I2" s="52"/>
      <c r="J2" s="52"/>
    </row>
    <row r="3" customFormat="false" ht="15" hidden="false" customHeight="false" outlineLevel="0" collapsed="false">
      <c r="B3" s="53" t="s">
        <v>669</v>
      </c>
      <c r="C3" s="53"/>
      <c r="D3" s="53"/>
      <c r="E3" s="53"/>
      <c r="F3" s="53"/>
      <c r="G3" s="53"/>
      <c r="H3" s="53"/>
      <c r="I3" s="53"/>
      <c r="J3" s="53"/>
    </row>
    <row r="5" customFormat="false" ht="15" hidden="false" customHeight="false" outlineLevel="0" collapsed="false">
      <c r="B5" s="27" t="s">
        <v>670</v>
      </c>
      <c r="C5" s="27" t="s">
        <v>671</v>
      </c>
      <c r="D5" s="27" t="s">
        <v>672</v>
      </c>
      <c r="E5" s="27" t="s">
        <v>41</v>
      </c>
      <c r="F5" s="27" t="s">
        <v>673</v>
      </c>
      <c r="G5" s="27" t="s">
        <v>674</v>
      </c>
      <c r="H5" s="27" t="s">
        <v>364</v>
      </c>
      <c r="I5" s="27" t="s">
        <v>675</v>
      </c>
      <c r="J5" s="27" t="s">
        <v>676</v>
      </c>
    </row>
    <row r="6" customFormat="false" ht="15" hidden="false" customHeight="false" outlineLevel="0" collapsed="false">
      <c r="B6" s="54" t="n">
        <v>1</v>
      </c>
      <c r="C6" s="30" t="s">
        <v>367</v>
      </c>
      <c r="D6" s="30" t="s">
        <v>366</v>
      </c>
      <c r="E6" s="54" t="str">
        <f aca="false">'Benchmark KPIs'!D6</f>
        <v>2010</v>
      </c>
      <c r="F6" s="54" t="s">
        <v>677</v>
      </c>
      <c r="G6" s="30" t="s">
        <v>360</v>
      </c>
      <c r="H6" s="29" t="s">
        <v>370</v>
      </c>
      <c r="I6" s="30" t="s">
        <v>678</v>
      </c>
      <c r="J6" s="30" t="s">
        <v>679</v>
      </c>
    </row>
    <row r="7" customFormat="false" ht="23.85" hidden="false" customHeight="false" outlineLevel="0" collapsed="false">
      <c r="B7" s="54" t="n">
        <v>2</v>
      </c>
      <c r="C7" s="30" t="s">
        <v>373</v>
      </c>
      <c r="D7" s="30" t="s">
        <v>372</v>
      </c>
      <c r="E7" s="54" t="str">
        <f aca="false">'Benchmark KPIs'!D7</f>
        <v>Chinn Old Town Mixed Use</v>
      </c>
      <c r="F7" s="54" t="s">
        <v>680</v>
      </c>
      <c r="G7" s="30" t="s">
        <v>360</v>
      </c>
      <c r="H7" s="29" t="s">
        <v>370</v>
      </c>
      <c r="I7" s="30" t="s">
        <v>681</v>
      </c>
      <c r="J7" s="30" t="s">
        <v>679</v>
      </c>
    </row>
    <row r="8" customFormat="false" ht="23.85" hidden="false" customHeight="false" outlineLevel="0" collapsed="false">
      <c r="B8" s="54" t="n">
        <v>3</v>
      </c>
      <c r="C8" s="30" t="s">
        <v>374</v>
      </c>
      <c r="D8" s="30" t="s">
        <v>7</v>
      </c>
      <c r="E8" s="54" t="str">
        <f aca="false">'Benchmark KPIs'!D8</f>
        <v>Chinn Construction, LLC</v>
      </c>
      <c r="F8" s="54" t="s">
        <v>680</v>
      </c>
      <c r="G8" s="30" t="s">
        <v>360</v>
      </c>
      <c r="H8" s="29" t="s">
        <v>370</v>
      </c>
      <c r="I8" s="30" t="s">
        <v>681</v>
      </c>
      <c r="J8" s="30" t="s">
        <v>679</v>
      </c>
    </row>
    <row r="9" customFormat="false" ht="15" hidden="false" customHeight="false" outlineLevel="0" collapsed="false">
      <c r="B9" s="54" t="n">
        <v>4</v>
      </c>
      <c r="C9" s="30" t="s">
        <v>375</v>
      </c>
      <c r="D9" s="30" t="s">
        <v>9</v>
      </c>
      <c r="E9" s="54" t="str">
        <f aca="false">'Benchmark KPIs'!D9</f>
        <v>Seattle, WA</v>
      </c>
      <c r="F9" s="54" t="s">
        <v>680</v>
      </c>
      <c r="G9" s="30" t="s">
        <v>360</v>
      </c>
      <c r="H9" s="29" t="s">
        <v>370</v>
      </c>
      <c r="I9" s="30" t="s">
        <v>682</v>
      </c>
      <c r="J9" s="30" t="s">
        <v>679</v>
      </c>
    </row>
    <row r="10" customFormat="false" ht="46.25" hidden="false" customHeight="false" outlineLevel="0" collapsed="false">
      <c r="B10" s="54" t="n">
        <v>5</v>
      </c>
      <c r="C10" s="30" t="s">
        <v>377</v>
      </c>
      <c r="D10" s="30" t="s">
        <v>376</v>
      </c>
      <c r="E10" s="54" t="str">
        <f aca="false">'Benchmark KPIs'!D10</f>
        <v>165-unit mixed-use multifamily apartments + ground-floor retail</v>
      </c>
      <c r="F10" s="54" t="s">
        <v>680</v>
      </c>
      <c r="G10" s="30" t="s">
        <v>360</v>
      </c>
      <c r="H10" s="29" t="s">
        <v>370</v>
      </c>
      <c r="I10" s="30" t="s">
        <v>683</v>
      </c>
      <c r="J10" s="30" t="s">
        <v>679</v>
      </c>
    </row>
    <row r="11" customFormat="false" ht="15" hidden="false" customHeight="false" outlineLevel="0" collapsed="false">
      <c r="B11" s="54" t="n">
        <v>6</v>
      </c>
      <c r="C11" s="30" t="s">
        <v>380</v>
      </c>
      <c r="D11" s="30" t="s">
        <v>379</v>
      </c>
      <c r="E11" s="54" t="n">
        <f aca="false">'Benchmark KPIs'!D11</f>
        <v>24</v>
      </c>
      <c r="F11" s="54" t="s">
        <v>684</v>
      </c>
      <c r="G11" s="30" t="s">
        <v>360</v>
      </c>
      <c r="H11" s="29" t="s">
        <v>370</v>
      </c>
      <c r="I11" s="30" t="s">
        <v>685</v>
      </c>
      <c r="J11" s="30" t="s">
        <v>679</v>
      </c>
    </row>
    <row r="12" customFormat="false" ht="15" hidden="false" customHeight="false" outlineLevel="0" collapsed="false">
      <c r="B12" s="54" t="n">
        <v>7</v>
      </c>
      <c r="C12" s="30" t="s">
        <v>382</v>
      </c>
      <c r="D12" s="30" t="s">
        <v>381</v>
      </c>
      <c r="E12" s="65" t="n">
        <f aca="false">'Benchmark KPIs'!D12</f>
        <v>165</v>
      </c>
      <c r="F12" s="54" t="s">
        <v>257</v>
      </c>
      <c r="G12" s="30" t="s">
        <v>360</v>
      </c>
      <c r="H12" s="29" t="s">
        <v>370</v>
      </c>
      <c r="I12" s="30" t="s">
        <v>686</v>
      </c>
      <c r="J12" s="30" t="s">
        <v>679</v>
      </c>
    </row>
    <row r="13" customFormat="false" ht="15" hidden="false" customHeight="false" outlineLevel="0" collapsed="false">
      <c r="B13" s="54" t="n">
        <v>8</v>
      </c>
      <c r="C13" s="30" t="s">
        <v>383</v>
      </c>
      <c r="D13" s="30" t="s">
        <v>47</v>
      </c>
      <c r="E13" s="65" t="n">
        <f aca="false">'Benchmark KPIs'!D13</f>
        <v>803</v>
      </c>
      <c r="F13" s="54" t="s">
        <v>687</v>
      </c>
      <c r="G13" s="30" t="s">
        <v>360</v>
      </c>
      <c r="H13" s="29" t="s">
        <v>370</v>
      </c>
      <c r="I13" s="30" t="s">
        <v>688</v>
      </c>
      <c r="J13" s="30" t="s">
        <v>679</v>
      </c>
    </row>
    <row r="14" customFormat="false" ht="15" hidden="false" customHeight="false" outlineLevel="0" collapsed="false">
      <c r="B14" s="54" t="n">
        <v>9</v>
      </c>
      <c r="C14" s="30" t="s">
        <v>387</v>
      </c>
      <c r="D14" s="30" t="s">
        <v>689</v>
      </c>
      <c r="E14" s="65" t="n">
        <f aca="false">'Benchmark KPIs'!D15</f>
        <v>1469800</v>
      </c>
      <c r="F14" s="54" t="s">
        <v>690</v>
      </c>
      <c r="G14" s="30" t="s">
        <v>360</v>
      </c>
      <c r="H14" s="29" t="s">
        <v>370</v>
      </c>
      <c r="I14" s="30" t="s">
        <v>691</v>
      </c>
      <c r="J14" s="30" t="s">
        <v>679</v>
      </c>
    </row>
    <row r="15" customFormat="false" ht="15" hidden="false" customHeight="false" outlineLevel="0" collapsed="false">
      <c r="B15" s="54" t="n">
        <v>10</v>
      </c>
      <c r="C15" s="30" t="s">
        <v>390</v>
      </c>
      <c r="D15" s="30" t="s">
        <v>692</v>
      </c>
      <c r="E15" s="65" t="n">
        <f aca="false">'Benchmark KPIs'!D16</f>
        <v>1386419</v>
      </c>
      <c r="F15" s="54" t="s">
        <v>690</v>
      </c>
      <c r="G15" s="30" t="s">
        <v>360</v>
      </c>
      <c r="H15" s="29" t="s">
        <v>370</v>
      </c>
      <c r="I15" s="30" t="s">
        <v>693</v>
      </c>
      <c r="J15" s="30" t="s">
        <v>679</v>
      </c>
    </row>
    <row r="16" customFormat="false" ht="15" hidden="false" customHeight="false" outlineLevel="0" collapsed="false">
      <c r="B16" s="54" t="n">
        <v>11</v>
      </c>
      <c r="C16" s="30" t="s">
        <v>393</v>
      </c>
      <c r="D16" s="30" t="s">
        <v>392</v>
      </c>
      <c r="E16" s="65" t="n">
        <f aca="false">'Benchmark KPIs'!D17</f>
        <v>-83381</v>
      </c>
      <c r="F16" s="54" t="s">
        <v>690</v>
      </c>
      <c r="G16" s="30" t="s">
        <v>360</v>
      </c>
      <c r="H16" s="29" t="s">
        <v>370</v>
      </c>
      <c r="I16" s="30" t="s">
        <v>694</v>
      </c>
      <c r="J16" s="30" t="s">
        <v>679</v>
      </c>
    </row>
    <row r="17" customFormat="false" ht="15" hidden="false" customHeight="false" outlineLevel="0" collapsed="false">
      <c r="B17" s="54" t="n">
        <v>12</v>
      </c>
      <c r="C17" s="30" t="s">
        <v>395</v>
      </c>
      <c r="D17" s="30" t="s">
        <v>394</v>
      </c>
      <c r="E17" s="65" t="n">
        <f aca="false">'Benchmark KPIs'!D18</f>
        <v>1386419</v>
      </c>
      <c r="F17" s="54" t="s">
        <v>690</v>
      </c>
      <c r="G17" s="30" t="s">
        <v>360</v>
      </c>
      <c r="H17" s="29" t="s">
        <v>370</v>
      </c>
      <c r="I17" s="30" t="s">
        <v>695</v>
      </c>
      <c r="J17" s="30" t="s">
        <v>679</v>
      </c>
    </row>
    <row r="18" customFormat="false" ht="15" hidden="false" customHeight="false" outlineLevel="0" collapsed="false">
      <c r="B18" s="54" t="n">
        <v>13</v>
      </c>
      <c r="C18" s="30" t="s">
        <v>397</v>
      </c>
      <c r="D18" s="30" t="s">
        <v>396</v>
      </c>
      <c r="E18" s="65" t="n">
        <f aca="false">'Benchmark KPIs'!D19</f>
        <v>800420.42</v>
      </c>
      <c r="F18" s="54" t="s">
        <v>690</v>
      </c>
      <c r="G18" s="30" t="s">
        <v>360</v>
      </c>
      <c r="H18" s="29" t="s">
        <v>370</v>
      </c>
      <c r="I18" s="30" t="s">
        <v>696</v>
      </c>
      <c r="J18" s="30" t="s">
        <v>679</v>
      </c>
    </row>
    <row r="19" customFormat="false" ht="15" hidden="false" customHeight="false" outlineLevel="0" collapsed="false">
      <c r="B19" s="54" t="n">
        <v>14</v>
      </c>
      <c r="C19" s="30" t="s">
        <v>399</v>
      </c>
      <c r="D19" s="30" t="s">
        <v>697</v>
      </c>
      <c r="E19" s="64" t="n">
        <f aca="false">'Benchmark KPIs'!D20</f>
        <v>0.577329378780874</v>
      </c>
      <c r="F19" s="54" t="s">
        <v>698</v>
      </c>
      <c r="G19" s="30" t="s">
        <v>360</v>
      </c>
      <c r="H19" s="29" t="s">
        <v>370</v>
      </c>
      <c r="I19" s="30" t="s">
        <v>699</v>
      </c>
      <c r="J19" s="30" t="s">
        <v>679</v>
      </c>
    </row>
    <row r="20" customFormat="false" ht="15" hidden="false" customHeight="false" outlineLevel="0" collapsed="false">
      <c r="B20" s="54" t="n">
        <v>15</v>
      </c>
      <c r="C20" s="30" t="s">
        <v>400</v>
      </c>
      <c r="D20" s="30" t="s">
        <v>136</v>
      </c>
      <c r="E20" s="65" t="n">
        <f aca="false">'Benchmark KPIs'!D21</f>
        <v>585998.58</v>
      </c>
      <c r="F20" s="54" t="s">
        <v>690</v>
      </c>
      <c r="G20" s="30" t="s">
        <v>360</v>
      </c>
      <c r="H20" s="29" t="s">
        <v>370</v>
      </c>
      <c r="I20" s="30" t="s">
        <v>700</v>
      </c>
      <c r="J20" s="30" t="s">
        <v>679</v>
      </c>
    </row>
    <row r="21" customFormat="false" ht="15" hidden="false" customHeight="false" outlineLevel="0" collapsed="false">
      <c r="B21" s="54" t="n">
        <v>16</v>
      </c>
      <c r="C21" s="30" t="s">
        <v>402</v>
      </c>
      <c r="D21" s="30" t="s">
        <v>401</v>
      </c>
      <c r="E21" s="65" t="n">
        <f aca="false">'Benchmark KPIs'!D22</f>
        <v>196271.13</v>
      </c>
      <c r="F21" s="54" t="s">
        <v>690</v>
      </c>
      <c r="G21" s="30" t="s">
        <v>360</v>
      </c>
      <c r="H21" s="29" t="s">
        <v>370</v>
      </c>
      <c r="I21" s="30" t="s">
        <v>701</v>
      </c>
      <c r="J21" s="30" t="s">
        <v>679</v>
      </c>
    </row>
    <row r="22" customFormat="false" ht="15" hidden="false" customHeight="false" outlineLevel="0" collapsed="false">
      <c r="B22" s="54" t="n">
        <v>17</v>
      </c>
      <c r="C22" s="30" t="s">
        <v>405</v>
      </c>
      <c r="D22" s="30" t="s">
        <v>404</v>
      </c>
      <c r="E22" s="65" t="n">
        <f aca="false">'Benchmark KPIs'!D23</f>
        <v>282662.77</v>
      </c>
      <c r="F22" s="54" t="s">
        <v>690</v>
      </c>
      <c r="G22" s="30" t="s">
        <v>360</v>
      </c>
      <c r="H22" s="29" t="s">
        <v>370</v>
      </c>
      <c r="I22" s="30" t="s">
        <v>702</v>
      </c>
      <c r="J22" s="30" t="s">
        <v>679</v>
      </c>
    </row>
    <row r="23" customFormat="false" ht="15" hidden="false" customHeight="false" outlineLevel="0" collapsed="false">
      <c r="B23" s="54" t="n">
        <v>18</v>
      </c>
      <c r="C23" s="30" t="s">
        <v>408</v>
      </c>
      <c r="D23" s="30" t="s">
        <v>407</v>
      </c>
      <c r="E23" s="65" t="n">
        <f aca="false">'Benchmark KPIs'!D24</f>
        <v>3650.67</v>
      </c>
      <c r="F23" s="54" t="s">
        <v>690</v>
      </c>
      <c r="G23" s="30" t="s">
        <v>360</v>
      </c>
      <c r="H23" s="29" t="s">
        <v>370</v>
      </c>
      <c r="I23" s="30" t="s">
        <v>703</v>
      </c>
      <c r="J23" s="30" t="s">
        <v>679</v>
      </c>
    </row>
    <row r="24" customFormat="false" ht="15" hidden="false" customHeight="false" outlineLevel="0" collapsed="false">
      <c r="B24" s="54" t="n">
        <v>19</v>
      </c>
      <c r="C24" s="30" t="s">
        <v>411</v>
      </c>
      <c r="D24" s="30" t="s">
        <v>410</v>
      </c>
      <c r="E24" s="65" t="n">
        <f aca="false">'Benchmark KPIs'!D25</f>
        <v>103414.01</v>
      </c>
      <c r="F24" s="54" t="s">
        <v>690</v>
      </c>
      <c r="G24" s="30" t="s">
        <v>360</v>
      </c>
      <c r="H24" s="29" t="s">
        <v>370</v>
      </c>
      <c r="I24" s="30" t="s">
        <v>704</v>
      </c>
      <c r="J24" s="30" t="s">
        <v>679</v>
      </c>
    </row>
    <row r="25" customFormat="false" ht="15" hidden="false" customHeight="false" outlineLevel="0" collapsed="false">
      <c r="B25" s="54" t="n">
        <v>20</v>
      </c>
      <c r="C25" s="30" t="s">
        <v>413</v>
      </c>
      <c r="D25" s="30" t="s">
        <v>335</v>
      </c>
      <c r="E25" s="65" t="n">
        <f aca="false">'Benchmark KPIs'!D26</f>
        <v>69320.95</v>
      </c>
      <c r="F25" s="54" t="s">
        <v>690</v>
      </c>
      <c r="G25" s="30" t="s">
        <v>360</v>
      </c>
      <c r="H25" s="29" t="s">
        <v>370</v>
      </c>
      <c r="I25" s="30" t="s">
        <v>705</v>
      </c>
      <c r="J25" s="30" t="s">
        <v>679</v>
      </c>
    </row>
    <row r="26" customFormat="false" ht="15" hidden="false" customHeight="false" outlineLevel="0" collapsed="false">
      <c r="B26" s="54" t="n">
        <v>21</v>
      </c>
      <c r="C26" s="30" t="s">
        <v>436</v>
      </c>
      <c r="D26" s="30" t="s">
        <v>435</v>
      </c>
      <c r="E26" s="65" t="n">
        <f aca="false">'Benchmark KPIs'!D37</f>
        <v>9992.25</v>
      </c>
      <c r="F26" s="54" t="s">
        <v>706</v>
      </c>
      <c r="G26" s="30" t="s">
        <v>360</v>
      </c>
      <c r="H26" s="29" t="s">
        <v>370</v>
      </c>
      <c r="I26" s="30" t="s">
        <v>707</v>
      </c>
      <c r="J26" s="30" t="s">
        <v>679</v>
      </c>
    </row>
    <row r="27" customFormat="false" ht="15" hidden="false" customHeight="false" outlineLevel="0" collapsed="false">
      <c r="B27" s="54" t="n">
        <v>22</v>
      </c>
      <c r="C27" s="30" t="s">
        <v>439</v>
      </c>
      <c r="D27" s="30" t="s">
        <v>438</v>
      </c>
      <c r="E27" s="54" t="n">
        <f aca="false">'Benchmark KPIs'!D38</f>
        <v>22</v>
      </c>
      <c r="F27" s="54" t="s">
        <v>687</v>
      </c>
      <c r="G27" s="30" t="s">
        <v>360</v>
      </c>
      <c r="H27" s="29" t="s">
        <v>370</v>
      </c>
      <c r="I27" s="30" t="s">
        <v>708</v>
      </c>
      <c r="J27" s="30" t="s">
        <v>679</v>
      </c>
    </row>
    <row r="28" customFormat="false" ht="15" hidden="false" customHeight="false" outlineLevel="0" collapsed="false">
      <c r="B28" s="54" t="n">
        <v>23</v>
      </c>
      <c r="C28" s="30" t="s">
        <v>441</v>
      </c>
      <c r="D28" s="30" t="s">
        <v>215</v>
      </c>
      <c r="E28" s="66" t="n">
        <f aca="false">'Benchmark KPIs'!D39</f>
        <v>19.1908979459081</v>
      </c>
      <c r="F28" s="54" t="s">
        <v>709</v>
      </c>
      <c r="G28" s="30" t="s">
        <v>360</v>
      </c>
      <c r="H28" s="29" t="s">
        <v>370</v>
      </c>
      <c r="I28" s="30" t="s">
        <v>710</v>
      </c>
      <c r="J28" s="30" t="s">
        <v>679</v>
      </c>
    </row>
    <row r="29" customFormat="false" ht="15" hidden="false" customHeight="false" outlineLevel="0" collapsed="false">
      <c r="B29" s="54" t="n">
        <v>24</v>
      </c>
      <c r="C29" s="30" t="s">
        <v>468</v>
      </c>
      <c r="D29" s="30" t="s">
        <v>467</v>
      </c>
      <c r="E29" s="54" t="n">
        <f aca="false">'Benchmark KPIs'!D51</f>
        <v>18</v>
      </c>
      <c r="F29" s="54" t="s">
        <v>687</v>
      </c>
      <c r="G29" s="30" t="s">
        <v>360</v>
      </c>
      <c r="H29" s="29" t="s">
        <v>370</v>
      </c>
      <c r="I29" s="30" t="s">
        <v>711</v>
      </c>
      <c r="J29" s="30" t="s">
        <v>679</v>
      </c>
    </row>
    <row r="30" customFormat="false" ht="15" hidden="false" customHeight="false" outlineLevel="0" collapsed="false">
      <c r="B30" s="54" t="n">
        <v>25</v>
      </c>
      <c r="C30" s="30" t="s">
        <v>475</v>
      </c>
      <c r="D30" s="30" t="s">
        <v>474</v>
      </c>
      <c r="E30" s="54" t="n">
        <f aca="false">'Benchmark KPIs'!D54</f>
        <v>73</v>
      </c>
      <c r="F30" s="54" t="s">
        <v>687</v>
      </c>
      <c r="G30" s="30" t="s">
        <v>360</v>
      </c>
      <c r="H30" s="29" t="s">
        <v>370</v>
      </c>
      <c r="I30" s="30" t="s">
        <v>712</v>
      </c>
      <c r="J30" s="30" t="s">
        <v>679</v>
      </c>
    </row>
    <row r="31" customFormat="false" ht="15" hidden="false" customHeight="false" outlineLevel="0" collapsed="false">
      <c r="B31" s="54" t="n">
        <v>26</v>
      </c>
      <c r="C31" s="30" t="s">
        <v>478</v>
      </c>
      <c r="D31" s="30" t="s">
        <v>713</v>
      </c>
      <c r="E31" s="64" t="n">
        <f aca="false">'Benchmark KPIs'!D55</f>
        <v>-0.0567294870050347</v>
      </c>
      <c r="F31" s="54" t="s">
        <v>698</v>
      </c>
      <c r="G31" s="30" t="s">
        <v>360</v>
      </c>
      <c r="H31" s="29" t="s">
        <v>370</v>
      </c>
      <c r="I31" s="30" t="s">
        <v>699</v>
      </c>
      <c r="J31" s="30" t="s">
        <v>679</v>
      </c>
    </row>
    <row r="32" customFormat="false" ht="15" hidden="false" customHeight="false" outlineLevel="0" collapsed="false">
      <c r="B32" s="54" t="n">
        <v>27</v>
      </c>
      <c r="C32" s="30" t="s">
        <v>714</v>
      </c>
      <c r="D32" s="30" t="s">
        <v>715</v>
      </c>
      <c r="E32" s="54" t="n">
        <v>14</v>
      </c>
      <c r="F32" s="54" t="s">
        <v>687</v>
      </c>
      <c r="G32" s="30" t="s">
        <v>716</v>
      </c>
      <c r="H32" s="29" t="s">
        <v>370</v>
      </c>
      <c r="I32" s="30" t="s">
        <v>717</v>
      </c>
      <c r="J32" s="30" t="s">
        <v>718</v>
      </c>
    </row>
    <row r="33" customFormat="false" ht="15" hidden="false" customHeight="false" outlineLevel="0" collapsed="false">
      <c r="B33" s="54" t="n">
        <v>28</v>
      </c>
      <c r="C33" s="30" t="s">
        <v>719</v>
      </c>
      <c r="D33" s="30" t="s">
        <v>720</v>
      </c>
      <c r="E33" s="54" t="n">
        <v>7</v>
      </c>
      <c r="F33" s="54" t="s">
        <v>687</v>
      </c>
      <c r="G33" s="30" t="s">
        <v>721</v>
      </c>
      <c r="H33" s="29" t="s">
        <v>370</v>
      </c>
      <c r="I33" s="30" t="s">
        <v>722</v>
      </c>
      <c r="J33" s="30" t="s">
        <v>723</v>
      </c>
    </row>
    <row r="34" customFormat="false" ht="15" hidden="false" customHeight="false" outlineLevel="0" collapsed="false">
      <c r="B34" s="54" t="n">
        <v>29</v>
      </c>
      <c r="C34" s="30" t="s">
        <v>724</v>
      </c>
      <c r="D34" s="30" t="s">
        <v>641</v>
      </c>
      <c r="E34" s="54" t="n">
        <v>2</v>
      </c>
      <c r="F34" s="54" t="s">
        <v>687</v>
      </c>
      <c r="G34" s="30" t="s">
        <v>721</v>
      </c>
      <c r="H34" s="29" t="s">
        <v>370</v>
      </c>
      <c r="I34" s="30" t="s">
        <v>725</v>
      </c>
      <c r="J34" s="30" t="s">
        <v>723</v>
      </c>
    </row>
    <row r="35" customFormat="false" ht="15" hidden="false" customHeight="false" outlineLevel="0" collapsed="false">
      <c r="B35" s="54" t="n">
        <v>30</v>
      </c>
      <c r="C35" s="30" t="s">
        <v>726</v>
      </c>
      <c r="D35" s="30" t="s">
        <v>637</v>
      </c>
      <c r="E35" s="54" t="n">
        <v>0</v>
      </c>
      <c r="F35" s="54" t="s">
        <v>687</v>
      </c>
      <c r="G35" s="30" t="s">
        <v>721</v>
      </c>
      <c r="H35" s="29" t="s">
        <v>370</v>
      </c>
      <c r="I35" s="30" t="s">
        <v>727</v>
      </c>
      <c r="J35" s="30" t="s">
        <v>723</v>
      </c>
    </row>
    <row r="36" customFormat="false" ht="15" hidden="false" customHeight="false" outlineLevel="0" collapsed="false">
      <c r="B36" s="54" t="n">
        <v>31</v>
      </c>
      <c r="C36" s="30" t="s">
        <v>728</v>
      </c>
      <c r="D36" s="30" t="s">
        <v>643</v>
      </c>
      <c r="E36" s="54" t="n">
        <v>0</v>
      </c>
      <c r="F36" s="54" t="s">
        <v>687</v>
      </c>
      <c r="G36" s="30" t="s">
        <v>721</v>
      </c>
      <c r="H36" s="29" t="s">
        <v>370</v>
      </c>
      <c r="I36" s="30" t="s">
        <v>729</v>
      </c>
      <c r="J36" s="30" t="s">
        <v>723</v>
      </c>
    </row>
    <row r="37" customFormat="false" ht="15" hidden="false" customHeight="false" outlineLevel="0" collapsed="false">
      <c r="B37" s="54" t="n">
        <v>32</v>
      </c>
      <c r="C37" s="30" t="s">
        <v>730</v>
      </c>
      <c r="D37" s="30" t="s">
        <v>731</v>
      </c>
      <c r="E37" s="54" t="n">
        <v>0</v>
      </c>
      <c r="F37" s="54" t="s">
        <v>687</v>
      </c>
      <c r="G37" s="30" t="s">
        <v>716</v>
      </c>
      <c r="H37" s="29" t="s">
        <v>370</v>
      </c>
      <c r="I37" s="30" t="s">
        <v>732</v>
      </c>
      <c r="J37" s="30" t="s">
        <v>718</v>
      </c>
    </row>
    <row r="38" customFormat="false" ht="15" hidden="false" customHeight="false" outlineLevel="0" collapsed="false">
      <c r="B38" s="54" t="n">
        <v>33</v>
      </c>
      <c r="C38" s="30" t="s">
        <v>733</v>
      </c>
      <c r="D38" s="30" t="s">
        <v>734</v>
      </c>
      <c r="E38" s="54" t="n">
        <v>23</v>
      </c>
      <c r="F38" s="54" t="s">
        <v>687</v>
      </c>
      <c r="G38" s="30" t="s">
        <v>721</v>
      </c>
      <c r="H38" s="29" t="s">
        <v>370</v>
      </c>
      <c r="I38" s="30" t="s">
        <v>735</v>
      </c>
      <c r="J38" s="30" t="s">
        <v>723</v>
      </c>
    </row>
    <row r="39" customFormat="false" ht="15" hidden="false" customHeight="false" outlineLevel="0" collapsed="false">
      <c r="B39" s="54" t="n">
        <v>34</v>
      </c>
      <c r="C39" s="30" t="s">
        <v>736</v>
      </c>
      <c r="D39" s="30" t="s">
        <v>737</v>
      </c>
      <c r="E39" s="55" t="n">
        <f aca="false">'Change Log'!H30</f>
        <v>0</v>
      </c>
      <c r="F39" s="54" t="s">
        <v>690</v>
      </c>
      <c r="G39" s="30" t="s">
        <v>721</v>
      </c>
      <c r="H39" s="29" t="s">
        <v>370</v>
      </c>
      <c r="I39" s="30" t="s">
        <v>738</v>
      </c>
      <c r="J39" s="30" t="s">
        <v>723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7" min="3" style="1" width="16"/>
  </cols>
  <sheetData>
    <row r="2" customFormat="false" ht="19.5" hidden="false" customHeight="true" outlineLevel="0" collapsed="false">
      <c r="B2" s="2" t="s">
        <v>739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67" t="s">
        <v>740</v>
      </c>
      <c r="C3" s="67"/>
      <c r="D3" s="67"/>
      <c r="E3" s="67"/>
      <c r="F3" s="67"/>
      <c r="G3" s="67"/>
    </row>
    <row r="4" customFormat="false" ht="15" hidden="false" customHeight="true" outlineLevel="0" collapsed="false">
      <c r="B4" s="10" t="s">
        <v>741</v>
      </c>
      <c r="C4" s="10" t="s">
        <v>742</v>
      </c>
      <c r="D4" s="10" t="s">
        <v>743</v>
      </c>
      <c r="E4" s="10" t="s">
        <v>333</v>
      </c>
      <c r="F4" s="10" t="s">
        <v>334</v>
      </c>
      <c r="G4" s="10" t="s">
        <v>744</v>
      </c>
    </row>
    <row r="5" customFormat="false" ht="15" hidden="false" customHeight="true" outlineLevel="0" collapsed="false">
      <c r="B5" s="4" t="s">
        <v>745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746</v>
      </c>
      <c r="C6" s="11" t="n">
        <f aca="false">Overview!D24</f>
        <v>585998.58</v>
      </c>
      <c r="D6" s="11" t="n">
        <f aca="false">'Benchmark KPIs'!D21</f>
        <v>585998.58</v>
      </c>
      <c r="E6" s="11" t="n">
        <f aca="false">C6-D6</f>
        <v>0</v>
      </c>
      <c r="F6" s="6" t="str">
        <f aca="false">IF(ABS(E6)&lt;=1,"TIES",IF(ABS(E6)&lt;=ABS(D6)*0.05,"WITHIN","OFF"))</f>
        <v>TIES</v>
      </c>
      <c r="G6" s="22" t="s">
        <v>747</v>
      </c>
    </row>
    <row r="7" customFormat="false" ht="15" hidden="false" customHeight="true" outlineLevel="0" collapsed="false">
      <c r="B7" s="5" t="s">
        <v>748</v>
      </c>
      <c r="C7" s="11" t="n">
        <v>1386419</v>
      </c>
      <c r="D7" s="11" t="n">
        <f aca="false">'Benchmark KPIs'!D16</f>
        <v>1386419</v>
      </c>
      <c r="E7" s="11" t="n">
        <f aca="false">C7-D7</f>
        <v>0</v>
      </c>
      <c r="F7" s="6" t="str">
        <f aca="false">IF(ABS(E7)&lt;=1,"TIES",IF(ABS(E7)&lt;=ABS(D7)*0.05,"WITHIN","OFF"))</f>
        <v>TIES</v>
      </c>
      <c r="G7" s="22" t="s">
        <v>749</v>
      </c>
    </row>
    <row r="8" customFormat="false" ht="15" hidden="false" customHeight="true" outlineLevel="0" collapsed="false">
      <c r="B8" s="5" t="s">
        <v>396</v>
      </c>
      <c r="C8" s="11" t="n">
        <v>800420.42</v>
      </c>
      <c r="D8" s="11" t="n">
        <f aca="false">'Benchmark KPIs'!D19</f>
        <v>800420.42</v>
      </c>
      <c r="E8" s="11" t="n">
        <f aca="false">C8-D8</f>
        <v>0</v>
      </c>
      <c r="F8" s="6" t="str">
        <f aca="false">IF(ABS(E8)&lt;=1,"TIES",IF(ABS(E8)&lt;=ABS(D8)*0.05,"WITHIN","OFF"))</f>
        <v>TIES</v>
      </c>
      <c r="G8" s="22" t="s">
        <v>749</v>
      </c>
    </row>
    <row r="9" customFormat="false" ht="15" hidden="false" customHeight="true" outlineLevel="0" collapsed="false">
      <c r="B9" s="5" t="s">
        <v>398</v>
      </c>
      <c r="C9" s="12" t="n">
        <v>0.577329378780874</v>
      </c>
      <c r="D9" s="12" t="n">
        <f aca="false">'Benchmark KPIs'!D20</f>
        <v>0.577329378780874</v>
      </c>
      <c r="E9" s="12" t="n">
        <f aca="false">C9-D9</f>
        <v>0</v>
      </c>
      <c r="F9" s="6" t="str">
        <f aca="false">IF(ABS(E9)&lt;=1,"TIES",IF(ABS(E9)&lt;=ABS(D9)*0.05,"WITHIN","OFF"))</f>
        <v>TIES</v>
      </c>
      <c r="G9" s="22" t="s">
        <v>749</v>
      </c>
    </row>
    <row r="11" customFormat="false" ht="15" hidden="false" customHeight="true" outlineLevel="0" collapsed="false">
      <c r="B11" s="4" t="s">
        <v>750</v>
      </c>
      <c r="C11" s="4"/>
      <c r="D11" s="4"/>
      <c r="E11" s="4"/>
      <c r="F11" s="4"/>
      <c r="G11" s="4"/>
    </row>
    <row r="12" customFormat="false" ht="15" hidden="false" customHeight="true" outlineLevel="0" collapsed="false">
      <c r="B12" s="5" t="s">
        <v>751</v>
      </c>
      <c r="C12" s="11" t="n">
        <f aca="false">Overview!D20</f>
        <v>196271.13</v>
      </c>
      <c r="D12" s="11" t="n">
        <f aca="false">'Cost Breakdown'!E6</f>
        <v>196271.13</v>
      </c>
      <c r="E12" s="11" t="n">
        <f aca="false">C12-D12</f>
        <v>0</v>
      </c>
      <c r="F12" s="6" t="str">
        <f aca="false">IF(ABS(E12)&lt;=1,"TIES",IF(ABS(E12)&lt;=ABS(D12)*0.05,"WITHIN","OFF"))</f>
        <v>TIES</v>
      </c>
      <c r="G12" s="22" t="s">
        <v>752</v>
      </c>
    </row>
    <row r="13" customFormat="false" ht="15" hidden="false" customHeight="true" outlineLevel="0" collapsed="false">
      <c r="B13" s="5" t="s">
        <v>753</v>
      </c>
      <c r="C13" s="11" t="n">
        <f aca="false">Overview!D21</f>
        <v>282662.77</v>
      </c>
      <c r="D13" s="11" t="n">
        <f aca="false">'Cost Breakdown'!E7</f>
        <v>282662.77</v>
      </c>
      <c r="E13" s="11" t="n">
        <f aca="false">C13-D13</f>
        <v>0</v>
      </c>
      <c r="F13" s="6" t="str">
        <f aca="false">IF(ABS(E13)&lt;=1,"TIES",IF(ABS(E13)&lt;=ABS(D13)*0.05,"WITHIN","OFF"))</f>
        <v>TIES</v>
      </c>
      <c r="G13" s="22" t="s">
        <v>752</v>
      </c>
    </row>
    <row r="14" customFormat="false" ht="15" hidden="false" customHeight="true" outlineLevel="0" collapsed="false">
      <c r="B14" s="5" t="s">
        <v>754</v>
      </c>
      <c r="C14" s="11" t="n">
        <f aca="false">Overview!D22</f>
        <v>3650.67</v>
      </c>
      <c r="D14" s="11" t="n">
        <f aca="false">'Cost Breakdown'!E8</f>
        <v>3650.67</v>
      </c>
      <c r="E14" s="11" t="n">
        <f aca="false">C14-D14</f>
        <v>0</v>
      </c>
      <c r="F14" s="6" t="str">
        <f aca="false">IF(ABS(E14)&lt;=1,"TIES",IF(ABS(E14)&lt;=ABS(D14)*0.05,"WITHIN","OFF"))</f>
        <v>TIES</v>
      </c>
      <c r="G14" s="22" t="s">
        <v>752</v>
      </c>
    </row>
    <row r="15" customFormat="false" ht="15" hidden="false" customHeight="true" outlineLevel="0" collapsed="false">
      <c r="B15" s="5" t="s">
        <v>755</v>
      </c>
      <c r="C15" s="11" t="n">
        <f aca="false">Overview!D23</f>
        <v>103414.01</v>
      </c>
      <c r="D15" s="11" t="n">
        <f aca="false">'Cost Breakdown'!E9</f>
        <v>103414.01</v>
      </c>
      <c r="E15" s="11" t="n">
        <f aca="false">C15-D15</f>
        <v>0</v>
      </c>
      <c r="F15" s="6" t="str">
        <f aca="false">IF(ABS(E15)&lt;=1,"TIES",IF(ABS(E15)&lt;=ABS(D15)*0.05,"WITHIN","OFF"))</f>
        <v>TIES</v>
      </c>
      <c r="G15" s="22" t="s">
        <v>752</v>
      </c>
    </row>
    <row r="17" customFormat="false" ht="15" hidden="false" customHeight="true" outlineLevel="0" collapsed="false">
      <c r="B17" s="4" t="s">
        <v>756</v>
      </c>
      <c r="C17" s="4"/>
      <c r="D17" s="4"/>
      <c r="E17" s="4"/>
      <c r="F17" s="4"/>
      <c r="G17" s="4"/>
    </row>
    <row r="18" customFormat="false" ht="15" hidden="false" customHeight="true" outlineLevel="0" collapsed="false">
      <c r="B18" s="5" t="s">
        <v>757</v>
      </c>
      <c r="C18" s="11" t="n">
        <f aca="false">'Budget vs Actual'!F36</f>
        <v>585998.58</v>
      </c>
      <c r="D18" s="11" t="n">
        <f aca="false">Overview!D24</f>
        <v>585998.58</v>
      </c>
      <c r="E18" s="11" t="n">
        <f aca="false">C18-D18</f>
        <v>0</v>
      </c>
      <c r="F18" s="6" t="str">
        <f aca="false">IF(ABS(E18)&lt;=1,"TIES",IF(ABS(E18)&lt;=ABS(D18)*0.05,"WITHIN","OFF"))</f>
        <v>TIES</v>
      </c>
      <c r="G18" s="22" t="s">
        <v>758</v>
      </c>
    </row>
    <row r="19" customFormat="false" ht="15" hidden="false" customHeight="true" outlineLevel="0" collapsed="false">
      <c r="B19" s="5" t="s">
        <v>759</v>
      </c>
      <c r="C19" s="11" t="n">
        <f aca="false">'Budget vs Actual'!E36</f>
        <v>977917.55</v>
      </c>
      <c r="D19" s="11" t="n">
        <f aca="false">Overview!C24</f>
        <v>977917.55</v>
      </c>
      <c r="E19" s="11" t="n">
        <f aca="false">C19-D19</f>
        <v>0</v>
      </c>
      <c r="F19" s="6" t="str">
        <f aca="false">IF(ABS(E19)&lt;=1,"TIES",IF(ABS(E19)&lt;=ABS(D19)*0.05,"WITHIN","OFF"))</f>
        <v>TIES</v>
      </c>
      <c r="G19" s="22" t="s">
        <v>758</v>
      </c>
    </row>
    <row r="21" customFormat="false" ht="15" hidden="false" customHeight="true" outlineLevel="0" collapsed="false">
      <c r="B21" s="4" t="s">
        <v>760</v>
      </c>
      <c r="C21" s="4"/>
      <c r="D21" s="4"/>
      <c r="E21" s="4"/>
      <c r="F21" s="4"/>
      <c r="G21" s="4"/>
    </row>
    <row r="22" customFormat="false" ht="15" hidden="false" customHeight="true" outlineLevel="0" collapsed="false">
      <c r="B22" s="5" t="s">
        <v>761</v>
      </c>
      <c r="C22" s="11" t="n">
        <f aca="false">Material!E17</f>
        <v>282662.77</v>
      </c>
      <c r="D22" s="11" t="n">
        <f aca="false">'Cost Breakdown'!E7</f>
        <v>282662.77</v>
      </c>
      <c r="E22" s="11" t="n">
        <f aca="false">C22-D22</f>
        <v>0</v>
      </c>
      <c r="F22" s="6" t="str">
        <f aca="false">IF(ABS(E22)&lt;=1,"TIES",IF(ABS(E22)&lt;=ABS(D22)*0.05,"WITHIN","OFF"))</f>
        <v>TIES</v>
      </c>
      <c r="G22" s="22" t="s">
        <v>762</v>
      </c>
    </row>
    <row r="23" customFormat="false" ht="15" hidden="false" customHeight="true" outlineLevel="0" collapsed="false">
      <c r="B23" s="5" t="s">
        <v>763</v>
      </c>
      <c r="C23" s="11" t="n">
        <f aca="false">'Benchmark KPIs'!D23</f>
        <v>282662.77</v>
      </c>
      <c r="D23" s="11" t="n">
        <f aca="false">'Cost Breakdown'!E7</f>
        <v>282662.77</v>
      </c>
      <c r="E23" s="11" t="n">
        <f aca="false">C23-D23</f>
        <v>0</v>
      </c>
      <c r="F23" s="6" t="str">
        <f aca="false">IF(ABS(E23)&lt;=1,"TIES",IF(ABS(E23)&lt;=ABS(D23)*0.05,"WITHIN","OFF"))</f>
        <v>TIES</v>
      </c>
      <c r="G23" s="22" t="s">
        <v>764</v>
      </c>
    </row>
    <row r="25" customFormat="false" ht="15" hidden="false" customHeight="true" outlineLevel="0" collapsed="false">
      <c r="B25" s="4" t="s">
        <v>765</v>
      </c>
      <c r="C25" s="4"/>
      <c r="D25" s="4"/>
      <c r="E25" s="4"/>
      <c r="F25" s="4"/>
      <c r="G25" s="4"/>
    </row>
    <row r="26" customFormat="false" ht="15" hidden="false" customHeight="true" outlineLevel="0" collapsed="false">
      <c r="B26" s="5" t="s">
        <v>766</v>
      </c>
      <c r="C26" s="68" t="n">
        <f aca="false">'Crew &amp; Labor'!C27</f>
        <v>9923.5</v>
      </c>
      <c r="D26" s="68" t="n">
        <f aca="false">'Benchmark KPIs'!D37</f>
        <v>9992.25</v>
      </c>
      <c r="E26" s="68" t="n">
        <f aca="false">C26-D26</f>
        <v>-68.75</v>
      </c>
      <c r="F26" s="6" t="str">
        <f aca="false">IF(ABS(E26)&lt;=5,"TIES",IF(ABS(E26)&lt;=ABS(D26)*0.05,"WITHIN","OFF"))</f>
        <v>WITHIN</v>
      </c>
      <c r="G26" s="22" t="s">
        <v>767</v>
      </c>
    </row>
    <row r="27" customFormat="false" ht="15" hidden="false" customHeight="true" outlineLevel="0" collapsed="false">
      <c r="B27" s="5" t="s">
        <v>768</v>
      </c>
      <c r="C27" s="68" t="n">
        <f aca="false">Productivity!D18</f>
        <v>9992.25</v>
      </c>
      <c r="D27" s="68" t="n">
        <f aca="false">'Benchmark KPIs'!D37</f>
        <v>9992.25</v>
      </c>
      <c r="E27" s="68" t="n">
        <f aca="false">C27-D27</f>
        <v>0</v>
      </c>
      <c r="F27" s="6" t="str">
        <f aca="false">IF(ABS(E27)&lt;=5,"TIES",IF(ABS(E27)&lt;=ABS(D27)*0.05,"WITHIN","OFF"))</f>
        <v>TIES</v>
      </c>
      <c r="G27" s="22" t="s">
        <v>769</v>
      </c>
    </row>
    <row r="28" customFormat="false" ht="15" hidden="false" customHeight="true" outlineLevel="0" collapsed="false">
      <c r="B28" s="5" t="s">
        <v>438</v>
      </c>
      <c r="C28" s="15" t="n">
        <v>22</v>
      </c>
      <c r="D28" s="15" t="n">
        <f aca="false">'Benchmark KPIs'!D38</f>
        <v>22</v>
      </c>
      <c r="E28" s="15" t="n">
        <f aca="false">C28-D28</f>
        <v>0</v>
      </c>
      <c r="F28" s="6" t="str">
        <f aca="false">IF(E28=0,"TIES",IF(ABS(E28)&lt;=1,"WITHIN","OFF"))</f>
        <v>TIES</v>
      </c>
      <c r="G28" s="22" t="s">
        <v>749</v>
      </c>
    </row>
    <row r="30" customFormat="false" ht="15" hidden="false" customHeight="true" outlineLevel="0" collapsed="false">
      <c r="B30" s="4" t="s">
        <v>770</v>
      </c>
      <c r="C30" s="4"/>
      <c r="D30" s="4"/>
      <c r="E30" s="4"/>
      <c r="F30" s="4"/>
      <c r="G30" s="4"/>
    </row>
    <row r="31" customFormat="false" ht="15" hidden="false" customHeight="true" outlineLevel="0" collapsed="false">
      <c r="B31" s="5" t="s">
        <v>215</v>
      </c>
      <c r="C31" s="18" t="n">
        <f aca="false">'Crew Analytics'!C12</f>
        <v>19.3238524714063</v>
      </c>
      <c r="D31" s="18" t="n">
        <f aca="false">'Benchmark KPIs'!D39</f>
        <v>19.1908979459081</v>
      </c>
      <c r="E31" s="18" t="n">
        <f aca="false">C31-D31</f>
        <v>0.132954525498199</v>
      </c>
      <c r="F31" s="6" t="str">
        <f aca="false">IF(ABS(E31)&lt;=1,"TIES",IF(ABS(E31)&lt;=ABS(D31)*0.05,"WITHIN","OFF"))</f>
        <v>TIES</v>
      </c>
      <c r="G31" s="22" t="s">
        <v>771</v>
      </c>
    </row>
    <row r="32" customFormat="false" ht="15" hidden="false" customHeight="true" outlineLevel="0" collapsed="false">
      <c r="B32" s="5" t="s">
        <v>217</v>
      </c>
      <c r="C32" s="18" t="n">
        <f aca="false">'Crew Analytics'!C13</f>
        <v>30.199540484708</v>
      </c>
      <c r="D32" s="18" t="n">
        <f aca="false">'Benchmark KPIs'!D40</f>
        <v>29.9917576121494</v>
      </c>
      <c r="E32" s="18" t="n">
        <f aca="false">C32-D32</f>
        <v>0.2077828725586</v>
      </c>
      <c r="F32" s="6" t="str">
        <f aca="false">IF(ABS(E32)&lt;=1,"TIES",IF(ABS(E32)&lt;=ABS(D32)*0.05,"WITHIN","OFF"))</f>
        <v>TIES</v>
      </c>
      <c r="G32" s="22" t="s">
        <v>771</v>
      </c>
    </row>
    <row r="34" customFormat="false" ht="15" hidden="false" customHeight="true" outlineLevel="0" collapsed="false">
      <c r="B34" s="4" t="s">
        <v>772</v>
      </c>
      <c r="C34" s="4"/>
      <c r="D34" s="4"/>
      <c r="E34" s="4"/>
      <c r="F34" s="4"/>
      <c r="G34" s="4"/>
    </row>
    <row r="35" customFormat="false" ht="15" hidden="false" customHeight="true" outlineLevel="0" collapsed="false">
      <c r="B35" s="5" t="s">
        <v>271</v>
      </c>
      <c r="C35" s="15" t="n">
        <f aca="false">'PO Commitments'!D13</f>
        <v>73</v>
      </c>
      <c r="D35" s="15" t="n">
        <f aca="false">'Benchmark KPIs'!D54</f>
        <v>73</v>
      </c>
      <c r="E35" s="15" t="n">
        <f aca="false">C35-D35</f>
        <v>0</v>
      </c>
      <c r="F35" s="6" t="str">
        <f aca="false">IF(E35=0,"TIES",IF(ABS(E35)&lt;=1,"WITHIN","OFF"))</f>
        <v>TIES</v>
      </c>
      <c r="G35" s="22" t="s">
        <v>773</v>
      </c>
    </row>
    <row r="37" customFormat="false" ht="15" hidden="false" customHeight="true" outlineLevel="0" collapsed="false">
      <c r="B37" s="4" t="s">
        <v>774</v>
      </c>
      <c r="C37" s="4"/>
      <c r="D37" s="4"/>
      <c r="E37" s="4"/>
      <c r="F37" s="4"/>
      <c r="G37" s="4"/>
    </row>
    <row r="38" customFormat="false" ht="15" hidden="false" customHeight="true" outlineLevel="0" collapsed="false">
      <c r="B38" s="5" t="s">
        <v>301</v>
      </c>
      <c r="C38" s="11" t="n">
        <v>1386419</v>
      </c>
      <c r="D38" s="11" t="n">
        <v>1386419</v>
      </c>
      <c r="E38" s="11" t="n">
        <f aca="false">C38-D38</f>
        <v>0</v>
      </c>
      <c r="F38" s="6" t="str">
        <f aca="false">IF(ABS(E38)&lt;=1,"TIES",IF(ABS(E38)&lt;=ABS(D38)*0.05,"WITHIN","OFF"))</f>
        <v>TIES</v>
      </c>
      <c r="G38" s="22" t="s">
        <v>775</v>
      </c>
    </row>
    <row r="39" customFormat="false" ht="15" hidden="false" customHeight="true" outlineLevel="0" collapsed="false">
      <c r="B39" s="5" t="s">
        <v>335</v>
      </c>
      <c r="C39" s="11" t="n">
        <v>69321</v>
      </c>
      <c r="D39" s="11" t="n">
        <v>69321</v>
      </c>
      <c r="E39" s="11" t="n">
        <f aca="false">C39-D39</f>
        <v>0</v>
      </c>
      <c r="F39" s="6" t="str">
        <f aca="false">IF(ABS(E39)&lt;=1,"TIES",IF(ABS(E39)&lt;=ABS(D39)*0.05,"WITHIN","OFF"))</f>
        <v>TIES</v>
      </c>
      <c r="G39" s="22" t="s">
        <v>775</v>
      </c>
    </row>
    <row r="40" customFormat="false" ht="15" hidden="false" customHeight="true" outlineLevel="0" collapsed="false">
      <c r="B40" s="5" t="s">
        <v>136</v>
      </c>
      <c r="C40" s="11" t="n">
        <v>585999</v>
      </c>
      <c r="D40" s="11" t="n">
        <v>585999</v>
      </c>
      <c r="E40" s="11" t="n">
        <f aca="false">C40-D40</f>
        <v>0</v>
      </c>
      <c r="F40" s="6" t="str">
        <f aca="false">IF(ABS(E40)&lt;=1,"TIES",IF(ABS(E40)&lt;=ABS(D40)*0.05,"WITHIN","OFF"))</f>
        <v>TIES</v>
      </c>
      <c r="G40" s="22" t="s">
        <v>775</v>
      </c>
    </row>
    <row r="42" customFormat="false" ht="15" hidden="false" customHeight="true" outlineLevel="0" collapsed="false">
      <c r="B42" s="4" t="s">
        <v>776</v>
      </c>
      <c r="C42" s="4"/>
      <c r="D42" s="4"/>
      <c r="E42" s="4"/>
      <c r="F42" s="4"/>
      <c r="G42" s="4"/>
    </row>
    <row r="43" customFormat="false" ht="15" hidden="false" customHeight="true" outlineLevel="0" collapsed="false">
      <c r="B43" s="5" t="s">
        <v>777</v>
      </c>
      <c r="C43" s="15" t="n">
        <f aca="false">Vendors!B3</f>
        <v>18</v>
      </c>
      <c r="D43" s="15" t="n">
        <f aca="false">'Benchmark KPIs'!D51</f>
        <v>18</v>
      </c>
      <c r="E43" s="15" t="n">
        <f aca="false">C43-D43</f>
        <v>0</v>
      </c>
      <c r="F43" s="6" t="str">
        <f aca="false">IF(E43=0,"TIES",IF(ABS(E43)&lt;=1,"WITHIN","OFF"))</f>
        <v>TIES</v>
      </c>
      <c r="G43" s="22" t="s">
        <v>778</v>
      </c>
    </row>
    <row r="44" customFormat="false" ht="15" hidden="false" customHeight="true" outlineLevel="0" collapsed="false">
      <c r="B44" s="5" t="s">
        <v>779</v>
      </c>
      <c r="C44" s="11" t="n">
        <f aca="false">Vendors!E27</f>
        <v>362721.85</v>
      </c>
      <c r="D44" s="11" t="n">
        <v>362722</v>
      </c>
      <c r="E44" s="11" t="n">
        <f aca="false">C44-D44</f>
        <v>-0.149999999965075</v>
      </c>
      <c r="F44" s="6" t="str">
        <f aca="false">IF(ABS(E44)&lt;=1,"TIES",IF(ABS(E44)&lt;=ABS(D44)*0.05,"WITHIN","OFF"))</f>
        <v>TIES</v>
      </c>
      <c r="G44" s="22" t="s">
        <v>780</v>
      </c>
    </row>
    <row r="46" customFormat="false" ht="15" hidden="false" customHeight="true" outlineLevel="0" collapsed="false">
      <c r="B46" s="4" t="s">
        <v>781</v>
      </c>
      <c r="C46" s="4"/>
      <c r="D46" s="4"/>
      <c r="E46" s="4"/>
      <c r="F46" s="4"/>
      <c r="G46" s="4"/>
    </row>
    <row r="47" customFormat="false" ht="15" hidden="false" customHeight="true" outlineLevel="0" collapsed="false">
      <c r="B47" s="3" t="s">
        <v>782</v>
      </c>
      <c r="C47" s="3"/>
      <c r="D47" s="3"/>
      <c r="E47" s="3"/>
      <c r="F47" s="3"/>
      <c r="G47" s="3"/>
    </row>
    <row r="48" customFormat="false" ht="15" hidden="false" customHeight="false" outlineLevel="0" collapsed="false">
      <c r="B48" s="69" t="s">
        <v>783</v>
      </c>
      <c r="C48" s="70"/>
      <c r="D48" s="70"/>
      <c r="E48" s="70"/>
      <c r="F48" s="70"/>
      <c r="G48" s="70"/>
      <c r="H48" s="71"/>
      <c r="I48" s="71"/>
    </row>
    <row r="49" customFormat="false" ht="15" hidden="false" customHeight="true" outlineLevel="0" collapsed="false">
      <c r="B49" s="72" t="s">
        <v>784</v>
      </c>
      <c r="C49" s="73" t="n">
        <v>23</v>
      </c>
      <c r="D49" s="73" t="n">
        <f aca="false">'Root Cause Analysis'!C14</f>
        <v>23</v>
      </c>
      <c r="E49" s="73" t="n">
        <f aca="false">C49-D49</f>
        <v>0</v>
      </c>
      <c r="F49" s="73" t="str">
        <f aca="false">IF(ABS(E49)&lt;=1,"TIES",IF(ABS(E49)&lt;=ABS(D49)*0.05,"WITHIN","OFF"))</f>
        <v>TIES</v>
      </c>
      <c r="G49" s="73" t="s">
        <v>785</v>
      </c>
      <c r="H49" s="71"/>
      <c r="I49" s="71"/>
    </row>
    <row r="50" customFormat="false" ht="15" hidden="false" customHeight="true" outlineLevel="0" collapsed="false">
      <c r="B50" s="72" t="s">
        <v>649</v>
      </c>
      <c r="C50" s="74" t="n">
        <f aca="false">'Change Log'!H30</f>
        <v>0</v>
      </c>
      <c r="D50" s="74" t="n">
        <f aca="false">'Root Cause Analysis'!D14</f>
        <v>0</v>
      </c>
      <c r="E50" s="73" t="n">
        <f aca="false">C50-D50</f>
        <v>0</v>
      </c>
      <c r="F50" s="73" t="str">
        <f aca="false">IF(ABS(E50)&lt;=1,"TIES",IF(ABS(E50)&lt;=ABS(D50)*0.05,"WITHIN","OFF"))</f>
        <v>TIES</v>
      </c>
      <c r="G50" s="73" t="s">
        <v>785</v>
      </c>
      <c r="H50" s="71"/>
      <c r="I50" s="71"/>
    </row>
    <row r="51" customFormat="false" ht="15" hidden="false" customHeight="true" outlineLevel="0" collapsed="false">
      <c r="B51" s="75"/>
      <c r="C51" s="71"/>
      <c r="D51" s="71"/>
      <c r="E51" s="71"/>
      <c r="F51" s="71"/>
      <c r="G51" s="71"/>
      <c r="H51" s="71"/>
      <c r="I51" s="71"/>
    </row>
    <row r="52" customFormat="false" ht="15" hidden="false" customHeight="true" outlineLevel="0" collapsed="false">
      <c r="B52" s="76" t="s">
        <v>786</v>
      </c>
      <c r="C52" s="70"/>
      <c r="D52" s="70"/>
      <c r="E52" s="70"/>
      <c r="F52" s="70"/>
      <c r="G52" s="70"/>
      <c r="H52" s="71"/>
      <c r="I52" s="71"/>
    </row>
    <row r="53" customFormat="false" ht="15" hidden="false" customHeight="true" outlineLevel="0" collapsed="false">
      <c r="B53" s="72" t="s">
        <v>787</v>
      </c>
      <c r="C53" s="73" t="n">
        <v>0</v>
      </c>
      <c r="D53" s="73" t="n">
        <f aca="false">COUNTIF('Change Log'!C6:C29,"Backcharge")</f>
        <v>0</v>
      </c>
      <c r="E53" s="73" t="n">
        <f aca="false">C53-D53</f>
        <v>0</v>
      </c>
      <c r="F53" s="73" t="str">
        <f aca="false">IF(ABS(E53)&lt;=1,"TIES",IF(ABS(E53)&lt;=ABS(D53)*0.05,"WITHIN","OFF"))</f>
        <v>TIES</v>
      </c>
      <c r="G53" s="73" t="s">
        <v>788</v>
      </c>
      <c r="H53" s="71"/>
      <c r="I53" s="71"/>
    </row>
    <row r="54" customFormat="false" ht="15" hidden="false" customHeight="true" outlineLevel="0" collapsed="false">
      <c r="B54" s="75"/>
      <c r="C54" s="71"/>
      <c r="D54" s="71"/>
      <c r="E54" s="71"/>
      <c r="F54" s="71"/>
      <c r="G54" s="71"/>
      <c r="H54" s="71"/>
      <c r="I54" s="71"/>
    </row>
    <row r="55" customFormat="false" ht="15" hidden="false" customHeight="true" outlineLevel="0" collapsed="false">
      <c r="B55" s="76" t="s">
        <v>789</v>
      </c>
      <c r="C55" s="70"/>
      <c r="D55" s="70"/>
      <c r="E55" s="70"/>
      <c r="F55" s="70"/>
      <c r="G55" s="70"/>
      <c r="H55" s="71"/>
      <c r="I55" s="71"/>
    </row>
    <row r="56" customFormat="false" ht="15" hidden="false" customHeight="true" outlineLevel="0" collapsed="false">
      <c r="B56" s="72" t="s">
        <v>790</v>
      </c>
      <c r="C56" s="77" t="n">
        <f aca="false">'Metric Registry'!E17</f>
        <v>1386419</v>
      </c>
      <c r="D56" s="77" t="n">
        <f aca="false">'Benchmark KPIs'!D18</f>
        <v>1386419</v>
      </c>
      <c r="E56" s="73" t="n">
        <f aca="false">C56-D56</f>
        <v>0</v>
      </c>
      <c r="F56" s="73" t="str">
        <f aca="false">IF(ABS(E56)&lt;=1,"TIES",IF(ABS(E56)&lt;=ABS(D56)*0.05,"WITHIN","OFF"))</f>
        <v>TIES</v>
      </c>
      <c r="G56" s="73" t="s">
        <v>791</v>
      </c>
      <c r="H56" s="71"/>
      <c r="I56" s="71"/>
    </row>
    <row r="57" customFormat="false" ht="15" hidden="false" customHeight="true" outlineLevel="0" collapsed="false">
      <c r="B57" s="72" t="s">
        <v>792</v>
      </c>
      <c r="C57" s="77" t="n">
        <f aca="false">'Metric Registry'!E12</f>
        <v>165</v>
      </c>
      <c r="D57" s="77" t="n">
        <f aca="false">'Benchmark KPIs'!D12</f>
        <v>165</v>
      </c>
      <c r="E57" s="73" t="n">
        <f aca="false">C57-D57</f>
        <v>0</v>
      </c>
      <c r="F57" s="73" t="str">
        <f aca="false">IF(ABS(E57)&lt;=1,"TIES",IF(ABS(E57)&lt;=ABS(D57)*0.05,"WITHIN","OFF"))</f>
        <v>TIES</v>
      </c>
      <c r="G57" s="73" t="s">
        <v>791</v>
      </c>
      <c r="H57" s="71"/>
      <c r="I57" s="71"/>
    </row>
    <row r="58" customFormat="false" ht="15" hidden="false" customHeight="true" outlineLevel="0" collapsed="false">
      <c r="B58" s="72" t="s">
        <v>793</v>
      </c>
      <c r="C58" s="77" t="n">
        <f aca="false">'Metric Registry'!E13</f>
        <v>803</v>
      </c>
      <c r="D58" s="77" t="n">
        <f aca="false">'Benchmark KPIs'!D13</f>
        <v>803</v>
      </c>
      <c r="E58" s="73" t="n">
        <f aca="false">C58-D58</f>
        <v>0</v>
      </c>
      <c r="F58" s="73" t="str">
        <f aca="false">IF(ABS(E58)&lt;=1,"TIES",IF(ABS(E58)&lt;=ABS(D58)*0.05,"WITHIN","OFF"))</f>
        <v>TIES</v>
      </c>
      <c r="G58" s="73" t="s">
        <v>791</v>
      </c>
      <c r="H58" s="71"/>
      <c r="I58" s="71"/>
    </row>
    <row r="59" customFormat="false" ht="15" hidden="false" customHeight="true" outlineLevel="0" collapsed="false">
      <c r="B59" s="72" t="s">
        <v>794</v>
      </c>
      <c r="C59" s="78" t="n">
        <f aca="false">'Metric Registry'!E19</f>
        <v>0.577329378780874</v>
      </c>
      <c r="D59" s="77" t="n">
        <f aca="false">'Benchmark KPIs'!D21</f>
        <v>585998.58</v>
      </c>
      <c r="E59" s="73" t="n">
        <f aca="false">C59-D59</f>
        <v>-585998.002670621</v>
      </c>
      <c r="F59" s="73" t="str">
        <f aca="false">IF(ABS(E59)&lt;=1,"TIES",IF(ABS(E59)&lt;=ABS(D59)*0.05,"WITHIN","OFF"))</f>
        <v>OFF</v>
      </c>
      <c r="G59" s="73" t="s">
        <v>791</v>
      </c>
      <c r="H59" s="71"/>
      <c r="I59" s="71"/>
    </row>
    <row r="60" customFormat="false" ht="15" hidden="false" customHeight="true" outlineLevel="0" collapsed="false">
      <c r="B60" s="72" t="s">
        <v>795</v>
      </c>
      <c r="C60" s="73" t="n">
        <f aca="false">'Metric Registry'!E30</f>
        <v>73</v>
      </c>
      <c r="D60" s="73" t="n">
        <f aca="false">'Benchmark KPIs'!D54</f>
        <v>73</v>
      </c>
      <c r="E60" s="73" t="n">
        <f aca="false">C60-D60</f>
        <v>0</v>
      </c>
      <c r="F60" s="73" t="str">
        <f aca="false">IF(ABS(E60)&lt;=1,"TIES",IF(ABS(E60)&lt;=ABS(D60)*0.05,"WITHIN","OFF"))</f>
        <v>TIES</v>
      </c>
      <c r="G60" s="73" t="s">
        <v>791</v>
      </c>
      <c r="H60" s="71"/>
      <c r="I60" s="71"/>
    </row>
    <row r="61" customFormat="false" ht="15" hidden="false" customHeight="false" outlineLevel="0" collapsed="false">
      <c r="B61" s="71"/>
      <c r="C61" s="71"/>
      <c r="D61" s="71"/>
      <c r="E61" s="71"/>
      <c r="F61" s="71"/>
      <c r="G61" s="71"/>
      <c r="H61" s="71"/>
      <c r="I61" s="71"/>
    </row>
    <row r="62" customFormat="false" ht="15" hidden="false" customHeight="false" outlineLevel="0" collapsed="false">
      <c r="B62" s="69" t="s">
        <v>796</v>
      </c>
      <c r="C62" s="70"/>
      <c r="D62" s="70"/>
      <c r="E62" s="70"/>
      <c r="F62" s="70"/>
      <c r="G62" s="70"/>
      <c r="H62" s="71"/>
      <c r="I62" s="71"/>
    </row>
    <row r="63" customFormat="false" ht="15" hidden="false" customHeight="false" outlineLevel="0" collapsed="false">
      <c r="B63" s="73" t="s">
        <v>733</v>
      </c>
      <c r="C63" s="73" t="n">
        <f aca="false">'Metric Registry'!E36</f>
        <v>0</v>
      </c>
      <c r="D63" s="73" t="n">
        <v>23</v>
      </c>
      <c r="E63" s="73" t="n">
        <f aca="false">C63-D63</f>
        <v>-23</v>
      </c>
      <c r="F63" s="73" t="str">
        <f aca="false">IF(ABS(E63)&lt;=1,"TIES",IF(ABS(E63)&lt;=ABS(D63)*0.05,"WITHIN","OFF"))</f>
        <v>OFF</v>
      </c>
      <c r="G63" s="73" t="s">
        <v>797</v>
      </c>
      <c r="H63" s="71"/>
      <c r="I63" s="71"/>
    </row>
    <row r="64" customFormat="false" ht="15" hidden="false" customHeight="false" outlineLevel="0" collapsed="false">
      <c r="B64" s="71"/>
      <c r="C64" s="71"/>
      <c r="D64" s="71"/>
      <c r="E64" s="71"/>
      <c r="F64" s="71"/>
      <c r="G64" s="71"/>
      <c r="H64" s="71"/>
      <c r="I64" s="71"/>
    </row>
    <row r="65" customFormat="false" ht="15" hidden="false" customHeight="false" outlineLevel="0" collapsed="false">
      <c r="B65" s="71"/>
      <c r="C65" s="71"/>
      <c r="D65" s="71"/>
      <c r="E65" s="71"/>
      <c r="F65" s="71"/>
      <c r="G65" s="71"/>
      <c r="H65" s="71"/>
      <c r="I65" s="71"/>
    </row>
    <row r="66" customFormat="false" ht="15" hidden="false" customHeight="false" outlineLevel="0" collapsed="false">
      <c r="B66" s="79" t="s">
        <v>64</v>
      </c>
      <c r="C66" s="80"/>
      <c r="D66" s="80"/>
      <c r="E66" s="80"/>
      <c r="F66" s="80"/>
      <c r="G66" s="80"/>
      <c r="H66" s="71"/>
      <c r="I66" s="71"/>
    </row>
    <row r="67" customFormat="false" ht="15" hidden="false" customHeight="false" outlineLevel="0" collapsed="false">
      <c r="B67" s="81" t="s">
        <v>798</v>
      </c>
      <c r="C67" s="71"/>
      <c r="D67" s="71"/>
      <c r="E67" s="71"/>
      <c r="F67" s="71"/>
      <c r="G67" s="71"/>
      <c r="H67" s="71"/>
      <c r="I67" s="71"/>
    </row>
    <row r="68" customFormat="false" ht="15" hidden="false" customHeight="false" outlineLevel="0" collapsed="false">
      <c r="B68" s="81" t="s">
        <v>799</v>
      </c>
      <c r="C68" s="71"/>
      <c r="D68" s="71"/>
      <c r="E68" s="71"/>
      <c r="F68" s="71"/>
      <c r="G68" s="71"/>
      <c r="H68" s="71"/>
      <c r="I68" s="71"/>
    </row>
    <row r="69" customFormat="false" ht="15" hidden="false" customHeight="false" outlineLevel="0" collapsed="false">
      <c r="B69" s="81" t="s">
        <v>800</v>
      </c>
      <c r="C69" s="71"/>
      <c r="D69" s="71"/>
      <c r="E69" s="71"/>
      <c r="F69" s="71"/>
      <c r="G69" s="71"/>
      <c r="H69" s="71"/>
      <c r="I69" s="71"/>
    </row>
    <row r="70" customFormat="false" ht="15" hidden="false" customHeight="false" outlineLevel="0" collapsed="false">
      <c r="B70" s="82" t="s">
        <v>801</v>
      </c>
    </row>
    <row r="71" customFormat="false" ht="15" hidden="false" customHeight="false" outlineLevel="0" collapsed="false">
      <c r="B71" s="82" t="s">
        <v>802</v>
      </c>
    </row>
    <row r="72" customFormat="false" ht="15" hidden="false" customHeight="false" outlineLevel="0" collapsed="false">
      <c r="B72" s="82" t="s">
        <v>803</v>
      </c>
    </row>
    <row r="73" customFormat="false" ht="15" hidden="false" customHeight="false" outlineLevel="0" collapsed="false">
      <c r="B73" s="82" t="s">
        <v>804</v>
      </c>
    </row>
    <row r="74" customFormat="false" ht="15" hidden="false" customHeight="false" outlineLevel="0" collapsed="false">
      <c r="B74" s="82" t="s">
        <v>805</v>
      </c>
    </row>
  </sheetData>
  <mergeCells count="13">
    <mergeCell ref="B2:G2"/>
    <mergeCell ref="B3:G3"/>
    <mergeCell ref="B5:G5"/>
    <mergeCell ref="B11:G11"/>
    <mergeCell ref="B17:G17"/>
    <mergeCell ref="B21:G21"/>
    <mergeCell ref="B25:G25"/>
    <mergeCell ref="B30:G30"/>
    <mergeCell ref="B34:G34"/>
    <mergeCell ref="B37:G37"/>
    <mergeCell ref="B42:G42"/>
    <mergeCell ref="B46:G46"/>
    <mergeCell ref="B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2026-04-12T22:58:03Z</dcterms:created>
  <dc:creator>openpyxl</dc:creator>
  <dc:description/>
  <dc:language>en-US</dc:language>
  <cp:lastModifiedBy/>
  <dcterms:modified xsi:type="dcterms:W3CDTF">2026-04-13T20:45:31Z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