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<sst xmlns="http://schemas.openxmlformats.org/spreadsheetml/2006/main" count="1575" uniqueCount="803">
  <si>
    <t xml:space="preserve">Job #2021 · Exxel Pacific Admiral East Apartments</t>
  </si>
  <si>
    <t xml:space="preserve">Cortex JCR Summary  •  Exxel Pacific, Inc.  •  Seattle, WA (2600 SW Admiral Way, West Seattle)  •  5-story 182-unit multifamily apartments + retail/garage  •  Feb 2015 – Aug 2016 (~19 months)</t>
  </si>
  <si>
    <t xml:space="preserve">PROJECT OVERVIEW</t>
  </si>
  <si>
    <t xml:space="preserve">Project Job #</t>
  </si>
  <si>
    <t xml:space="preserve">2021</t>
  </si>
  <si>
    <t xml:space="preserve">Project Name:</t>
  </si>
  <si>
    <t xml:space="preserve">Exxel Pacific Admiral East Apartments</t>
  </si>
  <si>
    <t xml:space="preserve">General Contractor</t>
  </si>
  <si>
    <t xml:space="preserve">Exxel Pacific, Inc.</t>
  </si>
  <si>
    <t xml:space="preserve">Location</t>
  </si>
  <si>
    <t xml:space="preserve">Seattle, WA (2600 SW Admiral Way, West Seattle)</t>
  </si>
  <si>
    <t xml:space="preserve">Project Duration</t>
  </si>
  <si>
    <t xml:space="preserve">Feb 2015 – Aug 2016 (~19 months)</t>
  </si>
  <si>
    <t xml:space="preserve">Total Unique Documents</t>
  </si>
  <si>
    <t xml:space="preserve">Admiral folder: Contract (OCR), Billing (aggregate + 17 SOVs), PO_s (trim consolidated + level-specific), Change Orders, Invoices, Vendor Quotes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</si>
  <si>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</si>
  <si>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</si>
  <si>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</si>
  <si>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</si>
  <si>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$1,581,818</t>
  </si>
  <si>
    <t xml:space="preserve">$448,741</t>
  </si>
  <si>
    <t xml:space="preserve">$1,133,077</t>
  </si>
  <si>
    <t xml:space="preserve">19,800</t>
  </si>
  <si>
    <t xml:space="preserve">Original $1,558,650 + $23,168 COs</t>
  </si>
  <si>
    <t xml:space="preserve">28.4% margin</t>
  </si>
  <si>
    <t xml:space="preserve">71.6% of revenue</t>
  </si>
  <si>
    <t xml:space="preserve">40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</si>
  <si>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</si>
  <si>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</si>
  <si>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</si>
  <si>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</si>
  <si>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</si>
  <si>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</si>
  <si>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</si>
  <si>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</si>
  <si>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</si>
  <si>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</si>
  <si>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</si>
  <si>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</si>
  <si>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</si>
  <si>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</si>
  <si>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</si>
  <si>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</si>
  <si>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182</t>
  </si>
  <si>
    <t xml:space="preserve">Standard Units</t>
  </si>
  <si>
    <t xml:space="preserve">171</t>
  </si>
  <si>
    <t xml:space="preserve">ADA Units</t>
  </si>
  <si>
    <t xml:space="preserve">11</t>
  </si>
  <si>
    <t xml:space="preserve">Water Closets</t>
  </si>
  <si>
    <t xml:space="preserve">Lav Faucets</t>
  </si>
  <si>
    <t xml:space="preserve">Kitchen Faucets</t>
  </si>
  <si>
    <t xml:space="preserve">138</t>
  </si>
  <si>
    <t xml:space="preserve">Tub/Shower Valves</t>
  </si>
  <si>
    <t xml:space="preserve">159</t>
  </si>
  <si>
    <t xml:space="preserve">Shower Only</t>
  </si>
  <si>
    <t xml:space="preserve">21</t>
  </si>
  <si>
    <t xml:space="preserve">Total Fixtures</t>
  </si>
  <si>
    <t xml:space="preserve">891</t>
  </si>
  <si>
    <t xml:space="preserve">Fixtures / Unit</t>
  </si>
  <si>
    <t xml:space="preserve">4.90</t>
  </si>
  <si>
    <t xml:space="preserve">Floors</t>
  </si>
  <si>
    <t xml:space="preserve">L1 garage/retail + L2–L5 residential</t>
  </si>
  <si>
    <t xml:space="preserve">Duration</t>
  </si>
  <si>
    <t xml:space="preserve">19 mo</t>
  </si>
  <si>
    <t xml:space="preserve">SOURCES</t>
  </si>
  <si>
    <t xml:space="preserve">Job #2021 — Exxel Pacific Admiral East Apartments  •  GC: Exxel Pacific, Inc.  •  2600 SW Admiral Way, West Seattle</t>
  </si>
  <si>
    <t xml:space="preserve">Canonical source: 2021 Job Detail Report.pdf (189 pages, OWP Sage Timberline export)</t>
  </si>
  <si>
    <t xml:space="preserve">Cost codes parsed: 25</t>
  </si>
  <si>
    <t xml:space="preserve">Unit count (182) confirmed by ADMIRAL TRIM - KELLER.xlsx SUMMATION:</t>
  </si>
  <si>
    <t xml:space="preserve">  • 171 Gerber 21-962 standard elongated toilets</t>
  </si>
  <si>
    <t xml:space="preserve">  • 11 Gerber 21-928 ADA elongated toilets</t>
  </si>
  <si>
    <t xml:space="preserve">  • 182 Delta 559LF-PP lav faucets (one per unit)</t>
  </si>
  <si>
    <t xml:space="preserve">  • 159 tub/shower + 21 shower-only = 180 bathing fixtures</t>
  </si>
  <si>
    <t xml:space="preserve">  • 138 kitchen faucets (44 fewer than units — studio/SRO variants)</t>
  </si>
  <si>
    <t xml:space="preserve">Contract: Admiral Contract executed - OCR_d.pdf (Exxel Pacific GC)</t>
  </si>
  <si>
    <t xml:space="preserve">Billing: ADMIRAL AGGREGATE BILLING.xlsx (17 pay apps Feb 2015 – Aug 2016) + 17 SOV files</t>
  </si>
  <si>
    <t xml:space="preserve">Final contract $1,581,818 (original $1,558,650 + $23,168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</si>
  <si>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</si>
  <si>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</si>
  <si>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</si>
  <si>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</si>
  <si>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</si>
  <si>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</si>
  <si>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</si>
  <si>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</si>
  <si>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</si>
  <si>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</si>
  <si>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</si>
  <si>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</si>
  <si>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</si>
  <si>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</si>
  <si>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</si>
  <si>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</si>
  <si>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</si>
  <si>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</si>
  <si>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</si>
  <si>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</si>
  <si>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</si>
  <si>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</si>
  <si>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</si>
  <si>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</si>
  <si>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</si>
  <si>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</si>
  <si>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</si>
  <si>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</si>
  <si>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</si>
  <si>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</si>
  <si>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</si>
  <si>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</si>
  <si>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</si>
  <si>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</si>
  <si>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</si>
  <si>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</si>
  <si>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</si>
  <si>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</si>
  <si>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</si>
  <si>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</si>
  <si>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</si>
  <si>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</si>
  <si>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</si>
  <si>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</si>
  <si>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244</t>
  </si>
  <si>
    <t xml:space="preserve">Fire Caulking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</si>
  <si>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</si>
  <si>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</si>
  <si>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</si>
  <si>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</si>
  <si>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</si>
  <si>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</si>
  <si>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</si>
  <si>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</si>
  <si>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</si>
  <si>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</si>
  <si>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</si>
  <si>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</si>
  <si>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</si>
  <si>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</si>
  <si>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</si>
  <si>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</si>
  <si>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</si>
  <si>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</si>
  <si>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</si>
  <si>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</si>
  <si>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</si>
  <si>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</si>
  <si>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</si>
  <si>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</si>
  <si>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9 material cost codes  •  $423,924 JDR material  •  21 AP vendors  •  $436,423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</si>
  <si>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</si>
  <si>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</si>
  <si>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</si>
  <si>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</si>
  <si>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</si>
  <si>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</si>
  <si>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</si>
  <si>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</si>
  <si>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</si>
  <si>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</si>
  <si>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Rosen Supply Company</t>
  </si>
  <si>
    <t xml:space="preserve">Keller Supply Company</t>
  </si>
  <si>
    <t xml:space="preserve">Franklin Engineering</t>
  </si>
  <si>
    <t xml:space="preserve">Mechanical Sales, Inc.</t>
  </si>
  <si>
    <t xml:space="preserve">Specification Sales, Inc.</t>
  </si>
  <si>
    <t xml:space="preserve">Bank of America CC</t>
  </si>
  <si>
    <t xml:space="preserve">Core &amp; Main LP</t>
  </si>
  <si>
    <t xml:space="preserve">Scan2Core, Inc.</t>
  </si>
  <si>
    <t xml:space="preserve">Quality Concrete Products, Inc.</t>
  </si>
  <si>
    <t xml:space="preserve">Manor Hardware &amp; Construction Supply</t>
  </si>
  <si>
    <t xml:space="preserve">Capital One Credit Card</t>
  </si>
  <si>
    <t xml:space="preserve">Rosen Supply Kirkland</t>
  </si>
  <si>
    <t xml:space="preserve">Consolidated Supply Co.</t>
  </si>
  <si>
    <t xml:space="preserve">C.M. Hoskins Company</t>
  </si>
  <si>
    <t xml:space="preserve">ACME Corp</t>
  </si>
  <si>
    <t xml:space="preserve">Ferguson Enterprises, Inc. #3007</t>
  </si>
  <si>
    <t xml:space="preserve">Kele, Inc</t>
  </si>
  <si>
    <t xml:space="preserve">Beacon Building Products</t>
  </si>
  <si>
    <t xml:space="preserve">Rosen Supply Company, Inc.</t>
  </si>
  <si>
    <t xml:space="preserve">A.R. Brown Backflow Testing</t>
  </si>
  <si>
    <t xml:space="preserve">Vendor AP ties to JDR 'by Source: AP' line (436,423.47)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</si>
  <si>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</si>
  <si>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</si>
  <si>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</si>
  <si>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</si>
  <si>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</si>
  <si>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</si>
  <si>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Gonzalez Hernandez, Josue</t>
  </si>
  <si>
    <t xml:space="preserve">Mid</t>
  </si>
  <si>
    <t xml:space="preserve">Quintanilla, Esteban R</t>
  </si>
  <si>
    <t xml:space="preserve">Senior</t>
  </si>
  <si>
    <t xml:space="preserve">Rivera, Jorge A</t>
  </si>
  <si>
    <t xml:space="preserve">Montenegro, Carlos E</t>
  </si>
  <si>
    <t xml:space="preserve">Palma Vides, Hugo</t>
  </si>
  <si>
    <t xml:space="preserve">Palma Vides, Jorge A</t>
  </si>
  <si>
    <t xml:space="preserve">Apprentice</t>
  </si>
  <si>
    <t xml:space="preserve">Lima Romero, Melvin A</t>
  </si>
  <si>
    <t xml:space="preserve">Benites Portillo, Marvin E</t>
  </si>
  <si>
    <t xml:space="preserve">Castro Hernandez, Jose A</t>
  </si>
  <si>
    <t xml:space="preserve">Rodriguez Bonilla, Lisandro</t>
  </si>
  <si>
    <t xml:space="preserve">Galdamez, Dagoberto A</t>
  </si>
  <si>
    <t xml:space="preserve">Reyes, Robert J</t>
  </si>
  <si>
    <t xml:space="preserve">Sepulveda Gonzalez, Alfredo</t>
  </si>
  <si>
    <t xml:space="preserve">Reyes Cruz, Denis A</t>
  </si>
  <si>
    <t xml:space="preserve">Aguilar Rivas, Henry</t>
  </si>
  <si>
    <t xml:space="preserve">Cruz Reyes, Jose</t>
  </si>
  <si>
    <t xml:space="preserve">Cruz Guzman, Joel A</t>
  </si>
  <si>
    <t xml:space="preserve">Gerard, Jeffrey S</t>
  </si>
  <si>
    <t xml:space="preserve">Sanders, Allen O</t>
  </si>
  <si>
    <t xml:space="preserve">Eliassen, Cory H</t>
  </si>
  <si>
    <t xml:space="preserve">Alba Jimenez, Jovani</t>
  </si>
  <si>
    <t xml:space="preserve">Spears, Gregory M</t>
  </si>
  <si>
    <t xml:space="preserve">Hubbard, Robert W</t>
  </si>
  <si>
    <t xml:space="preserve">Lovo, German G</t>
  </si>
  <si>
    <t xml:space="preserve">Vaughan, Tyler J</t>
  </si>
  <si>
    <t xml:space="preserve">Monico Brambila, Jesus S</t>
  </si>
  <si>
    <t xml:space="preserve">Alba Martinez, Santiago</t>
  </si>
  <si>
    <t xml:space="preserve">Donelson, Richard T</t>
  </si>
  <si>
    <t xml:space="preserve">Meza Fuentes, Erick A</t>
  </si>
  <si>
    <t xml:space="preserve">Gerard, Mitchell J</t>
  </si>
  <si>
    <t xml:space="preserve">Anzora, William</t>
  </si>
  <si>
    <t xml:space="preserve">Gerard, Jordan E</t>
  </si>
  <si>
    <t xml:space="preserve">Waites, Thaddeus Z</t>
  </si>
  <si>
    <t xml:space="preserve">McCabe, Thomas C</t>
  </si>
  <si>
    <t xml:space="preserve">Cortes Sepulveda, Jose R</t>
  </si>
  <si>
    <t xml:space="preserve">Hubbard, Dustin R</t>
  </si>
  <si>
    <t xml:space="preserve">Balderas Ortiz, Ricardo I</t>
  </si>
  <si>
    <t xml:space="preserve">Taylor, Evan R</t>
  </si>
  <si>
    <t xml:space="preserve">Barnhart, Joseph N</t>
  </si>
  <si>
    <t xml:space="preserve">Gardner, Andrew M</t>
  </si>
  <si>
    <t xml:space="preserve">TOTAL (40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</si>
  <si>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</si>
  <si>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</si>
  <si>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</si>
  <si>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</si>
  <si>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</si>
  <si>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</si>
  <si>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</si>
  <si>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</si>
  <si>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</si>
  <si>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</si>
  <si>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</si>
  <si>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</si>
  <si>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</si>
  <si>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</si>
  <si>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</si>
  <si>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</si>
  <si>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</si>
  <si>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</si>
  <si>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</si>
  <si>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</si>
  <si>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</si>
  <si>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</si>
  <si>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</si>
  <si>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</si>
  <si>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</si>
  <si>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</si>
  <si>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</si>
  <si>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</si>
  <si>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</si>
  <si>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</si>
  <si>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</si>
  <si>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</si>
  <si>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</si>
  <si>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</si>
  <si>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</si>
  <si>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</si>
  <si>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</si>
  <si>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</si>
  <si>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</si>
  <si>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</si>
  <si>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</si>
  <si>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</si>
  <si>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</si>
  <si>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</si>
  <si>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</si>
  <si>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</si>
  <si>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</si>
  <si>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</si>
  <si>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</si>
  <si>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</si>
  <si>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</si>
  <si>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</si>
  <si>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</si>
  <si>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</si>
  <si>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</si>
  <si>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</si>
  <si>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177 unique POs  •  PO amounts not dollar-parsed from individual PDFs  •  JDR material $423,924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</si>
  <si>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</si>
  <si>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</si>
  <si>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</si>
  <si>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</si>
  <si>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</si>
  <si>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</si>
  <si>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</si>
  <si>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</si>
  <si>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</si>
  <si>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</si>
  <si>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</si>
  <si>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</si>
  <si>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</si>
  <si>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</si>
  <si>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</si>
  <si>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</si>
  <si>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</si>
  <si>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</si>
  <si>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</si>
  <si>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FEI</t>
  </si>
  <si>
    <t xml:space="preserve">ROSEN</t>
  </si>
  <si>
    <t xml:space="preserve">KELLER</t>
  </si>
  <si>
    <t xml:space="preserve">MANOR</t>
  </si>
  <si>
    <t xml:space="preserve">CONSOLIDATED</t>
  </si>
  <si>
    <t xml:space="preserve">MECH SALES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</si>
  <si>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</si>
  <si>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</si>
  <si>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</si>
  <si>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</si>
  <si>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</si>
  <si>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</si>
  <si>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</si>
  <si>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17 pay applications  •  Feb 2015 – Aug 2016  •  $1,581,818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</si>
  <si>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</si>
  <si>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</si>
  <si>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</si>
  <si>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</si>
  <si>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</si>
  <si>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</si>
  <si>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</si>
  <si>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</si>
  <si>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</si>
  <si>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</si>
  <si>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</si>
  <si>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</si>
  <si>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</si>
  <si>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</si>
  <si>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2015-02-19</t>
  </si>
  <si>
    <t xml:space="preserve">2015-04-20</t>
  </si>
  <si>
    <t xml:space="preserve">2015-05-19</t>
  </si>
  <si>
    <t xml:space="preserve">2015-06-18</t>
  </si>
  <si>
    <t xml:space="preserve">2015-07-20</t>
  </si>
  <si>
    <t xml:space="preserve">2015-08-20</t>
  </si>
  <si>
    <t xml:space="preserve">2015-09-18</t>
  </si>
  <si>
    <t xml:space="preserve">2015-10-20</t>
  </si>
  <si>
    <t xml:space="preserve">2015-11-16</t>
  </si>
  <si>
    <t xml:space="preserve">2015-12-16</t>
  </si>
  <si>
    <t xml:space="preserve">2016-01-20</t>
  </si>
  <si>
    <t xml:space="preserve">2016-02-19</t>
  </si>
  <si>
    <t xml:space="preserve">2016-03-18</t>
  </si>
  <si>
    <t xml:space="preserve">2016-04-20</t>
  </si>
  <si>
    <t xml:space="preserve">2016-05-20</t>
  </si>
  <si>
    <t xml:space="preserve">2016-06-20</t>
  </si>
  <si>
    <t xml:space="preserve">2016-08-19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</si>
  <si>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</si>
  <si>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</si>
  <si>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</si>
  <si>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</si>
  <si>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</si>
  <si>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</si>
  <si>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#2021 Exxel Pacific Admiral East Apartments</t>
  </si>
  <si>
    <t xml:space="preserve">Narrative observations distilled from the full JDR analysis</t>
  </si>
  <si>
    <t xml:space="preserve">MARGIN PROFILE</t>
  </si>
  <si>
    <t xml:space="preserve">Net profit of $448,741 on $1,581,818 revenue = 28.4% gross margin. Direct cost $1,133,077 absorbs 71.6% of revenue.</t>
  </si>
  <si>
    <t xml:space="preserve">VENDOR CONCENTRATION</t>
  </si>
  <si>
    <t xml:space="preserve">Ferguson Enterprises, Inc. alone = $121,504 (28% of all AP) across 82 invoices. Total 21 AP vendors, $436,423 total AP spend.</t>
  </si>
  <si>
    <t xml:space="preserve">CREW PROFILE</t>
  </si>
  <si>
    <t xml:space="preserve">40 workers for 19,800 hours = 495 avg hrs/worker. Top 3 workers logged 4,544 hrs combined (23% of all labor).</t>
  </si>
  <si>
    <t xml:space="preserve">ROUGHIN DOMINANCE</t>
  </si>
  <si>
    <t xml:space="preserve">Code 120 Roughin Labor = 11,448 hrs (58% of all labor) and $232,286 actual. Code 230 Finish Material = $202,740 — 18% of total direct cost.</t>
  </si>
  <si>
    <t xml:space="preserve">BUDGET DELIVERY</t>
  </si>
  <si>
    <t xml:space="preserve">Revised budget was $1,145,297; actual direct cost $1,133,077 → $12,221 variance (1.1% under revised budget).</t>
  </si>
  <si>
    <t xml:space="preserve">CONTRACT GROWTH</t>
  </si>
  <si>
    <t xml:space="preserve">Contract grew from $1,558,650 to $1,581,818 — net +$23,168 (1.5%). Retainage of $79,091 (5%) withheld until closeout.</t>
  </si>
  <si>
    <t xml:space="preserve">BURDEN RATIO</t>
  </si>
  <si>
    <t xml:space="preserve">Burden codes 995 + 998 = $213,083 on $429,423 labor base = 49.6%. In line with OWP's typical 48–50% labor burden.</t>
  </si>
  <si>
    <t xml:space="preserve">PROJECT SCALE</t>
  </si>
  <si>
    <t xml:space="preserve">182 units · 891 fixtures · 19 months. Revenue/unit $8,691, hours/unit 108.8, profit/unit $2,466.</t>
  </si>
  <si>
    <t xml:space="preserve">PRODUCTIVITY</t>
  </si>
  <si>
    <t xml:space="preserve">Blended labor rate $21.69/hr. Revenue/hour $80. Profit/hour $23. 1,042 hrs/month burn rate.</t>
  </si>
  <si>
    <t xml:space="preserve">FIXTURE DENSITY</t>
  </si>
  <si>
    <t xml:space="preserve">891 fixtures ÷ 182 units = 4.90 fixtures/unit. Material/fixture $476, labor/fixture $482.</t>
  </si>
  <si>
    <t xml:space="preserve">BIGGEST QUESTION</t>
  </si>
  <si>
    <t xml:space="preserve">How does this job's 28.4%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</si>
  <si>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</si>
  <si>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</si>
  <si>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</si>
  <si>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</si>
  <si>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</si>
  <si>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</si>
  <si>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</si>
  <si>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</si>
  <si>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</si>
  <si>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</si>
  <si>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</si>
  <si>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</si>
  <si>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</si>
  <si>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</si>
  <si>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</si>
  <si>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</si>
  <si>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</si>
  <si>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</si>
  <si>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5-story 182-unit multifamily apartments + retail/garage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</si>
  <si>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</si>
  <si>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</si>
  <si>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</si>
  <si>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</si>
  <si>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</si>
  <si>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</si>
  <si>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</si>
  <si>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</si>
  <si>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</si>
  <si>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</si>
  <si>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</si>
  <si>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</si>
  <si>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</si>
  <si>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</si>
  <si>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</si>
  <si>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</si>
  <si>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</si>
  <si>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</si>
  <si>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</si>
  <si>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</si>
  <si>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</si>
  <si>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</si>
  <si>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</si>
  <si>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</si>
  <si>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10 labor codes</t>
  </si>
  <si>
    <t xml:space="preserve">Material Cost</t>
  </si>
  <si>
    <t xml:space="preserve">material_cost</t>
  </si>
  <si>
    <t xml:space="preserve">Sum of 9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</si>
  <si>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</si>
  <si>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</si>
  <si>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</si>
  <si>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</si>
  <si>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</si>
  <si>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</si>
  <si>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</si>
  <si>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</si>
  <si>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</si>
  <si>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</si>
  <si>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</si>
  <si>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</si>
  <si>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</si>
  <si>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</si>
  <si>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</si>
  <si>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</si>
  <si>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</si>
  <si>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</si>
  <si>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</si>
  <si>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</si>
  <si>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</si>
  <si>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</si>
  <si>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</si>
  <si>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</si>
  <si>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</si>
  <si>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</si>
  <si>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</si>
  <si>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</si>
  <si>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</si>
  <si>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</si>
  <si>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</si>
  <si>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</si>
  <si>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</si>
  <si>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</si>
  <si>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</si>
  <si>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</si>
  <si>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</si>
  <si>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</si>
  <si>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</si>
  <si>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</si>
  <si>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</si>
  <si>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</si>
  <si>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</si>
  <si>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</si>
  <si>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</si>
  <si>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</si>
  <si>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</si>
  <si>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</si>
  <si>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</si>
  <si>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</si>
  <si>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</si>
  <si>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</si>
  <si>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</si>
  <si>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</si>
  <si>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</si>
  <si>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</si>
  <si>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</si>
  <si>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</si>
  <si>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</si>
  <si>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</si>
  <si>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</si>
  <si>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</si>
  <si>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</si>
  <si>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</si>
  <si>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</si>
  <si>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</si>
  <si>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</si>
  <si>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</si>
  <si>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</si>
  <si>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</si>
  <si>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</si>
  <si>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</si>
  <si>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</si>
  <si>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</si>
  <si>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</si>
  <si>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</si>
  <si>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(18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</si>
  <si>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</si>
  <si>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</si>
  <si>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</si>
  <si>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</si>
  <si>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</si>
  <si>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</si>
  <si>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</si>
  <si>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COR-001</t>
  </si>
  <si>
    <t xml:space="preserve">COR</t>
  </si>
  <si>
    <t xml:space="preserve">2015-05-15</t>
  </si>
  <si>
    <t xml:space="preserve">100% CD Set drawings coordination</t>
  </si>
  <si>
    <t xml:space="preserve">Sub (OWP)</t>
  </si>
  <si>
    <t xml:space="preserve">Approved</t>
  </si>
  <si>
    <t xml:space="preserve">2021-Exxel, Admiral/Change Orders/COR_s/COR #01 100% CD Drawings.pdf</t>
  </si>
  <si>
    <t xml:space="preserve">COR-002</t>
  </si>
  <si>
    <t xml:space="preserve">2015-07-17</t>
  </si>
  <si>
    <t xml:space="preserve">ASI-009 gas line to retail area</t>
  </si>
  <si>
    <t xml:space="preserve">ASI-009</t>
  </si>
  <si>
    <t xml:space="preserve">2021-Exxel, Admiral/Change Orders/COR_s/COR #02 ASI-009 Gas Line.pdf</t>
  </si>
  <si>
    <t xml:space="preserve">CO-003</t>
  </si>
  <si>
    <t xml:space="preserve">CO</t>
  </si>
  <si>
    <t xml:space="preserve">2015-08-18</t>
  </si>
  <si>
    <t xml:space="preserve">Fiberfab shower unit substitution (21 units) per RFI-035</t>
  </si>
  <si>
    <t xml:space="preserve">GC (Exxel)</t>
  </si>
  <si>
    <t xml:space="preserve">RFI-035</t>
  </si>
  <si>
    <t xml:space="preserve">Signed</t>
  </si>
  <si>
    <t xml:space="preserve">2021-Exxel, Admiral/Change Orders/CO_s/Admiral CO #03 Fiberfab showers.pdf</t>
  </si>
  <si>
    <t xml:space="preserve">COR-004</t>
  </si>
  <si>
    <t xml:space="preserve">Fiberfab shower units — pricing (21 units)</t>
  </si>
  <si>
    <t xml:space="preserve">RFI-035;CO-003</t>
  </si>
  <si>
    <t xml:space="preserve">2021-Exxel, Admiral/Change Orders/COR_s/COR #04 Fiberfab Showers.pdf</t>
  </si>
  <si>
    <t xml:space="preserve">COR-005</t>
  </si>
  <si>
    <t xml:space="preserve">2015-09-10</t>
  </si>
  <si>
    <t xml:space="preserve">ASI-021 Fire bowl gas line</t>
  </si>
  <si>
    <t xml:space="preserve">ASI-021</t>
  </si>
  <si>
    <t xml:space="preserve">2021-Exxel, Admiral/Change Orders/COR_s/COR #05 ASI-021 Fire Bowl.pdf</t>
  </si>
  <si>
    <t xml:space="preserve">CO-006</t>
  </si>
  <si>
    <t xml:space="preserve">2015-10-05</t>
  </si>
  <si>
    <t xml:space="preserve">Plumbing acoustics per RFI-036 (SSA Acoustic recommendations)</t>
  </si>
  <si>
    <t xml:space="preserve">RFI-036</t>
  </si>
  <si>
    <t xml:space="preserve">2021-Exxel, Admiral/Change Orders/CO_s/Admiral CO #06 Acoustics.pdf</t>
  </si>
  <si>
    <t xml:space="preserve">CO-005</t>
  </si>
  <si>
    <t xml:space="preserve">2015-09-25</t>
  </si>
  <si>
    <t xml:space="preserve">Fixture revisions (RFI-051, 078, 098 — kitchen dimensions, fixture revisions)</t>
  </si>
  <si>
    <t xml:space="preserve">RFI-051;RFI-078;RFI-098</t>
  </si>
  <si>
    <t xml:space="preserve">2021-Exxel, Admiral/Change Orders/CO_s/Admiral CO #05 Fixture Revisions.pdf</t>
  </si>
  <si>
    <t xml:space="preserve">COR-009</t>
  </si>
  <si>
    <t xml:space="preserve">2016-02-10</t>
  </si>
  <si>
    <t xml:space="preserve">Roof drain at Building C per RFI-122</t>
  </si>
  <si>
    <t xml:space="preserve">RFI-122</t>
  </si>
  <si>
    <t xml:space="preserve">2021-Exxel, Admiral/Change Orders/COR_s/COR #09 RFI-122 Roof Drain.pdf</t>
  </si>
  <si>
    <t xml:space="preserve">COR-011</t>
  </si>
  <si>
    <t xml:space="preserve">2016-05-15</t>
  </si>
  <si>
    <t xml:space="preserve">Roof drain change at Unit C512 per RFI-162</t>
  </si>
  <si>
    <t xml:space="preserve">RFI-162</t>
  </si>
  <si>
    <t xml:space="preserve">2021-Exxel, Admiral/Change Orders/COR_s/COR #11 RFI-162 C512 Roof Drain.pdf</t>
  </si>
  <si>
    <t xml:space="preserve">TM-SEWER-BACKUP</t>
  </si>
  <si>
    <t xml:space="preserve">T&amp;M</t>
  </si>
  <si>
    <t xml:space="preserve">2016-09-07</t>
  </si>
  <si>
    <t xml:space="preserve">Sewer backup field incident — T&amp;M response (1-day schedule impact)</t>
  </si>
  <si>
    <t xml:space="preserve">Field (OWP)</t>
  </si>
  <si>
    <t xml:space="preserve">Invoiced</t>
  </si>
  <si>
    <t xml:space="preserve">2021-Exxel, Admiral/Invoices/ (sewer backup invoice Sept 2016)</t>
  </si>
  <si>
    <t xml:space="preserve">RFI-004</t>
  </si>
  <si>
    <t xml:space="preserve">RFI</t>
  </si>
  <si>
    <t xml:space="preserve">2015</t>
  </si>
  <si>
    <t xml:space="preserve">Structural — beam holes</t>
  </si>
  <si>
    <t xml:space="preserve">Sub</t>
  </si>
  <si>
    <t xml:space="preserve">Closed</t>
  </si>
  <si>
    <t xml:space="preserve">2021-Exxel, Admiral/ASI-RFI/RFI-004</t>
  </si>
  <si>
    <t xml:space="preserve">Fiberfab shower substitution (21 units)</t>
  </si>
  <si>
    <t xml:space="preserve">2021-Exxel, Admiral/ASI-RFI/RFI-035</t>
  </si>
  <si>
    <t xml:space="preserve">SSA Acoustic recommendations</t>
  </si>
  <si>
    <t xml:space="preserve">2021-Exxel, Admiral/ASI-RFI/RFI-036</t>
  </si>
  <si>
    <t xml:space="preserve">RFI-054</t>
  </si>
  <si>
    <t xml:space="preserve">Domestic water routing conflict</t>
  </si>
  <si>
    <t xml:space="preserve">2021-Exxel, Admiral/ASI-RFI/RFI-054</t>
  </si>
  <si>
    <t xml:space="preserve">2016</t>
  </si>
  <si>
    <t xml:space="preserve">Roof drain at Building C</t>
  </si>
  <si>
    <t xml:space="preserve">2021-Exxel, Admiral/ASI-RFI/RFI-122</t>
  </si>
  <si>
    <t xml:space="preserve">Roof drain change Unit C512</t>
  </si>
  <si>
    <t xml:space="preserve">2021-Exxel, Admiral/ASI-RFI/RFI-162</t>
  </si>
  <si>
    <t xml:space="preserve">ADMIRAL-NORTH</t>
  </si>
  <si>
    <t xml:space="preserve">Memo</t>
  </si>
  <si>
    <t xml:space="preserve">2015-2016</t>
  </si>
  <si>
    <t xml:space="preserve">Admiral North (Admiral 2) sister contract — 3 COs + 3 CORs totaling ~$13,157; partial docs only; RFI/ASI folder empty.</t>
  </si>
  <si>
    <t xml:space="preserve">OWP</t>
  </si>
  <si>
    <t xml:space="preserve">Informational</t>
  </si>
  <si>
    <t xml:space="preserve">2021-Exxel, Admiral 2/Change Orders/</t>
  </si>
  <si>
    <t xml:space="preserve">DOC-GAP-CO-DETAIL</t>
  </si>
  <si>
    <t xml:space="preserve">GAP: CO #7-#11 lack detailed cost/schedule extraction; budget transfer docs only partially reviewed; AEA-RFI series (32+ items) not fully indexed.</t>
  </si>
  <si>
    <t xml:space="preserve">Open</t>
  </si>
  <si>
    <t xml:space="preserve">2021-Exxel, Admiral/Change Orders/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</si>
  <si>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</si>
  <si>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</si>
  <si>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</si>
  <si>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</si>
  <si>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</si>
  <si>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</si>
  <si>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</si>
  <si>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</si>
  <si>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substitution</t>
  </si>
  <si>
    <t xml:space="preserve">Designer</t>
  </si>
  <si>
    <t xml:space="preserve">Design clarification</t>
  </si>
  <si>
    <t xml:space="preserve">Plumbing acoustics per RFI-036 (SSA Acoustic recommendations</t>
  </si>
  <si>
    <t xml:space="preserve">Owner directive</t>
  </si>
  <si>
    <t xml:space="preserve">Owner/GC</t>
  </si>
  <si>
    <t xml:space="preserve">Coordination conflict</t>
  </si>
  <si>
    <t xml:space="preserve">Mixed</t>
  </si>
  <si>
    <t xml:space="preserve">Scope gap</t>
  </si>
  <si>
    <t xml:space="preserve">Combined/multi-cause</t>
  </si>
  <si>
    <t xml:space="preserve">Admiral North (Admiral 2) sister contract — 3 COs + 3 CORs t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</si>
  <si>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</si>
  <si>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</si>
  <si>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</si>
  <si>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</si>
  <si>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POSITIVE — recoverable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</si>
  <si>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</si>
  <si>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</si>
  <si>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</si>
  <si>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</si>
  <si>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</si>
  <si>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</si>
  <si>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</si>
  <si>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</si>
  <si>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</si>
  <si>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</si>
  <si>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</si>
  <si>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</si>
  <si>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</si>
  <si>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</si>
  <si>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</si>
  <si>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</si>
  <si>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</si>
  <si>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</si>
  <si>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</si>
  <si>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</si>
  <si>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</si>
  <si>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</si>
  <si>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HEALTHY</t>
  </si>
  <si>
    <t xml:space="preserve">High ASI = owner scope churn</t>
  </si>
  <si>
    <t xml:space="preserve">Backcharge Count</t>
  </si>
  <si>
    <t xml:space="preserve">&lt;3</t>
  </si>
  <si>
    <t xml:space="preserve">BC clusters = coordination weakness</t>
  </si>
  <si>
    <t xml:space="preserve">Change Order Count</t>
  </si>
  <si>
    <t xml:space="preserve">ELEVATED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</si>
  <si>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</si>
  <si>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</si>
  <si>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</si>
  <si>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</si>
  <si>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</si>
  <si>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</si>
  <si>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</si>
  <si>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</si>
  <si>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</si>
  <si>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POSITIVE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</si>
  <si>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</si>
  <si>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</si>
  <si>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</si>
  <si>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</si>
  <si>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</si>
  <si>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</si>
  <si>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</si>
  <si>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</si>
  <si>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</si>
  <si>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</si>
  <si>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</si>
  <si>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</si>
  <si>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</si>
  <si>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</si>
  <si>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</si>
  <si>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+ 0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</si>
  <si>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</si>
  <si>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</si>
  <si>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</si>
  <si>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</si>
  <si>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</si>
  <si>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</si>
  <si>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</si>
  <si>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</si>
  <si>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</si>
  <si>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</si>
  <si>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</si>
  <si>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</si>
  <si>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</si>
  <si>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</si>
  <si>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</si>
  <si>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</si>
  <si>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</si>
  <si>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</si>
  <si>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</si>
  <si>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</si>
  <si>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</si>
  <si>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</si>
  <si>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</si>
  <si>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</si>
  <si>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</si>
  <si>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</si>
  <si>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</si>
  <si>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</si>
  <si>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</si>
  <si>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</si>
  <si>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</si>
  <si>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</si>
  <si>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</si>
  <si>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</si>
  <si>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</si>
  <si>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</si>
  <si>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</si>
  <si>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</si>
  <si>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</si>
  <si>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</si>
  <si>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</si>
  <si>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</si>
  <si>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</si>
  <si>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</si>
  <si>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</si>
  <si>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</si>
  <si>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</si>
  <si>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</si>
  <si>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</si>
  <si>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</si>
  <si>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</si>
  <si>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</si>
  <si>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</si>
  <si>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</si>
  <si>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</si>
  <si>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</si>
  <si>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</si>
  <si>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</si>
  <si>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</si>
  <si>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</si>
  <si>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</si>
  <si>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</si>
  <si>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</si>
  <si>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</si>
  <si>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</si>
  <si>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</si>
  <si>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</si>
  <si>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</si>
  <si>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</si>
  <si>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</si>
  <si>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</si>
  <si>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</si>
  <si>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</si>
  <si>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</si>
  <si>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</si>
  <si>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</si>
  <si>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</si>
  <si>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</si>
  <si>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(10 codes)</t>
  </si>
  <si>
    <t xml:space="preserve">Material subtotal (9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</si>
  <si>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</si>
  <si>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</si>
  <si>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</si>
  <si>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</si>
  <si>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</si>
  <si>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</si>
  <si>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</si>
  <si>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</si>
  <si>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</si>
  <si>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</si>
  <si>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</si>
  <si>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</si>
  <si>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</si>
  <si>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</si>
  <si>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</si>
  <si>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</si>
  <si>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</si>
  <si>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</si>
  <si>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</si>
  <si>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</si>
  <si>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</si>
  <si>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</si>
  <si>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</si>
  <si>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</si>
  <si>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</si>
  <si>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</si>
  <si>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</si>
  <si>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#2021 — Cortex v2 17-tab layout</t>
  </si>
  <si>
    <t xml:space="preserve">12 analytical tabs + Change Log + Root Cause Analysis + Predictive Signals + Metric Registry + Reconciliation</t>
  </si>
  <si>
    <t xml:space="preserve">Canonical source: 2021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</si>
  <si>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</si>
  <si>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</si>
  <si>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</si>
  <si>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</si>
  <si>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</si>
  <si>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#2021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</si>
  <si>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</si>
  <si>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</si>
  <si>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</si>
  <si>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</si>
  <si>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</si>
  <si>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</si>
  <si>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2021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</si>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</sst>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6B7280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5E7EB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387079</v>
      </c>
      <c r="D20" s="11" t="n">
        <v>429422.78</v>
      </c>
      <c r="E20" s="11" t="n">
        <f aca="false">C20-D20</f>
        <v>-42343.78</v>
      </c>
      <c r="F20" s="12" t="n">
        <f aca="false">IF(C20=0,0,D20/C20)</f>
        <v>1.10939312130082</v>
      </c>
      <c r="G20" s="12" t="n">
        <f aca="false">IF($D$24=0,0,D20/$D$24)</f>
        <v>0.3789882413883</v>
      </c>
    </row>
    <row r="21" customFormat="false" ht="15" hidden="false" customHeight="true" outlineLevel="0" collapsed="false">
      <c r="B21" s="5" t="s">
        <v>35</v>
      </c>
      <c r="C21" s="11" t="n">
        <v>494749</v>
      </c>
      <c r="D21" s="11" t="n">
        <v>423924.46</v>
      </c>
      <c r="E21" s="11" t="n">
        <f aca="false">C21-D21</f>
        <v>70824.54</v>
      </c>
      <c r="F21" s="12" t="n">
        <f aca="false">IF(C21=0,0,D21/C21)</f>
        <v>0.856847532789354</v>
      </c>
      <c r="G21" s="12" t="n">
        <f aca="false">IF($D$24=0,0,D21/$D$24)</f>
        <v>0.374135684131346</v>
      </c>
    </row>
    <row r="22" customFormat="false" ht="15" hidden="false" customHeight="true" outlineLevel="0" collapsed="false">
      <c r="B22" s="5" t="s">
        <v>36</v>
      </c>
      <c r="C22" s="11" t="n">
        <v>71320</v>
      </c>
      <c r="D22" s="11" t="n">
        <v>66646.5</v>
      </c>
      <c r="E22" s="11" t="n">
        <f aca="false">C22-D22</f>
        <v>4673.5</v>
      </c>
      <c r="F22" s="12" t="n">
        <f aca="false">IF(C22=0,0,D22/C22)</f>
        <v>0.934471396522715</v>
      </c>
      <c r="G22" s="12" t="n">
        <f aca="false">IF($D$24=0,0,D22/$D$24)</f>
        <v>0.0588190496780011</v>
      </c>
    </row>
    <row r="23" customFormat="false" ht="15" hidden="false" customHeight="true" outlineLevel="0" collapsed="false">
      <c r="B23" s="5" t="s">
        <v>37</v>
      </c>
      <c r="C23" s="11" t="n">
        <v>192149.33</v>
      </c>
      <c r="D23" s="11" t="n">
        <v>213083.05</v>
      </c>
      <c r="E23" s="11" t="n">
        <f aca="false">C23-D23</f>
        <v>-20933.72</v>
      </c>
      <c r="F23" s="12" t="n">
        <f aca="false">IF(C23=0,0,D23/C23)</f>
        <v>1.10894505851256</v>
      </c>
      <c r="G23" s="12" t="n">
        <f aca="false">IF($D$24=0,0,D23/$D$24)</f>
        <v>0.188057024802353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1145297.33</v>
      </c>
      <c r="D24" s="13" t="n">
        <f aca="false">SUM(D20:D23)</f>
        <v>1133076.79</v>
      </c>
      <c r="E24" s="13" t="n">
        <f aca="false">C24-D24</f>
        <v>12220.54</v>
      </c>
      <c r="F24" s="14" t="n">
        <f aca="false">IF(C24=0,0,D24/C24)</f>
        <v>0.989329810102674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47</v>
      </c>
    </row>
    <row r="30" customFormat="false" ht="15" hidden="false" customHeight="true" outlineLevel="0" collapsed="false">
      <c r="B30" s="5" t="s">
        <v>48</v>
      </c>
      <c r="C30" s="6" t="s">
        <v>43</v>
      </c>
      <c r="D30" s="5" t="s">
        <v>49</v>
      </c>
      <c r="E30" s="6" t="s">
        <v>43</v>
      </c>
      <c r="F30" s="5" t="s">
        <v>50</v>
      </c>
      <c r="G30" s="6" t="s">
        <v>51</v>
      </c>
    </row>
    <row r="31" customFormat="false" ht="15" hidden="false" customHeight="true" outlineLevel="0" collapsed="false">
      <c r="B31" s="5" t="s">
        <v>52</v>
      </c>
      <c r="C31" s="6" t="s">
        <v>53</v>
      </c>
      <c r="D31" s="5" t="s">
        <v>54</v>
      </c>
      <c r="E31" s="6" t="s">
        <v>55</v>
      </c>
      <c r="F31" s="5" t="s">
        <v>56</v>
      </c>
      <c r="G31" s="6" t="s">
        <v>57</v>
      </c>
    </row>
    <row r="32" customFormat="false" ht="15" hidden="false" customHeight="true" outlineLevel="0" collapsed="false">
      <c r="B32" s="5" t="s">
        <v>58</v>
      </c>
      <c r="C32" s="6" t="s">
        <v>59</v>
      </c>
      <c r="D32" s="5" t="s">
        <v>60</v>
      </c>
      <c r="E32" s="6" t="s">
        <v>61</v>
      </c>
      <c r="F32" s="5" t="s">
        <v>62</v>
      </c>
      <c r="G32" s="6" t="s">
        <v>63</v>
      </c>
    </row>
    <row r="36" customFormat="false" ht="15" hidden="false" customHeight="true" outlineLevel="0" collapsed="false">
      <c r="B36" s="4" t="s">
        <v>64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65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66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67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68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69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70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71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72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73</v>
      </c>
      <c r="C45" s="3"/>
      <c r="D45" s="3"/>
      <c r="E45" s="3"/>
      <c r="F45" s="3"/>
      <c r="G45" s="3"/>
    </row>
    <row r="46" customFormat="false" ht="15" hidden="false" customHeight="true" outlineLevel="0" collapsed="false">
      <c r="B46" s="3" t="s">
        <v>74</v>
      </c>
      <c r="C46" s="3"/>
      <c r="D46" s="3"/>
      <c r="E46" s="3"/>
      <c r="F46" s="3"/>
      <c r="G46" s="3"/>
    </row>
    <row r="47" customFormat="false" ht="15" hidden="false" customHeight="true" outlineLevel="0" collapsed="false">
      <c r="B47" s="3" t="s">
        <v>75</v>
      </c>
      <c r="C47" s="3"/>
      <c r="D47" s="3"/>
      <c r="E47" s="3"/>
      <c r="F47" s="3"/>
      <c r="G47" s="3"/>
    </row>
    <row r="48" customFormat="false" ht="15" hidden="false" customHeight="true" outlineLevel="0" collapsed="false">
      <c r="B48" s="3" t="s">
        <v>76</v>
      </c>
      <c r="C48" s="3"/>
      <c r="D48" s="3"/>
      <c r="E48" s="3"/>
      <c r="F48" s="3"/>
      <c r="G48" s="3"/>
    </row>
  </sheetData>
  <mergeCells count="18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77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78</v>
      </c>
      <c r="C4" s="10" t="s">
        <v>79</v>
      </c>
      <c r="D4" s="10" t="s">
        <v>80</v>
      </c>
      <c r="E4" s="10" t="s">
        <v>81</v>
      </c>
      <c r="F4" s="10" t="s">
        <v>30</v>
      </c>
      <c r="G4" s="10" t="s">
        <v>31</v>
      </c>
      <c r="H4" s="10" t="s">
        <v>82</v>
      </c>
    </row>
    <row r="5" customFormat="false" ht="15" hidden="false" customHeight="true" outlineLevel="0" collapsed="false">
      <c r="B5" s="4" t="s">
        <v>83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84</v>
      </c>
      <c r="C6" s="5" t="s">
        <v>85</v>
      </c>
      <c r="D6" s="11" t="n">
        <v>12920</v>
      </c>
      <c r="E6" s="11" t="n">
        <v>13414</v>
      </c>
      <c r="F6" s="11" t="n">
        <v>8726</v>
      </c>
      <c r="G6" s="11" t="n">
        <f aca="false">E6-F6</f>
        <v>4688</v>
      </c>
      <c r="H6" s="12" t="n">
        <f aca="false">IF(E6=0,0,F6/E6)</f>
        <v>0.650514387952885</v>
      </c>
    </row>
    <row r="7" customFormat="false" ht="15" hidden="false" customHeight="true" outlineLevel="0" collapsed="false">
      <c r="B7" s="5" t="s">
        <v>86</v>
      </c>
      <c r="C7" s="5" t="s">
        <v>87</v>
      </c>
      <c r="D7" s="11" t="n">
        <v>12920</v>
      </c>
      <c r="E7" s="11" t="n">
        <v>13887</v>
      </c>
      <c r="F7" s="11" t="n">
        <v>19430.5</v>
      </c>
      <c r="G7" s="11" t="n">
        <f aca="false">E7-F7</f>
        <v>-5543.5</v>
      </c>
      <c r="H7" s="12" t="n">
        <f aca="false">IF(E7=0,0,F7/E7)</f>
        <v>1.39918628933535</v>
      </c>
    </row>
    <row r="8" customFormat="false" ht="15" hidden="false" customHeight="true" outlineLevel="0" collapsed="false">
      <c r="B8" s="5" t="s">
        <v>88</v>
      </c>
      <c r="C8" s="5" t="s">
        <v>89</v>
      </c>
      <c r="D8" s="11" t="n">
        <v>12625</v>
      </c>
      <c r="E8" s="11" t="n">
        <v>18310</v>
      </c>
      <c r="F8" s="11" t="n">
        <v>21121.15</v>
      </c>
      <c r="G8" s="11" t="n">
        <f aca="false">E8-F8</f>
        <v>-2811.15</v>
      </c>
      <c r="H8" s="12" t="n">
        <f aca="false">IF(E8=0,0,F8/E8)</f>
        <v>1.15353085745494</v>
      </c>
    </row>
    <row r="9" customFormat="false" ht="15" hidden="false" customHeight="true" outlineLevel="0" collapsed="false">
      <c r="B9" s="5" t="s">
        <v>90</v>
      </c>
      <c r="C9" s="5" t="s">
        <v>91</v>
      </c>
      <c r="D9" s="11" t="n">
        <v>46180</v>
      </c>
      <c r="E9" s="11" t="n">
        <v>48780</v>
      </c>
      <c r="F9" s="11" t="n">
        <v>40673.76</v>
      </c>
      <c r="G9" s="11" t="n">
        <f aca="false">E9-F9</f>
        <v>8106.24</v>
      </c>
      <c r="H9" s="12" t="n">
        <f aca="false">IF(E9=0,0,F9/E9)</f>
        <v>0.833820418204182</v>
      </c>
    </row>
    <row r="10" customFormat="false" ht="15" hidden="false" customHeight="true" outlineLevel="0" collapsed="false">
      <c r="B10" s="5" t="s">
        <v>92</v>
      </c>
      <c r="C10" s="5" t="s">
        <v>93</v>
      </c>
      <c r="D10" s="11" t="n">
        <v>8500</v>
      </c>
      <c r="E10" s="11" t="n">
        <v>8500</v>
      </c>
      <c r="F10" s="11" t="n">
        <v>9421.18</v>
      </c>
      <c r="G10" s="11" t="n">
        <f aca="false">E10-F10</f>
        <v>-921.18</v>
      </c>
      <c r="H10" s="12" t="n">
        <f aca="false">IF(E10=0,0,F10/E10)</f>
        <v>1.10837411764706</v>
      </c>
    </row>
    <row r="11" customFormat="false" ht="15" hidden="false" customHeight="true" outlineLevel="0" collapsed="false">
      <c r="B11" s="5" t="s">
        <v>94</v>
      </c>
      <c r="C11" s="5" t="s">
        <v>95</v>
      </c>
      <c r="D11" s="11" t="n">
        <v>205015</v>
      </c>
      <c r="E11" s="11" t="n">
        <v>208728</v>
      </c>
      <c r="F11" s="11" t="n">
        <v>232285.5</v>
      </c>
      <c r="G11" s="11" t="n">
        <f aca="false">E11-F11</f>
        <v>-23557.5</v>
      </c>
      <c r="H11" s="12" t="n">
        <f aca="false">IF(E11=0,0,F11/E11)</f>
        <v>1.11286219385995</v>
      </c>
    </row>
    <row r="12" customFormat="false" ht="15" hidden="false" customHeight="true" outlineLevel="0" collapsed="false">
      <c r="B12" s="5" t="s">
        <v>96</v>
      </c>
      <c r="C12" s="5" t="s">
        <v>97</v>
      </c>
      <c r="D12" s="11" t="n">
        <v>32520</v>
      </c>
      <c r="E12" s="11" t="n">
        <v>32580</v>
      </c>
      <c r="F12" s="11" t="n">
        <v>30179</v>
      </c>
      <c r="G12" s="11" t="n">
        <f aca="false">E12-F12</f>
        <v>2401</v>
      </c>
      <c r="H12" s="12" t="n">
        <f aca="false">IF(E12=0,0,F12/E12)</f>
        <v>0.926304481276857</v>
      </c>
    </row>
    <row r="13" customFormat="false" ht="15" hidden="false" customHeight="true" outlineLevel="0" collapsed="false">
      <c r="B13" s="5" t="s">
        <v>98</v>
      </c>
      <c r="C13" s="5" t="s">
        <v>99</v>
      </c>
      <c r="D13" s="11" t="n">
        <v>5500</v>
      </c>
      <c r="E13" s="11" t="n">
        <v>7990</v>
      </c>
      <c r="F13" s="11" t="n">
        <v>10305.46</v>
      </c>
      <c r="G13" s="11" t="n">
        <f aca="false">E13-F13</f>
        <v>-2315.46</v>
      </c>
      <c r="H13" s="12" t="n">
        <f aca="false">IF(E13=0,0,F13/E13)</f>
        <v>1.28979474342929</v>
      </c>
    </row>
    <row r="14" customFormat="false" ht="15" hidden="false" customHeight="true" outlineLevel="0" collapsed="false">
      <c r="B14" s="5" t="s">
        <v>100</v>
      </c>
      <c r="C14" s="5" t="s">
        <v>101</v>
      </c>
      <c r="D14" s="11" t="n">
        <v>34750</v>
      </c>
      <c r="E14" s="11" t="n">
        <v>34890</v>
      </c>
      <c r="F14" s="11" t="n">
        <v>56135.73</v>
      </c>
      <c r="G14" s="11" t="n">
        <f aca="false">E14-F14</f>
        <v>-21245.73</v>
      </c>
      <c r="H14" s="12" t="n">
        <f aca="false">IF(E14=0,0,F14/E14)</f>
        <v>1.60893465176268</v>
      </c>
    </row>
    <row r="15" customFormat="false" ht="15" hidden="false" customHeight="true" outlineLevel="0" collapsed="false">
      <c r="B15" s="5" t="s">
        <v>102</v>
      </c>
      <c r="C15" s="5" t="s">
        <v>103</v>
      </c>
      <c r="D15" s="11" t="n">
        <v>0</v>
      </c>
      <c r="E15" s="11" t="n">
        <v>0</v>
      </c>
      <c r="F15" s="11" t="n">
        <v>1144.5</v>
      </c>
      <c r="G15" s="11" t="n">
        <f aca="false">E15-F15</f>
        <v>-1144.5</v>
      </c>
      <c r="H15" s="12" t="n">
        <f aca="false">IF(E15=0,0,F15/E15)</f>
        <v>0</v>
      </c>
    </row>
    <row r="16" customFormat="false" ht="15" hidden="false" customHeight="true" outlineLevel="0" collapsed="false">
      <c r="B16" s="4" t="s">
        <v>104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B17" s="5" t="s">
        <v>105</v>
      </c>
      <c r="C17" s="5" t="s">
        <v>106</v>
      </c>
      <c r="D17" s="11" t="n">
        <v>13250</v>
      </c>
      <c r="E17" s="11" t="n">
        <v>13550</v>
      </c>
      <c r="F17" s="11" t="n">
        <v>21743.86</v>
      </c>
      <c r="G17" s="11" t="n">
        <f aca="false">E17-F17</f>
        <v>-8193.86</v>
      </c>
      <c r="H17" s="12" t="n">
        <f aca="false">IF(E17=0,0,F17/E17)</f>
        <v>1.60471291512915</v>
      </c>
    </row>
    <row r="18" customFormat="false" ht="15" hidden="false" customHeight="true" outlineLevel="0" collapsed="false">
      <c r="B18" s="5" t="s">
        <v>107</v>
      </c>
      <c r="C18" s="5" t="s">
        <v>108</v>
      </c>
      <c r="D18" s="11" t="n">
        <v>36150</v>
      </c>
      <c r="E18" s="11" t="n">
        <v>37700</v>
      </c>
      <c r="F18" s="11" t="n">
        <v>39526.02</v>
      </c>
      <c r="G18" s="11" t="n">
        <f aca="false">E18-F18</f>
        <v>-1826.02</v>
      </c>
      <c r="H18" s="12" t="n">
        <f aca="false">IF(E18=0,0,F18/E18)</f>
        <v>1.04843554376658</v>
      </c>
    </row>
    <row r="19" customFormat="false" ht="15" hidden="false" customHeight="true" outlineLevel="0" collapsed="false">
      <c r="B19" s="5" t="s">
        <v>109</v>
      </c>
      <c r="C19" s="5" t="s">
        <v>110</v>
      </c>
      <c r="D19" s="11" t="n">
        <v>9520</v>
      </c>
      <c r="E19" s="11" t="n">
        <v>9520</v>
      </c>
      <c r="F19" s="11" t="n">
        <v>6538.72</v>
      </c>
      <c r="G19" s="11" t="n">
        <f aca="false">E19-F19</f>
        <v>2981.28</v>
      </c>
      <c r="H19" s="12" t="n">
        <f aca="false">IF(E19=0,0,F19/E19)</f>
        <v>0.686840336134454</v>
      </c>
    </row>
    <row r="20" customFormat="false" ht="15" hidden="false" customHeight="true" outlineLevel="0" collapsed="false">
      <c r="B20" s="5" t="s">
        <v>111</v>
      </c>
      <c r="C20" s="5" t="s">
        <v>112</v>
      </c>
      <c r="D20" s="11" t="n">
        <v>145590</v>
      </c>
      <c r="E20" s="11" t="n">
        <v>120660</v>
      </c>
      <c r="F20" s="11" t="n">
        <v>99695.01</v>
      </c>
      <c r="G20" s="11" t="n">
        <f aca="false">E20-F20</f>
        <v>20964.99</v>
      </c>
      <c r="H20" s="12" t="n">
        <f aca="false">IF(E20=0,0,F20/E20)</f>
        <v>0.826247389358528</v>
      </c>
    </row>
    <row r="21" customFormat="false" ht="15" hidden="false" customHeight="true" outlineLevel="0" collapsed="false">
      <c r="B21" s="5" t="s">
        <v>113</v>
      </c>
      <c r="C21" s="5" t="s">
        <v>114</v>
      </c>
      <c r="D21" s="11" t="n">
        <v>256900</v>
      </c>
      <c r="E21" s="11" t="n">
        <v>260675</v>
      </c>
      <c r="F21" s="11" t="n">
        <v>202739.69</v>
      </c>
      <c r="G21" s="11" t="n">
        <f aca="false">E21-F21</f>
        <v>57935.31</v>
      </c>
      <c r="H21" s="12" t="n">
        <f aca="false">IF(E21=0,0,F21/E21)</f>
        <v>0.777748882708353</v>
      </c>
    </row>
    <row r="22" customFormat="false" ht="15" hidden="false" customHeight="true" outlineLevel="0" collapsed="false">
      <c r="B22" s="5" t="s">
        <v>115</v>
      </c>
      <c r="C22" s="5" t="s">
        <v>116</v>
      </c>
      <c r="D22" s="11" t="n">
        <v>5500</v>
      </c>
      <c r="E22" s="11" t="n">
        <v>7369</v>
      </c>
      <c r="F22" s="11" t="n">
        <v>3604.09</v>
      </c>
      <c r="G22" s="11" t="n">
        <f aca="false">E22-F22</f>
        <v>3764.91</v>
      </c>
      <c r="H22" s="12" t="n">
        <f aca="false">IF(E22=0,0,F22/E22)</f>
        <v>0.489088071651513</v>
      </c>
    </row>
    <row r="23" customFormat="false" ht="15" hidden="false" customHeight="true" outlineLevel="0" collapsed="false">
      <c r="B23" s="5" t="s">
        <v>117</v>
      </c>
      <c r="C23" s="5" t="s">
        <v>118</v>
      </c>
      <c r="D23" s="11" t="n">
        <v>45175</v>
      </c>
      <c r="E23" s="11" t="n">
        <v>45275</v>
      </c>
      <c r="F23" s="11" t="n">
        <v>49938.59</v>
      </c>
      <c r="G23" s="11" t="n">
        <f aca="false">E23-F23</f>
        <v>-4663.59</v>
      </c>
      <c r="H23" s="12" t="n">
        <f aca="false">IF(E23=0,0,F23/E23)</f>
        <v>1.10300585311982</v>
      </c>
    </row>
    <row r="24" customFormat="false" ht="15" hidden="false" customHeight="true" outlineLevel="0" collapsed="false">
      <c r="B24" s="5" t="s">
        <v>119</v>
      </c>
      <c r="C24" s="5" t="s">
        <v>120</v>
      </c>
      <c r="D24" s="11" t="n">
        <v>0</v>
      </c>
      <c r="E24" s="11" t="n">
        <v>0</v>
      </c>
      <c r="F24" s="11" t="n">
        <v>5.44</v>
      </c>
      <c r="G24" s="11" t="n">
        <f aca="false">E24-F24</f>
        <v>-5.44</v>
      </c>
      <c r="H24" s="12" t="n">
        <f aca="false">IF(E24=0,0,F24/E24)</f>
        <v>0</v>
      </c>
    </row>
    <row r="25" customFormat="false" ht="15" hidden="false" customHeight="true" outlineLevel="0" collapsed="false">
      <c r="B25" s="5" t="s">
        <v>121</v>
      </c>
      <c r="C25" s="5" t="s">
        <v>122</v>
      </c>
      <c r="D25" s="11" t="n">
        <v>0</v>
      </c>
      <c r="E25" s="11" t="n">
        <v>0</v>
      </c>
      <c r="F25" s="11" t="n">
        <v>133.04</v>
      </c>
      <c r="G25" s="11" t="n">
        <f aca="false">E25-F25</f>
        <v>-133.04</v>
      </c>
      <c r="H25" s="12" t="n">
        <f aca="false">IF(E25=0,0,F25/E25)</f>
        <v>0</v>
      </c>
    </row>
    <row r="26" customFormat="false" ht="15" hidden="false" customHeight="true" outlineLevel="0" collapsed="false">
      <c r="B26" s="4" t="s">
        <v>123</v>
      </c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B27" s="5" t="s">
        <v>124</v>
      </c>
      <c r="C27" s="5" t="s">
        <v>125</v>
      </c>
      <c r="D27" s="11" t="n">
        <v>21050</v>
      </c>
      <c r="E27" s="11" t="n">
        <v>21550</v>
      </c>
      <c r="F27" s="11" t="n">
        <v>4501</v>
      </c>
      <c r="G27" s="11" t="n">
        <f aca="false">E27-F27</f>
        <v>17049</v>
      </c>
      <c r="H27" s="12" t="n">
        <f aca="false">IF(E27=0,0,F27/E27)</f>
        <v>0.208863109048724</v>
      </c>
    </row>
    <row r="28" customFormat="false" ht="15" hidden="false" customHeight="true" outlineLevel="0" collapsed="false">
      <c r="B28" s="5" t="s">
        <v>126</v>
      </c>
      <c r="C28" s="5" t="s">
        <v>127</v>
      </c>
      <c r="D28" s="11" t="n">
        <v>38000</v>
      </c>
      <c r="E28" s="11" t="n">
        <v>39000</v>
      </c>
      <c r="F28" s="11" t="n">
        <v>53259.5</v>
      </c>
      <c r="G28" s="11" t="n">
        <f aca="false">E28-F28</f>
        <v>-14259.5</v>
      </c>
      <c r="H28" s="12" t="n">
        <f aca="false">IF(E28=0,0,F28/E28)</f>
        <v>1.36562820512821</v>
      </c>
    </row>
    <row r="29" customFormat="false" ht="15" hidden="false" customHeight="true" outlineLevel="0" collapsed="false">
      <c r="B29" s="5" t="s">
        <v>128</v>
      </c>
      <c r="C29" s="5" t="s">
        <v>129</v>
      </c>
      <c r="D29" s="11" t="n">
        <v>10770</v>
      </c>
      <c r="E29" s="11" t="n">
        <v>10770</v>
      </c>
      <c r="F29" s="11" t="n">
        <v>8886</v>
      </c>
      <c r="G29" s="11" t="n">
        <f aca="false">E29-F29</f>
        <v>1884</v>
      </c>
      <c r="H29" s="12" t="n">
        <f aca="false">IF(E29=0,0,F29/E29)</f>
        <v>0.825069637883008</v>
      </c>
    </row>
    <row r="30" customFormat="false" ht="15" hidden="false" customHeight="true" outlineLevel="0" collapsed="false">
      <c r="B30" s="4" t="s">
        <v>130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5" t="s">
        <v>131</v>
      </c>
      <c r="C31" s="5" t="s">
        <v>132</v>
      </c>
      <c r="D31" s="11" t="n">
        <v>167567.61</v>
      </c>
      <c r="E31" s="11" t="n">
        <v>160896.89</v>
      </c>
      <c r="F31" s="11" t="n">
        <v>178143.53</v>
      </c>
      <c r="G31" s="11" t="n">
        <f aca="false">E31-F31</f>
        <v>-17246.64</v>
      </c>
      <c r="H31" s="12" t="n">
        <f aca="false">IF(E31=0,0,F31/E31)</f>
        <v>1.10719063618943</v>
      </c>
    </row>
    <row r="32" customFormat="false" ht="15" hidden="false" customHeight="true" outlineLevel="0" collapsed="false">
      <c r="B32" s="5" t="s">
        <v>133</v>
      </c>
      <c r="C32" s="5" t="s">
        <v>134</v>
      </c>
      <c r="D32" s="11" t="n">
        <v>28904</v>
      </c>
      <c r="E32" s="11" t="n">
        <v>31252.44</v>
      </c>
      <c r="F32" s="11" t="n">
        <v>34939.52</v>
      </c>
      <c r="G32" s="11" t="n">
        <f aca="false">E32-F32</f>
        <v>-3687.08</v>
      </c>
      <c r="H32" s="12" t="n">
        <f aca="false">IF(E32=0,0,F32/E32)</f>
        <v>1.11797734832864</v>
      </c>
    </row>
    <row r="33" customFormat="false" ht="15" hidden="false" customHeight="true" outlineLevel="0" collapsed="false">
      <c r="B33" s="6" t="s">
        <v>38</v>
      </c>
      <c r="C33" s="6" t="s">
        <v>135</v>
      </c>
      <c r="D33" s="13" t="n">
        <v>1149306.61</v>
      </c>
      <c r="E33" s="13" t="n">
        <v>1145297.33</v>
      </c>
      <c r="F33" s="13" t="n">
        <v>1133076.79</v>
      </c>
      <c r="G33" s="13" t="n">
        <f aca="false">E33-F33</f>
        <v>12220.54</v>
      </c>
      <c r="H33" s="14" t="n">
        <f aca="false">IF(E33=0,0,F33/E33)</f>
        <v>0.989329810102674</v>
      </c>
    </row>
    <row r="36" customFormat="false" ht="15" hidden="false" customHeight="true" outlineLevel="0" collapsed="false">
      <c r="B36" s="4" t="s">
        <v>64</v>
      </c>
      <c r="C36" s="4"/>
      <c r="D36" s="4"/>
      <c r="E36" s="4"/>
      <c r="F36" s="4"/>
      <c r="G36" s="4"/>
      <c r="H36" s="4"/>
    </row>
    <row r="37" customFormat="false" ht="15" hidden="false" customHeight="true" outlineLevel="0" collapsed="false">
      <c r="B37" s="3" t="s">
        <v>65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66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67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68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69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70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71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72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73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74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75</v>
      </c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B48" s="3" t="s">
        <v>76</v>
      </c>
      <c r="C48" s="3"/>
      <c r="D48" s="3"/>
      <c r="E48" s="3"/>
      <c r="F48" s="3"/>
      <c r="G48" s="3"/>
      <c r="H48" s="3"/>
    </row>
  </sheetData>
  <mergeCells count="18">
    <mergeCell ref="B2:H2"/>
    <mergeCell ref="B5:H5"/>
    <mergeCell ref="B16:H16"/>
    <mergeCell ref="B26:H26"/>
    <mergeCell ref="B30:H30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136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137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138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139</v>
      </c>
    </row>
    <row r="6" customFormat="false" ht="15" hidden="false" customHeight="true" outlineLevel="0" collapsed="false">
      <c r="B6" s="5" t="s">
        <v>34</v>
      </c>
      <c r="C6" s="15" t="n">
        <v>10</v>
      </c>
      <c r="D6" s="11" t="n">
        <v>387079</v>
      </c>
      <c r="E6" s="11" t="n">
        <v>429422.78</v>
      </c>
      <c r="F6" s="11" t="n">
        <f aca="false">D6-E6</f>
        <v>-42343.78</v>
      </c>
      <c r="G6" s="12" t="n">
        <f aca="false">IF(D6=0,0,E6/D6)</f>
        <v>1.10939312130082</v>
      </c>
      <c r="H6" s="12" t="n">
        <f aca="false">IF(1133076.79=0,0,E6/1133076.79)</f>
        <v>0.3789882413883</v>
      </c>
      <c r="I6" s="11" t="n">
        <f aca="false">IF(182=0,0,E6/182)</f>
        <v>2359.46582417582</v>
      </c>
    </row>
    <row r="7" customFormat="false" ht="15" hidden="false" customHeight="true" outlineLevel="0" collapsed="false">
      <c r="B7" s="5" t="s">
        <v>35</v>
      </c>
      <c r="C7" s="15" t="n">
        <v>9</v>
      </c>
      <c r="D7" s="11" t="n">
        <v>494749</v>
      </c>
      <c r="E7" s="11" t="n">
        <v>423924.46</v>
      </c>
      <c r="F7" s="11" t="n">
        <f aca="false">D7-E7</f>
        <v>70824.54</v>
      </c>
      <c r="G7" s="12" t="n">
        <f aca="false">IF(D7=0,0,E7/D7)</f>
        <v>0.856847532789354</v>
      </c>
      <c r="H7" s="12" t="n">
        <f aca="false">IF(1133076.79=0,0,E7/1133076.79)</f>
        <v>0.374135684131346</v>
      </c>
      <c r="I7" s="11" t="n">
        <f aca="false">IF(182=0,0,E7/182)</f>
        <v>2329.25527472528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71320</v>
      </c>
      <c r="E8" s="11" t="n">
        <v>66646.5</v>
      </c>
      <c r="F8" s="11" t="n">
        <f aca="false">D8-E8</f>
        <v>4673.5</v>
      </c>
      <c r="G8" s="12" t="n">
        <f aca="false">IF(D8=0,0,E8/D8)</f>
        <v>0.934471396522715</v>
      </c>
      <c r="H8" s="12" t="n">
        <f aca="false">IF(1133076.79=0,0,E8/1133076.79)</f>
        <v>0.0588190496780011</v>
      </c>
      <c r="I8" s="11" t="n">
        <f aca="false">IF(182=0,0,E8/182)</f>
        <v>366.18956043956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192149.33</v>
      </c>
      <c r="E9" s="11" t="n">
        <v>213083.05</v>
      </c>
      <c r="F9" s="11" t="n">
        <f aca="false">D9-E9</f>
        <v>-20933.72</v>
      </c>
      <c r="G9" s="12" t="n">
        <f aca="false">IF(D9=0,0,E9/D9)</f>
        <v>1.10894505851256</v>
      </c>
      <c r="H9" s="12" t="n">
        <f aca="false">IF(1133076.79=0,0,E9/1133076.79)</f>
        <v>0.188057024802353</v>
      </c>
      <c r="I9" s="11" t="n">
        <f aca="false">IF(182=0,0,E9/182)</f>
        <v>1170.78598901099</v>
      </c>
    </row>
    <row r="12" customFormat="false" ht="15" hidden="false" customHeight="true" outlineLevel="0" collapsed="false">
      <c r="B12" s="4" t="s">
        <v>140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78</v>
      </c>
      <c r="C13" s="10" t="s">
        <v>79</v>
      </c>
      <c r="D13" s="10" t="s">
        <v>81</v>
      </c>
      <c r="E13" s="10" t="s">
        <v>30</v>
      </c>
      <c r="F13" s="10" t="s">
        <v>141</v>
      </c>
      <c r="G13" s="10" t="s">
        <v>142</v>
      </c>
    </row>
    <row r="14" customFormat="false" ht="15" hidden="false" customHeight="true" outlineLevel="0" collapsed="false">
      <c r="B14" s="5" t="s">
        <v>94</v>
      </c>
      <c r="C14" s="5" t="s">
        <v>95</v>
      </c>
      <c r="D14" s="11" t="n">
        <v>208728</v>
      </c>
      <c r="E14" s="11" t="n">
        <v>232285.5</v>
      </c>
      <c r="F14" s="11" t="n">
        <f aca="false">E14-D14</f>
        <v>23557.5</v>
      </c>
      <c r="G14" s="12" t="n">
        <f aca="false">IF(D14=0,0,F14/D14)</f>
        <v>0.112862193859952</v>
      </c>
    </row>
    <row r="15" customFormat="false" ht="15" hidden="false" customHeight="true" outlineLevel="0" collapsed="false">
      <c r="B15" s="5" t="s">
        <v>100</v>
      </c>
      <c r="C15" s="5" t="s">
        <v>101</v>
      </c>
      <c r="D15" s="11" t="n">
        <v>34890</v>
      </c>
      <c r="E15" s="11" t="n">
        <v>56135.73</v>
      </c>
      <c r="F15" s="11" t="n">
        <f aca="false">E15-D15</f>
        <v>21245.73</v>
      </c>
      <c r="G15" s="12" t="n">
        <f aca="false">IF(D15=0,0,F15/D15)</f>
        <v>0.608934651762683</v>
      </c>
    </row>
    <row r="16" customFormat="false" ht="15" hidden="false" customHeight="true" outlineLevel="0" collapsed="false">
      <c r="B16" s="5" t="s">
        <v>131</v>
      </c>
      <c r="C16" s="5" t="s">
        <v>132</v>
      </c>
      <c r="D16" s="11" t="n">
        <v>160896.89</v>
      </c>
      <c r="E16" s="11" t="n">
        <v>178143.53</v>
      </c>
      <c r="F16" s="11" t="n">
        <f aca="false">E16-D16</f>
        <v>17246.64</v>
      </c>
      <c r="G16" s="12" t="n">
        <f aca="false">IF(D16=0,0,F16/D16)</f>
        <v>0.107190636189425</v>
      </c>
    </row>
    <row r="17" customFormat="false" ht="15" hidden="false" customHeight="true" outlineLevel="0" collapsed="false">
      <c r="B17" s="5" t="s">
        <v>126</v>
      </c>
      <c r="C17" s="5" t="s">
        <v>127</v>
      </c>
      <c r="D17" s="11" t="n">
        <v>39000</v>
      </c>
      <c r="E17" s="11" t="n">
        <v>53259.5</v>
      </c>
      <c r="F17" s="11" t="n">
        <f aca="false">E17-D17</f>
        <v>14259.5</v>
      </c>
      <c r="G17" s="12" t="n">
        <f aca="false">IF(D17=0,0,F17/D17)</f>
        <v>0.365628205128205</v>
      </c>
    </row>
    <row r="18" customFormat="false" ht="15" hidden="false" customHeight="true" outlineLevel="0" collapsed="false">
      <c r="B18" s="5" t="s">
        <v>105</v>
      </c>
      <c r="C18" s="5" t="s">
        <v>106</v>
      </c>
      <c r="D18" s="11" t="n">
        <v>13550</v>
      </c>
      <c r="E18" s="11" t="n">
        <v>21743.86</v>
      </c>
      <c r="F18" s="11" t="n">
        <f aca="false">E18-D18</f>
        <v>8193.86</v>
      </c>
      <c r="G18" s="12" t="n">
        <f aca="false">IF(D18=0,0,F18/D18)</f>
        <v>0.604712915129151</v>
      </c>
    </row>
    <row r="19" customFormat="false" ht="15" hidden="false" customHeight="true" outlineLevel="0" collapsed="false">
      <c r="B19" s="5" t="s">
        <v>86</v>
      </c>
      <c r="C19" s="5" t="s">
        <v>87</v>
      </c>
      <c r="D19" s="11" t="n">
        <v>13887</v>
      </c>
      <c r="E19" s="11" t="n">
        <v>19430.5</v>
      </c>
      <c r="F19" s="11" t="n">
        <f aca="false">E19-D19</f>
        <v>5543.5</v>
      </c>
      <c r="G19" s="12" t="n">
        <f aca="false">IF(D19=0,0,F19/D19)</f>
        <v>0.39918628933535</v>
      </c>
    </row>
    <row r="20" customFormat="false" ht="15" hidden="false" customHeight="true" outlineLevel="0" collapsed="false">
      <c r="B20" s="5" t="s">
        <v>117</v>
      </c>
      <c r="C20" s="5" t="s">
        <v>118</v>
      </c>
      <c r="D20" s="11" t="n">
        <v>45275</v>
      </c>
      <c r="E20" s="11" t="n">
        <v>49938.59</v>
      </c>
      <c r="F20" s="11" t="n">
        <f aca="false">E20-D20</f>
        <v>4663.59</v>
      </c>
      <c r="G20" s="12" t="n">
        <f aca="false">IF(D20=0,0,F20/D20)</f>
        <v>0.103005853119823</v>
      </c>
    </row>
    <row r="21" customFormat="false" ht="15" hidden="false" customHeight="true" outlineLevel="0" collapsed="false">
      <c r="B21" s="5" t="s">
        <v>133</v>
      </c>
      <c r="C21" s="5" t="s">
        <v>134</v>
      </c>
      <c r="D21" s="11" t="n">
        <v>31252.44</v>
      </c>
      <c r="E21" s="11" t="n">
        <v>34939.52</v>
      </c>
      <c r="F21" s="11" t="n">
        <f aca="false">E21-D21</f>
        <v>3687.08</v>
      </c>
      <c r="G21" s="12" t="n">
        <f aca="false">IF(D21=0,0,F21/D21)</f>
        <v>0.117977348328642</v>
      </c>
    </row>
    <row r="22" customFormat="false" ht="15" hidden="false" customHeight="true" outlineLevel="0" collapsed="false">
      <c r="B22" s="5" t="s">
        <v>88</v>
      </c>
      <c r="C22" s="5" t="s">
        <v>89</v>
      </c>
      <c r="D22" s="11" t="n">
        <v>18310</v>
      </c>
      <c r="E22" s="11" t="n">
        <v>21121.15</v>
      </c>
      <c r="F22" s="11" t="n">
        <f aca="false">E22-D22</f>
        <v>2811.15</v>
      </c>
      <c r="G22" s="12" t="n">
        <f aca="false">IF(D22=0,0,F22/D22)</f>
        <v>0.153530857454943</v>
      </c>
    </row>
    <row r="23" customFormat="false" ht="15" hidden="false" customHeight="true" outlineLevel="0" collapsed="false">
      <c r="B23" s="5" t="s">
        <v>98</v>
      </c>
      <c r="C23" s="5" t="s">
        <v>99</v>
      </c>
      <c r="D23" s="11" t="n">
        <v>7990</v>
      </c>
      <c r="E23" s="11" t="n">
        <v>10305.46</v>
      </c>
      <c r="F23" s="11" t="n">
        <f aca="false">E23-D23</f>
        <v>2315.46</v>
      </c>
      <c r="G23" s="12" t="n">
        <f aca="false">IF(D23=0,0,F23/D23)</f>
        <v>0.289794743429287</v>
      </c>
    </row>
    <row r="26" customFormat="false" ht="15" hidden="false" customHeight="true" outlineLevel="0" collapsed="false">
      <c r="B26" s="4" t="s">
        <v>143</v>
      </c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B27" s="10" t="s">
        <v>78</v>
      </c>
      <c r="C27" s="10" t="s">
        <v>79</v>
      </c>
      <c r="D27" s="10" t="s">
        <v>81</v>
      </c>
      <c r="E27" s="10" t="s">
        <v>30</v>
      </c>
      <c r="F27" s="10" t="s">
        <v>144</v>
      </c>
      <c r="G27" s="10" t="s">
        <v>145</v>
      </c>
    </row>
    <row r="28" customFormat="false" ht="15" hidden="false" customHeight="true" outlineLevel="0" collapsed="false">
      <c r="B28" s="5" t="s">
        <v>113</v>
      </c>
      <c r="C28" s="5" t="s">
        <v>114</v>
      </c>
      <c r="D28" s="11" t="n">
        <v>260675</v>
      </c>
      <c r="E28" s="11" t="n">
        <v>202739.69</v>
      </c>
      <c r="F28" s="11" t="n">
        <f aca="false">D28-E28</f>
        <v>57935.31</v>
      </c>
      <c r="G28" s="12" t="n">
        <f aca="false">IF(D28=0,0,F28/D28)</f>
        <v>0.222251117291647</v>
      </c>
    </row>
    <row r="29" customFormat="false" ht="15" hidden="false" customHeight="true" outlineLevel="0" collapsed="false">
      <c r="B29" s="5" t="s">
        <v>111</v>
      </c>
      <c r="C29" s="5" t="s">
        <v>112</v>
      </c>
      <c r="D29" s="11" t="n">
        <v>120660</v>
      </c>
      <c r="E29" s="11" t="n">
        <v>99695.01</v>
      </c>
      <c r="F29" s="11" t="n">
        <f aca="false">D29-E29</f>
        <v>20964.99</v>
      </c>
      <c r="G29" s="12" t="n">
        <f aca="false">IF(D29=0,0,F29/D29)</f>
        <v>0.173752610641472</v>
      </c>
    </row>
    <row r="30" customFormat="false" ht="15" hidden="false" customHeight="true" outlineLevel="0" collapsed="false">
      <c r="B30" s="5" t="s">
        <v>124</v>
      </c>
      <c r="C30" s="5" t="s">
        <v>125</v>
      </c>
      <c r="D30" s="11" t="n">
        <v>21550</v>
      </c>
      <c r="E30" s="11" t="n">
        <v>4501</v>
      </c>
      <c r="F30" s="11" t="n">
        <f aca="false">D30-E30</f>
        <v>17049</v>
      </c>
      <c r="G30" s="12" t="n">
        <f aca="false">IF(D30=0,0,F30/D30)</f>
        <v>0.791136890951276</v>
      </c>
    </row>
    <row r="31" customFormat="false" ht="15" hidden="false" customHeight="true" outlineLevel="0" collapsed="false">
      <c r="B31" s="5" t="s">
        <v>90</v>
      </c>
      <c r="C31" s="5" t="s">
        <v>91</v>
      </c>
      <c r="D31" s="11" t="n">
        <v>48780</v>
      </c>
      <c r="E31" s="11" t="n">
        <v>40673.76</v>
      </c>
      <c r="F31" s="11" t="n">
        <f aca="false">D31-E31</f>
        <v>8106.24</v>
      </c>
      <c r="G31" s="12" t="n">
        <f aca="false">IF(D31=0,0,F31/D31)</f>
        <v>0.166179581795818</v>
      </c>
    </row>
    <row r="32" customFormat="false" ht="15" hidden="false" customHeight="true" outlineLevel="0" collapsed="false">
      <c r="B32" s="5" t="s">
        <v>84</v>
      </c>
      <c r="C32" s="5" t="s">
        <v>85</v>
      </c>
      <c r="D32" s="11" t="n">
        <v>13414</v>
      </c>
      <c r="E32" s="11" t="n">
        <v>8726</v>
      </c>
      <c r="F32" s="11" t="n">
        <f aca="false">D32-E32</f>
        <v>4688</v>
      </c>
      <c r="G32" s="12" t="n">
        <f aca="false">IF(D32=0,0,F32/D32)</f>
        <v>0.349485612047115</v>
      </c>
    </row>
    <row r="33" customFormat="false" ht="15" hidden="false" customHeight="true" outlineLevel="0" collapsed="false">
      <c r="B33" s="5" t="s">
        <v>115</v>
      </c>
      <c r="C33" s="5" t="s">
        <v>116</v>
      </c>
      <c r="D33" s="11" t="n">
        <v>7369</v>
      </c>
      <c r="E33" s="11" t="n">
        <v>3604.09</v>
      </c>
      <c r="F33" s="11" t="n">
        <f aca="false">D33-E33</f>
        <v>3764.91</v>
      </c>
      <c r="G33" s="12" t="n">
        <f aca="false">IF(D33=0,0,F33/D33)</f>
        <v>0.510911928348487</v>
      </c>
    </row>
    <row r="34" customFormat="false" ht="15" hidden="false" customHeight="true" outlineLevel="0" collapsed="false">
      <c r="B34" s="5" t="s">
        <v>109</v>
      </c>
      <c r="C34" s="5" t="s">
        <v>110</v>
      </c>
      <c r="D34" s="11" t="n">
        <v>9520</v>
      </c>
      <c r="E34" s="11" t="n">
        <v>6538.72</v>
      </c>
      <c r="F34" s="11" t="n">
        <f aca="false">D34-E34</f>
        <v>2981.28</v>
      </c>
      <c r="G34" s="12" t="n">
        <f aca="false">IF(D34=0,0,F34/D34)</f>
        <v>0.313159663865546</v>
      </c>
    </row>
    <row r="35" customFormat="false" ht="15" hidden="false" customHeight="true" outlineLevel="0" collapsed="false">
      <c r="B35" s="5" t="s">
        <v>96</v>
      </c>
      <c r="C35" s="5" t="s">
        <v>97</v>
      </c>
      <c r="D35" s="11" t="n">
        <v>32580</v>
      </c>
      <c r="E35" s="11" t="n">
        <v>30179</v>
      </c>
      <c r="F35" s="11" t="n">
        <f aca="false">D35-E35</f>
        <v>2401</v>
      </c>
      <c r="G35" s="12" t="n">
        <f aca="false">IF(D35=0,0,F35/D35)</f>
        <v>0.073695518723143</v>
      </c>
    </row>
    <row r="36" customFormat="false" ht="15" hidden="false" customHeight="true" outlineLevel="0" collapsed="false">
      <c r="B36" s="5" t="s">
        <v>128</v>
      </c>
      <c r="C36" s="5" t="s">
        <v>129</v>
      </c>
      <c r="D36" s="11" t="n">
        <v>10770</v>
      </c>
      <c r="E36" s="11" t="n">
        <v>8886</v>
      </c>
      <c r="F36" s="11" t="n">
        <f aca="false">D36-E36</f>
        <v>1884</v>
      </c>
      <c r="G36" s="12" t="n">
        <f aca="false">IF(D36=0,0,F36/D36)</f>
        <v>0.174930362116992</v>
      </c>
    </row>
    <row r="39" customFormat="false" ht="15" hidden="false" customHeight="true" outlineLevel="0" collapsed="false">
      <c r="B39" s="4" t="s">
        <v>64</v>
      </c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69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70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71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72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73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74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75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76</v>
      </c>
      <c r="C51" s="3"/>
      <c r="D51" s="3"/>
      <c r="E51" s="3"/>
      <c r="F51" s="3"/>
      <c r="G51" s="3"/>
      <c r="H51" s="3"/>
      <c r="I51" s="3"/>
    </row>
  </sheetData>
  <mergeCells count="17">
    <mergeCell ref="B2:I2"/>
    <mergeCell ref="B4:I4"/>
    <mergeCell ref="B12:I12"/>
    <mergeCell ref="B26:I26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146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147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148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78</v>
      </c>
      <c r="C6" s="10" t="s">
        <v>79</v>
      </c>
      <c r="D6" s="10" t="s">
        <v>81</v>
      </c>
      <c r="E6" s="10" t="s">
        <v>30</v>
      </c>
      <c r="F6" s="10" t="s">
        <v>31</v>
      </c>
      <c r="G6" s="10" t="s">
        <v>82</v>
      </c>
      <c r="H6" s="10" t="s">
        <v>149</v>
      </c>
      <c r="I6" s="10" t="s">
        <v>139</v>
      </c>
    </row>
    <row r="7" customFormat="false" ht="15" hidden="false" customHeight="true" outlineLevel="0" collapsed="false">
      <c r="B7" s="5" t="s">
        <v>105</v>
      </c>
      <c r="C7" s="5" t="s">
        <v>106</v>
      </c>
      <c r="D7" s="11" t="n">
        <v>13550</v>
      </c>
      <c r="E7" s="11" t="n">
        <v>21743.86</v>
      </c>
      <c r="F7" s="11" t="n">
        <f aca="false">D7-E7</f>
        <v>-8193.86</v>
      </c>
      <c r="G7" s="12" t="n">
        <f aca="false">IF(D7=0,0,E7/D7)</f>
        <v>1.60471291512915</v>
      </c>
      <c r="H7" s="12" t="n">
        <f aca="false">IF(423924.46=0,0,E7/423924.46)</f>
        <v>0.0512918268504724</v>
      </c>
      <c r="I7" s="11" t="n">
        <f aca="false">IF(182=0,0,E7/182)</f>
        <v>119.471758241758</v>
      </c>
    </row>
    <row r="8" customFormat="false" ht="15" hidden="false" customHeight="true" outlineLevel="0" collapsed="false">
      <c r="B8" s="5" t="s">
        <v>107</v>
      </c>
      <c r="C8" s="5" t="s">
        <v>108</v>
      </c>
      <c r="D8" s="11" t="n">
        <v>37700</v>
      </c>
      <c r="E8" s="11" t="n">
        <v>39526.02</v>
      </c>
      <c r="F8" s="11" t="n">
        <f aca="false">D8-E8</f>
        <v>-1826.02</v>
      </c>
      <c r="G8" s="12" t="n">
        <f aca="false">IF(D8=0,0,E8/D8)</f>
        <v>1.04843554376658</v>
      </c>
      <c r="H8" s="12" t="n">
        <f aca="false">IF(423924.46=0,0,E8/423924.46)</f>
        <v>0.0932383566638264</v>
      </c>
      <c r="I8" s="11" t="n">
        <f aca="false">IF(182=0,0,E8/182)</f>
        <v>217.175934065934</v>
      </c>
    </row>
    <row r="9" customFormat="false" ht="15" hidden="false" customHeight="true" outlineLevel="0" collapsed="false">
      <c r="B9" s="5" t="s">
        <v>109</v>
      </c>
      <c r="C9" s="5" t="s">
        <v>110</v>
      </c>
      <c r="D9" s="11" t="n">
        <v>9520</v>
      </c>
      <c r="E9" s="11" t="n">
        <v>6538.72</v>
      </c>
      <c r="F9" s="11" t="n">
        <f aca="false">D9-E9</f>
        <v>2981.28</v>
      </c>
      <c r="G9" s="12" t="n">
        <f aca="false">IF(D9=0,0,E9/D9)</f>
        <v>0.686840336134454</v>
      </c>
      <c r="H9" s="12" t="n">
        <f aca="false">IF(423924.46=0,0,E9/423924.46)</f>
        <v>0.0154242574254857</v>
      </c>
      <c r="I9" s="11" t="n">
        <f aca="false">IF(182=0,0,E9/182)</f>
        <v>35.927032967033</v>
      </c>
    </row>
    <row r="10" customFormat="false" ht="15" hidden="false" customHeight="true" outlineLevel="0" collapsed="false">
      <c r="B10" s="5" t="s">
        <v>111</v>
      </c>
      <c r="C10" s="5" t="s">
        <v>112</v>
      </c>
      <c r="D10" s="11" t="n">
        <v>120660</v>
      </c>
      <c r="E10" s="11" t="n">
        <v>99695.01</v>
      </c>
      <c r="F10" s="11" t="n">
        <f aca="false">D10-E10</f>
        <v>20964.99</v>
      </c>
      <c r="G10" s="12" t="n">
        <f aca="false">IF(D10=0,0,E10/D10)</f>
        <v>0.826247389358528</v>
      </c>
      <c r="H10" s="12" t="n">
        <f aca="false">IF(423924.46=0,0,E10/423924.46)</f>
        <v>0.235171638833956</v>
      </c>
      <c r="I10" s="11" t="n">
        <f aca="false">IF(182=0,0,E10/182)</f>
        <v>547.77478021978</v>
      </c>
    </row>
    <row r="11" customFormat="false" ht="15" hidden="false" customHeight="true" outlineLevel="0" collapsed="false">
      <c r="B11" s="5" t="s">
        <v>113</v>
      </c>
      <c r="C11" s="5" t="s">
        <v>114</v>
      </c>
      <c r="D11" s="11" t="n">
        <v>260675</v>
      </c>
      <c r="E11" s="11" t="n">
        <v>202739.69</v>
      </c>
      <c r="F11" s="11" t="n">
        <f aca="false">D11-E11</f>
        <v>57935.31</v>
      </c>
      <c r="G11" s="12" t="n">
        <f aca="false">IF(D11=0,0,E11/D11)</f>
        <v>0.777748882708353</v>
      </c>
      <c r="H11" s="12" t="n">
        <f aca="false">IF(423924.46=0,0,E11/423924.46)</f>
        <v>0.478244850509452</v>
      </c>
      <c r="I11" s="11" t="n">
        <f aca="false">IF(182=0,0,E11/182)</f>
        <v>1113.95434065934</v>
      </c>
    </row>
    <row r="12" customFormat="false" ht="15" hidden="false" customHeight="true" outlineLevel="0" collapsed="false">
      <c r="B12" s="5" t="s">
        <v>115</v>
      </c>
      <c r="C12" s="5" t="s">
        <v>116</v>
      </c>
      <c r="D12" s="11" t="n">
        <v>7369</v>
      </c>
      <c r="E12" s="11" t="n">
        <v>3604.09</v>
      </c>
      <c r="F12" s="11" t="n">
        <f aca="false">D12-E12</f>
        <v>3764.91</v>
      </c>
      <c r="G12" s="12" t="n">
        <f aca="false">IF(D12=0,0,E12/D12)</f>
        <v>0.489088071651513</v>
      </c>
      <c r="H12" s="12" t="n">
        <f aca="false">IF(423924.46=0,0,E12/423924.46)</f>
        <v>0.00850172693502989</v>
      </c>
      <c r="I12" s="11" t="n">
        <f aca="false">IF(182=0,0,E12/182)</f>
        <v>19.8026923076923</v>
      </c>
    </row>
    <row r="13" customFormat="false" ht="15" hidden="false" customHeight="true" outlineLevel="0" collapsed="false">
      <c r="B13" s="5" t="s">
        <v>117</v>
      </c>
      <c r="C13" s="5" t="s">
        <v>118</v>
      </c>
      <c r="D13" s="11" t="n">
        <v>45275</v>
      </c>
      <c r="E13" s="11" t="n">
        <v>49938.59</v>
      </c>
      <c r="F13" s="11" t="n">
        <f aca="false">D13-E13</f>
        <v>-4663.59</v>
      </c>
      <c r="G13" s="12" t="n">
        <f aca="false">IF(D13=0,0,E13/D13)</f>
        <v>1.10300585311982</v>
      </c>
      <c r="H13" s="12" t="n">
        <f aca="false">IF(423924.46=0,0,E13/423924.46)</f>
        <v>0.117800680809973</v>
      </c>
      <c r="I13" s="11" t="n">
        <f aca="false">IF(182=0,0,E13/182)</f>
        <v>274.387857142857</v>
      </c>
    </row>
    <row r="14" customFormat="false" ht="15" hidden="false" customHeight="true" outlineLevel="0" collapsed="false">
      <c r="B14" s="5" t="s">
        <v>119</v>
      </c>
      <c r="C14" s="5" t="s">
        <v>120</v>
      </c>
      <c r="D14" s="11" t="n">
        <v>0</v>
      </c>
      <c r="E14" s="11" t="n">
        <v>5.44</v>
      </c>
      <c r="F14" s="11" t="n">
        <f aca="false">D14-E14</f>
        <v>-5.44</v>
      </c>
      <c r="G14" s="12" t="n">
        <f aca="false">IF(D14=0,0,E14/D14)</f>
        <v>0</v>
      </c>
      <c r="H14" s="12" t="n">
        <f aca="false">IF(423924.46=0,0,E14/423924.46)</f>
        <v>1.28324749178191E-005</v>
      </c>
      <c r="I14" s="11" t="n">
        <f aca="false">IF(182=0,0,E14/182)</f>
        <v>0.0298901098901099</v>
      </c>
    </row>
    <row r="15" customFormat="false" ht="15" hidden="false" customHeight="true" outlineLevel="0" collapsed="false">
      <c r="B15" s="5" t="s">
        <v>121</v>
      </c>
      <c r="C15" s="5" t="s">
        <v>122</v>
      </c>
      <c r="D15" s="11" t="n">
        <v>0</v>
      </c>
      <c r="E15" s="11" t="n">
        <v>133.04</v>
      </c>
      <c r="F15" s="11" t="n">
        <f aca="false">D15-E15</f>
        <v>-133.04</v>
      </c>
      <c r="G15" s="12" t="n">
        <f aca="false">IF(D15=0,0,E15/D15)</f>
        <v>0</v>
      </c>
      <c r="H15" s="12" t="n">
        <f aca="false">IF(423924.46=0,0,E15/423924.46)</f>
        <v>0.000313829496887252</v>
      </c>
      <c r="I15" s="11" t="n">
        <f aca="false">IF(182=0,0,E15/182)</f>
        <v>0.730989010989011</v>
      </c>
    </row>
    <row r="16" customFormat="false" ht="15" hidden="false" customHeight="true" outlineLevel="0" collapsed="false">
      <c r="B16" s="6" t="s">
        <v>38</v>
      </c>
      <c r="C16" s="6" t="s">
        <v>150</v>
      </c>
      <c r="D16" s="13" t="n">
        <f aca="false">SUM(D7:D15)</f>
        <v>494749</v>
      </c>
      <c r="E16" s="13" t="n">
        <f aca="false">SUM(E7:E15)</f>
        <v>423924.46</v>
      </c>
      <c r="F16" s="13" t="n">
        <f aca="false">D16-E16</f>
        <v>70824.54</v>
      </c>
      <c r="G16" s="14" t="n">
        <f aca="false">IF(D16=0,0,E16/D16)</f>
        <v>0.856847532789354</v>
      </c>
      <c r="H16" s="14" t="n">
        <v>1</v>
      </c>
      <c r="I16" s="13" t="n">
        <f aca="false">IF(182=0,0,E16/182)</f>
        <v>2329.25527472527</v>
      </c>
    </row>
    <row r="19" customFormat="false" ht="15" hidden="false" customHeight="true" outlineLevel="0" collapsed="false">
      <c r="B19" s="4" t="s">
        <v>151</v>
      </c>
      <c r="C19" s="4"/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B20" s="10" t="s">
        <v>152</v>
      </c>
      <c r="C20" s="10" t="s">
        <v>153</v>
      </c>
      <c r="D20" s="10" t="s">
        <v>154</v>
      </c>
      <c r="E20" s="10" t="s">
        <v>155</v>
      </c>
      <c r="F20" s="10"/>
      <c r="G20" s="10"/>
      <c r="H20" s="10"/>
      <c r="I20" s="10" t="s">
        <v>156</v>
      </c>
    </row>
    <row r="21" customFormat="false" ht="15" hidden="false" customHeight="true" outlineLevel="0" collapsed="false">
      <c r="B21" s="5" t="s">
        <v>157</v>
      </c>
      <c r="C21" s="15" t="n">
        <v>82</v>
      </c>
      <c r="D21" s="11" t="n">
        <v>121504.28</v>
      </c>
      <c r="E21" s="12" t="n">
        <f aca="false">IF(436423.47=0,0,D21/436423.47)</f>
        <v>0.278409133220998</v>
      </c>
      <c r="I21" s="11" t="n">
        <f aca="false">IF(C21=0,0,D21/C21)</f>
        <v>1481.75951219512</v>
      </c>
    </row>
    <row r="22" customFormat="false" ht="15" hidden="false" customHeight="true" outlineLevel="0" collapsed="false">
      <c r="B22" s="5" t="s">
        <v>158</v>
      </c>
      <c r="C22" s="15" t="n">
        <v>77</v>
      </c>
      <c r="D22" s="11" t="n">
        <v>98623.69</v>
      </c>
      <c r="E22" s="12" t="n">
        <f aca="false">IF(436423.47=0,0,D22/436423.47)</f>
        <v>0.225981636597134</v>
      </c>
      <c r="I22" s="11" t="n">
        <f aca="false">IF(C22=0,0,D22/C22)</f>
        <v>1280.82714285714</v>
      </c>
    </row>
    <row r="23" customFormat="false" ht="15" hidden="false" customHeight="true" outlineLevel="0" collapsed="false">
      <c r="B23" s="5" t="s">
        <v>159</v>
      </c>
      <c r="C23" s="15" t="n">
        <v>52</v>
      </c>
      <c r="D23" s="11" t="n">
        <v>76284.33</v>
      </c>
      <c r="E23" s="12" t="n">
        <f aca="false">IF(436423.47=0,0,D23/436423.47)</f>
        <v>0.17479428867563</v>
      </c>
      <c r="I23" s="11" t="n">
        <f aca="false">IF(C23=0,0,D23/C23)</f>
        <v>1467.00634615385</v>
      </c>
    </row>
    <row r="24" customFormat="false" ht="15" hidden="false" customHeight="true" outlineLevel="0" collapsed="false">
      <c r="B24" s="5" t="s">
        <v>160</v>
      </c>
      <c r="C24" s="15" t="n">
        <v>8</v>
      </c>
      <c r="D24" s="11" t="n">
        <v>53259.5</v>
      </c>
      <c r="E24" s="12" t="n">
        <f aca="false">IF(436423.47=0,0,D24/436423.47)</f>
        <v>0.122036287370155</v>
      </c>
      <c r="I24" s="11" t="n">
        <f aca="false">IF(C24=0,0,D24/C24)</f>
        <v>6657.4375</v>
      </c>
    </row>
    <row r="25" customFormat="false" ht="15" hidden="false" customHeight="true" outlineLevel="0" collapsed="false">
      <c r="B25" s="5" t="s">
        <v>161</v>
      </c>
      <c r="C25" s="15" t="n">
        <v>3</v>
      </c>
      <c r="D25" s="11" t="n">
        <v>34858.54</v>
      </c>
      <c r="E25" s="12" t="n">
        <f aca="false">IF(436423.47=0,0,D25/436423.47)</f>
        <v>0.0798732020530427</v>
      </c>
      <c r="I25" s="11" t="n">
        <f aca="false">IF(C25=0,0,D25/C25)</f>
        <v>11619.5133333333</v>
      </c>
    </row>
    <row r="26" customFormat="false" ht="15" hidden="false" customHeight="true" outlineLevel="0" collapsed="false">
      <c r="B26" s="5" t="s">
        <v>162</v>
      </c>
      <c r="C26" s="15" t="n">
        <v>2</v>
      </c>
      <c r="D26" s="11" t="n">
        <v>21294</v>
      </c>
      <c r="E26" s="12" t="n">
        <f aca="false">IF(436423.47=0,0,D26/436423.47)</f>
        <v>0.0487920596937649</v>
      </c>
      <c r="I26" s="11" t="n">
        <f aca="false">IF(C26=0,0,D26/C26)</f>
        <v>10647</v>
      </c>
    </row>
    <row r="27" customFormat="false" ht="15" hidden="false" customHeight="true" outlineLevel="0" collapsed="false">
      <c r="B27" s="5" t="s">
        <v>163</v>
      </c>
      <c r="C27" s="15" t="n">
        <v>5</v>
      </c>
      <c r="D27" s="11" t="n">
        <v>8886</v>
      </c>
      <c r="E27" s="12" t="n">
        <f aca="false">IF(436423.47=0,0,D27/436423.47)</f>
        <v>0.0203609581308723</v>
      </c>
      <c r="I27" s="11" t="n">
        <f aca="false">IF(C27=0,0,D27/C27)</f>
        <v>1777.2</v>
      </c>
    </row>
    <row r="28" customFormat="false" ht="15" hidden="false" customHeight="true" outlineLevel="0" collapsed="false">
      <c r="B28" s="5" t="s">
        <v>164</v>
      </c>
      <c r="C28" s="15" t="n">
        <v>6</v>
      </c>
      <c r="D28" s="11" t="n">
        <v>4652.03</v>
      </c>
      <c r="E28" s="12" t="n">
        <f aca="false">IF(436423.47=0,0,D28/436423.47)</f>
        <v>0.0106594404741798</v>
      </c>
      <c r="I28" s="11" t="n">
        <f aca="false">IF(C28=0,0,D28/C28)</f>
        <v>775.338333333333</v>
      </c>
    </row>
    <row r="29" customFormat="false" ht="15" hidden="false" customHeight="true" outlineLevel="0" collapsed="false">
      <c r="B29" s="5" t="s">
        <v>165</v>
      </c>
      <c r="C29" s="15" t="n">
        <v>5</v>
      </c>
      <c r="D29" s="11" t="n">
        <v>4401</v>
      </c>
      <c r="E29" s="12" t="n">
        <f aca="false">IF(436423.47=0,0,D29/436423.47)</f>
        <v>0.0100842422613064</v>
      </c>
      <c r="I29" s="11" t="n">
        <f aca="false">IF(C29=0,0,D29/C29)</f>
        <v>880.2</v>
      </c>
    </row>
    <row r="30" customFormat="false" ht="15" hidden="false" customHeight="true" outlineLevel="0" collapsed="false">
      <c r="B30" s="5" t="s">
        <v>166</v>
      </c>
      <c r="C30" s="15" t="n">
        <v>4</v>
      </c>
      <c r="D30" s="11" t="n">
        <v>3386</v>
      </c>
      <c r="E30" s="12" t="n">
        <f aca="false">IF(436423.47=0,0,D30/436423.47)</f>
        <v>0.00775851949483835</v>
      </c>
      <c r="I30" s="11" t="n">
        <f aca="false">IF(C30=0,0,D30/C30)</f>
        <v>846.5</v>
      </c>
    </row>
    <row r="31" customFormat="false" ht="15" hidden="false" customHeight="true" outlineLevel="0" collapsed="false">
      <c r="B31" s="5" t="s">
        <v>167</v>
      </c>
      <c r="C31" s="15" t="n">
        <v>4</v>
      </c>
      <c r="D31" s="11" t="n">
        <v>1442.8</v>
      </c>
      <c r="E31" s="12" t="n">
        <f aca="false">IF(436423.47=0,0,D31/436423.47)</f>
        <v>0.0033059633571036</v>
      </c>
      <c r="I31" s="11" t="n">
        <f aca="false">IF(C31=0,0,D31/C31)</f>
        <v>360.7</v>
      </c>
    </row>
    <row r="32" customFormat="false" ht="15" hidden="false" customHeight="true" outlineLevel="0" collapsed="false">
      <c r="B32" s="5" t="s">
        <v>168</v>
      </c>
      <c r="C32" s="15" t="n">
        <v>5</v>
      </c>
      <c r="D32" s="11" t="n">
        <v>1311.2</v>
      </c>
      <c r="E32" s="12" t="n">
        <f aca="false">IF(436423.47=0,0,D32/436423.47)</f>
        <v>0.00300442137083049</v>
      </c>
      <c r="I32" s="11" t="n">
        <f aca="false">IF(C32=0,0,D32/C32)</f>
        <v>262.24</v>
      </c>
    </row>
    <row r="33" customFormat="false" ht="15" hidden="false" customHeight="true" outlineLevel="0" collapsed="false">
      <c r="B33" s="5" t="s">
        <v>169</v>
      </c>
      <c r="C33" s="15" t="n">
        <v>3</v>
      </c>
      <c r="D33" s="11" t="n">
        <v>1290.12</v>
      </c>
      <c r="E33" s="12" t="n">
        <f aca="false">IF(436423.47=0,0,D33/436423.47)</f>
        <v>0.00295611966056729</v>
      </c>
      <c r="I33" s="11" t="n">
        <f aca="false">IF(C33=0,0,D33/C33)</f>
        <v>430.04</v>
      </c>
    </row>
    <row r="34" customFormat="false" ht="15" hidden="false" customHeight="true" outlineLevel="0" collapsed="false">
      <c r="B34" s="5" t="s">
        <v>170</v>
      </c>
      <c r="C34" s="15" t="n">
        <v>4</v>
      </c>
      <c r="D34" s="11" t="n">
        <v>1260.54</v>
      </c>
      <c r="E34" s="12" t="n">
        <f aca="false">IF(436423.47=0,0,D34/436423.47)</f>
        <v>0.00288834145423022</v>
      </c>
      <c r="I34" s="11" t="n">
        <f aca="false">IF(C34=0,0,D34/C34)</f>
        <v>315.135</v>
      </c>
    </row>
    <row r="35" customFormat="false" ht="15" hidden="false" customHeight="true" outlineLevel="0" collapsed="false">
      <c r="B35" s="5" t="s">
        <v>171</v>
      </c>
      <c r="C35" s="15" t="n">
        <v>3</v>
      </c>
      <c r="D35" s="11" t="n">
        <v>891.82</v>
      </c>
      <c r="E35" s="12" t="n">
        <f aca="false">IF(436423.47=0,0,D35/436423.47)</f>
        <v>0.00204347396807051</v>
      </c>
      <c r="I35" s="11" t="n">
        <f aca="false">IF(C35=0,0,D35/C35)</f>
        <v>297.273333333333</v>
      </c>
    </row>
    <row r="36" customFormat="false" ht="15" hidden="false" customHeight="true" outlineLevel="0" collapsed="false">
      <c r="B36" s="5" t="s">
        <v>172</v>
      </c>
      <c r="C36" s="15" t="n">
        <v>3</v>
      </c>
      <c r="D36" s="11" t="n">
        <v>759.6</v>
      </c>
      <c r="E36" s="12" t="n">
        <f aca="false">IF(436423.47=0,0,D36/436423.47)</f>
        <v>0.00174051134326025</v>
      </c>
      <c r="I36" s="11" t="n">
        <f aca="false">IF(C36=0,0,D36/C36)</f>
        <v>253.2</v>
      </c>
    </row>
    <row r="37" customFormat="false" ht="15" hidden="false" customHeight="true" outlineLevel="0" collapsed="false">
      <c r="B37" s="5" t="s">
        <v>173</v>
      </c>
      <c r="C37" s="15" t="n">
        <v>4</v>
      </c>
      <c r="D37" s="11" t="n">
        <v>725.12</v>
      </c>
      <c r="E37" s="12" t="n">
        <f aca="false">IF(436423.47=0,0,D37/436423.47)</f>
        <v>0.00166150550977472</v>
      </c>
      <c r="I37" s="11" t="n">
        <f aca="false">IF(C37=0,0,D37/C37)</f>
        <v>181.28</v>
      </c>
    </row>
    <row r="38" customFormat="false" ht="15" hidden="false" customHeight="true" outlineLevel="0" collapsed="false">
      <c r="B38" s="5" t="s">
        <v>174</v>
      </c>
      <c r="C38" s="15" t="n">
        <v>2</v>
      </c>
      <c r="D38" s="11" t="n">
        <v>713.58</v>
      </c>
      <c r="E38" s="12" t="n">
        <f aca="false">IF(436423.47=0,0,D38/436423.47)</f>
        <v>0.00163506330216384</v>
      </c>
      <c r="I38" s="11" t="n">
        <f aca="false">IF(C38=0,0,D38/C38)</f>
        <v>356.79</v>
      </c>
    </row>
    <row r="39" customFormat="false" ht="15" hidden="false" customHeight="true" outlineLevel="0" collapsed="false">
      <c r="B39" s="5" t="s">
        <v>175</v>
      </c>
      <c r="C39" s="15" t="n">
        <v>2</v>
      </c>
      <c r="D39" s="11" t="n">
        <v>576.57</v>
      </c>
      <c r="E39" s="12" t="n">
        <f aca="false">IF(436423.47=0,0,D39/436423.47)</f>
        <v>0.00132112509897783</v>
      </c>
      <c r="I39" s="11" t="n">
        <f aca="false">IF(C39=0,0,D39/C39)</f>
        <v>288.285</v>
      </c>
    </row>
    <row r="40" customFormat="false" ht="15" hidden="false" customHeight="true" outlineLevel="0" collapsed="false">
      <c r="B40" s="5" t="s">
        <v>176</v>
      </c>
      <c r="C40" s="15" t="n">
        <v>5</v>
      </c>
      <c r="D40" s="11" t="n">
        <v>202.75</v>
      </c>
      <c r="E40" s="12" t="n">
        <f aca="false">IF(436423.47=0,0,D40/436423.47)</f>
        <v>0.000464571715173797</v>
      </c>
      <c r="I40" s="11" t="n">
        <f aca="false">IF(C40=0,0,D40/C40)</f>
        <v>40.55</v>
      </c>
    </row>
    <row r="41" customFormat="false" ht="15" hidden="false" customHeight="true" outlineLevel="0" collapsed="false">
      <c r="B41" s="5" t="s">
        <v>177</v>
      </c>
      <c r="C41" s="15" t="n">
        <v>1</v>
      </c>
      <c r="D41" s="11" t="n">
        <v>100</v>
      </c>
      <c r="E41" s="12" t="n">
        <f aca="false">IF(436423.47=0,0,D41/436423.47)</f>
        <v>0.00022913524792789</v>
      </c>
      <c r="I41" s="11" t="n">
        <f aca="false">IF(C41=0,0,D41/C41)</f>
        <v>100</v>
      </c>
    </row>
    <row r="42" customFormat="false" ht="15" hidden="false" customHeight="true" outlineLevel="0" collapsed="false">
      <c r="B42" s="6" t="s">
        <v>38</v>
      </c>
      <c r="C42" s="16" t="n">
        <f aca="false">SUM(C21:C41)</f>
        <v>280</v>
      </c>
      <c r="D42" s="13" t="n">
        <f aca="false">SUM(D21:D41)</f>
        <v>436423.47</v>
      </c>
      <c r="E42" s="14" t="n">
        <v>1</v>
      </c>
    </row>
    <row r="45" customFormat="false" ht="15" hidden="false" customHeight="true" outlineLevel="0" collapsed="false">
      <c r="B45" s="4" t="s">
        <v>64</v>
      </c>
      <c r="C45" s="4"/>
      <c r="D45" s="4"/>
      <c r="E45" s="4"/>
      <c r="F45" s="4"/>
      <c r="G45" s="4"/>
      <c r="H45" s="4"/>
      <c r="I45" s="4"/>
    </row>
    <row r="46" customFormat="false" ht="15" hidden="false" customHeight="true" outlineLevel="0" collapsed="false">
      <c r="B46" s="3" t="s">
        <v>65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66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67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68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69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70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71</v>
      </c>
      <c r="C52" s="3"/>
      <c r="D52" s="3"/>
      <c r="E52" s="3"/>
      <c r="F52" s="3"/>
      <c r="G52" s="3"/>
      <c r="H52" s="3"/>
      <c r="I52" s="3"/>
    </row>
    <row r="53" customFormat="false" ht="15" hidden="false" customHeight="true" outlineLevel="0" collapsed="false">
      <c r="B53" s="3" t="s">
        <v>72</v>
      </c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B54" s="3" t="s">
        <v>73</v>
      </c>
      <c r="C54" s="3"/>
      <c r="D54" s="3"/>
      <c r="E54" s="3"/>
      <c r="F54" s="3"/>
      <c r="G54" s="3"/>
      <c r="H54" s="3"/>
      <c r="I54" s="3"/>
    </row>
    <row r="55" customFormat="false" ht="15" hidden="false" customHeight="true" outlineLevel="0" collapsed="false">
      <c r="B55" s="3" t="s">
        <v>74</v>
      </c>
      <c r="C55" s="3"/>
      <c r="D55" s="3"/>
      <c r="E55" s="3"/>
      <c r="F55" s="3"/>
      <c r="G55" s="3"/>
      <c r="H55" s="3"/>
      <c r="I55" s="3"/>
    </row>
    <row r="56" customFormat="false" ht="15" hidden="false" customHeight="true" outlineLevel="0" collapsed="false">
      <c r="B56" s="3" t="s">
        <v>75</v>
      </c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B57" s="3" t="s">
        <v>76</v>
      </c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B58" s="3" t="s">
        <v>178</v>
      </c>
      <c r="C58" s="3"/>
      <c r="D58" s="3"/>
      <c r="E58" s="3"/>
      <c r="F58" s="3"/>
      <c r="G58" s="3"/>
      <c r="H58" s="3"/>
      <c r="I58" s="3"/>
    </row>
  </sheetData>
  <mergeCells count="18">
    <mergeCell ref="B2:I2"/>
    <mergeCell ref="B3:I3"/>
    <mergeCell ref="B5:I5"/>
    <mergeCell ref="B19:I19"/>
    <mergeCell ref="B45:I45"/>
    <mergeCell ref="B46:I46"/>
    <mergeCell ref="B47:I47"/>
    <mergeCell ref="B48:I48"/>
    <mergeCell ref="B49:I49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179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180</v>
      </c>
      <c r="C4" s="10" t="s">
        <v>181</v>
      </c>
      <c r="D4" s="10" t="s">
        <v>182</v>
      </c>
      <c r="E4" s="10" t="s">
        <v>183</v>
      </c>
      <c r="F4" s="10" t="s">
        <v>184</v>
      </c>
    </row>
    <row r="5" customFormat="false" ht="15" hidden="false" customHeight="true" outlineLevel="0" collapsed="false">
      <c r="B5" s="5" t="s">
        <v>185</v>
      </c>
      <c r="C5" s="17" t="n">
        <v>1565.5</v>
      </c>
      <c r="D5" s="11" t="n">
        <v>29049</v>
      </c>
      <c r="E5" s="18" t="n">
        <f aca="false">IF(C5=0,0,D5/C5)</f>
        <v>18.5557329926541</v>
      </c>
      <c r="F5" s="5" t="s">
        <v>186</v>
      </c>
    </row>
    <row r="6" customFormat="false" ht="15" hidden="false" customHeight="true" outlineLevel="0" collapsed="false">
      <c r="B6" s="5" t="s">
        <v>187</v>
      </c>
      <c r="C6" s="17" t="n">
        <v>1507.5</v>
      </c>
      <c r="D6" s="11" t="n">
        <v>51734</v>
      </c>
      <c r="E6" s="18" t="n">
        <f aca="false">IF(C6=0,0,D6/C6)</f>
        <v>34.3177446102819</v>
      </c>
      <c r="F6" s="5" t="s">
        <v>188</v>
      </c>
    </row>
    <row r="7" customFormat="false" ht="15" hidden="false" customHeight="true" outlineLevel="0" collapsed="false">
      <c r="B7" s="5" t="s">
        <v>189</v>
      </c>
      <c r="C7" s="17" t="n">
        <v>1471.5</v>
      </c>
      <c r="D7" s="11" t="n">
        <v>33849.5</v>
      </c>
      <c r="E7" s="18" t="n">
        <f aca="false">IF(C7=0,0,D7/C7)</f>
        <v>23.0033978933062</v>
      </c>
      <c r="F7" s="5" t="s">
        <v>186</v>
      </c>
    </row>
    <row r="8" customFormat="false" ht="15" hidden="false" customHeight="true" outlineLevel="0" collapsed="false">
      <c r="B8" s="5" t="s">
        <v>190</v>
      </c>
      <c r="C8" s="17" t="n">
        <v>1390.5</v>
      </c>
      <c r="D8" s="11" t="n">
        <v>25856.5</v>
      </c>
      <c r="E8" s="18" t="n">
        <f aca="false">IF(C8=0,0,D8/C8)</f>
        <v>18.5951096727796</v>
      </c>
      <c r="F8" s="5" t="s">
        <v>186</v>
      </c>
    </row>
    <row r="9" customFormat="false" ht="15" hidden="false" customHeight="true" outlineLevel="0" collapsed="false">
      <c r="B9" s="5" t="s">
        <v>191</v>
      </c>
      <c r="C9" s="17" t="n">
        <v>1355</v>
      </c>
      <c r="D9" s="11" t="n">
        <v>43226</v>
      </c>
      <c r="E9" s="18" t="n">
        <f aca="false">IF(C9=0,0,D9/C9)</f>
        <v>31.9011070110701</v>
      </c>
      <c r="F9" s="5" t="s">
        <v>188</v>
      </c>
    </row>
    <row r="10" customFormat="false" ht="15" hidden="false" customHeight="true" outlineLevel="0" collapsed="false">
      <c r="B10" s="5" t="s">
        <v>192</v>
      </c>
      <c r="C10" s="17" t="n">
        <v>1309</v>
      </c>
      <c r="D10" s="11" t="n">
        <v>19936</v>
      </c>
      <c r="E10" s="18" t="n">
        <f aca="false">IF(C10=0,0,D10/C10)</f>
        <v>15.2299465240642</v>
      </c>
      <c r="F10" s="5" t="s">
        <v>193</v>
      </c>
    </row>
    <row r="11" customFormat="false" ht="15" hidden="false" customHeight="true" outlineLevel="0" collapsed="false">
      <c r="B11" s="5" t="s">
        <v>194</v>
      </c>
      <c r="C11" s="17" t="n">
        <v>1232</v>
      </c>
      <c r="D11" s="11" t="n">
        <v>29632</v>
      </c>
      <c r="E11" s="18" t="n">
        <f aca="false">IF(C11=0,0,D11/C11)</f>
        <v>24.0519480519481</v>
      </c>
      <c r="F11" s="5" t="s">
        <v>186</v>
      </c>
    </row>
    <row r="12" customFormat="false" ht="15" hidden="false" customHeight="true" outlineLevel="0" collapsed="false">
      <c r="B12" s="5" t="s">
        <v>195</v>
      </c>
      <c r="C12" s="17" t="n">
        <v>859</v>
      </c>
      <c r="D12" s="11" t="n">
        <v>12533</v>
      </c>
      <c r="E12" s="18" t="n">
        <f aca="false">IF(C12=0,0,D12/C12)</f>
        <v>14.5902211874272</v>
      </c>
      <c r="F12" s="5" t="s">
        <v>193</v>
      </c>
    </row>
    <row r="13" customFormat="false" ht="15" hidden="false" customHeight="true" outlineLevel="0" collapsed="false">
      <c r="B13" s="5" t="s">
        <v>196</v>
      </c>
      <c r="C13" s="17" t="n">
        <v>804</v>
      </c>
      <c r="D13" s="11" t="n">
        <v>17257</v>
      </c>
      <c r="E13" s="18" t="n">
        <f aca="false">IF(C13=0,0,D13/C13)</f>
        <v>21.4639303482587</v>
      </c>
      <c r="F13" s="5" t="s">
        <v>186</v>
      </c>
    </row>
    <row r="14" customFormat="false" ht="15" hidden="false" customHeight="true" outlineLevel="0" collapsed="false">
      <c r="B14" s="5" t="s">
        <v>197</v>
      </c>
      <c r="C14" s="17" t="n">
        <v>785</v>
      </c>
      <c r="D14" s="11" t="n">
        <v>12137</v>
      </c>
      <c r="E14" s="18" t="n">
        <f aca="false">IF(C14=0,0,D14/C14)</f>
        <v>15.4611464968153</v>
      </c>
      <c r="F14" s="5" t="s">
        <v>193</v>
      </c>
    </row>
    <row r="15" customFormat="false" ht="15" hidden="false" customHeight="true" outlineLevel="0" collapsed="false">
      <c r="B15" s="5" t="s">
        <v>198</v>
      </c>
      <c r="C15" s="17" t="n">
        <v>752</v>
      </c>
      <c r="D15" s="11" t="n">
        <v>11280</v>
      </c>
      <c r="E15" s="18" t="n">
        <f aca="false">IF(C15=0,0,D15/C15)</f>
        <v>15</v>
      </c>
      <c r="F15" s="5" t="s">
        <v>193</v>
      </c>
    </row>
    <row r="16" customFormat="false" ht="15" hidden="false" customHeight="true" outlineLevel="0" collapsed="false">
      <c r="B16" s="5" t="s">
        <v>199</v>
      </c>
      <c r="C16" s="17" t="n">
        <v>655</v>
      </c>
      <c r="D16" s="11" t="n">
        <v>10728</v>
      </c>
      <c r="E16" s="18" t="n">
        <f aca="false">IF(C16=0,0,D16/C16)</f>
        <v>16.3786259541985</v>
      </c>
      <c r="F16" s="5" t="s">
        <v>193</v>
      </c>
    </row>
    <row r="17" customFormat="false" ht="15" hidden="false" customHeight="true" outlineLevel="0" collapsed="false">
      <c r="B17" s="5" t="s">
        <v>200</v>
      </c>
      <c r="C17" s="17" t="n">
        <v>616</v>
      </c>
      <c r="D17" s="11" t="n">
        <v>18208</v>
      </c>
      <c r="E17" s="18" t="n">
        <f aca="false">IF(C17=0,0,D17/C17)</f>
        <v>29.5584415584416</v>
      </c>
      <c r="F17" s="5" t="s">
        <v>186</v>
      </c>
    </row>
    <row r="18" customFormat="false" ht="15" hidden="false" customHeight="true" outlineLevel="0" collapsed="false">
      <c r="B18" s="5" t="s">
        <v>201</v>
      </c>
      <c r="C18" s="17" t="n">
        <v>487</v>
      </c>
      <c r="D18" s="11" t="n">
        <v>7969</v>
      </c>
      <c r="E18" s="18" t="n">
        <f aca="false">IF(C18=0,0,D18/C18)</f>
        <v>16.3634496919918</v>
      </c>
      <c r="F18" s="5" t="s">
        <v>193</v>
      </c>
    </row>
    <row r="19" customFormat="false" ht="15" hidden="false" customHeight="true" outlineLevel="0" collapsed="false">
      <c r="B19" s="5" t="s">
        <v>202</v>
      </c>
      <c r="C19" s="17" t="n">
        <v>480</v>
      </c>
      <c r="D19" s="11" t="n">
        <v>6504</v>
      </c>
      <c r="E19" s="18" t="n">
        <f aca="false">IF(C19=0,0,D19/C19)</f>
        <v>13.55</v>
      </c>
      <c r="F19" s="5" t="s">
        <v>193</v>
      </c>
    </row>
    <row r="20" customFormat="false" ht="15" hidden="false" customHeight="true" outlineLevel="0" collapsed="false">
      <c r="B20" s="5" t="s">
        <v>203</v>
      </c>
      <c r="C20" s="17" t="n">
        <v>480</v>
      </c>
      <c r="D20" s="11" t="n">
        <v>7472</v>
      </c>
      <c r="E20" s="18" t="n">
        <f aca="false">IF(C20=0,0,D20/C20)</f>
        <v>15.5666666666667</v>
      </c>
      <c r="F20" s="5" t="s">
        <v>193</v>
      </c>
    </row>
    <row r="21" customFormat="false" ht="15" hidden="false" customHeight="true" outlineLevel="0" collapsed="false">
      <c r="B21" s="5" t="s">
        <v>204</v>
      </c>
      <c r="C21" s="17" t="n">
        <v>474</v>
      </c>
      <c r="D21" s="11" t="n">
        <v>6826</v>
      </c>
      <c r="E21" s="18" t="n">
        <f aca="false">IF(C21=0,0,D21/C21)</f>
        <v>14.4008438818565</v>
      </c>
      <c r="F21" s="5" t="s">
        <v>193</v>
      </c>
    </row>
    <row r="22" customFormat="false" ht="15" hidden="false" customHeight="true" outlineLevel="0" collapsed="false">
      <c r="B22" s="5" t="s">
        <v>205</v>
      </c>
      <c r="C22" s="17" t="n">
        <v>470.5</v>
      </c>
      <c r="D22" s="11" t="n">
        <v>19658</v>
      </c>
      <c r="E22" s="18" t="n">
        <f aca="false">IF(C22=0,0,D22/C22)</f>
        <v>41.7810839532412</v>
      </c>
      <c r="F22" s="5" t="s">
        <v>188</v>
      </c>
    </row>
    <row r="23" customFormat="false" ht="15" hidden="false" customHeight="true" outlineLevel="0" collapsed="false">
      <c r="B23" s="5" t="s">
        <v>206</v>
      </c>
      <c r="C23" s="17" t="n">
        <v>404</v>
      </c>
      <c r="D23" s="11" t="n">
        <v>14532.5</v>
      </c>
      <c r="E23" s="18" t="n">
        <f aca="false">IF(C23=0,0,D23/C23)</f>
        <v>35.9715346534654</v>
      </c>
      <c r="F23" s="5" t="s">
        <v>188</v>
      </c>
    </row>
    <row r="24" customFormat="false" ht="15" hidden="false" customHeight="true" outlineLevel="0" collapsed="false">
      <c r="B24" s="5" t="s">
        <v>207</v>
      </c>
      <c r="C24" s="17" t="n">
        <v>403</v>
      </c>
      <c r="D24" s="11" t="n">
        <v>5961</v>
      </c>
      <c r="E24" s="18" t="n">
        <f aca="false">IF(C24=0,0,D24/C24)</f>
        <v>14.7915632754342</v>
      </c>
      <c r="F24" s="5" t="s">
        <v>193</v>
      </c>
    </row>
    <row r="25" customFormat="false" ht="15" hidden="false" customHeight="true" outlineLevel="0" collapsed="false">
      <c r="B25" s="5" t="s">
        <v>208</v>
      </c>
      <c r="C25" s="17" t="n">
        <v>402</v>
      </c>
      <c r="D25" s="11" t="n">
        <v>6432</v>
      </c>
      <c r="E25" s="18" t="n">
        <f aca="false">IF(C25=0,0,D25/C25)</f>
        <v>16</v>
      </c>
      <c r="F25" s="5" t="s">
        <v>193</v>
      </c>
    </row>
    <row r="26" customFormat="false" ht="15" hidden="false" customHeight="true" outlineLevel="0" collapsed="false">
      <c r="B26" s="5" t="s">
        <v>209</v>
      </c>
      <c r="C26" s="17" t="n">
        <v>397</v>
      </c>
      <c r="D26" s="11" t="n">
        <v>6621</v>
      </c>
      <c r="E26" s="18" t="n">
        <f aca="false">IF(C26=0,0,D26/C26)</f>
        <v>16.6775818639799</v>
      </c>
      <c r="F26" s="5" t="s">
        <v>193</v>
      </c>
    </row>
    <row r="27" customFormat="false" ht="15" hidden="false" customHeight="true" outlineLevel="0" collapsed="false">
      <c r="B27" s="5" t="s">
        <v>210</v>
      </c>
      <c r="C27" s="17" t="n">
        <v>376.5</v>
      </c>
      <c r="D27" s="11" t="n">
        <v>14905</v>
      </c>
      <c r="E27" s="18" t="n">
        <f aca="false">IF(C27=0,0,D27/C27)</f>
        <v>39.5883134130146</v>
      </c>
      <c r="F27" s="5" t="s">
        <v>188</v>
      </c>
    </row>
    <row r="28" customFormat="false" ht="15" hidden="false" customHeight="true" outlineLevel="0" collapsed="false">
      <c r="B28" s="5" t="s">
        <v>211</v>
      </c>
      <c r="C28" s="17" t="n">
        <v>349</v>
      </c>
      <c r="D28" s="11" t="n">
        <v>5584</v>
      </c>
      <c r="E28" s="18" t="n">
        <f aca="false">IF(C28=0,0,D28/C28)</f>
        <v>16</v>
      </c>
      <c r="F28" s="5" t="s">
        <v>193</v>
      </c>
    </row>
    <row r="29" customFormat="false" ht="15" hidden="false" customHeight="true" outlineLevel="0" collapsed="false">
      <c r="B29" s="5" t="s">
        <v>212</v>
      </c>
      <c r="C29" s="17" t="n">
        <v>276</v>
      </c>
      <c r="D29" s="11" t="n">
        <v>5737</v>
      </c>
      <c r="E29" s="18" t="n">
        <f aca="false">IF(C29=0,0,D29/C29)</f>
        <v>20.786231884058</v>
      </c>
      <c r="F29" s="5" t="s">
        <v>186</v>
      </c>
    </row>
    <row r="30" customFormat="false" ht="15" hidden="false" customHeight="true" outlineLevel="0" collapsed="false">
      <c r="B30" s="5" t="s">
        <v>213</v>
      </c>
      <c r="C30" s="17" t="n">
        <v>253</v>
      </c>
      <c r="D30" s="11" t="n">
        <v>4807</v>
      </c>
      <c r="E30" s="18" t="n">
        <f aca="false">IF(C30=0,0,D30/C30)</f>
        <v>19</v>
      </c>
      <c r="F30" s="5" t="s">
        <v>186</v>
      </c>
    </row>
    <row r="31" customFormat="false" ht="15" hidden="false" customHeight="true" outlineLevel="0" collapsed="false">
      <c r="B31" s="5" t="s">
        <v>214</v>
      </c>
      <c r="C31" s="17" t="n">
        <v>228</v>
      </c>
      <c r="D31" s="11" t="n">
        <v>4104</v>
      </c>
      <c r="E31" s="18" t="n">
        <f aca="false">IF(C31=0,0,D31/C31)</f>
        <v>18</v>
      </c>
      <c r="F31" s="5" t="s">
        <v>186</v>
      </c>
    </row>
    <row r="32" customFormat="false" ht="15" hidden="false" customHeight="true" outlineLevel="0" collapsed="false">
      <c r="B32" s="5" t="s">
        <v>215</v>
      </c>
      <c r="C32" s="17" t="n">
        <v>188</v>
      </c>
      <c r="D32" s="11" t="n">
        <v>8514</v>
      </c>
      <c r="E32" s="18" t="n">
        <f aca="false">IF(C32=0,0,D32/C32)</f>
        <v>45.2872340425532</v>
      </c>
      <c r="F32" s="5" t="s">
        <v>188</v>
      </c>
    </row>
    <row r="33" customFormat="false" ht="15" hidden="false" customHeight="true" outlineLevel="0" collapsed="false">
      <c r="B33" s="5" t="s">
        <v>216</v>
      </c>
      <c r="C33" s="17" t="n">
        <v>141</v>
      </c>
      <c r="D33" s="11" t="n">
        <v>3525</v>
      </c>
      <c r="E33" s="18" t="n">
        <f aca="false">IF(C33=0,0,D33/C33)</f>
        <v>25</v>
      </c>
      <c r="F33" s="5" t="s">
        <v>186</v>
      </c>
    </row>
    <row r="34" customFormat="false" ht="15" hidden="false" customHeight="true" outlineLevel="0" collapsed="false">
      <c r="B34" s="5" t="s">
        <v>217</v>
      </c>
      <c r="C34" s="17" t="n">
        <v>131</v>
      </c>
      <c r="D34" s="11" t="n">
        <v>2489</v>
      </c>
      <c r="E34" s="18" t="n">
        <f aca="false">IF(C34=0,0,D34/C34)</f>
        <v>19</v>
      </c>
      <c r="F34" s="5" t="s">
        <v>186</v>
      </c>
    </row>
    <row r="35" customFormat="false" ht="15" hidden="false" customHeight="true" outlineLevel="0" collapsed="false">
      <c r="B35" s="5" t="s">
        <v>218</v>
      </c>
      <c r="C35" s="17" t="n">
        <v>105</v>
      </c>
      <c r="D35" s="11" t="n">
        <v>1785</v>
      </c>
      <c r="E35" s="18" t="n">
        <f aca="false">IF(C35=0,0,D35/C35)</f>
        <v>17</v>
      </c>
      <c r="F35" s="5" t="s">
        <v>193</v>
      </c>
    </row>
    <row r="36" customFormat="false" ht="15" hidden="false" customHeight="true" outlineLevel="0" collapsed="false">
      <c r="B36" s="5" t="s">
        <v>219</v>
      </c>
      <c r="C36" s="17" t="n">
        <v>86</v>
      </c>
      <c r="D36" s="11" t="n">
        <v>1548</v>
      </c>
      <c r="E36" s="18" t="n">
        <f aca="false">IF(C36=0,0,D36/C36)</f>
        <v>18</v>
      </c>
      <c r="F36" s="5" t="s">
        <v>186</v>
      </c>
    </row>
    <row r="37" customFormat="false" ht="15" hidden="false" customHeight="true" outlineLevel="0" collapsed="false">
      <c r="B37" s="5" t="s">
        <v>220</v>
      </c>
      <c r="C37" s="17" t="n">
        <v>84</v>
      </c>
      <c r="D37" s="11" t="n">
        <v>2940</v>
      </c>
      <c r="E37" s="18" t="n">
        <f aca="false">IF(C37=0,0,D37/C37)</f>
        <v>35</v>
      </c>
      <c r="F37" s="5" t="s">
        <v>188</v>
      </c>
    </row>
    <row r="38" customFormat="false" ht="15" hidden="false" customHeight="true" outlineLevel="0" collapsed="false">
      <c r="B38" s="5" t="s">
        <v>221</v>
      </c>
      <c r="C38" s="17" t="n">
        <v>80</v>
      </c>
      <c r="D38" s="11" t="n">
        <v>2000</v>
      </c>
      <c r="E38" s="18" t="n">
        <f aca="false">IF(C38=0,0,D38/C38)</f>
        <v>25</v>
      </c>
      <c r="F38" s="5" t="s">
        <v>186</v>
      </c>
    </row>
    <row r="39" customFormat="false" ht="15" hidden="false" customHeight="true" outlineLevel="0" collapsed="false">
      <c r="B39" s="5" t="s">
        <v>222</v>
      </c>
      <c r="C39" s="17" t="n">
        <v>56</v>
      </c>
      <c r="D39" s="11" t="n">
        <v>728</v>
      </c>
      <c r="E39" s="18" t="n">
        <f aca="false">IF(C39=0,0,D39/C39)</f>
        <v>13</v>
      </c>
      <c r="F39" s="5" t="s">
        <v>193</v>
      </c>
    </row>
    <row r="40" customFormat="false" ht="15" hidden="false" customHeight="true" outlineLevel="0" collapsed="false">
      <c r="B40" s="5" t="s">
        <v>223</v>
      </c>
      <c r="C40" s="17" t="n">
        <v>40</v>
      </c>
      <c r="D40" s="11" t="n">
        <v>657</v>
      </c>
      <c r="E40" s="18" t="n">
        <f aca="false">IF(C40=0,0,D40/C40)</f>
        <v>16.425</v>
      </c>
      <c r="F40" s="5" t="s">
        <v>193</v>
      </c>
    </row>
    <row r="41" customFormat="false" ht="15" hidden="false" customHeight="true" outlineLevel="0" collapsed="false">
      <c r="B41" s="5" t="s">
        <v>224</v>
      </c>
      <c r="C41" s="17" t="n">
        <v>32</v>
      </c>
      <c r="D41" s="11" t="n">
        <v>544</v>
      </c>
      <c r="E41" s="18" t="n">
        <f aca="false">IF(C41=0,0,D41/C41)</f>
        <v>17</v>
      </c>
      <c r="F41" s="5" t="s">
        <v>193</v>
      </c>
    </row>
    <row r="42" customFormat="false" ht="15" hidden="false" customHeight="true" outlineLevel="0" collapsed="false">
      <c r="B42" s="5" t="s">
        <v>225</v>
      </c>
      <c r="C42" s="17" t="n">
        <v>32</v>
      </c>
      <c r="D42" s="11" t="n">
        <v>512</v>
      </c>
      <c r="E42" s="18" t="n">
        <f aca="false">IF(C42=0,0,D42/C42)</f>
        <v>16</v>
      </c>
      <c r="F42" s="5" t="s">
        <v>193</v>
      </c>
    </row>
    <row r="43" customFormat="false" ht="15" hidden="false" customHeight="true" outlineLevel="0" collapsed="false">
      <c r="B43" s="5" t="s">
        <v>226</v>
      </c>
      <c r="C43" s="17" t="n">
        <v>12.5</v>
      </c>
      <c r="D43" s="11" t="n">
        <v>452</v>
      </c>
      <c r="E43" s="18" t="n">
        <f aca="false">IF(C43=0,0,D43/C43)</f>
        <v>36.16</v>
      </c>
      <c r="F43" s="5" t="s">
        <v>188</v>
      </c>
    </row>
    <row r="44" customFormat="false" ht="15" hidden="false" customHeight="true" outlineLevel="0" collapsed="false">
      <c r="B44" s="5" t="s">
        <v>227</v>
      </c>
      <c r="C44" s="17" t="n">
        <v>8</v>
      </c>
      <c r="D44" s="11" t="n">
        <v>112</v>
      </c>
      <c r="E44" s="18" t="n">
        <f aca="false">IF(C44=0,0,D44/C44)</f>
        <v>14</v>
      </c>
      <c r="F44" s="5" t="s">
        <v>193</v>
      </c>
    </row>
    <row r="45" customFormat="false" ht="15" hidden="false" customHeight="true" outlineLevel="0" collapsed="false">
      <c r="B45" s="6" t="s">
        <v>228</v>
      </c>
      <c r="C45" s="19" t="n">
        <f aca="false">SUM(C5:C44)</f>
        <v>20777.5</v>
      </c>
      <c r="D45" s="13" t="n">
        <f aca="false">SUM(D5:D44)</f>
        <v>458344.5</v>
      </c>
      <c r="E45" s="20" t="n">
        <f aca="false">IF(C45=0,0,D45/C45)</f>
        <v>22.0596558777524</v>
      </c>
    </row>
    <row r="48" customFormat="false" ht="15" hidden="false" customHeight="true" outlineLevel="0" collapsed="false">
      <c r="B48" s="4" t="s">
        <v>64</v>
      </c>
      <c r="C48" s="4"/>
      <c r="D48" s="4"/>
      <c r="E48" s="4"/>
      <c r="F48" s="4"/>
    </row>
    <row r="49" customFormat="false" ht="15" hidden="false" customHeight="true" outlineLevel="0" collapsed="false">
      <c r="B49" s="3" t="s">
        <v>65</v>
      </c>
      <c r="C49" s="3"/>
      <c r="D49" s="3"/>
      <c r="E49" s="3"/>
      <c r="F49" s="3"/>
    </row>
    <row r="50" customFormat="false" ht="15" hidden="false" customHeight="true" outlineLevel="0" collapsed="false">
      <c r="B50" s="3" t="s">
        <v>66</v>
      </c>
      <c r="C50" s="3"/>
      <c r="D50" s="3"/>
      <c r="E50" s="3"/>
      <c r="F50" s="3"/>
    </row>
    <row r="51" customFormat="false" ht="15" hidden="false" customHeight="true" outlineLevel="0" collapsed="false">
      <c r="B51" s="3" t="s">
        <v>67</v>
      </c>
      <c r="C51" s="3"/>
      <c r="D51" s="3"/>
      <c r="E51" s="3"/>
      <c r="F51" s="3"/>
    </row>
    <row r="52" customFormat="false" ht="15" hidden="false" customHeight="true" outlineLevel="0" collapsed="false">
      <c r="B52" s="3" t="s">
        <v>68</v>
      </c>
      <c r="C52" s="3"/>
      <c r="D52" s="3"/>
      <c r="E52" s="3"/>
      <c r="F52" s="3"/>
    </row>
    <row r="53" customFormat="false" ht="15" hidden="false" customHeight="true" outlineLevel="0" collapsed="false">
      <c r="B53" s="3" t="s">
        <v>69</v>
      </c>
      <c r="C53" s="3"/>
      <c r="D53" s="3"/>
      <c r="E53" s="3"/>
      <c r="F53" s="3"/>
    </row>
    <row r="54" customFormat="false" ht="15" hidden="false" customHeight="true" outlineLevel="0" collapsed="false">
      <c r="B54" s="3" t="s">
        <v>70</v>
      </c>
      <c r="C54" s="3"/>
      <c r="D54" s="3"/>
      <c r="E54" s="3"/>
      <c r="F54" s="3"/>
    </row>
    <row r="55" customFormat="false" ht="15" hidden="false" customHeight="true" outlineLevel="0" collapsed="false">
      <c r="B55" s="3" t="s">
        <v>71</v>
      </c>
      <c r="C55" s="3"/>
      <c r="D55" s="3"/>
      <c r="E55" s="3"/>
      <c r="F55" s="3"/>
    </row>
    <row r="56" customFormat="false" ht="15" hidden="false" customHeight="true" outlineLevel="0" collapsed="false">
      <c r="B56" s="3" t="s">
        <v>72</v>
      </c>
      <c r="C56" s="3"/>
      <c r="D56" s="3"/>
      <c r="E56" s="3"/>
      <c r="F56" s="3"/>
    </row>
    <row r="57" customFormat="false" ht="15" hidden="false" customHeight="true" outlineLevel="0" collapsed="false">
      <c r="B57" s="3" t="s">
        <v>73</v>
      </c>
      <c r="C57" s="3"/>
      <c r="D57" s="3"/>
      <c r="E57" s="3"/>
      <c r="F57" s="3"/>
    </row>
    <row r="58" customFormat="false" ht="15" hidden="false" customHeight="true" outlineLevel="0" collapsed="false">
      <c r="B58" s="3" t="s">
        <v>74</v>
      </c>
      <c r="C58" s="3"/>
      <c r="D58" s="3"/>
      <c r="E58" s="3"/>
      <c r="F58" s="3"/>
    </row>
    <row r="59" customFormat="false" ht="15" hidden="false" customHeight="true" outlineLevel="0" collapsed="false">
      <c r="B59" s="3" t="s">
        <v>75</v>
      </c>
      <c r="C59" s="3"/>
      <c r="D59" s="3"/>
      <c r="E59" s="3"/>
      <c r="F59" s="3"/>
    </row>
    <row r="60" customFormat="false" ht="15" hidden="false" customHeight="true" outlineLevel="0" collapsed="false">
      <c r="B60" s="3" t="s">
        <v>76</v>
      </c>
      <c r="C60" s="3"/>
      <c r="D60" s="3"/>
      <c r="E60" s="3"/>
      <c r="F60" s="3"/>
    </row>
    <row r="61" customFormat="false" ht="15" hidden="false" customHeight="true" outlineLevel="0" collapsed="false">
      <c r="B61" s="3" t="s">
        <v>229</v>
      </c>
      <c r="C61" s="3"/>
      <c r="D61" s="3"/>
      <c r="E61" s="3"/>
      <c r="F61" s="3"/>
    </row>
  </sheetData>
  <mergeCells count="15">
    <mergeCell ref="B2:F2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230</v>
      </c>
      <c r="C2" s="2"/>
      <c r="D2" s="2"/>
      <c r="E2" s="2"/>
      <c r="F2" s="2"/>
    </row>
    <row r="4" customFormat="false" ht="15" hidden="false" customHeight="true" outlineLevel="0" collapsed="false">
      <c r="B4" s="4" t="s">
        <v>231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184</v>
      </c>
      <c r="C5" s="10" t="s">
        <v>232</v>
      </c>
      <c r="D5" s="10" t="s">
        <v>181</v>
      </c>
      <c r="E5" s="10" t="s">
        <v>182</v>
      </c>
      <c r="F5" s="10" t="s">
        <v>233</v>
      </c>
    </row>
    <row r="6" customFormat="false" ht="15" hidden="false" customHeight="true" outlineLevel="0" collapsed="false">
      <c r="B6" s="5" t="s">
        <v>188</v>
      </c>
      <c r="C6" s="15" t="n">
        <v>8</v>
      </c>
      <c r="D6" s="17" t="n">
        <v>4398</v>
      </c>
      <c r="E6" s="11" t="n">
        <v>155961.5</v>
      </c>
      <c r="F6" s="12" t="n">
        <f aca="false">IF(20777.5=0,0,D6/20777.5)</f>
        <v>0.211671279027794</v>
      </c>
    </row>
    <row r="7" customFormat="false" ht="15" hidden="false" customHeight="true" outlineLevel="0" collapsed="false">
      <c r="B7" s="5" t="s">
        <v>186</v>
      </c>
      <c r="C7" s="15" t="n">
        <v>13</v>
      </c>
      <c r="D7" s="17" t="n">
        <v>8274.5</v>
      </c>
      <c r="E7" s="11" t="n">
        <v>178062</v>
      </c>
      <c r="F7" s="12" t="n">
        <f aca="false">IF(20777.5=0,0,D7/20777.5)</f>
        <v>0.398243292022621</v>
      </c>
    </row>
    <row r="8" customFormat="false" ht="15" hidden="false" customHeight="true" outlineLevel="0" collapsed="false">
      <c r="B8" s="5" t="s">
        <v>193</v>
      </c>
      <c r="C8" s="15" t="n">
        <v>19</v>
      </c>
      <c r="D8" s="17" t="n">
        <v>8105</v>
      </c>
      <c r="E8" s="11" t="n">
        <v>124321</v>
      </c>
      <c r="F8" s="12" t="n">
        <f aca="false">IF(20777.5=0,0,D8/20777.5)</f>
        <v>0.390085428949585</v>
      </c>
    </row>
    <row r="11" customFormat="false" ht="15" hidden="false" customHeight="true" outlineLevel="0" collapsed="false">
      <c r="B11" s="4" t="s">
        <v>234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235</v>
      </c>
      <c r="C12" s="21" t="n">
        <v>22.0596558777524</v>
      </c>
      <c r="F12" s="22" t="s">
        <v>236</v>
      </c>
    </row>
    <row r="13" customFormat="false" ht="15" hidden="false" customHeight="true" outlineLevel="0" collapsed="false">
      <c r="B13" s="5" t="s">
        <v>237</v>
      </c>
      <c r="C13" s="21" t="n">
        <v>30.9231538924317</v>
      </c>
      <c r="F13" s="22" t="s">
        <v>238</v>
      </c>
    </row>
    <row r="14" customFormat="false" ht="15" hidden="false" customHeight="true" outlineLevel="0" collapsed="false">
      <c r="B14" s="5" t="s">
        <v>239</v>
      </c>
      <c r="C14" s="21" t="n">
        <v>1.40179674895194</v>
      </c>
      <c r="F14" s="22" t="s">
        <v>240</v>
      </c>
    </row>
    <row r="15" customFormat="false" ht="15" hidden="false" customHeight="true" outlineLevel="0" collapsed="false">
      <c r="B15" s="5" t="s">
        <v>241</v>
      </c>
      <c r="C15" s="21" t="n">
        <v>13</v>
      </c>
      <c r="F15" s="22" t="s">
        <v>242</v>
      </c>
    </row>
    <row r="16" customFormat="false" ht="15" hidden="false" customHeight="true" outlineLevel="0" collapsed="false">
      <c r="B16" s="5" t="s">
        <v>243</v>
      </c>
      <c r="C16" s="21" t="n">
        <v>45.2872340425532</v>
      </c>
      <c r="F16" s="22" t="s">
        <v>244</v>
      </c>
    </row>
    <row r="17" customFormat="false" ht="15" hidden="false" customHeight="true" outlineLevel="0" collapsed="false">
      <c r="B17" s="5" t="s">
        <v>245</v>
      </c>
      <c r="C17" s="21" t="n">
        <v>519.4375</v>
      </c>
      <c r="F17" s="22" t="s">
        <v>246</v>
      </c>
    </row>
    <row r="20" customFormat="false" ht="15" hidden="false" customHeight="true" outlineLevel="0" collapsed="false">
      <c r="B20" s="4" t="s">
        <v>64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65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66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67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68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69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70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71</v>
      </c>
      <c r="C27" s="3"/>
      <c r="D27" s="3"/>
      <c r="E27" s="3"/>
      <c r="F27" s="3"/>
    </row>
    <row r="28" customFormat="false" ht="15" hidden="false" customHeight="true" outlineLevel="0" collapsed="false">
      <c r="B28" s="3" t="s">
        <v>72</v>
      </c>
      <c r="C28" s="3"/>
      <c r="D28" s="3"/>
      <c r="E28" s="3"/>
      <c r="F28" s="3"/>
    </row>
    <row r="29" customFormat="false" ht="15" hidden="false" customHeight="true" outlineLevel="0" collapsed="false">
      <c r="B29" s="3" t="s">
        <v>73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74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75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76</v>
      </c>
      <c r="C32" s="3"/>
      <c r="D32" s="3"/>
      <c r="E32" s="3"/>
      <c r="F32" s="3"/>
    </row>
  </sheetData>
  <mergeCells count="16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247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248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249</v>
      </c>
      <c r="C5" s="10" t="s">
        <v>250</v>
      </c>
      <c r="D5" s="10" t="s">
        <v>181</v>
      </c>
      <c r="E5" s="10" t="s">
        <v>251</v>
      </c>
      <c r="F5" s="10" t="s">
        <v>252</v>
      </c>
    </row>
    <row r="6" customFormat="false" ht="15" hidden="false" customHeight="true" outlineLevel="0" collapsed="false">
      <c r="B6" s="5" t="s">
        <v>85</v>
      </c>
      <c r="C6" s="5" t="s">
        <v>84</v>
      </c>
      <c r="D6" s="17" t="n">
        <v>205</v>
      </c>
      <c r="E6" s="12" t="n">
        <f aca="false">IF(19799.5=0,0,D6/19799.5)</f>
        <v>0.0103537968130508</v>
      </c>
      <c r="F6" s="23" t="n">
        <f aca="false">IF(182=0,0,D6/182)</f>
        <v>1.12637362637363</v>
      </c>
    </row>
    <row r="7" customFormat="false" ht="15" hidden="false" customHeight="true" outlineLevel="0" collapsed="false">
      <c r="B7" s="5" t="s">
        <v>253</v>
      </c>
      <c r="C7" s="5" t="s">
        <v>86</v>
      </c>
      <c r="D7" s="17" t="n">
        <v>453.5</v>
      </c>
      <c r="E7" s="12" t="n">
        <f aca="false">IF(19799.5=0,0,D7/19799.5)</f>
        <v>0.0229046188035051</v>
      </c>
      <c r="F7" s="23" t="n">
        <f aca="false">IF(182=0,0,D7/182)</f>
        <v>2.49175824175824</v>
      </c>
    </row>
    <row r="8" customFormat="false" ht="15" hidden="false" customHeight="true" outlineLevel="0" collapsed="false">
      <c r="B8" s="5" t="s">
        <v>254</v>
      </c>
      <c r="C8" s="5" t="s">
        <v>88</v>
      </c>
      <c r="D8" s="17" t="n">
        <v>990</v>
      </c>
      <c r="E8" s="12" t="n">
        <f aca="false">IF(19799.5=0,0,D8/19799.5)</f>
        <v>0.0500012626581479</v>
      </c>
      <c r="F8" s="23" t="n">
        <f aca="false">IF(182=0,0,D8/182)</f>
        <v>5.43956043956044</v>
      </c>
    </row>
    <row r="9" customFormat="false" ht="15" hidden="false" customHeight="true" outlineLevel="0" collapsed="false">
      <c r="B9" s="5" t="s">
        <v>255</v>
      </c>
      <c r="C9" s="5" t="s">
        <v>90</v>
      </c>
      <c r="D9" s="17" t="n">
        <v>1788</v>
      </c>
      <c r="E9" s="12" t="n">
        <f aca="false">IF(19799.5=0,0,D9/19799.5)</f>
        <v>0.0903053107401702</v>
      </c>
      <c r="F9" s="23" t="n">
        <f aca="false">IF(182=0,0,D9/182)</f>
        <v>9.82417582417583</v>
      </c>
    </row>
    <row r="10" customFormat="false" ht="15" hidden="false" customHeight="true" outlineLevel="0" collapsed="false">
      <c r="B10" s="5" t="s">
        <v>256</v>
      </c>
      <c r="C10" s="5" t="s">
        <v>92</v>
      </c>
      <c r="D10" s="17" t="n">
        <v>450</v>
      </c>
      <c r="E10" s="12" t="n">
        <f aca="false">IF(19799.5=0,0,D10/19799.5)</f>
        <v>0.0227278466627945</v>
      </c>
      <c r="F10" s="23" t="n">
        <f aca="false">IF(182=0,0,D10/182)</f>
        <v>2.47252747252747</v>
      </c>
    </row>
    <row r="11" customFormat="false" ht="15" hidden="false" customHeight="true" outlineLevel="0" collapsed="false">
      <c r="B11" s="5" t="s">
        <v>257</v>
      </c>
      <c r="C11" s="5" t="s">
        <v>94</v>
      </c>
      <c r="D11" s="17" t="n">
        <v>11448.5</v>
      </c>
      <c r="E11" s="12" t="n">
        <f aca="false">IF(19799.5=0,0,D11/19799.5)</f>
        <v>0.578221672264451</v>
      </c>
      <c r="F11" s="23" t="n">
        <f aca="false">IF(182=0,0,D11/182)</f>
        <v>62.9038461538462</v>
      </c>
    </row>
    <row r="12" customFormat="false" ht="15" hidden="false" customHeight="true" outlineLevel="0" collapsed="false">
      <c r="B12" s="5" t="s">
        <v>258</v>
      </c>
      <c r="C12" s="5" t="s">
        <v>96</v>
      </c>
      <c r="D12" s="17" t="n">
        <v>1291</v>
      </c>
      <c r="E12" s="12" t="n">
        <f aca="false">IF(19799.5=0,0,D12/19799.5)</f>
        <v>0.0652036667592616</v>
      </c>
      <c r="F12" s="23" t="n">
        <f aca="false">IF(182=0,0,D12/182)</f>
        <v>7.09340659340659</v>
      </c>
    </row>
    <row r="13" customFormat="false" ht="15" hidden="false" customHeight="true" outlineLevel="0" collapsed="false">
      <c r="B13" s="5" t="s">
        <v>259</v>
      </c>
      <c r="C13" s="5" t="s">
        <v>98</v>
      </c>
      <c r="D13" s="17" t="n">
        <v>415.5</v>
      </c>
      <c r="E13" s="12" t="n">
        <f aca="false">IF(19799.5=0,0,D13/19799.5)</f>
        <v>0.0209853784186469</v>
      </c>
      <c r="F13" s="23" t="n">
        <f aca="false">IF(182=0,0,D13/182)</f>
        <v>2.28296703296703</v>
      </c>
    </row>
    <row r="14" customFormat="false" ht="15" hidden="false" customHeight="true" outlineLevel="0" collapsed="false">
      <c r="B14" s="5" t="s">
        <v>260</v>
      </c>
      <c r="C14" s="5" t="s">
        <v>100</v>
      </c>
      <c r="D14" s="17" t="n">
        <v>2735.5</v>
      </c>
      <c r="E14" s="12" t="n">
        <f aca="false">IF(19799.5=0,0,D14/19799.5)</f>
        <v>0.138160054546832</v>
      </c>
      <c r="F14" s="23" t="n">
        <f aca="false">IF(182=0,0,D14/182)</f>
        <v>15.0302197802198</v>
      </c>
    </row>
    <row r="15" customFormat="false" ht="15" hidden="false" customHeight="true" outlineLevel="0" collapsed="false">
      <c r="B15" s="5" t="s">
        <v>261</v>
      </c>
      <c r="C15" s="5" t="s">
        <v>102</v>
      </c>
      <c r="D15" s="17" t="n">
        <v>22.5</v>
      </c>
      <c r="E15" s="12" t="n">
        <f aca="false">IF(19799.5=0,0,D15/19799.5)</f>
        <v>0.00113639233313973</v>
      </c>
      <c r="F15" s="23" t="n">
        <f aca="false">IF(182=0,0,D15/182)</f>
        <v>0.123626373626374</v>
      </c>
    </row>
    <row r="16" customFormat="false" ht="15" hidden="false" customHeight="true" outlineLevel="0" collapsed="false">
      <c r="B16" s="6" t="s">
        <v>38</v>
      </c>
      <c r="D16" s="19" t="n">
        <f aca="false">SUM(D6:D15)</f>
        <v>19799.5</v>
      </c>
      <c r="E16" s="14" t="n">
        <v>1</v>
      </c>
      <c r="F16" s="21" t="n">
        <f aca="false">IF(182=0,0,D16/182)</f>
        <v>108.788461538462</v>
      </c>
    </row>
    <row r="19" customFormat="false" ht="15" hidden="false" customHeight="true" outlineLevel="0" collapsed="false">
      <c r="B19" s="4" t="s">
        <v>262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B20" s="10" t="s">
        <v>40</v>
      </c>
      <c r="C20" s="10" t="s">
        <v>41</v>
      </c>
      <c r="D20" s="10" t="s">
        <v>263</v>
      </c>
      <c r="E20" s="10"/>
      <c r="F20" s="10" t="s">
        <v>264</v>
      </c>
    </row>
    <row r="21" customFormat="false" ht="15" hidden="false" customHeight="true" outlineLevel="0" collapsed="false">
      <c r="B21" s="5" t="s">
        <v>252</v>
      </c>
      <c r="C21" s="24" t="n">
        <v>108.788461538462</v>
      </c>
      <c r="D21" s="5" t="s">
        <v>265</v>
      </c>
      <c r="F21" s="22" t="s">
        <v>266</v>
      </c>
    </row>
    <row r="22" customFormat="false" ht="15" hidden="false" customHeight="true" outlineLevel="0" collapsed="false">
      <c r="B22" s="5" t="s">
        <v>267</v>
      </c>
      <c r="C22" s="24" t="n">
        <v>22.2216610549944</v>
      </c>
      <c r="D22" s="5" t="s">
        <v>265</v>
      </c>
      <c r="F22" s="22" t="s">
        <v>268</v>
      </c>
    </row>
    <row r="23" customFormat="false" ht="15" hidden="false" customHeight="true" outlineLevel="0" collapsed="false">
      <c r="B23" s="5" t="s">
        <v>269</v>
      </c>
      <c r="C23" s="24" t="n">
        <v>79.8918154498851</v>
      </c>
      <c r="D23" s="5" t="s">
        <v>270</v>
      </c>
      <c r="F23" s="22" t="s">
        <v>271</v>
      </c>
    </row>
    <row r="24" customFormat="false" ht="15" hidden="false" customHeight="true" outlineLevel="0" collapsed="false">
      <c r="B24" s="5" t="s">
        <v>272</v>
      </c>
      <c r="C24" s="24" t="n">
        <v>22.6642698047931</v>
      </c>
      <c r="D24" s="5" t="s">
        <v>270</v>
      </c>
      <c r="F24" s="22" t="s">
        <v>273</v>
      </c>
    </row>
    <row r="25" customFormat="false" ht="15" hidden="false" customHeight="true" outlineLevel="0" collapsed="false">
      <c r="B25" s="5" t="s">
        <v>274</v>
      </c>
      <c r="C25" s="24" t="n">
        <v>9.57894736842105</v>
      </c>
      <c r="D25" s="5" t="s">
        <v>275</v>
      </c>
      <c r="F25" s="22" t="s">
        <v>276</v>
      </c>
    </row>
    <row r="26" customFormat="false" ht="15" hidden="false" customHeight="true" outlineLevel="0" collapsed="false">
      <c r="B26" s="5" t="s">
        <v>277</v>
      </c>
      <c r="C26" s="24" t="n">
        <v>46.8947368421053</v>
      </c>
      <c r="D26" s="5" t="s">
        <v>278</v>
      </c>
      <c r="F26" s="22" t="s">
        <v>279</v>
      </c>
    </row>
    <row r="27" customFormat="false" ht="15" hidden="false" customHeight="true" outlineLevel="0" collapsed="false">
      <c r="B27" s="5" t="s">
        <v>280</v>
      </c>
      <c r="C27" s="24" t="n">
        <v>1042.07894736842</v>
      </c>
      <c r="D27" s="5" t="s">
        <v>265</v>
      </c>
      <c r="F27" s="22" t="s">
        <v>281</v>
      </c>
    </row>
    <row r="28" customFormat="false" ht="15" hidden="false" customHeight="true" outlineLevel="0" collapsed="false">
      <c r="B28" s="5" t="s">
        <v>282</v>
      </c>
      <c r="C28" s="24" t="n">
        <v>83253.5789473684</v>
      </c>
      <c r="D28" s="5" t="s">
        <v>270</v>
      </c>
      <c r="F28" s="22" t="s">
        <v>283</v>
      </c>
    </row>
    <row r="31" customFormat="false" ht="15" hidden="false" customHeight="true" outlineLevel="0" collapsed="false">
      <c r="B31" s="4" t="s">
        <v>64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3" t="s">
        <v>65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B33" s="3" t="s">
        <v>66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67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68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69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70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71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72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73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74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75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76</v>
      </c>
      <c r="C43" s="3"/>
      <c r="D43" s="3"/>
      <c r="E43" s="3"/>
      <c r="F43" s="3"/>
      <c r="G43" s="3"/>
    </row>
  </sheetData>
  <mergeCells count="16">
    <mergeCell ref="B2:G2"/>
    <mergeCell ref="B4:G4"/>
    <mergeCell ref="B19:G19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284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285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286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287</v>
      </c>
      <c r="C6" s="10" t="s">
        <v>288</v>
      </c>
      <c r="D6" s="10" t="s">
        <v>289</v>
      </c>
      <c r="E6" s="10" t="s">
        <v>290</v>
      </c>
      <c r="F6" s="10" t="s">
        <v>291</v>
      </c>
    </row>
    <row r="7" customFormat="false" ht="15" hidden="false" customHeight="true" outlineLevel="0" collapsed="false">
      <c r="B7" s="5" t="s">
        <v>292</v>
      </c>
      <c r="C7" s="5" t="s">
        <v>293</v>
      </c>
      <c r="D7" s="15" t="n">
        <v>28</v>
      </c>
      <c r="E7" s="12" t="n">
        <f aca="false">IF(177=0,0,D7/177)</f>
        <v>0.15819209039548</v>
      </c>
    </row>
    <row r="8" customFormat="false" ht="15" hidden="false" customHeight="true" outlineLevel="0" collapsed="false">
      <c r="B8" s="5" t="s">
        <v>294</v>
      </c>
      <c r="C8" s="5" t="s">
        <v>295</v>
      </c>
      <c r="D8" s="15" t="n">
        <v>34</v>
      </c>
      <c r="E8" s="12" t="n">
        <f aca="false">IF(177=0,0,D8/177)</f>
        <v>0.192090395480226</v>
      </c>
    </row>
    <row r="9" customFormat="false" ht="15" hidden="false" customHeight="true" outlineLevel="0" collapsed="false">
      <c r="B9" s="5" t="s">
        <v>296</v>
      </c>
      <c r="C9" s="5" t="s">
        <v>297</v>
      </c>
      <c r="D9" s="15" t="n">
        <v>16</v>
      </c>
      <c r="E9" s="12" t="n">
        <f aca="false">IF(177=0,0,D9/177)</f>
        <v>0.0903954802259887</v>
      </c>
    </row>
    <row r="10" customFormat="false" ht="15" hidden="false" customHeight="true" outlineLevel="0" collapsed="false">
      <c r="B10" s="5" t="s">
        <v>298</v>
      </c>
      <c r="C10" s="5" t="s">
        <v>299</v>
      </c>
      <c r="D10" s="15" t="n">
        <v>4</v>
      </c>
      <c r="E10" s="12" t="n">
        <f aca="false">IF(177=0,0,D10/177)</f>
        <v>0.0225988700564972</v>
      </c>
    </row>
    <row r="11" customFormat="false" ht="15" hidden="false" customHeight="true" outlineLevel="0" collapsed="false">
      <c r="B11" s="5" t="s">
        <v>300</v>
      </c>
      <c r="C11" s="5" t="s">
        <v>301</v>
      </c>
      <c r="D11" s="15" t="n">
        <v>6</v>
      </c>
      <c r="E11" s="12" t="n">
        <f aca="false">IF(177=0,0,D11/177)</f>
        <v>0.0338983050847458</v>
      </c>
    </row>
    <row r="12" customFormat="false" ht="15" hidden="false" customHeight="true" outlineLevel="0" collapsed="false">
      <c r="B12" s="5" t="s">
        <v>302</v>
      </c>
      <c r="C12" s="5" t="s">
        <v>303</v>
      </c>
      <c r="D12" s="15" t="n">
        <v>89</v>
      </c>
      <c r="E12" s="12" t="n">
        <f aca="false">IF(177=0,0,D12/177)</f>
        <v>0.502824858757062</v>
      </c>
    </row>
    <row r="13" customFormat="false" ht="15" hidden="false" customHeight="true" outlineLevel="0" collapsed="false">
      <c r="B13" s="6" t="s">
        <v>38</v>
      </c>
      <c r="D13" s="16" t="n">
        <f aca="false">SUM(D7:D12)</f>
        <v>177</v>
      </c>
      <c r="E13" s="14" t="n">
        <v>1</v>
      </c>
      <c r="F13" s="13" t="n">
        <v>423924.46</v>
      </c>
    </row>
    <row r="16" customFormat="false" ht="15" hidden="false" customHeight="true" outlineLevel="0" collapsed="false">
      <c r="B16" s="4" t="s">
        <v>304</v>
      </c>
      <c r="C16" s="4"/>
      <c r="D16" s="4"/>
      <c r="E16" s="4"/>
      <c r="F16" s="4"/>
      <c r="G16" s="4"/>
    </row>
    <row r="17" customFormat="false" ht="15" hidden="false" customHeight="true" outlineLevel="0" collapsed="false">
      <c r="B17" s="10" t="s">
        <v>152</v>
      </c>
      <c r="C17" s="10" t="s">
        <v>289</v>
      </c>
      <c r="D17" s="10" t="s">
        <v>290</v>
      </c>
    </row>
    <row r="18" customFormat="false" ht="15" hidden="false" customHeight="true" outlineLevel="0" collapsed="false">
      <c r="B18" s="5" t="s">
        <v>305</v>
      </c>
      <c r="C18" s="15" t="n">
        <v>64</v>
      </c>
      <c r="D18" s="12" t="n">
        <f aca="false">IF(177=0,0,C18/177)</f>
        <v>0.361581920903955</v>
      </c>
    </row>
    <row r="19" customFormat="false" ht="15" hidden="false" customHeight="true" outlineLevel="0" collapsed="false">
      <c r="B19" s="5" t="s">
        <v>306</v>
      </c>
      <c r="C19" s="15" t="n">
        <v>56</v>
      </c>
      <c r="D19" s="12" t="n">
        <f aca="false">IF(177=0,0,C19/177)</f>
        <v>0.316384180790961</v>
      </c>
    </row>
    <row r="20" customFormat="false" ht="15" hidden="false" customHeight="true" outlineLevel="0" collapsed="false">
      <c r="B20" s="5" t="s">
        <v>307</v>
      </c>
      <c r="C20" s="15" t="n">
        <v>28</v>
      </c>
      <c r="D20" s="12" t="n">
        <f aca="false">IF(177=0,0,C20/177)</f>
        <v>0.15819209039548</v>
      </c>
    </row>
    <row r="21" customFormat="false" ht="15" hidden="false" customHeight="true" outlineLevel="0" collapsed="false">
      <c r="B21" s="5" t="s">
        <v>302</v>
      </c>
      <c r="C21" s="15" t="n">
        <v>22</v>
      </c>
      <c r="D21" s="12" t="n">
        <f aca="false">IF(177=0,0,C21/177)</f>
        <v>0.124293785310734</v>
      </c>
    </row>
    <row r="22" customFormat="false" ht="15" hidden="false" customHeight="true" outlineLevel="0" collapsed="false">
      <c r="B22" s="5" t="s">
        <v>308</v>
      </c>
      <c r="C22" s="15" t="n">
        <v>4</v>
      </c>
      <c r="D22" s="12" t="n">
        <f aca="false">IF(177=0,0,C22/177)</f>
        <v>0.0225988700564972</v>
      </c>
    </row>
    <row r="23" customFormat="false" ht="15" hidden="false" customHeight="true" outlineLevel="0" collapsed="false">
      <c r="B23" s="5" t="s">
        <v>309</v>
      </c>
      <c r="C23" s="15" t="n">
        <v>2</v>
      </c>
      <c r="D23" s="12" t="n">
        <f aca="false">IF(177=0,0,C23/177)</f>
        <v>0.0112994350282486</v>
      </c>
    </row>
    <row r="24" customFormat="false" ht="15" hidden="false" customHeight="true" outlineLevel="0" collapsed="false">
      <c r="B24" s="5" t="s">
        <v>310</v>
      </c>
      <c r="C24" s="15" t="n">
        <v>1</v>
      </c>
      <c r="D24" s="12" t="n">
        <f aca="false">IF(177=0,0,C24/177)</f>
        <v>0.00564971751412429</v>
      </c>
    </row>
    <row r="27" customFormat="false" ht="15" hidden="false" customHeight="true" outlineLevel="0" collapsed="false">
      <c r="B27" s="4" t="s">
        <v>311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5" t="s">
        <v>312</v>
      </c>
      <c r="E28" s="11" t="n">
        <v>423924.46</v>
      </c>
    </row>
    <row r="29" customFormat="false" ht="15" hidden="false" customHeight="true" outlineLevel="0" collapsed="false">
      <c r="B29" s="5" t="s">
        <v>313</v>
      </c>
      <c r="E29" s="15" t="n">
        <v>177</v>
      </c>
    </row>
    <row r="30" customFormat="false" ht="15" hidden="false" customHeight="true" outlineLevel="0" collapsed="false">
      <c r="B30" s="22" t="s">
        <v>314</v>
      </c>
    </row>
    <row r="33" customFormat="false" ht="15" hidden="false" customHeight="true" outlineLevel="0" collapsed="false">
      <c r="B33" s="4" t="s">
        <v>64</v>
      </c>
      <c r="C33" s="4"/>
      <c r="D33" s="4"/>
      <c r="E33" s="4"/>
      <c r="F33" s="4"/>
      <c r="G33" s="4"/>
    </row>
    <row r="34" customFormat="false" ht="15" hidden="false" customHeight="true" outlineLevel="0" collapsed="false">
      <c r="B34" s="3" t="s">
        <v>65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66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67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68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69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70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71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72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73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74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75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76</v>
      </c>
      <c r="C45" s="3"/>
      <c r="D45" s="3"/>
      <c r="E45" s="3"/>
      <c r="F45" s="3"/>
      <c r="G45" s="3"/>
    </row>
    <row r="46" customFormat="false" ht="15" hidden="false" customHeight="true" outlineLevel="0" collapsed="false">
      <c r="B46" s="3" t="s">
        <v>315</v>
      </c>
      <c r="C46" s="3"/>
      <c r="D46" s="3"/>
      <c r="E46" s="3"/>
      <c r="F46" s="3"/>
      <c r="G46" s="3"/>
    </row>
    <row r="47" customFormat="false" ht="15" hidden="false" customHeight="true" outlineLevel="0" collapsed="false">
      <c r="B47" s="3" t="s">
        <v>316</v>
      </c>
      <c r="C47" s="3"/>
      <c r="D47" s="3"/>
      <c r="E47" s="3"/>
      <c r="F47" s="3"/>
      <c r="G47" s="3"/>
    </row>
  </sheetData>
  <mergeCells count="20">
    <mergeCell ref="B2:G2"/>
    <mergeCell ref="B3:G3"/>
    <mergeCell ref="B5:G5"/>
    <mergeCell ref="B16:G16"/>
    <mergeCell ref="B27:G27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317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318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319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320</v>
      </c>
      <c r="G6" s="11" t="n">
        <v>1558650</v>
      </c>
    </row>
    <row r="7" customFormat="false" ht="15" hidden="false" customHeight="true" outlineLevel="0" collapsed="false">
      <c r="B7" s="5" t="s">
        <v>321</v>
      </c>
      <c r="G7" s="11" t="n">
        <v>23168</v>
      </c>
    </row>
    <row r="8" customFormat="false" ht="15" hidden="false" customHeight="true" outlineLevel="0" collapsed="false">
      <c r="B8" s="5" t="s">
        <v>322</v>
      </c>
      <c r="G8" s="11" t="n">
        <v>1581818</v>
      </c>
    </row>
    <row r="9" customFormat="false" ht="15" hidden="false" customHeight="true" outlineLevel="0" collapsed="false">
      <c r="B9" s="5" t="s">
        <v>323</v>
      </c>
      <c r="G9" s="11" t="n">
        <v>79091</v>
      </c>
    </row>
    <row r="10" customFormat="false" ht="15" hidden="false" customHeight="true" outlineLevel="0" collapsed="false">
      <c r="B10" s="5" t="s">
        <v>324</v>
      </c>
      <c r="G10" s="11" t="n">
        <v>1502727</v>
      </c>
    </row>
    <row r="12" customFormat="false" ht="15" hidden="false" customHeight="true" outlineLevel="0" collapsed="false">
      <c r="B12" s="4" t="s">
        <v>325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326</v>
      </c>
      <c r="C13" s="10" t="s">
        <v>327</v>
      </c>
      <c r="D13" s="10" t="s">
        <v>328</v>
      </c>
      <c r="E13" s="10" t="s">
        <v>329</v>
      </c>
      <c r="F13" s="10" t="s">
        <v>330</v>
      </c>
      <c r="G13" s="10" t="s">
        <v>331</v>
      </c>
      <c r="H13" s="10" t="s">
        <v>332</v>
      </c>
    </row>
    <row r="14" customFormat="false" ht="15" hidden="false" customHeight="true" outlineLevel="0" collapsed="false">
      <c r="B14" s="5" t="n">
        <v>1</v>
      </c>
      <c r="C14" s="5" t="s">
        <v>333</v>
      </c>
      <c r="D14" s="11" t="n">
        <v>48000</v>
      </c>
      <c r="E14" s="11" t="n">
        <v>2400</v>
      </c>
      <c r="F14" s="11" t="n">
        <f aca="false">D14-E14</f>
        <v>45600</v>
      </c>
      <c r="G14" s="11" t="n">
        <v>45600</v>
      </c>
      <c r="H14" s="12" t="n">
        <f aca="false">IF(1581818=0,0,G14/1581818)</f>
        <v>0.0288275895204126</v>
      </c>
    </row>
    <row r="15" customFormat="false" ht="15" hidden="false" customHeight="true" outlineLevel="0" collapsed="false">
      <c r="B15" s="5" t="n">
        <v>2</v>
      </c>
      <c r="C15" s="5" t="s">
        <v>334</v>
      </c>
      <c r="D15" s="11" t="n">
        <v>20000</v>
      </c>
      <c r="E15" s="11" t="n">
        <v>1000</v>
      </c>
      <c r="F15" s="11" t="n">
        <f aca="false">D15-E15</f>
        <v>19000</v>
      </c>
      <c r="G15" s="11" t="n">
        <v>64600</v>
      </c>
      <c r="H15" s="12" t="n">
        <f aca="false">IF(1581818=0,0,G15/1581818)</f>
        <v>0.0408390851539178</v>
      </c>
    </row>
    <row r="16" customFormat="false" ht="15" hidden="false" customHeight="true" outlineLevel="0" collapsed="false">
      <c r="B16" s="5" t="n">
        <v>3</v>
      </c>
      <c r="C16" s="5" t="s">
        <v>335</v>
      </c>
      <c r="D16" s="11" t="n">
        <v>10000</v>
      </c>
      <c r="E16" s="11" t="n">
        <v>500</v>
      </c>
      <c r="F16" s="11" t="n">
        <f aca="false">D16-E16</f>
        <v>9500</v>
      </c>
      <c r="G16" s="11" t="n">
        <v>74100</v>
      </c>
      <c r="H16" s="12" t="n">
        <f aca="false">IF(1581818=0,0,G16/1581818)</f>
        <v>0.0468448329706705</v>
      </c>
    </row>
    <row r="17" customFormat="false" ht="15" hidden="false" customHeight="true" outlineLevel="0" collapsed="false">
      <c r="B17" s="5" t="n">
        <v>4</v>
      </c>
      <c r="C17" s="5" t="s">
        <v>336</v>
      </c>
      <c r="D17" s="11" t="n">
        <v>36075</v>
      </c>
      <c r="E17" s="11" t="n">
        <v>1803.75</v>
      </c>
      <c r="F17" s="11" t="n">
        <f aca="false">D17-E17</f>
        <v>34271.25</v>
      </c>
      <c r="G17" s="11" t="n">
        <v>108371.25</v>
      </c>
      <c r="H17" s="12" t="n">
        <f aca="false">IF(1581818=0,0,G17/1581818)</f>
        <v>0.0685105682196055</v>
      </c>
    </row>
    <row r="18" customFormat="false" ht="15" hidden="false" customHeight="true" outlineLevel="0" collapsed="false">
      <c r="B18" s="5" t="n">
        <v>5</v>
      </c>
      <c r="C18" s="5" t="s">
        <v>337</v>
      </c>
      <c r="D18" s="11" t="n">
        <v>33220</v>
      </c>
      <c r="E18" s="11" t="n">
        <v>1661</v>
      </c>
      <c r="F18" s="11" t="n">
        <f aca="false">D18-E18</f>
        <v>31559</v>
      </c>
      <c r="G18" s="11" t="n">
        <v>139930.25</v>
      </c>
      <c r="H18" s="12" t="n">
        <f aca="false">IF(1581818=0,0,G18/1581818)</f>
        <v>0.0884616624668578</v>
      </c>
    </row>
    <row r="19" customFormat="false" ht="15" hidden="false" customHeight="true" outlineLevel="0" collapsed="false">
      <c r="B19" s="5" t="n">
        <v>6</v>
      </c>
      <c r="C19" s="5" t="s">
        <v>338</v>
      </c>
      <c r="D19" s="11" t="n">
        <v>58580</v>
      </c>
      <c r="E19" s="11" t="n">
        <v>2929</v>
      </c>
      <c r="F19" s="11" t="n">
        <f aca="false">D19-E19</f>
        <v>55651</v>
      </c>
      <c r="G19" s="11" t="n">
        <v>195581.25</v>
      </c>
      <c r="H19" s="12" t="n">
        <f aca="false">IF(1581818=0,0,G19/1581818)</f>
        <v>0.123643333177395</v>
      </c>
    </row>
    <row r="20" customFormat="false" ht="15" hidden="false" customHeight="true" outlineLevel="0" collapsed="false">
      <c r="B20" s="5" t="n">
        <v>7</v>
      </c>
      <c r="C20" s="5" t="s">
        <v>339</v>
      </c>
      <c r="D20" s="11" t="n">
        <v>117505</v>
      </c>
      <c r="E20" s="11" t="n">
        <v>5875.25</v>
      </c>
      <c r="F20" s="11" t="n">
        <f aca="false">D20-E20</f>
        <v>111629.75</v>
      </c>
      <c r="G20" s="11" t="n">
        <v>307211</v>
      </c>
      <c r="H20" s="12" t="n">
        <f aca="false">IF(1581818=0,0,G20/1581818)</f>
        <v>0.194213872898146</v>
      </c>
    </row>
    <row r="21" customFormat="false" ht="15" hidden="false" customHeight="true" outlineLevel="0" collapsed="false">
      <c r="B21" s="5" t="n">
        <v>8</v>
      </c>
      <c r="C21" s="5" t="s">
        <v>340</v>
      </c>
      <c r="D21" s="11" t="n">
        <v>268030</v>
      </c>
      <c r="E21" s="11" t="n">
        <v>13401.5</v>
      </c>
      <c r="F21" s="11" t="n">
        <f aca="false">D21-E21</f>
        <v>254628.5</v>
      </c>
      <c r="G21" s="11" t="n">
        <v>561839.5</v>
      </c>
      <c r="H21" s="12" t="n">
        <f aca="false">IF(1581818=0,0,G21/1581818)</f>
        <v>0.355185931630567</v>
      </c>
    </row>
    <row r="22" customFormat="false" ht="15" hidden="false" customHeight="true" outlineLevel="0" collapsed="false">
      <c r="B22" s="5" t="n">
        <v>9</v>
      </c>
      <c r="C22" s="5" t="s">
        <v>341</v>
      </c>
      <c r="D22" s="11" t="n">
        <v>288168</v>
      </c>
      <c r="E22" s="11" t="n">
        <v>14408.4</v>
      </c>
      <c r="F22" s="11" t="n">
        <f aca="false">D22-E22</f>
        <v>273759.6</v>
      </c>
      <c r="G22" s="11" t="n">
        <v>835599.1</v>
      </c>
      <c r="H22" s="12" t="n">
        <f aca="false">IF(1581818=0,0,G22/1581818)</f>
        <v>0.528252365316364</v>
      </c>
    </row>
    <row r="23" customFormat="false" ht="15" hidden="false" customHeight="true" outlineLevel="0" collapsed="false">
      <c r="B23" s="5" t="n">
        <v>10</v>
      </c>
      <c r="C23" s="5" t="s">
        <v>342</v>
      </c>
      <c r="D23" s="11" t="n">
        <v>139762</v>
      </c>
      <c r="E23" s="11" t="n">
        <v>6988.1</v>
      </c>
      <c r="F23" s="11" t="n">
        <f aca="false">D23-E23</f>
        <v>132773.9</v>
      </c>
      <c r="G23" s="11" t="n">
        <v>968373</v>
      </c>
      <c r="H23" s="12" t="n">
        <f aca="false">IF(1581818=0,0,G23/1581818)</f>
        <v>0.612189897952862</v>
      </c>
    </row>
    <row r="24" customFormat="false" ht="15" hidden="false" customHeight="true" outlineLevel="0" collapsed="false">
      <c r="B24" s="5" t="n">
        <v>11</v>
      </c>
      <c r="C24" s="5" t="s">
        <v>343</v>
      </c>
      <c r="D24" s="11" t="n">
        <v>223492</v>
      </c>
      <c r="E24" s="11" t="n">
        <v>11174.6</v>
      </c>
      <c r="F24" s="11" t="n">
        <f aca="false">D24-E24</f>
        <v>212317.4</v>
      </c>
      <c r="G24" s="11" t="n">
        <v>1180690.4</v>
      </c>
      <c r="H24" s="12" t="n">
        <f aca="false">IF(1581818=0,0,G24/1581818)</f>
        <v>0.74641355705903</v>
      </c>
    </row>
    <row r="25" customFormat="false" ht="15" hidden="false" customHeight="true" outlineLevel="0" collapsed="false">
      <c r="B25" s="5" t="n">
        <v>12</v>
      </c>
      <c r="C25" s="5" t="s">
        <v>344</v>
      </c>
      <c r="D25" s="11" t="n">
        <v>184576</v>
      </c>
      <c r="E25" s="11" t="n">
        <v>9228.8</v>
      </c>
      <c r="F25" s="11" t="n">
        <f aca="false">D25-E25</f>
        <v>175347.2</v>
      </c>
      <c r="G25" s="11" t="n">
        <v>1356037.6</v>
      </c>
      <c r="H25" s="12" t="n">
        <f aca="false">IF(1581818=0,0,G25/1581818)</f>
        <v>0.857265247961523</v>
      </c>
    </row>
    <row r="26" customFormat="false" ht="15" hidden="false" customHeight="true" outlineLevel="0" collapsed="false">
      <c r="B26" s="5" t="n">
        <v>13</v>
      </c>
      <c r="C26" s="5" t="s">
        <v>345</v>
      </c>
      <c r="D26" s="11" t="n">
        <v>59875</v>
      </c>
      <c r="E26" s="11" t="n">
        <v>2993.75</v>
      </c>
      <c r="F26" s="11" t="n">
        <f aca="false">D26-E26</f>
        <v>56881.25</v>
      </c>
      <c r="G26" s="11" t="n">
        <v>1412918.85</v>
      </c>
      <c r="H26" s="12" t="n">
        <f aca="false">IF(1581818=0,0,G26/1581818)</f>
        <v>0.893224663014329</v>
      </c>
    </row>
    <row r="27" customFormat="false" ht="15" hidden="false" customHeight="true" outlineLevel="0" collapsed="false">
      <c r="B27" s="5" t="n">
        <v>14</v>
      </c>
      <c r="C27" s="5" t="s">
        <v>346</v>
      </c>
      <c r="D27" s="11" t="n">
        <v>65863</v>
      </c>
      <c r="E27" s="11" t="n">
        <v>3293.15</v>
      </c>
      <c r="F27" s="11" t="n">
        <f aca="false">D27-E27</f>
        <v>62569.85</v>
      </c>
      <c r="G27" s="11" t="n">
        <v>1475488.7</v>
      </c>
      <c r="H27" s="12" t="n">
        <f aca="false">IF(1581818=0,0,G27/1581818)</f>
        <v>0.932780319859807</v>
      </c>
    </row>
    <row r="28" customFormat="false" ht="15" hidden="false" customHeight="true" outlineLevel="0" collapsed="false">
      <c r="B28" s="5" t="n">
        <v>15</v>
      </c>
      <c r="C28" s="5" t="s">
        <v>347</v>
      </c>
      <c r="D28" s="11" t="n">
        <v>24778</v>
      </c>
      <c r="E28" s="11" t="n">
        <v>1238.9</v>
      </c>
      <c r="F28" s="11" t="n">
        <f aca="false">D28-E28</f>
        <v>23539.1</v>
      </c>
      <c r="G28" s="11" t="n">
        <v>1499027.8</v>
      </c>
      <c r="H28" s="12" t="n">
        <f aca="false">IF(1581818=0,0,G28/1581818)</f>
        <v>0.947661361800157</v>
      </c>
    </row>
    <row r="29" customFormat="false" ht="15" hidden="false" customHeight="true" outlineLevel="0" collapsed="false">
      <c r="B29" s="5" t="n">
        <v>16</v>
      </c>
      <c r="C29" s="5" t="s">
        <v>348</v>
      </c>
      <c r="D29" s="11" t="n">
        <v>3409</v>
      </c>
      <c r="E29" s="11" t="n">
        <v>170.45</v>
      </c>
      <c r="F29" s="11" t="n">
        <f aca="false">D29-E29</f>
        <v>3238.55</v>
      </c>
      <c r="G29" s="11" t="n">
        <v>1502266.35</v>
      </c>
      <c r="H29" s="12" t="n">
        <f aca="false">IF(1581818=0,0,G29/1581818)</f>
        <v>0.949708721230888</v>
      </c>
    </row>
    <row r="30" customFormat="false" ht="15" hidden="false" customHeight="true" outlineLevel="0" collapsed="false">
      <c r="B30" s="5" t="n">
        <v>17</v>
      </c>
      <c r="C30" s="5" t="s">
        <v>349</v>
      </c>
      <c r="D30" s="11" t="n">
        <v>485</v>
      </c>
      <c r="E30" s="11" t="n">
        <v>24.25</v>
      </c>
      <c r="F30" s="11" t="n">
        <f aca="false">D30-E30</f>
        <v>460.75</v>
      </c>
      <c r="G30" s="11" t="n">
        <v>1502727.1</v>
      </c>
      <c r="H30" s="12" t="n">
        <f aca="false">IF(1581818=0,0,G30/1581818)</f>
        <v>0.95</v>
      </c>
    </row>
    <row r="32" customFormat="false" ht="15" hidden="false" customHeight="true" outlineLevel="0" collapsed="false">
      <c r="B32" s="4" t="s">
        <v>350</v>
      </c>
      <c r="C32" s="4"/>
      <c r="D32" s="4"/>
      <c r="E32" s="4"/>
      <c r="F32" s="4"/>
      <c r="G32" s="4"/>
      <c r="H32" s="4"/>
    </row>
    <row r="33" customFormat="false" ht="15" hidden="false" customHeight="true" outlineLevel="0" collapsed="false">
      <c r="B33" s="10" t="s">
        <v>40</v>
      </c>
      <c r="C33" s="10" t="s">
        <v>351</v>
      </c>
      <c r="D33" s="10" t="s">
        <v>352</v>
      </c>
      <c r="E33" s="10" t="s">
        <v>353</v>
      </c>
      <c r="F33" s="10" t="s">
        <v>354</v>
      </c>
    </row>
    <row r="34" customFormat="false" ht="15" hidden="false" customHeight="true" outlineLevel="0" collapsed="false">
      <c r="B34" s="5" t="s">
        <v>322</v>
      </c>
      <c r="C34" s="11" t="n">
        <v>1581818</v>
      </c>
      <c r="D34" s="11" t="n">
        <v>1581818</v>
      </c>
      <c r="E34" s="11" t="n">
        <f aca="false">C34-D34</f>
        <v>0</v>
      </c>
      <c r="F34" s="6" t="str">
        <f aca="false">IF(ABS(E34)&lt;=1,"TIES",IF(ABS(E34)&lt;=ABS(D34)*0.05,"WITHIN","OFF"))</f>
        <v>TIES</v>
      </c>
    </row>
    <row r="35" customFormat="false" ht="15" hidden="false" customHeight="true" outlineLevel="0" collapsed="false">
      <c r="B35" s="5" t="s">
        <v>355</v>
      </c>
      <c r="C35" s="11" t="n">
        <v>79091</v>
      </c>
      <c r="D35" s="11" t="n">
        <v>79091</v>
      </c>
      <c r="E35" s="11" t="n">
        <f aca="false">C35-D35</f>
        <v>0</v>
      </c>
      <c r="F35" s="6" t="str">
        <f aca="false">IF(ABS(E35)&lt;=1,"TIES",IF(ABS(E35)&lt;=ABS(D35)*0.05,"WITHIN","OFF"))</f>
        <v>TIES</v>
      </c>
    </row>
    <row r="36" customFormat="false" ht="15" hidden="false" customHeight="true" outlineLevel="0" collapsed="false">
      <c r="B36" s="5" t="s">
        <v>135</v>
      </c>
      <c r="C36" s="11" t="n">
        <v>1133076.79</v>
      </c>
      <c r="D36" s="11" t="n">
        <v>1133076.79</v>
      </c>
      <c r="E36" s="11" t="n">
        <f aca="false">C36-D36</f>
        <v>0</v>
      </c>
      <c r="F36" s="6" t="str">
        <f aca="false">IF(ABS(E36)&lt;=1,"TIES",IF(ABS(E36)&lt;=ABS(D36)*0.05,"WITHIN","OFF"))</f>
        <v>TIES</v>
      </c>
    </row>
    <row r="40" customFormat="false" ht="15" hidden="false" customHeight="true" outlineLevel="0" collapsed="false">
      <c r="B40" s="4" t="s">
        <v>64</v>
      </c>
      <c r="C40" s="4"/>
      <c r="D40" s="4"/>
      <c r="E40" s="4"/>
      <c r="F40" s="4"/>
      <c r="G40" s="4"/>
      <c r="H40" s="4"/>
    </row>
    <row r="41" customFormat="false" ht="15" hidden="false" customHeight="true" outlineLevel="0" collapsed="false">
      <c r="B41" s="3" t="s">
        <v>65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66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67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68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69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70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71</v>
      </c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B48" s="3" t="s">
        <v>72</v>
      </c>
      <c r="C48" s="3"/>
      <c r="D48" s="3"/>
      <c r="E48" s="3"/>
      <c r="F48" s="3"/>
      <c r="G48" s="3"/>
      <c r="H48" s="3"/>
    </row>
    <row r="49" customFormat="false" ht="15" hidden="false" customHeight="true" outlineLevel="0" collapsed="false">
      <c r="B49" s="3" t="s">
        <v>73</v>
      </c>
      <c r="C49" s="3"/>
      <c r="D49" s="3"/>
      <c r="E49" s="3"/>
      <c r="F49" s="3"/>
      <c r="G49" s="3"/>
      <c r="H49" s="3"/>
    </row>
    <row r="50" customFormat="false" ht="15" hidden="false" customHeight="true" outlineLevel="0" collapsed="false">
      <c r="B50" s="3" t="s">
        <v>74</v>
      </c>
      <c r="C50" s="3"/>
      <c r="D50" s="3"/>
      <c r="E50" s="3"/>
      <c r="F50" s="3"/>
      <c r="G50" s="3"/>
      <c r="H50" s="3"/>
    </row>
    <row r="51" customFormat="false" ht="15" hidden="false" customHeight="true" outlineLevel="0" collapsed="false">
      <c r="B51" s="3" t="s">
        <v>75</v>
      </c>
      <c r="C51" s="3"/>
      <c r="D51" s="3"/>
      <c r="E51" s="3"/>
      <c r="F51" s="3"/>
      <c r="G51" s="3"/>
      <c r="H51" s="3"/>
    </row>
    <row r="52" customFormat="false" ht="15" hidden="false" customHeight="true" outlineLevel="0" collapsed="false">
      <c r="B52" s="3" t="s">
        <v>76</v>
      </c>
      <c r="C52" s="3"/>
      <c r="D52" s="3"/>
      <c r="E52" s="3"/>
      <c r="F52" s="3"/>
      <c r="G52" s="3"/>
      <c r="H52" s="3"/>
    </row>
  </sheetData>
  <mergeCells count="18">
    <mergeCell ref="B2:H2"/>
    <mergeCell ref="B3:H3"/>
    <mergeCell ref="B5:H5"/>
    <mergeCell ref="B12:H12"/>
    <mergeCell ref="B32:H32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356</v>
      </c>
      <c r="C2" s="2"/>
    </row>
    <row r="3" customFormat="false" ht="15" hidden="false" customHeight="true" outlineLevel="0" collapsed="false">
      <c r="B3" s="3" t="s">
        <v>357</v>
      </c>
      <c r="C3" s="3"/>
    </row>
    <row r="5" customFormat="false" ht="31.5" hidden="false" customHeight="true" outlineLevel="0" collapsed="false">
      <c r="B5" s="6" t="s">
        <v>358</v>
      </c>
      <c r="C5" s="25" t="s">
        <v>359</v>
      </c>
    </row>
    <row r="6" customFormat="false" ht="31.5" hidden="false" customHeight="true" outlineLevel="0" collapsed="false">
      <c r="B6" s="6" t="s">
        <v>360</v>
      </c>
      <c r="C6" s="25" t="s">
        <v>361</v>
      </c>
    </row>
    <row r="7" customFormat="false" ht="31.5" hidden="false" customHeight="true" outlineLevel="0" collapsed="false">
      <c r="B7" s="6" t="s">
        <v>362</v>
      </c>
      <c r="C7" s="25" t="s">
        <v>363</v>
      </c>
    </row>
    <row r="8" customFormat="false" ht="31.5" hidden="false" customHeight="true" outlineLevel="0" collapsed="false">
      <c r="B8" s="6" t="s">
        <v>364</v>
      </c>
      <c r="C8" s="25" t="s">
        <v>365</v>
      </c>
    </row>
    <row r="9" customFormat="false" ht="31.5" hidden="false" customHeight="true" outlineLevel="0" collapsed="false">
      <c r="B9" s="6" t="s">
        <v>366</v>
      </c>
      <c r="C9" s="25" t="s">
        <v>367</v>
      </c>
    </row>
    <row r="10" customFormat="false" ht="31.5" hidden="false" customHeight="true" outlineLevel="0" collapsed="false">
      <c r="B10" s="6" t="s">
        <v>368</v>
      </c>
      <c r="C10" s="25" t="s">
        <v>369</v>
      </c>
    </row>
    <row r="11" customFormat="false" ht="31.5" hidden="false" customHeight="true" outlineLevel="0" collapsed="false">
      <c r="B11" s="6" t="s">
        <v>370</v>
      </c>
      <c r="C11" s="25" t="s">
        <v>371</v>
      </c>
    </row>
    <row r="12" customFormat="false" ht="31.5" hidden="false" customHeight="true" outlineLevel="0" collapsed="false">
      <c r="B12" s="6" t="s">
        <v>372</v>
      </c>
      <c r="C12" s="25" t="s">
        <v>373</v>
      </c>
    </row>
    <row r="13" customFormat="false" ht="31.5" hidden="false" customHeight="true" outlineLevel="0" collapsed="false">
      <c r="B13" s="6" t="s">
        <v>374</v>
      </c>
      <c r="C13" s="25" t="s">
        <v>375</v>
      </c>
    </row>
    <row r="14" customFormat="false" ht="31.5" hidden="false" customHeight="true" outlineLevel="0" collapsed="false">
      <c r="B14" s="6" t="s">
        <v>376</v>
      </c>
      <c r="C14" s="25" t="s">
        <v>377</v>
      </c>
    </row>
    <row r="16" customFormat="false" ht="15" hidden="false" customHeight="true" outlineLevel="0" collapsed="false">
      <c r="B16" s="4" t="s">
        <v>378</v>
      </c>
      <c r="C16" s="4"/>
    </row>
    <row r="17" customFormat="false" ht="49.5" hidden="false" customHeight="true" outlineLevel="0" collapsed="false">
      <c r="B17" s="26" t="s">
        <v>379</v>
      </c>
      <c r="C17" s="26"/>
    </row>
    <row r="20" customFormat="false" ht="15" hidden="false" customHeight="true" outlineLevel="0" collapsed="false">
      <c r="B20" s="4" t="s">
        <v>64</v>
      </c>
      <c r="C20" s="4"/>
    </row>
    <row r="21" customFormat="false" ht="15" hidden="false" customHeight="true" outlineLevel="0" collapsed="false">
      <c r="B21" s="3" t="s">
        <v>65</v>
      </c>
      <c r="C21" s="3"/>
    </row>
    <row r="22" customFormat="false" ht="15" hidden="false" customHeight="true" outlineLevel="0" collapsed="false">
      <c r="B22" s="3" t="s">
        <v>66</v>
      </c>
      <c r="C22" s="3"/>
    </row>
    <row r="23" customFormat="false" ht="15" hidden="false" customHeight="true" outlineLevel="0" collapsed="false">
      <c r="B23" s="3" t="s">
        <v>67</v>
      </c>
      <c r="C23" s="3"/>
    </row>
    <row r="24" customFormat="false" ht="15" hidden="false" customHeight="true" outlineLevel="0" collapsed="false">
      <c r="B24" s="3" t="s">
        <v>68</v>
      </c>
      <c r="C24" s="3"/>
    </row>
    <row r="25" customFormat="false" ht="15" hidden="false" customHeight="true" outlineLevel="0" collapsed="false">
      <c r="B25" s="3" t="s">
        <v>69</v>
      </c>
      <c r="C25" s="3"/>
    </row>
    <row r="26" customFormat="false" ht="15" hidden="false" customHeight="true" outlineLevel="0" collapsed="false">
      <c r="B26" s="3" t="s">
        <v>70</v>
      </c>
      <c r="C26" s="3"/>
    </row>
    <row r="27" customFormat="false" ht="15" hidden="false" customHeight="true" outlineLevel="0" collapsed="false">
      <c r="B27" s="3" t="s">
        <v>71</v>
      </c>
      <c r="C27" s="3"/>
    </row>
    <row r="28" customFormat="false" ht="15" hidden="false" customHeight="true" outlineLevel="0" collapsed="false">
      <c r="B28" s="3" t="s">
        <v>72</v>
      </c>
      <c r="C28" s="3"/>
    </row>
    <row r="29" customFormat="false" ht="15" hidden="false" customHeight="true" outlineLevel="0" collapsed="false">
      <c r="B29" s="3" t="s">
        <v>73</v>
      </c>
      <c r="C29" s="3"/>
    </row>
    <row r="30" customFormat="false" ht="15" hidden="false" customHeight="true" outlineLevel="0" collapsed="false">
      <c r="B30" s="3" t="s">
        <v>74</v>
      </c>
      <c r="C30" s="3"/>
    </row>
    <row r="31" customFormat="false" ht="15" hidden="false" customHeight="true" outlineLevel="0" collapsed="false">
      <c r="B31" s="3" t="s">
        <v>75</v>
      </c>
      <c r="C31" s="3"/>
    </row>
    <row r="32" customFormat="false" ht="15" hidden="false" customHeight="true" outlineLevel="0" collapsed="false">
      <c r="B32" s="3" t="s">
        <v>76</v>
      </c>
      <c r="C32" s="3"/>
    </row>
  </sheetData>
  <mergeCells count="17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380</v>
      </c>
      <c r="C2" s="2"/>
      <c r="D2" s="2"/>
      <c r="E2" s="2"/>
      <c r="F2" s="2"/>
    </row>
    <row r="3" customFormat="false" ht="15" hidden="false" customHeight="true" outlineLevel="0" collapsed="false">
      <c r="B3" s="3" t="s">
        <v>381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382</v>
      </c>
      <c r="C5" s="10" t="s">
        <v>383</v>
      </c>
      <c r="D5" s="10" t="s">
        <v>41</v>
      </c>
      <c r="E5" s="10" t="s">
        <v>28</v>
      </c>
      <c r="F5" s="10" t="s">
        <v>264</v>
      </c>
      <c r="G5" s="27" t="s">
        <v>384</v>
      </c>
      <c r="H5" s="27" t="s">
        <v>385</v>
      </c>
    </row>
    <row r="6" customFormat="false" ht="15" hidden="false" customHeight="true" outlineLevel="0" collapsed="false">
      <c r="B6" s="5" t="s">
        <v>386</v>
      </c>
      <c r="C6" s="28" t="s">
        <v>387</v>
      </c>
      <c r="D6" s="6" t="s">
        <v>4</v>
      </c>
      <c r="E6" s="5" t="s">
        <v>388</v>
      </c>
      <c r="F6" s="22" t="s">
        <v>389</v>
      </c>
      <c r="G6" s="29" t="s">
        <v>390</v>
      </c>
      <c r="H6" s="30" t="s">
        <v>391</v>
      </c>
    </row>
    <row r="7" customFormat="false" ht="15" hidden="false" customHeight="true" outlineLevel="0" collapsed="false">
      <c r="B7" s="5" t="s">
        <v>392</v>
      </c>
      <c r="C7" s="28" t="s">
        <v>393</v>
      </c>
      <c r="D7" s="6" t="s">
        <v>6</v>
      </c>
      <c r="E7" s="5" t="s">
        <v>388</v>
      </c>
      <c r="G7" s="29" t="s">
        <v>390</v>
      </c>
      <c r="H7" s="30" t="s">
        <v>391</v>
      </c>
    </row>
    <row r="8" customFormat="false" ht="15" hidden="false" customHeight="true" outlineLevel="0" collapsed="false">
      <c r="B8" s="5" t="s">
        <v>7</v>
      </c>
      <c r="C8" s="28" t="s">
        <v>394</v>
      </c>
      <c r="D8" s="6" t="s">
        <v>8</v>
      </c>
      <c r="E8" s="5" t="s">
        <v>388</v>
      </c>
      <c r="G8" s="29" t="s">
        <v>390</v>
      </c>
      <c r="H8" s="30" t="s">
        <v>391</v>
      </c>
    </row>
    <row r="9" customFormat="false" ht="15" hidden="false" customHeight="true" outlineLevel="0" collapsed="false">
      <c r="B9" s="5" t="s">
        <v>9</v>
      </c>
      <c r="C9" s="28" t="s">
        <v>395</v>
      </c>
      <c r="D9" s="6" t="s">
        <v>10</v>
      </c>
      <c r="E9" s="5" t="s">
        <v>388</v>
      </c>
      <c r="G9" s="29" t="s">
        <v>390</v>
      </c>
      <c r="H9" s="30" t="s">
        <v>391</v>
      </c>
    </row>
    <row r="10" customFormat="false" ht="15" hidden="false" customHeight="true" outlineLevel="0" collapsed="false">
      <c r="B10" s="5" t="s">
        <v>396</v>
      </c>
      <c r="C10" s="28" t="s">
        <v>397</v>
      </c>
      <c r="D10" s="6" t="s">
        <v>398</v>
      </c>
      <c r="E10" s="5" t="s">
        <v>388</v>
      </c>
      <c r="G10" s="29" t="s">
        <v>390</v>
      </c>
      <c r="H10" s="30" t="s">
        <v>391</v>
      </c>
    </row>
    <row r="11" customFormat="false" ht="15" hidden="false" customHeight="true" outlineLevel="0" collapsed="false">
      <c r="B11" s="5" t="s">
        <v>399</v>
      </c>
      <c r="C11" s="28" t="s">
        <v>400</v>
      </c>
      <c r="D11" s="6" t="n">
        <v>19</v>
      </c>
      <c r="E11" s="5" t="s">
        <v>388</v>
      </c>
      <c r="F11" s="22" t="s">
        <v>12</v>
      </c>
      <c r="G11" s="29" t="s">
        <v>390</v>
      </c>
      <c r="H11" s="30" t="s">
        <v>391</v>
      </c>
    </row>
    <row r="12" customFormat="false" ht="15" hidden="false" customHeight="true" outlineLevel="0" collapsed="false">
      <c r="B12" s="5" t="s">
        <v>401</v>
      </c>
      <c r="C12" s="28" t="s">
        <v>402</v>
      </c>
      <c r="D12" s="13" t="n">
        <v>182</v>
      </c>
      <c r="E12" s="5" t="s">
        <v>388</v>
      </c>
      <c r="G12" s="29" t="s">
        <v>390</v>
      </c>
      <c r="H12" s="30" t="s">
        <v>391</v>
      </c>
    </row>
    <row r="13" customFormat="false" ht="15" hidden="false" customHeight="true" outlineLevel="0" collapsed="false">
      <c r="B13" s="5" t="s">
        <v>56</v>
      </c>
      <c r="C13" s="28" t="s">
        <v>403</v>
      </c>
      <c r="D13" s="13" t="n">
        <v>891</v>
      </c>
      <c r="E13" s="5" t="s">
        <v>388</v>
      </c>
      <c r="G13" s="29" t="s">
        <v>390</v>
      </c>
      <c r="H13" s="30" t="s">
        <v>391</v>
      </c>
    </row>
    <row r="14" customFormat="false" ht="15" hidden="false" customHeight="true" outlineLevel="0" collapsed="false">
      <c r="B14" s="5" t="s">
        <v>404</v>
      </c>
      <c r="C14" s="28" t="s">
        <v>405</v>
      </c>
      <c r="D14" s="21" t="n">
        <v>4.8956043956044</v>
      </c>
      <c r="E14" s="5" t="s">
        <v>388</v>
      </c>
      <c r="G14" s="29" t="s">
        <v>390</v>
      </c>
      <c r="H14" s="30" t="s">
        <v>391</v>
      </c>
    </row>
    <row r="15" customFormat="false" ht="15" hidden="false" customHeight="true" outlineLevel="0" collapsed="false">
      <c r="B15" s="5" t="s">
        <v>406</v>
      </c>
      <c r="C15" s="28" t="s">
        <v>407</v>
      </c>
      <c r="D15" s="13" t="n">
        <v>1558650</v>
      </c>
      <c r="E15" s="5" t="s">
        <v>408</v>
      </c>
      <c r="G15" s="29" t="s">
        <v>390</v>
      </c>
      <c r="H15" s="30" t="s">
        <v>391</v>
      </c>
    </row>
    <row r="16" customFormat="false" ht="15" hidden="false" customHeight="true" outlineLevel="0" collapsed="false">
      <c r="B16" s="5" t="s">
        <v>409</v>
      </c>
      <c r="C16" s="28" t="s">
        <v>410</v>
      </c>
      <c r="D16" s="13" t="n">
        <v>1581818</v>
      </c>
      <c r="E16" s="5" t="s">
        <v>408</v>
      </c>
      <c r="F16" s="22" t="s">
        <v>411</v>
      </c>
      <c r="G16" s="29" t="s">
        <v>390</v>
      </c>
      <c r="H16" s="30" t="s">
        <v>391</v>
      </c>
    </row>
    <row r="17" customFormat="false" ht="15" hidden="false" customHeight="true" outlineLevel="0" collapsed="false">
      <c r="B17" s="5" t="s">
        <v>412</v>
      </c>
      <c r="C17" s="28" t="s">
        <v>413</v>
      </c>
      <c r="D17" s="13" t="n">
        <v>23168</v>
      </c>
      <c r="E17" s="5" t="s">
        <v>408</v>
      </c>
      <c r="G17" s="29" t="s">
        <v>390</v>
      </c>
      <c r="H17" s="30" t="s">
        <v>391</v>
      </c>
    </row>
    <row r="18" customFormat="false" ht="15" hidden="false" customHeight="true" outlineLevel="0" collapsed="false">
      <c r="B18" s="5" t="s">
        <v>414</v>
      </c>
      <c r="C18" s="28" t="s">
        <v>415</v>
      </c>
      <c r="D18" s="13" t="n">
        <v>1581818</v>
      </c>
      <c r="E18" s="5" t="s">
        <v>408</v>
      </c>
      <c r="G18" s="29" t="s">
        <v>390</v>
      </c>
      <c r="H18" s="30" t="s">
        <v>391</v>
      </c>
    </row>
    <row r="19" customFormat="false" ht="15" hidden="false" customHeight="true" outlineLevel="0" collapsed="false">
      <c r="B19" s="5" t="s">
        <v>416</v>
      </c>
      <c r="C19" s="28" t="s">
        <v>417</v>
      </c>
      <c r="D19" s="13" t="n">
        <v>448741.21</v>
      </c>
      <c r="E19" s="5" t="s">
        <v>408</v>
      </c>
      <c r="G19" s="29" t="s">
        <v>390</v>
      </c>
      <c r="H19" s="30" t="s">
        <v>391</v>
      </c>
    </row>
    <row r="20" customFormat="false" ht="15" hidden="false" customHeight="true" outlineLevel="0" collapsed="false">
      <c r="B20" s="5" t="s">
        <v>418</v>
      </c>
      <c r="C20" s="28" t="s">
        <v>419</v>
      </c>
      <c r="D20" s="21" t="n">
        <v>0.283687004446782</v>
      </c>
      <c r="E20" s="5" t="s">
        <v>408</v>
      </c>
      <c r="G20" s="29" t="s">
        <v>390</v>
      </c>
      <c r="H20" s="30" t="s">
        <v>391</v>
      </c>
    </row>
    <row r="21" customFormat="false" ht="15" hidden="false" customHeight="true" outlineLevel="0" collapsed="false">
      <c r="B21" s="5" t="s">
        <v>135</v>
      </c>
      <c r="C21" s="28" t="s">
        <v>420</v>
      </c>
      <c r="D21" s="13" t="n">
        <v>1133076.79</v>
      </c>
      <c r="E21" s="5" t="s">
        <v>408</v>
      </c>
      <c r="G21" s="29" t="s">
        <v>390</v>
      </c>
      <c r="H21" s="30" t="s">
        <v>391</v>
      </c>
    </row>
    <row r="22" customFormat="false" ht="15" hidden="false" customHeight="true" outlineLevel="0" collapsed="false">
      <c r="B22" s="5" t="s">
        <v>421</v>
      </c>
      <c r="C22" s="28" t="s">
        <v>422</v>
      </c>
      <c r="D22" s="13" t="n">
        <v>429422.78</v>
      </c>
      <c r="E22" s="5" t="s">
        <v>34</v>
      </c>
      <c r="F22" s="22" t="s">
        <v>423</v>
      </c>
      <c r="G22" s="29" t="s">
        <v>390</v>
      </c>
      <c r="H22" s="30" t="s">
        <v>391</v>
      </c>
    </row>
    <row r="23" customFormat="false" ht="15" hidden="false" customHeight="true" outlineLevel="0" collapsed="false">
      <c r="B23" s="5" t="s">
        <v>424</v>
      </c>
      <c r="C23" s="28" t="s">
        <v>425</v>
      </c>
      <c r="D23" s="13" t="n">
        <v>423924.46</v>
      </c>
      <c r="E23" s="5" t="s">
        <v>35</v>
      </c>
      <c r="F23" s="22" t="s">
        <v>426</v>
      </c>
      <c r="G23" s="29" t="s">
        <v>390</v>
      </c>
      <c r="H23" s="30" t="s">
        <v>391</v>
      </c>
    </row>
    <row r="24" customFormat="false" ht="15" hidden="false" customHeight="true" outlineLevel="0" collapsed="false">
      <c r="B24" s="5" t="s">
        <v>427</v>
      </c>
      <c r="C24" s="28" t="s">
        <v>428</v>
      </c>
      <c r="D24" s="13" t="n">
        <v>66646.5</v>
      </c>
      <c r="E24" s="5" t="s">
        <v>408</v>
      </c>
      <c r="F24" s="22" t="s">
        <v>429</v>
      </c>
      <c r="G24" s="29" t="s">
        <v>390</v>
      </c>
      <c r="H24" s="30" t="s">
        <v>391</v>
      </c>
    </row>
    <row r="25" customFormat="false" ht="15" hidden="false" customHeight="true" outlineLevel="0" collapsed="false">
      <c r="B25" s="5" t="s">
        <v>430</v>
      </c>
      <c r="C25" s="28" t="s">
        <v>431</v>
      </c>
      <c r="D25" s="13" t="n">
        <v>213083.05</v>
      </c>
      <c r="E25" s="5" t="s">
        <v>408</v>
      </c>
      <c r="F25" s="22" t="s">
        <v>432</v>
      </c>
      <c r="G25" s="29" t="s">
        <v>390</v>
      </c>
      <c r="H25" s="30" t="s">
        <v>391</v>
      </c>
    </row>
    <row r="26" customFormat="false" ht="15" hidden="false" customHeight="true" outlineLevel="0" collapsed="false">
      <c r="B26" s="5" t="s">
        <v>355</v>
      </c>
      <c r="C26" s="28" t="s">
        <v>433</v>
      </c>
      <c r="D26" s="13" t="n">
        <v>79091</v>
      </c>
      <c r="E26" s="5" t="s">
        <v>408</v>
      </c>
      <c r="F26" s="22" t="s">
        <v>434</v>
      </c>
      <c r="G26" s="29" t="s">
        <v>390</v>
      </c>
      <c r="H26" s="30" t="s">
        <v>391</v>
      </c>
    </row>
    <row r="27" customFormat="false" ht="15" hidden="false" customHeight="true" outlineLevel="0" collapsed="false">
      <c r="B27" s="5" t="s">
        <v>435</v>
      </c>
      <c r="C27" s="28" t="s">
        <v>436</v>
      </c>
      <c r="D27" s="13" t="n">
        <v>8691.30769230769</v>
      </c>
      <c r="E27" s="5" t="s">
        <v>408</v>
      </c>
      <c r="G27" s="29" t="s">
        <v>390</v>
      </c>
      <c r="H27" s="30" t="s">
        <v>391</v>
      </c>
    </row>
    <row r="28" customFormat="false" ht="15" hidden="false" customHeight="true" outlineLevel="0" collapsed="false">
      <c r="B28" s="5" t="s">
        <v>437</v>
      </c>
      <c r="C28" s="28" t="s">
        <v>438</v>
      </c>
      <c r="D28" s="13" t="n">
        <v>2465.61104395604</v>
      </c>
      <c r="E28" s="5" t="s">
        <v>408</v>
      </c>
      <c r="G28" s="29" t="s">
        <v>390</v>
      </c>
      <c r="H28" s="30" t="s">
        <v>391</v>
      </c>
    </row>
    <row r="29" customFormat="false" ht="15" hidden="false" customHeight="true" outlineLevel="0" collapsed="false">
      <c r="B29" s="5" t="s">
        <v>439</v>
      </c>
      <c r="C29" s="28" t="s">
        <v>440</v>
      </c>
      <c r="D29" s="13" t="n">
        <v>6225.69664835165</v>
      </c>
      <c r="E29" s="5" t="s">
        <v>408</v>
      </c>
      <c r="G29" s="29" t="s">
        <v>390</v>
      </c>
      <c r="H29" s="30" t="s">
        <v>391</v>
      </c>
    </row>
    <row r="30" customFormat="false" ht="15" hidden="false" customHeight="true" outlineLevel="0" collapsed="false">
      <c r="B30" s="5" t="s">
        <v>441</v>
      </c>
      <c r="C30" s="28" t="s">
        <v>442</v>
      </c>
      <c r="D30" s="13" t="n">
        <v>2359.46582417582</v>
      </c>
      <c r="E30" s="5" t="s">
        <v>34</v>
      </c>
      <c r="G30" s="29" t="s">
        <v>390</v>
      </c>
      <c r="H30" s="30" t="s">
        <v>391</v>
      </c>
    </row>
    <row r="31" customFormat="false" ht="15" hidden="false" customHeight="true" outlineLevel="0" collapsed="false">
      <c r="B31" s="5" t="s">
        <v>443</v>
      </c>
      <c r="C31" s="28" t="s">
        <v>444</v>
      </c>
      <c r="D31" s="13" t="n">
        <v>2329.25527472527</v>
      </c>
      <c r="E31" s="5" t="s">
        <v>35</v>
      </c>
      <c r="G31" s="29" t="s">
        <v>390</v>
      </c>
      <c r="H31" s="30" t="s">
        <v>391</v>
      </c>
    </row>
    <row r="32" customFormat="false" ht="15" hidden="false" customHeight="true" outlineLevel="0" collapsed="false">
      <c r="B32" s="5" t="s">
        <v>445</v>
      </c>
      <c r="C32" s="28" t="s">
        <v>446</v>
      </c>
      <c r="D32" s="13" t="n">
        <v>1775.32884399551</v>
      </c>
      <c r="E32" s="5" t="s">
        <v>408</v>
      </c>
      <c r="G32" s="29" t="s">
        <v>390</v>
      </c>
      <c r="H32" s="30" t="s">
        <v>391</v>
      </c>
    </row>
    <row r="33" customFormat="false" ht="15" hidden="false" customHeight="true" outlineLevel="0" collapsed="false">
      <c r="B33" s="5" t="s">
        <v>447</v>
      </c>
      <c r="C33" s="28" t="s">
        <v>448</v>
      </c>
      <c r="D33" s="13" t="n">
        <v>503.637721661055</v>
      </c>
      <c r="E33" s="5" t="s">
        <v>408</v>
      </c>
      <c r="G33" s="29" t="s">
        <v>390</v>
      </c>
      <c r="H33" s="30" t="s">
        <v>391</v>
      </c>
    </row>
    <row r="34" customFormat="false" ht="15" hidden="false" customHeight="true" outlineLevel="0" collapsed="false">
      <c r="B34" s="5" t="s">
        <v>449</v>
      </c>
      <c r="C34" s="28" t="s">
        <v>450</v>
      </c>
      <c r="D34" s="13" t="n">
        <v>1271.69112233446</v>
      </c>
      <c r="E34" s="5" t="s">
        <v>408</v>
      </c>
      <c r="G34" s="29" t="s">
        <v>390</v>
      </c>
      <c r="H34" s="30" t="s">
        <v>391</v>
      </c>
    </row>
    <row r="35" customFormat="false" ht="15" hidden="false" customHeight="true" outlineLevel="0" collapsed="false">
      <c r="B35" s="5" t="s">
        <v>451</v>
      </c>
      <c r="C35" s="28" t="s">
        <v>452</v>
      </c>
      <c r="D35" s="13" t="n">
        <v>481.955982042649</v>
      </c>
      <c r="E35" s="5" t="s">
        <v>34</v>
      </c>
      <c r="G35" s="29" t="s">
        <v>390</v>
      </c>
      <c r="H35" s="30" t="s">
        <v>391</v>
      </c>
    </row>
    <row r="36" customFormat="false" ht="15" hidden="false" customHeight="true" outlineLevel="0" collapsed="false">
      <c r="B36" s="5" t="s">
        <v>453</v>
      </c>
      <c r="C36" s="28" t="s">
        <v>454</v>
      </c>
      <c r="D36" s="13" t="n">
        <v>475.785028058361</v>
      </c>
      <c r="E36" s="5" t="s">
        <v>35</v>
      </c>
      <c r="G36" s="29" t="s">
        <v>390</v>
      </c>
      <c r="H36" s="30" t="s">
        <v>391</v>
      </c>
    </row>
    <row r="37" customFormat="false" ht="15" hidden="false" customHeight="true" outlineLevel="0" collapsed="false">
      <c r="B37" s="5" t="s">
        <v>455</v>
      </c>
      <c r="C37" s="28" t="s">
        <v>456</v>
      </c>
      <c r="D37" s="13" t="n">
        <v>19799.5</v>
      </c>
      <c r="E37" s="5" t="s">
        <v>34</v>
      </c>
      <c r="F37" s="22" t="s">
        <v>457</v>
      </c>
      <c r="G37" s="29" t="s">
        <v>390</v>
      </c>
      <c r="H37" s="30" t="s">
        <v>391</v>
      </c>
    </row>
    <row r="38" customFormat="false" ht="15" hidden="false" customHeight="true" outlineLevel="0" collapsed="false">
      <c r="B38" s="5" t="s">
        <v>458</v>
      </c>
      <c r="C38" s="28" t="s">
        <v>459</v>
      </c>
      <c r="D38" s="6" t="n">
        <v>40</v>
      </c>
      <c r="E38" s="5" t="s">
        <v>34</v>
      </c>
      <c r="F38" s="22" t="s">
        <v>460</v>
      </c>
      <c r="G38" s="29" t="s">
        <v>390</v>
      </c>
      <c r="H38" s="30" t="s">
        <v>391</v>
      </c>
    </row>
    <row r="39" customFormat="false" ht="15" hidden="false" customHeight="true" outlineLevel="0" collapsed="false">
      <c r="B39" s="5" t="s">
        <v>235</v>
      </c>
      <c r="C39" s="28" t="s">
        <v>461</v>
      </c>
      <c r="D39" s="14" t="n">
        <v>23.1492966994116</v>
      </c>
      <c r="E39" s="5" t="s">
        <v>34</v>
      </c>
      <c r="F39" s="22" t="s">
        <v>462</v>
      </c>
      <c r="G39" s="29" t="s">
        <v>390</v>
      </c>
      <c r="H39" s="30" t="s">
        <v>391</v>
      </c>
    </row>
    <row r="40" customFormat="false" ht="15" hidden="false" customHeight="true" outlineLevel="0" collapsed="false">
      <c r="B40" s="5" t="s">
        <v>237</v>
      </c>
      <c r="C40" s="28" t="s">
        <v>463</v>
      </c>
      <c r="D40" s="14" t="n">
        <v>32.4506088537589</v>
      </c>
      <c r="E40" s="5" t="s">
        <v>34</v>
      </c>
      <c r="F40" s="22" t="s">
        <v>464</v>
      </c>
      <c r="G40" s="29" t="s">
        <v>390</v>
      </c>
      <c r="H40" s="30" t="s">
        <v>391</v>
      </c>
    </row>
    <row r="41" customFormat="false" ht="15" hidden="false" customHeight="true" outlineLevel="0" collapsed="false">
      <c r="B41" s="5" t="s">
        <v>239</v>
      </c>
      <c r="C41" s="28" t="s">
        <v>465</v>
      </c>
      <c r="D41" s="21" t="n">
        <v>1.40179674895194</v>
      </c>
      <c r="E41" s="5" t="s">
        <v>34</v>
      </c>
      <c r="G41" s="29" t="s">
        <v>390</v>
      </c>
      <c r="H41" s="30" t="s">
        <v>391</v>
      </c>
    </row>
    <row r="42" customFormat="false" ht="15" hidden="false" customHeight="true" outlineLevel="0" collapsed="false">
      <c r="B42" s="5" t="s">
        <v>466</v>
      </c>
      <c r="C42" s="28" t="s">
        <v>467</v>
      </c>
      <c r="D42" s="13" t="n">
        <v>108.788461538462</v>
      </c>
      <c r="E42" s="5" t="s">
        <v>34</v>
      </c>
      <c r="F42" s="22" t="s">
        <v>468</v>
      </c>
      <c r="G42" s="29" t="s">
        <v>390</v>
      </c>
      <c r="H42" s="30" t="s">
        <v>391</v>
      </c>
    </row>
    <row r="43" customFormat="false" ht="15" hidden="false" customHeight="true" outlineLevel="0" collapsed="false">
      <c r="B43" s="5" t="s">
        <v>469</v>
      </c>
      <c r="C43" s="28" t="s">
        <v>470</v>
      </c>
      <c r="D43" s="14" t="n">
        <v>22.2216610549944</v>
      </c>
      <c r="E43" s="5" t="s">
        <v>34</v>
      </c>
      <c r="F43" s="22" t="s">
        <v>468</v>
      </c>
      <c r="G43" s="29" t="s">
        <v>390</v>
      </c>
      <c r="H43" s="30" t="s">
        <v>391</v>
      </c>
    </row>
    <row r="44" customFormat="false" ht="15" hidden="false" customHeight="true" outlineLevel="0" collapsed="false">
      <c r="B44" s="5" t="s">
        <v>471</v>
      </c>
      <c r="C44" s="28" t="s">
        <v>472</v>
      </c>
      <c r="D44" s="14" t="n">
        <v>79.8918154498851</v>
      </c>
      <c r="E44" s="5" t="s">
        <v>473</v>
      </c>
      <c r="G44" s="29" t="s">
        <v>390</v>
      </c>
      <c r="H44" s="30" t="s">
        <v>391</v>
      </c>
    </row>
    <row r="45" customFormat="false" ht="15" hidden="false" customHeight="true" outlineLevel="0" collapsed="false">
      <c r="B45" s="5" t="s">
        <v>474</v>
      </c>
      <c r="C45" s="28" t="s">
        <v>475</v>
      </c>
      <c r="D45" s="14" t="n">
        <v>22.6642698047931</v>
      </c>
      <c r="E45" s="5" t="s">
        <v>473</v>
      </c>
      <c r="G45" s="29" t="s">
        <v>390</v>
      </c>
      <c r="H45" s="30" t="s">
        <v>391</v>
      </c>
    </row>
    <row r="46" customFormat="false" ht="15" hidden="false" customHeight="true" outlineLevel="0" collapsed="false">
      <c r="B46" s="5" t="s">
        <v>476</v>
      </c>
      <c r="C46" s="28" t="s">
        <v>477</v>
      </c>
      <c r="D46" s="21" t="n">
        <v>0.271474202468299</v>
      </c>
      <c r="E46" s="5" t="s">
        <v>478</v>
      </c>
      <c r="G46" s="29" t="s">
        <v>390</v>
      </c>
      <c r="H46" s="30" t="s">
        <v>391</v>
      </c>
    </row>
    <row r="47" customFormat="false" ht="15" hidden="false" customHeight="true" outlineLevel="0" collapsed="false">
      <c r="B47" s="5" t="s">
        <v>479</v>
      </c>
      <c r="C47" s="28" t="s">
        <v>480</v>
      </c>
      <c r="D47" s="21" t="n">
        <v>0.267998252643477</v>
      </c>
      <c r="E47" s="5" t="s">
        <v>478</v>
      </c>
      <c r="G47" s="29" t="s">
        <v>390</v>
      </c>
      <c r="H47" s="30" t="s">
        <v>391</v>
      </c>
    </row>
    <row r="48" customFormat="false" ht="15" hidden="false" customHeight="true" outlineLevel="0" collapsed="false">
      <c r="B48" s="5" t="s">
        <v>481</v>
      </c>
      <c r="C48" s="28" t="s">
        <v>482</v>
      </c>
      <c r="D48" s="13" t="n">
        <v>83253.5789473684</v>
      </c>
      <c r="E48" s="5" t="s">
        <v>473</v>
      </c>
      <c r="G48" s="29" t="s">
        <v>390</v>
      </c>
      <c r="H48" s="30" t="s">
        <v>391</v>
      </c>
    </row>
    <row r="49" customFormat="false" ht="15" hidden="false" customHeight="true" outlineLevel="0" collapsed="false">
      <c r="B49" s="5" t="s">
        <v>483</v>
      </c>
      <c r="C49" s="28" t="s">
        <v>484</v>
      </c>
      <c r="D49" s="13" t="n">
        <v>1042.07894736842</v>
      </c>
      <c r="E49" s="5" t="s">
        <v>473</v>
      </c>
      <c r="G49" s="29" t="s">
        <v>390</v>
      </c>
      <c r="H49" s="30" t="s">
        <v>391</v>
      </c>
    </row>
    <row r="50" customFormat="false" ht="15" hidden="false" customHeight="true" outlineLevel="0" collapsed="false">
      <c r="B50" s="5" t="s">
        <v>485</v>
      </c>
      <c r="C50" s="28" t="s">
        <v>486</v>
      </c>
      <c r="D50" s="21" t="n">
        <v>9.57894736842105</v>
      </c>
      <c r="E50" s="5" t="s">
        <v>473</v>
      </c>
      <c r="G50" s="29" t="s">
        <v>390</v>
      </c>
      <c r="H50" s="30" t="s">
        <v>391</v>
      </c>
    </row>
    <row r="51" customFormat="false" ht="15" hidden="false" customHeight="true" outlineLevel="0" collapsed="false">
      <c r="B51" s="5" t="s">
        <v>487</v>
      </c>
      <c r="C51" s="28" t="s">
        <v>488</v>
      </c>
      <c r="D51" s="6" t="n">
        <v>21</v>
      </c>
      <c r="E51" s="5" t="s">
        <v>35</v>
      </c>
      <c r="F51" s="22" t="s">
        <v>489</v>
      </c>
      <c r="G51" s="29" t="s">
        <v>390</v>
      </c>
      <c r="H51" s="30" t="s">
        <v>391</v>
      </c>
    </row>
    <row r="52" customFormat="false" ht="15" hidden="false" customHeight="true" outlineLevel="0" collapsed="false">
      <c r="B52" s="5" t="s">
        <v>490</v>
      </c>
      <c r="C52" s="28" t="s">
        <v>491</v>
      </c>
      <c r="D52" s="13" t="n">
        <v>121504.28</v>
      </c>
      <c r="E52" s="5" t="s">
        <v>35</v>
      </c>
      <c r="F52" s="22" t="s">
        <v>157</v>
      </c>
      <c r="G52" s="29" t="s">
        <v>390</v>
      </c>
      <c r="H52" s="30" t="s">
        <v>391</v>
      </c>
    </row>
    <row r="53" customFormat="false" ht="15" hidden="false" customHeight="true" outlineLevel="0" collapsed="false">
      <c r="B53" s="5" t="s">
        <v>492</v>
      </c>
      <c r="C53" s="28" t="s">
        <v>493</v>
      </c>
      <c r="D53" s="21" t="n">
        <v>0.278409133220998</v>
      </c>
      <c r="E53" s="5" t="s">
        <v>35</v>
      </c>
      <c r="G53" s="29" t="s">
        <v>390</v>
      </c>
      <c r="H53" s="30" t="s">
        <v>391</v>
      </c>
    </row>
    <row r="54" customFormat="false" ht="15" hidden="false" customHeight="true" outlineLevel="0" collapsed="false">
      <c r="B54" s="5" t="s">
        <v>494</v>
      </c>
      <c r="C54" s="28" t="s">
        <v>495</v>
      </c>
      <c r="D54" s="13" t="n">
        <v>177</v>
      </c>
      <c r="E54" s="5" t="s">
        <v>35</v>
      </c>
      <c r="F54" s="22" t="s">
        <v>496</v>
      </c>
      <c r="G54" s="29" t="s">
        <v>390</v>
      </c>
      <c r="H54" s="30" t="s">
        <v>391</v>
      </c>
    </row>
    <row r="55" customFormat="false" ht="15" hidden="false" customHeight="true" outlineLevel="0" collapsed="false">
      <c r="B55" s="5" t="s">
        <v>497</v>
      </c>
      <c r="C55" s="28" t="s">
        <v>498</v>
      </c>
      <c r="D55" s="21" t="n">
        <v>0.0148641452539056</v>
      </c>
      <c r="E55" s="5" t="s">
        <v>408</v>
      </c>
      <c r="G55" s="29" t="s">
        <v>390</v>
      </c>
      <c r="H55" s="30" t="s">
        <v>391</v>
      </c>
    </row>
    <row r="56" customFormat="false" ht="15" hidden="false" customHeight="true" outlineLevel="0" collapsed="false">
      <c r="B56" s="5" t="s">
        <v>499</v>
      </c>
      <c r="C56" s="28" t="s">
        <v>500</v>
      </c>
      <c r="D56" s="14" t="n">
        <v>79.8918154498851</v>
      </c>
      <c r="E56" s="5" t="s">
        <v>473</v>
      </c>
      <c r="G56" s="29" t="s">
        <v>390</v>
      </c>
      <c r="H56" s="30" t="s">
        <v>391</v>
      </c>
    </row>
    <row r="60" customFormat="false" ht="15" hidden="false" customHeight="true" outlineLevel="0" collapsed="false">
      <c r="B60" s="4" t="s">
        <v>64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65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66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67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68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69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70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71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72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73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74</v>
      </c>
      <c r="C70" s="3"/>
      <c r="D70" s="3"/>
      <c r="E70" s="3"/>
      <c r="F70" s="3"/>
    </row>
    <row r="71" customFormat="false" ht="15" hidden="false" customHeight="true" outlineLevel="0" collapsed="false">
      <c r="B71" s="3" t="s">
        <v>75</v>
      </c>
      <c r="C71" s="3"/>
      <c r="D71" s="3"/>
      <c r="E71" s="3"/>
      <c r="F71" s="3"/>
    </row>
    <row r="72" customFormat="false" ht="15" hidden="false" customHeight="true" outlineLevel="0" collapsed="false">
      <c r="B72" s="3" t="s">
        <v>76</v>
      </c>
      <c r="C72" s="3"/>
      <c r="D72" s="3"/>
      <c r="E72" s="3"/>
      <c r="F72" s="3"/>
    </row>
    <row r="73" customFormat="false" ht="15" hidden="false" customHeight="true" outlineLevel="0" collapsed="false">
      <c r="B73" s="3" t="s">
        <v>501</v>
      </c>
      <c r="C73" s="3"/>
      <c r="D73" s="3"/>
      <c r="E73" s="3"/>
      <c r="F73" s="3"/>
    </row>
  </sheetData>
  <mergeCells count="16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502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503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504</v>
      </c>
      <c r="C5" s="27" t="s">
        <v>505</v>
      </c>
      <c r="D5" s="27" t="s">
        <v>327</v>
      </c>
      <c r="E5" s="27" t="s">
        <v>506</v>
      </c>
      <c r="F5" s="27" t="s">
        <v>507</v>
      </c>
      <c r="G5" s="27" t="s">
        <v>508</v>
      </c>
      <c r="H5" s="27" t="s">
        <v>509</v>
      </c>
      <c r="I5" s="27" t="s">
        <v>510</v>
      </c>
      <c r="J5" s="27" t="s">
        <v>354</v>
      </c>
      <c r="K5" s="27" t="s">
        <v>385</v>
      </c>
    </row>
    <row r="6" customFormat="false" ht="15" hidden="false" customHeight="false" outlineLevel="0" collapsed="false">
      <c r="B6" s="33" t="s">
        <v>511</v>
      </c>
      <c r="C6" s="33" t="s">
        <v>512</v>
      </c>
      <c r="D6" s="33" t="s">
        <v>513</v>
      </c>
      <c r="E6" s="30" t="s">
        <v>514</v>
      </c>
      <c r="F6" s="33" t="s">
        <v>515</v>
      </c>
      <c r="G6" s="33"/>
      <c r="H6" s="34" t="n">
        <v>56300</v>
      </c>
      <c r="I6" s="33" t="n">
        <v>0</v>
      </c>
      <c r="J6" s="33" t="s">
        <v>516</v>
      </c>
      <c r="K6" s="35" t="s">
        <v>517</v>
      </c>
    </row>
    <row r="7" customFormat="false" ht="15" hidden="false" customHeight="false" outlineLevel="0" collapsed="false">
      <c r="B7" s="33" t="s">
        <v>518</v>
      </c>
      <c r="C7" s="33" t="s">
        <v>512</v>
      </c>
      <c r="D7" s="33" t="s">
        <v>519</v>
      </c>
      <c r="E7" s="30" t="s">
        <v>520</v>
      </c>
      <c r="F7" s="33" t="s">
        <v>515</v>
      </c>
      <c r="G7" s="33" t="s">
        <v>521</v>
      </c>
      <c r="H7" s="34" t="n">
        <v>7637</v>
      </c>
      <c r="I7" s="33" t="n">
        <v>0</v>
      </c>
      <c r="J7" s="33" t="s">
        <v>516</v>
      </c>
      <c r="K7" s="35" t="s">
        <v>522</v>
      </c>
    </row>
    <row r="8" customFormat="false" ht="15" hidden="false" customHeight="false" outlineLevel="0" collapsed="false">
      <c r="B8" s="33" t="s">
        <v>523</v>
      </c>
      <c r="C8" s="33" t="s">
        <v>524</v>
      </c>
      <c r="D8" s="33" t="s">
        <v>525</v>
      </c>
      <c r="E8" s="30" t="s">
        <v>526</v>
      </c>
      <c r="F8" s="33" t="s">
        <v>527</v>
      </c>
      <c r="G8" s="33" t="s">
        <v>528</v>
      </c>
      <c r="H8" s="34" t="n">
        <v>7118</v>
      </c>
      <c r="I8" s="33" t="n">
        <v>0</v>
      </c>
      <c r="J8" s="33" t="s">
        <v>529</v>
      </c>
      <c r="K8" s="35" t="s">
        <v>530</v>
      </c>
    </row>
    <row r="9" customFormat="false" ht="15" hidden="false" customHeight="false" outlineLevel="0" collapsed="false">
      <c r="B9" s="33" t="s">
        <v>531</v>
      </c>
      <c r="C9" s="33" t="s">
        <v>512</v>
      </c>
      <c r="D9" s="33" t="s">
        <v>338</v>
      </c>
      <c r="E9" s="30" t="s">
        <v>532</v>
      </c>
      <c r="F9" s="33" t="s">
        <v>515</v>
      </c>
      <c r="G9" s="33" t="s">
        <v>533</v>
      </c>
      <c r="H9" s="34" t="n">
        <v>7118</v>
      </c>
      <c r="I9" s="33" t="n">
        <v>0</v>
      </c>
      <c r="J9" s="33" t="s">
        <v>516</v>
      </c>
      <c r="K9" s="35" t="s">
        <v>534</v>
      </c>
    </row>
    <row r="10" customFormat="false" ht="15" hidden="false" customHeight="false" outlineLevel="0" collapsed="false">
      <c r="B10" s="33" t="s">
        <v>535</v>
      </c>
      <c r="C10" s="33" t="s">
        <v>512</v>
      </c>
      <c r="D10" s="33" t="s">
        <v>536</v>
      </c>
      <c r="E10" s="30" t="s">
        <v>537</v>
      </c>
      <c r="F10" s="33" t="s">
        <v>515</v>
      </c>
      <c r="G10" s="33" t="s">
        <v>538</v>
      </c>
      <c r="H10" s="34" t="n">
        <v>1495</v>
      </c>
      <c r="I10" s="33" t="n">
        <v>0</v>
      </c>
      <c r="J10" s="33" t="s">
        <v>516</v>
      </c>
      <c r="K10" s="35" t="s">
        <v>539</v>
      </c>
    </row>
    <row r="11" customFormat="false" ht="23.85" hidden="false" customHeight="false" outlineLevel="0" collapsed="false">
      <c r="B11" s="33" t="s">
        <v>540</v>
      </c>
      <c r="C11" s="33" t="s">
        <v>524</v>
      </c>
      <c r="D11" s="33" t="s">
        <v>541</v>
      </c>
      <c r="E11" s="30" t="s">
        <v>542</v>
      </c>
      <c r="F11" s="33" t="s">
        <v>527</v>
      </c>
      <c r="G11" s="33" t="s">
        <v>543</v>
      </c>
      <c r="H11" s="34" t="n">
        <v>3751</v>
      </c>
      <c r="I11" s="33" t="n">
        <v>0</v>
      </c>
      <c r="J11" s="33" t="s">
        <v>529</v>
      </c>
      <c r="K11" s="35" t="s">
        <v>544</v>
      </c>
    </row>
    <row r="12" customFormat="false" ht="23.85" hidden="false" customHeight="false" outlineLevel="0" collapsed="false">
      <c r="B12" s="33" t="s">
        <v>545</v>
      </c>
      <c r="C12" s="33" t="s">
        <v>524</v>
      </c>
      <c r="D12" s="33" t="s">
        <v>546</v>
      </c>
      <c r="E12" s="30" t="s">
        <v>547</v>
      </c>
      <c r="F12" s="33" t="s">
        <v>527</v>
      </c>
      <c r="G12" s="33" t="s">
        <v>548</v>
      </c>
      <c r="H12" s="34" t="n">
        <v>3200</v>
      </c>
      <c r="I12" s="33" t="n">
        <v>0</v>
      </c>
      <c r="J12" s="33" t="s">
        <v>529</v>
      </c>
      <c r="K12" s="35" t="s">
        <v>549</v>
      </c>
    </row>
    <row r="13" customFormat="false" ht="15" hidden="false" customHeight="false" outlineLevel="0" collapsed="false">
      <c r="B13" s="33" t="s">
        <v>550</v>
      </c>
      <c r="C13" s="33" t="s">
        <v>512</v>
      </c>
      <c r="D13" s="33" t="s">
        <v>551</v>
      </c>
      <c r="E13" s="30" t="s">
        <v>552</v>
      </c>
      <c r="F13" s="33" t="s">
        <v>515</v>
      </c>
      <c r="G13" s="33" t="s">
        <v>553</v>
      </c>
      <c r="H13" s="34" t="n">
        <v>2234</v>
      </c>
      <c r="I13" s="33" t="n">
        <v>0</v>
      </c>
      <c r="J13" s="33" t="s">
        <v>516</v>
      </c>
      <c r="K13" s="35" t="s">
        <v>554</v>
      </c>
    </row>
    <row r="14" customFormat="false" ht="15" hidden="false" customHeight="false" outlineLevel="0" collapsed="false">
      <c r="B14" s="33" t="s">
        <v>555</v>
      </c>
      <c r="C14" s="33" t="s">
        <v>512</v>
      </c>
      <c r="D14" s="33" t="s">
        <v>556</v>
      </c>
      <c r="E14" s="30" t="s">
        <v>557</v>
      </c>
      <c r="F14" s="33" t="s">
        <v>515</v>
      </c>
      <c r="G14" s="33" t="s">
        <v>558</v>
      </c>
      <c r="H14" s="36" t="n">
        <v>0</v>
      </c>
      <c r="I14" s="33" t="n">
        <v>0</v>
      </c>
      <c r="J14" s="33" t="s">
        <v>516</v>
      </c>
      <c r="K14" s="35" t="s">
        <v>559</v>
      </c>
    </row>
    <row r="15" customFormat="false" ht="23.85" hidden="false" customHeight="false" outlineLevel="0" collapsed="false">
      <c r="B15" s="33" t="s">
        <v>560</v>
      </c>
      <c r="C15" s="33" t="s">
        <v>561</v>
      </c>
      <c r="D15" s="33" t="s">
        <v>562</v>
      </c>
      <c r="E15" s="30" t="s">
        <v>563</v>
      </c>
      <c r="F15" s="33" t="s">
        <v>564</v>
      </c>
      <c r="G15" s="33"/>
      <c r="H15" s="34" t="n">
        <v>1971</v>
      </c>
      <c r="I15" s="33" t="n">
        <v>1</v>
      </c>
      <c r="J15" s="33" t="s">
        <v>565</v>
      </c>
      <c r="K15" s="35" t="s">
        <v>566</v>
      </c>
    </row>
    <row r="16" customFormat="false" ht="15" hidden="false" customHeight="false" outlineLevel="0" collapsed="false">
      <c r="B16" s="33" t="s">
        <v>567</v>
      </c>
      <c r="C16" s="33" t="s">
        <v>568</v>
      </c>
      <c r="D16" s="33" t="s">
        <v>569</v>
      </c>
      <c r="E16" s="30" t="s">
        <v>570</v>
      </c>
      <c r="F16" s="33" t="s">
        <v>571</v>
      </c>
      <c r="G16" s="33"/>
      <c r="H16" s="36" t="n">
        <v>0</v>
      </c>
      <c r="I16" s="33" t="n">
        <v>0</v>
      </c>
      <c r="J16" s="33" t="s">
        <v>572</v>
      </c>
      <c r="K16" s="35" t="s">
        <v>573</v>
      </c>
    </row>
    <row r="17" customFormat="false" ht="15" hidden="false" customHeight="false" outlineLevel="0" collapsed="false">
      <c r="B17" s="33" t="s">
        <v>528</v>
      </c>
      <c r="C17" s="33" t="s">
        <v>568</v>
      </c>
      <c r="D17" s="33" t="s">
        <v>569</v>
      </c>
      <c r="E17" s="30" t="s">
        <v>574</v>
      </c>
      <c r="F17" s="33" t="s">
        <v>571</v>
      </c>
      <c r="G17" s="33" t="s">
        <v>523</v>
      </c>
      <c r="H17" s="36" t="n">
        <v>0</v>
      </c>
      <c r="I17" s="33" t="n">
        <v>0</v>
      </c>
      <c r="J17" s="33" t="s">
        <v>572</v>
      </c>
      <c r="K17" s="35" t="s">
        <v>575</v>
      </c>
    </row>
    <row r="18" customFormat="false" ht="15" hidden="false" customHeight="false" outlineLevel="0" collapsed="false">
      <c r="B18" s="33" t="s">
        <v>543</v>
      </c>
      <c r="C18" s="33" t="s">
        <v>568</v>
      </c>
      <c r="D18" s="33" t="s">
        <v>569</v>
      </c>
      <c r="E18" s="30" t="s">
        <v>576</v>
      </c>
      <c r="F18" s="33" t="s">
        <v>571</v>
      </c>
      <c r="G18" s="33" t="s">
        <v>540</v>
      </c>
      <c r="H18" s="36" t="n">
        <v>0</v>
      </c>
      <c r="I18" s="33" t="n">
        <v>0</v>
      </c>
      <c r="J18" s="33" t="s">
        <v>572</v>
      </c>
      <c r="K18" s="35" t="s">
        <v>577</v>
      </c>
    </row>
    <row r="19" customFormat="false" ht="15" hidden="false" customHeight="false" outlineLevel="0" collapsed="false">
      <c r="B19" s="33" t="s">
        <v>578</v>
      </c>
      <c r="C19" s="33" t="s">
        <v>568</v>
      </c>
      <c r="D19" s="33" t="s">
        <v>569</v>
      </c>
      <c r="E19" s="30" t="s">
        <v>579</v>
      </c>
      <c r="F19" s="33" t="s">
        <v>571</v>
      </c>
      <c r="G19" s="33"/>
      <c r="H19" s="36" t="n">
        <v>0</v>
      </c>
      <c r="I19" s="33" t="n">
        <v>0</v>
      </c>
      <c r="J19" s="33" t="s">
        <v>572</v>
      </c>
      <c r="K19" s="35" t="s">
        <v>580</v>
      </c>
    </row>
    <row r="20" customFormat="false" ht="15" hidden="false" customHeight="false" outlineLevel="0" collapsed="false">
      <c r="B20" s="33" t="s">
        <v>553</v>
      </c>
      <c r="C20" s="33" t="s">
        <v>568</v>
      </c>
      <c r="D20" s="33" t="s">
        <v>581</v>
      </c>
      <c r="E20" s="30" t="s">
        <v>582</v>
      </c>
      <c r="F20" s="33" t="s">
        <v>571</v>
      </c>
      <c r="G20" s="33" t="s">
        <v>550</v>
      </c>
      <c r="H20" s="36" t="n">
        <v>0</v>
      </c>
      <c r="I20" s="33" t="n">
        <v>0</v>
      </c>
      <c r="J20" s="33" t="s">
        <v>572</v>
      </c>
      <c r="K20" s="35" t="s">
        <v>583</v>
      </c>
    </row>
    <row r="21" customFormat="false" ht="15" hidden="false" customHeight="false" outlineLevel="0" collapsed="false">
      <c r="B21" s="33" t="s">
        <v>558</v>
      </c>
      <c r="C21" s="33" t="s">
        <v>568</v>
      </c>
      <c r="D21" s="33" t="s">
        <v>581</v>
      </c>
      <c r="E21" s="30" t="s">
        <v>584</v>
      </c>
      <c r="F21" s="33" t="s">
        <v>571</v>
      </c>
      <c r="G21" s="33" t="s">
        <v>555</v>
      </c>
      <c r="H21" s="36" t="n">
        <v>0</v>
      </c>
      <c r="I21" s="33" t="n">
        <v>0</v>
      </c>
      <c r="J21" s="33" t="s">
        <v>572</v>
      </c>
      <c r="K21" s="35" t="s">
        <v>585</v>
      </c>
    </row>
    <row r="22" customFormat="false" ht="35.05" hidden="false" customHeight="false" outlineLevel="0" collapsed="false">
      <c r="B22" s="33" t="s">
        <v>586</v>
      </c>
      <c r="C22" s="33" t="s">
        <v>587</v>
      </c>
      <c r="D22" s="33" t="s">
        <v>588</v>
      </c>
      <c r="E22" s="30" t="s">
        <v>589</v>
      </c>
      <c r="F22" s="33" t="s">
        <v>590</v>
      </c>
      <c r="G22" s="33"/>
      <c r="H22" s="34" t="n">
        <v>13157</v>
      </c>
      <c r="I22" s="33" t="n">
        <v>0</v>
      </c>
      <c r="J22" s="33" t="s">
        <v>591</v>
      </c>
      <c r="K22" s="35" t="s">
        <v>592</v>
      </c>
    </row>
    <row r="23" customFormat="false" ht="35.05" hidden="false" customHeight="false" outlineLevel="0" collapsed="false">
      <c r="B23" s="33" t="s">
        <v>593</v>
      </c>
      <c r="C23" s="33" t="s">
        <v>587</v>
      </c>
      <c r="D23" s="33" t="s">
        <v>581</v>
      </c>
      <c r="E23" s="30" t="s">
        <v>594</v>
      </c>
      <c r="F23" s="33" t="s">
        <v>590</v>
      </c>
      <c r="G23" s="33"/>
      <c r="H23" s="36" t="n">
        <v>0</v>
      </c>
      <c r="I23" s="33" t="n">
        <v>0</v>
      </c>
      <c r="J23" s="33" t="s">
        <v>595</v>
      </c>
      <c r="K23" s="35" t="s">
        <v>596</v>
      </c>
    </row>
    <row r="25" customFormat="false" ht="15" hidden="false" customHeight="false" outlineLevel="0" collapsed="false">
      <c r="B25" s="37" t="s">
        <v>38</v>
      </c>
      <c r="H25" s="38" t="n">
        <f aca="false">SUM(H6:H23)</f>
        <v>103981</v>
      </c>
      <c r="I25" s="37" t="n">
        <f aca="false">SUM(I6:I23)</f>
        <v>1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597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598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599</v>
      </c>
    </row>
    <row r="6" customFormat="false" ht="15" hidden="false" customHeight="false" outlineLevel="0" collapsed="false">
      <c r="B6" s="27" t="s">
        <v>600</v>
      </c>
      <c r="C6" s="27" t="s">
        <v>601</v>
      </c>
      <c r="D6" s="27" t="s">
        <v>602</v>
      </c>
      <c r="E6" s="27" t="s">
        <v>603</v>
      </c>
      <c r="F6" s="27" t="s">
        <v>604</v>
      </c>
      <c r="G6" s="27" t="s">
        <v>264</v>
      </c>
    </row>
    <row r="7" customFormat="false" ht="15" hidden="false" customHeight="false" outlineLevel="0" collapsed="false">
      <c r="B7" s="30" t="s">
        <v>605</v>
      </c>
      <c r="C7" s="33" t="n">
        <v>3</v>
      </c>
      <c r="D7" s="36" t="n">
        <v>14236</v>
      </c>
      <c r="E7" s="40" t="n">
        <f aca="false">C7/18</f>
        <v>0.166666666666667</v>
      </c>
      <c r="F7" s="30" t="s">
        <v>606</v>
      </c>
      <c r="G7" s="30" t="s">
        <v>526</v>
      </c>
    </row>
    <row r="8" customFormat="false" ht="15" hidden="false" customHeight="false" outlineLevel="0" collapsed="false">
      <c r="B8" s="30" t="s">
        <v>607</v>
      </c>
      <c r="C8" s="33" t="n">
        <v>7</v>
      </c>
      <c r="D8" s="36" t="n">
        <v>9185</v>
      </c>
      <c r="E8" s="40" t="n">
        <f aca="false">C8/18</f>
        <v>0.388888888888889</v>
      </c>
      <c r="F8" s="30" t="s">
        <v>606</v>
      </c>
      <c r="G8" s="30" t="s">
        <v>608</v>
      </c>
    </row>
    <row r="9" customFormat="false" ht="15" hidden="false" customHeight="false" outlineLevel="0" collapsed="false">
      <c r="B9" s="30" t="s">
        <v>609</v>
      </c>
      <c r="C9" s="33" t="n">
        <v>2</v>
      </c>
      <c r="D9" s="36" t="n">
        <v>9132</v>
      </c>
      <c r="E9" s="40" t="n">
        <f aca="false">C9/18</f>
        <v>0.111111111111111</v>
      </c>
      <c r="F9" s="30" t="s">
        <v>610</v>
      </c>
      <c r="G9" s="30" t="s">
        <v>520</v>
      </c>
    </row>
    <row r="10" customFormat="false" ht="15" hidden="false" customHeight="false" outlineLevel="0" collapsed="false">
      <c r="B10" s="30" t="s">
        <v>611</v>
      </c>
      <c r="C10" s="33" t="n">
        <v>2</v>
      </c>
      <c r="D10" s="36" t="n">
        <v>0</v>
      </c>
      <c r="E10" s="40" t="n">
        <f aca="false">C10/18</f>
        <v>0.111111111111111</v>
      </c>
      <c r="F10" s="30" t="s">
        <v>612</v>
      </c>
      <c r="G10" s="30" t="s">
        <v>570</v>
      </c>
    </row>
    <row r="11" customFormat="false" ht="15" hidden="false" customHeight="false" outlineLevel="0" collapsed="false">
      <c r="B11" s="30" t="s">
        <v>613</v>
      </c>
      <c r="C11" s="33" t="n">
        <v>1</v>
      </c>
      <c r="D11" s="36" t="n">
        <v>56300</v>
      </c>
      <c r="E11" s="40" t="n">
        <f aca="false">C11/18</f>
        <v>0.0555555555555556</v>
      </c>
      <c r="F11" s="30" t="s">
        <v>606</v>
      </c>
      <c r="G11" s="30" t="s">
        <v>514</v>
      </c>
    </row>
    <row r="12" customFormat="false" ht="15" hidden="false" customHeight="false" outlineLevel="0" collapsed="false">
      <c r="B12" s="30" t="s">
        <v>614</v>
      </c>
      <c r="C12" s="33" t="n">
        <v>2</v>
      </c>
      <c r="D12" s="36" t="n">
        <v>13157</v>
      </c>
      <c r="E12" s="40" t="n">
        <f aca="false">C12/18</f>
        <v>0.111111111111111</v>
      </c>
      <c r="F12" s="30" t="s">
        <v>612</v>
      </c>
      <c r="G12" s="30" t="s">
        <v>615</v>
      </c>
    </row>
    <row r="13" customFormat="false" ht="15" hidden="false" customHeight="false" outlineLevel="0" collapsed="false">
      <c r="B13" s="37" t="s">
        <v>38</v>
      </c>
      <c r="C13" s="37" t="n">
        <f aca="false">SUM(C7:C12)</f>
        <v>17</v>
      </c>
      <c r="D13" s="38" t="n">
        <f aca="false">SUM(D7:D12)</f>
        <v>102010</v>
      </c>
    </row>
    <row r="16" customFormat="false" ht="15" hidden="false" customHeight="false" outlineLevel="0" collapsed="false">
      <c r="B16" s="39" t="s">
        <v>616</v>
      </c>
    </row>
    <row r="17" customFormat="false" ht="15" hidden="false" customHeight="false" outlineLevel="0" collapsed="false">
      <c r="B17" s="27" t="s">
        <v>617</v>
      </c>
      <c r="C17" s="27" t="s">
        <v>601</v>
      </c>
      <c r="D17" s="27" t="s">
        <v>618</v>
      </c>
      <c r="E17" s="27" t="s">
        <v>619</v>
      </c>
    </row>
    <row r="18" customFormat="false" ht="23.85" hidden="false" customHeight="false" outlineLevel="0" collapsed="false">
      <c r="B18" s="30" t="s">
        <v>606</v>
      </c>
      <c r="C18" s="33" t="n">
        <v>11</v>
      </c>
      <c r="D18" s="36" t="n">
        <v>79721</v>
      </c>
      <c r="E18" s="30" t="s">
        <v>620</v>
      </c>
    </row>
    <row r="19" customFormat="false" ht="23.85" hidden="false" customHeight="false" outlineLevel="0" collapsed="false">
      <c r="B19" s="30" t="s">
        <v>612</v>
      </c>
      <c r="C19" s="33" t="n">
        <v>5</v>
      </c>
      <c r="D19" s="36" t="n">
        <v>15128</v>
      </c>
      <c r="E19" s="30" t="s">
        <v>620</v>
      </c>
    </row>
    <row r="20" customFormat="false" ht="23.85" hidden="false" customHeight="false" outlineLevel="0" collapsed="false">
      <c r="B20" s="30" t="s">
        <v>610</v>
      </c>
      <c r="C20" s="33" t="n">
        <v>2</v>
      </c>
      <c r="D20" s="36" t="n">
        <v>9132</v>
      </c>
      <c r="E20" s="30" t="s">
        <v>620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621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622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623</v>
      </c>
    </row>
    <row r="6" customFormat="false" ht="15" hidden="false" customHeight="false" outlineLevel="0" collapsed="false">
      <c r="B6" s="27" t="s">
        <v>624</v>
      </c>
      <c r="C6" s="27" t="s">
        <v>625</v>
      </c>
      <c r="D6" s="27" t="s">
        <v>626</v>
      </c>
      <c r="E6" s="27" t="s">
        <v>354</v>
      </c>
      <c r="F6" s="27" t="s">
        <v>627</v>
      </c>
    </row>
    <row r="7" customFormat="false" ht="15" hidden="false" customHeight="false" outlineLevel="0" collapsed="false">
      <c r="B7" s="30" t="s">
        <v>628</v>
      </c>
      <c r="C7" s="41" t="n">
        <v>32</v>
      </c>
      <c r="D7" s="33" t="s">
        <v>629</v>
      </c>
      <c r="E7" s="30" t="s">
        <v>630</v>
      </c>
      <c r="F7" s="30" t="s">
        <v>631</v>
      </c>
    </row>
    <row r="8" customFormat="false" ht="15" hidden="false" customHeight="false" outlineLevel="0" collapsed="false">
      <c r="B8" s="30" t="s">
        <v>632</v>
      </c>
      <c r="C8" s="33" t="s">
        <v>633</v>
      </c>
      <c r="D8" s="33" t="s">
        <v>634</v>
      </c>
      <c r="E8" s="30" t="s">
        <v>630</v>
      </c>
      <c r="F8" s="30" t="s">
        <v>635</v>
      </c>
    </row>
    <row r="9" customFormat="false" ht="15" hidden="false" customHeight="false" outlineLevel="0" collapsed="false">
      <c r="B9" s="30" t="s">
        <v>636</v>
      </c>
      <c r="C9" s="33" t="s">
        <v>637</v>
      </c>
      <c r="D9" s="33" t="s">
        <v>638</v>
      </c>
      <c r="E9" s="30" t="s">
        <v>639</v>
      </c>
      <c r="F9" s="30" t="s">
        <v>640</v>
      </c>
    </row>
    <row r="10" customFormat="false" ht="15" hidden="false" customHeight="false" outlineLevel="0" collapsed="false">
      <c r="B10" s="30" t="s">
        <v>641</v>
      </c>
      <c r="C10" s="41" t="n">
        <v>0</v>
      </c>
      <c r="D10" s="33" t="s">
        <v>642</v>
      </c>
      <c r="E10" s="42" t="s">
        <v>643</v>
      </c>
      <c r="F10" s="30" t="s">
        <v>644</v>
      </c>
    </row>
    <row r="11" customFormat="false" ht="15" hidden="false" customHeight="false" outlineLevel="0" collapsed="false">
      <c r="B11" s="30" t="s">
        <v>645</v>
      </c>
      <c r="C11" s="41" t="n">
        <v>0</v>
      </c>
      <c r="D11" s="33" t="s">
        <v>646</v>
      </c>
      <c r="E11" s="42" t="s">
        <v>643</v>
      </c>
      <c r="F11" s="30" t="s">
        <v>647</v>
      </c>
    </row>
    <row r="12" customFormat="false" ht="15" hidden="false" customHeight="false" outlineLevel="0" collapsed="false">
      <c r="B12" s="30" t="s">
        <v>648</v>
      </c>
      <c r="C12" s="41" t="n">
        <v>9</v>
      </c>
      <c r="D12" s="33" t="s">
        <v>646</v>
      </c>
      <c r="E12" s="43" t="s">
        <v>649</v>
      </c>
      <c r="F12" s="30" t="s">
        <v>650</v>
      </c>
    </row>
    <row r="13" customFormat="false" ht="15" hidden="false" customHeight="false" outlineLevel="0" collapsed="false">
      <c r="B13" s="30" t="s">
        <v>651</v>
      </c>
      <c r="C13" s="41" t="n">
        <v>1</v>
      </c>
      <c r="D13" s="33" t="s">
        <v>652</v>
      </c>
      <c r="E13" s="42" t="s">
        <v>643</v>
      </c>
      <c r="F13" s="30" t="s">
        <v>653</v>
      </c>
    </row>
    <row r="14" customFormat="false" ht="15" hidden="false" customHeight="false" outlineLevel="0" collapsed="false">
      <c r="B14" s="30" t="s">
        <v>654</v>
      </c>
      <c r="C14" s="41" t="n">
        <v>6</v>
      </c>
      <c r="D14" s="33" t="s">
        <v>655</v>
      </c>
      <c r="E14" s="42" t="s">
        <v>643</v>
      </c>
      <c r="F14" s="30" t="s">
        <v>656</v>
      </c>
    </row>
    <row r="15" customFormat="false" ht="15" hidden="false" customHeight="false" outlineLevel="0" collapsed="false">
      <c r="B15" s="30" t="s">
        <v>657</v>
      </c>
      <c r="C15" s="41" t="n">
        <v>103981</v>
      </c>
      <c r="D15" s="33" t="s">
        <v>658</v>
      </c>
      <c r="E15" s="42" t="s">
        <v>659</v>
      </c>
      <c r="F15" s="30" t="s">
        <v>660</v>
      </c>
    </row>
    <row r="18" customFormat="false" ht="15" hidden="false" customHeight="false" outlineLevel="0" collapsed="false">
      <c r="B18" s="39" t="s">
        <v>661</v>
      </c>
    </row>
    <row r="19" customFormat="false" ht="15" hidden="false" customHeight="false" outlineLevel="0" collapsed="false">
      <c r="B19" s="27" t="s">
        <v>662</v>
      </c>
      <c r="C19" s="27" t="s">
        <v>663</v>
      </c>
      <c r="D19" s="27" t="s">
        <v>384</v>
      </c>
      <c r="E19" s="27" t="s">
        <v>664</v>
      </c>
      <c r="F19" s="27" t="s">
        <v>665</v>
      </c>
    </row>
    <row r="20" customFormat="false" ht="15" hidden="false" customHeight="false" outlineLevel="0" collapsed="false">
      <c r="B20" s="30" t="s">
        <v>666</v>
      </c>
      <c r="C20" s="44" t="n">
        <f aca="false">'Benchmark KPIs'!D55</f>
        <v>0.0148641452539056</v>
      </c>
      <c r="D20" s="33" t="s">
        <v>30</v>
      </c>
      <c r="E20" s="30" t="s">
        <v>667</v>
      </c>
      <c r="F20" s="30" t="s">
        <v>668</v>
      </c>
    </row>
    <row r="21" customFormat="false" ht="15" hidden="false" customHeight="false" outlineLevel="0" collapsed="false">
      <c r="B21" s="30" t="s">
        <v>669</v>
      </c>
      <c r="C21" s="45" t="n">
        <f aca="false">'Benchmark KPIs'!D21</f>
        <v>1133076.79</v>
      </c>
      <c r="D21" s="33" t="s">
        <v>30</v>
      </c>
      <c r="E21" s="30" t="s">
        <v>667</v>
      </c>
      <c r="F21" s="30" t="s">
        <v>670</v>
      </c>
    </row>
    <row r="22" customFormat="false" ht="15" hidden="false" customHeight="false" outlineLevel="0" collapsed="false">
      <c r="B22" s="30" t="s">
        <v>671</v>
      </c>
      <c r="C22" s="44" t="n">
        <f aca="false">'Benchmark KPIs'!D20</f>
        <v>0.283687004446782</v>
      </c>
      <c r="D22" s="33" t="s">
        <v>30</v>
      </c>
      <c r="E22" s="30" t="s">
        <v>667</v>
      </c>
      <c r="F22" s="30" t="s">
        <v>672</v>
      </c>
    </row>
    <row r="23" customFormat="false" ht="15" hidden="false" customHeight="false" outlineLevel="0" collapsed="false">
      <c r="B23" s="30" t="s">
        <v>673</v>
      </c>
      <c r="C23" s="33" t="n">
        <v>20</v>
      </c>
      <c r="D23" s="33" t="s">
        <v>674</v>
      </c>
      <c r="E23" s="30" t="s">
        <v>675</v>
      </c>
      <c r="F23" s="30" t="s">
        <v>676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677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678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679</v>
      </c>
      <c r="C5" s="27" t="s">
        <v>680</v>
      </c>
      <c r="D5" s="27" t="s">
        <v>681</v>
      </c>
      <c r="E5" s="27" t="s">
        <v>41</v>
      </c>
      <c r="F5" s="27" t="s">
        <v>682</v>
      </c>
      <c r="G5" s="27" t="s">
        <v>683</v>
      </c>
      <c r="H5" s="27" t="s">
        <v>384</v>
      </c>
      <c r="I5" s="27" t="s">
        <v>684</v>
      </c>
      <c r="J5" s="27" t="s">
        <v>685</v>
      </c>
    </row>
    <row r="6" customFormat="false" ht="15" hidden="false" customHeight="false" outlineLevel="0" collapsed="false">
      <c r="B6" s="33" t="n">
        <v>1</v>
      </c>
      <c r="C6" s="30" t="s">
        <v>387</v>
      </c>
      <c r="D6" s="30" t="s">
        <v>386</v>
      </c>
      <c r="E6" s="33" t="str">
        <f aca="false">'Benchmark KPIs'!D6</f>
        <v>2021</v>
      </c>
      <c r="F6" s="33" t="s">
        <v>686</v>
      </c>
      <c r="G6" s="30" t="s">
        <v>380</v>
      </c>
      <c r="H6" s="29" t="s">
        <v>390</v>
      </c>
      <c r="I6" s="30" t="s">
        <v>687</v>
      </c>
      <c r="J6" s="30" t="s">
        <v>688</v>
      </c>
    </row>
    <row r="7" customFormat="false" ht="23.85" hidden="false" customHeight="false" outlineLevel="0" collapsed="false">
      <c r="B7" s="33" t="n">
        <v>2</v>
      </c>
      <c r="C7" s="30" t="s">
        <v>393</v>
      </c>
      <c r="D7" s="30" t="s">
        <v>392</v>
      </c>
      <c r="E7" s="33" t="str">
        <f aca="false">'Benchmark KPIs'!D7</f>
        <v>Exxel Pacific Admiral East Apartments</v>
      </c>
      <c r="F7" s="33" t="s">
        <v>689</v>
      </c>
      <c r="G7" s="30" t="s">
        <v>380</v>
      </c>
      <c r="H7" s="29" t="s">
        <v>390</v>
      </c>
      <c r="I7" s="30" t="s">
        <v>690</v>
      </c>
      <c r="J7" s="30" t="s">
        <v>688</v>
      </c>
    </row>
    <row r="8" customFormat="false" ht="15" hidden="false" customHeight="false" outlineLevel="0" collapsed="false">
      <c r="B8" s="33" t="n">
        <v>3</v>
      </c>
      <c r="C8" s="30" t="s">
        <v>394</v>
      </c>
      <c r="D8" s="30" t="s">
        <v>7</v>
      </c>
      <c r="E8" s="33" t="str">
        <f aca="false">'Benchmark KPIs'!D8</f>
        <v>Exxel Pacific, Inc.</v>
      </c>
      <c r="F8" s="33" t="s">
        <v>689</v>
      </c>
      <c r="G8" s="30" t="s">
        <v>380</v>
      </c>
      <c r="H8" s="29" t="s">
        <v>390</v>
      </c>
      <c r="I8" s="30" t="s">
        <v>690</v>
      </c>
      <c r="J8" s="30" t="s">
        <v>688</v>
      </c>
    </row>
    <row r="9" customFormat="false" ht="35.05" hidden="false" customHeight="false" outlineLevel="0" collapsed="false">
      <c r="B9" s="33" t="n">
        <v>4</v>
      </c>
      <c r="C9" s="30" t="s">
        <v>395</v>
      </c>
      <c r="D9" s="30" t="s">
        <v>9</v>
      </c>
      <c r="E9" s="33" t="str">
        <f aca="false">'Benchmark KPIs'!D9</f>
        <v>Seattle, WA (2600 SW Admiral Way, West Seattle)</v>
      </c>
      <c r="F9" s="33" t="s">
        <v>689</v>
      </c>
      <c r="G9" s="30" t="s">
        <v>380</v>
      </c>
      <c r="H9" s="29" t="s">
        <v>390</v>
      </c>
      <c r="I9" s="30" t="s">
        <v>691</v>
      </c>
      <c r="J9" s="30" t="s">
        <v>688</v>
      </c>
    </row>
    <row r="10" customFormat="false" ht="46.25" hidden="false" customHeight="false" outlineLevel="0" collapsed="false">
      <c r="B10" s="33" t="n">
        <v>5</v>
      </c>
      <c r="C10" s="30" t="s">
        <v>397</v>
      </c>
      <c r="D10" s="30" t="s">
        <v>396</v>
      </c>
      <c r="E10" s="33" t="str">
        <f aca="false">'Benchmark KPIs'!D10</f>
        <v>5-story 182-unit multifamily apartments + retail/garage</v>
      </c>
      <c r="F10" s="33" t="s">
        <v>689</v>
      </c>
      <c r="G10" s="30" t="s">
        <v>380</v>
      </c>
      <c r="H10" s="29" t="s">
        <v>390</v>
      </c>
      <c r="I10" s="30" t="s">
        <v>692</v>
      </c>
      <c r="J10" s="30" t="s">
        <v>688</v>
      </c>
    </row>
    <row r="11" customFormat="false" ht="15" hidden="false" customHeight="false" outlineLevel="0" collapsed="false">
      <c r="B11" s="33" t="n">
        <v>6</v>
      </c>
      <c r="C11" s="30" t="s">
        <v>400</v>
      </c>
      <c r="D11" s="30" t="s">
        <v>399</v>
      </c>
      <c r="E11" s="33" t="n">
        <f aca="false">'Benchmark KPIs'!D11</f>
        <v>19</v>
      </c>
      <c r="F11" s="33" t="s">
        <v>693</v>
      </c>
      <c r="G11" s="30" t="s">
        <v>380</v>
      </c>
      <c r="H11" s="29" t="s">
        <v>390</v>
      </c>
      <c r="I11" s="30" t="s">
        <v>694</v>
      </c>
      <c r="J11" s="30" t="s">
        <v>688</v>
      </c>
    </row>
    <row r="12" customFormat="false" ht="15" hidden="false" customHeight="false" outlineLevel="0" collapsed="false">
      <c r="B12" s="33" t="n">
        <v>7</v>
      </c>
      <c r="C12" s="30" t="s">
        <v>402</v>
      </c>
      <c r="D12" s="30" t="s">
        <v>401</v>
      </c>
      <c r="E12" s="45" t="n">
        <f aca="false">'Benchmark KPIs'!D12</f>
        <v>182</v>
      </c>
      <c r="F12" s="33" t="s">
        <v>275</v>
      </c>
      <c r="G12" s="30" t="s">
        <v>380</v>
      </c>
      <c r="H12" s="29" t="s">
        <v>390</v>
      </c>
      <c r="I12" s="30" t="s">
        <v>695</v>
      </c>
      <c r="J12" s="30" t="s">
        <v>688</v>
      </c>
    </row>
    <row r="13" customFormat="false" ht="15" hidden="false" customHeight="false" outlineLevel="0" collapsed="false">
      <c r="B13" s="33" t="n">
        <v>8</v>
      </c>
      <c r="C13" s="30" t="s">
        <v>403</v>
      </c>
      <c r="D13" s="30" t="s">
        <v>56</v>
      </c>
      <c r="E13" s="45" t="n">
        <f aca="false">'Benchmark KPIs'!D13</f>
        <v>891</v>
      </c>
      <c r="F13" s="33" t="s">
        <v>696</v>
      </c>
      <c r="G13" s="30" t="s">
        <v>380</v>
      </c>
      <c r="H13" s="29" t="s">
        <v>390</v>
      </c>
      <c r="I13" s="30" t="s">
        <v>697</v>
      </c>
      <c r="J13" s="30" t="s">
        <v>688</v>
      </c>
    </row>
    <row r="14" customFormat="false" ht="15" hidden="false" customHeight="false" outlineLevel="0" collapsed="false">
      <c r="B14" s="33" t="n">
        <v>9</v>
      </c>
      <c r="C14" s="30" t="s">
        <v>407</v>
      </c>
      <c r="D14" s="30" t="s">
        <v>698</v>
      </c>
      <c r="E14" s="45" t="n">
        <f aca="false">'Benchmark KPIs'!D15</f>
        <v>1558650</v>
      </c>
      <c r="F14" s="33" t="s">
        <v>699</v>
      </c>
      <c r="G14" s="30" t="s">
        <v>380</v>
      </c>
      <c r="H14" s="29" t="s">
        <v>390</v>
      </c>
      <c r="I14" s="30" t="s">
        <v>700</v>
      </c>
      <c r="J14" s="30" t="s">
        <v>688</v>
      </c>
    </row>
    <row r="15" customFormat="false" ht="15" hidden="false" customHeight="false" outlineLevel="0" collapsed="false">
      <c r="B15" s="33" t="n">
        <v>10</v>
      </c>
      <c r="C15" s="30" t="s">
        <v>410</v>
      </c>
      <c r="D15" s="30" t="s">
        <v>701</v>
      </c>
      <c r="E15" s="45" t="n">
        <f aca="false">'Benchmark KPIs'!D16</f>
        <v>1581818</v>
      </c>
      <c r="F15" s="33" t="s">
        <v>699</v>
      </c>
      <c r="G15" s="30" t="s">
        <v>380</v>
      </c>
      <c r="H15" s="29" t="s">
        <v>390</v>
      </c>
      <c r="I15" s="30" t="s">
        <v>702</v>
      </c>
      <c r="J15" s="30" t="s">
        <v>688</v>
      </c>
    </row>
    <row r="16" customFormat="false" ht="15" hidden="false" customHeight="false" outlineLevel="0" collapsed="false">
      <c r="B16" s="33" t="n">
        <v>11</v>
      </c>
      <c r="C16" s="30" t="s">
        <v>413</v>
      </c>
      <c r="D16" s="30" t="s">
        <v>412</v>
      </c>
      <c r="E16" s="45" t="n">
        <f aca="false">'Benchmark KPIs'!D17</f>
        <v>23168</v>
      </c>
      <c r="F16" s="33" t="s">
        <v>699</v>
      </c>
      <c r="G16" s="30" t="s">
        <v>380</v>
      </c>
      <c r="H16" s="29" t="s">
        <v>390</v>
      </c>
      <c r="I16" s="30" t="s">
        <v>703</v>
      </c>
      <c r="J16" s="30" t="s">
        <v>688</v>
      </c>
    </row>
    <row r="17" customFormat="false" ht="15" hidden="false" customHeight="false" outlineLevel="0" collapsed="false">
      <c r="B17" s="33" t="n">
        <v>12</v>
      </c>
      <c r="C17" s="30" t="s">
        <v>415</v>
      </c>
      <c r="D17" s="30" t="s">
        <v>414</v>
      </c>
      <c r="E17" s="45" t="n">
        <f aca="false">'Benchmark KPIs'!D18</f>
        <v>1581818</v>
      </c>
      <c r="F17" s="33" t="s">
        <v>699</v>
      </c>
      <c r="G17" s="30" t="s">
        <v>380</v>
      </c>
      <c r="H17" s="29" t="s">
        <v>390</v>
      </c>
      <c r="I17" s="30" t="s">
        <v>704</v>
      </c>
      <c r="J17" s="30" t="s">
        <v>688</v>
      </c>
    </row>
    <row r="18" customFormat="false" ht="15" hidden="false" customHeight="false" outlineLevel="0" collapsed="false">
      <c r="B18" s="33" t="n">
        <v>13</v>
      </c>
      <c r="C18" s="30" t="s">
        <v>417</v>
      </c>
      <c r="D18" s="30" t="s">
        <v>416</v>
      </c>
      <c r="E18" s="45" t="n">
        <f aca="false">'Benchmark KPIs'!D19</f>
        <v>448741.21</v>
      </c>
      <c r="F18" s="33" t="s">
        <v>699</v>
      </c>
      <c r="G18" s="30" t="s">
        <v>380</v>
      </c>
      <c r="H18" s="29" t="s">
        <v>390</v>
      </c>
      <c r="I18" s="30" t="s">
        <v>705</v>
      </c>
      <c r="J18" s="30" t="s">
        <v>688</v>
      </c>
    </row>
    <row r="19" customFormat="false" ht="15" hidden="false" customHeight="false" outlineLevel="0" collapsed="false">
      <c r="B19" s="33" t="n">
        <v>14</v>
      </c>
      <c r="C19" s="30" t="s">
        <v>419</v>
      </c>
      <c r="D19" s="30" t="s">
        <v>706</v>
      </c>
      <c r="E19" s="44" t="n">
        <f aca="false">'Benchmark KPIs'!D20</f>
        <v>0.283687004446782</v>
      </c>
      <c r="F19" s="33" t="s">
        <v>707</v>
      </c>
      <c r="G19" s="30" t="s">
        <v>380</v>
      </c>
      <c r="H19" s="29" t="s">
        <v>390</v>
      </c>
      <c r="I19" s="30" t="s">
        <v>708</v>
      </c>
      <c r="J19" s="30" t="s">
        <v>688</v>
      </c>
    </row>
    <row r="20" customFormat="false" ht="15" hidden="false" customHeight="false" outlineLevel="0" collapsed="false">
      <c r="B20" s="33" t="n">
        <v>15</v>
      </c>
      <c r="C20" s="30" t="s">
        <v>420</v>
      </c>
      <c r="D20" s="30" t="s">
        <v>135</v>
      </c>
      <c r="E20" s="45" t="n">
        <f aca="false">'Benchmark KPIs'!D21</f>
        <v>1133076.79</v>
      </c>
      <c r="F20" s="33" t="s">
        <v>699</v>
      </c>
      <c r="G20" s="30" t="s">
        <v>380</v>
      </c>
      <c r="H20" s="29" t="s">
        <v>390</v>
      </c>
      <c r="I20" s="30" t="s">
        <v>709</v>
      </c>
      <c r="J20" s="30" t="s">
        <v>688</v>
      </c>
    </row>
    <row r="21" customFormat="false" ht="15" hidden="false" customHeight="false" outlineLevel="0" collapsed="false">
      <c r="B21" s="33" t="n">
        <v>16</v>
      </c>
      <c r="C21" s="30" t="s">
        <v>422</v>
      </c>
      <c r="D21" s="30" t="s">
        <v>421</v>
      </c>
      <c r="E21" s="45" t="n">
        <f aca="false">'Benchmark KPIs'!D22</f>
        <v>429422.78</v>
      </c>
      <c r="F21" s="33" t="s">
        <v>699</v>
      </c>
      <c r="G21" s="30" t="s">
        <v>380</v>
      </c>
      <c r="H21" s="29" t="s">
        <v>390</v>
      </c>
      <c r="I21" s="30" t="s">
        <v>710</v>
      </c>
      <c r="J21" s="30" t="s">
        <v>688</v>
      </c>
    </row>
    <row r="22" customFormat="false" ht="15" hidden="false" customHeight="false" outlineLevel="0" collapsed="false">
      <c r="B22" s="33" t="n">
        <v>17</v>
      </c>
      <c r="C22" s="30" t="s">
        <v>425</v>
      </c>
      <c r="D22" s="30" t="s">
        <v>424</v>
      </c>
      <c r="E22" s="45" t="n">
        <f aca="false">'Benchmark KPIs'!D23</f>
        <v>423924.46</v>
      </c>
      <c r="F22" s="33" t="s">
        <v>699</v>
      </c>
      <c r="G22" s="30" t="s">
        <v>380</v>
      </c>
      <c r="H22" s="29" t="s">
        <v>390</v>
      </c>
      <c r="I22" s="30" t="s">
        <v>711</v>
      </c>
      <c r="J22" s="30" t="s">
        <v>688</v>
      </c>
    </row>
    <row r="23" customFormat="false" ht="15" hidden="false" customHeight="false" outlineLevel="0" collapsed="false">
      <c r="B23" s="33" t="n">
        <v>18</v>
      </c>
      <c r="C23" s="30" t="s">
        <v>428</v>
      </c>
      <c r="D23" s="30" t="s">
        <v>427</v>
      </c>
      <c r="E23" s="45" t="n">
        <f aca="false">'Benchmark KPIs'!D24</f>
        <v>66646.5</v>
      </c>
      <c r="F23" s="33" t="s">
        <v>699</v>
      </c>
      <c r="G23" s="30" t="s">
        <v>380</v>
      </c>
      <c r="H23" s="29" t="s">
        <v>390</v>
      </c>
      <c r="I23" s="30" t="s">
        <v>712</v>
      </c>
      <c r="J23" s="30" t="s">
        <v>688</v>
      </c>
    </row>
    <row r="24" customFormat="false" ht="15" hidden="false" customHeight="false" outlineLevel="0" collapsed="false">
      <c r="B24" s="33" t="n">
        <v>19</v>
      </c>
      <c r="C24" s="30" t="s">
        <v>431</v>
      </c>
      <c r="D24" s="30" t="s">
        <v>430</v>
      </c>
      <c r="E24" s="45" t="n">
        <f aca="false">'Benchmark KPIs'!D25</f>
        <v>213083.05</v>
      </c>
      <c r="F24" s="33" t="s">
        <v>699</v>
      </c>
      <c r="G24" s="30" t="s">
        <v>380</v>
      </c>
      <c r="H24" s="29" t="s">
        <v>390</v>
      </c>
      <c r="I24" s="30" t="s">
        <v>713</v>
      </c>
      <c r="J24" s="30" t="s">
        <v>688</v>
      </c>
    </row>
    <row r="25" customFormat="false" ht="15" hidden="false" customHeight="false" outlineLevel="0" collapsed="false">
      <c r="B25" s="33" t="n">
        <v>20</v>
      </c>
      <c r="C25" s="30" t="s">
        <v>433</v>
      </c>
      <c r="D25" s="30" t="s">
        <v>355</v>
      </c>
      <c r="E25" s="45" t="n">
        <f aca="false">'Benchmark KPIs'!D26</f>
        <v>79091</v>
      </c>
      <c r="F25" s="33" t="s">
        <v>699</v>
      </c>
      <c r="G25" s="30" t="s">
        <v>380</v>
      </c>
      <c r="H25" s="29" t="s">
        <v>390</v>
      </c>
      <c r="I25" s="30" t="s">
        <v>714</v>
      </c>
      <c r="J25" s="30" t="s">
        <v>688</v>
      </c>
    </row>
    <row r="26" customFormat="false" ht="15" hidden="false" customHeight="false" outlineLevel="0" collapsed="false">
      <c r="B26" s="33" t="n">
        <v>21</v>
      </c>
      <c r="C26" s="30" t="s">
        <v>456</v>
      </c>
      <c r="D26" s="30" t="s">
        <v>455</v>
      </c>
      <c r="E26" s="45" t="n">
        <f aca="false">'Benchmark KPIs'!D37</f>
        <v>19799.5</v>
      </c>
      <c r="F26" s="33" t="s">
        <v>715</v>
      </c>
      <c r="G26" s="30" t="s">
        <v>380</v>
      </c>
      <c r="H26" s="29" t="s">
        <v>390</v>
      </c>
      <c r="I26" s="30" t="s">
        <v>716</v>
      </c>
      <c r="J26" s="30" t="s">
        <v>688</v>
      </c>
    </row>
    <row r="27" customFormat="false" ht="15" hidden="false" customHeight="false" outlineLevel="0" collapsed="false">
      <c r="B27" s="33" t="n">
        <v>22</v>
      </c>
      <c r="C27" s="30" t="s">
        <v>459</v>
      </c>
      <c r="D27" s="30" t="s">
        <v>458</v>
      </c>
      <c r="E27" s="33" t="n">
        <f aca="false">'Benchmark KPIs'!D38</f>
        <v>40</v>
      </c>
      <c r="F27" s="33" t="s">
        <v>696</v>
      </c>
      <c r="G27" s="30" t="s">
        <v>380</v>
      </c>
      <c r="H27" s="29" t="s">
        <v>390</v>
      </c>
      <c r="I27" s="30" t="s">
        <v>717</v>
      </c>
      <c r="J27" s="30" t="s">
        <v>688</v>
      </c>
    </row>
    <row r="28" customFormat="false" ht="15" hidden="false" customHeight="false" outlineLevel="0" collapsed="false">
      <c r="B28" s="33" t="n">
        <v>23</v>
      </c>
      <c r="C28" s="30" t="s">
        <v>461</v>
      </c>
      <c r="D28" s="30" t="s">
        <v>235</v>
      </c>
      <c r="E28" s="46" t="n">
        <f aca="false">'Benchmark KPIs'!D39</f>
        <v>23.1492966994116</v>
      </c>
      <c r="F28" s="33" t="s">
        <v>718</v>
      </c>
      <c r="G28" s="30" t="s">
        <v>380</v>
      </c>
      <c r="H28" s="29" t="s">
        <v>390</v>
      </c>
      <c r="I28" s="30" t="s">
        <v>719</v>
      </c>
      <c r="J28" s="30" t="s">
        <v>688</v>
      </c>
    </row>
    <row r="29" customFormat="false" ht="15" hidden="false" customHeight="false" outlineLevel="0" collapsed="false">
      <c r="B29" s="33" t="n">
        <v>24</v>
      </c>
      <c r="C29" s="30" t="s">
        <v>488</v>
      </c>
      <c r="D29" s="30" t="s">
        <v>487</v>
      </c>
      <c r="E29" s="33" t="n">
        <f aca="false">'Benchmark KPIs'!D51</f>
        <v>21</v>
      </c>
      <c r="F29" s="33" t="s">
        <v>696</v>
      </c>
      <c r="G29" s="30" t="s">
        <v>380</v>
      </c>
      <c r="H29" s="29" t="s">
        <v>390</v>
      </c>
      <c r="I29" s="30" t="s">
        <v>720</v>
      </c>
      <c r="J29" s="30" t="s">
        <v>688</v>
      </c>
    </row>
    <row r="30" customFormat="false" ht="15" hidden="false" customHeight="false" outlineLevel="0" collapsed="false">
      <c r="B30" s="33" t="n">
        <v>25</v>
      </c>
      <c r="C30" s="30" t="s">
        <v>495</v>
      </c>
      <c r="D30" s="30" t="s">
        <v>494</v>
      </c>
      <c r="E30" s="45" t="n">
        <f aca="false">'Benchmark KPIs'!D54</f>
        <v>177</v>
      </c>
      <c r="F30" s="33" t="s">
        <v>696</v>
      </c>
      <c r="G30" s="30" t="s">
        <v>380</v>
      </c>
      <c r="H30" s="29" t="s">
        <v>390</v>
      </c>
      <c r="I30" s="30" t="s">
        <v>721</v>
      </c>
      <c r="J30" s="30" t="s">
        <v>688</v>
      </c>
    </row>
    <row r="31" customFormat="false" ht="15" hidden="false" customHeight="false" outlineLevel="0" collapsed="false">
      <c r="B31" s="33" t="n">
        <v>26</v>
      </c>
      <c r="C31" s="30" t="s">
        <v>498</v>
      </c>
      <c r="D31" s="30" t="s">
        <v>722</v>
      </c>
      <c r="E31" s="44" t="n">
        <f aca="false">'Benchmark KPIs'!D55</f>
        <v>0.0148641452539056</v>
      </c>
      <c r="F31" s="33" t="s">
        <v>707</v>
      </c>
      <c r="G31" s="30" t="s">
        <v>380</v>
      </c>
      <c r="H31" s="29" t="s">
        <v>390</v>
      </c>
      <c r="I31" s="30" t="s">
        <v>708</v>
      </c>
      <c r="J31" s="30" t="s">
        <v>688</v>
      </c>
    </row>
    <row r="32" customFormat="false" ht="15" hidden="false" customHeight="false" outlineLevel="0" collapsed="false">
      <c r="B32" s="33" t="n">
        <v>27</v>
      </c>
      <c r="C32" s="30" t="s">
        <v>723</v>
      </c>
      <c r="D32" s="30" t="s">
        <v>724</v>
      </c>
      <c r="E32" s="33" t="n">
        <v>32</v>
      </c>
      <c r="F32" s="33" t="s">
        <v>696</v>
      </c>
      <c r="G32" s="30" t="s">
        <v>725</v>
      </c>
      <c r="H32" s="29" t="s">
        <v>390</v>
      </c>
      <c r="I32" s="30" t="s">
        <v>726</v>
      </c>
      <c r="J32" s="30" t="s">
        <v>727</v>
      </c>
    </row>
    <row r="33" customFormat="false" ht="15" hidden="false" customHeight="false" outlineLevel="0" collapsed="false">
      <c r="B33" s="33" t="n">
        <v>28</v>
      </c>
      <c r="C33" s="30" t="s">
        <v>728</v>
      </c>
      <c r="D33" s="30" t="s">
        <v>729</v>
      </c>
      <c r="E33" s="33" t="n">
        <v>0</v>
      </c>
      <c r="F33" s="33" t="s">
        <v>696</v>
      </c>
      <c r="G33" s="30" t="s">
        <v>730</v>
      </c>
      <c r="H33" s="29" t="s">
        <v>390</v>
      </c>
      <c r="I33" s="30" t="s">
        <v>731</v>
      </c>
      <c r="J33" s="30" t="s">
        <v>732</v>
      </c>
    </row>
    <row r="34" customFormat="false" ht="15" hidden="false" customHeight="false" outlineLevel="0" collapsed="false">
      <c r="B34" s="33" t="n">
        <v>29</v>
      </c>
      <c r="C34" s="30" t="s">
        <v>733</v>
      </c>
      <c r="D34" s="30" t="s">
        <v>648</v>
      </c>
      <c r="E34" s="33" t="n">
        <v>9</v>
      </c>
      <c r="F34" s="33" t="s">
        <v>696</v>
      </c>
      <c r="G34" s="30" t="s">
        <v>730</v>
      </c>
      <c r="H34" s="29" t="s">
        <v>390</v>
      </c>
      <c r="I34" s="30" t="s">
        <v>734</v>
      </c>
      <c r="J34" s="30" t="s">
        <v>732</v>
      </c>
    </row>
    <row r="35" customFormat="false" ht="15" hidden="false" customHeight="false" outlineLevel="0" collapsed="false">
      <c r="B35" s="33" t="n">
        <v>30</v>
      </c>
      <c r="C35" s="30" t="s">
        <v>735</v>
      </c>
      <c r="D35" s="30" t="s">
        <v>645</v>
      </c>
      <c r="E35" s="33" t="n">
        <v>0</v>
      </c>
      <c r="F35" s="33" t="s">
        <v>696</v>
      </c>
      <c r="G35" s="30" t="s">
        <v>730</v>
      </c>
      <c r="H35" s="29" t="s">
        <v>390</v>
      </c>
      <c r="I35" s="30" t="s">
        <v>736</v>
      </c>
      <c r="J35" s="30" t="s">
        <v>732</v>
      </c>
    </row>
    <row r="36" customFormat="false" ht="15" hidden="false" customHeight="false" outlineLevel="0" collapsed="false">
      <c r="B36" s="33" t="n">
        <v>31</v>
      </c>
      <c r="C36" s="30" t="s">
        <v>737</v>
      </c>
      <c r="D36" s="30" t="s">
        <v>651</v>
      </c>
      <c r="E36" s="33" t="n">
        <v>1</v>
      </c>
      <c r="F36" s="33" t="s">
        <v>696</v>
      </c>
      <c r="G36" s="30" t="s">
        <v>730</v>
      </c>
      <c r="H36" s="29" t="s">
        <v>390</v>
      </c>
      <c r="I36" s="30" t="s">
        <v>738</v>
      </c>
      <c r="J36" s="30" t="s">
        <v>732</v>
      </c>
    </row>
    <row r="37" customFormat="false" ht="15" hidden="false" customHeight="false" outlineLevel="0" collapsed="false">
      <c r="B37" s="33" t="n">
        <v>32</v>
      </c>
      <c r="C37" s="30" t="s">
        <v>739</v>
      </c>
      <c r="D37" s="30" t="s">
        <v>740</v>
      </c>
      <c r="E37" s="33" t="n">
        <v>6</v>
      </c>
      <c r="F37" s="33" t="s">
        <v>696</v>
      </c>
      <c r="G37" s="30" t="s">
        <v>725</v>
      </c>
      <c r="H37" s="29" t="s">
        <v>390</v>
      </c>
      <c r="I37" s="30" t="s">
        <v>741</v>
      </c>
      <c r="J37" s="30" t="s">
        <v>727</v>
      </c>
    </row>
    <row r="38" customFormat="false" ht="15" hidden="false" customHeight="false" outlineLevel="0" collapsed="false">
      <c r="B38" s="33" t="n">
        <v>33</v>
      </c>
      <c r="C38" s="30" t="s">
        <v>742</v>
      </c>
      <c r="D38" s="30" t="s">
        <v>743</v>
      </c>
      <c r="E38" s="33" t="n">
        <v>18</v>
      </c>
      <c r="F38" s="33" t="s">
        <v>696</v>
      </c>
      <c r="G38" s="30" t="s">
        <v>730</v>
      </c>
      <c r="H38" s="29" t="s">
        <v>390</v>
      </c>
      <c r="I38" s="30" t="s">
        <v>744</v>
      </c>
      <c r="J38" s="30" t="s">
        <v>732</v>
      </c>
    </row>
    <row r="39" customFormat="false" ht="15" hidden="false" customHeight="false" outlineLevel="0" collapsed="false">
      <c r="B39" s="33" t="n">
        <v>34</v>
      </c>
      <c r="C39" s="30" t="s">
        <v>745</v>
      </c>
      <c r="D39" s="30" t="s">
        <v>746</v>
      </c>
      <c r="E39" s="36" t="n">
        <f aca="false">'Change Log'!H25</f>
        <v>103981</v>
      </c>
      <c r="F39" s="33" t="s">
        <v>699</v>
      </c>
      <c r="G39" s="30" t="s">
        <v>730</v>
      </c>
      <c r="H39" s="29" t="s">
        <v>390</v>
      </c>
      <c r="I39" s="30" t="s">
        <v>747</v>
      </c>
      <c r="J39" s="30" t="s">
        <v>732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748</v>
      </c>
      <c r="C2" s="2"/>
      <c r="D2" s="2"/>
      <c r="E2" s="2"/>
      <c r="F2" s="2"/>
    </row>
    <row r="3" customFormat="false" ht="15" hidden="false" customHeight="false" outlineLevel="0" collapsed="false">
      <c r="B3" s="47" t="s">
        <v>749</v>
      </c>
    </row>
    <row r="4" customFormat="false" ht="15" hidden="false" customHeight="true" outlineLevel="0" collapsed="false">
      <c r="B4" s="10" t="s">
        <v>750</v>
      </c>
      <c r="C4" s="10" t="s">
        <v>751</v>
      </c>
      <c r="D4" s="10" t="s">
        <v>752</v>
      </c>
      <c r="E4" s="10" t="s">
        <v>353</v>
      </c>
      <c r="F4" s="10" t="s">
        <v>354</v>
      </c>
    </row>
    <row r="5" customFormat="false" ht="15" hidden="false" customHeight="true" outlineLevel="0" collapsed="false">
      <c r="B5" s="4" t="s">
        <v>753</v>
      </c>
      <c r="C5" s="4"/>
      <c r="D5" s="4"/>
      <c r="E5" s="4"/>
      <c r="F5" s="4"/>
    </row>
    <row r="6" customFormat="false" ht="15" hidden="false" customHeight="true" outlineLevel="0" collapsed="false">
      <c r="B6" s="5" t="s">
        <v>754</v>
      </c>
      <c r="C6" s="11" t="n">
        <v>429422.78</v>
      </c>
      <c r="D6" s="11" t="n">
        <v>429422.78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755</v>
      </c>
      <c r="C7" s="11" t="n">
        <v>423924.46</v>
      </c>
      <c r="D7" s="11" t="n">
        <v>423924.46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756</v>
      </c>
      <c r="C8" s="11" t="n">
        <v>66646.5</v>
      </c>
      <c r="D8" s="11" t="n">
        <v>66646.5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757</v>
      </c>
      <c r="C9" s="11" t="n">
        <v>213083.05</v>
      </c>
      <c r="D9" s="11" t="n">
        <v>213083.05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758</v>
      </c>
      <c r="C10" s="11" t="n">
        <v>1133076.79</v>
      </c>
      <c r="D10" s="11" t="n">
        <v>1133076.79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759</v>
      </c>
      <c r="C11" s="11" t="n">
        <v>1581818</v>
      </c>
      <c r="D11" s="11" t="n">
        <v>1581818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760</v>
      </c>
      <c r="C12" s="11" t="n">
        <v>448741.21</v>
      </c>
      <c r="D12" s="11" t="n">
        <v>448741.21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761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762</v>
      </c>
      <c r="C15" s="48" t="n">
        <v>19799.5</v>
      </c>
      <c r="D15" s="48" t="n">
        <v>19799.5</v>
      </c>
      <c r="E15" s="4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763</v>
      </c>
      <c r="C16" s="48" t="n">
        <v>20777.5</v>
      </c>
      <c r="D16" s="48" t="n">
        <v>19799.5</v>
      </c>
      <c r="E16" s="48" t="n">
        <f aca="false">C16-D16</f>
        <v>978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764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322</v>
      </c>
      <c r="C19" s="11" t="n">
        <v>1581818</v>
      </c>
      <c r="D19" s="11" t="n">
        <v>1581818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355</v>
      </c>
      <c r="C20" s="11" t="n">
        <v>79091</v>
      </c>
      <c r="D20" s="11" t="n">
        <v>79091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135</v>
      </c>
      <c r="C21" s="11" t="n">
        <v>1133076.79</v>
      </c>
      <c r="D21" s="11" t="n">
        <v>1133076.79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765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766</v>
      </c>
      <c r="C24" s="11" t="n">
        <v>436423.47</v>
      </c>
      <c r="D24" s="11" t="n">
        <v>436423</v>
      </c>
      <c r="E24" s="11" t="n">
        <f aca="false">C24-D24</f>
        <v>0.46999999997206</v>
      </c>
      <c r="F24" s="6" t="str">
        <f aca="false">IF(ABS(E24)&lt;=5,"TIES",IF(ABS(E24)&lt;=ABS(D24)*0.05,"WITHIN","OFF"))</f>
        <v>TIES</v>
      </c>
    </row>
    <row r="28" customFormat="false" ht="15" hidden="false" customHeight="true" outlineLevel="0" collapsed="false">
      <c r="B28" s="4" t="s">
        <v>64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65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66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67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68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69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70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71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72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73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74</v>
      </c>
      <c r="C38" s="3"/>
      <c r="D38" s="3"/>
      <c r="E38" s="3"/>
      <c r="F38" s="3"/>
    </row>
    <row r="39" customFormat="false" ht="15" hidden="false" customHeight="true" outlineLevel="0" collapsed="false">
      <c r="B39" s="3" t="s">
        <v>75</v>
      </c>
      <c r="C39" s="3"/>
      <c r="D39" s="3"/>
      <c r="E39" s="3"/>
      <c r="F39" s="3"/>
    </row>
    <row r="40" customFormat="false" ht="15" hidden="false" customHeight="true" outlineLevel="0" collapsed="false">
      <c r="B40" s="3" t="s">
        <v>76</v>
      </c>
      <c r="C40" s="3"/>
      <c r="D40" s="3"/>
      <c r="E40" s="3"/>
      <c r="F40" s="3"/>
    </row>
    <row r="41" customFormat="false" ht="15" hidden="false" customHeight="true" outlineLevel="0" collapsed="false">
      <c r="B41" s="3" t="s">
        <v>767</v>
      </c>
      <c r="C41" s="3"/>
      <c r="D41" s="3"/>
      <c r="E41" s="3"/>
      <c r="F41" s="3"/>
    </row>
    <row r="48" customFormat="false" ht="15" hidden="false" customHeight="false" outlineLevel="0" collapsed="false">
      <c r="B48" s="49" t="s">
        <v>768</v>
      </c>
      <c r="C48" s="50"/>
      <c r="D48" s="50"/>
      <c r="E48" s="50"/>
      <c r="F48" s="50"/>
      <c r="G48" s="50"/>
      <c r="H48" s="51"/>
      <c r="I48" s="51"/>
    </row>
    <row r="49" customFormat="false" ht="15" hidden="false" customHeight="false" outlineLevel="0" collapsed="false">
      <c r="B49" s="52" t="s">
        <v>769</v>
      </c>
      <c r="C49" s="52" t="n">
        <v>18</v>
      </c>
      <c r="D49" s="52" t="n">
        <f aca="false">'Root Cause Analysis'!C13</f>
        <v>17</v>
      </c>
      <c r="E49" s="52" t="n">
        <f aca="false">C49-D49</f>
        <v>1</v>
      </c>
      <c r="F49" s="52" t="str">
        <f aca="false">IF(ABS(E49)&lt;=1,"TIES",IF(ABS(E49)&lt;=ABS(D49)*0.05,"WITHIN","OFF"))</f>
        <v>TIES</v>
      </c>
      <c r="G49" s="52" t="s">
        <v>770</v>
      </c>
      <c r="H49" s="51"/>
      <c r="I49" s="51"/>
    </row>
    <row r="50" customFormat="false" ht="15" hidden="false" customHeight="false" outlineLevel="0" collapsed="false">
      <c r="B50" s="52" t="s">
        <v>657</v>
      </c>
      <c r="C50" s="53" t="n">
        <f aca="false">'Change Log'!H25</f>
        <v>103981</v>
      </c>
      <c r="D50" s="53" t="n">
        <f aca="false">'Root Cause Analysis'!D13</f>
        <v>102010</v>
      </c>
      <c r="E50" s="52" t="n">
        <f aca="false">C50-D50</f>
        <v>1971</v>
      </c>
      <c r="F50" s="52" t="str">
        <f aca="false">IF(ABS(E50)&lt;=1,"TIES",IF(ABS(E50)&lt;=ABS(D50)*0.05,"WITHIN","OFF"))</f>
        <v>WITHIN</v>
      </c>
      <c r="G50" s="52" t="s">
        <v>770</v>
      </c>
      <c r="H50" s="51"/>
      <c r="I50" s="51"/>
    </row>
    <row r="51" customFormat="false" ht="15" hidden="false" customHeight="false" outlineLevel="0" collapsed="false">
      <c r="B51" s="51"/>
      <c r="C51" s="51"/>
      <c r="D51" s="51"/>
      <c r="E51" s="51"/>
      <c r="F51" s="51"/>
      <c r="G51" s="51"/>
      <c r="H51" s="51"/>
      <c r="I51" s="51"/>
    </row>
    <row r="52" customFormat="false" ht="15" hidden="false" customHeight="false" outlineLevel="0" collapsed="false">
      <c r="B52" s="49" t="s">
        <v>771</v>
      </c>
      <c r="C52" s="50"/>
      <c r="D52" s="50"/>
      <c r="E52" s="50"/>
      <c r="F52" s="50"/>
      <c r="G52" s="50"/>
      <c r="H52" s="51"/>
      <c r="I52" s="51"/>
    </row>
    <row r="53" customFormat="false" ht="15" hidden="false" customHeight="false" outlineLevel="0" collapsed="false">
      <c r="B53" s="52" t="s">
        <v>772</v>
      </c>
      <c r="C53" s="52" t="n">
        <v>0</v>
      </c>
      <c r="D53" s="52" t="n">
        <f aca="false">COUNTIF('Change Log'!C6:C24,"Backcharge")</f>
        <v>0</v>
      </c>
      <c r="E53" s="52" t="n">
        <f aca="false">C53-D53</f>
        <v>0</v>
      </c>
      <c r="F53" s="52" t="str">
        <f aca="false">IF(ABS(E53)&lt;=1,"TIES",IF(ABS(E53)&lt;=ABS(D53)*0.05,"WITHIN","OFF"))</f>
        <v>TIES</v>
      </c>
      <c r="G53" s="52" t="s">
        <v>773</v>
      </c>
      <c r="H53" s="51"/>
      <c r="I53" s="51"/>
    </row>
    <row r="54" customFormat="false" ht="15" hidden="false" customHeight="false" outlineLevel="0" collapsed="false">
      <c r="B54" s="51"/>
      <c r="C54" s="51"/>
      <c r="D54" s="51"/>
      <c r="E54" s="51"/>
      <c r="F54" s="51"/>
      <c r="G54" s="51"/>
      <c r="H54" s="51"/>
      <c r="I54" s="51"/>
    </row>
    <row r="55" customFormat="false" ht="15" hidden="false" customHeight="false" outlineLevel="0" collapsed="false">
      <c r="B55" s="49" t="s">
        <v>774</v>
      </c>
      <c r="C55" s="50"/>
      <c r="D55" s="50"/>
      <c r="E55" s="50"/>
      <c r="F55" s="50"/>
      <c r="G55" s="50"/>
      <c r="H55" s="51"/>
      <c r="I55" s="51"/>
    </row>
    <row r="56" customFormat="false" ht="15" hidden="false" customHeight="false" outlineLevel="0" collapsed="false">
      <c r="B56" s="52" t="s">
        <v>775</v>
      </c>
      <c r="C56" s="54" t="n">
        <f aca="false">'Metric Registry'!E17</f>
        <v>1581818</v>
      </c>
      <c r="D56" s="54" t="n">
        <f aca="false">'Benchmark KPIs'!D18</f>
        <v>1581818</v>
      </c>
      <c r="E56" s="52" t="n">
        <f aca="false">C56-D56</f>
        <v>0</v>
      </c>
      <c r="F56" s="52" t="str">
        <f aca="false">IF(ABS(E56)&lt;=1,"TIES",IF(ABS(E56)&lt;=ABS(D56)*0.05,"WITHIN","OFF"))</f>
        <v>TIES</v>
      </c>
      <c r="G56" s="52" t="s">
        <v>776</v>
      </c>
      <c r="H56" s="51"/>
      <c r="I56" s="51"/>
    </row>
    <row r="57" customFormat="false" ht="15" hidden="false" customHeight="false" outlineLevel="0" collapsed="false">
      <c r="B57" s="52" t="s">
        <v>777</v>
      </c>
      <c r="C57" s="54" t="n">
        <f aca="false">'Metric Registry'!E12</f>
        <v>182</v>
      </c>
      <c r="D57" s="54" t="n">
        <f aca="false">'Benchmark KPIs'!D12</f>
        <v>182</v>
      </c>
      <c r="E57" s="52" t="n">
        <f aca="false">C57-D57</f>
        <v>0</v>
      </c>
      <c r="F57" s="52" t="str">
        <f aca="false">IF(ABS(E57)&lt;=1,"TIES",IF(ABS(E57)&lt;=ABS(D57)*0.05,"WITHIN","OFF"))</f>
        <v>TIES</v>
      </c>
      <c r="G57" s="52" t="s">
        <v>776</v>
      </c>
      <c r="H57" s="51"/>
      <c r="I57" s="51"/>
    </row>
    <row r="58" customFormat="false" ht="15" hidden="false" customHeight="false" outlineLevel="0" collapsed="false">
      <c r="B58" s="52" t="s">
        <v>778</v>
      </c>
      <c r="C58" s="54" t="n">
        <f aca="false">'Metric Registry'!E13</f>
        <v>891</v>
      </c>
      <c r="D58" s="54" t="n">
        <f aca="false">'Benchmark KPIs'!D13</f>
        <v>891</v>
      </c>
      <c r="E58" s="52" t="n">
        <f aca="false">C58-D58</f>
        <v>0</v>
      </c>
      <c r="F58" s="52" t="str">
        <f aca="false">IF(ABS(E58)&lt;=1,"TIES",IF(ABS(E58)&lt;=ABS(D58)*0.05,"WITHIN","OFF"))</f>
        <v>TIES</v>
      </c>
      <c r="G58" s="52" t="s">
        <v>776</v>
      </c>
      <c r="H58" s="51"/>
      <c r="I58" s="51"/>
    </row>
    <row r="59" customFormat="false" ht="15" hidden="false" customHeight="false" outlineLevel="0" collapsed="false">
      <c r="B59" s="52" t="s">
        <v>779</v>
      </c>
      <c r="C59" s="55" t="n">
        <f aca="false">'Metric Registry'!E19</f>
        <v>0.283687004446782</v>
      </c>
      <c r="D59" s="54" t="n">
        <f aca="false">'Benchmark KPIs'!D21</f>
        <v>1133076.79</v>
      </c>
      <c r="E59" s="52" t="n">
        <f aca="false">C59-D59</f>
        <v>-1133076.506313</v>
      </c>
      <c r="F59" s="52" t="str">
        <f aca="false">IF(ABS(E59)&lt;=1,"TIES",IF(ABS(E59)&lt;=ABS(D59)*0.05,"WITHIN","OFF"))</f>
        <v>OFF</v>
      </c>
      <c r="G59" s="52" t="s">
        <v>776</v>
      </c>
      <c r="H59" s="51"/>
      <c r="I59" s="51"/>
    </row>
    <row r="60" customFormat="false" ht="15" hidden="false" customHeight="false" outlineLevel="0" collapsed="false">
      <c r="B60" s="52" t="s">
        <v>780</v>
      </c>
      <c r="C60" s="54" t="n">
        <f aca="false">'Metric Registry'!E30</f>
        <v>177</v>
      </c>
      <c r="D60" s="54" t="n">
        <f aca="false">'Benchmark KPIs'!D54</f>
        <v>177</v>
      </c>
      <c r="E60" s="52" t="n">
        <f aca="false">C60-D60</f>
        <v>0</v>
      </c>
      <c r="F60" s="52" t="str">
        <f aca="false">IF(ABS(E60)&lt;=1,"TIES",IF(ABS(E60)&lt;=ABS(D60)*0.05,"WITHIN","OFF"))</f>
        <v>TIES</v>
      </c>
      <c r="G60" s="52" t="s">
        <v>776</v>
      </c>
      <c r="H60" s="51"/>
      <c r="I60" s="51"/>
    </row>
    <row r="61" customFormat="false" ht="15" hidden="false" customHeight="false" outlineLevel="0" collapsed="false">
      <c r="B61" s="51"/>
      <c r="C61" s="51"/>
      <c r="D61" s="51"/>
      <c r="E61" s="51"/>
      <c r="F61" s="51"/>
      <c r="G61" s="51"/>
      <c r="H61" s="51"/>
      <c r="I61" s="51"/>
    </row>
    <row r="62" customFormat="false" ht="15" hidden="false" customHeight="false" outlineLevel="0" collapsed="false">
      <c r="B62" s="49" t="s">
        <v>781</v>
      </c>
      <c r="C62" s="50"/>
      <c r="D62" s="50"/>
      <c r="E62" s="50"/>
      <c r="F62" s="50"/>
      <c r="G62" s="50"/>
      <c r="H62" s="51"/>
      <c r="I62" s="51"/>
    </row>
    <row r="63" customFormat="false" ht="15" hidden="false" customHeight="false" outlineLevel="0" collapsed="false">
      <c r="B63" s="52" t="s">
        <v>742</v>
      </c>
      <c r="C63" s="52" t="n">
        <f aca="false">'Metric Registry'!E36</f>
        <v>1</v>
      </c>
      <c r="D63" s="52" t="n">
        <v>18</v>
      </c>
      <c r="E63" s="52" t="n">
        <f aca="false">C63-D63</f>
        <v>-17</v>
      </c>
      <c r="F63" s="52" t="str">
        <f aca="false">IF(ABS(E63)&lt;=1,"TIES",IF(ABS(E63)&lt;=ABS(D63)*0.05,"WITHIN","OFF"))</f>
        <v>OFF</v>
      </c>
      <c r="G63" s="52" t="s">
        <v>782</v>
      </c>
      <c r="H63" s="51"/>
      <c r="I63" s="51"/>
    </row>
    <row r="64" customFormat="false" ht="15" hidden="false" customHeight="false" outlineLevel="0" collapsed="false">
      <c r="B64" s="51"/>
      <c r="C64" s="51"/>
      <c r="D64" s="51"/>
      <c r="E64" s="51"/>
      <c r="F64" s="51"/>
      <c r="G64" s="51"/>
      <c r="H64" s="51"/>
      <c r="I64" s="51"/>
    </row>
    <row r="65" customFormat="false" ht="15" hidden="false" customHeight="false" outlineLevel="0" collapsed="false">
      <c r="B65" s="51"/>
      <c r="C65" s="51"/>
      <c r="D65" s="51"/>
      <c r="E65" s="51"/>
      <c r="F65" s="51"/>
      <c r="G65" s="51"/>
      <c r="H65" s="51"/>
      <c r="I65" s="51"/>
    </row>
    <row r="66" customFormat="false" ht="15" hidden="false" customHeight="false" outlineLevel="0" collapsed="false">
      <c r="B66" s="56" t="s">
        <v>64</v>
      </c>
      <c r="C66" s="57"/>
      <c r="D66" s="57"/>
      <c r="E66" s="57"/>
      <c r="F66" s="57"/>
      <c r="G66" s="57"/>
      <c r="H66" s="51"/>
      <c r="I66" s="51"/>
    </row>
    <row r="67" customFormat="false" ht="15" hidden="false" customHeight="false" outlineLevel="0" collapsed="false">
      <c r="B67" s="58" t="s">
        <v>783</v>
      </c>
      <c r="C67" s="51"/>
      <c r="D67" s="51"/>
      <c r="E67" s="51"/>
      <c r="F67" s="51"/>
      <c r="G67" s="51"/>
      <c r="H67" s="51"/>
      <c r="I67" s="51"/>
    </row>
    <row r="68" customFormat="false" ht="15" hidden="false" customHeight="false" outlineLevel="0" collapsed="false">
      <c r="B68" s="58" t="s">
        <v>784</v>
      </c>
      <c r="C68" s="51"/>
      <c r="D68" s="51"/>
      <c r="E68" s="51"/>
      <c r="F68" s="51"/>
      <c r="G68" s="51"/>
      <c r="H68" s="51"/>
      <c r="I68" s="51"/>
    </row>
    <row r="69" customFormat="false" ht="15" hidden="false" customHeight="false" outlineLevel="0" collapsed="false">
      <c r="B69" s="58" t="s">
        <v>785</v>
      </c>
      <c r="C69" s="51"/>
      <c r="D69" s="51"/>
      <c r="E69" s="51"/>
      <c r="F69" s="51"/>
      <c r="G69" s="51"/>
      <c r="H69" s="51"/>
      <c r="I69" s="51"/>
    </row>
    <row r="70" customFormat="false" ht="15" hidden="false" customHeight="false" outlineLevel="0" collapsed="false">
      <c r="B70" s="59" t="s">
        <v>786</v>
      </c>
    </row>
    <row r="71" customFormat="false" ht="15" hidden="false" customHeight="false" outlineLevel="0" collapsed="false">
      <c r="B71" s="59" t="s">
        <v>787</v>
      </c>
    </row>
    <row r="72" customFormat="false" ht="15" hidden="false" customHeight="false" outlineLevel="0" collapsed="false">
      <c r="B72" s="59" t="s">
        <v>788</v>
      </c>
    </row>
    <row r="73" customFormat="false" ht="15" hidden="false" customHeight="false" outlineLevel="0" collapsed="false">
      <c r="B73" s="59" t="s">
        <v>789</v>
      </c>
    </row>
    <row r="74" customFormat="false" ht="15" hidden="false" customHeight="false" outlineLevel="0" collapsed="false">
      <c r="B74" s="59" t="s">
        <v>790</v>
      </c>
    </row>
  </sheetData>
  <mergeCells count="19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0" t="s">
        <v>791</v>
      </c>
      <c r="B1" s="60"/>
      <c r="C1" s="60"/>
      <c r="D1" s="60"/>
      <c r="E1" s="60"/>
      <c r="F1" s="60"/>
      <c r="G1" s="60"/>
    </row>
    <row r="3" customFormat="false" ht="15" hidden="false" customHeight="true" outlineLevel="0" collapsed="false">
      <c r="A3" s="61" t="s">
        <v>792</v>
      </c>
      <c r="B3" s="62" t="n">
        <v>21</v>
      </c>
      <c r="D3" s="61" t="s">
        <v>793</v>
      </c>
      <c r="E3" s="62" t="s">
        <v>157</v>
      </c>
    </row>
    <row r="4" customFormat="false" ht="15" hidden="false" customHeight="true" outlineLevel="0" collapsed="false">
      <c r="A4" s="61" t="s">
        <v>794</v>
      </c>
      <c r="B4" s="62" t="n">
        <v>280</v>
      </c>
      <c r="D4" s="61" t="s">
        <v>795</v>
      </c>
      <c r="E4" s="63" t="n">
        <f aca="false">296412.3/436423.47</f>
        <v>0.679185058493761</v>
      </c>
    </row>
    <row r="5" customFormat="false" ht="15" hidden="false" customHeight="true" outlineLevel="0" collapsed="false">
      <c r="A5" s="61" t="s">
        <v>796</v>
      </c>
      <c r="B5" s="64" t="n">
        <v>436423.47</v>
      </c>
      <c r="D5" s="61" t="s">
        <v>797</v>
      </c>
      <c r="E5" s="65" t="s">
        <v>798</v>
      </c>
    </row>
    <row r="6" customFormat="false" ht="15" hidden="false" customHeight="true" outlineLevel="0" collapsed="false">
      <c r="A6" s="61" t="s">
        <v>799</v>
      </c>
      <c r="B6" s="66" t="n">
        <f aca="false">B5/B4</f>
        <v>1558.65525</v>
      </c>
    </row>
    <row r="8" customFormat="false" ht="19.5" hidden="false" customHeight="true" outlineLevel="0" collapsed="false">
      <c r="A8" s="67" t="s">
        <v>800</v>
      </c>
      <c r="B8" s="67" t="s">
        <v>152</v>
      </c>
      <c r="C8" s="67" t="s">
        <v>801</v>
      </c>
      <c r="D8" s="67" t="s">
        <v>794</v>
      </c>
      <c r="E8" s="67" t="s">
        <v>154</v>
      </c>
      <c r="F8" s="67" t="s">
        <v>155</v>
      </c>
      <c r="G8" s="67" t="s">
        <v>802</v>
      </c>
    </row>
    <row r="9" customFormat="false" ht="15" hidden="false" customHeight="true" outlineLevel="0" collapsed="false">
      <c r="A9" s="68" t="n">
        <v>1</v>
      </c>
      <c r="B9" s="69" t="s">
        <v>157</v>
      </c>
      <c r="C9" s="68"/>
      <c r="D9" s="68" t="n">
        <v>82</v>
      </c>
      <c r="E9" s="70" t="n">
        <v>121504.28</v>
      </c>
      <c r="F9" s="71" t="n">
        <f aca="false">E9/E$30</f>
        <v>0.278409133220998</v>
      </c>
      <c r="G9" s="72" t="n">
        <f aca="false">E9/D9</f>
        <v>1481.75951219512</v>
      </c>
    </row>
    <row r="10" customFormat="false" ht="15" hidden="false" customHeight="true" outlineLevel="0" collapsed="false">
      <c r="A10" s="68" t="n">
        <v>2</v>
      </c>
      <c r="B10" s="69" t="s">
        <v>158</v>
      </c>
      <c r="C10" s="68"/>
      <c r="D10" s="68" t="n">
        <v>77</v>
      </c>
      <c r="E10" s="70" t="n">
        <v>98623.69</v>
      </c>
      <c r="F10" s="71" t="n">
        <f aca="false">E10/E$30</f>
        <v>0.225981636597134</v>
      </c>
      <c r="G10" s="72" t="n">
        <f aca="false">E10/D10</f>
        <v>1280.82714285714</v>
      </c>
    </row>
    <row r="11" customFormat="false" ht="15" hidden="false" customHeight="true" outlineLevel="0" collapsed="false">
      <c r="A11" s="68" t="n">
        <v>3</v>
      </c>
      <c r="B11" s="69" t="s">
        <v>159</v>
      </c>
      <c r="C11" s="68"/>
      <c r="D11" s="68" t="n">
        <v>52</v>
      </c>
      <c r="E11" s="70" t="n">
        <v>76284.33</v>
      </c>
      <c r="F11" s="71" t="n">
        <f aca="false">E11/E$30</f>
        <v>0.17479428867563</v>
      </c>
      <c r="G11" s="72" t="n">
        <f aca="false">E11/D11</f>
        <v>1467.00634615385</v>
      </c>
    </row>
    <row r="12" customFormat="false" ht="15" hidden="false" customHeight="true" outlineLevel="0" collapsed="false">
      <c r="A12" s="73" t="n">
        <v>4</v>
      </c>
      <c r="B12" s="74" t="s">
        <v>160</v>
      </c>
      <c r="C12" s="73"/>
      <c r="D12" s="73" t="n">
        <v>8</v>
      </c>
      <c r="E12" s="75" t="n">
        <v>53259.5</v>
      </c>
      <c r="F12" s="76" t="n">
        <f aca="false">E12/E$30</f>
        <v>0.122036287370154</v>
      </c>
      <c r="G12" s="77" t="n">
        <f aca="false">E12/D12</f>
        <v>6657.4375</v>
      </c>
    </row>
    <row r="13" customFormat="false" ht="15" hidden="false" customHeight="true" outlineLevel="0" collapsed="false">
      <c r="A13" s="78" t="n">
        <v>5</v>
      </c>
      <c r="B13" s="79" t="s">
        <v>161</v>
      </c>
      <c r="C13" s="78"/>
      <c r="D13" s="78" t="n">
        <v>3</v>
      </c>
      <c r="E13" s="80" t="n">
        <v>34858.54</v>
      </c>
      <c r="F13" s="81" t="n">
        <f aca="false">E13/E$30</f>
        <v>0.0798732020530427</v>
      </c>
      <c r="G13" s="82" t="n">
        <f aca="false">E13/D13</f>
        <v>11619.5133333333</v>
      </c>
    </row>
    <row r="14" customFormat="false" ht="15" hidden="false" customHeight="true" outlineLevel="0" collapsed="false">
      <c r="A14" s="73" t="n">
        <v>6</v>
      </c>
      <c r="B14" s="74" t="s">
        <v>162</v>
      </c>
      <c r="C14" s="73"/>
      <c r="D14" s="73" t="n">
        <v>2</v>
      </c>
      <c r="E14" s="75" t="n">
        <v>21294</v>
      </c>
      <c r="F14" s="76" t="n">
        <f aca="false">E14/E$30</f>
        <v>0.0487920596937649</v>
      </c>
      <c r="G14" s="77" t="n">
        <f aca="false">E14/D14</f>
        <v>10647</v>
      </c>
    </row>
    <row r="15" customFormat="false" ht="15" hidden="false" customHeight="true" outlineLevel="0" collapsed="false">
      <c r="A15" s="78" t="n">
        <v>7</v>
      </c>
      <c r="B15" s="79" t="s">
        <v>163</v>
      </c>
      <c r="C15" s="78"/>
      <c r="D15" s="78" t="n">
        <v>5</v>
      </c>
      <c r="E15" s="80" t="n">
        <v>8886</v>
      </c>
      <c r="F15" s="81" t="n">
        <f aca="false">E15/E$30</f>
        <v>0.0203609581308723</v>
      </c>
      <c r="G15" s="82" t="n">
        <f aca="false">E15/D15</f>
        <v>1777.2</v>
      </c>
    </row>
    <row r="16" customFormat="false" ht="15" hidden="false" customHeight="true" outlineLevel="0" collapsed="false">
      <c r="A16" s="73" t="n">
        <v>8</v>
      </c>
      <c r="B16" s="74" t="s">
        <v>164</v>
      </c>
      <c r="C16" s="73"/>
      <c r="D16" s="73" t="n">
        <v>6</v>
      </c>
      <c r="E16" s="75" t="n">
        <v>4652.03</v>
      </c>
      <c r="F16" s="76" t="n">
        <f aca="false">E16/E$30</f>
        <v>0.0106594404741798</v>
      </c>
      <c r="G16" s="77" t="n">
        <f aca="false">E16/D16</f>
        <v>775.338333333333</v>
      </c>
    </row>
    <row r="17" customFormat="false" ht="15" hidden="false" customHeight="true" outlineLevel="0" collapsed="false">
      <c r="A17" s="78" t="n">
        <v>9</v>
      </c>
      <c r="B17" s="79" t="s">
        <v>165</v>
      </c>
      <c r="C17" s="78"/>
      <c r="D17" s="78" t="n">
        <v>5</v>
      </c>
      <c r="E17" s="80" t="n">
        <v>4401</v>
      </c>
      <c r="F17" s="81" t="n">
        <f aca="false">E17/E$30</f>
        <v>0.0100842422613064</v>
      </c>
      <c r="G17" s="82" t="n">
        <f aca="false">E17/D17</f>
        <v>880.2</v>
      </c>
    </row>
    <row r="18" customFormat="false" ht="15" hidden="false" customHeight="true" outlineLevel="0" collapsed="false">
      <c r="A18" s="73" t="n">
        <v>10</v>
      </c>
      <c r="B18" s="74" t="s">
        <v>166</v>
      </c>
      <c r="C18" s="73"/>
      <c r="D18" s="73" t="n">
        <v>4</v>
      </c>
      <c r="E18" s="75" t="n">
        <v>3386</v>
      </c>
      <c r="F18" s="76" t="n">
        <f aca="false">E18/E$30</f>
        <v>0.00775851949483835</v>
      </c>
      <c r="G18" s="77" t="n">
        <f aca="false">E18/D18</f>
        <v>846.5</v>
      </c>
    </row>
    <row r="19" customFormat="false" ht="15" hidden="false" customHeight="true" outlineLevel="0" collapsed="false">
      <c r="A19" s="78" t="n">
        <v>11</v>
      </c>
      <c r="B19" s="79" t="s">
        <v>167</v>
      </c>
      <c r="C19" s="78"/>
      <c r="D19" s="78" t="n">
        <v>4</v>
      </c>
      <c r="E19" s="80" t="n">
        <v>1442.8</v>
      </c>
      <c r="F19" s="81" t="n">
        <f aca="false">E19/E$30</f>
        <v>0.00330596335710359</v>
      </c>
      <c r="G19" s="82" t="n">
        <f aca="false">E19/D19</f>
        <v>360.7</v>
      </c>
    </row>
    <row r="20" customFormat="false" ht="15" hidden="false" customHeight="true" outlineLevel="0" collapsed="false">
      <c r="A20" s="73" t="n">
        <v>12</v>
      </c>
      <c r="B20" s="74" t="s">
        <v>168</v>
      </c>
      <c r="C20" s="73"/>
      <c r="D20" s="73" t="n">
        <v>5</v>
      </c>
      <c r="E20" s="75" t="n">
        <v>1311.2</v>
      </c>
      <c r="F20" s="76" t="n">
        <f aca="false">E20/E$30</f>
        <v>0.00300442137083049</v>
      </c>
      <c r="G20" s="77" t="n">
        <f aca="false">E20/D20</f>
        <v>262.24</v>
      </c>
    </row>
    <row r="21" customFormat="false" ht="15" hidden="false" customHeight="true" outlineLevel="0" collapsed="false">
      <c r="A21" s="78" t="n">
        <v>13</v>
      </c>
      <c r="B21" s="79" t="s">
        <v>169</v>
      </c>
      <c r="C21" s="78"/>
      <c r="D21" s="78" t="n">
        <v>3</v>
      </c>
      <c r="E21" s="80" t="n">
        <v>1290.12</v>
      </c>
      <c r="F21" s="81" t="n">
        <f aca="false">E21/E$30</f>
        <v>0.00295611966056729</v>
      </c>
      <c r="G21" s="82" t="n">
        <f aca="false">E21/D21</f>
        <v>430.04</v>
      </c>
    </row>
    <row r="22" customFormat="false" ht="15" hidden="false" customHeight="true" outlineLevel="0" collapsed="false">
      <c r="A22" s="73" t="n">
        <v>14</v>
      </c>
      <c r="B22" s="74" t="s">
        <v>170</v>
      </c>
      <c r="C22" s="73"/>
      <c r="D22" s="73" t="n">
        <v>4</v>
      </c>
      <c r="E22" s="75" t="n">
        <v>1260.54</v>
      </c>
      <c r="F22" s="76" t="n">
        <f aca="false">E22/E$30</f>
        <v>0.00288834145423022</v>
      </c>
      <c r="G22" s="77" t="n">
        <f aca="false">E22/D22</f>
        <v>315.135</v>
      </c>
    </row>
    <row r="23" customFormat="false" ht="15" hidden="false" customHeight="true" outlineLevel="0" collapsed="false">
      <c r="A23" s="78" t="n">
        <v>15</v>
      </c>
      <c r="B23" s="79" t="s">
        <v>171</v>
      </c>
      <c r="C23" s="78"/>
      <c r="D23" s="78" t="n">
        <v>3</v>
      </c>
      <c r="E23" s="80" t="n">
        <v>891.82</v>
      </c>
      <c r="F23" s="81" t="n">
        <f aca="false">E23/E$30</f>
        <v>0.00204347396807051</v>
      </c>
      <c r="G23" s="82" t="n">
        <f aca="false">E23/D23</f>
        <v>297.273333333333</v>
      </c>
    </row>
    <row r="24" customFormat="false" ht="15" hidden="false" customHeight="true" outlineLevel="0" collapsed="false">
      <c r="A24" s="73" t="n">
        <v>16</v>
      </c>
      <c r="B24" s="74" t="s">
        <v>172</v>
      </c>
      <c r="C24" s="73"/>
      <c r="D24" s="73" t="n">
        <v>3</v>
      </c>
      <c r="E24" s="75" t="n">
        <v>759.6</v>
      </c>
      <c r="F24" s="76" t="n">
        <f aca="false">E24/E$30</f>
        <v>0.00174051134326025</v>
      </c>
      <c r="G24" s="77" t="n">
        <f aca="false">E24/D24</f>
        <v>253.2</v>
      </c>
    </row>
    <row r="25" customFormat="false" ht="15" hidden="false" customHeight="true" outlineLevel="0" collapsed="false">
      <c r="A25" s="78" t="n">
        <v>17</v>
      </c>
      <c r="B25" s="79" t="s">
        <v>173</v>
      </c>
      <c r="C25" s="78"/>
      <c r="D25" s="78" t="n">
        <v>4</v>
      </c>
      <c r="E25" s="80" t="n">
        <v>725.12</v>
      </c>
      <c r="F25" s="81" t="n">
        <f aca="false">E25/E$30</f>
        <v>0.00166150550977471</v>
      </c>
      <c r="G25" s="82" t="n">
        <f aca="false">E25/D25</f>
        <v>181.28</v>
      </c>
    </row>
    <row r="26" customFormat="false" ht="15" hidden="false" customHeight="true" outlineLevel="0" collapsed="false">
      <c r="A26" s="73" t="n">
        <v>18</v>
      </c>
      <c r="B26" s="74" t="s">
        <v>174</v>
      </c>
      <c r="C26" s="73"/>
      <c r="D26" s="73" t="n">
        <v>2</v>
      </c>
      <c r="E26" s="75" t="n">
        <v>713.58</v>
      </c>
      <c r="F26" s="76" t="n">
        <f aca="false">E26/E$30</f>
        <v>0.00163506330216384</v>
      </c>
      <c r="G26" s="77" t="n">
        <f aca="false">E26/D26</f>
        <v>356.79</v>
      </c>
    </row>
    <row r="27" customFormat="false" ht="15" hidden="false" customHeight="true" outlineLevel="0" collapsed="false">
      <c r="A27" s="78" t="n">
        <v>19</v>
      </c>
      <c r="B27" s="79" t="s">
        <v>175</v>
      </c>
      <c r="C27" s="78"/>
      <c r="D27" s="78" t="n">
        <v>2</v>
      </c>
      <c r="E27" s="80" t="n">
        <v>576.57</v>
      </c>
      <c r="F27" s="81" t="n">
        <f aca="false">E27/E$30</f>
        <v>0.00132112509897783</v>
      </c>
      <c r="G27" s="82" t="n">
        <f aca="false">E27/D27</f>
        <v>288.285</v>
      </c>
    </row>
    <row r="28" customFormat="false" ht="15" hidden="false" customHeight="true" outlineLevel="0" collapsed="false">
      <c r="A28" s="73" t="n">
        <v>20</v>
      </c>
      <c r="B28" s="74" t="s">
        <v>176</v>
      </c>
      <c r="C28" s="73"/>
      <c r="D28" s="73" t="n">
        <v>5</v>
      </c>
      <c r="E28" s="75" t="n">
        <v>202.75</v>
      </c>
      <c r="F28" s="76" t="n">
        <f aca="false">E28/E$30</f>
        <v>0.000464571715173797</v>
      </c>
      <c r="G28" s="77" t="n">
        <f aca="false">E28/D28</f>
        <v>40.55</v>
      </c>
    </row>
    <row r="29" customFormat="false" ht="15" hidden="false" customHeight="true" outlineLevel="0" collapsed="false">
      <c r="A29" s="78" t="n">
        <v>21</v>
      </c>
      <c r="B29" s="79" t="s">
        <v>177</v>
      </c>
      <c r="C29" s="78"/>
      <c r="D29" s="78" t="n">
        <v>1</v>
      </c>
      <c r="E29" s="80" t="n">
        <v>100</v>
      </c>
      <c r="F29" s="81" t="n">
        <f aca="false">E29/E$30</f>
        <v>0.00022913524792789</v>
      </c>
      <c r="G29" s="82" t="n">
        <f aca="false">E29/D29</f>
        <v>100</v>
      </c>
    </row>
    <row r="30" customFormat="false" ht="15" hidden="false" customHeight="true" outlineLevel="0" collapsed="false">
      <c r="A30" s="83"/>
      <c r="B30" s="84" t="s">
        <v>38</v>
      </c>
      <c r="C30" s="83"/>
      <c r="D30" s="85" t="n">
        <f aca="false">SUM(D9:D29)</f>
        <v>280</v>
      </c>
      <c r="E30" s="86" t="n">
        <f aca="false">SUM(E9:E29)</f>
        <v>436423.47</v>
      </c>
      <c r="F30" s="87" t="n">
        <f aca="false">SUM(F9:F29)</f>
        <v>1</v>
      </c>
      <c r="G30" s="86" t="n">
        <f aca="false">E30/D30</f>
        <v>1558.65525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2026-04-10T14:36:16Z</dcterms:created>
  <dc:creator>openpyxl</dc:creator>
  <dc:description/>
  <dc:language>en-US</dc:language>
  <cp:lastModifiedBy/>
  <dcterms:modified xsi:type="dcterms:W3CDTF">2026-04-13T21:09:35Z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