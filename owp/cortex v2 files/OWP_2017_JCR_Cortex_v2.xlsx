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<sst xmlns="http://schemas.openxmlformats.org/spreadsheetml/2006/main" count="1484" uniqueCount="782">
  <si>
    <t xml:space="preserve">Job #2017 · Exxel Pacific 3636 Stone Way Apartments</t>
  </si>
  <si>
    <t xml:space="preserve">Cortex JCR Summary  •  Exxel Pacific, Inc.  •  Seattle, WA (3636 Stone Way N)  •  119-unit 4-story mixed-use apartments + ground-floor retail  •  Feb 2014 – May 2015 (~16 months)</t>
  </si>
  <si>
    <t xml:space="preserve">PROJECT OVERVIEW</t>
  </si>
  <si>
    <t xml:space="preserve">Project Job #</t>
  </si>
  <si>
    <t xml:space="preserve">2017</t>
  </si>
  <si>
    <t xml:space="preserve">Project Name:</t>
  </si>
  <si>
    <t xml:space="preserve">Exxel Pacific 3636 Stone Way Apartments</t>
  </si>
  <si>
    <t xml:space="preserve">General Contractor</t>
  </si>
  <si>
    <t xml:space="preserve">Exxel Pacific, Inc.</t>
  </si>
  <si>
    <t xml:space="preserve">Location</t>
  </si>
  <si>
    <t xml:space="preserve">Seattle, WA (3636 Stone Way N)</t>
  </si>
  <si>
    <t xml:space="preserve">Project Duration</t>
  </si>
  <si>
    <t xml:space="preserve">Feb 2014 – May 2015 (~16 months)</t>
  </si>
  <si>
    <t xml:space="preserve">Total Unique Documents</t>
  </si>
  <si>
    <t xml:space="preserve">36 Stone folder: Contract, Stoneway billing (14 apps), PO_s, COs, Job Ticket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</si>
  <si>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</si>
  <si>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</si>
  <si>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</si>
  <si>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</si>
  <si>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$1,369,989</t>
  </si>
  <si>
    <t xml:space="preserve">$510,805</t>
  </si>
  <si>
    <t xml:space="preserve">$859,184</t>
  </si>
  <si>
    <t xml:space="preserve">14,822</t>
  </si>
  <si>
    <t xml:space="preserve">Original $1,373,148 net COs -$3,159</t>
  </si>
  <si>
    <t xml:space="preserve">37.3% margin</t>
  </si>
  <si>
    <t xml:space="preserve">62.7% of revenue</t>
  </si>
  <si>
    <t xml:space="preserve">45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</si>
  <si>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</si>
  <si>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</si>
  <si>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</si>
  <si>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</si>
  <si>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</si>
  <si>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</si>
  <si>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</si>
  <si>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</si>
  <si>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</si>
  <si>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</si>
  <si>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</si>
  <si>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</si>
  <si>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</si>
  <si>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</si>
  <si>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</si>
  <si>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</si>
  <si>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119</t>
  </si>
  <si>
    <t xml:space="preserve">Water Closets</t>
  </si>
  <si>
    <t xml:space="preserve">122</t>
  </si>
  <si>
    <t xml:space="preserve">Kitchen Sinks</t>
  </si>
  <si>
    <t xml:space="preserve">Total Fixtures</t>
  </si>
  <si>
    <t xml:space="preserve">801</t>
  </si>
  <si>
    <t xml:space="preserve">Lavatories</t>
  </si>
  <si>
    <t xml:space="preserve">137</t>
  </si>
  <si>
    <t xml:space="preserve">Dishwashers</t>
  </si>
  <si>
    <t xml:space="preserve">Fixtures / Unit</t>
  </si>
  <si>
    <t xml:space="preserve">6.73</t>
  </si>
  <si>
    <t xml:space="preserve">Tubs/Showers</t>
  </si>
  <si>
    <t xml:space="preserve">Auto Washers</t>
  </si>
  <si>
    <t xml:space="preserve">Floors</t>
  </si>
  <si>
    <t xml:space="preserve">4 + P1</t>
  </si>
  <si>
    <t xml:space="preserve">Common-area bldg systems</t>
  </si>
  <si>
    <t xml:space="preserve">Garage HB, water rm, gas</t>
  </si>
  <si>
    <t xml:space="preserve">Duration</t>
  </si>
  <si>
    <t xml:space="preserve">16 mo</t>
  </si>
  <si>
    <t xml:space="preserve">SOURCES</t>
  </si>
  <si>
    <t xml:space="preserve">Job #2017 — Exxel Pacific 3636 Stone Way Apartments  •  GC: Exxel Pacific, Inc.  •  Seattle, WA</t>
  </si>
  <si>
    <t xml:space="preserve">Canonical source: 2017 Job Detail Report.pdf (124 pages, OWP Sage Timberline export)</t>
  </si>
  <si>
    <t xml:space="preserve">Cost codes parsed: 27 (Labor+Material+Overhead+Burden+Revenue)</t>
  </si>
  <si>
    <t xml:space="preserve">Unit count: 119 from Job Ticket (119 DWs, 119 washers)</t>
  </si>
  <si>
    <t xml:space="preserve">Fixture count: Toto WCs 122, Grohe lavs 137, Aquatic tubs 122, Lenova/Elkay sinks 119 + common area</t>
  </si>
  <si>
    <t xml:space="preserve">Billing: 36 STONE AGGREGATE BILLING.xlsx (14 pay apps, Feb 2014 – May 2015)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</si>
  <si>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</si>
  <si>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</si>
  <si>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</si>
  <si>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</si>
  <si>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</si>
  <si>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</si>
  <si>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</si>
  <si>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</si>
  <si>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</si>
  <si>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</si>
  <si>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</si>
  <si>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</si>
  <si>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</si>
  <si>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</si>
  <si>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</si>
  <si>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</si>
  <si>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</si>
  <si>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</si>
  <si>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</si>
  <si>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</si>
  <si>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</si>
  <si>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</si>
  <si>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</si>
  <si>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</si>
  <si>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</si>
  <si>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</si>
  <si>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</si>
  <si>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</si>
  <si>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</si>
  <si>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</si>
  <si>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</si>
  <si>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</si>
  <si>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</si>
  <si>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</si>
  <si>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</si>
  <si>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</si>
  <si>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</si>
  <si>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</si>
  <si>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</si>
  <si>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</si>
  <si>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</si>
  <si>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</si>
  <si>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</si>
  <si>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</si>
  <si>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</si>
  <si>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</si>
  <si>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</si>
  <si>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</si>
  <si>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</si>
  <si>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</si>
  <si>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</si>
  <si>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</si>
  <si>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</si>
  <si>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</si>
  <si>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</si>
  <si>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</si>
  <si>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</si>
  <si>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</si>
  <si>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</si>
  <si>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</si>
  <si>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</si>
  <si>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</si>
  <si>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</si>
  <si>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</si>
  <si>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</si>
  <si>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</si>
  <si>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</si>
  <si>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</si>
  <si>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</si>
  <si>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</si>
  <si>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</si>
  <si>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</si>
  <si>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</si>
  <si>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</si>
  <si>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$378,314 JDR material  •  20 AP vendors  •  $458,376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</si>
  <si>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</si>
  <si>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</si>
  <si>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</si>
  <si>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</si>
  <si>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</si>
  <si>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</si>
  <si>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</si>
  <si>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</si>
  <si>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</si>
  <si>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Consolidated Supply Co.</t>
  </si>
  <si>
    <t xml:space="preserve">Rosen Supply Company, Inc.</t>
  </si>
  <si>
    <t xml:space="preserve">Ferguson Enterprises, Inc.</t>
  </si>
  <si>
    <t xml:space="preserve">Franklin Engineering</t>
  </si>
  <si>
    <t xml:space="preserve">Duraseal, Inc.</t>
  </si>
  <si>
    <t xml:space="preserve">Keller Supply Company</t>
  </si>
  <si>
    <t xml:space="preserve">Bank of America CC</t>
  </si>
  <si>
    <t xml:space="preserve">Quality Concrete Products, Inc.</t>
  </si>
  <si>
    <t xml:space="preserve">Rosen Supply Kirkland</t>
  </si>
  <si>
    <t xml:space="preserve">Mechanical Sales, Inc.</t>
  </si>
  <si>
    <t xml:space="preserve">Manor Hardware &amp; Construction Supply</t>
  </si>
  <si>
    <t xml:space="preserve">Cascade Restoration Co.</t>
  </si>
  <si>
    <t xml:space="preserve">Kele, Inc</t>
  </si>
  <si>
    <t xml:space="preserve">Core &amp; Main LP</t>
  </si>
  <si>
    <t xml:space="preserve">Ferguson Enterprises, Inc. #3007</t>
  </si>
  <si>
    <t xml:space="preserve">C.M. Hoskins Company</t>
  </si>
  <si>
    <t xml:space="preserve">Structural Imaging, LLC</t>
  </si>
  <si>
    <t xml:space="preserve">Fastenal Company</t>
  </si>
  <si>
    <t xml:space="preserve">R.A. Brown Backflow Testing</t>
  </si>
  <si>
    <t xml:space="preserve">Capital One Credit Card</t>
  </si>
  <si>
    <t xml:space="preserve">Vendor AP ties to JDR 'by Source: AP' line (458,376.37)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</si>
  <si>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</si>
  <si>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</si>
  <si>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</si>
  <si>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</si>
  <si>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</si>
  <si>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</si>
  <si>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Gonzalez Hernandez, Josue</t>
  </si>
  <si>
    <t xml:space="preserve">Apprentice</t>
  </si>
  <si>
    <t xml:space="preserve">Montenegro, Carlos E</t>
  </si>
  <si>
    <t xml:space="preserve">Castro Hernandez, Carlos E</t>
  </si>
  <si>
    <t xml:space="preserve">Mid</t>
  </si>
  <si>
    <t xml:space="preserve">Reyes Cruz, Denis A</t>
  </si>
  <si>
    <t xml:space="preserve">Quintanilla, Esteban R</t>
  </si>
  <si>
    <t xml:space="preserve">Senior</t>
  </si>
  <si>
    <t xml:space="preserve">Lima Romero, Melvin A</t>
  </si>
  <si>
    <t xml:space="preserve">Rivera, Jorge A</t>
  </si>
  <si>
    <t xml:space="preserve">Esparza Jimenez, Jose D</t>
  </si>
  <si>
    <t xml:space="preserve">Castro Hernandez, Jose A</t>
  </si>
  <si>
    <t xml:space="preserve">Reyes, Robert J</t>
  </si>
  <si>
    <t xml:space="preserve">Ramirez, Lorenzo A</t>
  </si>
  <si>
    <t xml:space="preserve">Soto Cruz, Jovani</t>
  </si>
  <si>
    <t xml:space="preserve">Monico Brambila, Jesus S</t>
  </si>
  <si>
    <t xml:space="preserve">Ramos Banegas, Noel O</t>
  </si>
  <si>
    <t xml:space="preserve">Sepulveda Gonzalez, Alfredo</t>
  </si>
  <si>
    <t xml:space="preserve">Rivera, Eli P</t>
  </si>
  <si>
    <t xml:space="preserve">Castaneda Martinez, Gustavo</t>
  </si>
  <si>
    <t xml:space="preserve">Gerard, Jeffrey S</t>
  </si>
  <si>
    <t xml:space="preserve">Anzora, William</t>
  </si>
  <si>
    <t xml:space="preserve">Kinssies, Jr, John E</t>
  </si>
  <si>
    <t xml:space="preserve">Salazar, Hajdar L</t>
  </si>
  <si>
    <t xml:space="preserve">Castaneda Juarez, Edgar D</t>
  </si>
  <si>
    <t xml:space="preserve">Sanders, Allen O</t>
  </si>
  <si>
    <t xml:space="preserve">Vaughan, Tyler J</t>
  </si>
  <si>
    <t xml:space="preserve">Anderson, Richard P</t>
  </si>
  <si>
    <t xml:space="preserve">Rico-Gomez, Angel A</t>
  </si>
  <si>
    <t xml:space="preserve">Castaneda Juarez, Gustavo</t>
  </si>
  <si>
    <t xml:space="preserve">Veley, Nathaniel S</t>
  </si>
  <si>
    <t xml:space="preserve">Rodriguez Bonilla, Lisandro</t>
  </si>
  <si>
    <t xml:space="preserve">Gerard, Mitchell J</t>
  </si>
  <si>
    <t xml:space="preserve">Paco Leyva, Orlando</t>
  </si>
  <si>
    <t xml:space="preserve">Donelson, Richard T</t>
  </si>
  <si>
    <t xml:space="preserve">Meza Fuentes, Erick A</t>
  </si>
  <si>
    <t xml:space="preserve">Palma Vides, Hugo</t>
  </si>
  <si>
    <t xml:space="preserve">Amaya Gonzalez, Edilberto A</t>
  </si>
  <si>
    <t xml:space="preserve">Arreola, Israel A</t>
  </si>
  <si>
    <t xml:space="preserve">Garcia, Jordan X</t>
  </si>
  <si>
    <t xml:space="preserve">Hubbard, Dustin R</t>
  </si>
  <si>
    <t xml:space="preserve">Nishiyama, Joshua K</t>
  </si>
  <si>
    <t xml:space="preserve">Rodriguez Rodriguez, Aminadab N</t>
  </si>
  <si>
    <t xml:space="preserve">Ascencio, Jose L</t>
  </si>
  <si>
    <t xml:space="preserve">Cruz Reyes, Jose</t>
  </si>
  <si>
    <t xml:space="preserve">McCabe, Thomas C</t>
  </si>
  <si>
    <t xml:space="preserve">Velasquez Cruz, Denis M</t>
  </si>
  <si>
    <t xml:space="preserve">Barnhart, Joseph N</t>
  </si>
  <si>
    <t xml:space="preserve">TOTAL (45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</si>
  <si>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</si>
  <si>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</si>
  <si>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</si>
  <si>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</si>
  <si>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</si>
  <si>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</si>
  <si>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</si>
  <si>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</si>
  <si>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</si>
  <si>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</si>
  <si>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</si>
  <si>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</si>
  <si>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</si>
  <si>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</si>
  <si>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</si>
  <si>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</si>
  <si>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</si>
  <si>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</si>
  <si>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</si>
  <si>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</si>
  <si>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</si>
  <si>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</si>
  <si>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</si>
  <si>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</si>
  <si>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</si>
  <si>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</si>
  <si>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</si>
  <si>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</si>
  <si>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</si>
  <si>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</si>
  <si>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</si>
  <si>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</si>
  <si>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</si>
  <si>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</si>
  <si>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</si>
  <si>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</si>
  <si>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</si>
  <si>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</si>
  <si>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</si>
  <si>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</si>
  <si>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</si>
  <si>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</si>
  <si>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</si>
  <si>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</si>
  <si>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</si>
  <si>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</si>
  <si>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</si>
  <si>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</si>
  <si>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</si>
  <si>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</si>
  <si>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</si>
  <si>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</si>
  <si>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</si>
  <si>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</si>
  <si>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</si>
  <si>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</si>
  <si>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</si>
  <si>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142 unique POs  •  PO amounts not dollar-parsed from individual PDFs  •  JDR material $378,314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</si>
  <si>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</si>
  <si>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</si>
  <si>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</si>
  <si>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</si>
  <si>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</si>
  <si>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</si>
  <si>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</si>
  <si>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</si>
  <si>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</si>
  <si>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</si>
  <si>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</si>
  <si>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</si>
  <si>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</si>
  <si>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</si>
  <si>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</si>
  <si>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</si>
  <si>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</si>
  <si>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</si>
  <si>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</si>
  <si>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</si>
  <si>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</si>
  <si>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</si>
  <si>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CONSOLIDATED</t>
  </si>
  <si>
    <t xml:space="preserve">KELLER</t>
  </si>
  <si>
    <t xml:space="preserve">FEI</t>
  </si>
  <si>
    <t xml:space="preserve">MANOR</t>
  </si>
  <si>
    <t xml:space="preserve">FASTENAL</t>
  </si>
  <si>
    <t xml:space="preserve">SIOUX CHIEF</t>
  </si>
  <si>
    <t xml:space="preserve">PIKE</t>
  </si>
  <si>
    <t xml:space="preserve">MECH SALES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</si>
  <si>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</si>
  <si>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</si>
  <si>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</si>
  <si>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</si>
  <si>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</si>
  <si>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</si>
  <si>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</si>
  <si>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14 pay applications  •  Original $1,373,148 net -$3,159 COs = $1,369,989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</si>
  <si>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</si>
  <si>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</si>
  <si>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</si>
  <si>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</si>
  <si>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</si>
  <si>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</si>
  <si>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</si>
  <si>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</si>
  <si>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</si>
  <si>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</si>
  <si>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</si>
  <si>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</si>
  <si>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</si>
  <si>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</si>
  <si>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2014-02-20</t>
  </si>
  <si>
    <t xml:space="preserve">2014-04-20</t>
  </si>
  <si>
    <t xml:space="preserve">2014-05-20</t>
  </si>
  <si>
    <t xml:space="preserve">2014-06-20</t>
  </si>
  <si>
    <t xml:space="preserve">2014-07-20</t>
  </si>
  <si>
    <t xml:space="preserve">2014-08-20</t>
  </si>
  <si>
    <t xml:space="preserve">2014-09-18</t>
  </si>
  <si>
    <t xml:space="preserve">2014-10-20</t>
  </si>
  <si>
    <t xml:space="preserve">2014-11-17</t>
  </si>
  <si>
    <t xml:space="preserve">2014-12-15</t>
  </si>
  <si>
    <t xml:space="preserve">2015-01-20</t>
  </si>
  <si>
    <t xml:space="preserve">2015-02-20</t>
  </si>
  <si>
    <t xml:space="preserve">2015-03-19</t>
  </si>
  <si>
    <t xml:space="preserve">2015-05-19</t>
  </si>
  <si>
    <t xml:space="preserve">-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</si>
  <si>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</si>
  <si>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</si>
  <si>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</si>
  <si>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</si>
  <si>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</si>
  <si>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</si>
  <si>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#2017 Exxel Pacific 3636 Stone Way Apartments</t>
  </si>
  <si>
    <t xml:space="preserve">Narrative observations distilled from the full JDR analysis</t>
  </si>
  <si>
    <t xml:space="preserve">MARGIN PROFILE</t>
  </si>
  <si>
    <t xml:space="preserve">Net profit of $510,805 on $1,369,989 revenue = 37.3% gross margin. Direct cost $859,184 absorbs 62.7% of revenue.</t>
  </si>
  <si>
    <t xml:space="preserve">VENDOR CONCENTRATION</t>
  </si>
  <si>
    <t xml:space="preserve">Consolidated Supply Co. alone = $176,571 (39% of all AP) across 102 invoices. Total 20 AP vendors, $458,376 total AP spend.</t>
  </si>
  <si>
    <t xml:space="preserve">CREW PROFILE</t>
  </si>
  <si>
    <t xml:space="preserve">45 workers for 14,822 hours = 329 avg hrs/worker. Top 3 workers logged 3,644 hrs combined (25% of all labor).</t>
  </si>
  <si>
    <t xml:space="preserve">ROUGHIN DOMINANCE</t>
  </si>
  <si>
    <t xml:space="preserve">Code 120 Roughin Labor = 9,126 hrs (62% of all labor) and $173,313 actual. Code 230 Finish Material = $192,297 — 22% of total direct cost.</t>
  </si>
  <si>
    <t xml:space="preserve">BUDGET DELIVERY</t>
  </si>
  <si>
    <t xml:space="preserve">Revised budget was $956,998; actual direct cost $859,184 → $97,813 variance (10.2% under revised budget).</t>
  </si>
  <si>
    <t xml:space="preserve">CONTRACT GROWTH</t>
  </si>
  <si>
    <t xml:space="preserve">Contract grew from $1,373,148 to $1,369,989 — net +$-3,159 (-0.2%). Retainage of $68,499 (5%) withheld until closeout.</t>
  </si>
  <si>
    <t xml:space="preserve">BURDEN RATIO</t>
  </si>
  <si>
    <t xml:space="preserve">Burden codes 995 + 998 = $154,259 on $292,756 labor base = 52.7%. In line with OWP's typical 48–50% labor burden.</t>
  </si>
  <si>
    <t xml:space="preserve">PROJECT SCALE</t>
  </si>
  <si>
    <t xml:space="preserve">119 units · 801 fixtures · 16 months. Revenue/unit $11,513, hours/unit 124.6, profit/unit $4,292.</t>
  </si>
  <si>
    <t xml:space="preserve">PRODUCTIVITY</t>
  </si>
  <si>
    <t xml:space="preserve">Blended labor rate $19.75/hr. Revenue/hour $92. Profit/hour $34. 926 hrs/month burn rate.</t>
  </si>
  <si>
    <t xml:space="preserve">FIXTURE DENSITY</t>
  </si>
  <si>
    <t xml:space="preserve">801 fixtures ÷ 119 units = 6.73 fixtures/unit. Material/fixture $472, labor/fixture $365.</t>
  </si>
  <si>
    <t xml:space="preserve">BIGGEST QUESTION</t>
  </si>
  <si>
    <t xml:space="preserve">How does this job's 37.3%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</si>
  <si>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</si>
  <si>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</si>
  <si>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</si>
  <si>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</si>
  <si>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</si>
  <si>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</si>
  <si>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</si>
  <si>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</si>
  <si>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</si>
  <si>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</si>
  <si>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</si>
  <si>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</si>
  <si>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</si>
  <si>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</si>
  <si>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</si>
  <si>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</si>
  <si>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</si>
  <si>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</si>
  <si>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119-unit 4-story mixed-use apartments + ground-floor retail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</si>
  <si>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</si>
  <si>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</si>
  <si>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</si>
  <si>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</si>
  <si>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</si>
  <si>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</si>
  <si>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</si>
  <si>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</si>
  <si>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</si>
  <si>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</si>
  <si>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</si>
  <si>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</si>
  <si>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</si>
  <si>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</si>
  <si>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</si>
  <si>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</si>
  <si>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</si>
  <si>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</si>
  <si>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</si>
  <si>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</si>
  <si>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</si>
  <si>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</si>
  <si>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</si>
  <si>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</si>
  <si>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</si>
  <si>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</si>
  <si>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</si>
  <si>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</si>
  <si>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</si>
  <si>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</si>
  <si>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</si>
  <si>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</si>
  <si>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</si>
  <si>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</si>
  <si>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</si>
  <si>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</si>
  <si>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</si>
  <si>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</si>
  <si>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</si>
  <si>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</si>
  <si>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</si>
  <si>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</si>
  <si>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</si>
  <si>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</si>
  <si>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</si>
  <si>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</si>
  <si>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</si>
  <si>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</si>
  <si>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</si>
  <si>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</si>
  <si>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</si>
  <si>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</si>
  <si>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</si>
  <si>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</si>
  <si>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</si>
  <si>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</si>
  <si>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</si>
  <si>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</si>
  <si>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</si>
  <si>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</si>
  <si>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</si>
  <si>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</si>
  <si>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</si>
  <si>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</si>
  <si>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</si>
  <si>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</si>
  <si>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</si>
  <si>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</si>
  <si>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</si>
  <si>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</si>
  <si>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</si>
  <si>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</si>
  <si>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</si>
  <si>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</si>
  <si>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</si>
  <si>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</si>
  <si>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</si>
  <si>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</si>
  <si>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</si>
  <si>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</si>
  <si>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</si>
  <si>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</si>
  <si>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</si>
  <si>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</si>
  <si>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</si>
  <si>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</si>
  <si>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</si>
  <si>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</si>
  <si>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</si>
  <si>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</si>
  <si>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</si>
  <si>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</si>
  <si>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</si>
  <si>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</si>
  <si>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</si>
  <si>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</si>
  <si>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</si>
  <si>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</si>
  <si>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</si>
  <si>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</si>
  <si>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</si>
  <si>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</si>
  <si>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</si>
  <si>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</si>
  <si>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(14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</si>
  <si>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</si>
  <si>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</si>
  <si>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</si>
  <si>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</si>
  <si>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</si>
  <si>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</si>
  <si>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</si>
  <si>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COR-001</t>
  </si>
  <si>
    <t xml:space="preserve">COR</t>
  </si>
  <si>
    <t xml:space="preserve">2014-05-30</t>
  </si>
  <si>
    <t xml:space="preserve">Delete filter fabric from footing drains contract</t>
  </si>
  <si>
    <t xml:space="preserve">Sub (OWP)</t>
  </si>
  <si>
    <t xml:space="preserve">RFI-123</t>
  </si>
  <si>
    <t xml:space="preserve">Accepted</t>
  </si>
  <si>
    <t xml:space="preserve">2017-Exxel, 36 Stone/Change Orders/COR_s/36 Stone - OWP COR #01.pdf</t>
  </si>
  <si>
    <t xml:space="preserve">COR-002</t>
  </si>
  <si>
    <t xml:space="preserve">Fitness Room bathroom sink — Kohler K-2084-0 in lieu of Elkay ELUH12V</t>
  </si>
  <si>
    <t xml:space="preserve">RFI-115</t>
  </si>
  <si>
    <t xml:space="preserve">2017-Exxel, 36 Stone/Change Orders/COR_s/36 Stone - OWP COR #02.pdf</t>
  </si>
  <si>
    <t xml:space="preserve">CO-003</t>
  </si>
  <si>
    <t xml:space="preserve">CO</t>
  </si>
  <si>
    <t xml:space="preserve">2014-06-12</t>
  </si>
  <si>
    <t xml:space="preserve">Eliminate sewer vault + pumps (gravity drain to SW corner)</t>
  </si>
  <si>
    <t xml:space="preserve">GC (Exxel)</t>
  </si>
  <si>
    <t xml:space="preserve">Signed</t>
  </si>
  <si>
    <t xml:space="preserve">2017-Exxel, 36 Stone/Change Orders/CO_s/3636 change orders 3 through 6.pdf</t>
  </si>
  <si>
    <t xml:space="preserve">CO-004</t>
  </si>
  <si>
    <t xml:space="preserve">Wall-mount sink Fitness Room (in lieu of countertop)</t>
  </si>
  <si>
    <t xml:space="preserve">CO-005</t>
  </si>
  <si>
    <t xml:space="preserve">Delete filter fabric at footing drains</t>
  </si>
  <si>
    <t xml:space="preserve">CO-006</t>
  </si>
  <si>
    <t xml:space="preserve">Catch basin in lieu of trench drain at P1 garage ramp</t>
  </si>
  <si>
    <t xml:space="preserve">RFI-132</t>
  </si>
  <si>
    <t xml:space="preserve">CO-007</t>
  </si>
  <si>
    <t xml:space="preserve">2014-06-26</t>
  </si>
  <si>
    <t xml:space="preserve">2 drains south residential patio + Type B→A ADA lavatory sink</t>
  </si>
  <si>
    <t xml:space="preserve">RFI-018</t>
  </si>
  <si>
    <t xml:space="preserve">2017-Exxel, 36 Stone/Change Orders/CO_s/Stoneway CO 7.pdf</t>
  </si>
  <si>
    <t xml:space="preserve">COR-005</t>
  </si>
  <si>
    <t xml:space="preserve">2014-06-10</t>
  </si>
  <si>
    <t xml:space="preserve">Kitchen sink upgrades — Lenova/Elkay + Grohe pull-down faucet</t>
  </si>
  <si>
    <t xml:space="preserve">2017-Exxel, 36 Stone/Change Orders/COR_s/36 Stone - OWP COR #05.pdf</t>
  </si>
  <si>
    <t xml:space="preserve">COR-006</t>
  </si>
  <si>
    <t xml:space="preserve">2014-06-11</t>
  </si>
  <si>
    <t xml:space="preserve">Rated washer connection boxes all 119 units</t>
  </si>
  <si>
    <t xml:space="preserve">2017-Exxel, 36 Stone/Change Orders/COR_s/36 Stone - OWP COR #06.pdf</t>
  </si>
  <si>
    <t xml:space="preserve">COR-007</t>
  </si>
  <si>
    <t xml:space="preserve">2014-08-12</t>
  </si>
  <si>
    <t xml:space="preserve">Coffee maker water connection in lobby</t>
  </si>
  <si>
    <t xml:space="preserve">RFI-176</t>
  </si>
  <si>
    <t xml:space="preserve">2017-Exxel, 36 Stone/Change Orders/COR_s/36 Stone - OWP COR #07.pdf</t>
  </si>
  <si>
    <t xml:space="preserve">COR-008</t>
  </si>
  <si>
    <t xml:space="preserve">1st floor leasing parcel undercounter sink + Grohe faucet</t>
  </si>
  <si>
    <t xml:space="preserve">2017-Exxel, 36 Stone/Change Orders/COR_s/36 Stone - OWP COR #08.pdf</t>
  </si>
  <si>
    <t xml:space="preserve">COR-009</t>
  </si>
  <si>
    <t xml:space="preserve">2015-01-07</t>
  </si>
  <si>
    <t xml:space="preserve">Irrigation Point-of-Connection per RFI-234R2</t>
  </si>
  <si>
    <t xml:space="preserve">RFI-234</t>
  </si>
  <si>
    <t xml:space="preserve">2017-Exxel, 36 Stone/Change Orders/COR_s/36 Stone - OWP COR #09 RFI-234R2 Irrigation POC.pdf</t>
  </si>
  <si>
    <t xml:space="preserve">COR-010</t>
  </si>
  <si>
    <t xml:space="preserve">2015-01-26</t>
  </si>
  <si>
    <t xml:space="preserve">Gas fireplace POC on 2nd floor lounge per RFI-228</t>
  </si>
  <si>
    <t xml:space="preserve">RFI-228</t>
  </si>
  <si>
    <t xml:space="preserve">2017-Exxel, 36 Stone/Change Orders/COR_s/36 Stone - OWP COR #10 RFI-228 Gas Fireplace POC.pdf</t>
  </si>
  <si>
    <t xml:space="preserve">COR-011</t>
  </si>
  <si>
    <t xml:space="preserve">2015-04-30</t>
  </si>
  <si>
    <t xml:space="preserve">Repair damaged tubs in units 423, 428, 426, 318, 319, 301, 207, 208</t>
  </si>
  <si>
    <t xml:space="preserve">2017-Exxel, 36 Stone/Change Orders/COR_s/36 Stone - OWP COR #11 Tub Repairs.pdf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</si>
  <si>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</si>
  <si>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</si>
  <si>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</si>
  <si>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</si>
  <si>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</si>
  <si>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</si>
  <si>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</si>
  <si>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</si>
  <si>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</si>
  <si>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</si>
  <si>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Design clarification</t>
  </si>
  <si>
    <t xml:space="preserve">Fitness Room bathroom sink — Kohler K-2084-0 in lieu of Elka</t>
  </si>
  <si>
    <t xml:space="preserve">Owner directive</t>
  </si>
  <si>
    <t xml:space="preserve">Owner/GC</t>
  </si>
  <si>
    <t xml:space="preserve">Kitchen sink upgrades — Lenova/Elkay + Grohe pull-down fauce</t>
  </si>
  <si>
    <t xml:space="preserve">Scope gap</t>
  </si>
  <si>
    <t xml:space="preserve">Cleanup/damage</t>
  </si>
  <si>
    <t xml:space="preserve">Repair damaged tubs in units 423, 428, 426, 318, 319, 301, 2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</si>
  <si>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</si>
  <si>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</si>
  <si>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</si>
  <si>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</si>
  <si>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CAUTION — price risk in future bids</t>
  </si>
  <si>
    <t xml:space="preserve">POSITIVE — recoverable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</si>
  <si>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</si>
  <si>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</si>
  <si>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</si>
  <si>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</si>
  <si>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</si>
  <si>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</si>
  <si>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</si>
  <si>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</si>
  <si>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</si>
  <si>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</si>
  <si>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</si>
  <si>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</si>
  <si>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</si>
  <si>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</si>
  <si>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</si>
  <si>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</si>
  <si>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</si>
  <si>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</si>
  <si>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</si>
  <si>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</si>
  <si>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</si>
  <si>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</si>
  <si>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</si>
  <si>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</si>
  <si>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</si>
  <si>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</si>
  <si>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</si>
  <si>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</si>
  <si>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ELEVATED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</si>
  <si>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</si>
  <si>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</si>
  <si>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</si>
  <si>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</si>
  <si>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</si>
  <si>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</si>
  <si>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</si>
  <si>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</si>
  <si>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</si>
  <si>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</si>
  <si>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</si>
  <si>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</si>
  <si>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</si>
  <si>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</si>
  <si>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</si>
  <si>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</si>
  <si>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</si>
  <si>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</si>
  <si>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</si>
  <si>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</si>
  <si>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</si>
  <si>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</si>
  <si>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</si>
  <si>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</si>
  <si>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</si>
  <si>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+ 0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</si>
  <si>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</si>
  <si>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</si>
  <si>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</si>
  <si>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</si>
  <si>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</si>
  <si>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</si>
  <si>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</si>
  <si>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</si>
  <si>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</si>
  <si>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</si>
  <si>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</si>
  <si>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</si>
  <si>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</si>
  <si>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</si>
  <si>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</si>
  <si>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</si>
  <si>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</si>
  <si>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</si>
  <si>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</si>
  <si>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</si>
  <si>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</si>
  <si>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</si>
  <si>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</si>
  <si>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</si>
  <si>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</si>
  <si>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</si>
  <si>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</si>
  <si>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</si>
  <si>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</si>
  <si>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</si>
  <si>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</si>
  <si>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</si>
  <si>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</si>
  <si>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</si>
  <si>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</si>
  <si>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</si>
  <si>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</si>
  <si>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</si>
  <si>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</si>
  <si>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</si>
  <si>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</si>
  <si>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</si>
  <si>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</si>
  <si>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</si>
  <si>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</si>
  <si>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</si>
  <si>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</si>
  <si>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</si>
  <si>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</si>
  <si>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</si>
  <si>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</si>
  <si>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</si>
  <si>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</si>
  <si>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</si>
  <si>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</si>
  <si>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</si>
  <si>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</si>
  <si>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</si>
  <si>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</si>
  <si>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</si>
  <si>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</si>
  <si>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</si>
  <si>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</si>
  <si>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</si>
  <si>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</si>
  <si>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</si>
  <si>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</si>
  <si>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</si>
  <si>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</si>
  <si>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</si>
  <si>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</si>
  <si>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</si>
  <si>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</si>
  <si>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</si>
  <si>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</si>
  <si>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</si>
  <si>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</si>
  <si>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</si>
  <si>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(11 codes)</t>
  </si>
  <si>
    <t xml:space="preserve">Material subtotal (10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</si>
  <si>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</si>
  <si>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</si>
  <si>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</si>
  <si>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</si>
  <si>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</si>
  <si>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</si>
  <si>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</si>
  <si>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</si>
  <si>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</si>
  <si>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</si>
  <si>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</si>
  <si>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</si>
  <si>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</si>
  <si>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</si>
  <si>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</si>
  <si>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</si>
  <si>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</si>
  <si>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</si>
  <si>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</si>
  <si>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</si>
  <si>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</si>
  <si>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</si>
  <si>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</si>
  <si>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</si>
  <si>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</si>
  <si>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</si>
  <si>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</si>
  <si>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#2017 — Cortex v2 17-tab layout</t>
  </si>
  <si>
    <t xml:space="preserve">12 analytical tabs + Change Log + Root Cause Analysis + Predictive Signals + Metric Registry + Reconciliation</t>
  </si>
  <si>
    <t xml:space="preserve">Canonical source: 2017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</si>
  <si>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</si>
  <si>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</si>
  <si>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</si>
  <si>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</si>
  <si>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</si>
  <si>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#2017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</si>
  <si>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</si>
  <si>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</si>
  <si>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</si>
  <si>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</si>
  <si>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</si>
  <si>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</si>
  <si>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2017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</si>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</sst>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FE6E6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FE6E6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272340</v>
      </c>
      <c r="D20" s="11" t="n">
        <v>292755.75</v>
      </c>
      <c r="E20" s="11" t="n">
        <f aca="false">C20-D20</f>
        <v>-20415.75</v>
      </c>
      <c r="F20" s="12" t="n">
        <f aca="false">IF(C20=0,0,D20/C20)</f>
        <v>1.07496419916281</v>
      </c>
      <c r="G20" s="12" t="n">
        <f aca="false">IF($D$24=0,0,D20/$D$24)</f>
        <v>0.340736835831259</v>
      </c>
    </row>
    <row r="21" customFormat="false" ht="15" hidden="false" customHeight="true" outlineLevel="0" collapsed="false">
      <c r="B21" s="5" t="s">
        <v>35</v>
      </c>
      <c r="C21" s="11" t="n">
        <v>502391</v>
      </c>
      <c r="D21" s="11" t="n">
        <v>378313.74</v>
      </c>
      <c r="E21" s="11" t="n">
        <f aca="false">C21-D21</f>
        <v>124077.26</v>
      </c>
      <c r="F21" s="12" t="n">
        <f aca="false">IF(C21=0,0,D21/C21)</f>
        <v>0.753026507242367</v>
      </c>
      <c r="G21" s="12" t="n">
        <f aca="false">IF($D$24=0,0,D21/$D$24)</f>
        <v>0.440317318170828</v>
      </c>
    </row>
    <row r="22" customFormat="false" ht="15" hidden="false" customHeight="true" outlineLevel="0" collapsed="false">
      <c r="B22" s="5" t="s">
        <v>36</v>
      </c>
      <c r="C22" s="11" t="n">
        <v>42470</v>
      </c>
      <c r="D22" s="11" t="n">
        <v>33855.5</v>
      </c>
      <c r="E22" s="11" t="n">
        <f aca="false">C22-D22</f>
        <v>8614.5</v>
      </c>
      <c r="F22" s="12" t="n">
        <f aca="false">IF(C22=0,0,D22/C22)</f>
        <v>0.79716270308453</v>
      </c>
      <c r="G22" s="12" t="n">
        <f aca="false">IF($D$24=0,0,D22/$D$24)</f>
        <v>0.0394042335478814</v>
      </c>
    </row>
    <row r="23" customFormat="false" ht="15" hidden="false" customHeight="true" outlineLevel="0" collapsed="false">
      <c r="B23" s="5" t="s">
        <v>37</v>
      </c>
      <c r="C23" s="11" t="n">
        <v>139796.75</v>
      </c>
      <c r="D23" s="11" t="n">
        <v>154259.34</v>
      </c>
      <c r="E23" s="11" t="n">
        <f aca="false">C23-D23</f>
        <v>-14462.59</v>
      </c>
      <c r="F23" s="12" t="n">
        <f aca="false">IF(C23=0,0,D23/C23)</f>
        <v>1.10345440791721</v>
      </c>
      <c r="G23" s="12" t="n">
        <f aca="false">IF($D$24=0,0,D23/$D$24)</f>
        <v>0.179541612450032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956997.75</v>
      </c>
      <c r="D24" s="13" t="n">
        <f aca="false">SUM(D20:D23)</f>
        <v>859184.33</v>
      </c>
      <c r="E24" s="13" t="n">
        <f aca="false">C24-D24</f>
        <v>97813.42</v>
      </c>
      <c r="F24" s="14" t="n">
        <f aca="false">IF(C24=0,0,D24/C24)</f>
        <v>0.897791379342323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43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50</v>
      </c>
      <c r="F30" s="5" t="s">
        <v>51</v>
      </c>
      <c r="G30" s="6" t="s">
        <v>43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45</v>
      </c>
      <c r="F31" s="5" t="s">
        <v>55</v>
      </c>
      <c r="G31" s="6" t="s">
        <v>43</v>
      </c>
    </row>
    <row r="32" customFormat="false" ht="15" hidden="false" customHeight="true" outlineLevel="0" collapsed="false">
      <c r="B32" s="5" t="s">
        <v>56</v>
      </c>
      <c r="C32" s="6" t="s">
        <v>57</v>
      </c>
      <c r="D32" s="5" t="s">
        <v>58</v>
      </c>
      <c r="E32" s="6" t="s">
        <v>59</v>
      </c>
      <c r="F32" s="5" t="s">
        <v>60</v>
      </c>
      <c r="G32" s="6" t="s">
        <v>61</v>
      </c>
    </row>
    <row r="36" customFormat="false" ht="15" hidden="false" customHeight="true" outlineLevel="0" collapsed="false">
      <c r="B36" s="4" t="s">
        <v>62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63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69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70</v>
      </c>
      <c r="C4" s="10" t="s">
        <v>71</v>
      </c>
      <c r="D4" s="10" t="s">
        <v>72</v>
      </c>
      <c r="E4" s="10" t="s">
        <v>73</v>
      </c>
      <c r="F4" s="10" t="s">
        <v>30</v>
      </c>
      <c r="G4" s="10" t="s">
        <v>31</v>
      </c>
      <c r="H4" s="10" t="s">
        <v>74</v>
      </c>
    </row>
    <row r="5" customFormat="false" ht="15" hidden="false" customHeight="true" outlineLevel="0" collapsed="false">
      <c r="B5" s="4" t="s">
        <v>75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76</v>
      </c>
      <c r="C6" s="5" t="s">
        <v>77</v>
      </c>
      <c r="D6" s="11" t="n">
        <v>6500</v>
      </c>
      <c r="E6" s="11" t="n">
        <v>6500</v>
      </c>
      <c r="F6" s="11" t="n">
        <v>4744</v>
      </c>
      <c r="G6" s="11" t="n">
        <f aca="false">E6-F6</f>
        <v>1756</v>
      </c>
      <c r="H6" s="12" t="n">
        <f aca="false">IF(E6=0,0,F6/E6)</f>
        <v>0.729846153846154</v>
      </c>
    </row>
    <row r="7" customFormat="false" ht="15" hidden="false" customHeight="true" outlineLevel="0" collapsed="false">
      <c r="B7" s="5" t="s">
        <v>78</v>
      </c>
      <c r="C7" s="5" t="s">
        <v>79</v>
      </c>
      <c r="D7" s="11" t="n">
        <v>6500</v>
      </c>
      <c r="E7" s="11" t="n">
        <v>7300</v>
      </c>
      <c r="F7" s="11" t="n">
        <v>7873</v>
      </c>
      <c r="G7" s="11" t="n">
        <f aca="false">E7-F7</f>
        <v>-573</v>
      </c>
      <c r="H7" s="12" t="n">
        <f aca="false">IF(E7=0,0,F7/E7)</f>
        <v>1.07849315068493</v>
      </c>
    </row>
    <row r="8" customFormat="false" ht="15" hidden="false" customHeight="true" outlineLevel="0" collapsed="false">
      <c r="B8" s="5" t="s">
        <v>80</v>
      </c>
      <c r="C8" s="5" t="s">
        <v>81</v>
      </c>
      <c r="D8" s="11" t="n">
        <v>8538</v>
      </c>
      <c r="E8" s="11" t="n">
        <v>8538</v>
      </c>
      <c r="F8" s="11" t="n">
        <v>6900</v>
      </c>
      <c r="G8" s="11" t="n">
        <f aca="false">E8-F8</f>
        <v>1638</v>
      </c>
      <c r="H8" s="12" t="n">
        <f aca="false">IF(E8=0,0,F8/E8)</f>
        <v>0.808151791988756</v>
      </c>
    </row>
    <row r="9" customFormat="false" ht="15" hidden="false" customHeight="true" outlineLevel="0" collapsed="false">
      <c r="B9" s="5" t="s">
        <v>82</v>
      </c>
      <c r="C9" s="5" t="s">
        <v>83</v>
      </c>
      <c r="D9" s="11" t="n">
        <v>38180</v>
      </c>
      <c r="E9" s="11" t="n">
        <v>38670</v>
      </c>
      <c r="F9" s="11" t="n">
        <v>29981</v>
      </c>
      <c r="G9" s="11" t="n">
        <f aca="false">E9-F9</f>
        <v>8689</v>
      </c>
      <c r="H9" s="12" t="n">
        <f aca="false">IF(E9=0,0,F9/E9)</f>
        <v>0.775303853116111</v>
      </c>
    </row>
    <row r="10" customFormat="false" ht="15" hidden="false" customHeight="true" outlineLevel="0" collapsed="false">
      <c r="B10" s="5" t="s">
        <v>84</v>
      </c>
      <c r="C10" s="5" t="s">
        <v>85</v>
      </c>
      <c r="D10" s="11" t="n">
        <v>5130</v>
      </c>
      <c r="E10" s="11" t="n">
        <v>5130</v>
      </c>
      <c r="F10" s="11" t="n">
        <v>4602</v>
      </c>
      <c r="G10" s="11" t="n">
        <f aca="false">E10-F10</f>
        <v>528</v>
      </c>
      <c r="H10" s="12" t="n">
        <f aca="false">IF(E10=0,0,F10/E10)</f>
        <v>0.897076023391813</v>
      </c>
    </row>
    <row r="11" customFormat="false" ht="15" hidden="false" customHeight="true" outlineLevel="0" collapsed="false">
      <c r="B11" s="5" t="s">
        <v>86</v>
      </c>
      <c r="C11" s="5" t="s">
        <v>87</v>
      </c>
      <c r="D11" s="11" t="n">
        <v>2012</v>
      </c>
      <c r="E11" s="11" t="n">
        <v>2012</v>
      </c>
      <c r="F11" s="11" t="n">
        <v>2012</v>
      </c>
      <c r="G11" s="11" t="n">
        <f aca="false">E11-F11</f>
        <v>0</v>
      </c>
      <c r="H11" s="12" t="n">
        <f aca="false">IF(E11=0,0,F11/E11)</f>
        <v>1</v>
      </c>
    </row>
    <row r="12" customFormat="false" ht="15" hidden="false" customHeight="true" outlineLevel="0" collapsed="false">
      <c r="B12" s="5" t="s">
        <v>88</v>
      </c>
      <c r="C12" s="5" t="s">
        <v>89</v>
      </c>
      <c r="D12" s="11" t="n">
        <v>138760</v>
      </c>
      <c r="E12" s="11" t="n">
        <v>140370</v>
      </c>
      <c r="F12" s="11" t="n">
        <v>173312.75</v>
      </c>
      <c r="G12" s="11" t="n">
        <f aca="false">E12-F12</f>
        <v>-32942.75</v>
      </c>
      <c r="H12" s="12" t="n">
        <f aca="false">IF(E12=0,0,F12/E12)</f>
        <v>1.23468511790269</v>
      </c>
    </row>
    <row r="13" customFormat="false" ht="15" hidden="false" customHeight="true" outlineLevel="0" collapsed="false">
      <c r="B13" s="5" t="s">
        <v>90</v>
      </c>
      <c r="C13" s="5" t="s">
        <v>91</v>
      </c>
      <c r="D13" s="11" t="n">
        <v>23400</v>
      </c>
      <c r="E13" s="11" t="n">
        <v>25520</v>
      </c>
      <c r="F13" s="11" t="n">
        <v>36292.5</v>
      </c>
      <c r="G13" s="11" t="n">
        <f aca="false">E13-F13</f>
        <v>-10772.5</v>
      </c>
      <c r="H13" s="12" t="n">
        <f aca="false">IF(E13=0,0,F13/E13)</f>
        <v>1.42211990595611</v>
      </c>
    </row>
    <row r="14" customFormat="false" ht="15" hidden="false" customHeight="true" outlineLevel="0" collapsed="false">
      <c r="B14" s="5" t="s">
        <v>92</v>
      </c>
      <c r="C14" s="5" t="s">
        <v>93</v>
      </c>
      <c r="D14" s="11" t="n">
        <v>6000</v>
      </c>
      <c r="E14" s="11" t="n">
        <v>6300</v>
      </c>
      <c r="F14" s="11" t="n">
        <v>7448</v>
      </c>
      <c r="G14" s="11" t="n">
        <f aca="false">E14-F14</f>
        <v>-1148</v>
      </c>
      <c r="H14" s="12" t="n">
        <f aca="false">IF(E14=0,0,F14/E14)</f>
        <v>1.18222222222222</v>
      </c>
    </row>
    <row r="15" customFormat="false" ht="15" hidden="false" customHeight="true" outlineLevel="0" collapsed="false">
      <c r="B15" s="5" t="s">
        <v>94</v>
      </c>
      <c r="C15" s="5" t="s">
        <v>95</v>
      </c>
      <c r="D15" s="11" t="n">
        <v>32000</v>
      </c>
      <c r="E15" s="11" t="n">
        <v>32000</v>
      </c>
      <c r="F15" s="11" t="n">
        <v>19505.5</v>
      </c>
      <c r="G15" s="11" t="n">
        <f aca="false">E15-F15</f>
        <v>12494.5</v>
      </c>
      <c r="H15" s="12" t="n">
        <f aca="false">IF(E15=0,0,F15/E15)</f>
        <v>0.609546875</v>
      </c>
    </row>
    <row r="16" customFormat="false" ht="15" hidden="false" customHeight="true" outlineLevel="0" collapsed="false">
      <c r="B16" s="5" t="s">
        <v>96</v>
      </c>
      <c r="C16" s="5" t="s">
        <v>97</v>
      </c>
      <c r="D16" s="11" t="n">
        <v>0</v>
      </c>
      <c r="E16" s="11" t="n">
        <v>0</v>
      </c>
      <c r="F16" s="11" t="n">
        <v>85</v>
      </c>
      <c r="G16" s="11" t="n">
        <f aca="false">E16-F16</f>
        <v>-85</v>
      </c>
      <c r="H16" s="12" t="n">
        <f aca="false">IF(E16=0,0,F16/E16)</f>
        <v>0</v>
      </c>
    </row>
    <row r="17" customFormat="false" ht="15" hidden="false" customHeight="true" outlineLevel="0" collapsed="false">
      <c r="B17" s="4" t="s">
        <v>98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5" t="s">
        <v>99</v>
      </c>
      <c r="C18" s="5" t="s">
        <v>100</v>
      </c>
      <c r="D18" s="11" t="n">
        <v>0</v>
      </c>
      <c r="E18" s="11" t="n">
        <v>0</v>
      </c>
      <c r="F18" s="11" t="n">
        <v>2380.94</v>
      </c>
      <c r="G18" s="11" t="n">
        <f aca="false">E18-F18</f>
        <v>-2380.94</v>
      </c>
      <c r="H18" s="12" t="n">
        <f aca="false">IF(E18=0,0,F18/E18)</f>
        <v>0</v>
      </c>
    </row>
    <row r="19" customFormat="false" ht="15" hidden="false" customHeight="true" outlineLevel="0" collapsed="false">
      <c r="B19" s="5" t="s">
        <v>101</v>
      </c>
      <c r="C19" s="5" t="s">
        <v>102</v>
      </c>
      <c r="D19" s="11" t="n">
        <v>5685</v>
      </c>
      <c r="E19" s="11" t="n">
        <v>5685</v>
      </c>
      <c r="F19" s="11" t="n">
        <v>3861</v>
      </c>
      <c r="G19" s="11" t="n">
        <f aca="false">E19-F19</f>
        <v>1824</v>
      </c>
      <c r="H19" s="12" t="n">
        <f aca="false">IF(E19=0,0,F19/E19)</f>
        <v>0.679155672823219</v>
      </c>
    </row>
    <row r="20" customFormat="false" ht="15" hidden="false" customHeight="true" outlineLevel="0" collapsed="false">
      <c r="B20" s="5" t="s">
        <v>103</v>
      </c>
      <c r="C20" s="5" t="s">
        <v>104</v>
      </c>
      <c r="D20" s="11" t="n">
        <v>29760</v>
      </c>
      <c r="E20" s="11" t="n">
        <v>29800</v>
      </c>
      <c r="F20" s="11" t="n">
        <v>3724.79</v>
      </c>
      <c r="G20" s="11" t="n">
        <f aca="false">E20-F20</f>
        <v>26075.21</v>
      </c>
      <c r="H20" s="12" t="n">
        <f aca="false">IF(E20=0,0,F20/E20)</f>
        <v>0.124992953020134</v>
      </c>
    </row>
    <row r="21" customFormat="false" ht="15" hidden="false" customHeight="true" outlineLevel="0" collapsed="false">
      <c r="B21" s="5" t="s">
        <v>105</v>
      </c>
      <c r="C21" s="5" t="s">
        <v>106</v>
      </c>
      <c r="D21" s="11" t="n">
        <v>5700</v>
      </c>
      <c r="E21" s="11" t="n">
        <v>5740</v>
      </c>
      <c r="F21" s="11" t="n">
        <v>6453.36</v>
      </c>
      <c r="G21" s="11" t="n">
        <f aca="false">E21-F21</f>
        <v>-713.36</v>
      </c>
      <c r="H21" s="12" t="n">
        <f aca="false">IF(E21=0,0,F21/E21)</f>
        <v>1.1242787456446</v>
      </c>
    </row>
    <row r="22" customFormat="false" ht="15" hidden="false" customHeight="true" outlineLevel="0" collapsed="false">
      <c r="B22" s="5" t="s">
        <v>107</v>
      </c>
      <c r="C22" s="5" t="s">
        <v>108</v>
      </c>
      <c r="D22" s="11" t="n">
        <v>15065</v>
      </c>
      <c r="E22" s="11" t="n">
        <v>13365</v>
      </c>
      <c r="F22" s="11" t="n">
        <v>13364.65</v>
      </c>
      <c r="G22" s="11" t="n">
        <f aca="false">E22-F22</f>
        <v>0.350000000000364</v>
      </c>
      <c r="H22" s="12" t="n">
        <f aca="false">IF(E22=0,0,F22/E22)</f>
        <v>0.999973812196034</v>
      </c>
    </row>
    <row r="23" customFormat="false" ht="15" hidden="false" customHeight="true" outlineLevel="0" collapsed="false">
      <c r="B23" s="5" t="s">
        <v>109</v>
      </c>
      <c r="C23" s="5" t="s">
        <v>110</v>
      </c>
      <c r="D23" s="11" t="n">
        <v>138250</v>
      </c>
      <c r="E23" s="11" t="n">
        <v>132050</v>
      </c>
      <c r="F23" s="11" t="n">
        <v>98571.05</v>
      </c>
      <c r="G23" s="11" t="n">
        <f aca="false">E23-F23</f>
        <v>33478.95</v>
      </c>
      <c r="H23" s="12" t="n">
        <f aca="false">IF(E23=0,0,F23/E23)</f>
        <v>0.746467625899281</v>
      </c>
    </row>
    <row r="24" customFormat="false" ht="15" hidden="false" customHeight="true" outlineLevel="0" collapsed="false">
      <c r="B24" s="5" t="s">
        <v>111</v>
      </c>
      <c r="C24" s="5" t="s">
        <v>112</v>
      </c>
      <c r="D24" s="11" t="n">
        <v>273100</v>
      </c>
      <c r="E24" s="11" t="n">
        <v>248951</v>
      </c>
      <c r="F24" s="11" t="n">
        <v>192296.61</v>
      </c>
      <c r="G24" s="11" t="n">
        <f aca="false">E24-F24</f>
        <v>56654.39</v>
      </c>
      <c r="H24" s="12" t="n">
        <f aca="false">IF(E24=0,0,F24/E24)</f>
        <v>0.772427545982944</v>
      </c>
    </row>
    <row r="25" customFormat="false" ht="15" hidden="false" customHeight="true" outlineLevel="0" collapsed="false">
      <c r="B25" s="5" t="s">
        <v>113</v>
      </c>
      <c r="C25" s="5" t="s">
        <v>114</v>
      </c>
      <c r="D25" s="11" t="n">
        <v>3600</v>
      </c>
      <c r="E25" s="11" t="n">
        <v>3600</v>
      </c>
      <c r="F25" s="11" t="n">
        <v>2769</v>
      </c>
      <c r="G25" s="11" t="n">
        <f aca="false">E25-F25</f>
        <v>831</v>
      </c>
      <c r="H25" s="12" t="n">
        <f aca="false">IF(E25=0,0,F25/E25)</f>
        <v>0.769166666666667</v>
      </c>
    </row>
    <row r="26" customFormat="false" ht="15" hidden="false" customHeight="true" outlineLevel="0" collapsed="false">
      <c r="B26" s="5" t="s">
        <v>115</v>
      </c>
      <c r="C26" s="5" t="s">
        <v>116</v>
      </c>
      <c r="D26" s="11" t="n">
        <v>51200</v>
      </c>
      <c r="E26" s="11" t="n">
        <v>51200</v>
      </c>
      <c r="F26" s="11" t="n">
        <v>45904.61</v>
      </c>
      <c r="G26" s="11" t="n">
        <f aca="false">E26-F26</f>
        <v>5295.39</v>
      </c>
      <c r="H26" s="12" t="n">
        <f aca="false">IF(E26=0,0,F26/E26)</f>
        <v>0.8965744140625</v>
      </c>
    </row>
    <row r="27" customFormat="false" ht="15" hidden="false" customHeight="true" outlineLevel="0" collapsed="false">
      <c r="B27" s="5" t="s">
        <v>117</v>
      </c>
      <c r="C27" s="5" t="s">
        <v>118</v>
      </c>
      <c r="D27" s="11" t="n">
        <v>12000</v>
      </c>
      <c r="E27" s="11" t="n">
        <v>12000</v>
      </c>
      <c r="F27" s="11" t="n">
        <v>8987.73</v>
      </c>
      <c r="G27" s="11" t="n">
        <f aca="false">E27-F27</f>
        <v>3012.27</v>
      </c>
      <c r="H27" s="12" t="n">
        <f aca="false">IF(E27=0,0,F27/E27)</f>
        <v>0.7489775</v>
      </c>
    </row>
    <row r="28" customFormat="false" ht="15" hidden="false" customHeight="true" outlineLevel="0" collapsed="false">
      <c r="B28" s="4" t="s">
        <v>119</v>
      </c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B29" s="5" t="s">
        <v>120</v>
      </c>
      <c r="C29" s="5" t="s">
        <v>121</v>
      </c>
      <c r="D29" s="11" t="n">
        <v>15970</v>
      </c>
      <c r="E29" s="11" t="n">
        <v>16970</v>
      </c>
      <c r="F29" s="11" t="n">
        <v>15635</v>
      </c>
      <c r="G29" s="11" t="n">
        <f aca="false">E29-F29</f>
        <v>1335</v>
      </c>
      <c r="H29" s="12" t="n">
        <f aca="false">IF(E29=0,0,F29/E29)</f>
        <v>0.921331761932823</v>
      </c>
    </row>
    <row r="30" customFormat="false" ht="15" hidden="false" customHeight="true" outlineLevel="0" collapsed="false">
      <c r="B30" s="5" t="s">
        <v>122</v>
      </c>
      <c r="C30" s="5" t="s">
        <v>123</v>
      </c>
      <c r="D30" s="11" t="n">
        <v>22000</v>
      </c>
      <c r="E30" s="11" t="n">
        <v>22500</v>
      </c>
      <c r="F30" s="11" t="n">
        <v>17974.5</v>
      </c>
      <c r="G30" s="11" t="n">
        <f aca="false">E30-F30</f>
        <v>4525.5</v>
      </c>
      <c r="H30" s="12" t="n">
        <f aca="false">IF(E30=0,0,F30/E30)</f>
        <v>0.798866666666667</v>
      </c>
    </row>
    <row r="31" customFormat="false" ht="15" hidden="false" customHeight="true" outlineLevel="0" collapsed="false">
      <c r="B31" s="5" t="s">
        <v>124</v>
      </c>
      <c r="C31" s="5" t="s">
        <v>125</v>
      </c>
      <c r="D31" s="11" t="n">
        <v>3000</v>
      </c>
      <c r="E31" s="11" t="n">
        <v>3000</v>
      </c>
      <c r="F31" s="11" t="n">
        <v>246</v>
      </c>
      <c r="G31" s="11" t="n">
        <f aca="false">E31-F31</f>
        <v>2754</v>
      </c>
      <c r="H31" s="12" t="n">
        <f aca="false">IF(E31=0,0,F31/E31)</f>
        <v>0.082</v>
      </c>
    </row>
    <row r="32" customFormat="false" ht="15" hidden="false" customHeight="true" outlineLevel="0" collapsed="false">
      <c r="B32" s="4" t="s">
        <v>126</v>
      </c>
      <c r="C32" s="4"/>
      <c r="D32" s="4"/>
      <c r="E32" s="4"/>
      <c r="F32" s="4"/>
      <c r="G32" s="4"/>
      <c r="H32" s="4"/>
    </row>
    <row r="33" customFormat="false" ht="15" hidden="false" customHeight="true" outlineLevel="0" collapsed="false">
      <c r="B33" s="5" t="s">
        <v>127</v>
      </c>
      <c r="C33" s="5" t="s">
        <v>128</v>
      </c>
      <c r="D33" s="11" t="n">
        <v>116366.6</v>
      </c>
      <c r="E33" s="11" t="n">
        <v>118687.33</v>
      </c>
      <c r="F33" s="11" t="n">
        <v>131106.33</v>
      </c>
      <c r="G33" s="11" t="n">
        <f aca="false">E33-F33</f>
        <v>-12419</v>
      </c>
      <c r="H33" s="12" t="n">
        <f aca="false">IF(E33=0,0,F33/E33)</f>
        <v>1.1046362741499</v>
      </c>
    </row>
    <row r="34" customFormat="false" ht="15" hidden="false" customHeight="true" outlineLevel="0" collapsed="false">
      <c r="B34" s="5" t="s">
        <v>129</v>
      </c>
      <c r="C34" s="5" t="s">
        <v>130</v>
      </c>
      <c r="D34" s="11" t="n">
        <v>20702.43</v>
      </c>
      <c r="E34" s="11" t="n">
        <v>21109.42</v>
      </c>
      <c r="F34" s="11" t="n">
        <v>23153.01</v>
      </c>
      <c r="G34" s="11" t="n">
        <f aca="false">E34-F34</f>
        <v>-2043.59</v>
      </c>
      <c r="H34" s="12" t="n">
        <f aca="false">IF(E34=0,0,F34/E34)</f>
        <v>1.09680938652033</v>
      </c>
    </row>
    <row r="35" customFormat="false" ht="15" hidden="false" customHeight="true" outlineLevel="0" collapsed="false">
      <c r="B35" s="6" t="s">
        <v>38</v>
      </c>
      <c r="C35" s="6" t="s">
        <v>131</v>
      </c>
      <c r="D35" s="13" t="n">
        <v>979419.03</v>
      </c>
      <c r="E35" s="13" t="n">
        <v>956997.75</v>
      </c>
      <c r="F35" s="13" t="n">
        <v>859184.33</v>
      </c>
      <c r="G35" s="13" t="n">
        <f aca="false">E35-F35</f>
        <v>97813.42</v>
      </c>
      <c r="H35" s="14" t="n">
        <f aca="false">IF(E35=0,0,F35/E35)</f>
        <v>0.897791379342323</v>
      </c>
    </row>
    <row r="38" customFormat="false" ht="15" hidden="false" customHeight="true" outlineLevel="0" collapsed="false">
      <c r="B38" s="4" t="s">
        <v>62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B39" s="3" t="s">
        <v>63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64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65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66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67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68</v>
      </c>
      <c r="C44" s="3"/>
      <c r="D44" s="3"/>
      <c r="E44" s="3"/>
      <c r="F44" s="3"/>
      <c r="G44" s="3"/>
      <c r="H44" s="3"/>
    </row>
  </sheetData>
  <mergeCells count="12">
    <mergeCell ref="B2:H2"/>
    <mergeCell ref="B5:H5"/>
    <mergeCell ref="B17:H17"/>
    <mergeCell ref="B28:H28"/>
    <mergeCell ref="B32:H32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133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134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135</v>
      </c>
    </row>
    <row r="6" customFormat="false" ht="15" hidden="false" customHeight="true" outlineLevel="0" collapsed="false">
      <c r="B6" s="5" t="s">
        <v>34</v>
      </c>
      <c r="C6" s="15" t="n">
        <v>11</v>
      </c>
      <c r="D6" s="11" t="n">
        <v>272340</v>
      </c>
      <c r="E6" s="11" t="n">
        <v>292755.75</v>
      </c>
      <c r="F6" s="11" t="n">
        <f aca="false">D6-E6</f>
        <v>-20415.75</v>
      </c>
      <c r="G6" s="12" t="n">
        <f aca="false">IF(D6=0,0,E6/D6)</f>
        <v>1.07496419916281</v>
      </c>
      <c r="H6" s="12" t="n">
        <f aca="false">IF(859184.33=0,0,E6/859184.33)</f>
        <v>0.340736835831259</v>
      </c>
      <c r="I6" s="11" t="n">
        <f aca="false">IF(119=0,0,E6/119)</f>
        <v>2460.13235294118</v>
      </c>
    </row>
    <row r="7" customFormat="false" ht="15" hidden="false" customHeight="true" outlineLevel="0" collapsed="false">
      <c r="B7" s="5" t="s">
        <v>35</v>
      </c>
      <c r="C7" s="15" t="n">
        <v>10</v>
      </c>
      <c r="D7" s="11" t="n">
        <v>502391</v>
      </c>
      <c r="E7" s="11" t="n">
        <v>378313.74</v>
      </c>
      <c r="F7" s="11" t="n">
        <f aca="false">D7-E7</f>
        <v>124077.26</v>
      </c>
      <c r="G7" s="12" t="n">
        <f aca="false">IF(D7=0,0,E7/D7)</f>
        <v>0.753026507242367</v>
      </c>
      <c r="H7" s="12" t="n">
        <f aca="false">IF(859184.33=0,0,E7/859184.33)</f>
        <v>0.440317318170828</v>
      </c>
      <c r="I7" s="11" t="n">
        <f aca="false">IF(119=0,0,E7/119)</f>
        <v>3179.10705882353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42470</v>
      </c>
      <c r="E8" s="11" t="n">
        <v>33855.5</v>
      </c>
      <c r="F8" s="11" t="n">
        <f aca="false">D8-E8</f>
        <v>8614.5</v>
      </c>
      <c r="G8" s="12" t="n">
        <f aca="false">IF(D8=0,0,E8/D8)</f>
        <v>0.79716270308453</v>
      </c>
      <c r="H8" s="12" t="n">
        <f aca="false">IF(859184.33=0,0,E8/859184.33)</f>
        <v>0.0394042335478814</v>
      </c>
      <c r="I8" s="11" t="n">
        <f aca="false">IF(119=0,0,E8/119)</f>
        <v>284.5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139796.75</v>
      </c>
      <c r="E9" s="11" t="n">
        <v>154259.34</v>
      </c>
      <c r="F9" s="11" t="n">
        <f aca="false">D9-E9</f>
        <v>-14462.59</v>
      </c>
      <c r="G9" s="12" t="n">
        <f aca="false">IF(D9=0,0,E9/D9)</f>
        <v>1.10345440791721</v>
      </c>
      <c r="H9" s="12" t="n">
        <f aca="false">IF(859184.33=0,0,E9/859184.33)</f>
        <v>0.179541612450032</v>
      </c>
      <c r="I9" s="11" t="n">
        <f aca="false">IF(119=0,0,E9/119)</f>
        <v>1296.29697478992</v>
      </c>
    </row>
    <row r="12" customFormat="false" ht="15" hidden="false" customHeight="true" outlineLevel="0" collapsed="false">
      <c r="B12" s="4" t="s">
        <v>136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70</v>
      </c>
      <c r="C13" s="10" t="s">
        <v>71</v>
      </c>
      <c r="D13" s="10" t="s">
        <v>73</v>
      </c>
      <c r="E13" s="10" t="s">
        <v>30</v>
      </c>
      <c r="F13" s="10" t="s">
        <v>137</v>
      </c>
      <c r="G13" s="10" t="s">
        <v>138</v>
      </c>
    </row>
    <row r="14" customFormat="false" ht="15" hidden="false" customHeight="true" outlineLevel="0" collapsed="false">
      <c r="B14" s="5" t="s">
        <v>88</v>
      </c>
      <c r="C14" s="5" t="s">
        <v>89</v>
      </c>
      <c r="D14" s="11" t="n">
        <v>140370</v>
      </c>
      <c r="E14" s="11" t="n">
        <v>173312.75</v>
      </c>
      <c r="F14" s="11" t="n">
        <f aca="false">E14-D14</f>
        <v>32942.75</v>
      </c>
      <c r="G14" s="12" t="n">
        <f aca="false">IF(D14=0,0,F14/D14)</f>
        <v>0.234685117902686</v>
      </c>
    </row>
    <row r="15" customFormat="false" ht="15" hidden="false" customHeight="true" outlineLevel="0" collapsed="false">
      <c r="B15" s="5" t="s">
        <v>127</v>
      </c>
      <c r="C15" s="5" t="s">
        <v>128</v>
      </c>
      <c r="D15" s="11" t="n">
        <v>118687.33</v>
      </c>
      <c r="E15" s="11" t="n">
        <v>131106.33</v>
      </c>
      <c r="F15" s="11" t="n">
        <f aca="false">E15-D15</f>
        <v>12419</v>
      </c>
      <c r="G15" s="12" t="n">
        <f aca="false">IF(D15=0,0,F15/D15)</f>
        <v>0.104636274149903</v>
      </c>
    </row>
    <row r="16" customFormat="false" ht="15" hidden="false" customHeight="true" outlineLevel="0" collapsed="false">
      <c r="B16" s="5" t="s">
        <v>90</v>
      </c>
      <c r="C16" s="5" t="s">
        <v>91</v>
      </c>
      <c r="D16" s="11" t="n">
        <v>25520</v>
      </c>
      <c r="E16" s="11" t="n">
        <v>36292.5</v>
      </c>
      <c r="F16" s="11" t="n">
        <f aca="false">E16-D16</f>
        <v>10772.5</v>
      </c>
      <c r="G16" s="12" t="n">
        <f aca="false">IF(D16=0,0,F16/D16)</f>
        <v>0.422119905956113</v>
      </c>
    </row>
    <row r="17" customFormat="false" ht="15" hidden="false" customHeight="true" outlineLevel="0" collapsed="false">
      <c r="B17" s="5" t="s">
        <v>99</v>
      </c>
      <c r="C17" s="5" t="s">
        <v>100</v>
      </c>
      <c r="D17" s="11" t="n">
        <v>0</v>
      </c>
      <c r="E17" s="11" t="n">
        <v>2380.94</v>
      </c>
      <c r="F17" s="11" t="n">
        <f aca="false">E17-D17</f>
        <v>2380.94</v>
      </c>
      <c r="G17" s="12" t="n">
        <f aca="false">IF(D17=0,0,F17/D17)</f>
        <v>0</v>
      </c>
    </row>
    <row r="18" customFormat="false" ht="15" hidden="false" customHeight="true" outlineLevel="0" collapsed="false">
      <c r="B18" s="5" t="s">
        <v>129</v>
      </c>
      <c r="C18" s="5" t="s">
        <v>130</v>
      </c>
      <c r="D18" s="11" t="n">
        <v>21109.42</v>
      </c>
      <c r="E18" s="11" t="n">
        <v>23153.01</v>
      </c>
      <c r="F18" s="11" t="n">
        <f aca="false">E18-D18</f>
        <v>2043.59</v>
      </c>
      <c r="G18" s="12" t="n">
        <f aca="false">IF(D18=0,0,F18/D18)</f>
        <v>0.0968093865203308</v>
      </c>
    </row>
    <row r="19" customFormat="false" ht="15" hidden="false" customHeight="true" outlineLevel="0" collapsed="false">
      <c r="B19" s="5" t="s">
        <v>92</v>
      </c>
      <c r="C19" s="5" t="s">
        <v>93</v>
      </c>
      <c r="D19" s="11" t="n">
        <v>6300</v>
      </c>
      <c r="E19" s="11" t="n">
        <v>7448</v>
      </c>
      <c r="F19" s="11" t="n">
        <f aca="false">E19-D19</f>
        <v>1148</v>
      </c>
      <c r="G19" s="12" t="n">
        <f aca="false">IF(D19=0,0,F19/D19)</f>
        <v>0.182222222222222</v>
      </c>
    </row>
    <row r="20" customFormat="false" ht="15" hidden="false" customHeight="true" outlineLevel="0" collapsed="false">
      <c r="B20" s="5" t="s">
        <v>105</v>
      </c>
      <c r="C20" s="5" t="s">
        <v>106</v>
      </c>
      <c r="D20" s="11" t="n">
        <v>5740</v>
      </c>
      <c r="E20" s="11" t="n">
        <v>6453.36</v>
      </c>
      <c r="F20" s="11" t="n">
        <f aca="false">E20-D20</f>
        <v>713.36</v>
      </c>
      <c r="G20" s="12" t="n">
        <f aca="false">IF(D20=0,0,F20/D20)</f>
        <v>0.124278745644599</v>
      </c>
    </row>
    <row r="21" customFormat="false" ht="15" hidden="false" customHeight="true" outlineLevel="0" collapsed="false">
      <c r="B21" s="5" t="s">
        <v>78</v>
      </c>
      <c r="C21" s="5" t="s">
        <v>79</v>
      </c>
      <c r="D21" s="11" t="n">
        <v>7300</v>
      </c>
      <c r="E21" s="11" t="n">
        <v>7873</v>
      </c>
      <c r="F21" s="11" t="n">
        <f aca="false">E21-D21</f>
        <v>573</v>
      </c>
      <c r="G21" s="12" t="n">
        <f aca="false">IF(D21=0,0,F21/D21)</f>
        <v>0.0784931506849315</v>
      </c>
    </row>
    <row r="24" customFormat="false" ht="15" hidden="false" customHeight="true" outlineLevel="0" collapsed="false">
      <c r="B24" s="4" t="s">
        <v>139</v>
      </c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B25" s="10" t="s">
        <v>70</v>
      </c>
      <c r="C25" s="10" t="s">
        <v>71</v>
      </c>
      <c r="D25" s="10" t="s">
        <v>73</v>
      </c>
      <c r="E25" s="10" t="s">
        <v>30</v>
      </c>
      <c r="F25" s="10" t="s">
        <v>140</v>
      </c>
      <c r="G25" s="10" t="s">
        <v>141</v>
      </c>
    </row>
    <row r="26" customFormat="false" ht="15" hidden="false" customHeight="true" outlineLevel="0" collapsed="false">
      <c r="B26" s="5" t="s">
        <v>111</v>
      </c>
      <c r="C26" s="5" t="s">
        <v>112</v>
      </c>
      <c r="D26" s="11" t="n">
        <v>248951</v>
      </c>
      <c r="E26" s="11" t="n">
        <v>192296.61</v>
      </c>
      <c r="F26" s="11" t="n">
        <f aca="false">D26-E26</f>
        <v>56654.39</v>
      </c>
      <c r="G26" s="12" t="n">
        <f aca="false">IF(D26=0,0,F26/D26)</f>
        <v>0.227572454017056</v>
      </c>
    </row>
    <row r="27" customFormat="false" ht="15" hidden="false" customHeight="true" outlineLevel="0" collapsed="false">
      <c r="B27" s="5" t="s">
        <v>109</v>
      </c>
      <c r="C27" s="5" t="s">
        <v>110</v>
      </c>
      <c r="D27" s="11" t="n">
        <v>132050</v>
      </c>
      <c r="E27" s="11" t="n">
        <v>98571.05</v>
      </c>
      <c r="F27" s="11" t="n">
        <f aca="false">D27-E27</f>
        <v>33478.95</v>
      </c>
      <c r="G27" s="12" t="n">
        <f aca="false">IF(D27=0,0,F27/D27)</f>
        <v>0.253532374100719</v>
      </c>
    </row>
    <row r="28" customFormat="false" ht="15" hidden="false" customHeight="true" outlineLevel="0" collapsed="false">
      <c r="B28" s="5" t="s">
        <v>103</v>
      </c>
      <c r="C28" s="5" t="s">
        <v>104</v>
      </c>
      <c r="D28" s="11" t="n">
        <v>29800</v>
      </c>
      <c r="E28" s="11" t="n">
        <v>3724.79</v>
      </c>
      <c r="F28" s="11" t="n">
        <f aca="false">D28-E28</f>
        <v>26075.21</v>
      </c>
      <c r="G28" s="12" t="n">
        <f aca="false">IF(D28=0,0,F28/D28)</f>
        <v>0.875007046979866</v>
      </c>
    </row>
    <row r="29" customFormat="false" ht="15" hidden="false" customHeight="true" outlineLevel="0" collapsed="false">
      <c r="B29" s="5" t="s">
        <v>94</v>
      </c>
      <c r="C29" s="5" t="s">
        <v>95</v>
      </c>
      <c r="D29" s="11" t="n">
        <v>32000</v>
      </c>
      <c r="E29" s="11" t="n">
        <v>19505.5</v>
      </c>
      <c r="F29" s="11" t="n">
        <f aca="false">D29-E29</f>
        <v>12494.5</v>
      </c>
      <c r="G29" s="12" t="n">
        <f aca="false">IF(D29=0,0,F29/D29)</f>
        <v>0.390453125</v>
      </c>
    </row>
    <row r="30" customFormat="false" ht="15" hidden="false" customHeight="true" outlineLevel="0" collapsed="false">
      <c r="B30" s="5" t="s">
        <v>82</v>
      </c>
      <c r="C30" s="5" t="s">
        <v>83</v>
      </c>
      <c r="D30" s="11" t="n">
        <v>38670</v>
      </c>
      <c r="E30" s="11" t="n">
        <v>29981</v>
      </c>
      <c r="F30" s="11" t="n">
        <f aca="false">D30-E30</f>
        <v>8689</v>
      </c>
      <c r="G30" s="12" t="n">
        <f aca="false">IF(D30=0,0,F30/D30)</f>
        <v>0.224696146883889</v>
      </c>
    </row>
    <row r="31" customFormat="false" ht="15" hidden="false" customHeight="true" outlineLevel="0" collapsed="false">
      <c r="B31" s="5" t="s">
        <v>115</v>
      </c>
      <c r="C31" s="5" t="s">
        <v>116</v>
      </c>
      <c r="D31" s="11" t="n">
        <v>51200</v>
      </c>
      <c r="E31" s="11" t="n">
        <v>45904.61</v>
      </c>
      <c r="F31" s="11" t="n">
        <f aca="false">D31-E31</f>
        <v>5295.39</v>
      </c>
      <c r="G31" s="12" t="n">
        <f aca="false">IF(D31=0,0,F31/D31)</f>
        <v>0.1034255859375</v>
      </c>
    </row>
    <row r="32" customFormat="false" ht="15" hidden="false" customHeight="true" outlineLevel="0" collapsed="false">
      <c r="B32" s="5" t="s">
        <v>122</v>
      </c>
      <c r="C32" s="5" t="s">
        <v>123</v>
      </c>
      <c r="D32" s="11" t="n">
        <v>22500</v>
      </c>
      <c r="E32" s="11" t="n">
        <v>17974.5</v>
      </c>
      <c r="F32" s="11" t="n">
        <f aca="false">D32-E32</f>
        <v>4525.5</v>
      </c>
      <c r="G32" s="12" t="n">
        <f aca="false">IF(D32=0,0,F32/D32)</f>
        <v>0.201133333333333</v>
      </c>
    </row>
    <row r="33" customFormat="false" ht="15" hidden="false" customHeight="true" outlineLevel="0" collapsed="false">
      <c r="B33" s="5" t="s">
        <v>117</v>
      </c>
      <c r="C33" s="5" t="s">
        <v>118</v>
      </c>
      <c r="D33" s="11" t="n">
        <v>12000</v>
      </c>
      <c r="E33" s="11" t="n">
        <v>8987.73</v>
      </c>
      <c r="F33" s="11" t="n">
        <f aca="false">D33-E33</f>
        <v>3012.27</v>
      </c>
      <c r="G33" s="12" t="n">
        <f aca="false">IF(D33=0,0,F33/D33)</f>
        <v>0.2510225</v>
      </c>
    </row>
    <row r="34" customFormat="false" ht="15" hidden="false" customHeight="true" outlineLevel="0" collapsed="false">
      <c r="B34" s="5" t="s">
        <v>124</v>
      </c>
      <c r="C34" s="5" t="s">
        <v>125</v>
      </c>
      <c r="D34" s="11" t="n">
        <v>3000</v>
      </c>
      <c r="E34" s="11" t="n">
        <v>246</v>
      </c>
      <c r="F34" s="11" t="n">
        <f aca="false">D34-E34</f>
        <v>2754</v>
      </c>
      <c r="G34" s="12" t="n">
        <f aca="false">IF(D34=0,0,F34/D34)</f>
        <v>0.918</v>
      </c>
    </row>
    <row r="35" customFormat="false" ht="15" hidden="false" customHeight="true" outlineLevel="0" collapsed="false">
      <c r="B35" s="5" t="s">
        <v>101</v>
      </c>
      <c r="C35" s="5" t="s">
        <v>102</v>
      </c>
      <c r="D35" s="11" t="n">
        <v>5685</v>
      </c>
      <c r="E35" s="11" t="n">
        <v>3861</v>
      </c>
      <c r="F35" s="11" t="n">
        <f aca="false">D35-E35</f>
        <v>1824</v>
      </c>
      <c r="G35" s="12" t="n">
        <f aca="false">IF(D35=0,0,F35/D35)</f>
        <v>0.320844327176781</v>
      </c>
    </row>
    <row r="38" customFormat="false" ht="15" hidden="false" customHeight="true" outlineLevel="0" collapsed="false">
      <c r="B38" s="4" t="s">
        <v>62</v>
      </c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B39" s="3" t="s">
        <v>63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64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65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66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67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68</v>
      </c>
      <c r="C44" s="3"/>
      <c r="D44" s="3"/>
      <c r="E44" s="3"/>
      <c r="F44" s="3"/>
      <c r="G44" s="3"/>
      <c r="H44" s="3"/>
      <c r="I44" s="3"/>
    </row>
  </sheetData>
  <mergeCells count="11">
    <mergeCell ref="B2:I2"/>
    <mergeCell ref="B4:I4"/>
    <mergeCell ref="B12:I12"/>
    <mergeCell ref="B24:I24"/>
    <mergeCell ref="B38:I38"/>
    <mergeCell ref="B39:I39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143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144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70</v>
      </c>
      <c r="C6" s="10" t="s">
        <v>71</v>
      </c>
      <c r="D6" s="10" t="s">
        <v>73</v>
      </c>
      <c r="E6" s="10" t="s">
        <v>30</v>
      </c>
      <c r="F6" s="10" t="s">
        <v>31</v>
      </c>
      <c r="G6" s="10" t="s">
        <v>74</v>
      </c>
      <c r="H6" s="10" t="s">
        <v>145</v>
      </c>
      <c r="I6" s="10" t="s">
        <v>135</v>
      </c>
    </row>
    <row r="7" customFormat="false" ht="15" hidden="false" customHeight="true" outlineLevel="0" collapsed="false">
      <c r="B7" s="5" t="s">
        <v>99</v>
      </c>
      <c r="C7" s="5" t="s">
        <v>100</v>
      </c>
      <c r="D7" s="11" t="n">
        <v>0</v>
      </c>
      <c r="E7" s="11" t="n">
        <v>2380.94</v>
      </c>
      <c r="F7" s="11" t="n">
        <f aca="false">D7-E7</f>
        <v>-2380.94</v>
      </c>
      <c r="G7" s="12" t="n">
        <f aca="false">IF(D7=0,0,E7/D7)</f>
        <v>0</v>
      </c>
      <c r="H7" s="12" t="n">
        <f aca="false">IF(378313.74=0,0,E7/378313.74)</f>
        <v>0.00629355941446906</v>
      </c>
      <c r="I7" s="11" t="n">
        <f aca="false">IF(119=0,0,E7/119)</f>
        <v>20.0078991596639</v>
      </c>
    </row>
    <row r="8" customFormat="false" ht="15" hidden="false" customHeight="true" outlineLevel="0" collapsed="false">
      <c r="B8" s="5" t="s">
        <v>101</v>
      </c>
      <c r="C8" s="5" t="s">
        <v>102</v>
      </c>
      <c r="D8" s="11" t="n">
        <v>5685</v>
      </c>
      <c r="E8" s="11" t="n">
        <v>3861</v>
      </c>
      <c r="F8" s="11" t="n">
        <f aca="false">D8-E8</f>
        <v>1824</v>
      </c>
      <c r="G8" s="12" t="n">
        <f aca="false">IF(D8=0,0,E8/D8)</f>
        <v>0.679155672823219</v>
      </c>
      <c r="H8" s="12" t="n">
        <f aca="false">IF(378313.74=0,0,E8/378313.74)</f>
        <v>0.0102058148879287</v>
      </c>
      <c r="I8" s="11" t="n">
        <f aca="false">IF(119=0,0,E8/119)</f>
        <v>32.4453781512605</v>
      </c>
    </row>
    <row r="9" customFormat="false" ht="15" hidden="false" customHeight="true" outlineLevel="0" collapsed="false">
      <c r="B9" s="5" t="s">
        <v>103</v>
      </c>
      <c r="C9" s="5" t="s">
        <v>104</v>
      </c>
      <c r="D9" s="11" t="n">
        <v>29800</v>
      </c>
      <c r="E9" s="11" t="n">
        <v>3724.79</v>
      </c>
      <c r="F9" s="11" t="n">
        <f aca="false">D9-E9</f>
        <v>26075.21</v>
      </c>
      <c r="G9" s="12" t="n">
        <f aca="false">IF(D9=0,0,E9/D9)</f>
        <v>0.124992953020134</v>
      </c>
      <c r="H9" s="12" t="n">
        <f aca="false">IF(378313.74=0,0,E9/378313.74)</f>
        <v>0.0098457698099995</v>
      </c>
      <c r="I9" s="11" t="n">
        <f aca="false">IF(119=0,0,E9/119)</f>
        <v>31.300756302521</v>
      </c>
    </row>
    <row r="10" customFormat="false" ht="15" hidden="false" customHeight="true" outlineLevel="0" collapsed="false">
      <c r="B10" s="5" t="s">
        <v>105</v>
      </c>
      <c r="C10" s="5" t="s">
        <v>106</v>
      </c>
      <c r="D10" s="11" t="n">
        <v>5740</v>
      </c>
      <c r="E10" s="11" t="n">
        <v>6453.36</v>
      </c>
      <c r="F10" s="11" t="n">
        <f aca="false">D10-E10</f>
        <v>-713.36</v>
      </c>
      <c r="G10" s="12" t="n">
        <f aca="false">IF(D10=0,0,E10/D10)</f>
        <v>1.1242787456446</v>
      </c>
      <c r="H10" s="12" t="n">
        <f aca="false">IF(378313.74=0,0,E10/378313.74)</f>
        <v>0.0170582226276</v>
      </c>
      <c r="I10" s="11" t="n">
        <f aca="false">IF(119=0,0,E10/119)</f>
        <v>54.2299159663866</v>
      </c>
    </row>
    <row r="11" customFormat="false" ht="15" hidden="false" customHeight="true" outlineLevel="0" collapsed="false">
      <c r="B11" s="5" t="s">
        <v>107</v>
      </c>
      <c r="C11" s="5" t="s">
        <v>108</v>
      </c>
      <c r="D11" s="11" t="n">
        <v>13365</v>
      </c>
      <c r="E11" s="11" t="n">
        <v>13364.65</v>
      </c>
      <c r="F11" s="11" t="n">
        <f aca="false">D11-E11</f>
        <v>0.350000000000364</v>
      </c>
      <c r="G11" s="12" t="n">
        <f aca="false">IF(D11=0,0,E11/D11)</f>
        <v>0.999973812196034</v>
      </c>
      <c r="H11" s="12" t="n">
        <f aca="false">IF(378313.74=0,0,E11/378313.74)</f>
        <v>0.0353268956078624</v>
      </c>
      <c r="I11" s="11" t="n">
        <f aca="false">IF(119=0,0,E11/119)</f>
        <v>112.307983193277</v>
      </c>
    </row>
    <row r="12" customFormat="false" ht="15" hidden="false" customHeight="true" outlineLevel="0" collapsed="false">
      <c r="B12" s="5" t="s">
        <v>109</v>
      </c>
      <c r="C12" s="5" t="s">
        <v>110</v>
      </c>
      <c r="D12" s="11" t="n">
        <v>132050</v>
      </c>
      <c r="E12" s="11" t="n">
        <v>98571.05</v>
      </c>
      <c r="F12" s="11" t="n">
        <f aca="false">D12-E12</f>
        <v>33478.95</v>
      </c>
      <c r="G12" s="12" t="n">
        <f aca="false">IF(D12=0,0,E12/D12)</f>
        <v>0.746467625899281</v>
      </c>
      <c r="H12" s="12" t="n">
        <f aca="false">IF(378313.74=0,0,E12/378313.74)</f>
        <v>0.260553713962385</v>
      </c>
      <c r="I12" s="11" t="n">
        <f aca="false">IF(119=0,0,E12/119)</f>
        <v>828.328151260504</v>
      </c>
    </row>
    <row r="13" customFormat="false" ht="15" hidden="false" customHeight="true" outlineLevel="0" collapsed="false">
      <c r="B13" s="5" t="s">
        <v>111</v>
      </c>
      <c r="C13" s="5" t="s">
        <v>112</v>
      </c>
      <c r="D13" s="11" t="n">
        <v>248951</v>
      </c>
      <c r="E13" s="11" t="n">
        <v>192296.61</v>
      </c>
      <c r="F13" s="11" t="n">
        <f aca="false">D13-E13</f>
        <v>56654.39</v>
      </c>
      <c r="G13" s="12" t="n">
        <f aca="false">IF(D13=0,0,E13/D13)</f>
        <v>0.772427545982944</v>
      </c>
      <c r="H13" s="12" t="n">
        <f aca="false">IF(378313.74=0,0,E13/378313.74)</f>
        <v>0.508299302055484</v>
      </c>
      <c r="I13" s="11" t="n">
        <f aca="false">IF(119=0,0,E13/119)</f>
        <v>1615.93789915966</v>
      </c>
    </row>
    <row r="14" customFormat="false" ht="15" hidden="false" customHeight="true" outlineLevel="0" collapsed="false">
      <c r="B14" s="5" t="s">
        <v>113</v>
      </c>
      <c r="C14" s="5" t="s">
        <v>114</v>
      </c>
      <c r="D14" s="11" t="n">
        <v>3600</v>
      </c>
      <c r="E14" s="11" t="n">
        <v>2769</v>
      </c>
      <c r="F14" s="11" t="n">
        <f aca="false">D14-E14</f>
        <v>831</v>
      </c>
      <c r="G14" s="12" t="n">
        <f aca="false">IF(D14=0,0,E14/D14)</f>
        <v>0.769166666666667</v>
      </c>
      <c r="H14" s="12" t="n">
        <f aca="false">IF(378313.74=0,0,E14/378313.74)</f>
        <v>0.00731932178831253</v>
      </c>
      <c r="I14" s="11" t="n">
        <f aca="false">IF(119=0,0,E14/119)</f>
        <v>23.2689075630252</v>
      </c>
    </row>
    <row r="15" customFormat="false" ht="15" hidden="false" customHeight="true" outlineLevel="0" collapsed="false">
      <c r="B15" s="5" t="s">
        <v>115</v>
      </c>
      <c r="C15" s="5" t="s">
        <v>116</v>
      </c>
      <c r="D15" s="11" t="n">
        <v>51200</v>
      </c>
      <c r="E15" s="11" t="n">
        <v>45904.61</v>
      </c>
      <c r="F15" s="11" t="n">
        <f aca="false">D15-E15</f>
        <v>5295.39</v>
      </c>
      <c r="G15" s="12" t="n">
        <f aca="false">IF(D15=0,0,E15/D15)</f>
        <v>0.8965744140625</v>
      </c>
      <c r="H15" s="12" t="n">
        <f aca="false">IF(378313.74=0,0,E15/378313.74)</f>
        <v>0.121340054950159</v>
      </c>
      <c r="I15" s="11" t="n">
        <f aca="false">IF(119=0,0,E15/119)</f>
        <v>385.753025210084</v>
      </c>
    </row>
    <row r="16" customFormat="false" ht="15" hidden="false" customHeight="true" outlineLevel="0" collapsed="false">
      <c r="B16" s="5" t="s">
        <v>117</v>
      </c>
      <c r="C16" s="5" t="s">
        <v>118</v>
      </c>
      <c r="D16" s="11" t="n">
        <v>12000</v>
      </c>
      <c r="E16" s="11" t="n">
        <v>8987.73</v>
      </c>
      <c r="F16" s="11" t="n">
        <f aca="false">D16-E16</f>
        <v>3012.27</v>
      </c>
      <c r="G16" s="12" t="n">
        <f aca="false">IF(D16=0,0,E16/D16)</f>
        <v>0.7489775</v>
      </c>
      <c r="H16" s="12" t="n">
        <f aca="false">IF(378313.74=0,0,E16/378313.74)</f>
        <v>0.0237573448958</v>
      </c>
      <c r="I16" s="11" t="n">
        <f aca="false">IF(119=0,0,E16/119)</f>
        <v>75.5271428571429</v>
      </c>
    </row>
    <row r="17" customFormat="false" ht="15" hidden="false" customHeight="true" outlineLevel="0" collapsed="false">
      <c r="B17" s="6" t="s">
        <v>38</v>
      </c>
      <c r="C17" s="6" t="s">
        <v>146</v>
      </c>
      <c r="D17" s="13" t="n">
        <f aca="false">SUM(D7:D16)</f>
        <v>502391</v>
      </c>
      <c r="E17" s="13" t="n">
        <f aca="false">SUM(E7:E16)</f>
        <v>378313.74</v>
      </c>
      <c r="F17" s="13" t="n">
        <f aca="false">D17-E17</f>
        <v>124077.26</v>
      </c>
      <c r="G17" s="14" t="n">
        <f aca="false">IF(D17=0,0,E17/D17)</f>
        <v>0.753026507242367</v>
      </c>
      <c r="H17" s="14" t="n">
        <v>1</v>
      </c>
      <c r="I17" s="13" t="n">
        <f aca="false">IF(119=0,0,E17/119)</f>
        <v>3179.10705882353</v>
      </c>
    </row>
    <row r="20" customFormat="false" ht="15" hidden="false" customHeight="true" outlineLevel="0" collapsed="false">
      <c r="B20" s="4" t="s">
        <v>147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B21" s="10" t="s">
        <v>148</v>
      </c>
      <c r="C21" s="10" t="s">
        <v>149</v>
      </c>
      <c r="D21" s="10" t="s">
        <v>150</v>
      </c>
      <c r="E21" s="10" t="s">
        <v>151</v>
      </c>
      <c r="F21" s="10"/>
      <c r="G21" s="10"/>
      <c r="H21" s="10"/>
      <c r="I21" s="10" t="s">
        <v>152</v>
      </c>
    </row>
    <row r="22" customFormat="false" ht="15" hidden="false" customHeight="true" outlineLevel="0" collapsed="false">
      <c r="B22" s="5" t="s">
        <v>153</v>
      </c>
      <c r="C22" s="15" t="n">
        <v>102</v>
      </c>
      <c r="D22" s="11" t="n">
        <v>176571.46</v>
      </c>
      <c r="E22" s="12" t="n">
        <f aca="false">IF(458376.37=0,0,D22/458376.37)</f>
        <v>0.385210651238414</v>
      </c>
      <c r="I22" s="11" t="n">
        <f aca="false">IF(C22=0,0,D22/C22)</f>
        <v>1731.09274509804</v>
      </c>
    </row>
    <row r="23" customFormat="false" ht="15" hidden="false" customHeight="true" outlineLevel="0" collapsed="false">
      <c r="B23" s="5" t="s">
        <v>154</v>
      </c>
      <c r="C23" s="15" t="n">
        <v>85</v>
      </c>
      <c r="D23" s="11" t="n">
        <v>139209.01</v>
      </c>
      <c r="E23" s="12" t="n">
        <f aca="false">IF(458376.37=0,0,D23/458376.37)</f>
        <v>0.303700232191289</v>
      </c>
      <c r="I23" s="11" t="n">
        <f aca="false">IF(C23=0,0,D23/C23)</f>
        <v>1637.75305882353</v>
      </c>
    </row>
    <row r="24" customFormat="false" ht="15" hidden="false" customHeight="true" outlineLevel="0" collapsed="false">
      <c r="B24" s="5" t="s">
        <v>155</v>
      </c>
      <c r="C24" s="15" t="n">
        <v>18</v>
      </c>
      <c r="D24" s="11" t="n">
        <v>72780.98</v>
      </c>
      <c r="E24" s="12" t="n">
        <f aca="false">IF(458376.37=0,0,D24/458376.37)</f>
        <v>0.158779956305339</v>
      </c>
      <c r="I24" s="11" t="n">
        <f aca="false">IF(C24=0,0,D24/C24)</f>
        <v>4043.38777777778</v>
      </c>
    </row>
    <row r="25" customFormat="false" ht="15" hidden="false" customHeight="true" outlineLevel="0" collapsed="false">
      <c r="B25" s="5" t="s">
        <v>156</v>
      </c>
      <c r="C25" s="15" t="n">
        <v>5</v>
      </c>
      <c r="D25" s="11" t="n">
        <v>17974.5</v>
      </c>
      <c r="E25" s="12" t="n">
        <f aca="false">IF(458376.37=0,0,D25/458376.37)</f>
        <v>0.0392134088412978</v>
      </c>
      <c r="I25" s="11" t="n">
        <f aca="false">IF(C25=0,0,D25/C25)</f>
        <v>3594.9</v>
      </c>
    </row>
    <row r="26" customFormat="false" ht="15" hidden="false" customHeight="true" outlineLevel="0" collapsed="false">
      <c r="B26" s="5" t="s">
        <v>157</v>
      </c>
      <c r="C26" s="15" t="n">
        <v>2</v>
      </c>
      <c r="D26" s="11" t="n">
        <v>12800</v>
      </c>
      <c r="E26" s="12" t="n">
        <f aca="false">IF(458376.37=0,0,D26/458376.37)</f>
        <v>0.0279246506533485</v>
      </c>
      <c r="I26" s="11" t="n">
        <f aca="false">IF(C26=0,0,D26/C26)</f>
        <v>6400</v>
      </c>
    </row>
    <row r="27" customFormat="false" ht="15" hidden="false" customHeight="true" outlineLevel="0" collapsed="false">
      <c r="B27" s="5" t="s">
        <v>158</v>
      </c>
      <c r="C27" s="15" t="n">
        <v>11</v>
      </c>
      <c r="D27" s="11" t="n">
        <v>8131.24</v>
      </c>
      <c r="E27" s="12" t="n">
        <f aca="false">IF(458376.37=0,0,D27/458376.37)</f>
        <v>0.0177392215920729</v>
      </c>
      <c r="I27" s="11" t="n">
        <f aca="false">IF(C27=0,0,D27/C27)</f>
        <v>739.203636363636</v>
      </c>
    </row>
    <row r="28" customFormat="false" ht="15" hidden="false" customHeight="true" outlineLevel="0" collapsed="false">
      <c r="B28" s="5" t="s">
        <v>159</v>
      </c>
      <c r="C28" s="15" t="n">
        <v>6</v>
      </c>
      <c r="D28" s="11" t="n">
        <v>8076</v>
      </c>
      <c r="E28" s="12" t="n">
        <f aca="false">IF(458376.37=0,0,D28/458376.37)</f>
        <v>0.0176187092715971</v>
      </c>
      <c r="I28" s="11" t="n">
        <f aca="false">IF(C28=0,0,D28/C28)</f>
        <v>1346</v>
      </c>
    </row>
    <row r="29" customFormat="false" ht="15" hidden="false" customHeight="true" outlineLevel="0" collapsed="false">
      <c r="B29" s="5" t="s">
        <v>160</v>
      </c>
      <c r="C29" s="15" t="n">
        <v>3</v>
      </c>
      <c r="D29" s="11" t="n">
        <v>5921</v>
      </c>
      <c r="E29" s="12" t="n">
        <f aca="false">IF(458376.37=0,0,D29/458376.37)</f>
        <v>0.012917332540506</v>
      </c>
      <c r="I29" s="11" t="n">
        <f aca="false">IF(C29=0,0,D29/C29)</f>
        <v>1973.66666666667</v>
      </c>
    </row>
    <row r="30" customFormat="false" ht="15" hidden="false" customHeight="true" outlineLevel="0" collapsed="false">
      <c r="B30" s="5" t="s">
        <v>161</v>
      </c>
      <c r="C30" s="15" t="n">
        <v>6</v>
      </c>
      <c r="D30" s="11" t="n">
        <v>4412.21</v>
      </c>
      <c r="E30" s="12" t="n">
        <f aca="false">IF(458376.37=0,0,D30/458376.37)</f>
        <v>0.00962573616087583</v>
      </c>
      <c r="I30" s="11" t="n">
        <f aca="false">IF(C30=0,0,D30/C30)</f>
        <v>735.368333333333</v>
      </c>
    </row>
    <row r="31" customFormat="false" ht="15" hidden="false" customHeight="true" outlineLevel="0" collapsed="false">
      <c r="B31" s="5" t="s">
        <v>162</v>
      </c>
      <c r="C31" s="15" t="n">
        <v>2</v>
      </c>
      <c r="D31" s="11" t="n">
        <v>2840</v>
      </c>
      <c r="E31" s="12" t="n">
        <f aca="false">IF(458376.37=0,0,D31/458376.37)</f>
        <v>0.00619578186371169</v>
      </c>
      <c r="I31" s="11" t="n">
        <f aca="false">IF(C31=0,0,D31/C31)</f>
        <v>1420</v>
      </c>
    </row>
    <row r="32" customFormat="false" ht="15" hidden="false" customHeight="true" outlineLevel="0" collapsed="false">
      <c r="B32" s="5" t="s">
        <v>163</v>
      </c>
      <c r="C32" s="15" t="n">
        <v>3</v>
      </c>
      <c r="D32" s="11" t="n">
        <v>2465</v>
      </c>
      <c r="E32" s="12" t="n">
        <f aca="false">IF(458376.37=0,0,D32/458376.37)</f>
        <v>0.00537767686410187</v>
      </c>
      <c r="I32" s="11" t="n">
        <f aca="false">IF(C32=0,0,D32/C32)</f>
        <v>821.666666666667</v>
      </c>
    </row>
    <row r="33" customFormat="false" ht="15" hidden="false" customHeight="true" outlineLevel="0" collapsed="false">
      <c r="B33" s="5" t="s">
        <v>164</v>
      </c>
      <c r="C33" s="15" t="n">
        <v>2</v>
      </c>
      <c r="D33" s="11" t="n">
        <v>2140</v>
      </c>
      <c r="E33" s="12" t="n">
        <f aca="false">IF(458376.37=0,0,D33/458376.37)</f>
        <v>0.0046686525311067</v>
      </c>
      <c r="I33" s="11" t="n">
        <f aca="false">IF(C33=0,0,D33/C33)</f>
        <v>1070</v>
      </c>
    </row>
    <row r="34" customFormat="false" ht="15" hidden="false" customHeight="true" outlineLevel="0" collapsed="false">
      <c r="B34" s="5" t="s">
        <v>165</v>
      </c>
      <c r="C34" s="15" t="n">
        <v>4</v>
      </c>
      <c r="D34" s="11" t="n">
        <v>1340.48</v>
      </c>
      <c r="E34" s="12" t="n">
        <f aca="false">IF(458376.37=0,0,D34/458376.37)</f>
        <v>0.00292440903967192</v>
      </c>
      <c r="I34" s="11" t="n">
        <f aca="false">IF(C34=0,0,D34/C34)</f>
        <v>335.12</v>
      </c>
    </row>
    <row r="35" customFormat="false" ht="15" hidden="false" customHeight="true" outlineLevel="0" collapsed="false">
      <c r="B35" s="5" t="s">
        <v>166</v>
      </c>
      <c r="C35" s="15" t="n">
        <v>2</v>
      </c>
      <c r="D35" s="11" t="n">
        <v>1134.15</v>
      </c>
      <c r="E35" s="12" t="n">
        <f aca="false">IF(458376.37=0,0,D35/458376.37)</f>
        <v>0.00247427676081994</v>
      </c>
      <c r="I35" s="11" t="n">
        <f aca="false">IF(C35=0,0,D35/C35)</f>
        <v>567.075</v>
      </c>
    </row>
    <row r="36" customFormat="false" ht="15" hidden="false" customHeight="true" outlineLevel="0" collapsed="false">
      <c r="B36" s="5" t="s">
        <v>167</v>
      </c>
      <c r="C36" s="15" t="n">
        <v>3</v>
      </c>
      <c r="D36" s="11" t="n">
        <v>811.46</v>
      </c>
      <c r="E36" s="12" t="n">
        <f aca="false">IF(458376.37=0,0,D36/458376.37)</f>
        <v>0.00177029195462236</v>
      </c>
      <c r="I36" s="11" t="n">
        <f aca="false">IF(C36=0,0,D36/C36)</f>
        <v>270.486666666667</v>
      </c>
    </row>
    <row r="37" customFormat="false" ht="15" hidden="false" customHeight="true" outlineLevel="0" collapsed="false">
      <c r="B37" s="5" t="s">
        <v>168</v>
      </c>
      <c r="C37" s="15" t="n">
        <v>3</v>
      </c>
      <c r="D37" s="11" t="n">
        <v>702.97</v>
      </c>
      <c r="E37" s="12" t="n">
        <f aca="false">IF(458376.37=0,0,D37/458376.37)</f>
        <v>0.0015336087242019</v>
      </c>
      <c r="I37" s="11" t="n">
        <f aca="false">IF(C37=0,0,D37/C37)</f>
        <v>234.323333333333</v>
      </c>
    </row>
    <row r="38" customFormat="false" ht="15" hidden="false" customHeight="true" outlineLevel="0" collapsed="false">
      <c r="B38" s="5" t="s">
        <v>169</v>
      </c>
      <c r="C38" s="15" t="n">
        <v>1</v>
      </c>
      <c r="D38" s="11" t="n">
        <v>500</v>
      </c>
      <c r="E38" s="12" t="n">
        <f aca="false">IF(458376.37=0,0,D38/458376.37)</f>
        <v>0.00109080666614642</v>
      </c>
      <c r="I38" s="11" t="n">
        <f aca="false">IF(C38=0,0,D38/C38)</f>
        <v>500</v>
      </c>
    </row>
    <row r="39" customFormat="false" ht="15" hidden="false" customHeight="true" outlineLevel="0" collapsed="false">
      <c r="B39" s="5" t="s">
        <v>170</v>
      </c>
      <c r="C39" s="15" t="n">
        <v>4</v>
      </c>
      <c r="D39" s="11" t="n">
        <v>258.11</v>
      </c>
      <c r="E39" s="12" t="n">
        <f aca="false">IF(458376.37=0,0,D39/458376.37)</f>
        <v>0.000563096217198107</v>
      </c>
      <c r="I39" s="11" t="n">
        <f aca="false">IF(C39=0,0,D39/C39)</f>
        <v>64.5275</v>
      </c>
    </row>
    <row r="40" customFormat="false" ht="15" hidden="false" customHeight="true" outlineLevel="0" collapsed="false">
      <c r="B40" s="5" t="s">
        <v>171</v>
      </c>
      <c r="C40" s="15" t="n">
        <v>2</v>
      </c>
      <c r="D40" s="11" t="n">
        <v>195</v>
      </c>
      <c r="E40" s="12" t="n">
        <f aca="false">IF(458376.37=0,0,D40/458376.37)</f>
        <v>0.000425414599797106</v>
      </c>
      <c r="I40" s="11" t="n">
        <f aca="false">IF(C40=0,0,D40/C40)</f>
        <v>97.5</v>
      </c>
    </row>
    <row r="41" customFormat="false" ht="15" hidden="false" customHeight="true" outlineLevel="0" collapsed="false">
      <c r="B41" s="5" t="s">
        <v>172</v>
      </c>
      <c r="C41" s="15" t="n">
        <v>2</v>
      </c>
      <c r="D41" s="11" t="n">
        <v>112.8</v>
      </c>
      <c r="E41" s="12" t="n">
        <f aca="false">IF(458376.37=0,0,D41/458376.37)</f>
        <v>0.000246085983882633</v>
      </c>
      <c r="I41" s="11" t="n">
        <f aca="false">IF(C41=0,0,D41/C41)</f>
        <v>56.4</v>
      </c>
    </row>
    <row r="42" customFormat="false" ht="15" hidden="false" customHeight="true" outlineLevel="0" collapsed="false">
      <c r="B42" s="6" t="s">
        <v>38</v>
      </c>
      <c r="C42" s="16" t="n">
        <f aca="false">SUM(C22:C41)</f>
        <v>266</v>
      </c>
      <c r="D42" s="13" t="n">
        <f aca="false">SUM(D22:D41)</f>
        <v>458376.37</v>
      </c>
      <c r="E42" s="14" t="n">
        <v>1</v>
      </c>
    </row>
    <row r="45" customFormat="false" ht="15" hidden="false" customHeight="true" outlineLevel="0" collapsed="false">
      <c r="B45" s="4" t="s">
        <v>62</v>
      </c>
      <c r="C45" s="4"/>
      <c r="D45" s="4"/>
      <c r="E45" s="4"/>
      <c r="F45" s="4"/>
      <c r="G45" s="4"/>
      <c r="H45" s="4"/>
      <c r="I45" s="4"/>
    </row>
    <row r="46" customFormat="false" ht="15" hidden="false" customHeight="true" outlineLevel="0" collapsed="false">
      <c r="B46" s="3" t="s">
        <v>63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64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65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66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67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68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173</v>
      </c>
      <c r="C52" s="3"/>
      <c r="D52" s="3"/>
      <c r="E52" s="3"/>
      <c r="F52" s="3"/>
      <c r="G52" s="3"/>
      <c r="H52" s="3"/>
      <c r="I52" s="3"/>
    </row>
  </sheetData>
  <mergeCells count="12">
    <mergeCell ref="B2:I2"/>
    <mergeCell ref="B3:I3"/>
    <mergeCell ref="B5:I5"/>
    <mergeCell ref="B20:I20"/>
    <mergeCell ref="B45:I45"/>
    <mergeCell ref="B46:I46"/>
    <mergeCell ref="B47:I47"/>
    <mergeCell ref="B48:I48"/>
    <mergeCell ref="B49:I49"/>
    <mergeCell ref="B50:I50"/>
    <mergeCell ref="B51:I51"/>
    <mergeCell ref="B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174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175</v>
      </c>
      <c r="C4" s="10" t="s">
        <v>176</v>
      </c>
      <c r="D4" s="10" t="s">
        <v>177</v>
      </c>
      <c r="E4" s="10" t="s">
        <v>178</v>
      </c>
      <c r="F4" s="10" t="s">
        <v>179</v>
      </c>
    </row>
    <row r="5" customFormat="false" ht="15" hidden="false" customHeight="true" outlineLevel="0" collapsed="false">
      <c r="B5" s="5" t="s">
        <v>180</v>
      </c>
      <c r="C5" s="17" t="n">
        <v>1282</v>
      </c>
      <c r="D5" s="11" t="n">
        <v>19700</v>
      </c>
      <c r="E5" s="18" t="n">
        <f aca="false">IF(C5=0,0,D5/C5)</f>
        <v>15.3666146645866</v>
      </c>
      <c r="F5" s="5" t="s">
        <v>181</v>
      </c>
    </row>
    <row r="6" customFormat="false" ht="15" hidden="false" customHeight="true" outlineLevel="0" collapsed="false">
      <c r="B6" s="5" t="s">
        <v>182</v>
      </c>
      <c r="C6" s="17" t="n">
        <v>1186</v>
      </c>
      <c r="D6" s="11" t="n">
        <v>16982</v>
      </c>
      <c r="E6" s="18" t="n">
        <f aca="false">IF(C6=0,0,D6/C6)</f>
        <v>14.318718381113</v>
      </c>
      <c r="F6" s="5" t="s">
        <v>181</v>
      </c>
    </row>
    <row r="7" customFormat="false" ht="15" hidden="false" customHeight="true" outlineLevel="0" collapsed="false">
      <c r="B7" s="5" t="s">
        <v>183</v>
      </c>
      <c r="C7" s="17" t="n">
        <v>1176</v>
      </c>
      <c r="D7" s="11" t="n">
        <v>33725</v>
      </c>
      <c r="E7" s="18" t="n">
        <f aca="false">IF(C7=0,0,D7/C7)</f>
        <v>28.6777210884354</v>
      </c>
      <c r="F7" s="5" t="s">
        <v>184</v>
      </c>
    </row>
    <row r="8" customFormat="false" ht="15" hidden="false" customHeight="true" outlineLevel="0" collapsed="false">
      <c r="B8" s="5" t="s">
        <v>185</v>
      </c>
      <c r="C8" s="17" t="n">
        <v>1006.5</v>
      </c>
      <c r="D8" s="11" t="n">
        <v>13658</v>
      </c>
      <c r="E8" s="18" t="n">
        <f aca="false">IF(C8=0,0,D8/C8)</f>
        <v>13.5697963238947</v>
      </c>
      <c r="F8" s="5" t="s">
        <v>181</v>
      </c>
    </row>
    <row r="9" customFormat="false" ht="15" hidden="false" customHeight="true" outlineLevel="0" collapsed="false">
      <c r="B9" s="5" t="s">
        <v>186</v>
      </c>
      <c r="C9" s="17" t="n">
        <v>1002</v>
      </c>
      <c r="D9" s="11" t="n">
        <v>32471</v>
      </c>
      <c r="E9" s="18" t="n">
        <f aca="false">IF(C9=0,0,D9/C9)</f>
        <v>32.4061876247505</v>
      </c>
      <c r="F9" s="5" t="s">
        <v>187</v>
      </c>
    </row>
    <row r="10" customFormat="false" ht="15" hidden="false" customHeight="true" outlineLevel="0" collapsed="false">
      <c r="B10" s="5" t="s">
        <v>188</v>
      </c>
      <c r="C10" s="17" t="n">
        <v>921</v>
      </c>
      <c r="D10" s="11" t="n">
        <v>18933</v>
      </c>
      <c r="E10" s="18" t="n">
        <f aca="false">IF(C10=0,0,D10/C10)</f>
        <v>20.557003257329</v>
      </c>
      <c r="F10" s="5" t="s">
        <v>184</v>
      </c>
    </row>
    <row r="11" customFormat="false" ht="15" hidden="false" customHeight="true" outlineLevel="0" collapsed="false">
      <c r="B11" s="5" t="s">
        <v>189</v>
      </c>
      <c r="C11" s="17" t="n">
        <v>909</v>
      </c>
      <c r="D11" s="11" t="n">
        <v>17124</v>
      </c>
      <c r="E11" s="18" t="n">
        <f aca="false">IF(C11=0,0,D11/C11)</f>
        <v>18.8382838283828</v>
      </c>
      <c r="F11" s="5" t="s">
        <v>184</v>
      </c>
    </row>
    <row r="12" customFormat="false" ht="15" hidden="false" customHeight="true" outlineLevel="0" collapsed="false">
      <c r="B12" s="5" t="s">
        <v>190</v>
      </c>
      <c r="C12" s="17" t="n">
        <v>784</v>
      </c>
      <c r="D12" s="11" t="n">
        <v>14896</v>
      </c>
      <c r="E12" s="18" t="n">
        <f aca="false">IF(C12=0,0,D12/C12)</f>
        <v>19</v>
      </c>
      <c r="F12" s="5" t="s">
        <v>184</v>
      </c>
    </row>
    <row r="13" customFormat="false" ht="15" hidden="false" customHeight="true" outlineLevel="0" collapsed="false">
      <c r="B13" s="5" t="s">
        <v>191</v>
      </c>
      <c r="C13" s="17" t="n">
        <v>687.5</v>
      </c>
      <c r="D13" s="11" t="n">
        <v>12177</v>
      </c>
      <c r="E13" s="18" t="n">
        <f aca="false">IF(C13=0,0,D13/C13)</f>
        <v>17.712</v>
      </c>
      <c r="F13" s="5" t="s">
        <v>181</v>
      </c>
    </row>
    <row r="14" customFormat="false" ht="15" hidden="false" customHeight="true" outlineLevel="0" collapsed="false">
      <c r="B14" s="5" t="s">
        <v>192</v>
      </c>
      <c r="C14" s="17" t="n">
        <v>606</v>
      </c>
      <c r="D14" s="11" t="n">
        <v>8164</v>
      </c>
      <c r="E14" s="18" t="n">
        <f aca="false">IF(C14=0,0,D14/C14)</f>
        <v>13.4719471947195</v>
      </c>
      <c r="F14" s="5" t="s">
        <v>181</v>
      </c>
    </row>
    <row r="15" customFormat="false" ht="15" hidden="false" customHeight="true" outlineLevel="0" collapsed="false">
      <c r="B15" s="5" t="s">
        <v>193</v>
      </c>
      <c r="C15" s="17" t="n">
        <v>490</v>
      </c>
      <c r="D15" s="11" t="n">
        <v>8061</v>
      </c>
      <c r="E15" s="18" t="n">
        <f aca="false">IF(C15=0,0,D15/C15)</f>
        <v>16.4510204081633</v>
      </c>
      <c r="F15" s="5" t="s">
        <v>181</v>
      </c>
    </row>
    <row r="16" customFormat="false" ht="15" hidden="false" customHeight="true" outlineLevel="0" collapsed="false">
      <c r="B16" s="5" t="s">
        <v>194</v>
      </c>
      <c r="C16" s="17" t="n">
        <v>442.5</v>
      </c>
      <c r="D16" s="11" t="n">
        <v>7471</v>
      </c>
      <c r="E16" s="18" t="n">
        <f aca="false">IF(C16=0,0,D16/C16)</f>
        <v>16.883615819209</v>
      </c>
      <c r="F16" s="5" t="s">
        <v>181</v>
      </c>
    </row>
    <row r="17" customFormat="false" ht="15" hidden="false" customHeight="true" outlineLevel="0" collapsed="false">
      <c r="B17" s="5" t="s">
        <v>195</v>
      </c>
      <c r="C17" s="17" t="n">
        <v>408</v>
      </c>
      <c r="D17" s="11" t="n">
        <v>6352</v>
      </c>
      <c r="E17" s="18" t="n">
        <f aca="false">IF(C17=0,0,D17/C17)</f>
        <v>15.5686274509804</v>
      </c>
      <c r="F17" s="5" t="s">
        <v>181</v>
      </c>
    </row>
    <row r="18" customFormat="false" ht="15" hidden="false" customHeight="true" outlineLevel="0" collapsed="false">
      <c r="B18" s="5" t="s">
        <v>196</v>
      </c>
      <c r="C18" s="17" t="n">
        <v>405.5</v>
      </c>
      <c r="D18" s="11" t="n">
        <v>5930.5</v>
      </c>
      <c r="E18" s="18" t="n">
        <f aca="false">IF(C18=0,0,D18/C18)</f>
        <v>14.6251541307028</v>
      </c>
      <c r="F18" s="5" t="s">
        <v>181</v>
      </c>
    </row>
    <row r="19" customFormat="false" ht="15" hidden="false" customHeight="true" outlineLevel="0" collapsed="false">
      <c r="B19" s="5" t="s">
        <v>197</v>
      </c>
      <c r="C19" s="17" t="n">
        <v>401</v>
      </c>
      <c r="D19" s="11" t="n">
        <v>10159</v>
      </c>
      <c r="E19" s="18" t="n">
        <f aca="false">IF(C19=0,0,D19/C19)</f>
        <v>25.3341645885287</v>
      </c>
      <c r="F19" s="5" t="s">
        <v>184</v>
      </c>
    </row>
    <row r="20" customFormat="false" ht="15" hidden="false" customHeight="true" outlineLevel="0" collapsed="false">
      <c r="B20" s="5" t="s">
        <v>198</v>
      </c>
      <c r="C20" s="17" t="n">
        <v>397</v>
      </c>
      <c r="D20" s="11" t="n">
        <v>5811</v>
      </c>
      <c r="E20" s="18" t="n">
        <f aca="false">IF(C20=0,0,D20/C20)</f>
        <v>14.6372795969773</v>
      </c>
      <c r="F20" s="5" t="s">
        <v>181</v>
      </c>
    </row>
    <row r="21" customFormat="false" ht="15" hidden="false" customHeight="true" outlineLevel="0" collapsed="false">
      <c r="B21" s="5" t="s">
        <v>199</v>
      </c>
      <c r="C21" s="17" t="n">
        <v>394</v>
      </c>
      <c r="D21" s="11" t="n">
        <v>11269</v>
      </c>
      <c r="E21" s="18" t="n">
        <f aca="false">IF(C21=0,0,D21/C21)</f>
        <v>28.6015228426396</v>
      </c>
      <c r="F21" s="5" t="s">
        <v>184</v>
      </c>
    </row>
    <row r="22" customFormat="false" ht="15" hidden="false" customHeight="true" outlineLevel="0" collapsed="false">
      <c r="B22" s="5" t="s">
        <v>200</v>
      </c>
      <c r="C22" s="17" t="n">
        <v>331.5</v>
      </c>
      <c r="D22" s="11" t="n">
        <v>12927</v>
      </c>
      <c r="E22" s="18" t="n">
        <f aca="false">IF(C22=0,0,D22/C22)</f>
        <v>38.9954751131222</v>
      </c>
      <c r="F22" s="5" t="s">
        <v>187</v>
      </c>
    </row>
    <row r="23" customFormat="false" ht="15" hidden="false" customHeight="true" outlineLevel="0" collapsed="false">
      <c r="B23" s="5" t="s">
        <v>201</v>
      </c>
      <c r="C23" s="17" t="n">
        <v>312</v>
      </c>
      <c r="D23" s="11" t="n">
        <v>4216</v>
      </c>
      <c r="E23" s="18" t="n">
        <f aca="false">IF(C23=0,0,D23/C23)</f>
        <v>13.5128205128205</v>
      </c>
      <c r="F23" s="5" t="s">
        <v>181</v>
      </c>
    </row>
    <row r="24" customFormat="false" ht="15" hidden="false" customHeight="true" outlineLevel="0" collapsed="false">
      <c r="B24" s="5" t="s">
        <v>202</v>
      </c>
      <c r="C24" s="17" t="n">
        <v>220.5</v>
      </c>
      <c r="D24" s="11" t="n">
        <v>3420</v>
      </c>
      <c r="E24" s="18" t="n">
        <f aca="false">IF(C24=0,0,D24/C24)</f>
        <v>15.5102040816327</v>
      </c>
      <c r="F24" s="5" t="s">
        <v>181</v>
      </c>
    </row>
    <row r="25" customFormat="false" ht="15" hidden="false" customHeight="true" outlineLevel="0" collapsed="false">
      <c r="B25" s="5" t="s">
        <v>203</v>
      </c>
      <c r="C25" s="17" t="n">
        <v>216.5</v>
      </c>
      <c r="D25" s="11" t="n">
        <v>3312</v>
      </c>
      <c r="E25" s="18" t="n">
        <f aca="false">IF(C25=0,0,D25/C25)</f>
        <v>15.29792147806</v>
      </c>
      <c r="F25" s="5" t="s">
        <v>181</v>
      </c>
    </row>
    <row r="26" customFormat="false" ht="15" hidden="false" customHeight="true" outlineLevel="0" collapsed="false">
      <c r="B26" s="5" t="s">
        <v>204</v>
      </c>
      <c r="C26" s="17" t="n">
        <v>214</v>
      </c>
      <c r="D26" s="11" t="n">
        <v>3340.75</v>
      </c>
      <c r="E26" s="18" t="n">
        <f aca="false">IF(C26=0,0,D26/C26)</f>
        <v>15.6109813084112</v>
      </c>
      <c r="F26" s="5" t="s">
        <v>181</v>
      </c>
    </row>
    <row r="27" customFormat="false" ht="15" hidden="false" customHeight="true" outlineLevel="0" collapsed="false">
      <c r="B27" s="5" t="s">
        <v>205</v>
      </c>
      <c r="C27" s="17" t="n">
        <v>156</v>
      </c>
      <c r="D27" s="11" t="n">
        <v>4809</v>
      </c>
      <c r="E27" s="18" t="n">
        <f aca="false">IF(C27=0,0,D27/C27)</f>
        <v>30.8269230769231</v>
      </c>
      <c r="F27" s="5" t="s">
        <v>187</v>
      </c>
    </row>
    <row r="28" customFormat="false" ht="15" hidden="false" customHeight="true" outlineLevel="0" collapsed="false">
      <c r="B28" s="5" t="s">
        <v>206</v>
      </c>
      <c r="C28" s="17" t="n">
        <v>150.5</v>
      </c>
      <c r="D28" s="11" t="n">
        <v>2468.5</v>
      </c>
      <c r="E28" s="18" t="n">
        <f aca="false">IF(C28=0,0,D28/C28)</f>
        <v>16.4019933554817</v>
      </c>
      <c r="F28" s="5" t="s">
        <v>181</v>
      </c>
    </row>
    <row r="29" customFormat="false" ht="15" hidden="false" customHeight="true" outlineLevel="0" collapsed="false">
      <c r="B29" s="5" t="s">
        <v>207</v>
      </c>
      <c r="C29" s="17" t="n">
        <v>140</v>
      </c>
      <c r="D29" s="11" t="n">
        <v>3920</v>
      </c>
      <c r="E29" s="18" t="n">
        <f aca="false">IF(C29=0,0,D29/C29)</f>
        <v>28</v>
      </c>
      <c r="F29" s="5" t="s">
        <v>184</v>
      </c>
    </row>
    <row r="30" customFormat="false" ht="15" hidden="false" customHeight="true" outlineLevel="0" collapsed="false">
      <c r="B30" s="5" t="s">
        <v>208</v>
      </c>
      <c r="C30" s="17" t="n">
        <v>114.5</v>
      </c>
      <c r="D30" s="11" t="n">
        <v>1488.5</v>
      </c>
      <c r="E30" s="18" t="n">
        <f aca="false">IF(C30=0,0,D30/C30)</f>
        <v>13</v>
      </c>
      <c r="F30" s="5" t="s">
        <v>181</v>
      </c>
    </row>
    <row r="31" customFormat="false" ht="15" hidden="false" customHeight="true" outlineLevel="0" collapsed="false">
      <c r="B31" s="5" t="s">
        <v>209</v>
      </c>
      <c r="C31" s="17" t="n">
        <v>111.5</v>
      </c>
      <c r="D31" s="11" t="n">
        <v>1641</v>
      </c>
      <c r="E31" s="18" t="n">
        <f aca="false">IF(C31=0,0,D31/C31)</f>
        <v>14.7174887892377</v>
      </c>
      <c r="F31" s="5" t="s">
        <v>181</v>
      </c>
    </row>
    <row r="32" customFormat="false" ht="15" hidden="false" customHeight="true" outlineLevel="0" collapsed="false">
      <c r="B32" s="5" t="s">
        <v>210</v>
      </c>
      <c r="C32" s="17" t="n">
        <v>107</v>
      </c>
      <c r="D32" s="11" t="n">
        <v>3103</v>
      </c>
      <c r="E32" s="18" t="n">
        <f aca="false">IF(C32=0,0,D32/C32)</f>
        <v>29</v>
      </c>
      <c r="F32" s="5" t="s">
        <v>184</v>
      </c>
    </row>
    <row r="33" customFormat="false" ht="15" hidden="false" customHeight="true" outlineLevel="0" collapsed="false">
      <c r="B33" s="5" t="s">
        <v>211</v>
      </c>
      <c r="C33" s="17" t="n">
        <v>88</v>
      </c>
      <c r="D33" s="11" t="n">
        <v>1144</v>
      </c>
      <c r="E33" s="18" t="n">
        <f aca="false">IF(C33=0,0,D33/C33)</f>
        <v>13</v>
      </c>
      <c r="F33" s="5" t="s">
        <v>181</v>
      </c>
    </row>
    <row r="34" customFormat="false" ht="15" hidden="false" customHeight="true" outlineLevel="0" collapsed="false">
      <c r="B34" s="5" t="s">
        <v>212</v>
      </c>
      <c r="C34" s="17" t="n">
        <v>73</v>
      </c>
      <c r="D34" s="11" t="n">
        <v>936</v>
      </c>
      <c r="E34" s="18" t="n">
        <f aca="false">IF(C34=0,0,D34/C34)</f>
        <v>12.8219178082192</v>
      </c>
      <c r="F34" s="5" t="s">
        <v>181</v>
      </c>
    </row>
    <row r="35" customFormat="false" ht="15" hidden="false" customHeight="true" outlineLevel="0" collapsed="false">
      <c r="B35" s="5" t="s">
        <v>213</v>
      </c>
      <c r="C35" s="17" t="n">
        <v>59</v>
      </c>
      <c r="D35" s="11" t="n">
        <v>1003</v>
      </c>
      <c r="E35" s="18" t="n">
        <f aca="false">IF(C35=0,0,D35/C35)</f>
        <v>17</v>
      </c>
      <c r="F35" s="5" t="s">
        <v>181</v>
      </c>
    </row>
    <row r="36" customFormat="false" ht="15" hidden="false" customHeight="true" outlineLevel="0" collapsed="false">
      <c r="B36" s="5" t="s">
        <v>214</v>
      </c>
      <c r="C36" s="17" t="n">
        <v>29</v>
      </c>
      <c r="D36" s="11" t="n">
        <v>1305</v>
      </c>
      <c r="E36" s="18" t="n">
        <f aca="false">IF(C36=0,0,D36/C36)</f>
        <v>45</v>
      </c>
      <c r="F36" s="5" t="s">
        <v>187</v>
      </c>
    </row>
    <row r="37" customFormat="false" ht="15" hidden="false" customHeight="true" outlineLevel="0" collapsed="false">
      <c r="B37" s="5" t="s">
        <v>215</v>
      </c>
      <c r="C37" s="17" t="n">
        <v>24</v>
      </c>
      <c r="D37" s="11" t="n">
        <v>488</v>
      </c>
      <c r="E37" s="18" t="n">
        <f aca="false">IF(C37=0,0,D37/C37)</f>
        <v>20.3333333333333</v>
      </c>
      <c r="F37" s="5" t="s">
        <v>184</v>
      </c>
    </row>
    <row r="38" customFormat="false" ht="15" hidden="false" customHeight="true" outlineLevel="0" collapsed="false">
      <c r="B38" s="5" t="s">
        <v>216</v>
      </c>
      <c r="C38" s="17" t="n">
        <v>16</v>
      </c>
      <c r="D38" s="11" t="n">
        <v>464</v>
      </c>
      <c r="E38" s="18" t="n">
        <f aca="false">IF(C38=0,0,D38/C38)</f>
        <v>29</v>
      </c>
      <c r="F38" s="5" t="s">
        <v>184</v>
      </c>
    </row>
    <row r="39" customFormat="false" ht="15" hidden="false" customHeight="true" outlineLevel="0" collapsed="false">
      <c r="B39" s="5" t="s">
        <v>217</v>
      </c>
      <c r="C39" s="17" t="n">
        <v>16</v>
      </c>
      <c r="D39" s="11" t="n">
        <v>208</v>
      </c>
      <c r="E39" s="18" t="n">
        <f aca="false">IF(C39=0,0,D39/C39)</f>
        <v>13</v>
      </c>
      <c r="F39" s="5" t="s">
        <v>181</v>
      </c>
    </row>
    <row r="40" customFormat="false" ht="15" hidden="false" customHeight="true" outlineLevel="0" collapsed="false">
      <c r="B40" s="5" t="s">
        <v>218</v>
      </c>
      <c r="C40" s="17" t="n">
        <v>16</v>
      </c>
      <c r="D40" s="11" t="n">
        <v>272</v>
      </c>
      <c r="E40" s="18" t="n">
        <f aca="false">IF(C40=0,0,D40/C40)</f>
        <v>17</v>
      </c>
      <c r="F40" s="5" t="s">
        <v>181</v>
      </c>
    </row>
    <row r="41" customFormat="false" ht="15" hidden="false" customHeight="true" outlineLevel="0" collapsed="false">
      <c r="B41" s="5" t="s">
        <v>219</v>
      </c>
      <c r="C41" s="17" t="n">
        <v>16</v>
      </c>
      <c r="D41" s="11" t="n">
        <v>272</v>
      </c>
      <c r="E41" s="18" t="n">
        <f aca="false">IF(C41=0,0,D41/C41)</f>
        <v>17</v>
      </c>
      <c r="F41" s="5" t="s">
        <v>181</v>
      </c>
    </row>
    <row r="42" customFormat="false" ht="15" hidden="false" customHeight="true" outlineLevel="0" collapsed="false">
      <c r="B42" s="5" t="s">
        <v>220</v>
      </c>
      <c r="C42" s="17" t="n">
        <v>16</v>
      </c>
      <c r="D42" s="11" t="n">
        <v>208</v>
      </c>
      <c r="E42" s="18" t="n">
        <f aca="false">IF(C42=0,0,D42/C42)</f>
        <v>13</v>
      </c>
      <c r="F42" s="5" t="s">
        <v>181</v>
      </c>
    </row>
    <row r="43" customFormat="false" ht="15" hidden="false" customHeight="true" outlineLevel="0" collapsed="false">
      <c r="B43" s="5" t="s">
        <v>221</v>
      </c>
      <c r="C43" s="17" t="n">
        <v>13</v>
      </c>
      <c r="D43" s="11" t="n">
        <v>169</v>
      </c>
      <c r="E43" s="18" t="n">
        <f aca="false">IF(C43=0,0,D43/C43)</f>
        <v>13</v>
      </c>
      <c r="F43" s="5" t="s">
        <v>181</v>
      </c>
    </row>
    <row r="44" customFormat="false" ht="15" hidden="false" customHeight="true" outlineLevel="0" collapsed="false">
      <c r="B44" s="5" t="s">
        <v>222</v>
      </c>
      <c r="C44" s="17" t="n">
        <v>8</v>
      </c>
      <c r="D44" s="11" t="n">
        <v>104</v>
      </c>
      <c r="E44" s="18" t="n">
        <f aca="false">IF(C44=0,0,D44/C44)</f>
        <v>13</v>
      </c>
      <c r="F44" s="5" t="s">
        <v>181</v>
      </c>
    </row>
    <row r="45" customFormat="false" ht="15" hidden="false" customHeight="true" outlineLevel="0" collapsed="false">
      <c r="B45" s="5" t="s">
        <v>223</v>
      </c>
      <c r="C45" s="17" t="n">
        <v>8</v>
      </c>
      <c r="D45" s="11" t="n">
        <v>104</v>
      </c>
      <c r="E45" s="18" t="n">
        <f aca="false">IF(C45=0,0,D45/C45)</f>
        <v>13</v>
      </c>
      <c r="F45" s="5" t="s">
        <v>181</v>
      </c>
    </row>
    <row r="46" customFormat="false" ht="15" hidden="false" customHeight="true" outlineLevel="0" collapsed="false">
      <c r="B46" s="5" t="s">
        <v>224</v>
      </c>
      <c r="C46" s="17" t="n">
        <v>8</v>
      </c>
      <c r="D46" s="11" t="n">
        <v>104</v>
      </c>
      <c r="E46" s="18" t="n">
        <f aca="false">IF(C46=0,0,D46/C46)</f>
        <v>13</v>
      </c>
      <c r="F46" s="5" t="s">
        <v>181</v>
      </c>
    </row>
    <row r="47" customFormat="false" ht="15" hidden="false" customHeight="true" outlineLevel="0" collapsed="false">
      <c r="B47" s="5" t="s">
        <v>225</v>
      </c>
      <c r="C47" s="17" t="n">
        <v>6</v>
      </c>
      <c r="D47" s="11" t="n">
        <v>120</v>
      </c>
      <c r="E47" s="18" t="n">
        <f aca="false">IF(C47=0,0,D47/C47)</f>
        <v>20</v>
      </c>
      <c r="F47" s="5" t="s">
        <v>184</v>
      </c>
    </row>
    <row r="48" customFormat="false" ht="15" hidden="false" customHeight="true" outlineLevel="0" collapsed="false">
      <c r="B48" s="5" t="s">
        <v>226</v>
      </c>
      <c r="C48" s="17" t="n">
        <v>6</v>
      </c>
      <c r="D48" s="11" t="n">
        <v>90</v>
      </c>
      <c r="E48" s="18" t="n">
        <f aca="false">IF(C48=0,0,D48/C48)</f>
        <v>15</v>
      </c>
      <c r="F48" s="5" t="s">
        <v>181</v>
      </c>
    </row>
    <row r="49" customFormat="false" ht="15" hidden="false" customHeight="true" outlineLevel="0" collapsed="false">
      <c r="B49" s="5" t="s">
        <v>227</v>
      </c>
      <c r="C49" s="17" t="n">
        <v>1</v>
      </c>
      <c r="D49" s="11" t="n">
        <v>31</v>
      </c>
      <c r="E49" s="18" t="n">
        <f aca="false">IF(C49=0,0,D49/C49)</f>
        <v>31</v>
      </c>
      <c r="F49" s="5" t="s">
        <v>187</v>
      </c>
    </row>
    <row r="50" customFormat="false" ht="15" hidden="false" customHeight="true" outlineLevel="0" collapsed="false">
      <c r="B50" s="6" t="s">
        <v>228</v>
      </c>
      <c r="C50" s="19" t="n">
        <f aca="false">SUM(C5:C49)</f>
        <v>14975</v>
      </c>
      <c r="D50" s="13" t="n">
        <f aca="false">SUM(D5:D49)</f>
        <v>294551.25</v>
      </c>
      <c r="E50" s="20" t="n">
        <f aca="false">IF(C50=0,0,D50/C50)</f>
        <v>19.6695325542571</v>
      </c>
    </row>
    <row r="53" customFormat="false" ht="15" hidden="false" customHeight="true" outlineLevel="0" collapsed="false">
      <c r="B53" s="4" t="s">
        <v>62</v>
      </c>
      <c r="C53" s="4"/>
      <c r="D53" s="4"/>
      <c r="E53" s="4"/>
      <c r="F53" s="4"/>
    </row>
    <row r="54" customFormat="false" ht="15" hidden="false" customHeight="true" outlineLevel="0" collapsed="false">
      <c r="B54" s="3" t="s">
        <v>63</v>
      </c>
      <c r="C54" s="3"/>
      <c r="D54" s="3"/>
      <c r="E54" s="3"/>
      <c r="F54" s="3"/>
    </row>
    <row r="55" customFormat="false" ht="15" hidden="false" customHeight="true" outlineLevel="0" collapsed="false">
      <c r="B55" s="3" t="s">
        <v>64</v>
      </c>
      <c r="C55" s="3"/>
      <c r="D55" s="3"/>
      <c r="E55" s="3"/>
      <c r="F55" s="3"/>
    </row>
    <row r="56" customFormat="false" ht="15" hidden="false" customHeight="true" outlineLevel="0" collapsed="false">
      <c r="B56" s="3" t="s">
        <v>65</v>
      </c>
      <c r="C56" s="3"/>
      <c r="D56" s="3"/>
      <c r="E56" s="3"/>
      <c r="F56" s="3"/>
    </row>
    <row r="57" customFormat="false" ht="15" hidden="false" customHeight="true" outlineLevel="0" collapsed="false">
      <c r="B57" s="3" t="s">
        <v>66</v>
      </c>
      <c r="C57" s="3"/>
      <c r="D57" s="3"/>
      <c r="E57" s="3"/>
      <c r="F57" s="3"/>
    </row>
    <row r="58" customFormat="false" ht="15" hidden="false" customHeight="true" outlineLevel="0" collapsed="false">
      <c r="B58" s="3" t="s">
        <v>67</v>
      </c>
      <c r="C58" s="3"/>
      <c r="D58" s="3"/>
      <c r="E58" s="3"/>
      <c r="F58" s="3"/>
    </row>
    <row r="59" customFormat="false" ht="15" hidden="false" customHeight="true" outlineLevel="0" collapsed="false">
      <c r="B59" s="3" t="s">
        <v>68</v>
      </c>
      <c r="C59" s="3"/>
      <c r="D59" s="3"/>
      <c r="E59" s="3"/>
      <c r="F59" s="3"/>
    </row>
    <row r="60" customFormat="false" ht="15" hidden="false" customHeight="true" outlineLevel="0" collapsed="false">
      <c r="B60" s="3" t="s">
        <v>229</v>
      </c>
      <c r="C60" s="3"/>
      <c r="D60" s="3"/>
      <c r="E60" s="3"/>
      <c r="F60" s="3"/>
    </row>
  </sheetData>
  <mergeCells count="9">
    <mergeCell ref="B2:F2"/>
    <mergeCell ref="B53:F53"/>
    <mergeCell ref="B54:F54"/>
    <mergeCell ref="B55:F55"/>
    <mergeCell ref="B56:F56"/>
    <mergeCell ref="B57:F57"/>
    <mergeCell ref="B58:F58"/>
    <mergeCell ref="B59:F59"/>
    <mergeCell ref="B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230</v>
      </c>
      <c r="C2" s="2"/>
      <c r="D2" s="2"/>
      <c r="E2" s="2"/>
      <c r="F2" s="2"/>
    </row>
    <row r="4" customFormat="false" ht="15" hidden="false" customHeight="true" outlineLevel="0" collapsed="false">
      <c r="B4" s="4" t="s">
        <v>231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179</v>
      </c>
      <c r="C5" s="10" t="s">
        <v>232</v>
      </c>
      <c r="D5" s="10" t="s">
        <v>176</v>
      </c>
      <c r="E5" s="10" t="s">
        <v>177</v>
      </c>
      <c r="F5" s="10" t="s">
        <v>233</v>
      </c>
    </row>
    <row r="6" customFormat="false" ht="15" hidden="false" customHeight="true" outlineLevel="0" collapsed="false">
      <c r="B6" s="5" t="s">
        <v>187</v>
      </c>
      <c r="C6" s="15" t="n">
        <v>5</v>
      </c>
      <c r="D6" s="17" t="n">
        <v>1519.5</v>
      </c>
      <c r="E6" s="11" t="n">
        <v>51543</v>
      </c>
      <c r="F6" s="12" t="n">
        <f aca="false">IF(14975=0,0,D6/14975)</f>
        <v>0.101469115191987</v>
      </c>
    </row>
    <row r="7" customFormat="false" ht="15" hidden="false" customHeight="true" outlineLevel="0" collapsed="false">
      <c r="B7" s="5" t="s">
        <v>184</v>
      </c>
      <c r="C7" s="15" t="n">
        <v>11</v>
      </c>
      <c r="D7" s="17" t="n">
        <v>4878</v>
      </c>
      <c r="E7" s="11" t="n">
        <v>114201</v>
      </c>
      <c r="F7" s="12" t="n">
        <f aca="false">IF(14975=0,0,D7/14975)</f>
        <v>0.325742904841402</v>
      </c>
    </row>
    <row r="8" customFormat="false" ht="15" hidden="false" customHeight="true" outlineLevel="0" collapsed="false">
      <c r="B8" s="5" t="s">
        <v>181</v>
      </c>
      <c r="C8" s="15" t="n">
        <v>29</v>
      </c>
      <c r="D8" s="17" t="n">
        <v>8577.5</v>
      </c>
      <c r="E8" s="11" t="n">
        <v>128807.25</v>
      </c>
      <c r="F8" s="12" t="n">
        <f aca="false">IF(14975=0,0,D8/14975)</f>
        <v>0.572787979966611</v>
      </c>
    </row>
    <row r="11" customFormat="false" ht="15" hidden="false" customHeight="true" outlineLevel="0" collapsed="false">
      <c r="B11" s="4" t="s">
        <v>234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235</v>
      </c>
      <c r="C12" s="21" t="n">
        <v>19.6695325542571</v>
      </c>
      <c r="F12" s="22" t="s">
        <v>236</v>
      </c>
    </row>
    <row r="13" customFormat="false" ht="15" hidden="false" customHeight="true" outlineLevel="0" collapsed="false">
      <c r="B13" s="5" t="s">
        <v>237</v>
      </c>
      <c r="C13" s="21" t="n">
        <v>29.8507572621035</v>
      </c>
      <c r="F13" s="22" t="s">
        <v>238</v>
      </c>
    </row>
    <row r="14" customFormat="false" ht="15" hidden="false" customHeight="true" outlineLevel="0" collapsed="false">
      <c r="B14" s="5" t="s">
        <v>239</v>
      </c>
      <c r="C14" s="21" t="n">
        <v>1.51761396361414</v>
      </c>
      <c r="F14" s="22" t="s">
        <v>240</v>
      </c>
    </row>
    <row r="15" customFormat="false" ht="15" hidden="false" customHeight="true" outlineLevel="0" collapsed="false">
      <c r="B15" s="5" t="s">
        <v>241</v>
      </c>
      <c r="C15" s="21" t="n">
        <v>12.8219178082192</v>
      </c>
      <c r="F15" s="22" t="s">
        <v>242</v>
      </c>
    </row>
    <row r="16" customFormat="false" ht="15" hidden="false" customHeight="true" outlineLevel="0" collapsed="false">
      <c r="B16" s="5" t="s">
        <v>243</v>
      </c>
      <c r="C16" s="21" t="n">
        <v>45</v>
      </c>
      <c r="F16" s="22" t="s">
        <v>244</v>
      </c>
    </row>
    <row r="17" customFormat="false" ht="15" hidden="false" customHeight="true" outlineLevel="0" collapsed="false">
      <c r="B17" s="5" t="s">
        <v>245</v>
      </c>
      <c r="C17" s="21" t="n">
        <v>332.777777777778</v>
      </c>
      <c r="F17" s="22" t="s">
        <v>246</v>
      </c>
    </row>
    <row r="20" customFormat="false" ht="15" hidden="false" customHeight="true" outlineLevel="0" collapsed="false">
      <c r="B20" s="4" t="s">
        <v>62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63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64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65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66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67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68</v>
      </c>
      <c r="C26" s="3"/>
      <c r="D26" s="3"/>
      <c r="E26" s="3"/>
      <c r="F26" s="3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247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248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249</v>
      </c>
      <c r="C5" s="10" t="s">
        <v>250</v>
      </c>
      <c r="D5" s="10" t="s">
        <v>176</v>
      </c>
      <c r="E5" s="10" t="s">
        <v>251</v>
      </c>
      <c r="F5" s="10" t="s">
        <v>252</v>
      </c>
    </row>
    <row r="6" customFormat="false" ht="15" hidden="false" customHeight="true" outlineLevel="0" collapsed="false">
      <c r="B6" s="5" t="s">
        <v>77</v>
      </c>
      <c r="C6" s="5" t="s">
        <v>76</v>
      </c>
      <c r="D6" s="17" t="n">
        <v>119.5</v>
      </c>
      <c r="E6" s="12" t="n">
        <f aca="false">IF(14822=0,0,D6/14822)</f>
        <v>0.00806233976521387</v>
      </c>
      <c r="F6" s="23" t="n">
        <f aca="false">IF(119=0,0,D6/119)</f>
        <v>1.00420168067227</v>
      </c>
    </row>
    <row r="7" customFormat="false" ht="15" hidden="false" customHeight="true" outlineLevel="0" collapsed="false">
      <c r="B7" s="5" t="s">
        <v>253</v>
      </c>
      <c r="C7" s="5" t="s">
        <v>78</v>
      </c>
      <c r="D7" s="17" t="n">
        <v>198.5</v>
      </c>
      <c r="E7" s="12" t="n">
        <f aca="false">IF(14822=0,0,D7/14822)</f>
        <v>0.0133922547564431</v>
      </c>
      <c r="F7" s="23" t="n">
        <f aca="false">IF(119=0,0,D7/119)</f>
        <v>1.66806722689076</v>
      </c>
    </row>
    <row r="8" customFormat="false" ht="15" hidden="false" customHeight="true" outlineLevel="0" collapsed="false">
      <c r="B8" s="5" t="s">
        <v>254</v>
      </c>
      <c r="C8" s="5" t="s">
        <v>80</v>
      </c>
      <c r="D8" s="17" t="n">
        <v>288</v>
      </c>
      <c r="E8" s="12" t="n">
        <f aca="false">IF(14822=0,0,D8/14822)</f>
        <v>0.0194305761705573</v>
      </c>
      <c r="F8" s="23" t="n">
        <f aca="false">IF(119=0,0,D8/119)</f>
        <v>2.42016806722689</v>
      </c>
    </row>
    <row r="9" customFormat="false" ht="15" hidden="false" customHeight="true" outlineLevel="0" collapsed="false">
      <c r="B9" s="5" t="s">
        <v>255</v>
      </c>
      <c r="C9" s="5" t="s">
        <v>82</v>
      </c>
      <c r="D9" s="17" t="n">
        <v>1485</v>
      </c>
      <c r="E9" s="12" t="n">
        <f aca="false">IF(14822=0,0,D9/14822)</f>
        <v>0.100188908379436</v>
      </c>
      <c r="F9" s="23" t="n">
        <f aca="false">IF(119=0,0,D9/119)</f>
        <v>12.4789915966387</v>
      </c>
    </row>
    <row r="10" customFormat="false" ht="15" hidden="false" customHeight="true" outlineLevel="0" collapsed="false">
      <c r="B10" s="5" t="s">
        <v>256</v>
      </c>
      <c r="C10" s="5" t="s">
        <v>84</v>
      </c>
      <c r="D10" s="17" t="n">
        <v>177.5</v>
      </c>
      <c r="E10" s="12" t="n">
        <f aca="false">IF(14822=0,0,D10/14822)</f>
        <v>0.0119754419106733</v>
      </c>
      <c r="F10" s="23" t="n">
        <f aca="false">IF(119=0,0,D10/119)</f>
        <v>1.49159663865546</v>
      </c>
    </row>
    <row r="11" customFormat="false" ht="15" hidden="false" customHeight="true" outlineLevel="0" collapsed="false">
      <c r="B11" s="5" t="s">
        <v>257</v>
      </c>
      <c r="C11" s="5" t="s">
        <v>86</v>
      </c>
      <c r="D11" s="17" t="n">
        <v>97</v>
      </c>
      <c r="E11" s="12" t="n">
        <f aca="false">IF(14822=0,0,D11/14822)</f>
        <v>0.00654432600188908</v>
      </c>
      <c r="F11" s="23" t="n">
        <f aca="false">IF(119=0,0,D11/119)</f>
        <v>0.815126050420168</v>
      </c>
    </row>
    <row r="12" customFormat="false" ht="15" hidden="false" customHeight="true" outlineLevel="0" collapsed="false">
      <c r="B12" s="5" t="s">
        <v>258</v>
      </c>
      <c r="C12" s="5" t="s">
        <v>88</v>
      </c>
      <c r="D12" s="17" t="n">
        <v>9126.5</v>
      </c>
      <c r="E12" s="12" t="n">
        <f aca="false">IF(14822=0,0,D12/14822)</f>
        <v>0.615740116043719</v>
      </c>
      <c r="F12" s="23" t="n">
        <f aca="false">IF(119=0,0,D12/119)</f>
        <v>76.6932773109244</v>
      </c>
    </row>
    <row r="13" customFormat="false" ht="15" hidden="false" customHeight="true" outlineLevel="0" collapsed="false">
      <c r="B13" s="5" t="s">
        <v>259</v>
      </c>
      <c r="C13" s="5" t="s">
        <v>90</v>
      </c>
      <c r="D13" s="17" t="n">
        <v>1926</v>
      </c>
      <c r="E13" s="12" t="n">
        <f aca="false">IF(14822=0,0,D13/14822)</f>
        <v>0.129941978140602</v>
      </c>
      <c r="F13" s="23" t="n">
        <f aca="false">IF(119=0,0,D13/119)</f>
        <v>16.1848739495798</v>
      </c>
    </row>
    <row r="14" customFormat="false" ht="15" hidden="false" customHeight="true" outlineLevel="0" collapsed="false">
      <c r="B14" s="5" t="s">
        <v>260</v>
      </c>
      <c r="C14" s="5" t="s">
        <v>92</v>
      </c>
      <c r="D14" s="17" t="n">
        <v>352</v>
      </c>
      <c r="E14" s="12" t="n">
        <f aca="false">IF(14822=0,0,D14/14822)</f>
        <v>0.0237484819862367</v>
      </c>
      <c r="F14" s="23" t="n">
        <f aca="false">IF(119=0,0,D14/119)</f>
        <v>2.95798319327731</v>
      </c>
    </row>
    <row r="15" customFormat="false" ht="15" hidden="false" customHeight="true" outlineLevel="0" collapsed="false">
      <c r="B15" s="5" t="s">
        <v>261</v>
      </c>
      <c r="C15" s="5" t="s">
        <v>94</v>
      </c>
      <c r="D15" s="17" t="n">
        <v>1047</v>
      </c>
      <c r="E15" s="12" t="n">
        <f aca="false">IF(14822=0,0,D15/14822)</f>
        <v>0.0706382404533801</v>
      </c>
      <c r="F15" s="23" t="n">
        <f aca="false">IF(119=0,0,D15/119)</f>
        <v>8.79831932773109</v>
      </c>
    </row>
    <row r="16" customFormat="false" ht="15" hidden="false" customHeight="true" outlineLevel="0" collapsed="false">
      <c r="B16" s="5" t="s">
        <v>262</v>
      </c>
      <c r="C16" s="5" t="s">
        <v>96</v>
      </c>
      <c r="D16" s="17" t="n">
        <v>5</v>
      </c>
      <c r="E16" s="12" t="n">
        <f aca="false">IF(14822=0,0,D16/14822)</f>
        <v>0.000337336391849953</v>
      </c>
      <c r="F16" s="23" t="n">
        <f aca="false">IF(119=0,0,D16/119)</f>
        <v>0.0420168067226891</v>
      </c>
    </row>
    <row r="17" customFormat="false" ht="15" hidden="false" customHeight="true" outlineLevel="0" collapsed="false">
      <c r="B17" s="6" t="s">
        <v>38</v>
      </c>
      <c r="D17" s="19" t="n">
        <f aca="false">SUM(D6:D16)</f>
        <v>14822</v>
      </c>
      <c r="E17" s="14" t="n">
        <v>1</v>
      </c>
      <c r="F17" s="21" t="n">
        <f aca="false">IF(119=0,0,D17/119)</f>
        <v>124.55462184874</v>
      </c>
    </row>
    <row r="20" customFormat="false" ht="15" hidden="false" customHeight="true" outlineLevel="0" collapsed="false">
      <c r="B20" s="4" t="s">
        <v>263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10" t="s">
        <v>40</v>
      </c>
      <c r="C21" s="10" t="s">
        <v>41</v>
      </c>
      <c r="D21" s="10" t="s">
        <v>264</v>
      </c>
      <c r="E21" s="10"/>
      <c r="F21" s="10" t="s">
        <v>265</v>
      </c>
    </row>
    <row r="22" customFormat="false" ht="15" hidden="false" customHeight="true" outlineLevel="0" collapsed="false">
      <c r="B22" s="5" t="s">
        <v>252</v>
      </c>
      <c r="C22" s="24" t="n">
        <v>124.55462184874</v>
      </c>
      <c r="D22" s="5" t="s">
        <v>266</v>
      </c>
      <c r="F22" s="22" t="s">
        <v>267</v>
      </c>
    </row>
    <row r="23" customFormat="false" ht="15" hidden="false" customHeight="true" outlineLevel="0" collapsed="false">
      <c r="B23" s="5" t="s">
        <v>268</v>
      </c>
      <c r="C23" s="24" t="n">
        <v>18.5043695380774</v>
      </c>
      <c r="D23" s="5" t="s">
        <v>266</v>
      </c>
      <c r="F23" s="22" t="s">
        <v>269</v>
      </c>
    </row>
    <row r="24" customFormat="false" ht="15" hidden="false" customHeight="true" outlineLevel="0" collapsed="false">
      <c r="B24" s="5" t="s">
        <v>270</v>
      </c>
      <c r="C24" s="24" t="n">
        <v>92.429429226825</v>
      </c>
      <c r="D24" s="5" t="s">
        <v>271</v>
      </c>
      <c r="F24" s="22" t="s">
        <v>272</v>
      </c>
    </row>
    <row r="25" customFormat="false" ht="15" hidden="false" customHeight="true" outlineLevel="0" collapsed="false">
      <c r="B25" s="5" t="s">
        <v>273</v>
      </c>
      <c r="C25" s="24" t="n">
        <v>34.4626008635812</v>
      </c>
      <c r="D25" s="5" t="s">
        <v>271</v>
      </c>
      <c r="F25" s="22" t="s">
        <v>274</v>
      </c>
    </row>
    <row r="26" customFormat="false" ht="15" hidden="false" customHeight="true" outlineLevel="0" collapsed="false">
      <c r="B26" s="5" t="s">
        <v>275</v>
      </c>
      <c r="C26" s="24" t="n">
        <v>7.4375</v>
      </c>
      <c r="D26" s="5" t="s">
        <v>276</v>
      </c>
      <c r="F26" s="22" t="s">
        <v>277</v>
      </c>
    </row>
    <row r="27" customFormat="false" ht="15" hidden="false" customHeight="true" outlineLevel="0" collapsed="false">
      <c r="B27" s="5" t="s">
        <v>278</v>
      </c>
      <c r="C27" s="24" t="n">
        <v>50.0625</v>
      </c>
      <c r="D27" s="5" t="s">
        <v>279</v>
      </c>
      <c r="F27" s="22" t="s">
        <v>280</v>
      </c>
    </row>
    <row r="28" customFormat="false" ht="15" hidden="false" customHeight="true" outlineLevel="0" collapsed="false">
      <c r="B28" s="5" t="s">
        <v>281</v>
      </c>
      <c r="C28" s="24" t="n">
        <v>926.375</v>
      </c>
      <c r="D28" s="5" t="s">
        <v>266</v>
      </c>
      <c r="F28" s="22" t="s">
        <v>282</v>
      </c>
    </row>
    <row r="29" customFormat="false" ht="15" hidden="false" customHeight="true" outlineLevel="0" collapsed="false">
      <c r="B29" s="5" t="s">
        <v>283</v>
      </c>
      <c r="C29" s="24" t="n">
        <v>85624.3125</v>
      </c>
      <c r="D29" s="5" t="s">
        <v>271</v>
      </c>
      <c r="F29" s="22" t="s">
        <v>284</v>
      </c>
    </row>
    <row r="32" customFormat="false" ht="15" hidden="false" customHeight="true" outlineLevel="0" collapsed="false">
      <c r="B32" s="4" t="s">
        <v>62</v>
      </c>
      <c r="C32" s="4"/>
      <c r="D32" s="4"/>
      <c r="E32" s="4"/>
      <c r="F32" s="4"/>
      <c r="G32" s="4"/>
    </row>
    <row r="33" customFormat="false" ht="15" hidden="false" customHeight="true" outlineLevel="0" collapsed="false">
      <c r="B33" s="3" t="s">
        <v>63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64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65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66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</row>
  </sheetData>
  <mergeCells count="10">
    <mergeCell ref="B2:G2"/>
    <mergeCell ref="B4:G4"/>
    <mergeCell ref="B20:G20"/>
    <mergeCell ref="B32:G32"/>
    <mergeCell ref="B33:G33"/>
    <mergeCell ref="B34:G34"/>
    <mergeCell ref="B35:G35"/>
    <mergeCell ref="B36:G36"/>
    <mergeCell ref="B37:G37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285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286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287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288</v>
      </c>
      <c r="C6" s="10" t="s">
        <v>289</v>
      </c>
      <c r="D6" s="10" t="s">
        <v>290</v>
      </c>
      <c r="E6" s="10" t="s">
        <v>291</v>
      </c>
      <c r="F6" s="10" t="s">
        <v>292</v>
      </c>
    </row>
    <row r="7" customFormat="false" ht="15" hidden="false" customHeight="true" outlineLevel="0" collapsed="false">
      <c r="B7" s="5" t="s">
        <v>293</v>
      </c>
      <c r="C7" s="5" t="s">
        <v>294</v>
      </c>
      <c r="D7" s="15" t="n">
        <v>18</v>
      </c>
      <c r="E7" s="12" t="n">
        <f aca="false">IF(142=0,0,D7/142)</f>
        <v>0.126760563380282</v>
      </c>
    </row>
    <row r="8" customFormat="false" ht="15" hidden="false" customHeight="true" outlineLevel="0" collapsed="false">
      <c r="B8" s="5" t="s">
        <v>295</v>
      </c>
      <c r="C8" s="5" t="s">
        <v>296</v>
      </c>
      <c r="D8" s="15" t="n">
        <v>25</v>
      </c>
      <c r="E8" s="12" t="n">
        <f aca="false">IF(142=0,0,D8/142)</f>
        <v>0.176056338028169</v>
      </c>
    </row>
    <row r="9" customFormat="false" ht="15" hidden="false" customHeight="true" outlineLevel="0" collapsed="false">
      <c r="B9" s="5" t="s">
        <v>297</v>
      </c>
      <c r="C9" s="5" t="s">
        <v>298</v>
      </c>
      <c r="D9" s="15" t="n">
        <v>9</v>
      </c>
      <c r="E9" s="12" t="n">
        <f aca="false">IF(142=0,0,D9/142)</f>
        <v>0.0633802816901408</v>
      </c>
    </row>
    <row r="10" customFormat="false" ht="15" hidden="false" customHeight="true" outlineLevel="0" collapsed="false">
      <c r="B10" s="5" t="s">
        <v>299</v>
      </c>
      <c r="C10" s="5" t="s">
        <v>300</v>
      </c>
      <c r="D10" s="15" t="n">
        <v>2</v>
      </c>
      <c r="E10" s="12" t="n">
        <f aca="false">IF(142=0,0,D10/142)</f>
        <v>0.0140845070422535</v>
      </c>
    </row>
    <row r="11" customFormat="false" ht="15" hidden="false" customHeight="true" outlineLevel="0" collapsed="false">
      <c r="B11" s="5" t="s">
        <v>301</v>
      </c>
      <c r="C11" s="5" t="s">
        <v>302</v>
      </c>
      <c r="D11" s="15" t="n">
        <v>2</v>
      </c>
      <c r="E11" s="12" t="n">
        <f aca="false">IF(142=0,0,D11/142)</f>
        <v>0.0140845070422535</v>
      </c>
    </row>
    <row r="12" customFormat="false" ht="15" hidden="false" customHeight="true" outlineLevel="0" collapsed="false">
      <c r="B12" s="5" t="s">
        <v>303</v>
      </c>
      <c r="C12" s="5" t="s">
        <v>304</v>
      </c>
      <c r="D12" s="15" t="n">
        <v>4</v>
      </c>
      <c r="E12" s="12" t="n">
        <f aca="false">IF(142=0,0,D12/142)</f>
        <v>0.028169014084507</v>
      </c>
    </row>
    <row r="13" customFormat="false" ht="15" hidden="false" customHeight="true" outlineLevel="0" collapsed="false">
      <c r="B13" s="5" t="s">
        <v>305</v>
      </c>
      <c r="C13" s="5" t="s">
        <v>306</v>
      </c>
      <c r="D13" s="15" t="n">
        <v>82</v>
      </c>
      <c r="E13" s="12" t="n">
        <f aca="false">IF(142=0,0,D13/142)</f>
        <v>0.577464788732394</v>
      </c>
    </row>
    <row r="14" customFormat="false" ht="15" hidden="false" customHeight="true" outlineLevel="0" collapsed="false">
      <c r="B14" s="6" t="s">
        <v>38</v>
      </c>
      <c r="D14" s="16" t="n">
        <f aca="false">SUM(D7:D13)</f>
        <v>142</v>
      </c>
      <c r="E14" s="14" t="n">
        <v>1</v>
      </c>
      <c r="F14" s="13" t="n">
        <v>378313.74</v>
      </c>
    </row>
    <row r="17" customFormat="false" ht="15" hidden="false" customHeight="true" outlineLevel="0" collapsed="false">
      <c r="B17" s="4" t="s">
        <v>307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10" t="s">
        <v>148</v>
      </c>
      <c r="C18" s="10" t="s">
        <v>290</v>
      </c>
      <c r="D18" s="10" t="s">
        <v>291</v>
      </c>
    </row>
    <row r="19" customFormat="false" ht="15" hidden="false" customHeight="true" outlineLevel="0" collapsed="false">
      <c r="B19" s="5" t="s">
        <v>308</v>
      </c>
      <c r="C19" s="15" t="n">
        <v>62</v>
      </c>
      <c r="D19" s="12" t="n">
        <f aca="false">IF(142=0,0,C19/142)</f>
        <v>0.436619718309859</v>
      </c>
    </row>
    <row r="20" customFormat="false" ht="15" hidden="false" customHeight="true" outlineLevel="0" collapsed="false">
      <c r="B20" s="5" t="s">
        <v>309</v>
      </c>
      <c r="C20" s="15" t="n">
        <v>31</v>
      </c>
      <c r="D20" s="12" t="n">
        <f aca="false">IF(142=0,0,C20/142)</f>
        <v>0.21830985915493</v>
      </c>
    </row>
    <row r="21" customFormat="false" ht="15" hidden="false" customHeight="true" outlineLevel="0" collapsed="false">
      <c r="B21" s="5" t="s">
        <v>305</v>
      </c>
      <c r="C21" s="15" t="n">
        <v>18</v>
      </c>
      <c r="D21" s="12" t="n">
        <f aca="false">IF(142=0,0,C21/142)</f>
        <v>0.126760563380282</v>
      </c>
    </row>
    <row r="22" customFormat="false" ht="15" hidden="false" customHeight="true" outlineLevel="0" collapsed="false">
      <c r="B22" s="5" t="s">
        <v>310</v>
      </c>
      <c r="C22" s="15" t="n">
        <v>11</v>
      </c>
      <c r="D22" s="12" t="n">
        <f aca="false">IF(142=0,0,C22/142)</f>
        <v>0.0774647887323944</v>
      </c>
    </row>
    <row r="23" customFormat="false" ht="15" hidden="false" customHeight="true" outlineLevel="0" collapsed="false">
      <c r="B23" s="5" t="s">
        <v>311</v>
      </c>
      <c r="C23" s="15" t="n">
        <v>11</v>
      </c>
      <c r="D23" s="12" t="n">
        <f aca="false">IF(142=0,0,C23/142)</f>
        <v>0.0774647887323944</v>
      </c>
    </row>
    <row r="24" customFormat="false" ht="15" hidden="false" customHeight="true" outlineLevel="0" collapsed="false">
      <c r="B24" s="5" t="s">
        <v>312</v>
      </c>
      <c r="C24" s="15" t="n">
        <v>3</v>
      </c>
      <c r="D24" s="12" t="n">
        <f aca="false">IF(142=0,0,C24/142)</f>
        <v>0.0211267605633803</v>
      </c>
    </row>
    <row r="25" customFormat="false" ht="15" hidden="false" customHeight="true" outlineLevel="0" collapsed="false">
      <c r="B25" s="5" t="s">
        <v>313</v>
      </c>
      <c r="C25" s="15" t="n">
        <v>3</v>
      </c>
      <c r="D25" s="12" t="n">
        <f aca="false">IF(142=0,0,C25/142)</f>
        <v>0.0211267605633803</v>
      </c>
    </row>
    <row r="26" customFormat="false" ht="15" hidden="false" customHeight="true" outlineLevel="0" collapsed="false">
      <c r="B26" s="5" t="s">
        <v>314</v>
      </c>
      <c r="C26" s="15" t="n">
        <v>1</v>
      </c>
      <c r="D26" s="12" t="n">
        <f aca="false">IF(142=0,0,C26/142)</f>
        <v>0.00704225352112676</v>
      </c>
    </row>
    <row r="27" customFormat="false" ht="15" hidden="false" customHeight="true" outlineLevel="0" collapsed="false">
      <c r="B27" s="5" t="s">
        <v>315</v>
      </c>
      <c r="C27" s="15" t="n">
        <v>1</v>
      </c>
      <c r="D27" s="12" t="n">
        <f aca="false">IF(142=0,0,C27/142)</f>
        <v>0.00704225352112676</v>
      </c>
    </row>
    <row r="28" customFormat="false" ht="15" hidden="false" customHeight="true" outlineLevel="0" collapsed="false">
      <c r="B28" s="5" t="s">
        <v>316</v>
      </c>
      <c r="C28" s="15" t="n">
        <v>1</v>
      </c>
      <c r="D28" s="12" t="n">
        <f aca="false">IF(142=0,0,C28/142)</f>
        <v>0.00704225352112676</v>
      </c>
    </row>
    <row r="31" customFormat="false" ht="15" hidden="false" customHeight="true" outlineLevel="0" collapsed="false">
      <c r="B31" s="4" t="s">
        <v>317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5" t="s">
        <v>318</v>
      </c>
      <c r="E32" s="11" t="n">
        <v>378313.74</v>
      </c>
    </row>
    <row r="33" customFormat="false" ht="15" hidden="false" customHeight="true" outlineLevel="0" collapsed="false">
      <c r="B33" s="5" t="s">
        <v>319</v>
      </c>
      <c r="E33" s="15" t="n">
        <v>142</v>
      </c>
    </row>
    <row r="34" customFormat="false" ht="15" hidden="false" customHeight="true" outlineLevel="0" collapsed="false">
      <c r="B34" s="22" t="s">
        <v>320</v>
      </c>
    </row>
    <row r="37" customFormat="false" ht="15" hidden="false" customHeight="true" outlineLevel="0" collapsed="false">
      <c r="B37" s="4" t="s">
        <v>62</v>
      </c>
      <c r="C37" s="4"/>
      <c r="D37" s="4"/>
      <c r="E37" s="4"/>
      <c r="F37" s="4"/>
      <c r="G37" s="4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321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322</v>
      </c>
      <c r="C45" s="3"/>
      <c r="D45" s="3"/>
      <c r="E45" s="3"/>
      <c r="F45" s="3"/>
      <c r="G45" s="3"/>
    </row>
  </sheetData>
  <mergeCells count="14">
    <mergeCell ref="B2:G2"/>
    <mergeCell ref="B3:G3"/>
    <mergeCell ref="B5:G5"/>
    <mergeCell ref="B17:G17"/>
    <mergeCell ref="B31:G31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323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324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325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326</v>
      </c>
      <c r="G6" s="11" t="n">
        <v>1373148</v>
      </c>
    </row>
    <row r="7" customFormat="false" ht="15" hidden="false" customHeight="true" outlineLevel="0" collapsed="false">
      <c r="B7" s="5" t="s">
        <v>327</v>
      </c>
      <c r="G7" s="11" t="n">
        <v>-3159</v>
      </c>
    </row>
    <row r="8" customFormat="false" ht="15" hidden="false" customHeight="true" outlineLevel="0" collapsed="false">
      <c r="B8" s="5" t="s">
        <v>328</v>
      </c>
      <c r="G8" s="11" t="n">
        <v>1369989</v>
      </c>
    </row>
    <row r="9" customFormat="false" ht="15" hidden="false" customHeight="true" outlineLevel="0" collapsed="false">
      <c r="B9" s="5" t="s">
        <v>329</v>
      </c>
      <c r="G9" s="11" t="n">
        <v>68499</v>
      </c>
    </row>
    <row r="10" customFormat="false" ht="15" hidden="false" customHeight="true" outlineLevel="0" collapsed="false">
      <c r="B10" s="5" t="s">
        <v>330</v>
      </c>
      <c r="G10" s="11" t="n">
        <v>1301490</v>
      </c>
    </row>
    <row r="12" customFormat="false" ht="15" hidden="false" customHeight="true" outlineLevel="0" collapsed="false">
      <c r="B12" s="4" t="s">
        <v>331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332</v>
      </c>
      <c r="C13" s="10" t="s">
        <v>333</v>
      </c>
      <c r="D13" s="10" t="s">
        <v>334</v>
      </c>
      <c r="E13" s="10" t="s">
        <v>335</v>
      </c>
      <c r="F13" s="10" t="s">
        <v>336</v>
      </c>
      <c r="G13" s="10" t="s">
        <v>337</v>
      </c>
      <c r="H13" s="10" t="s">
        <v>338</v>
      </c>
    </row>
    <row r="14" customFormat="false" ht="15" hidden="false" customHeight="true" outlineLevel="0" collapsed="false">
      <c r="B14" s="5" t="n">
        <v>1</v>
      </c>
      <c r="C14" s="5" t="s">
        <v>339</v>
      </c>
      <c r="D14" s="11" t="n">
        <v>70000</v>
      </c>
      <c r="E14" s="11" t="n">
        <v>3500</v>
      </c>
      <c r="F14" s="11" t="n">
        <f aca="false">D14-E14</f>
        <v>66500</v>
      </c>
      <c r="G14" s="11" t="n">
        <v>66500</v>
      </c>
      <c r="H14" s="12" t="n">
        <f aca="false">IF(1369989=0,0,G14/1369989)</f>
        <v>0.0485405357269292</v>
      </c>
    </row>
    <row r="15" customFormat="false" ht="15" hidden="false" customHeight="true" outlineLevel="0" collapsed="false">
      <c r="B15" s="5" t="n">
        <v>2</v>
      </c>
      <c r="C15" s="5" t="s">
        <v>340</v>
      </c>
      <c r="D15" s="11" t="n">
        <v>43000</v>
      </c>
      <c r="E15" s="11" t="n">
        <v>2150</v>
      </c>
      <c r="F15" s="11" t="n">
        <f aca="false">D15-E15</f>
        <v>40850</v>
      </c>
      <c r="G15" s="11" t="n">
        <v>107350</v>
      </c>
      <c r="H15" s="12" t="n">
        <f aca="false">IF(1369989=0,0,G15/1369989)</f>
        <v>0.0783582933877571</v>
      </c>
    </row>
    <row r="16" customFormat="false" ht="15" hidden="false" customHeight="true" outlineLevel="0" collapsed="false">
      <c r="B16" s="5" t="n">
        <v>3</v>
      </c>
      <c r="C16" s="5" t="s">
        <v>341</v>
      </c>
      <c r="D16" s="11" t="n">
        <v>72350</v>
      </c>
      <c r="E16" s="11" t="n">
        <v>3617.5</v>
      </c>
      <c r="F16" s="11" t="n">
        <f aca="false">D16-E16</f>
        <v>68732.5</v>
      </c>
      <c r="G16" s="11" t="n">
        <v>176082.5</v>
      </c>
      <c r="H16" s="12" t="n">
        <f aca="false">IF(1369989=0,0,G16/1369989)</f>
        <v>0.128528404242662</v>
      </c>
    </row>
    <row r="17" customFormat="false" ht="15" hidden="false" customHeight="true" outlineLevel="0" collapsed="false">
      <c r="B17" s="5" t="n">
        <v>4</v>
      </c>
      <c r="C17" s="5" t="s">
        <v>342</v>
      </c>
      <c r="D17" s="11" t="n">
        <v>21643</v>
      </c>
      <c r="E17" s="11" t="n">
        <v>1082.15</v>
      </c>
      <c r="F17" s="11" t="n">
        <f aca="false">D17-E17</f>
        <v>20560.85</v>
      </c>
      <c r="G17" s="11" t="n">
        <v>196643.35</v>
      </c>
      <c r="H17" s="12" t="n">
        <f aca="false">IF(1369989=0,0,G17/1369989)</f>
        <v>0.143536444453204</v>
      </c>
    </row>
    <row r="18" customFormat="false" ht="15" hidden="false" customHeight="true" outlineLevel="0" collapsed="false">
      <c r="B18" s="5" t="n">
        <v>5</v>
      </c>
      <c r="C18" s="5" t="s">
        <v>343</v>
      </c>
      <c r="D18" s="11" t="n">
        <v>111749</v>
      </c>
      <c r="E18" s="11" t="n">
        <v>5587.45</v>
      </c>
      <c r="F18" s="11" t="n">
        <f aca="false">D18-E18</f>
        <v>106161.55</v>
      </c>
      <c r="G18" s="11" t="n">
        <v>302804.9</v>
      </c>
      <c r="H18" s="12" t="n">
        <f aca="false">IF(1369989=0,0,G18/1369989)</f>
        <v>0.221027249123898</v>
      </c>
    </row>
    <row r="19" customFormat="false" ht="15" hidden="false" customHeight="true" outlineLevel="0" collapsed="false">
      <c r="B19" s="5" t="n">
        <v>6</v>
      </c>
      <c r="C19" s="5" t="s">
        <v>344</v>
      </c>
      <c r="D19" s="11" t="n">
        <v>229700</v>
      </c>
      <c r="E19" s="11" t="n">
        <v>11485</v>
      </c>
      <c r="F19" s="11" t="n">
        <f aca="false">D19-E19</f>
        <v>218215</v>
      </c>
      <c r="G19" s="11" t="n">
        <v>521019.9</v>
      </c>
      <c r="H19" s="12" t="n">
        <f aca="false">IF(1369989=0,0,G19/1369989)</f>
        <v>0.380309549930693</v>
      </c>
    </row>
    <row r="20" customFormat="false" ht="15" hidden="false" customHeight="true" outlineLevel="0" collapsed="false">
      <c r="B20" s="5" t="n">
        <v>7</v>
      </c>
      <c r="C20" s="5" t="s">
        <v>345</v>
      </c>
      <c r="D20" s="11" t="n">
        <v>348421</v>
      </c>
      <c r="E20" s="11" t="n">
        <v>17421.05</v>
      </c>
      <c r="F20" s="11" t="n">
        <f aca="false">D20-E20</f>
        <v>330999.95</v>
      </c>
      <c r="G20" s="11" t="n">
        <v>852019.85</v>
      </c>
      <c r="H20" s="12" t="n">
        <f aca="false">IF(1369989=0,0,G20/1369989)</f>
        <v>0.621917292766584</v>
      </c>
    </row>
    <row r="21" customFormat="false" ht="15" hidden="false" customHeight="true" outlineLevel="0" collapsed="false">
      <c r="B21" s="5" t="n">
        <v>8</v>
      </c>
      <c r="C21" s="5" t="s">
        <v>346</v>
      </c>
      <c r="D21" s="11" t="n">
        <v>213650</v>
      </c>
      <c r="E21" s="11" t="n">
        <v>10682.5</v>
      </c>
      <c r="F21" s="11" t="n">
        <f aca="false">D21-E21</f>
        <v>202967.5</v>
      </c>
      <c r="G21" s="11" t="n">
        <v>1054987.35</v>
      </c>
      <c r="H21" s="12" t="n">
        <f aca="false">IF(1369989=0,0,G21/1369989)</f>
        <v>0.770069942167419</v>
      </c>
    </row>
    <row r="22" customFormat="false" ht="15" hidden="false" customHeight="true" outlineLevel="0" collapsed="false">
      <c r="B22" s="5" t="n">
        <v>9</v>
      </c>
      <c r="C22" s="5" t="s">
        <v>347</v>
      </c>
      <c r="D22" s="11" t="n">
        <v>83445</v>
      </c>
      <c r="E22" s="11" t="n">
        <v>4172.25</v>
      </c>
      <c r="F22" s="11" t="n">
        <f aca="false">D22-E22</f>
        <v>79272.75</v>
      </c>
      <c r="G22" s="11" t="n">
        <v>1134260.1</v>
      </c>
      <c r="H22" s="12" t="n">
        <f aca="false">IF(1369989=0,0,G22/1369989)</f>
        <v>0.827933727935042</v>
      </c>
    </row>
    <row r="23" customFormat="false" ht="15" hidden="false" customHeight="true" outlineLevel="0" collapsed="false">
      <c r="B23" s="5" t="n">
        <v>10</v>
      </c>
      <c r="C23" s="5" t="s">
        <v>348</v>
      </c>
      <c r="D23" s="11" t="n">
        <v>24500</v>
      </c>
      <c r="E23" s="11" t="n">
        <v>1225</v>
      </c>
      <c r="F23" s="11" t="n">
        <f aca="false">D23-E23</f>
        <v>23275</v>
      </c>
      <c r="G23" s="11" t="n">
        <v>1157535.1</v>
      </c>
      <c r="H23" s="12" t="n">
        <f aca="false">IF(1369989=0,0,G23/1369989)</f>
        <v>0.844922915439467</v>
      </c>
    </row>
    <row r="24" customFormat="false" ht="15" hidden="false" customHeight="true" outlineLevel="0" collapsed="false">
      <c r="B24" s="5" t="n">
        <v>11</v>
      </c>
      <c r="C24" s="5" t="s">
        <v>349</v>
      </c>
      <c r="D24" s="11" t="n">
        <v>32880</v>
      </c>
      <c r="E24" s="11" t="n">
        <v>1644</v>
      </c>
      <c r="F24" s="11" t="n">
        <f aca="false">D24-E24</f>
        <v>31236</v>
      </c>
      <c r="G24" s="11" t="n">
        <v>1188771.1</v>
      </c>
      <c r="H24" s="12" t="n">
        <f aca="false">IF(1369989=0,0,G24/1369989)</f>
        <v>0.86772309850663</v>
      </c>
    </row>
    <row r="25" customFormat="false" ht="15" hidden="false" customHeight="true" outlineLevel="0" collapsed="false">
      <c r="B25" s="5" t="n">
        <v>12</v>
      </c>
      <c r="C25" s="5" t="s">
        <v>350</v>
      </c>
      <c r="D25" s="11" t="n">
        <v>53430</v>
      </c>
      <c r="E25" s="11" t="n">
        <v>2671.5</v>
      </c>
      <c r="F25" s="11" t="n">
        <f aca="false">D25-E25</f>
        <v>50758.5</v>
      </c>
      <c r="G25" s="11" t="n">
        <v>1239529.6</v>
      </c>
      <c r="H25" s="12" t="n">
        <f aca="false">IF(1369989=0,0,G25/1369989)</f>
        <v>0.904773395990771</v>
      </c>
    </row>
    <row r="26" customFormat="false" ht="15" hidden="false" customHeight="true" outlineLevel="0" collapsed="false">
      <c r="B26" s="5" t="n">
        <v>13</v>
      </c>
      <c r="C26" s="5" t="s">
        <v>351</v>
      </c>
      <c r="D26" s="11" t="n">
        <v>63944</v>
      </c>
      <c r="E26" s="11" t="n">
        <v>3197.2</v>
      </c>
      <c r="F26" s="11" t="n">
        <f aca="false">D26-E26</f>
        <v>60746.8</v>
      </c>
      <c r="G26" s="11" t="n">
        <v>1300276.4</v>
      </c>
      <c r="H26" s="12" t="n">
        <f aca="false">IF(1369989=0,0,G26/1369989)</f>
        <v>0.949114481941096</v>
      </c>
    </row>
    <row r="27" customFormat="false" ht="15" hidden="false" customHeight="true" outlineLevel="0" collapsed="false">
      <c r="B27" s="5" t="n">
        <v>14</v>
      </c>
      <c r="C27" s="5" t="s">
        <v>352</v>
      </c>
      <c r="D27" s="11" t="n">
        <v>1277</v>
      </c>
      <c r="E27" s="11" t="n">
        <v>63.85</v>
      </c>
      <c r="F27" s="11" t="n">
        <f aca="false">D27-E27</f>
        <v>1213.15</v>
      </c>
      <c r="G27" s="11" t="n">
        <v>1301489.55</v>
      </c>
      <c r="H27" s="12" t="n">
        <f aca="false">IF(1369989=0,0,G27/1369989)</f>
        <v>0.95</v>
      </c>
    </row>
    <row r="28" customFormat="false" ht="15" hidden="false" customHeight="true" outlineLevel="0" collapsed="false">
      <c r="B28" s="5" t="n">
        <v>15</v>
      </c>
      <c r="C28" s="5" t="s">
        <v>353</v>
      </c>
      <c r="D28" s="11" t="n">
        <v>68499.45</v>
      </c>
      <c r="E28" s="11" t="n">
        <v>0</v>
      </c>
      <c r="F28" s="11" t="n">
        <f aca="false">D28-E28</f>
        <v>68499.45</v>
      </c>
      <c r="G28" s="11" t="n">
        <v>1369989</v>
      </c>
      <c r="H28" s="12" t="n">
        <f aca="false">IF(1369989=0,0,G28/1369989)</f>
        <v>1</v>
      </c>
    </row>
    <row r="30" customFormat="false" ht="15" hidden="false" customHeight="true" outlineLevel="0" collapsed="false">
      <c r="B30" s="4" t="s">
        <v>354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10" t="s">
        <v>40</v>
      </c>
      <c r="C31" s="10" t="s">
        <v>355</v>
      </c>
      <c r="D31" s="10" t="s">
        <v>356</v>
      </c>
      <c r="E31" s="10" t="s">
        <v>357</v>
      </c>
      <c r="F31" s="10" t="s">
        <v>358</v>
      </c>
    </row>
    <row r="32" customFormat="false" ht="15" hidden="false" customHeight="true" outlineLevel="0" collapsed="false">
      <c r="B32" s="5" t="s">
        <v>328</v>
      </c>
      <c r="C32" s="11" t="n">
        <v>1438488.45</v>
      </c>
      <c r="D32" s="11" t="n">
        <v>1369989</v>
      </c>
      <c r="E32" s="11" t="n">
        <f aca="false">C32-D32</f>
        <v>68499.45</v>
      </c>
      <c r="F32" s="6" t="str">
        <f aca="false">IF(ABS(E32)&lt;=1,"TIES",IF(ABS(E32)&lt;=ABS(D32)*0.05,"WITHIN","OFF"))</f>
        <v>WITHIN</v>
      </c>
    </row>
    <row r="33" customFormat="false" ht="15" hidden="false" customHeight="true" outlineLevel="0" collapsed="false">
      <c r="B33" s="5" t="s">
        <v>359</v>
      </c>
      <c r="C33" s="11" t="n">
        <v>68499</v>
      </c>
      <c r="D33" s="11" t="n">
        <v>68499</v>
      </c>
      <c r="E33" s="11" t="n">
        <f aca="false">C33-D33</f>
        <v>0</v>
      </c>
      <c r="F33" s="6" t="str">
        <f aca="false">IF(ABS(E33)&lt;=1,"TIES",IF(ABS(E33)&lt;=ABS(D33)*0.05,"WITHIN","OFF"))</f>
        <v>TIES</v>
      </c>
    </row>
    <row r="34" customFormat="false" ht="15" hidden="false" customHeight="true" outlineLevel="0" collapsed="false">
      <c r="B34" s="5" t="s">
        <v>131</v>
      </c>
      <c r="C34" s="11" t="n">
        <v>859184.33</v>
      </c>
      <c r="D34" s="11" t="n">
        <v>859184.33</v>
      </c>
      <c r="E34" s="11" t="n">
        <f aca="false">C34-D34</f>
        <v>0</v>
      </c>
      <c r="F34" s="6" t="str">
        <f aca="false">IF(ABS(E34)&lt;=1,"TIES",IF(ABS(E34)&lt;=ABS(D34)*0.05,"WITHIN","OFF"))</f>
        <v>TIES</v>
      </c>
    </row>
    <row r="38" customFormat="false" ht="15" hidden="false" customHeight="true" outlineLevel="0" collapsed="false">
      <c r="B38" s="4" t="s">
        <v>62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B39" s="3" t="s">
        <v>63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64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65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66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67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68</v>
      </c>
      <c r="C44" s="3"/>
      <c r="D44" s="3"/>
      <c r="E44" s="3"/>
      <c r="F44" s="3"/>
      <c r="G44" s="3"/>
      <c r="H44" s="3"/>
    </row>
  </sheetData>
  <mergeCells count="12">
    <mergeCell ref="B2:H2"/>
    <mergeCell ref="B3:H3"/>
    <mergeCell ref="B5:H5"/>
    <mergeCell ref="B12:H12"/>
    <mergeCell ref="B30:H30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360</v>
      </c>
      <c r="C2" s="2"/>
    </row>
    <row r="3" customFormat="false" ht="15" hidden="false" customHeight="true" outlineLevel="0" collapsed="false">
      <c r="B3" s="3" t="s">
        <v>361</v>
      </c>
      <c r="C3" s="3"/>
    </row>
    <row r="5" customFormat="false" ht="31.5" hidden="false" customHeight="true" outlineLevel="0" collapsed="false">
      <c r="B5" s="6" t="s">
        <v>362</v>
      </c>
      <c r="C5" s="25" t="s">
        <v>363</v>
      </c>
    </row>
    <row r="6" customFormat="false" ht="31.5" hidden="false" customHeight="true" outlineLevel="0" collapsed="false">
      <c r="B6" s="6" t="s">
        <v>364</v>
      </c>
      <c r="C6" s="25" t="s">
        <v>365</v>
      </c>
    </row>
    <row r="7" customFormat="false" ht="31.5" hidden="false" customHeight="true" outlineLevel="0" collapsed="false">
      <c r="B7" s="6" t="s">
        <v>366</v>
      </c>
      <c r="C7" s="25" t="s">
        <v>367</v>
      </c>
    </row>
    <row r="8" customFormat="false" ht="31.5" hidden="false" customHeight="true" outlineLevel="0" collapsed="false">
      <c r="B8" s="6" t="s">
        <v>368</v>
      </c>
      <c r="C8" s="25" t="s">
        <v>369</v>
      </c>
    </row>
    <row r="9" customFormat="false" ht="31.5" hidden="false" customHeight="true" outlineLevel="0" collapsed="false">
      <c r="B9" s="6" t="s">
        <v>370</v>
      </c>
      <c r="C9" s="25" t="s">
        <v>371</v>
      </c>
    </row>
    <row r="10" customFormat="false" ht="31.5" hidden="false" customHeight="true" outlineLevel="0" collapsed="false">
      <c r="B10" s="6" t="s">
        <v>372</v>
      </c>
      <c r="C10" s="25" t="s">
        <v>373</v>
      </c>
    </row>
    <row r="11" customFormat="false" ht="31.5" hidden="false" customHeight="true" outlineLevel="0" collapsed="false">
      <c r="B11" s="6" t="s">
        <v>374</v>
      </c>
      <c r="C11" s="25" t="s">
        <v>375</v>
      </c>
    </row>
    <row r="12" customFormat="false" ht="31.5" hidden="false" customHeight="true" outlineLevel="0" collapsed="false">
      <c r="B12" s="6" t="s">
        <v>376</v>
      </c>
      <c r="C12" s="25" t="s">
        <v>377</v>
      </c>
    </row>
    <row r="13" customFormat="false" ht="31.5" hidden="false" customHeight="true" outlineLevel="0" collapsed="false">
      <c r="B13" s="6" t="s">
        <v>378</v>
      </c>
      <c r="C13" s="25" t="s">
        <v>379</v>
      </c>
    </row>
    <row r="14" customFormat="false" ht="31.5" hidden="false" customHeight="true" outlineLevel="0" collapsed="false">
      <c r="B14" s="6" t="s">
        <v>380</v>
      </c>
      <c r="C14" s="25" t="s">
        <v>381</v>
      </c>
    </row>
    <row r="16" customFormat="false" ht="15" hidden="false" customHeight="true" outlineLevel="0" collapsed="false">
      <c r="B16" s="4" t="s">
        <v>382</v>
      </c>
      <c r="C16" s="4"/>
    </row>
    <row r="17" customFormat="false" ht="49.5" hidden="false" customHeight="true" outlineLevel="0" collapsed="false">
      <c r="B17" s="26" t="s">
        <v>383</v>
      </c>
      <c r="C17" s="26"/>
    </row>
    <row r="20" customFormat="false" ht="15" hidden="false" customHeight="true" outlineLevel="0" collapsed="false">
      <c r="B20" s="4" t="s">
        <v>62</v>
      </c>
      <c r="C20" s="4"/>
    </row>
    <row r="21" customFormat="false" ht="15" hidden="false" customHeight="true" outlineLevel="0" collapsed="false">
      <c r="B21" s="3" t="s">
        <v>63</v>
      </c>
      <c r="C21" s="3"/>
    </row>
    <row r="22" customFormat="false" ht="15" hidden="false" customHeight="true" outlineLevel="0" collapsed="false">
      <c r="B22" s="3" t="s">
        <v>64</v>
      </c>
      <c r="C22" s="3"/>
    </row>
    <row r="23" customFormat="false" ht="15" hidden="false" customHeight="true" outlineLevel="0" collapsed="false">
      <c r="B23" s="3" t="s">
        <v>65</v>
      </c>
      <c r="C23" s="3"/>
    </row>
    <row r="24" customFormat="false" ht="15" hidden="false" customHeight="true" outlineLevel="0" collapsed="false">
      <c r="B24" s="3" t="s">
        <v>66</v>
      </c>
      <c r="C24" s="3"/>
    </row>
    <row r="25" customFormat="false" ht="15" hidden="false" customHeight="true" outlineLevel="0" collapsed="false">
      <c r="B25" s="3" t="s">
        <v>67</v>
      </c>
      <c r="C25" s="3"/>
    </row>
    <row r="26" customFormat="false" ht="15" hidden="false" customHeight="true" outlineLevel="0" collapsed="false">
      <c r="B26" s="3" t="s">
        <v>68</v>
      </c>
      <c r="C26" s="3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384</v>
      </c>
      <c r="C2" s="2"/>
      <c r="D2" s="2"/>
      <c r="E2" s="2"/>
      <c r="F2" s="2"/>
    </row>
    <row r="3" customFormat="false" ht="15" hidden="false" customHeight="true" outlineLevel="0" collapsed="false">
      <c r="B3" s="3" t="s">
        <v>385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386</v>
      </c>
      <c r="C5" s="10" t="s">
        <v>387</v>
      </c>
      <c r="D5" s="10" t="s">
        <v>41</v>
      </c>
      <c r="E5" s="10" t="s">
        <v>28</v>
      </c>
      <c r="F5" s="10" t="s">
        <v>265</v>
      </c>
      <c r="G5" s="27" t="s">
        <v>388</v>
      </c>
      <c r="H5" s="27" t="s">
        <v>389</v>
      </c>
    </row>
    <row r="6" customFormat="false" ht="15" hidden="false" customHeight="true" outlineLevel="0" collapsed="false">
      <c r="B6" s="5" t="s">
        <v>390</v>
      </c>
      <c r="C6" s="28" t="s">
        <v>391</v>
      </c>
      <c r="D6" s="6" t="s">
        <v>4</v>
      </c>
      <c r="E6" s="5" t="s">
        <v>392</v>
      </c>
      <c r="F6" s="22" t="s">
        <v>393</v>
      </c>
      <c r="G6" s="29" t="s">
        <v>394</v>
      </c>
      <c r="H6" s="30" t="s">
        <v>395</v>
      </c>
    </row>
    <row r="7" customFormat="false" ht="15" hidden="false" customHeight="true" outlineLevel="0" collapsed="false">
      <c r="B7" s="5" t="s">
        <v>396</v>
      </c>
      <c r="C7" s="28" t="s">
        <v>397</v>
      </c>
      <c r="D7" s="6" t="s">
        <v>6</v>
      </c>
      <c r="E7" s="5" t="s">
        <v>392</v>
      </c>
      <c r="G7" s="29" t="s">
        <v>394</v>
      </c>
      <c r="H7" s="30" t="s">
        <v>395</v>
      </c>
    </row>
    <row r="8" customFormat="false" ht="15" hidden="false" customHeight="true" outlineLevel="0" collapsed="false">
      <c r="B8" s="5" t="s">
        <v>7</v>
      </c>
      <c r="C8" s="28" t="s">
        <v>398</v>
      </c>
      <c r="D8" s="6" t="s">
        <v>8</v>
      </c>
      <c r="E8" s="5" t="s">
        <v>392</v>
      </c>
      <c r="G8" s="29" t="s">
        <v>394</v>
      </c>
      <c r="H8" s="30" t="s">
        <v>395</v>
      </c>
    </row>
    <row r="9" customFormat="false" ht="15" hidden="false" customHeight="true" outlineLevel="0" collapsed="false">
      <c r="B9" s="5" t="s">
        <v>9</v>
      </c>
      <c r="C9" s="28" t="s">
        <v>399</v>
      </c>
      <c r="D9" s="6" t="s">
        <v>10</v>
      </c>
      <c r="E9" s="5" t="s">
        <v>392</v>
      </c>
      <c r="G9" s="29" t="s">
        <v>394</v>
      </c>
      <c r="H9" s="30" t="s">
        <v>395</v>
      </c>
    </row>
    <row r="10" customFormat="false" ht="15" hidden="false" customHeight="true" outlineLevel="0" collapsed="false">
      <c r="B10" s="5" t="s">
        <v>400</v>
      </c>
      <c r="C10" s="28" t="s">
        <v>401</v>
      </c>
      <c r="D10" s="6" t="s">
        <v>402</v>
      </c>
      <c r="E10" s="5" t="s">
        <v>392</v>
      </c>
      <c r="G10" s="29" t="s">
        <v>394</v>
      </c>
      <c r="H10" s="30" t="s">
        <v>395</v>
      </c>
    </row>
    <row r="11" customFormat="false" ht="15" hidden="false" customHeight="true" outlineLevel="0" collapsed="false">
      <c r="B11" s="5" t="s">
        <v>403</v>
      </c>
      <c r="C11" s="28" t="s">
        <v>404</v>
      </c>
      <c r="D11" s="6" t="n">
        <v>16</v>
      </c>
      <c r="E11" s="5" t="s">
        <v>392</v>
      </c>
      <c r="F11" s="22" t="s">
        <v>12</v>
      </c>
      <c r="G11" s="29" t="s">
        <v>394</v>
      </c>
      <c r="H11" s="30" t="s">
        <v>395</v>
      </c>
    </row>
    <row r="12" customFormat="false" ht="15" hidden="false" customHeight="true" outlineLevel="0" collapsed="false">
      <c r="B12" s="5" t="s">
        <v>405</v>
      </c>
      <c r="C12" s="28" t="s">
        <v>406</v>
      </c>
      <c r="D12" s="13" t="n">
        <v>119</v>
      </c>
      <c r="E12" s="5" t="s">
        <v>392</v>
      </c>
      <c r="G12" s="29" t="s">
        <v>394</v>
      </c>
      <c r="H12" s="30" t="s">
        <v>395</v>
      </c>
    </row>
    <row r="13" customFormat="false" ht="15" hidden="false" customHeight="true" outlineLevel="0" collapsed="false">
      <c r="B13" s="5" t="s">
        <v>47</v>
      </c>
      <c r="C13" s="28" t="s">
        <v>407</v>
      </c>
      <c r="D13" s="13" t="n">
        <v>801</v>
      </c>
      <c r="E13" s="5" t="s">
        <v>392</v>
      </c>
      <c r="G13" s="29" t="s">
        <v>394</v>
      </c>
      <c r="H13" s="30" t="s">
        <v>395</v>
      </c>
    </row>
    <row r="14" customFormat="false" ht="15" hidden="false" customHeight="true" outlineLevel="0" collapsed="false">
      <c r="B14" s="5" t="s">
        <v>408</v>
      </c>
      <c r="C14" s="28" t="s">
        <v>409</v>
      </c>
      <c r="D14" s="21" t="n">
        <v>6.73109243697479</v>
      </c>
      <c r="E14" s="5" t="s">
        <v>392</v>
      </c>
      <c r="G14" s="29" t="s">
        <v>394</v>
      </c>
      <c r="H14" s="30" t="s">
        <v>395</v>
      </c>
    </row>
    <row r="15" customFormat="false" ht="15" hidden="false" customHeight="true" outlineLevel="0" collapsed="false">
      <c r="B15" s="5" t="s">
        <v>410</v>
      </c>
      <c r="C15" s="28" t="s">
        <v>411</v>
      </c>
      <c r="D15" s="13" t="n">
        <v>1373148</v>
      </c>
      <c r="E15" s="5" t="s">
        <v>412</v>
      </c>
      <c r="G15" s="29" t="s">
        <v>394</v>
      </c>
      <c r="H15" s="30" t="s">
        <v>395</v>
      </c>
    </row>
    <row r="16" customFormat="false" ht="15" hidden="false" customHeight="true" outlineLevel="0" collapsed="false">
      <c r="B16" s="5" t="s">
        <v>413</v>
      </c>
      <c r="C16" s="28" t="s">
        <v>414</v>
      </c>
      <c r="D16" s="13" t="n">
        <v>1369989</v>
      </c>
      <c r="E16" s="5" t="s">
        <v>412</v>
      </c>
      <c r="F16" s="22" t="s">
        <v>415</v>
      </c>
      <c r="G16" s="29" t="s">
        <v>394</v>
      </c>
      <c r="H16" s="30" t="s">
        <v>395</v>
      </c>
    </row>
    <row r="17" customFormat="false" ht="15" hidden="false" customHeight="true" outlineLevel="0" collapsed="false">
      <c r="B17" s="5" t="s">
        <v>416</v>
      </c>
      <c r="C17" s="28" t="s">
        <v>417</v>
      </c>
      <c r="D17" s="13" t="n">
        <v>-3159</v>
      </c>
      <c r="E17" s="5" t="s">
        <v>412</v>
      </c>
      <c r="G17" s="29" t="s">
        <v>394</v>
      </c>
      <c r="H17" s="30" t="s">
        <v>395</v>
      </c>
    </row>
    <row r="18" customFormat="false" ht="15" hidden="false" customHeight="true" outlineLevel="0" collapsed="false">
      <c r="B18" s="5" t="s">
        <v>418</v>
      </c>
      <c r="C18" s="28" t="s">
        <v>419</v>
      </c>
      <c r="D18" s="13" t="n">
        <v>1369989</v>
      </c>
      <c r="E18" s="5" t="s">
        <v>412</v>
      </c>
      <c r="G18" s="29" t="s">
        <v>394</v>
      </c>
      <c r="H18" s="30" t="s">
        <v>395</v>
      </c>
    </row>
    <row r="19" customFormat="false" ht="15" hidden="false" customHeight="true" outlineLevel="0" collapsed="false">
      <c r="B19" s="5" t="s">
        <v>420</v>
      </c>
      <c r="C19" s="28" t="s">
        <v>421</v>
      </c>
      <c r="D19" s="13" t="n">
        <v>510804.67</v>
      </c>
      <c r="E19" s="5" t="s">
        <v>412</v>
      </c>
      <c r="G19" s="29" t="s">
        <v>394</v>
      </c>
      <c r="H19" s="30" t="s">
        <v>395</v>
      </c>
    </row>
    <row r="20" customFormat="false" ht="15" hidden="false" customHeight="true" outlineLevel="0" collapsed="false">
      <c r="B20" s="5" t="s">
        <v>422</v>
      </c>
      <c r="C20" s="28" t="s">
        <v>423</v>
      </c>
      <c r="D20" s="21" t="n">
        <v>0.372853117798756</v>
      </c>
      <c r="E20" s="5" t="s">
        <v>412</v>
      </c>
      <c r="G20" s="29" t="s">
        <v>394</v>
      </c>
      <c r="H20" s="30" t="s">
        <v>395</v>
      </c>
    </row>
    <row r="21" customFormat="false" ht="15" hidden="false" customHeight="true" outlineLevel="0" collapsed="false">
      <c r="B21" s="5" t="s">
        <v>131</v>
      </c>
      <c r="C21" s="28" t="s">
        <v>424</v>
      </c>
      <c r="D21" s="13" t="n">
        <v>859184.33</v>
      </c>
      <c r="E21" s="5" t="s">
        <v>412</v>
      </c>
      <c r="G21" s="29" t="s">
        <v>394</v>
      </c>
      <c r="H21" s="30" t="s">
        <v>395</v>
      </c>
    </row>
    <row r="22" customFormat="false" ht="15" hidden="false" customHeight="true" outlineLevel="0" collapsed="false">
      <c r="B22" s="5" t="s">
        <v>425</v>
      </c>
      <c r="C22" s="28" t="s">
        <v>426</v>
      </c>
      <c r="D22" s="13" t="n">
        <v>292755.75</v>
      </c>
      <c r="E22" s="5" t="s">
        <v>34</v>
      </c>
      <c r="F22" s="22" t="s">
        <v>427</v>
      </c>
      <c r="G22" s="29" t="s">
        <v>394</v>
      </c>
      <c r="H22" s="30" t="s">
        <v>395</v>
      </c>
    </row>
    <row r="23" customFormat="false" ht="15" hidden="false" customHeight="true" outlineLevel="0" collapsed="false">
      <c r="B23" s="5" t="s">
        <v>428</v>
      </c>
      <c r="C23" s="28" t="s">
        <v>429</v>
      </c>
      <c r="D23" s="13" t="n">
        <v>378313.74</v>
      </c>
      <c r="E23" s="5" t="s">
        <v>35</v>
      </c>
      <c r="F23" s="22" t="s">
        <v>430</v>
      </c>
      <c r="G23" s="29" t="s">
        <v>394</v>
      </c>
      <c r="H23" s="30" t="s">
        <v>395</v>
      </c>
    </row>
    <row r="24" customFormat="false" ht="15" hidden="false" customHeight="true" outlineLevel="0" collapsed="false">
      <c r="B24" s="5" t="s">
        <v>431</v>
      </c>
      <c r="C24" s="28" t="s">
        <v>432</v>
      </c>
      <c r="D24" s="13" t="n">
        <v>33855.5</v>
      </c>
      <c r="E24" s="5" t="s">
        <v>412</v>
      </c>
      <c r="F24" s="22" t="s">
        <v>433</v>
      </c>
      <c r="G24" s="29" t="s">
        <v>394</v>
      </c>
      <c r="H24" s="30" t="s">
        <v>395</v>
      </c>
    </row>
    <row r="25" customFormat="false" ht="15" hidden="false" customHeight="true" outlineLevel="0" collapsed="false">
      <c r="B25" s="5" t="s">
        <v>434</v>
      </c>
      <c r="C25" s="28" t="s">
        <v>435</v>
      </c>
      <c r="D25" s="13" t="n">
        <v>154259.34</v>
      </c>
      <c r="E25" s="5" t="s">
        <v>412</v>
      </c>
      <c r="F25" s="22" t="s">
        <v>436</v>
      </c>
      <c r="G25" s="29" t="s">
        <v>394</v>
      </c>
      <c r="H25" s="30" t="s">
        <v>395</v>
      </c>
    </row>
    <row r="26" customFormat="false" ht="15" hidden="false" customHeight="true" outlineLevel="0" collapsed="false">
      <c r="B26" s="5" t="s">
        <v>359</v>
      </c>
      <c r="C26" s="28" t="s">
        <v>437</v>
      </c>
      <c r="D26" s="13" t="n">
        <v>68499</v>
      </c>
      <c r="E26" s="5" t="s">
        <v>412</v>
      </c>
      <c r="F26" s="22" t="s">
        <v>438</v>
      </c>
      <c r="G26" s="29" t="s">
        <v>394</v>
      </c>
      <c r="H26" s="30" t="s">
        <v>395</v>
      </c>
    </row>
    <row r="27" customFormat="false" ht="15" hidden="false" customHeight="true" outlineLevel="0" collapsed="false">
      <c r="B27" s="5" t="s">
        <v>439</v>
      </c>
      <c r="C27" s="28" t="s">
        <v>440</v>
      </c>
      <c r="D27" s="13" t="n">
        <v>11512.512605042</v>
      </c>
      <c r="E27" s="5" t="s">
        <v>412</v>
      </c>
      <c r="G27" s="29" t="s">
        <v>394</v>
      </c>
      <c r="H27" s="30" t="s">
        <v>395</v>
      </c>
    </row>
    <row r="28" customFormat="false" ht="15" hidden="false" customHeight="true" outlineLevel="0" collapsed="false">
      <c r="B28" s="5" t="s">
        <v>441</v>
      </c>
      <c r="C28" s="28" t="s">
        <v>442</v>
      </c>
      <c r="D28" s="13" t="n">
        <v>4292.4762184874</v>
      </c>
      <c r="E28" s="5" t="s">
        <v>412</v>
      </c>
      <c r="G28" s="29" t="s">
        <v>394</v>
      </c>
      <c r="H28" s="30" t="s">
        <v>395</v>
      </c>
    </row>
    <row r="29" customFormat="false" ht="15" hidden="false" customHeight="true" outlineLevel="0" collapsed="false">
      <c r="B29" s="5" t="s">
        <v>443</v>
      </c>
      <c r="C29" s="28" t="s">
        <v>444</v>
      </c>
      <c r="D29" s="13" t="n">
        <v>7220.03638655462</v>
      </c>
      <c r="E29" s="5" t="s">
        <v>412</v>
      </c>
      <c r="G29" s="29" t="s">
        <v>394</v>
      </c>
      <c r="H29" s="30" t="s">
        <v>395</v>
      </c>
    </row>
    <row r="30" customFormat="false" ht="15" hidden="false" customHeight="true" outlineLevel="0" collapsed="false">
      <c r="B30" s="5" t="s">
        <v>445</v>
      </c>
      <c r="C30" s="28" t="s">
        <v>446</v>
      </c>
      <c r="D30" s="13" t="n">
        <v>2460.13235294118</v>
      </c>
      <c r="E30" s="5" t="s">
        <v>34</v>
      </c>
      <c r="G30" s="29" t="s">
        <v>394</v>
      </c>
      <c r="H30" s="30" t="s">
        <v>395</v>
      </c>
    </row>
    <row r="31" customFormat="false" ht="15" hidden="false" customHeight="true" outlineLevel="0" collapsed="false">
      <c r="B31" s="5" t="s">
        <v>447</v>
      </c>
      <c r="C31" s="28" t="s">
        <v>448</v>
      </c>
      <c r="D31" s="13" t="n">
        <v>3179.10705882353</v>
      </c>
      <c r="E31" s="5" t="s">
        <v>35</v>
      </c>
      <c r="G31" s="29" t="s">
        <v>394</v>
      </c>
      <c r="H31" s="30" t="s">
        <v>395</v>
      </c>
    </row>
    <row r="32" customFormat="false" ht="15" hidden="false" customHeight="true" outlineLevel="0" collapsed="false">
      <c r="B32" s="5" t="s">
        <v>449</v>
      </c>
      <c r="C32" s="28" t="s">
        <v>450</v>
      </c>
      <c r="D32" s="13" t="n">
        <v>1710.34831460674</v>
      </c>
      <c r="E32" s="5" t="s">
        <v>412</v>
      </c>
      <c r="G32" s="29" t="s">
        <v>394</v>
      </c>
      <c r="H32" s="30" t="s">
        <v>395</v>
      </c>
    </row>
    <row r="33" customFormat="false" ht="15" hidden="false" customHeight="true" outlineLevel="0" collapsed="false">
      <c r="B33" s="5" t="s">
        <v>451</v>
      </c>
      <c r="C33" s="28" t="s">
        <v>452</v>
      </c>
      <c r="D33" s="13" t="n">
        <v>637.708701622971</v>
      </c>
      <c r="E33" s="5" t="s">
        <v>412</v>
      </c>
      <c r="G33" s="29" t="s">
        <v>394</v>
      </c>
      <c r="H33" s="30" t="s">
        <v>395</v>
      </c>
    </row>
    <row r="34" customFormat="false" ht="15" hidden="false" customHeight="true" outlineLevel="0" collapsed="false">
      <c r="B34" s="5" t="s">
        <v>453</v>
      </c>
      <c r="C34" s="28" t="s">
        <v>454</v>
      </c>
      <c r="D34" s="13" t="n">
        <v>1072.63961298377</v>
      </c>
      <c r="E34" s="5" t="s">
        <v>412</v>
      </c>
      <c r="G34" s="29" t="s">
        <v>394</v>
      </c>
      <c r="H34" s="30" t="s">
        <v>395</v>
      </c>
    </row>
    <row r="35" customFormat="false" ht="15" hidden="false" customHeight="true" outlineLevel="0" collapsed="false">
      <c r="B35" s="5" t="s">
        <v>455</v>
      </c>
      <c r="C35" s="28" t="s">
        <v>456</v>
      </c>
      <c r="D35" s="13" t="n">
        <v>365.487827715356</v>
      </c>
      <c r="E35" s="5" t="s">
        <v>34</v>
      </c>
      <c r="G35" s="29" t="s">
        <v>394</v>
      </c>
      <c r="H35" s="30" t="s">
        <v>395</v>
      </c>
    </row>
    <row r="36" customFormat="false" ht="15" hidden="false" customHeight="true" outlineLevel="0" collapsed="false">
      <c r="B36" s="5" t="s">
        <v>457</v>
      </c>
      <c r="C36" s="28" t="s">
        <v>458</v>
      </c>
      <c r="D36" s="13" t="n">
        <v>472.301797752809</v>
      </c>
      <c r="E36" s="5" t="s">
        <v>35</v>
      </c>
      <c r="G36" s="29" t="s">
        <v>394</v>
      </c>
      <c r="H36" s="30" t="s">
        <v>395</v>
      </c>
    </row>
    <row r="37" customFormat="false" ht="15" hidden="false" customHeight="true" outlineLevel="0" collapsed="false">
      <c r="B37" s="5" t="s">
        <v>459</v>
      </c>
      <c r="C37" s="28" t="s">
        <v>460</v>
      </c>
      <c r="D37" s="13" t="n">
        <v>14822</v>
      </c>
      <c r="E37" s="5" t="s">
        <v>34</v>
      </c>
      <c r="F37" s="22" t="s">
        <v>461</v>
      </c>
      <c r="G37" s="29" t="s">
        <v>394</v>
      </c>
      <c r="H37" s="30" t="s">
        <v>395</v>
      </c>
    </row>
    <row r="38" customFormat="false" ht="15" hidden="false" customHeight="true" outlineLevel="0" collapsed="false">
      <c r="B38" s="5" t="s">
        <v>462</v>
      </c>
      <c r="C38" s="28" t="s">
        <v>463</v>
      </c>
      <c r="D38" s="6" t="n">
        <v>45</v>
      </c>
      <c r="E38" s="5" t="s">
        <v>34</v>
      </c>
      <c r="F38" s="22" t="s">
        <v>464</v>
      </c>
      <c r="G38" s="29" t="s">
        <v>394</v>
      </c>
      <c r="H38" s="30" t="s">
        <v>395</v>
      </c>
    </row>
    <row r="39" customFormat="false" ht="15" hidden="false" customHeight="true" outlineLevel="0" collapsed="false">
      <c r="B39" s="5" t="s">
        <v>235</v>
      </c>
      <c r="C39" s="28" t="s">
        <v>465</v>
      </c>
      <c r="D39" s="14" t="n">
        <v>19.8725711779787</v>
      </c>
      <c r="E39" s="5" t="s">
        <v>34</v>
      </c>
      <c r="F39" s="22" t="s">
        <v>466</v>
      </c>
      <c r="G39" s="29" t="s">
        <v>394</v>
      </c>
      <c r="H39" s="30" t="s">
        <v>395</v>
      </c>
    </row>
    <row r="40" customFormat="false" ht="15" hidden="false" customHeight="true" outlineLevel="0" collapsed="false">
      <c r="B40" s="5" t="s">
        <v>237</v>
      </c>
      <c r="C40" s="28" t="s">
        <v>467</v>
      </c>
      <c r="D40" s="14" t="n">
        <v>30.1588915126164</v>
      </c>
      <c r="E40" s="5" t="s">
        <v>34</v>
      </c>
      <c r="F40" s="22" t="s">
        <v>468</v>
      </c>
      <c r="G40" s="29" t="s">
        <v>394</v>
      </c>
      <c r="H40" s="30" t="s">
        <v>395</v>
      </c>
    </row>
    <row r="41" customFormat="false" ht="15" hidden="false" customHeight="true" outlineLevel="0" collapsed="false">
      <c r="B41" s="5" t="s">
        <v>239</v>
      </c>
      <c r="C41" s="28" t="s">
        <v>469</v>
      </c>
      <c r="D41" s="21" t="n">
        <v>1.51761396361414</v>
      </c>
      <c r="E41" s="5" t="s">
        <v>34</v>
      </c>
      <c r="G41" s="29" t="s">
        <v>394</v>
      </c>
      <c r="H41" s="30" t="s">
        <v>395</v>
      </c>
    </row>
    <row r="42" customFormat="false" ht="15" hidden="false" customHeight="true" outlineLevel="0" collapsed="false">
      <c r="B42" s="5" t="s">
        <v>470</v>
      </c>
      <c r="C42" s="28" t="s">
        <v>471</v>
      </c>
      <c r="D42" s="13" t="n">
        <v>124.55462184874</v>
      </c>
      <c r="E42" s="5" t="s">
        <v>34</v>
      </c>
      <c r="F42" s="22" t="s">
        <v>472</v>
      </c>
      <c r="G42" s="29" t="s">
        <v>394</v>
      </c>
      <c r="H42" s="30" t="s">
        <v>395</v>
      </c>
    </row>
    <row r="43" customFormat="false" ht="15" hidden="false" customHeight="true" outlineLevel="0" collapsed="false">
      <c r="B43" s="5" t="s">
        <v>473</v>
      </c>
      <c r="C43" s="28" t="s">
        <v>474</v>
      </c>
      <c r="D43" s="14" t="n">
        <v>18.5043695380774</v>
      </c>
      <c r="E43" s="5" t="s">
        <v>34</v>
      </c>
      <c r="F43" s="22" t="s">
        <v>472</v>
      </c>
      <c r="G43" s="29" t="s">
        <v>394</v>
      </c>
      <c r="H43" s="30" t="s">
        <v>395</v>
      </c>
    </row>
    <row r="44" customFormat="false" ht="15" hidden="false" customHeight="true" outlineLevel="0" collapsed="false">
      <c r="B44" s="5" t="s">
        <v>475</v>
      </c>
      <c r="C44" s="28" t="s">
        <v>476</v>
      </c>
      <c r="D44" s="14" t="n">
        <v>92.429429226825</v>
      </c>
      <c r="E44" s="5" t="s">
        <v>477</v>
      </c>
      <c r="G44" s="29" t="s">
        <v>394</v>
      </c>
      <c r="H44" s="30" t="s">
        <v>395</v>
      </c>
    </row>
    <row r="45" customFormat="false" ht="15" hidden="false" customHeight="true" outlineLevel="0" collapsed="false">
      <c r="B45" s="5" t="s">
        <v>478</v>
      </c>
      <c r="C45" s="28" t="s">
        <v>479</v>
      </c>
      <c r="D45" s="14" t="n">
        <v>34.4626008635812</v>
      </c>
      <c r="E45" s="5" t="s">
        <v>477</v>
      </c>
      <c r="G45" s="29" t="s">
        <v>394</v>
      </c>
      <c r="H45" s="30" t="s">
        <v>395</v>
      </c>
    </row>
    <row r="46" customFormat="false" ht="15" hidden="false" customHeight="true" outlineLevel="0" collapsed="false">
      <c r="B46" s="5" t="s">
        <v>480</v>
      </c>
      <c r="C46" s="28" t="s">
        <v>481</v>
      </c>
      <c r="D46" s="21" t="n">
        <v>0.213692044242691</v>
      </c>
      <c r="E46" s="5" t="s">
        <v>482</v>
      </c>
      <c r="G46" s="29" t="s">
        <v>394</v>
      </c>
      <c r="H46" s="30" t="s">
        <v>395</v>
      </c>
    </row>
    <row r="47" customFormat="false" ht="15" hidden="false" customHeight="true" outlineLevel="0" collapsed="false">
      <c r="B47" s="5" t="s">
        <v>483</v>
      </c>
      <c r="C47" s="28" t="s">
        <v>484</v>
      </c>
      <c r="D47" s="21" t="n">
        <v>0.276143633270048</v>
      </c>
      <c r="E47" s="5" t="s">
        <v>482</v>
      </c>
      <c r="G47" s="29" t="s">
        <v>394</v>
      </c>
      <c r="H47" s="30" t="s">
        <v>395</v>
      </c>
    </row>
    <row r="48" customFormat="false" ht="15" hidden="false" customHeight="true" outlineLevel="0" collapsed="false">
      <c r="B48" s="5" t="s">
        <v>485</v>
      </c>
      <c r="C48" s="28" t="s">
        <v>486</v>
      </c>
      <c r="D48" s="13" t="n">
        <v>85624.3125</v>
      </c>
      <c r="E48" s="5" t="s">
        <v>477</v>
      </c>
      <c r="G48" s="29" t="s">
        <v>394</v>
      </c>
      <c r="H48" s="30" t="s">
        <v>395</v>
      </c>
    </row>
    <row r="49" customFormat="false" ht="15" hidden="false" customHeight="true" outlineLevel="0" collapsed="false">
      <c r="B49" s="5" t="s">
        <v>487</v>
      </c>
      <c r="C49" s="28" t="s">
        <v>488</v>
      </c>
      <c r="D49" s="13" t="n">
        <v>926.375</v>
      </c>
      <c r="E49" s="5" t="s">
        <v>477</v>
      </c>
      <c r="G49" s="29" t="s">
        <v>394</v>
      </c>
      <c r="H49" s="30" t="s">
        <v>395</v>
      </c>
    </row>
    <row r="50" customFormat="false" ht="15" hidden="false" customHeight="true" outlineLevel="0" collapsed="false">
      <c r="B50" s="5" t="s">
        <v>489</v>
      </c>
      <c r="C50" s="28" t="s">
        <v>490</v>
      </c>
      <c r="D50" s="21" t="n">
        <v>7.4375</v>
      </c>
      <c r="E50" s="5" t="s">
        <v>477</v>
      </c>
      <c r="G50" s="29" t="s">
        <v>394</v>
      </c>
      <c r="H50" s="30" t="s">
        <v>395</v>
      </c>
    </row>
    <row r="51" customFormat="false" ht="15" hidden="false" customHeight="true" outlineLevel="0" collapsed="false">
      <c r="B51" s="5" t="s">
        <v>491</v>
      </c>
      <c r="C51" s="28" t="s">
        <v>492</v>
      </c>
      <c r="D51" s="6" t="n">
        <v>20</v>
      </c>
      <c r="E51" s="5" t="s">
        <v>35</v>
      </c>
      <c r="F51" s="22" t="s">
        <v>493</v>
      </c>
      <c r="G51" s="29" t="s">
        <v>394</v>
      </c>
      <c r="H51" s="30" t="s">
        <v>395</v>
      </c>
    </row>
    <row r="52" customFormat="false" ht="15" hidden="false" customHeight="true" outlineLevel="0" collapsed="false">
      <c r="B52" s="5" t="s">
        <v>494</v>
      </c>
      <c r="C52" s="28" t="s">
        <v>495</v>
      </c>
      <c r="D52" s="13" t="n">
        <v>176571.46</v>
      </c>
      <c r="E52" s="5" t="s">
        <v>35</v>
      </c>
      <c r="F52" s="22" t="s">
        <v>153</v>
      </c>
      <c r="G52" s="29" t="s">
        <v>394</v>
      </c>
      <c r="H52" s="30" t="s">
        <v>395</v>
      </c>
    </row>
    <row r="53" customFormat="false" ht="15" hidden="false" customHeight="true" outlineLevel="0" collapsed="false">
      <c r="B53" s="5" t="s">
        <v>496</v>
      </c>
      <c r="C53" s="28" t="s">
        <v>497</v>
      </c>
      <c r="D53" s="21" t="n">
        <v>0.385210651238414</v>
      </c>
      <c r="E53" s="5" t="s">
        <v>35</v>
      </c>
      <c r="G53" s="29" t="s">
        <v>394</v>
      </c>
      <c r="H53" s="30" t="s">
        <v>395</v>
      </c>
    </row>
    <row r="54" customFormat="false" ht="15" hidden="false" customHeight="true" outlineLevel="0" collapsed="false">
      <c r="B54" s="5" t="s">
        <v>498</v>
      </c>
      <c r="C54" s="28" t="s">
        <v>499</v>
      </c>
      <c r="D54" s="13" t="n">
        <v>142</v>
      </c>
      <c r="E54" s="5" t="s">
        <v>35</v>
      </c>
      <c r="F54" s="22" t="s">
        <v>500</v>
      </c>
      <c r="G54" s="29" t="s">
        <v>394</v>
      </c>
      <c r="H54" s="30" t="s">
        <v>395</v>
      </c>
    </row>
    <row r="55" customFormat="false" ht="15" hidden="false" customHeight="true" outlineLevel="0" collapsed="false">
      <c r="B55" s="5" t="s">
        <v>501</v>
      </c>
      <c r="C55" s="28" t="s">
        <v>502</v>
      </c>
      <c r="D55" s="21" t="n">
        <v>-0.00230055318144876</v>
      </c>
      <c r="E55" s="5" t="s">
        <v>412</v>
      </c>
      <c r="G55" s="29" t="s">
        <v>394</v>
      </c>
      <c r="H55" s="30" t="s">
        <v>395</v>
      </c>
    </row>
    <row r="56" customFormat="false" ht="15" hidden="false" customHeight="true" outlineLevel="0" collapsed="false">
      <c r="B56" s="5" t="s">
        <v>503</v>
      </c>
      <c r="C56" s="28" t="s">
        <v>504</v>
      </c>
      <c r="D56" s="14" t="n">
        <v>92.429429226825</v>
      </c>
      <c r="E56" s="5" t="s">
        <v>477</v>
      </c>
      <c r="G56" s="29" t="s">
        <v>394</v>
      </c>
      <c r="H56" s="30" t="s">
        <v>395</v>
      </c>
    </row>
    <row r="60" customFormat="false" ht="15" hidden="false" customHeight="true" outlineLevel="0" collapsed="false">
      <c r="B60" s="4" t="s">
        <v>62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63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64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65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66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67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68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505</v>
      </c>
      <c r="C67" s="3"/>
      <c r="D67" s="3"/>
      <c r="E67" s="3"/>
      <c r="F67" s="3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506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507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508</v>
      </c>
      <c r="C5" s="27" t="s">
        <v>509</v>
      </c>
      <c r="D5" s="27" t="s">
        <v>333</v>
      </c>
      <c r="E5" s="27" t="s">
        <v>510</v>
      </c>
      <c r="F5" s="27" t="s">
        <v>511</v>
      </c>
      <c r="G5" s="27" t="s">
        <v>512</v>
      </c>
      <c r="H5" s="27" t="s">
        <v>513</v>
      </c>
      <c r="I5" s="27" t="s">
        <v>514</v>
      </c>
      <c r="J5" s="27" t="s">
        <v>358</v>
      </c>
      <c r="K5" s="27" t="s">
        <v>389</v>
      </c>
    </row>
    <row r="6" customFormat="false" ht="15" hidden="false" customHeight="false" outlineLevel="0" collapsed="false">
      <c r="B6" s="33" t="s">
        <v>515</v>
      </c>
      <c r="C6" s="33" t="s">
        <v>516</v>
      </c>
      <c r="D6" s="33" t="s">
        <v>517</v>
      </c>
      <c r="E6" s="30" t="s">
        <v>518</v>
      </c>
      <c r="F6" s="33" t="s">
        <v>519</v>
      </c>
      <c r="G6" s="33" t="s">
        <v>520</v>
      </c>
      <c r="H6" s="34" t="n">
        <v>-2100</v>
      </c>
      <c r="I6" s="33" t="n">
        <v>0</v>
      </c>
      <c r="J6" s="33" t="s">
        <v>521</v>
      </c>
      <c r="K6" s="35" t="s">
        <v>522</v>
      </c>
    </row>
    <row r="7" customFormat="false" ht="23.85" hidden="false" customHeight="false" outlineLevel="0" collapsed="false">
      <c r="B7" s="33" t="s">
        <v>523</v>
      </c>
      <c r="C7" s="33" t="s">
        <v>516</v>
      </c>
      <c r="D7" s="33" t="s">
        <v>517</v>
      </c>
      <c r="E7" s="30" t="s">
        <v>524</v>
      </c>
      <c r="F7" s="33" t="s">
        <v>519</v>
      </c>
      <c r="G7" s="33" t="s">
        <v>525</v>
      </c>
      <c r="H7" s="36" t="n">
        <v>495</v>
      </c>
      <c r="I7" s="33" t="n">
        <v>0</v>
      </c>
      <c r="J7" s="33" t="s">
        <v>521</v>
      </c>
      <c r="K7" s="35" t="s">
        <v>526</v>
      </c>
    </row>
    <row r="8" customFormat="false" ht="23.85" hidden="false" customHeight="false" outlineLevel="0" collapsed="false">
      <c r="B8" s="33" t="s">
        <v>527</v>
      </c>
      <c r="C8" s="33" t="s">
        <v>528</v>
      </c>
      <c r="D8" s="33" t="s">
        <v>529</v>
      </c>
      <c r="E8" s="30" t="s">
        <v>530</v>
      </c>
      <c r="F8" s="33" t="s">
        <v>531</v>
      </c>
      <c r="G8" s="33"/>
      <c r="H8" s="34" t="n">
        <v>-6872</v>
      </c>
      <c r="I8" s="33" t="n">
        <v>0</v>
      </c>
      <c r="J8" s="33" t="s">
        <v>532</v>
      </c>
      <c r="K8" s="35" t="s">
        <v>533</v>
      </c>
    </row>
    <row r="9" customFormat="false" ht="15" hidden="false" customHeight="false" outlineLevel="0" collapsed="false">
      <c r="B9" s="33" t="s">
        <v>534</v>
      </c>
      <c r="C9" s="33" t="s">
        <v>528</v>
      </c>
      <c r="D9" s="33" t="s">
        <v>529</v>
      </c>
      <c r="E9" s="30" t="s">
        <v>535</v>
      </c>
      <c r="F9" s="33" t="s">
        <v>531</v>
      </c>
      <c r="G9" s="33" t="s">
        <v>525</v>
      </c>
      <c r="H9" s="36" t="n">
        <v>495</v>
      </c>
      <c r="I9" s="33" t="n">
        <v>0</v>
      </c>
      <c r="J9" s="33" t="s">
        <v>532</v>
      </c>
      <c r="K9" s="35" t="s">
        <v>533</v>
      </c>
    </row>
    <row r="10" customFormat="false" ht="15" hidden="false" customHeight="false" outlineLevel="0" collapsed="false">
      <c r="B10" s="33" t="s">
        <v>536</v>
      </c>
      <c r="C10" s="33" t="s">
        <v>528</v>
      </c>
      <c r="D10" s="33" t="s">
        <v>529</v>
      </c>
      <c r="E10" s="30" t="s">
        <v>537</v>
      </c>
      <c r="F10" s="33" t="s">
        <v>531</v>
      </c>
      <c r="G10" s="33" t="s">
        <v>520</v>
      </c>
      <c r="H10" s="34" t="n">
        <v>-2100</v>
      </c>
      <c r="I10" s="33" t="n">
        <v>0</v>
      </c>
      <c r="J10" s="33" t="s">
        <v>532</v>
      </c>
      <c r="K10" s="35" t="s">
        <v>533</v>
      </c>
    </row>
    <row r="11" customFormat="false" ht="15" hidden="false" customHeight="false" outlineLevel="0" collapsed="false">
      <c r="B11" s="33" t="s">
        <v>538</v>
      </c>
      <c r="C11" s="33" t="s">
        <v>528</v>
      </c>
      <c r="D11" s="33" t="s">
        <v>529</v>
      </c>
      <c r="E11" s="30" t="s">
        <v>539</v>
      </c>
      <c r="F11" s="33" t="s">
        <v>531</v>
      </c>
      <c r="G11" s="33" t="s">
        <v>540</v>
      </c>
      <c r="H11" s="34" t="n">
        <v>-535</v>
      </c>
      <c r="I11" s="33" t="n">
        <v>0</v>
      </c>
      <c r="J11" s="33" t="s">
        <v>532</v>
      </c>
      <c r="K11" s="35" t="s">
        <v>533</v>
      </c>
    </row>
    <row r="12" customFormat="false" ht="23.85" hidden="false" customHeight="false" outlineLevel="0" collapsed="false">
      <c r="B12" s="33" t="s">
        <v>541</v>
      </c>
      <c r="C12" s="33" t="s">
        <v>528</v>
      </c>
      <c r="D12" s="33" t="s">
        <v>542</v>
      </c>
      <c r="E12" s="30" t="s">
        <v>543</v>
      </c>
      <c r="F12" s="33" t="s">
        <v>531</v>
      </c>
      <c r="G12" s="33" t="s">
        <v>544</v>
      </c>
      <c r="H12" s="36" t="n">
        <v>1622</v>
      </c>
      <c r="I12" s="33" t="n">
        <v>0</v>
      </c>
      <c r="J12" s="33" t="s">
        <v>532</v>
      </c>
      <c r="K12" s="35" t="s">
        <v>545</v>
      </c>
    </row>
    <row r="13" customFormat="false" ht="23.85" hidden="false" customHeight="false" outlineLevel="0" collapsed="false">
      <c r="B13" s="33" t="s">
        <v>546</v>
      </c>
      <c r="C13" s="33" t="s">
        <v>516</v>
      </c>
      <c r="D13" s="33" t="s">
        <v>547</v>
      </c>
      <c r="E13" s="30" t="s">
        <v>548</v>
      </c>
      <c r="F13" s="33" t="s">
        <v>519</v>
      </c>
      <c r="G13" s="33"/>
      <c r="H13" s="36" t="n">
        <v>7790</v>
      </c>
      <c r="I13" s="33" t="n">
        <v>0</v>
      </c>
      <c r="J13" s="33" t="s">
        <v>521</v>
      </c>
      <c r="K13" s="35" t="s">
        <v>549</v>
      </c>
    </row>
    <row r="14" customFormat="false" ht="15" hidden="false" customHeight="false" outlineLevel="0" collapsed="false">
      <c r="B14" s="33" t="s">
        <v>550</v>
      </c>
      <c r="C14" s="33" t="s">
        <v>516</v>
      </c>
      <c r="D14" s="33" t="s">
        <v>551</v>
      </c>
      <c r="E14" s="30" t="s">
        <v>552</v>
      </c>
      <c r="F14" s="33" t="s">
        <v>519</v>
      </c>
      <c r="G14" s="33"/>
      <c r="H14" s="36" t="n">
        <v>2685</v>
      </c>
      <c r="I14" s="33" t="n">
        <v>0</v>
      </c>
      <c r="J14" s="33" t="s">
        <v>521</v>
      </c>
      <c r="K14" s="35" t="s">
        <v>553</v>
      </c>
    </row>
    <row r="15" customFormat="false" ht="15" hidden="false" customHeight="false" outlineLevel="0" collapsed="false">
      <c r="B15" s="33" t="s">
        <v>554</v>
      </c>
      <c r="C15" s="33" t="s">
        <v>516</v>
      </c>
      <c r="D15" s="33" t="s">
        <v>555</v>
      </c>
      <c r="E15" s="30" t="s">
        <v>556</v>
      </c>
      <c r="F15" s="33" t="s">
        <v>519</v>
      </c>
      <c r="G15" s="33" t="s">
        <v>557</v>
      </c>
      <c r="H15" s="36" t="n">
        <v>335</v>
      </c>
      <c r="I15" s="33" t="n">
        <v>0</v>
      </c>
      <c r="J15" s="33" t="s">
        <v>521</v>
      </c>
      <c r="K15" s="35" t="s">
        <v>558</v>
      </c>
    </row>
    <row r="16" customFormat="false" ht="23.85" hidden="false" customHeight="false" outlineLevel="0" collapsed="false">
      <c r="B16" s="33" t="s">
        <v>559</v>
      </c>
      <c r="C16" s="33" t="s">
        <v>516</v>
      </c>
      <c r="D16" s="33" t="s">
        <v>344</v>
      </c>
      <c r="E16" s="30" t="s">
        <v>560</v>
      </c>
      <c r="F16" s="33" t="s">
        <v>519</v>
      </c>
      <c r="G16" s="33"/>
      <c r="H16" s="36" t="n">
        <v>1885</v>
      </c>
      <c r="I16" s="33" t="n">
        <v>0</v>
      </c>
      <c r="J16" s="33" t="s">
        <v>521</v>
      </c>
      <c r="K16" s="35" t="s">
        <v>561</v>
      </c>
    </row>
    <row r="17" customFormat="false" ht="19.4" hidden="false" customHeight="false" outlineLevel="0" collapsed="false">
      <c r="B17" s="33" t="s">
        <v>562</v>
      </c>
      <c r="C17" s="33" t="s">
        <v>516</v>
      </c>
      <c r="D17" s="33" t="s">
        <v>563</v>
      </c>
      <c r="E17" s="30" t="s">
        <v>564</v>
      </c>
      <c r="F17" s="33" t="s">
        <v>519</v>
      </c>
      <c r="G17" s="33" t="s">
        <v>565</v>
      </c>
      <c r="H17" s="36" t="n">
        <v>2703</v>
      </c>
      <c r="I17" s="33" t="n">
        <v>0</v>
      </c>
      <c r="J17" s="33" t="s">
        <v>521</v>
      </c>
      <c r="K17" s="35" t="s">
        <v>566</v>
      </c>
    </row>
    <row r="18" customFormat="false" ht="19.4" hidden="false" customHeight="false" outlineLevel="0" collapsed="false">
      <c r="B18" s="33" t="s">
        <v>567</v>
      </c>
      <c r="C18" s="33" t="s">
        <v>516</v>
      </c>
      <c r="D18" s="33" t="s">
        <v>568</v>
      </c>
      <c r="E18" s="30" t="s">
        <v>569</v>
      </c>
      <c r="F18" s="33" t="s">
        <v>519</v>
      </c>
      <c r="G18" s="33" t="s">
        <v>570</v>
      </c>
      <c r="H18" s="36" t="n">
        <v>782</v>
      </c>
      <c r="I18" s="33" t="n">
        <v>0</v>
      </c>
      <c r="J18" s="33" t="s">
        <v>521</v>
      </c>
      <c r="K18" s="35" t="s">
        <v>571</v>
      </c>
    </row>
    <row r="19" customFormat="false" ht="23.85" hidden="false" customHeight="false" outlineLevel="0" collapsed="false">
      <c r="B19" s="33" t="s">
        <v>572</v>
      </c>
      <c r="C19" s="33" t="s">
        <v>516</v>
      </c>
      <c r="D19" s="33" t="s">
        <v>573</v>
      </c>
      <c r="E19" s="30" t="s">
        <v>574</v>
      </c>
      <c r="F19" s="33" t="s">
        <v>519</v>
      </c>
      <c r="G19" s="33"/>
      <c r="H19" s="36" t="n">
        <v>1277</v>
      </c>
      <c r="I19" s="33" t="n">
        <v>0</v>
      </c>
      <c r="J19" s="33" t="s">
        <v>521</v>
      </c>
      <c r="K19" s="35" t="s">
        <v>575</v>
      </c>
    </row>
    <row r="21" customFormat="false" ht="15" hidden="false" customHeight="false" outlineLevel="0" collapsed="false">
      <c r="B21" s="37" t="s">
        <v>38</v>
      </c>
      <c r="H21" s="38" t="n">
        <f aca="false">SUM(H6:H19)</f>
        <v>8462</v>
      </c>
      <c r="I21" s="37" t="n">
        <f aca="false">SUM(I6:I19)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576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577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578</v>
      </c>
    </row>
    <row r="6" customFormat="false" ht="15" hidden="false" customHeight="false" outlineLevel="0" collapsed="false">
      <c r="B6" s="27" t="s">
        <v>579</v>
      </c>
      <c r="C6" s="27" t="s">
        <v>580</v>
      </c>
      <c r="D6" s="27" t="s">
        <v>581</v>
      </c>
      <c r="E6" s="27" t="s">
        <v>582</v>
      </c>
      <c r="F6" s="27" t="s">
        <v>583</v>
      </c>
      <c r="G6" s="27" t="s">
        <v>265</v>
      </c>
    </row>
    <row r="7" customFormat="false" ht="15" hidden="false" customHeight="false" outlineLevel="0" collapsed="false">
      <c r="B7" s="30" t="s">
        <v>584</v>
      </c>
      <c r="C7" s="33" t="n">
        <v>3</v>
      </c>
      <c r="D7" s="40" t="n">
        <v>-11072</v>
      </c>
      <c r="E7" s="41" t="n">
        <f aca="false">C7/14</f>
        <v>0.214285714285714</v>
      </c>
      <c r="F7" s="30" t="s">
        <v>585</v>
      </c>
      <c r="G7" s="30" t="s">
        <v>518</v>
      </c>
    </row>
    <row r="8" customFormat="false" ht="15" hidden="false" customHeight="false" outlineLevel="0" collapsed="false">
      <c r="B8" s="30" t="s">
        <v>586</v>
      </c>
      <c r="C8" s="33" t="n">
        <v>7</v>
      </c>
      <c r="D8" s="40" t="n">
        <v>5897</v>
      </c>
      <c r="E8" s="41" t="n">
        <f aca="false">C8/14</f>
        <v>0.5</v>
      </c>
      <c r="F8" s="30" t="s">
        <v>585</v>
      </c>
      <c r="G8" s="30" t="s">
        <v>587</v>
      </c>
    </row>
    <row r="9" customFormat="false" ht="15" hidden="false" customHeight="false" outlineLevel="0" collapsed="false">
      <c r="B9" s="30" t="s">
        <v>588</v>
      </c>
      <c r="C9" s="33" t="n">
        <v>2</v>
      </c>
      <c r="D9" s="40" t="n">
        <v>9675</v>
      </c>
      <c r="E9" s="41" t="n">
        <f aca="false">C9/14</f>
        <v>0.142857142857143</v>
      </c>
      <c r="F9" s="30" t="s">
        <v>589</v>
      </c>
      <c r="G9" s="30" t="s">
        <v>590</v>
      </c>
    </row>
    <row r="10" customFormat="false" ht="15" hidden="false" customHeight="false" outlineLevel="0" collapsed="false">
      <c r="B10" s="30" t="s">
        <v>591</v>
      </c>
      <c r="C10" s="33" t="n">
        <v>1</v>
      </c>
      <c r="D10" s="40" t="n">
        <v>2685</v>
      </c>
      <c r="E10" s="41" t="n">
        <f aca="false">C10/14</f>
        <v>0.0714285714285714</v>
      </c>
      <c r="F10" s="30" t="s">
        <v>585</v>
      </c>
      <c r="G10" s="30" t="s">
        <v>552</v>
      </c>
    </row>
    <row r="11" customFormat="false" ht="15" hidden="false" customHeight="false" outlineLevel="0" collapsed="false">
      <c r="B11" s="30" t="s">
        <v>592</v>
      </c>
      <c r="C11" s="33" t="n">
        <v>1</v>
      </c>
      <c r="D11" s="40" t="n">
        <v>1277</v>
      </c>
      <c r="E11" s="41" t="n">
        <f aca="false">C11/14</f>
        <v>0.0714285714285714</v>
      </c>
      <c r="F11" s="30" t="s">
        <v>589</v>
      </c>
      <c r="G11" s="30" t="s">
        <v>593</v>
      </c>
    </row>
    <row r="12" customFormat="false" ht="15" hidden="false" customHeight="false" outlineLevel="0" collapsed="false">
      <c r="B12" s="37" t="s">
        <v>38</v>
      </c>
      <c r="C12" s="37" t="n">
        <f aca="false">SUM(C7:C11)</f>
        <v>14</v>
      </c>
      <c r="D12" s="38" t="n">
        <f aca="false">SUM(D7:D11)</f>
        <v>8462</v>
      </c>
    </row>
    <row r="15" customFormat="false" ht="15" hidden="false" customHeight="false" outlineLevel="0" collapsed="false">
      <c r="B15" s="39" t="s">
        <v>594</v>
      </c>
    </row>
    <row r="16" customFormat="false" ht="15" hidden="false" customHeight="false" outlineLevel="0" collapsed="false">
      <c r="B16" s="27" t="s">
        <v>595</v>
      </c>
      <c r="C16" s="27" t="s">
        <v>580</v>
      </c>
      <c r="D16" s="27" t="s">
        <v>596</v>
      </c>
      <c r="E16" s="27" t="s">
        <v>597</v>
      </c>
    </row>
    <row r="17" customFormat="false" ht="35.05" hidden="false" customHeight="false" outlineLevel="0" collapsed="false">
      <c r="B17" s="30" t="s">
        <v>585</v>
      </c>
      <c r="C17" s="33" t="n">
        <v>11</v>
      </c>
      <c r="D17" s="40" t="n">
        <v>-2490</v>
      </c>
      <c r="E17" s="30" t="s">
        <v>598</v>
      </c>
    </row>
    <row r="18" customFormat="false" ht="23.85" hidden="false" customHeight="false" outlineLevel="0" collapsed="false">
      <c r="B18" s="30" t="s">
        <v>589</v>
      </c>
      <c r="C18" s="33" t="n">
        <v>3</v>
      </c>
      <c r="D18" s="40" t="n">
        <v>10952</v>
      </c>
      <c r="E18" s="30" t="s">
        <v>599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600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601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602</v>
      </c>
    </row>
    <row r="6" customFormat="false" ht="15" hidden="false" customHeight="false" outlineLevel="0" collapsed="false">
      <c r="B6" s="27" t="s">
        <v>603</v>
      </c>
      <c r="C6" s="27" t="s">
        <v>604</v>
      </c>
      <c r="D6" s="27" t="s">
        <v>605</v>
      </c>
      <c r="E6" s="27" t="s">
        <v>358</v>
      </c>
      <c r="F6" s="27" t="s">
        <v>606</v>
      </c>
    </row>
    <row r="7" customFormat="false" ht="15" hidden="false" customHeight="false" outlineLevel="0" collapsed="false">
      <c r="B7" s="30" t="s">
        <v>607</v>
      </c>
      <c r="C7" s="42" t="n">
        <v>32</v>
      </c>
      <c r="D7" s="33" t="s">
        <v>608</v>
      </c>
      <c r="E7" s="30" t="s">
        <v>609</v>
      </c>
      <c r="F7" s="30" t="s">
        <v>610</v>
      </c>
    </row>
    <row r="8" customFormat="false" ht="15" hidden="false" customHeight="false" outlineLevel="0" collapsed="false">
      <c r="B8" s="30" t="s">
        <v>611</v>
      </c>
      <c r="C8" s="33" t="s">
        <v>612</v>
      </c>
      <c r="D8" s="33" t="s">
        <v>613</v>
      </c>
      <c r="E8" s="30" t="s">
        <v>609</v>
      </c>
      <c r="F8" s="30" t="s">
        <v>614</v>
      </c>
    </row>
    <row r="9" customFormat="false" ht="15" hidden="false" customHeight="false" outlineLevel="0" collapsed="false">
      <c r="B9" s="30" t="s">
        <v>615</v>
      </c>
      <c r="C9" s="33" t="s">
        <v>616</v>
      </c>
      <c r="D9" s="33" t="s">
        <v>617</v>
      </c>
      <c r="E9" s="30" t="s">
        <v>618</v>
      </c>
      <c r="F9" s="30" t="s">
        <v>619</v>
      </c>
    </row>
    <row r="10" customFormat="false" ht="15" hidden="false" customHeight="false" outlineLevel="0" collapsed="false">
      <c r="B10" s="30" t="s">
        <v>620</v>
      </c>
      <c r="C10" s="42" t="n">
        <v>0</v>
      </c>
      <c r="D10" s="33" t="s">
        <v>621</v>
      </c>
      <c r="E10" s="43" t="s">
        <v>622</v>
      </c>
      <c r="F10" s="30" t="s">
        <v>623</v>
      </c>
    </row>
    <row r="11" customFormat="false" ht="15" hidden="false" customHeight="false" outlineLevel="0" collapsed="false">
      <c r="B11" s="30" t="s">
        <v>624</v>
      </c>
      <c r="C11" s="42" t="n">
        <v>0</v>
      </c>
      <c r="D11" s="33" t="s">
        <v>625</v>
      </c>
      <c r="E11" s="43" t="s">
        <v>622</v>
      </c>
      <c r="F11" s="30" t="s">
        <v>626</v>
      </c>
    </row>
    <row r="12" customFormat="false" ht="15" hidden="false" customHeight="false" outlineLevel="0" collapsed="false">
      <c r="B12" s="30" t="s">
        <v>627</v>
      </c>
      <c r="C12" s="42" t="n">
        <v>14</v>
      </c>
      <c r="D12" s="33" t="s">
        <v>625</v>
      </c>
      <c r="E12" s="44" t="s">
        <v>628</v>
      </c>
      <c r="F12" s="30" t="s">
        <v>629</v>
      </c>
    </row>
    <row r="13" customFormat="false" ht="15" hidden="false" customHeight="false" outlineLevel="0" collapsed="false">
      <c r="B13" s="30" t="s">
        <v>630</v>
      </c>
      <c r="C13" s="42" t="n">
        <v>0</v>
      </c>
      <c r="D13" s="33" t="s">
        <v>631</v>
      </c>
      <c r="E13" s="43" t="s">
        <v>622</v>
      </c>
      <c r="F13" s="30" t="s">
        <v>632</v>
      </c>
    </row>
    <row r="14" customFormat="false" ht="15" hidden="false" customHeight="false" outlineLevel="0" collapsed="false">
      <c r="B14" s="30" t="s">
        <v>633</v>
      </c>
      <c r="C14" s="42" t="n">
        <v>11</v>
      </c>
      <c r="D14" s="33" t="s">
        <v>634</v>
      </c>
      <c r="E14" s="44" t="s">
        <v>628</v>
      </c>
      <c r="F14" s="30" t="s">
        <v>635</v>
      </c>
    </row>
    <row r="15" customFormat="false" ht="15" hidden="false" customHeight="false" outlineLevel="0" collapsed="false">
      <c r="B15" s="30" t="s">
        <v>636</v>
      </c>
      <c r="C15" s="42" t="n">
        <v>8462</v>
      </c>
      <c r="D15" s="33" t="s">
        <v>637</v>
      </c>
      <c r="E15" s="43" t="s">
        <v>638</v>
      </c>
      <c r="F15" s="30" t="s">
        <v>639</v>
      </c>
    </row>
    <row r="18" customFormat="false" ht="15" hidden="false" customHeight="false" outlineLevel="0" collapsed="false">
      <c r="B18" s="39" t="s">
        <v>640</v>
      </c>
    </row>
    <row r="19" customFormat="false" ht="15" hidden="false" customHeight="false" outlineLevel="0" collapsed="false">
      <c r="B19" s="27" t="s">
        <v>641</v>
      </c>
      <c r="C19" s="27" t="s">
        <v>642</v>
      </c>
      <c r="D19" s="27" t="s">
        <v>388</v>
      </c>
      <c r="E19" s="27" t="s">
        <v>643</v>
      </c>
      <c r="F19" s="27" t="s">
        <v>644</v>
      </c>
    </row>
    <row r="20" customFormat="false" ht="15" hidden="false" customHeight="false" outlineLevel="0" collapsed="false">
      <c r="B20" s="30" t="s">
        <v>645</v>
      </c>
      <c r="C20" s="45" t="n">
        <f aca="false">'Benchmark KPIs'!D55</f>
        <v>-0.00230055318144876</v>
      </c>
      <c r="D20" s="33" t="s">
        <v>30</v>
      </c>
      <c r="E20" s="30" t="s">
        <v>646</v>
      </c>
      <c r="F20" s="30" t="s">
        <v>647</v>
      </c>
    </row>
    <row r="21" customFormat="false" ht="15" hidden="false" customHeight="false" outlineLevel="0" collapsed="false">
      <c r="B21" s="30" t="s">
        <v>648</v>
      </c>
      <c r="C21" s="46" t="n">
        <f aca="false">'Benchmark KPIs'!D21</f>
        <v>859184.33</v>
      </c>
      <c r="D21" s="33" t="s">
        <v>30</v>
      </c>
      <c r="E21" s="30" t="s">
        <v>646</v>
      </c>
      <c r="F21" s="30" t="s">
        <v>649</v>
      </c>
    </row>
    <row r="22" customFormat="false" ht="15" hidden="false" customHeight="false" outlineLevel="0" collapsed="false">
      <c r="B22" s="30" t="s">
        <v>650</v>
      </c>
      <c r="C22" s="45" t="n">
        <f aca="false">'Benchmark KPIs'!D20</f>
        <v>0.372853117798756</v>
      </c>
      <c r="D22" s="33" t="s">
        <v>30</v>
      </c>
      <c r="E22" s="30" t="s">
        <v>646</v>
      </c>
      <c r="F22" s="30" t="s">
        <v>651</v>
      </c>
    </row>
    <row r="23" customFormat="false" ht="15" hidden="false" customHeight="false" outlineLevel="0" collapsed="false">
      <c r="B23" s="30" t="s">
        <v>652</v>
      </c>
      <c r="C23" s="33" t="n">
        <v>20</v>
      </c>
      <c r="D23" s="33" t="s">
        <v>653</v>
      </c>
      <c r="E23" s="30" t="s">
        <v>654</v>
      </c>
      <c r="F23" s="30" t="s">
        <v>655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656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657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658</v>
      </c>
      <c r="C5" s="27" t="s">
        <v>659</v>
      </c>
      <c r="D5" s="27" t="s">
        <v>660</v>
      </c>
      <c r="E5" s="27" t="s">
        <v>41</v>
      </c>
      <c r="F5" s="27" t="s">
        <v>661</v>
      </c>
      <c r="G5" s="27" t="s">
        <v>662</v>
      </c>
      <c r="H5" s="27" t="s">
        <v>388</v>
      </c>
      <c r="I5" s="27" t="s">
        <v>663</v>
      </c>
      <c r="J5" s="27" t="s">
        <v>664</v>
      </c>
    </row>
    <row r="6" customFormat="false" ht="15" hidden="false" customHeight="false" outlineLevel="0" collapsed="false">
      <c r="B6" s="33" t="n">
        <v>1</v>
      </c>
      <c r="C6" s="30" t="s">
        <v>391</v>
      </c>
      <c r="D6" s="30" t="s">
        <v>390</v>
      </c>
      <c r="E6" s="33" t="str">
        <f aca="false">'Benchmark KPIs'!D6</f>
        <v>2017</v>
      </c>
      <c r="F6" s="33" t="s">
        <v>665</v>
      </c>
      <c r="G6" s="30" t="s">
        <v>384</v>
      </c>
      <c r="H6" s="29" t="s">
        <v>394</v>
      </c>
      <c r="I6" s="30" t="s">
        <v>666</v>
      </c>
      <c r="J6" s="30" t="s">
        <v>667</v>
      </c>
    </row>
    <row r="7" customFormat="false" ht="35.05" hidden="false" customHeight="false" outlineLevel="0" collapsed="false">
      <c r="B7" s="33" t="n">
        <v>2</v>
      </c>
      <c r="C7" s="30" t="s">
        <v>397</v>
      </c>
      <c r="D7" s="30" t="s">
        <v>396</v>
      </c>
      <c r="E7" s="33" t="str">
        <f aca="false">'Benchmark KPIs'!D7</f>
        <v>Exxel Pacific 3636 Stone Way Apartments</v>
      </c>
      <c r="F7" s="33" t="s">
        <v>668</v>
      </c>
      <c r="G7" s="30" t="s">
        <v>384</v>
      </c>
      <c r="H7" s="29" t="s">
        <v>394</v>
      </c>
      <c r="I7" s="30" t="s">
        <v>669</v>
      </c>
      <c r="J7" s="30" t="s">
        <v>667</v>
      </c>
    </row>
    <row r="8" customFormat="false" ht="15" hidden="false" customHeight="false" outlineLevel="0" collapsed="false">
      <c r="B8" s="33" t="n">
        <v>3</v>
      </c>
      <c r="C8" s="30" t="s">
        <v>398</v>
      </c>
      <c r="D8" s="30" t="s">
        <v>7</v>
      </c>
      <c r="E8" s="33" t="str">
        <f aca="false">'Benchmark KPIs'!D8</f>
        <v>Exxel Pacific, Inc.</v>
      </c>
      <c r="F8" s="33" t="s">
        <v>668</v>
      </c>
      <c r="G8" s="30" t="s">
        <v>384</v>
      </c>
      <c r="H8" s="29" t="s">
        <v>394</v>
      </c>
      <c r="I8" s="30" t="s">
        <v>669</v>
      </c>
      <c r="J8" s="30" t="s">
        <v>667</v>
      </c>
    </row>
    <row r="9" customFormat="false" ht="23.85" hidden="false" customHeight="false" outlineLevel="0" collapsed="false">
      <c r="B9" s="33" t="n">
        <v>4</v>
      </c>
      <c r="C9" s="30" t="s">
        <v>399</v>
      </c>
      <c r="D9" s="30" t="s">
        <v>9</v>
      </c>
      <c r="E9" s="33" t="str">
        <f aca="false">'Benchmark KPIs'!D9</f>
        <v>Seattle, WA (3636 Stone Way N)</v>
      </c>
      <c r="F9" s="33" t="s">
        <v>668</v>
      </c>
      <c r="G9" s="30" t="s">
        <v>384</v>
      </c>
      <c r="H9" s="29" t="s">
        <v>394</v>
      </c>
      <c r="I9" s="30" t="s">
        <v>670</v>
      </c>
      <c r="J9" s="30" t="s">
        <v>667</v>
      </c>
    </row>
    <row r="10" customFormat="false" ht="46.25" hidden="false" customHeight="false" outlineLevel="0" collapsed="false">
      <c r="B10" s="33" t="n">
        <v>5</v>
      </c>
      <c r="C10" s="30" t="s">
        <v>401</v>
      </c>
      <c r="D10" s="30" t="s">
        <v>400</v>
      </c>
      <c r="E10" s="33" t="str">
        <f aca="false">'Benchmark KPIs'!D10</f>
        <v>119-unit 4-story mixed-use apartments + ground-floor retail</v>
      </c>
      <c r="F10" s="33" t="s">
        <v>668</v>
      </c>
      <c r="G10" s="30" t="s">
        <v>384</v>
      </c>
      <c r="H10" s="29" t="s">
        <v>394</v>
      </c>
      <c r="I10" s="30" t="s">
        <v>671</v>
      </c>
      <c r="J10" s="30" t="s">
        <v>667</v>
      </c>
    </row>
    <row r="11" customFormat="false" ht="15" hidden="false" customHeight="false" outlineLevel="0" collapsed="false">
      <c r="B11" s="33" t="n">
        <v>6</v>
      </c>
      <c r="C11" s="30" t="s">
        <v>404</v>
      </c>
      <c r="D11" s="30" t="s">
        <v>403</v>
      </c>
      <c r="E11" s="33" t="n">
        <f aca="false">'Benchmark KPIs'!D11</f>
        <v>16</v>
      </c>
      <c r="F11" s="33" t="s">
        <v>672</v>
      </c>
      <c r="G11" s="30" t="s">
        <v>384</v>
      </c>
      <c r="H11" s="29" t="s">
        <v>394</v>
      </c>
      <c r="I11" s="30" t="s">
        <v>673</v>
      </c>
      <c r="J11" s="30" t="s">
        <v>667</v>
      </c>
    </row>
    <row r="12" customFormat="false" ht="15" hidden="false" customHeight="false" outlineLevel="0" collapsed="false">
      <c r="B12" s="33" t="n">
        <v>7</v>
      </c>
      <c r="C12" s="30" t="s">
        <v>406</v>
      </c>
      <c r="D12" s="30" t="s">
        <v>405</v>
      </c>
      <c r="E12" s="46" t="n">
        <f aca="false">'Benchmark KPIs'!D12</f>
        <v>119</v>
      </c>
      <c r="F12" s="33" t="s">
        <v>276</v>
      </c>
      <c r="G12" s="30" t="s">
        <v>384</v>
      </c>
      <c r="H12" s="29" t="s">
        <v>394</v>
      </c>
      <c r="I12" s="30" t="s">
        <v>674</v>
      </c>
      <c r="J12" s="30" t="s">
        <v>667</v>
      </c>
    </row>
    <row r="13" customFormat="false" ht="15" hidden="false" customHeight="false" outlineLevel="0" collapsed="false">
      <c r="B13" s="33" t="n">
        <v>8</v>
      </c>
      <c r="C13" s="30" t="s">
        <v>407</v>
      </c>
      <c r="D13" s="30" t="s">
        <v>47</v>
      </c>
      <c r="E13" s="46" t="n">
        <f aca="false">'Benchmark KPIs'!D13</f>
        <v>801</v>
      </c>
      <c r="F13" s="33" t="s">
        <v>675</v>
      </c>
      <c r="G13" s="30" t="s">
        <v>384</v>
      </c>
      <c r="H13" s="29" t="s">
        <v>394</v>
      </c>
      <c r="I13" s="30" t="s">
        <v>676</v>
      </c>
      <c r="J13" s="30" t="s">
        <v>667</v>
      </c>
    </row>
    <row r="14" customFormat="false" ht="15" hidden="false" customHeight="false" outlineLevel="0" collapsed="false">
      <c r="B14" s="33" t="n">
        <v>9</v>
      </c>
      <c r="C14" s="30" t="s">
        <v>411</v>
      </c>
      <c r="D14" s="30" t="s">
        <v>677</v>
      </c>
      <c r="E14" s="46" t="n">
        <f aca="false">'Benchmark KPIs'!D15</f>
        <v>1373148</v>
      </c>
      <c r="F14" s="33" t="s">
        <v>678</v>
      </c>
      <c r="G14" s="30" t="s">
        <v>384</v>
      </c>
      <c r="H14" s="29" t="s">
        <v>394</v>
      </c>
      <c r="I14" s="30" t="s">
        <v>679</v>
      </c>
      <c r="J14" s="30" t="s">
        <v>667</v>
      </c>
    </row>
    <row r="15" customFormat="false" ht="15" hidden="false" customHeight="false" outlineLevel="0" collapsed="false">
      <c r="B15" s="33" t="n">
        <v>10</v>
      </c>
      <c r="C15" s="30" t="s">
        <v>414</v>
      </c>
      <c r="D15" s="30" t="s">
        <v>680</v>
      </c>
      <c r="E15" s="46" t="n">
        <f aca="false">'Benchmark KPIs'!D16</f>
        <v>1369989</v>
      </c>
      <c r="F15" s="33" t="s">
        <v>678</v>
      </c>
      <c r="G15" s="30" t="s">
        <v>384</v>
      </c>
      <c r="H15" s="29" t="s">
        <v>394</v>
      </c>
      <c r="I15" s="30" t="s">
        <v>681</v>
      </c>
      <c r="J15" s="30" t="s">
        <v>667</v>
      </c>
    </row>
    <row r="16" customFormat="false" ht="15" hidden="false" customHeight="false" outlineLevel="0" collapsed="false">
      <c r="B16" s="33" t="n">
        <v>11</v>
      </c>
      <c r="C16" s="30" t="s">
        <v>417</v>
      </c>
      <c r="D16" s="30" t="s">
        <v>416</v>
      </c>
      <c r="E16" s="46" t="n">
        <f aca="false">'Benchmark KPIs'!D17</f>
        <v>-3159</v>
      </c>
      <c r="F16" s="33" t="s">
        <v>678</v>
      </c>
      <c r="G16" s="30" t="s">
        <v>384</v>
      </c>
      <c r="H16" s="29" t="s">
        <v>394</v>
      </c>
      <c r="I16" s="30" t="s">
        <v>682</v>
      </c>
      <c r="J16" s="30" t="s">
        <v>667</v>
      </c>
    </row>
    <row r="17" customFormat="false" ht="15" hidden="false" customHeight="false" outlineLevel="0" collapsed="false">
      <c r="B17" s="33" t="n">
        <v>12</v>
      </c>
      <c r="C17" s="30" t="s">
        <v>419</v>
      </c>
      <c r="D17" s="30" t="s">
        <v>418</v>
      </c>
      <c r="E17" s="46" t="n">
        <f aca="false">'Benchmark KPIs'!D18</f>
        <v>1369989</v>
      </c>
      <c r="F17" s="33" t="s">
        <v>678</v>
      </c>
      <c r="G17" s="30" t="s">
        <v>384</v>
      </c>
      <c r="H17" s="29" t="s">
        <v>394</v>
      </c>
      <c r="I17" s="30" t="s">
        <v>683</v>
      </c>
      <c r="J17" s="30" t="s">
        <v>667</v>
      </c>
    </row>
    <row r="18" customFormat="false" ht="15" hidden="false" customHeight="false" outlineLevel="0" collapsed="false">
      <c r="B18" s="33" t="n">
        <v>13</v>
      </c>
      <c r="C18" s="30" t="s">
        <v>421</v>
      </c>
      <c r="D18" s="30" t="s">
        <v>420</v>
      </c>
      <c r="E18" s="46" t="n">
        <f aca="false">'Benchmark KPIs'!D19</f>
        <v>510804.67</v>
      </c>
      <c r="F18" s="33" t="s">
        <v>678</v>
      </c>
      <c r="G18" s="30" t="s">
        <v>384</v>
      </c>
      <c r="H18" s="29" t="s">
        <v>394</v>
      </c>
      <c r="I18" s="30" t="s">
        <v>684</v>
      </c>
      <c r="J18" s="30" t="s">
        <v>667</v>
      </c>
    </row>
    <row r="19" customFormat="false" ht="15" hidden="false" customHeight="false" outlineLevel="0" collapsed="false">
      <c r="B19" s="33" t="n">
        <v>14</v>
      </c>
      <c r="C19" s="30" t="s">
        <v>423</v>
      </c>
      <c r="D19" s="30" t="s">
        <v>685</v>
      </c>
      <c r="E19" s="45" t="n">
        <f aca="false">'Benchmark KPIs'!D20</f>
        <v>0.372853117798756</v>
      </c>
      <c r="F19" s="33" t="s">
        <v>686</v>
      </c>
      <c r="G19" s="30" t="s">
        <v>384</v>
      </c>
      <c r="H19" s="29" t="s">
        <v>394</v>
      </c>
      <c r="I19" s="30" t="s">
        <v>687</v>
      </c>
      <c r="J19" s="30" t="s">
        <v>667</v>
      </c>
    </row>
    <row r="20" customFormat="false" ht="15" hidden="false" customHeight="false" outlineLevel="0" collapsed="false">
      <c r="B20" s="33" t="n">
        <v>15</v>
      </c>
      <c r="C20" s="30" t="s">
        <v>424</v>
      </c>
      <c r="D20" s="30" t="s">
        <v>131</v>
      </c>
      <c r="E20" s="46" t="n">
        <f aca="false">'Benchmark KPIs'!D21</f>
        <v>859184.33</v>
      </c>
      <c r="F20" s="33" t="s">
        <v>678</v>
      </c>
      <c r="G20" s="30" t="s">
        <v>384</v>
      </c>
      <c r="H20" s="29" t="s">
        <v>394</v>
      </c>
      <c r="I20" s="30" t="s">
        <v>688</v>
      </c>
      <c r="J20" s="30" t="s">
        <v>667</v>
      </c>
    </row>
    <row r="21" customFormat="false" ht="15" hidden="false" customHeight="false" outlineLevel="0" collapsed="false">
      <c r="B21" s="33" t="n">
        <v>16</v>
      </c>
      <c r="C21" s="30" t="s">
        <v>426</v>
      </c>
      <c r="D21" s="30" t="s">
        <v>425</v>
      </c>
      <c r="E21" s="46" t="n">
        <f aca="false">'Benchmark KPIs'!D22</f>
        <v>292755.75</v>
      </c>
      <c r="F21" s="33" t="s">
        <v>678</v>
      </c>
      <c r="G21" s="30" t="s">
        <v>384</v>
      </c>
      <c r="H21" s="29" t="s">
        <v>394</v>
      </c>
      <c r="I21" s="30" t="s">
        <v>689</v>
      </c>
      <c r="J21" s="30" t="s">
        <v>667</v>
      </c>
    </row>
    <row r="22" customFormat="false" ht="15" hidden="false" customHeight="false" outlineLevel="0" collapsed="false">
      <c r="B22" s="33" t="n">
        <v>17</v>
      </c>
      <c r="C22" s="30" t="s">
        <v>429</v>
      </c>
      <c r="D22" s="30" t="s">
        <v>428</v>
      </c>
      <c r="E22" s="46" t="n">
        <f aca="false">'Benchmark KPIs'!D23</f>
        <v>378313.74</v>
      </c>
      <c r="F22" s="33" t="s">
        <v>678</v>
      </c>
      <c r="G22" s="30" t="s">
        <v>384</v>
      </c>
      <c r="H22" s="29" t="s">
        <v>394</v>
      </c>
      <c r="I22" s="30" t="s">
        <v>690</v>
      </c>
      <c r="J22" s="30" t="s">
        <v>667</v>
      </c>
    </row>
    <row r="23" customFormat="false" ht="15" hidden="false" customHeight="false" outlineLevel="0" collapsed="false">
      <c r="B23" s="33" t="n">
        <v>18</v>
      </c>
      <c r="C23" s="30" t="s">
        <v>432</v>
      </c>
      <c r="D23" s="30" t="s">
        <v>431</v>
      </c>
      <c r="E23" s="46" t="n">
        <f aca="false">'Benchmark KPIs'!D24</f>
        <v>33855.5</v>
      </c>
      <c r="F23" s="33" t="s">
        <v>678</v>
      </c>
      <c r="G23" s="30" t="s">
        <v>384</v>
      </c>
      <c r="H23" s="29" t="s">
        <v>394</v>
      </c>
      <c r="I23" s="30" t="s">
        <v>691</v>
      </c>
      <c r="J23" s="30" t="s">
        <v>667</v>
      </c>
    </row>
    <row r="24" customFormat="false" ht="15" hidden="false" customHeight="false" outlineLevel="0" collapsed="false">
      <c r="B24" s="33" t="n">
        <v>19</v>
      </c>
      <c r="C24" s="30" t="s">
        <v>435</v>
      </c>
      <c r="D24" s="30" t="s">
        <v>434</v>
      </c>
      <c r="E24" s="46" t="n">
        <f aca="false">'Benchmark KPIs'!D25</f>
        <v>154259.34</v>
      </c>
      <c r="F24" s="33" t="s">
        <v>678</v>
      </c>
      <c r="G24" s="30" t="s">
        <v>384</v>
      </c>
      <c r="H24" s="29" t="s">
        <v>394</v>
      </c>
      <c r="I24" s="30" t="s">
        <v>692</v>
      </c>
      <c r="J24" s="30" t="s">
        <v>667</v>
      </c>
    </row>
    <row r="25" customFormat="false" ht="15" hidden="false" customHeight="false" outlineLevel="0" collapsed="false">
      <c r="B25" s="33" t="n">
        <v>20</v>
      </c>
      <c r="C25" s="30" t="s">
        <v>437</v>
      </c>
      <c r="D25" s="30" t="s">
        <v>359</v>
      </c>
      <c r="E25" s="46" t="n">
        <f aca="false">'Benchmark KPIs'!D26</f>
        <v>68499</v>
      </c>
      <c r="F25" s="33" t="s">
        <v>678</v>
      </c>
      <c r="G25" s="30" t="s">
        <v>384</v>
      </c>
      <c r="H25" s="29" t="s">
        <v>394</v>
      </c>
      <c r="I25" s="30" t="s">
        <v>693</v>
      </c>
      <c r="J25" s="30" t="s">
        <v>667</v>
      </c>
    </row>
    <row r="26" customFormat="false" ht="15" hidden="false" customHeight="false" outlineLevel="0" collapsed="false">
      <c r="B26" s="33" t="n">
        <v>21</v>
      </c>
      <c r="C26" s="30" t="s">
        <v>460</v>
      </c>
      <c r="D26" s="30" t="s">
        <v>459</v>
      </c>
      <c r="E26" s="46" t="n">
        <f aca="false">'Benchmark KPIs'!D37</f>
        <v>14822</v>
      </c>
      <c r="F26" s="33" t="s">
        <v>694</v>
      </c>
      <c r="G26" s="30" t="s">
        <v>384</v>
      </c>
      <c r="H26" s="29" t="s">
        <v>394</v>
      </c>
      <c r="I26" s="30" t="s">
        <v>695</v>
      </c>
      <c r="J26" s="30" t="s">
        <v>667</v>
      </c>
    </row>
    <row r="27" customFormat="false" ht="15" hidden="false" customHeight="false" outlineLevel="0" collapsed="false">
      <c r="B27" s="33" t="n">
        <v>22</v>
      </c>
      <c r="C27" s="30" t="s">
        <v>463</v>
      </c>
      <c r="D27" s="30" t="s">
        <v>462</v>
      </c>
      <c r="E27" s="33" t="n">
        <f aca="false">'Benchmark KPIs'!D38</f>
        <v>45</v>
      </c>
      <c r="F27" s="33" t="s">
        <v>675</v>
      </c>
      <c r="G27" s="30" t="s">
        <v>384</v>
      </c>
      <c r="H27" s="29" t="s">
        <v>394</v>
      </c>
      <c r="I27" s="30" t="s">
        <v>696</v>
      </c>
      <c r="J27" s="30" t="s">
        <v>667</v>
      </c>
    </row>
    <row r="28" customFormat="false" ht="15" hidden="false" customHeight="false" outlineLevel="0" collapsed="false">
      <c r="B28" s="33" t="n">
        <v>23</v>
      </c>
      <c r="C28" s="30" t="s">
        <v>465</v>
      </c>
      <c r="D28" s="30" t="s">
        <v>235</v>
      </c>
      <c r="E28" s="47" t="n">
        <f aca="false">'Benchmark KPIs'!D39</f>
        <v>19.8725711779787</v>
      </c>
      <c r="F28" s="33" t="s">
        <v>697</v>
      </c>
      <c r="G28" s="30" t="s">
        <v>384</v>
      </c>
      <c r="H28" s="29" t="s">
        <v>394</v>
      </c>
      <c r="I28" s="30" t="s">
        <v>698</v>
      </c>
      <c r="J28" s="30" t="s">
        <v>667</v>
      </c>
    </row>
    <row r="29" customFormat="false" ht="15" hidden="false" customHeight="false" outlineLevel="0" collapsed="false">
      <c r="B29" s="33" t="n">
        <v>24</v>
      </c>
      <c r="C29" s="30" t="s">
        <v>492</v>
      </c>
      <c r="D29" s="30" t="s">
        <v>491</v>
      </c>
      <c r="E29" s="33" t="n">
        <f aca="false">'Benchmark KPIs'!D51</f>
        <v>20</v>
      </c>
      <c r="F29" s="33" t="s">
        <v>675</v>
      </c>
      <c r="G29" s="30" t="s">
        <v>384</v>
      </c>
      <c r="H29" s="29" t="s">
        <v>394</v>
      </c>
      <c r="I29" s="30" t="s">
        <v>699</v>
      </c>
      <c r="J29" s="30" t="s">
        <v>667</v>
      </c>
    </row>
    <row r="30" customFormat="false" ht="15" hidden="false" customHeight="false" outlineLevel="0" collapsed="false">
      <c r="B30" s="33" t="n">
        <v>25</v>
      </c>
      <c r="C30" s="30" t="s">
        <v>499</v>
      </c>
      <c r="D30" s="30" t="s">
        <v>498</v>
      </c>
      <c r="E30" s="46" t="n">
        <f aca="false">'Benchmark KPIs'!D54</f>
        <v>142</v>
      </c>
      <c r="F30" s="33" t="s">
        <v>675</v>
      </c>
      <c r="G30" s="30" t="s">
        <v>384</v>
      </c>
      <c r="H30" s="29" t="s">
        <v>394</v>
      </c>
      <c r="I30" s="30" t="s">
        <v>700</v>
      </c>
      <c r="J30" s="30" t="s">
        <v>667</v>
      </c>
    </row>
    <row r="31" customFormat="false" ht="15" hidden="false" customHeight="false" outlineLevel="0" collapsed="false">
      <c r="B31" s="33" t="n">
        <v>26</v>
      </c>
      <c r="C31" s="30" t="s">
        <v>502</v>
      </c>
      <c r="D31" s="30" t="s">
        <v>701</v>
      </c>
      <c r="E31" s="45" t="n">
        <f aca="false">'Benchmark KPIs'!D55</f>
        <v>-0.00230055318144876</v>
      </c>
      <c r="F31" s="33" t="s">
        <v>686</v>
      </c>
      <c r="G31" s="30" t="s">
        <v>384</v>
      </c>
      <c r="H31" s="29" t="s">
        <v>394</v>
      </c>
      <c r="I31" s="30" t="s">
        <v>687</v>
      </c>
      <c r="J31" s="30" t="s">
        <v>667</v>
      </c>
    </row>
    <row r="32" customFormat="false" ht="15" hidden="false" customHeight="false" outlineLevel="0" collapsed="false">
      <c r="B32" s="33" t="n">
        <v>27</v>
      </c>
      <c r="C32" s="30" t="s">
        <v>702</v>
      </c>
      <c r="D32" s="30" t="s">
        <v>703</v>
      </c>
      <c r="E32" s="33" t="n">
        <v>32</v>
      </c>
      <c r="F32" s="33" t="s">
        <v>675</v>
      </c>
      <c r="G32" s="30" t="s">
        <v>704</v>
      </c>
      <c r="H32" s="29" t="s">
        <v>394</v>
      </c>
      <c r="I32" s="30" t="s">
        <v>705</v>
      </c>
      <c r="J32" s="30" t="s">
        <v>706</v>
      </c>
    </row>
    <row r="33" customFormat="false" ht="15" hidden="false" customHeight="false" outlineLevel="0" collapsed="false">
      <c r="B33" s="33" t="n">
        <v>28</v>
      </c>
      <c r="C33" s="30" t="s">
        <v>707</v>
      </c>
      <c r="D33" s="30" t="s">
        <v>708</v>
      </c>
      <c r="E33" s="33" t="n">
        <v>0</v>
      </c>
      <c r="F33" s="33" t="s">
        <v>675</v>
      </c>
      <c r="G33" s="30" t="s">
        <v>709</v>
      </c>
      <c r="H33" s="29" t="s">
        <v>394</v>
      </c>
      <c r="I33" s="30" t="s">
        <v>710</v>
      </c>
      <c r="J33" s="30" t="s">
        <v>711</v>
      </c>
    </row>
    <row r="34" customFormat="false" ht="15" hidden="false" customHeight="false" outlineLevel="0" collapsed="false">
      <c r="B34" s="33" t="n">
        <v>29</v>
      </c>
      <c r="C34" s="30" t="s">
        <v>712</v>
      </c>
      <c r="D34" s="30" t="s">
        <v>627</v>
      </c>
      <c r="E34" s="33" t="n">
        <v>14</v>
      </c>
      <c r="F34" s="33" t="s">
        <v>675</v>
      </c>
      <c r="G34" s="30" t="s">
        <v>709</v>
      </c>
      <c r="H34" s="29" t="s">
        <v>394</v>
      </c>
      <c r="I34" s="30" t="s">
        <v>713</v>
      </c>
      <c r="J34" s="30" t="s">
        <v>711</v>
      </c>
    </row>
    <row r="35" customFormat="false" ht="15" hidden="false" customHeight="false" outlineLevel="0" collapsed="false">
      <c r="B35" s="33" t="n">
        <v>30</v>
      </c>
      <c r="C35" s="30" t="s">
        <v>714</v>
      </c>
      <c r="D35" s="30" t="s">
        <v>624</v>
      </c>
      <c r="E35" s="33" t="n">
        <v>0</v>
      </c>
      <c r="F35" s="33" t="s">
        <v>675</v>
      </c>
      <c r="G35" s="30" t="s">
        <v>709</v>
      </c>
      <c r="H35" s="29" t="s">
        <v>394</v>
      </c>
      <c r="I35" s="30" t="s">
        <v>715</v>
      </c>
      <c r="J35" s="30" t="s">
        <v>711</v>
      </c>
    </row>
    <row r="36" customFormat="false" ht="15" hidden="false" customHeight="false" outlineLevel="0" collapsed="false">
      <c r="B36" s="33" t="n">
        <v>31</v>
      </c>
      <c r="C36" s="30" t="s">
        <v>716</v>
      </c>
      <c r="D36" s="30" t="s">
        <v>630</v>
      </c>
      <c r="E36" s="33" t="n">
        <v>0</v>
      </c>
      <c r="F36" s="33" t="s">
        <v>675</v>
      </c>
      <c r="G36" s="30" t="s">
        <v>709</v>
      </c>
      <c r="H36" s="29" t="s">
        <v>394</v>
      </c>
      <c r="I36" s="30" t="s">
        <v>717</v>
      </c>
      <c r="J36" s="30" t="s">
        <v>711</v>
      </c>
    </row>
    <row r="37" customFormat="false" ht="15" hidden="false" customHeight="false" outlineLevel="0" collapsed="false">
      <c r="B37" s="33" t="n">
        <v>32</v>
      </c>
      <c r="C37" s="30" t="s">
        <v>718</v>
      </c>
      <c r="D37" s="30" t="s">
        <v>719</v>
      </c>
      <c r="E37" s="33" t="n">
        <v>11</v>
      </c>
      <c r="F37" s="33" t="s">
        <v>675</v>
      </c>
      <c r="G37" s="30" t="s">
        <v>704</v>
      </c>
      <c r="H37" s="29" t="s">
        <v>394</v>
      </c>
      <c r="I37" s="30" t="s">
        <v>720</v>
      </c>
      <c r="J37" s="30" t="s">
        <v>706</v>
      </c>
    </row>
    <row r="38" customFormat="false" ht="15" hidden="false" customHeight="false" outlineLevel="0" collapsed="false">
      <c r="B38" s="33" t="n">
        <v>33</v>
      </c>
      <c r="C38" s="30" t="s">
        <v>721</v>
      </c>
      <c r="D38" s="30" t="s">
        <v>722</v>
      </c>
      <c r="E38" s="33" t="n">
        <v>14</v>
      </c>
      <c r="F38" s="33" t="s">
        <v>675</v>
      </c>
      <c r="G38" s="30" t="s">
        <v>709</v>
      </c>
      <c r="H38" s="29" t="s">
        <v>394</v>
      </c>
      <c r="I38" s="30" t="s">
        <v>723</v>
      </c>
      <c r="J38" s="30" t="s">
        <v>711</v>
      </c>
    </row>
    <row r="39" customFormat="false" ht="15" hidden="false" customHeight="false" outlineLevel="0" collapsed="false">
      <c r="B39" s="33" t="n">
        <v>34</v>
      </c>
      <c r="C39" s="30" t="s">
        <v>724</v>
      </c>
      <c r="D39" s="30" t="s">
        <v>725</v>
      </c>
      <c r="E39" s="40" t="n">
        <f aca="false">'Change Log'!H21</f>
        <v>8462</v>
      </c>
      <c r="F39" s="33" t="s">
        <v>678</v>
      </c>
      <c r="G39" s="30" t="s">
        <v>709</v>
      </c>
      <c r="H39" s="29" t="s">
        <v>394</v>
      </c>
      <c r="I39" s="30" t="s">
        <v>726</v>
      </c>
      <c r="J39" s="30" t="s">
        <v>711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727</v>
      </c>
      <c r="C2" s="2"/>
      <c r="D2" s="2"/>
      <c r="E2" s="2"/>
      <c r="F2" s="2"/>
    </row>
    <row r="3" customFormat="false" ht="15" hidden="false" customHeight="false" outlineLevel="0" collapsed="false">
      <c r="B3" s="48" t="s">
        <v>728</v>
      </c>
    </row>
    <row r="4" customFormat="false" ht="15" hidden="false" customHeight="true" outlineLevel="0" collapsed="false">
      <c r="B4" s="10" t="s">
        <v>729</v>
      </c>
      <c r="C4" s="10" t="s">
        <v>730</v>
      </c>
      <c r="D4" s="10" t="s">
        <v>731</v>
      </c>
      <c r="E4" s="10" t="s">
        <v>357</v>
      </c>
      <c r="F4" s="10" t="s">
        <v>358</v>
      </c>
    </row>
    <row r="5" customFormat="false" ht="15" hidden="false" customHeight="true" outlineLevel="0" collapsed="false">
      <c r="B5" s="4" t="s">
        <v>732</v>
      </c>
      <c r="C5" s="4"/>
      <c r="D5" s="4"/>
      <c r="E5" s="4"/>
      <c r="F5" s="4"/>
    </row>
    <row r="6" customFormat="false" ht="15" hidden="false" customHeight="true" outlineLevel="0" collapsed="false">
      <c r="B6" s="5" t="s">
        <v>733</v>
      </c>
      <c r="C6" s="11" t="n">
        <v>292755.75</v>
      </c>
      <c r="D6" s="11" t="n">
        <v>292755.75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734</v>
      </c>
      <c r="C7" s="11" t="n">
        <v>378313.74</v>
      </c>
      <c r="D7" s="11" t="n">
        <v>378313.74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735</v>
      </c>
      <c r="C8" s="11" t="n">
        <v>33855.5</v>
      </c>
      <c r="D8" s="11" t="n">
        <v>33855.5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736</v>
      </c>
      <c r="C9" s="11" t="n">
        <v>154259.34</v>
      </c>
      <c r="D9" s="11" t="n">
        <v>154259.34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737</v>
      </c>
      <c r="C10" s="11" t="n">
        <v>859184.33</v>
      </c>
      <c r="D10" s="11" t="n">
        <v>859184.33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738</v>
      </c>
      <c r="C11" s="11" t="n">
        <v>1369989</v>
      </c>
      <c r="D11" s="11" t="n">
        <v>1369989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739</v>
      </c>
      <c r="C12" s="11" t="n">
        <v>510804.67</v>
      </c>
      <c r="D12" s="11" t="n">
        <v>510804.67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740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741</v>
      </c>
      <c r="C15" s="49" t="n">
        <v>14822</v>
      </c>
      <c r="D15" s="49" t="n">
        <v>14822</v>
      </c>
      <c r="E15" s="49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742</v>
      </c>
      <c r="C16" s="49" t="n">
        <v>14975</v>
      </c>
      <c r="D16" s="49" t="n">
        <v>14822</v>
      </c>
      <c r="E16" s="49" t="n">
        <f aca="false">C16-D16</f>
        <v>153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743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328</v>
      </c>
      <c r="C19" s="11" t="n">
        <v>1438488.45</v>
      </c>
      <c r="D19" s="11" t="n">
        <v>1369989</v>
      </c>
      <c r="E19" s="11" t="n">
        <f aca="false">C19-D19</f>
        <v>68499.45</v>
      </c>
      <c r="F19" s="6" t="str">
        <f aca="false">IF(ABS(E19)&lt;=1,"TIES",IF(ABS(E19)&lt;=ABS(D19)*0.05,"WITHIN","OFF"))</f>
        <v>WITHIN</v>
      </c>
    </row>
    <row r="20" customFormat="false" ht="15" hidden="false" customHeight="true" outlineLevel="0" collapsed="false">
      <c r="B20" s="5" t="s">
        <v>359</v>
      </c>
      <c r="C20" s="11" t="n">
        <v>68499</v>
      </c>
      <c r="D20" s="11" t="n">
        <v>68499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131</v>
      </c>
      <c r="C21" s="11" t="n">
        <v>859184.33</v>
      </c>
      <c r="D21" s="11" t="n">
        <v>859184.33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744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745</v>
      </c>
      <c r="C24" s="11" t="n">
        <v>458376.37</v>
      </c>
      <c r="D24" s="11" t="n">
        <v>401446</v>
      </c>
      <c r="E24" s="11" t="n">
        <f aca="false">C24-D24</f>
        <v>56930.37</v>
      </c>
      <c r="F24" s="6" t="str">
        <f aca="false">IF(ABS(E24)&lt;=5,"TIES",IF(ABS(E24)&lt;=ABS(D24)*0.05,"WITHIN","OFF"))</f>
        <v>OFF</v>
      </c>
    </row>
    <row r="28" customFormat="false" ht="15" hidden="false" customHeight="true" outlineLevel="0" collapsed="false">
      <c r="B28" s="4" t="s">
        <v>62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63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64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66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67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68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746</v>
      </c>
      <c r="C35" s="3"/>
      <c r="D35" s="3"/>
      <c r="E35" s="3"/>
      <c r="F35" s="3"/>
    </row>
    <row r="48" customFormat="false" ht="15" hidden="false" customHeight="false" outlineLevel="0" collapsed="false">
      <c r="B48" s="50" t="s">
        <v>747</v>
      </c>
      <c r="C48" s="51"/>
      <c r="D48" s="51"/>
      <c r="E48" s="51"/>
      <c r="F48" s="51"/>
      <c r="G48" s="51"/>
      <c r="H48" s="52"/>
      <c r="I48" s="52"/>
    </row>
    <row r="49" customFormat="false" ht="15" hidden="false" customHeight="false" outlineLevel="0" collapsed="false">
      <c r="B49" s="53" t="s">
        <v>748</v>
      </c>
      <c r="C49" s="53" t="n">
        <v>14</v>
      </c>
      <c r="D49" s="53" t="n">
        <f aca="false">'Root Cause Analysis'!C12</f>
        <v>14</v>
      </c>
      <c r="E49" s="53" t="n">
        <f aca="false">C49-D49</f>
        <v>0</v>
      </c>
      <c r="F49" s="53" t="str">
        <f aca="false">IF(ABS(E49)&lt;=1,"TIES",IF(ABS(E49)&lt;=ABS(D49)*0.05,"WITHIN","OFF"))</f>
        <v>TIES</v>
      </c>
      <c r="G49" s="53" t="s">
        <v>749</v>
      </c>
      <c r="H49" s="52"/>
      <c r="I49" s="52"/>
    </row>
    <row r="50" customFormat="false" ht="15" hidden="false" customHeight="false" outlineLevel="0" collapsed="false">
      <c r="B50" s="53" t="s">
        <v>636</v>
      </c>
      <c r="C50" s="54" t="n">
        <f aca="false">'Change Log'!H21</f>
        <v>8462</v>
      </c>
      <c r="D50" s="54" t="n">
        <f aca="false">'Root Cause Analysis'!D12</f>
        <v>8462</v>
      </c>
      <c r="E50" s="53" t="n">
        <f aca="false">C50-D50</f>
        <v>0</v>
      </c>
      <c r="F50" s="53" t="str">
        <f aca="false">IF(ABS(E50)&lt;=1,"TIES",IF(ABS(E50)&lt;=ABS(D50)*0.05,"WITHIN","OFF"))</f>
        <v>TIES</v>
      </c>
      <c r="G50" s="53" t="s">
        <v>749</v>
      </c>
      <c r="H50" s="52"/>
      <c r="I50" s="52"/>
    </row>
    <row r="51" customFormat="false" ht="15" hidden="false" customHeight="false" outlineLevel="0" collapsed="false">
      <c r="B51" s="52"/>
      <c r="C51" s="52"/>
      <c r="D51" s="52"/>
      <c r="E51" s="52"/>
      <c r="F51" s="52"/>
      <c r="G51" s="52"/>
      <c r="H51" s="52"/>
      <c r="I51" s="52"/>
    </row>
    <row r="52" customFormat="false" ht="15" hidden="false" customHeight="false" outlineLevel="0" collapsed="false">
      <c r="B52" s="50" t="s">
        <v>750</v>
      </c>
      <c r="C52" s="51"/>
      <c r="D52" s="51"/>
      <c r="E52" s="51"/>
      <c r="F52" s="51"/>
      <c r="G52" s="51"/>
      <c r="H52" s="52"/>
      <c r="I52" s="52"/>
    </row>
    <row r="53" customFormat="false" ht="15" hidden="false" customHeight="false" outlineLevel="0" collapsed="false">
      <c r="B53" s="53" t="s">
        <v>751</v>
      </c>
      <c r="C53" s="53" t="n">
        <v>0</v>
      </c>
      <c r="D53" s="53" t="n">
        <f aca="false">COUNTIF('Change Log'!C6:C20,"Backcharge")</f>
        <v>0</v>
      </c>
      <c r="E53" s="53" t="n">
        <f aca="false">C53-D53</f>
        <v>0</v>
      </c>
      <c r="F53" s="53" t="str">
        <f aca="false">IF(ABS(E53)&lt;=1,"TIES",IF(ABS(E53)&lt;=ABS(D53)*0.05,"WITHIN","OFF"))</f>
        <v>TIES</v>
      </c>
      <c r="G53" s="53" t="s">
        <v>752</v>
      </c>
      <c r="H53" s="52"/>
      <c r="I53" s="52"/>
    </row>
    <row r="54" customFormat="false" ht="15" hidden="false" customHeight="false" outlineLevel="0" collapsed="false">
      <c r="B54" s="52"/>
      <c r="C54" s="52"/>
      <c r="D54" s="52"/>
      <c r="E54" s="52"/>
      <c r="F54" s="52"/>
      <c r="G54" s="52"/>
      <c r="H54" s="52"/>
      <c r="I54" s="52"/>
    </row>
    <row r="55" customFormat="false" ht="15" hidden="false" customHeight="false" outlineLevel="0" collapsed="false">
      <c r="B55" s="50" t="s">
        <v>753</v>
      </c>
      <c r="C55" s="51"/>
      <c r="D55" s="51"/>
      <c r="E55" s="51"/>
      <c r="F55" s="51"/>
      <c r="G55" s="51"/>
      <c r="H55" s="52"/>
      <c r="I55" s="52"/>
    </row>
    <row r="56" customFormat="false" ht="15" hidden="false" customHeight="false" outlineLevel="0" collapsed="false">
      <c r="B56" s="53" t="s">
        <v>754</v>
      </c>
      <c r="C56" s="55" t="n">
        <f aca="false">'Metric Registry'!E17</f>
        <v>1369989</v>
      </c>
      <c r="D56" s="55" t="n">
        <f aca="false">'Benchmark KPIs'!D18</f>
        <v>1369989</v>
      </c>
      <c r="E56" s="53" t="n">
        <f aca="false">C56-D56</f>
        <v>0</v>
      </c>
      <c r="F56" s="53" t="str">
        <f aca="false">IF(ABS(E56)&lt;=1,"TIES",IF(ABS(E56)&lt;=ABS(D56)*0.05,"WITHIN","OFF"))</f>
        <v>TIES</v>
      </c>
      <c r="G56" s="53" t="s">
        <v>755</v>
      </c>
      <c r="H56" s="52"/>
      <c r="I56" s="52"/>
    </row>
    <row r="57" customFormat="false" ht="15" hidden="false" customHeight="false" outlineLevel="0" collapsed="false">
      <c r="B57" s="53" t="s">
        <v>756</v>
      </c>
      <c r="C57" s="55" t="n">
        <f aca="false">'Metric Registry'!E12</f>
        <v>119</v>
      </c>
      <c r="D57" s="55" t="n">
        <f aca="false">'Benchmark KPIs'!D12</f>
        <v>119</v>
      </c>
      <c r="E57" s="53" t="n">
        <f aca="false">C57-D57</f>
        <v>0</v>
      </c>
      <c r="F57" s="53" t="str">
        <f aca="false">IF(ABS(E57)&lt;=1,"TIES",IF(ABS(E57)&lt;=ABS(D57)*0.05,"WITHIN","OFF"))</f>
        <v>TIES</v>
      </c>
      <c r="G57" s="53" t="s">
        <v>755</v>
      </c>
      <c r="H57" s="52"/>
      <c r="I57" s="52"/>
    </row>
    <row r="58" customFormat="false" ht="15" hidden="false" customHeight="false" outlineLevel="0" collapsed="false">
      <c r="B58" s="53" t="s">
        <v>757</v>
      </c>
      <c r="C58" s="55" t="n">
        <f aca="false">'Metric Registry'!E13</f>
        <v>801</v>
      </c>
      <c r="D58" s="55" t="n">
        <f aca="false">'Benchmark KPIs'!D13</f>
        <v>801</v>
      </c>
      <c r="E58" s="53" t="n">
        <f aca="false">C58-D58</f>
        <v>0</v>
      </c>
      <c r="F58" s="53" t="str">
        <f aca="false">IF(ABS(E58)&lt;=1,"TIES",IF(ABS(E58)&lt;=ABS(D58)*0.05,"WITHIN","OFF"))</f>
        <v>TIES</v>
      </c>
      <c r="G58" s="53" t="s">
        <v>755</v>
      </c>
      <c r="H58" s="52"/>
      <c r="I58" s="52"/>
    </row>
    <row r="59" customFormat="false" ht="15" hidden="false" customHeight="false" outlineLevel="0" collapsed="false">
      <c r="B59" s="53" t="s">
        <v>758</v>
      </c>
      <c r="C59" s="56" t="n">
        <f aca="false">'Metric Registry'!E19</f>
        <v>0.372853117798756</v>
      </c>
      <c r="D59" s="55" t="n">
        <f aca="false">'Benchmark KPIs'!D21</f>
        <v>859184.33</v>
      </c>
      <c r="E59" s="53" t="n">
        <f aca="false">C59-D59</f>
        <v>-859183.957146882</v>
      </c>
      <c r="F59" s="53" t="str">
        <f aca="false">IF(ABS(E59)&lt;=1,"TIES",IF(ABS(E59)&lt;=ABS(D59)*0.05,"WITHIN","OFF"))</f>
        <v>OFF</v>
      </c>
      <c r="G59" s="53" t="s">
        <v>755</v>
      </c>
      <c r="H59" s="52"/>
      <c r="I59" s="52"/>
    </row>
    <row r="60" customFormat="false" ht="15" hidden="false" customHeight="false" outlineLevel="0" collapsed="false">
      <c r="B60" s="53" t="s">
        <v>759</v>
      </c>
      <c r="C60" s="55" t="n">
        <f aca="false">'Metric Registry'!E30</f>
        <v>142</v>
      </c>
      <c r="D60" s="55" t="n">
        <f aca="false">'Benchmark KPIs'!D54</f>
        <v>142</v>
      </c>
      <c r="E60" s="53" t="n">
        <f aca="false">C60-D60</f>
        <v>0</v>
      </c>
      <c r="F60" s="53" t="str">
        <f aca="false">IF(ABS(E60)&lt;=1,"TIES",IF(ABS(E60)&lt;=ABS(D60)*0.05,"WITHIN","OFF"))</f>
        <v>TIES</v>
      </c>
      <c r="G60" s="53" t="s">
        <v>755</v>
      </c>
      <c r="H60" s="52"/>
      <c r="I60" s="52"/>
    </row>
    <row r="61" customFormat="false" ht="15" hidden="false" customHeight="false" outlineLevel="0" collapsed="false">
      <c r="B61" s="52"/>
      <c r="C61" s="52"/>
      <c r="D61" s="52"/>
      <c r="E61" s="52"/>
      <c r="F61" s="52"/>
      <c r="G61" s="52"/>
      <c r="H61" s="52"/>
      <c r="I61" s="52"/>
    </row>
    <row r="62" customFormat="false" ht="15" hidden="false" customHeight="false" outlineLevel="0" collapsed="false">
      <c r="B62" s="50" t="s">
        <v>760</v>
      </c>
      <c r="C62" s="51"/>
      <c r="D62" s="51"/>
      <c r="E62" s="51"/>
      <c r="F62" s="51"/>
      <c r="G62" s="51"/>
      <c r="H62" s="52"/>
      <c r="I62" s="52"/>
    </row>
    <row r="63" customFormat="false" ht="15" hidden="false" customHeight="false" outlineLevel="0" collapsed="false">
      <c r="B63" s="53" t="s">
        <v>721</v>
      </c>
      <c r="C63" s="53" t="n">
        <f aca="false">'Metric Registry'!E36</f>
        <v>0</v>
      </c>
      <c r="D63" s="53" t="n">
        <v>14</v>
      </c>
      <c r="E63" s="53" t="n">
        <f aca="false">C63-D63</f>
        <v>-14</v>
      </c>
      <c r="F63" s="53" t="str">
        <f aca="false">IF(ABS(E63)&lt;=1,"TIES",IF(ABS(E63)&lt;=ABS(D63)*0.05,"WITHIN","OFF"))</f>
        <v>OFF</v>
      </c>
      <c r="G63" s="53" t="s">
        <v>761</v>
      </c>
      <c r="H63" s="52"/>
      <c r="I63" s="52"/>
    </row>
    <row r="64" customFormat="false" ht="15" hidden="false" customHeight="false" outlineLevel="0" collapsed="false">
      <c r="B64" s="52"/>
      <c r="C64" s="52"/>
      <c r="D64" s="52"/>
      <c r="E64" s="52"/>
      <c r="F64" s="52"/>
      <c r="G64" s="52"/>
      <c r="H64" s="52"/>
      <c r="I64" s="52"/>
    </row>
    <row r="65" customFormat="false" ht="15" hidden="false" customHeight="false" outlineLevel="0" collapsed="false">
      <c r="B65" s="52"/>
      <c r="C65" s="52"/>
      <c r="D65" s="52"/>
      <c r="E65" s="52"/>
      <c r="F65" s="52"/>
      <c r="G65" s="52"/>
      <c r="H65" s="52"/>
      <c r="I65" s="52"/>
    </row>
    <row r="66" customFormat="false" ht="15" hidden="false" customHeight="false" outlineLevel="0" collapsed="false">
      <c r="B66" s="57" t="s">
        <v>62</v>
      </c>
      <c r="C66" s="58"/>
      <c r="D66" s="58"/>
      <c r="E66" s="58"/>
      <c r="F66" s="58"/>
      <c r="G66" s="58"/>
      <c r="H66" s="52"/>
      <c r="I66" s="52"/>
    </row>
    <row r="67" customFormat="false" ht="15" hidden="false" customHeight="false" outlineLevel="0" collapsed="false">
      <c r="B67" s="59" t="s">
        <v>762</v>
      </c>
      <c r="C67" s="52"/>
      <c r="D67" s="52"/>
      <c r="E67" s="52"/>
      <c r="F67" s="52"/>
      <c r="G67" s="52"/>
      <c r="H67" s="52"/>
      <c r="I67" s="52"/>
    </row>
    <row r="68" customFormat="false" ht="15" hidden="false" customHeight="false" outlineLevel="0" collapsed="false">
      <c r="B68" s="59" t="s">
        <v>763</v>
      </c>
      <c r="C68" s="52"/>
      <c r="D68" s="52"/>
      <c r="E68" s="52"/>
      <c r="F68" s="52"/>
      <c r="G68" s="52"/>
      <c r="H68" s="52"/>
      <c r="I68" s="52"/>
    </row>
    <row r="69" customFormat="false" ht="15" hidden="false" customHeight="false" outlineLevel="0" collapsed="false">
      <c r="B69" s="59" t="s">
        <v>764</v>
      </c>
      <c r="C69" s="52"/>
      <c r="D69" s="52"/>
      <c r="E69" s="52"/>
      <c r="F69" s="52"/>
      <c r="G69" s="52"/>
      <c r="H69" s="52"/>
      <c r="I69" s="52"/>
    </row>
    <row r="70" customFormat="false" ht="15" hidden="false" customHeight="false" outlineLevel="0" collapsed="false">
      <c r="B70" s="60" t="s">
        <v>765</v>
      </c>
    </row>
    <row r="71" customFormat="false" ht="15" hidden="false" customHeight="false" outlineLevel="0" collapsed="false">
      <c r="B71" s="60" t="s">
        <v>766</v>
      </c>
    </row>
    <row r="72" customFormat="false" ht="15" hidden="false" customHeight="false" outlineLevel="0" collapsed="false">
      <c r="B72" s="60" t="s">
        <v>767</v>
      </c>
    </row>
    <row r="73" customFormat="false" ht="15" hidden="false" customHeight="false" outlineLevel="0" collapsed="false">
      <c r="B73" s="60" t="s">
        <v>768</v>
      </c>
    </row>
    <row r="74" customFormat="false" ht="15" hidden="false" customHeight="false" outlineLevel="0" collapsed="false">
      <c r="B74" s="60" t="s">
        <v>769</v>
      </c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1" t="s">
        <v>770</v>
      </c>
      <c r="B1" s="61"/>
      <c r="C1" s="61"/>
      <c r="D1" s="61"/>
      <c r="E1" s="61"/>
      <c r="F1" s="61"/>
      <c r="G1" s="61"/>
    </row>
    <row r="3" customFormat="false" ht="15" hidden="false" customHeight="true" outlineLevel="0" collapsed="false">
      <c r="A3" s="62" t="s">
        <v>771</v>
      </c>
      <c r="B3" s="63" t="n">
        <v>20</v>
      </c>
      <c r="D3" s="62" t="s">
        <v>772</v>
      </c>
      <c r="E3" s="63" t="s">
        <v>153</v>
      </c>
    </row>
    <row r="4" customFormat="false" ht="15" hidden="false" customHeight="true" outlineLevel="0" collapsed="false">
      <c r="A4" s="62" t="s">
        <v>773</v>
      </c>
      <c r="B4" s="63" t="n">
        <v>266</v>
      </c>
      <c r="D4" s="62" t="s">
        <v>774</v>
      </c>
      <c r="E4" s="64" t="n">
        <f aca="false">388561.45/458376.37</f>
        <v>0.847690839735041</v>
      </c>
    </row>
    <row r="5" customFormat="false" ht="15" hidden="false" customHeight="true" outlineLevel="0" collapsed="false">
      <c r="A5" s="62" t="s">
        <v>775</v>
      </c>
      <c r="B5" s="65" t="n">
        <v>458376.37</v>
      </c>
      <c r="D5" s="62" t="s">
        <v>776</v>
      </c>
      <c r="E5" s="66" t="s">
        <v>777</v>
      </c>
    </row>
    <row r="6" customFormat="false" ht="15" hidden="false" customHeight="true" outlineLevel="0" collapsed="false">
      <c r="A6" s="62" t="s">
        <v>778</v>
      </c>
      <c r="B6" s="67" t="n">
        <f aca="false">B5/B4</f>
        <v>1723.21943609023</v>
      </c>
    </row>
    <row r="8" customFormat="false" ht="19.5" hidden="false" customHeight="true" outlineLevel="0" collapsed="false">
      <c r="A8" s="68" t="s">
        <v>779</v>
      </c>
      <c r="B8" s="68" t="s">
        <v>148</v>
      </c>
      <c r="C8" s="68" t="s">
        <v>780</v>
      </c>
      <c r="D8" s="68" t="s">
        <v>773</v>
      </c>
      <c r="E8" s="68" t="s">
        <v>150</v>
      </c>
      <c r="F8" s="68" t="s">
        <v>151</v>
      </c>
      <c r="G8" s="68" t="s">
        <v>781</v>
      </c>
    </row>
    <row r="9" customFormat="false" ht="15" hidden="false" customHeight="true" outlineLevel="0" collapsed="false">
      <c r="A9" s="69" t="n">
        <v>1</v>
      </c>
      <c r="B9" s="70" t="s">
        <v>153</v>
      </c>
      <c r="C9" s="69"/>
      <c r="D9" s="69" t="n">
        <v>102</v>
      </c>
      <c r="E9" s="71" t="n">
        <v>176571.46</v>
      </c>
      <c r="F9" s="72" t="n">
        <f aca="false">E9/E$29</f>
        <v>0.385210651238414</v>
      </c>
      <c r="G9" s="73" t="n">
        <f aca="false">E9/D9</f>
        <v>1731.09274509804</v>
      </c>
    </row>
    <row r="10" customFormat="false" ht="15" hidden="false" customHeight="true" outlineLevel="0" collapsed="false">
      <c r="A10" s="69" t="n">
        <v>2</v>
      </c>
      <c r="B10" s="70" t="s">
        <v>154</v>
      </c>
      <c r="C10" s="69"/>
      <c r="D10" s="69" t="n">
        <v>85</v>
      </c>
      <c r="E10" s="71" t="n">
        <v>139209.01</v>
      </c>
      <c r="F10" s="72" t="n">
        <f aca="false">E10/E$29</f>
        <v>0.303700232191289</v>
      </c>
      <c r="G10" s="73" t="n">
        <f aca="false">E10/D10</f>
        <v>1637.75305882353</v>
      </c>
    </row>
    <row r="11" customFormat="false" ht="15" hidden="false" customHeight="true" outlineLevel="0" collapsed="false">
      <c r="A11" s="69" t="n">
        <v>3</v>
      </c>
      <c r="B11" s="70" t="s">
        <v>155</v>
      </c>
      <c r="C11" s="69"/>
      <c r="D11" s="69" t="n">
        <v>18</v>
      </c>
      <c r="E11" s="71" t="n">
        <v>72780.98</v>
      </c>
      <c r="F11" s="72" t="n">
        <f aca="false">E11/E$29</f>
        <v>0.158779956305339</v>
      </c>
      <c r="G11" s="73" t="n">
        <f aca="false">E11/D11</f>
        <v>4043.38777777778</v>
      </c>
    </row>
    <row r="12" customFormat="false" ht="15" hidden="false" customHeight="true" outlineLevel="0" collapsed="false">
      <c r="A12" s="74" t="n">
        <v>4</v>
      </c>
      <c r="B12" s="75" t="s">
        <v>156</v>
      </c>
      <c r="C12" s="74"/>
      <c r="D12" s="74" t="n">
        <v>5</v>
      </c>
      <c r="E12" s="76" t="n">
        <v>17974.5</v>
      </c>
      <c r="F12" s="77" t="n">
        <f aca="false">E12/E$29</f>
        <v>0.0392134088412978</v>
      </c>
      <c r="G12" s="78" t="n">
        <f aca="false">E12/D12</f>
        <v>3594.9</v>
      </c>
    </row>
    <row r="13" customFormat="false" ht="15" hidden="false" customHeight="true" outlineLevel="0" collapsed="false">
      <c r="A13" s="79" t="n">
        <v>5</v>
      </c>
      <c r="B13" s="80" t="s">
        <v>157</v>
      </c>
      <c r="C13" s="79"/>
      <c r="D13" s="79" t="n">
        <v>2</v>
      </c>
      <c r="E13" s="81" t="n">
        <v>12800</v>
      </c>
      <c r="F13" s="82" t="n">
        <f aca="false">E13/E$29</f>
        <v>0.0279246506533485</v>
      </c>
      <c r="G13" s="83" t="n">
        <f aca="false">E13/D13</f>
        <v>6400</v>
      </c>
    </row>
    <row r="14" customFormat="false" ht="15" hidden="false" customHeight="true" outlineLevel="0" collapsed="false">
      <c r="A14" s="74" t="n">
        <v>6</v>
      </c>
      <c r="B14" s="75" t="s">
        <v>158</v>
      </c>
      <c r="C14" s="74"/>
      <c r="D14" s="74" t="n">
        <v>11</v>
      </c>
      <c r="E14" s="76" t="n">
        <v>8131.24</v>
      </c>
      <c r="F14" s="77" t="n">
        <f aca="false">E14/E$29</f>
        <v>0.0177392215920729</v>
      </c>
      <c r="G14" s="78" t="n">
        <f aca="false">E14/D14</f>
        <v>739.203636363636</v>
      </c>
    </row>
    <row r="15" customFormat="false" ht="15" hidden="false" customHeight="true" outlineLevel="0" collapsed="false">
      <c r="A15" s="79" t="n">
        <v>7</v>
      </c>
      <c r="B15" s="80" t="s">
        <v>159</v>
      </c>
      <c r="C15" s="79"/>
      <c r="D15" s="79" t="n">
        <v>6</v>
      </c>
      <c r="E15" s="81" t="n">
        <v>8076</v>
      </c>
      <c r="F15" s="82" t="n">
        <f aca="false">E15/E$29</f>
        <v>0.0176187092715971</v>
      </c>
      <c r="G15" s="83" t="n">
        <f aca="false">E15/D15</f>
        <v>1346</v>
      </c>
    </row>
    <row r="16" customFormat="false" ht="15" hidden="false" customHeight="true" outlineLevel="0" collapsed="false">
      <c r="A16" s="74" t="n">
        <v>8</v>
      </c>
      <c r="B16" s="75" t="s">
        <v>160</v>
      </c>
      <c r="C16" s="74"/>
      <c r="D16" s="74" t="n">
        <v>3</v>
      </c>
      <c r="E16" s="76" t="n">
        <v>5921</v>
      </c>
      <c r="F16" s="77" t="n">
        <f aca="false">E16/E$29</f>
        <v>0.012917332540506</v>
      </c>
      <c r="G16" s="78" t="n">
        <f aca="false">E16/D16</f>
        <v>1973.66666666667</v>
      </c>
    </row>
    <row r="17" customFormat="false" ht="15" hidden="false" customHeight="true" outlineLevel="0" collapsed="false">
      <c r="A17" s="79" t="n">
        <v>9</v>
      </c>
      <c r="B17" s="80" t="s">
        <v>161</v>
      </c>
      <c r="C17" s="79"/>
      <c r="D17" s="79" t="n">
        <v>6</v>
      </c>
      <c r="E17" s="81" t="n">
        <v>4412.21</v>
      </c>
      <c r="F17" s="82" t="n">
        <f aca="false">E17/E$29</f>
        <v>0.00962573616087583</v>
      </c>
      <c r="G17" s="83" t="n">
        <f aca="false">E17/D17</f>
        <v>735.368333333333</v>
      </c>
    </row>
    <row r="18" customFormat="false" ht="15" hidden="false" customHeight="true" outlineLevel="0" collapsed="false">
      <c r="A18" s="74" t="n">
        <v>10</v>
      </c>
      <c r="B18" s="75" t="s">
        <v>162</v>
      </c>
      <c r="C18" s="74"/>
      <c r="D18" s="74" t="n">
        <v>2</v>
      </c>
      <c r="E18" s="76" t="n">
        <v>2840</v>
      </c>
      <c r="F18" s="77" t="n">
        <f aca="false">E18/E$29</f>
        <v>0.00619578186371169</v>
      </c>
      <c r="G18" s="78" t="n">
        <f aca="false">E18/D18</f>
        <v>1420</v>
      </c>
    </row>
    <row r="19" customFormat="false" ht="15" hidden="false" customHeight="true" outlineLevel="0" collapsed="false">
      <c r="A19" s="79" t="n">
        <v>11</v>
      </c>
      <c r="B19" s="80" t="s">
        <v>163</v>
      </c>
      <c r="C19" s="79"/>
      <c r="D19" s="79" t="n">
        <v>3</v>
      </c>
      <c r="E19" s="81" t="n">
        <v>2465</v>
      </c>
      <c r="F19" s="82" t="n">
        <f aca="false">E19/E$29</f>
        <v>0.00537767686410187</v>
      </c>
      <c r="G19" s="83" t="n">
        <f aca="false">E19/D19</f>
        <v>821.666666666667</v>
      </c>
    </row>
    <row r="20" customFormat="false" ht="15" hidden="false" customHeight="true" outlineLevel="0" collapsed="false">
      <c r="A20" s="74" t="n">
        <v>12</v>
      </c>
      <c r="B20" s="75" t="s">
        <v>164</v>
      </c>
      <c r="C20" s="74"/>
      <c r="D20" s="74" t="n">
        <v>2</v>
      </c>
      <c r="E20" s="76" t="n">
        <v>2140</v>
      </c>
      <c r="F20" s="77" t="n">
        <f aca="false">E20/E$29</f>
        <v>0.0046686525311067</v>
      </c>
      <c r="G20" s="78" t="n">
        <f aca="false">E20/D20</f>
        <v>1070</v>
      </c>
    </row>
    <row r="21" customFormat="false" ht="15" hidden="false" customHeight="true" outlineLevel="0" collapsed="false">
      <c r="A21" s="79" t="n">
        <v>13</v>
      </c>
      <c r="B21" s="80" t="s">
        <v>165</v>
      </c>
      <c r="C21" s="79"/>
      <c r="D21" s="79" t="n">
        <v>4</v>
      </c>
      <c r="E21" s="81" t="n">
        <v>1340.48</v>
      </c>
      <c r="F21" s="82" t="n">
        <f aca="false">E21/E$29</f>
        <v>0.00292440903967192</v>
      </c>
      <c r="G21" s="83" t="n">
        <f aca="false">E21/D21</f>
        <v>335.12</v>
      </c>
    </row>
    <row r="22" customFormat="false" ht="15" hidden="false" customHeight="true" outlineLevel="0" collapsed="false">
      <c r="A22" s="74" t="n">
        <v>14</v>
      </c>
      <c r="B22" s="75" t="s">
        <v>166</v>
      </c>
      <c r="C22" s="74"/>
      <c r="D22" s="74" t="n">
        <v>2</v>
      </c>
      <c r="E22" s="76" t="n">
        <v>1134.15</v>
      </c>
      <c r="F22" s="77" t="n">
        <f aca="false">E22/E$29</f>
        <v>0.00247427676081994</v>
      </c>
      <c r="G22" s="78" t="n">
        <f aca="false">E22/D22</f>
        <v>567.075</v>
      </c>
    </row>
    <row r="23" customFormat="false" ht="15" hidden="false" customHeight="true" outlineLevel="0" collapsed="false">
      <c r="A23" s="79" t="n">
        <v>15</v>
      </c>
      <c r="B23" s="80" t="s">
        <v>167</v>
      </c>
      <c r="C23" s="79"/>
      <c r="D23" s="79" t="n">
        <v>3</v>
      </c>
      <c r="E23" s="81" t="n">
        <v>811.46</v>
      </c>
      <c r="F23" s="82" t="n">
        <f aca="false">E23/E$29</f>
        <v>0.00177029195462236</v>
      </c>
      <c r="G23" s="83" t="n">
        <f aca="false">E23/D23</f>
        <v>270.486666666667</v>
      </c>
    </row>
    <row r="24" customFormat="false" ht="15" hidden="false" customHeight="true" outlineLevel="0" collapsed="false">
      <c r="A24" s="74" t="n">
        <v>16</v>
      </c>
      <c r="B24" s="75" t="s">
        <v>168</v>
      </c>
      <c r="C24" s="74"/>
      <c r="D24" s="74" t="n">
        <v>3</v>
      </c>
      <c r="E24" s="76" t="n">
        <v>702.97</v>
      </c>
      <c r="F24" s="77" t="n">
        <f aca="false">E24/E$29</f>
        <v>0.0015336087242019</v>
      </c>
      <c r="G24" s="78" t="n">
        <f aca="false">E24/D24</f>
        <v>234.323333333333</v>
      </c>
    </row>
    <row r="25" customFormat="false" ht="15" hidden="false" customHeight="true" outlineLevel="0" collapsed="false">
      <c r="A25" s="79" t="n">
        <v>17</v>
      </c>
      <c r="B25" s="80" t="s">
        <v>169</v>
      </c>
      <c r="C25" s="79"/>
      <c r="D25" s="79" t="n">
        <v>1</v>
      </c>
      <c r="E25" s="81" t="n">
        <v>500</v>
      </c>
      <c r="F25" s="82" t="n">
        <f aca="false">E25/E$29</f>
        <v>0.00109080666614642</v>
      </c>
      <c r="G25" s="83" t="n">
        <f aca="false">E25/D25</f>
        <v>500</v>
      </c>
    </row>
    <row r="26" customFormat="false" ht="15" hidden="false" customHeight="true" outlineLevel="0" collapsed="false">
      <c r="A26" s="74" t="n">
        <v>18</v>
      </c>
      <c r="B26" s="75" t="s">
        <v>170</v>
      </c>
      <c r="C26" s="74"/>
      <c r="D26" s="74" t="n">
        <v>4</v>
      </c>
      <c r="E26" s="76" t="n">
        <v>258.11</v>
      </c>
      <c r="F26" s="77" t="n">
        <f aca="false">E26/E$29</f>
        <v>0.000563096217198107</v>
      </c>
      <c r="G26" s="78" t="n">
        <f aca="false">E26/D26</f>
        <v>64.5275</v>
      </c>
    </row>
    <row r="27" customFormat="false" ht="15" hidden="false" customHeight="true" outlineLevel="0" collapsed="false">
      <c r="A27" s="79" t="n">
        <v>19</v>
      </c>
      <c r="B27" s="80" t="s">
        <v>171</v>
      </c>
      <c r="C27" s="79"/>
      <c r="D27" s="79" t="n">
        <v>2</v>
      </c>
      <c r="E27" s="81" t="n">
        <v>195</v>
      </c>
      <c r="F27" s="82" t="n">
        <f aca="false">E27/E$29</f>
        <v>0.000425414599797106</v>
      </c>
      <c r="G27" s="83" t="n">
        <f aca="false">E27/D27</f>
        <v>97.5</v>
      </c>
    </row>
    <row r="28" customFormat="false" ht="15" hidden="false" customHeight="true" outlineLevel="0" collapsed="false">
      <c r="A28" s="74" t="n">
        <v>20</v>
      </c>
      <c r="B28" s="75" t="s">
        <v>172</v>
      </c>
      <c r="C28" s="74"/>
      <c r="D28" s="74" t="n">
        <v>2</v>
      </c>
      <c r="E28" s="76" t="n">
        <v>112.8</v>
      </c>
      <c r="F28" s="77" t="n">
        <f aca="false">E28/E$29</f>
        <v>0.000246085983882633</v>
      </c>
      <c r="G28" s="78" t="n">
        <f aca="false">E28/D28</f>
        <v>56.4</v>
      </c>
    </row>
    <row r="29" customFormat="false" ht="15" hidden="false" customHeight="true" outlineLevel="0" collapsed="false">
      <c r="A29" s="84"/>
      <c r="B29" s="85" t="s">
        <v>38</v>
      </c>
      <c r="C29" s="84"/>
      <c r="D29" s="86" t="n">
        <f aca="false">SUM(D9:D28)</f>
        <v>266</v>
      </c>
      <c r="E29" s="87" t="n">
        <f aca="false">SUM(E9:E28)</f>
        <v>458376.37</v>
      </c>
      <c r="F29" s="88" t="n">
        <f aca="false">SUM(F9:F28)</f>
        <v>1</v>
      </c>
      <c r="G29" s="87" t="n">
        <f aca="false">E29/D29</f>
        <v>1723.21943609023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2026-04-10T14:36:15Z</dcterms:created>
  <dc:creator>openpyxl</dc:creator>
  <dc:description/>
  <dc:language>en-US</dc:language>
  <cp:lastModifiedBy/>
  <dcterms:modified xsi:type="dcterms:W3CDTF">2026-04-13T21:09:33Z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